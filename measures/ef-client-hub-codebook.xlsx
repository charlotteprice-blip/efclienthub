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Hub Library" sheetId="2" state="visible" r:id="rId2"/>
    <sheet xmlns:r="http://schemas.openxmlformats.org/officeDocument/2006/relationships" name="Hub Subscales" sheetId="3" state="visible" r:id="rId3"/>
    <sheet xmlns:r="http://schemas.openxmlformats.org/officeDocument/2006/relationships" name="NovoPsych Catalogue" sheetId="4" state="visible" r:id="rId4"/>
    <sheet xmlns:r="http://schemas.openxmlformats.org/officeDocument/2006/relationships" name="Other open instruments" sheetId="5" state="visible" r:id="rId5"/>
    <sheet xmlns:r="http://schemas.openxmlformats.org/officeDocument/2006/relationships" name="Batteries" sheetId="6" state="visible" r:id="rId6"/>
    <sheet xmlns:r="http://schemas.openxmlformats.org/officeDocument/2006/relationships" name="Tally Prompt" sheetId="7" state="visible" r:id="rId7"/>
    <sheet xmlns:r="http://schemas.openxmlformats.org/officeDocument/2006/relationships" name="Instrument Summary" sheetId="8" state="visible" r:id="rId8"/>
    <sheet xmlns:r="http://schemas.openxmlformats.org/officeDocument/2006/relationships" name="Master Item List" sheetId="9" state="visible" r:id="rId9"/>
    <sheet xmlns:r="http://schemas.openxmlformats.org/officeDocument/2006/relationships" name="Structure and Subscales" sheetId="10" state="visible" r:id="rId10"/>
    <sheet xmlns:r="http://schemas.openxmlformats.org/officeDocument/2006/relationships" name="References" sheetId="11" state="visible" r:id="rId11"/>
    <sheet xmlns:r="http://schemas.openxmlformats.org/officeDocument/2006/relationships" name="ESQ-R" sheetId="12" state="visible" r:id="rId12"/>
    <sheet xmlns:r="http://schemas.openxmlformats.org/officeDocument/2006/relationships" name="CFI" sheetId="13" state="visible" r:id="rId13"/>
    <sheet xmlns:r="http://schemas.openxmlformats.org/officeDocument/2006/relationships" name="ASRS" sheetId="14" state="visible" r:id="rId14"/>
    <sheet xmlns:r="http://schemas.openxmlformats.org/officeDocument/2006/relationships" name="SKS" sheetId="15" state="visible" r:id="rId15"/>
    <sheet xmlns:r="http://schemas.openxmlformats.org/officeDocument/2006/relationships" name="SUS" sheetId="16" state="visible" r:id="rId16"/>
    <sheet xmlns:r="http://schemas.openxmlformats.org/officeDocument/2006/relationships" name="SSES" sheetId="17" state="visible" r:id="rId17"/>
    <sheet xmlns:r="http://schemas.openxmlformats.org/officeDocument/2006/relationships" name="CSES" sheetId="18" state="visible" r:id="rId18"/>
    <sheet xmlns:r="http://schemas.openxmlformats.org/officeDocument/2006/relationships" name="PES Empowerment" sheetId="19" state="visible" r:id="rId19"/>
    <sheet xmlns:r="http://schemas.openxmlformats.org/officeDocument/2006/relationships" name="DASS-21" sheetId="20" state="visible" r:id="rId20"/>
    <sheet xmlns:r="http://schemas.openxmlformats.org/officeDocument/2006/relationships" name="PTQ" sheetId="21" state="visible" r:id="rId21"/>
    <sheet xmlns:r="http://schemas.openxmlformats.org/officeDocument/2006/relationships" name="RRS" sheetId="22" state="visible" r:id="rId22"/>
    <sheet xmlns:r="http://schemas.openxmlformats.org/officeDocument/2006/relationships" name="FSCRS" sheetId="23" state="visible" r:id="rId23"/>
    <sheet xmlns:r="http://schemas.openxmlformats.org/officeDocument/2006/relationships" name="PCI" sheetId="24" state="visible" r:id="rId24"/>
    <sheet xmlns:r="http://schemas.openxmlformats.org/officeDocument/2006/relationships" name="SCS-SF" sheetId="25" state="visible" r:id="rId25"/>
    <sheet xmlns:r="http://schemas.openxmlformats.org/officeDocument/2006/relationships" name="BPNSFS" sheetId="26" state="visible" r:id="rId26"/>
    <sheet xmlns:r="http://schemas.openxmlformats.org/officeDocument/2006/relationships" name="PPS" sheetId="27" state="visible" r:id="rId27"/>
    <sheet xmlns:r="http://schemas.openxmlformats.org/officeDocument/2006/relationships" name="IPS" sheetId="28" state="visible" r:id="rId28"/>
    <sheet xmlns:r="http://schemas.openxmlformats.org/officeDocument/2006/relationships" name="GSE" sheetId="29" state="visible" r:id="rId29"/>
    <sheet xmlns:r="http://schemas.openxmlformats.org/officeDocument/2006/relationships" name="GCS Goal Commitment" sheetId="30" state="visible" r:id="rId30"/>
    <sheet xmlns:r="http://schemas.openxmlformats.org/officeDocument/2006/relationships" name="GADJ Goal Adjustment" sheetId="31" state="visible" r:id="rId31"/>
    <sheet xmlns:r="http://schemas.openxmlformats.org/officeDocument/2006/relationships" name="ADEXI" sheetId="32" state="visible" r:id="rId32"/>
    <sheet xmlns:r="http://schemas.openxmlformats.org/officeDocument/2006/relationships" name="AMS-C" sheetId="33" state="visible" r:id="rId33"/>
    <sheet xmlns:r="http://schemas.openxmlformats.org/officeDocument/2006/relationships" name="APS-R" sheetId="34" state="visible" r:id="rId34"/>
    <sheet xmlns:r="http://schemas.openxmlformats.org/officeDocument/2006/relationships" name="AUDIT-C" sheetId="35" state="visible" r:id="rId35"/>
    <sheet xmlns:r="http://schemas.openxmlformats.org/officeDocument/2006/relationships" name="BIS-11" sheetId="36" state="visible" r:id="rId36"/>
    <sheet xmlns:r="http://schemas.openxmlformats.org/officeDocument/2006/relationships" name="BIS-BRIEF" sheetId="37" state="visible" r:id="rId37"/>
    <sheet xmlns:r="http://schemas.openxmlformats.org/officeDocument/2006/relationships" name="BTQ" sheetId="38" state="visible" r:id="rId38"/>
    <sheet xmlns:r="http://schemas.openxmlformats.org/officeDocument/2006/relationships" name="CAGE" sheetId="39" state="visible" r:id="rId39"/>
    <sheet xmlns:r="http://schemas.openxmlformats.org/officeDocument/2006/relationships" name="CAPE-42" sheetId="40" state="visible" r:id="rId40"/>
    <sheet xmlns:r="http://schemas.openxmlformats.org/officeDocument/2006/relationships" name="CBI" sheetId="41" state="visible" r:id="rId41"/>
    <sheet xmlns:r="http://schemas.openxmlformats.org/officeDocument/2006/relationships" name="CES-D" sheetId="42" state="visible" r:id="rId42"/>
    <sheet xmlns:r="http://schemas.openxmlformats.org/officeDocument/2006/relationships" name="CFC-14" sheetId="43" state="visible" r:id="rId43"/>
    <sheet xmlns:r="http://schemas.openxmlformats.org/officeDocument/2006/relationships" name="CFQ" sheetId="44" state="visible" r:id="rId44"/>
    <sheet xmlns:r="http://schemas.openxmlformats.org/officeDocument/2006/relationships" name="COHS" sheetId="45" state="visible" r:id="rId45"/>
    <sheet xmlns:r="http://schemas.openxmlformats.org/officeDocument/2006/relationships" name="CPC-12" sheetId="46" state="visible" r:id="rId46"/>
    <sheet xmlns:r="http://schemas.openxmlformats.org/officeDocument/2006/relationships" name="CUDIT-R" sheetId="47" state="visible" r:id="rId47"/>
    <sheet xmlns:r="http://schemas.openxmlformats.org/officeDocument/2006/relationships" name="DES-II" sheetId="48" state="visible" r:id="rId48"/>
    <sheet xmlns:r="http://schemas.openxmlformats.org/officeDocument/2006/relationships" name="FMPS-B" sheetId="49" state="visible" r:id="rId49"/>
    <sheet xmlns:r="http://schemas.openxmlformats.org/officeDocument/2006/relationships" name="GAD-7" sheetId="50" state="visible" r:id="rId50"/>
    <sheet xmlns:r="http://schemas.openxmlformats.org/officeDocument/2006/relationships" name="GPS" sheetId="51" state="visible" r:id="rId51"/>
    <sheet xmlns:r="http://schemas.openxmlformats.org/officeDocument/2006/relationships" name="HUA-ORANGA" sheetId="52" state="visible" r:id="rId52"/>
    <sheet xmlns:r="http://schemas.openxmlformats.org/officeDocument/2006/relationships" name="JDS" sheetId="53" state="visible" r:id="rId53"/>
    <sheet xmlns:r="http://schemas.openxmlformats.org/officeDocument/2006/relationships" name="MEWS" sheetId="54" state="visible" r:id="rId54"/>
    <sheet xmlns:r="http://schemas.openxmlformats.org/officeDocument/2006/relationships" name="MINI-IPIP" sheetId="55" state="visible" r:id="rId55"/>
    <sheet xmlns:r="http://schemas.openxmlformats.org/officeDocument/2006/relationships" name="MWQ" sheetId="56" state="visible" r:id="rId56"/>
    <sheet xmlns:r="http://schemas.openxmlformats.org/officeDocument/2006/relationships" name="NCS-6" sheetId="57" state="visible" r:id="rId57"/>
    <sheet xmlns:r="http://schemas.openxmlformats.org/officeDocument/2006/relationships" name="PHQ-2" sheetId="58" state="visible" r:id="rId58"/>
    <sheet xmlns:r="http://schemas.openxmlformats.org/officeDocument/2006/relationships" name="PHQ-9" sheetId="59" state="visible" r:id="rId59"/>
    <sheet xmlns:r="http://schemas.openxmlformats.org/officeDocument/2006/relationships" name="PROMIS-GH10" sheetId="60" state="visible" r:id="rId60"/>
    <sheet xmlns:r="http://schemas.openxmlformats.org/officeDocument/2006/relationships" name="PROMIS-APSRA-8A" sheetId="61" state="visible" r:id="rId61"/>
    <sheet xmlns:r="http://schemas.openxmlformats.org/officeDocument/2006/relationships" name="PROMIS-COGA-8A" sheetId="62" state="visible" r:id="rId62"/>
    <sheet xmlns:r="http://schemas.openxmlformats.org/officeDocument/2006/relationships" name="PROMIS-COGF-8A" sheetId="63" state="visible" r:id="rId63"/>
    <sheet xmlns:r="http://schemas.openxmlformats.org/officeDocument/2006/relationships" name="PROMIS-FAT-8A" sheetId="64" state="visible" r:id="rId64"/>
    <sheet xmlns:r="http://schemas.openxmlformats.org/officeDocument/2006/relationships" name="PROMIS-GSE-4A" sheetId="65" state="visible" r:id="rId65"/>
    <sheet xmlns:r="http://schemas.openxmlformats.org/officeDocument/2006/relationships" name="PROMIS-MP-8A" sheetId="66" state="visible" r:id="rId66"/>
    <sheet xmlns:r="http://schemas.openxmlformats.org/officeDocument/2006/relationships" name="PROMIS-SSRA-8A" sheetId="67" state="visible" r:id="rId67"/>
    <sheet xmlns:r="http://schemas.openxmlformats.org/officeDocument/2006/relationships" name="PROMIS-SD-8A" sheetId="68" state="visible" r:id="rId68"/>
    <sheet xmlns:r="http://schemas.openxmlformats.org/officeDocument/2006/relationships" name="PROMIS-SRI-8A" sheetId="69" state="visible" r:id="rId69"/>
    <sheet xmlns:r="http://schemas.openxmlformats.org/officeDocument/2006/relationships" name="PSWQ" sheetId="70" state="visible" r:id="rId70"/>
    <sheet xmlns:r="http://schemas.openxmlformats.org/officeDocument/2006/relationships" name="RAADS-14" sheetId="71" state="visible" r:id="rId71"/>
    <sheet xmlns:r="http://schemas.openxmlformats.org/officeDocument/2006/relationships" name="SAPS" sheetId="72" state="visible" r:id="rId72"/>
    <sheet xmlns:r="http://schemas.openxmlformats.org/officeDocument/2006/relationships" name="SCS" sheetId="73" state="visible" r:id="rId73"/>
    <sheet xmlns:r="http://schemas.openxmlformats.org/officeDocument/2006/relationships" name="SRQ-63" sheetId="74" state="visible" r:id="rId74"/>
    <sheet xmlns:r="http://schemas.openxmlformats.org/officeDocument/2006/relationships" name="SWLS" sheetId="75" state="visible" r:id="rId75"/>
    <sheet xmlns:r="http://schemas.openxmlformats.org/officeDocument/2006/relationships" name="UCLA-LS-3" sheetId="76" state="visible" r:id="rId76"/>
    <sheet xmlns:r="http://schemas.openxmlformats.org/officeDocument/2006/relationships" name="WEBEXEC" sheetId="77" state="visible" r:id="rId77"/>
    <sheet xmlns:r="http://schemas.openxmlformats.org/officeDocument/2006/relationships" name="WFIRS-S" sheetId="78" state="visible" r:id="rId78"/>
    <sheet xmlns:r="http://schemas.openxmlformats.org/officeDocument/2006/relationships" name="WHO-5" sheetId="79" state="visible" r:id="rId79"/>
    <sheet xmlns:r="http://schemas.openxmlformats.org/officeDocument/2006/relationships" name="WHODAS-36" sheetId="80" state="visible" r:id="rId80"/>
    <sheet xmlns:r="http://schemas.openxmlformats.org/officeDocument/2006/relationships" name="WSAS" sheetId="81" state="visible" r:id="rId81"/>
  </sheets>
  <definedNames>
    <definedName name="_xlnm._FilterDatabase" localSheetId="1" hidden="1">'Hub Library'!$A$1:$L$21</definedName>
    <definedName name="_xlnm._FilterDatabase" localSheetId="2" hidden="1">'Hub Subscales'!$A$1:$M$52</definedName>
    <definedName name="_xlnm._FilterDatabase" localSheetId="3" hidden="1">'NovoPsych Catalogue'!$A$1:$T$151</definedName>
    <definedName name="_xlnm._FilterDatabase" localSheetId="4" hidden="1">'Other open instruments'!$A$1:$X$154</definedName>
    <definedName name="_xlnm._FilterDatabase" localSheetId="5" hidden="1">'Batteries'!$A$1:$I$12</definedName>
    <definedName name="_xlnm._FilterDatabase" localSheetId="7" hidden="1">'Instrument Summary'!$A$1:$Z$21</definedName>
    <definedName name="_xlnm._FilterDatabase" localSheetId="8" hidden="1">'Master Item List'!$A$1:$K$308</definedName>
    <definedName name="_xlnm._FilterDatabase" localSheetId="9" hidden="1">'Structure and Subscales'!$A$1:$H$51</definedName>
    <definedName name="_xlnm._FilterDatabase" localSheetId="10" hidden="1">'References'!$A$1:$E$62</definedName>
    <definedName name="_xlnm._FilterDatabase" localSheetId="11" hidden="1">'ESQ-R'!$A$29:$F$54</definedName>
    <definedName name="_xlnm._FilterDatabase" localSheetId="12" hidden="1">'CFI'!$A$29:$F$49</definedName>
    <definedName name="_xlnm._FilterDatabase" localSheetId="13" hidden="1">'ASRS'!$A$29:$F$47</definedName>
    <definedName name="_xlnm._FilterDatabase" localSheetId="14" hidden="1">'SKS'!$A$29:$F$37</definedName>
    <definedName name="_xlnm._FilterDatabase" localSheetId="15" hidden="1">'SUS'!$A$29:$F$43</definedName>
    <definedName name="_xlnm._FilterDatabase" localSheetId="16" hidden="1">'SSES'!$A$29:$F$40</definedName>
    <definedName name="_xlnm._FilterDatabase" localSheetId="17" hidden="1">'CSES'!$A$29:$F$41</definedName>
    <definedName name="_xlnm._FilterDatabase" localSheetId="18" hidden="1">'PES Empowerment'!$A$29:$F$41</definedName>
    <definedName name="_xlnm._FilterDatabase" localSheetId="19" hidden="1">'DASS-21'!$A$29:$F$50</definedName>
    <definedName name="_xlnm._FilterDatabase" localSheetId="20" hidden="1">'PTQ'!$A$29:$F$44</definedName>
    <definedName name="_xlnm._FilterDatabase" localSheetId="21" hidden="1">'RRS'!$A$29:$F$51</definedName>
    <definedName name="_xlnm._FilterDatabase" localSheetId="22" hidden="1">'FSCRS'!$A$29:$F$51</definedName>
    <definedName name="_xlnm._FilterDatabase" localSheetId="23" hidden="1">'PCI'!$A$29:$F$54</definedName>
    <definedName name="_xlnm._FilterDatabase" localSheetId="24" hidden="1">'SCS-SF'!$A$29:$F$41</definedName>
    <definedName name="_xlnm._FilterDatabase" localSheetId="25" hidden="1">'BPNSFS'!$A$29:$F$53</definedName>
    <definedName name="_xlnm._FilterDatabase" localSheetId="26" hidden="1">'PPS'!$A$29:$F$41</definedName>
    <definedName name="_xlnm._FilterDatabase" localSheetId="27" hidden="1">'IPS'!$A$29:$F$38</definedName>
    <definedName name="_xlnm._FilterDatabase" localSheetId="28" hidden="1">'GSE'!$A$29:$F$39</definedName>
    <definedName name="_xlnm._FilterDatabase" localSheetId="29" hidden="1">'GCS Goal Commitment'!$A$29:$F$34</definedName>
    <definedName name="_xlnm._FilterDatabase" localSheetId="30" hidden="1">'GADJ Goal Adjustment'!$A$29:$F$39</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sz val="10"/>
    </font>
    <font>
      <name val="Arial"/>
      <charset val="1"/>
      <family val="0"/>
      <b val="1"/>
      <sz val="10"/>
    </font>
    <font>
      <name val="Arial"/>
      <charset val="1"/>
      <family val="0"/>
      <b val="1"/>
      <color rgb="FF1F3864"/>
      <sz val="11"/>
    </font>
    <font>
      <name val="Arial"/>
      <charset val="1"/>
      <family val="0"/>
      <b val="1"/>
      <color rgb="FFFFFFFF"/>
      <sz val="10"/>
    </font>
    <font>
      <name val="Arial"/>
      <charset val="1"/>
      <family val="0"/>
      <i val="1"/>
      <color rgb="FF808080"/>
      <sz val="10"/>
    </font>
    <font>
      <name val="Arial"/>
      <charset val="1"/>
      <family val="0"/>
      <b val="1"/>
      <color rgb="FFB25E00"/>
      <sz val="10"/>
    </font>
    <font>
      <name val="Arial"/>
      <charset val="1"/>
      <family val="0"/>
      <b val="1"/>
      <color rgb="FFC00000"/>
      <sz val="10"/>
    </font>
    <font>
      <b val="1"/>
    </font>
    <font>
      <b val="1"/>
      <color rgb="00FFFFFF"/>
    </font>
    <font>
      <b val="1"/>
      <sz val="14"/>
    </font>
  </fonts>
  <fills count="6">
    <fill>
      <patternFill/>
    </fill>
    <fill>
      <patternFill patternType="gray125"/>
    </fill>
    <fill>
      <patternFill patternType="solid">
        <fgColor rgb="FF1F3864"/>
        <bgColor rgb="FF333333"/>
      </patternFill>
    </fill>
    <fill>
      <patternFill patternType="solid">
        <fgColor rgb="FFF2F2F2"/>
        <bgColor rgb="FFFFFFFF"/>
      </patternFill>
    </fill>
    <fill>
      <patternFill patternType="solid">
        <fgColor rgb="FFD9E2F3"/>
        <bgColor rgb="FFF2F2F2"/>
      </patternFill>
    </fill>
    <fill>
      <patternFill patternType="solid">
        <fgColor rgb="002E406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12" fillId="0" borderId="0" pivotButton="0" quotePrefix="0" xfId="0"/>
    <xf numFmtId="0" fontId="13" fillId="5" borderId="0" applyAlignment="1" pivotButton="0" quotePrefix="0" xfId="0">
      <alignment vertical="top" wrapText="1"/>
    </xf>
    <xf numFmtId="0" fontId="0" fillId="0" borderId="0" applyAlignment="1" pivotButton="0" quotePrefix="0" xfId="0">
      <alignment vertical="top" wrapText="1"/>
    </xf>
    <xf numFmtId="0" fontId="8" fillId="2" borderId="1" applyAlignment="1" pivotButton="0" quotePrefix="0" xfId="0">
      <alignment horizontal="general" vertical="center"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top"/>
    </xf>
    <xf numFmtId="0" fontId="9" fillId="0" borderId="1" applyAlignment="1" pivotButton="0" quotePrefix="0" xfId="0">
      <alignment horizontal="general" vertical="top" wrapText="1"/>
    </xf>
    <xf numFmtId="0" fontId="7" fillId="0" borderId="0" applyAlignment="1" pivotButton="0" quotePrefix="0" xfId="0">
      <alignment horizontal="general" vertical="bottom"/>
    </xf>
    <xf numFmtId="0" fontId="4" fillId="0" borderId="0" applyAlignment="1" pivotButton="0" quotePrefix="0" xfId="0">
      <alignment horizontal="general" vertical="bottom"/>
    </xf>
    <xf numFmtId="0" fontId="5"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6" fillId="4" borderId="1" applyAlignment="1" pivotButton="0" quotePrefix="0" xfId="0">
      <alignment horizontal="general" vertical="top" wrapText="1"/>
    </xf>
    <xf numFmtId="0" fontId="14" fillId="0" borderId="0" pivotButton="0" quotePrefix="0" xfId="0"/>
    <xf numFmtId="0" fontId="12"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B25E00"/>
          <bgColor rgb="FF000000"/>
        </patternFill>
      </fill>
    </dxf>
    <dxf>
      <fill>
        <patternFill patternType="solid">
          <fgColor rgb="FFC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B25E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styles" Target="styles.xml" Id="rId82"/><Relationship Type="http://schemas.openxmlformats.org/officeDocument/2006/relationships/theme" Target="theme/theme1.xml" Id="rId8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6" min="1" max="1"/>
    <col width="120" customWidth="1" style="16" min="2" max="2"/>
  </cols>
  <sheetData>
    <row r="1" ht="32.8" customHeight="1" s="17">
      <c r="A1" s="18" t="inlineStr">
        <is>
          <t>EF Client Hub Codebook</t>
        </is>
      </c>
      <c r="B1" s="19" t="n"/>
    </row>
    <row r="2" ht="15" customHeight="1" s="17">
      <c r="A2" s="20" t="inlineStr">
        <is>
          <t>Compiled for</t>
        </is>
      </c>
      <c r="B2" s="19" t="inlineStr">
        <is>
          <t>Executive Frame Client Hub (clients.executiveframe.co.nz), from the Charlotte Price Consulting Psychometric Codebook</t>
        </is>
      </c>
    </row>
    <row r="3" ht="15" customHeight="1" s="17">
      <c r="A3" s="20" t="inlineStr">
        <is>
          <t>Compiled</t>
        </is>
      </c>
      <c r="B3" s="19" t="inlineStr">
        <is>
          <t>18 October 2026 (duplicated from the CPC codebook compiled 26 September 2026); open licence instruments merged 18 October 2026 after an independent second check of every item against its source.</t>
        </is>
      </c>
    </row>
    <row r="4" ht="15" customHeight="1" s="17">
      <c r="A4" s="20" t="inlineStr">
        <is>
          <t>Scope</t>
        </is>
      </c>
      <c r="B4" s="19" t="inlineStr">
        <is>
          <t>The working set of 70 instruments across 8 domains: the 20 selected from the CPC codebook plus 50 open licence instruments transcribed from open access sources on 18 October 2026. 1097 items are reproduced verbatim. Only rows marked Include = Yes and cleared in Hub Library can be assigned to clients.</t>
        </is>
      </c>
    </row>
    <row r="5" ht="23.85" customHeight="1" s="17">
      <c r="A5" s="20" t="inlineStr">
        <is>
          <t>Sources</t>
        </is>
      </c>
      <c r="B5" s="19" t="inlineStr">
        <is>
          <t>NovoPsych assessment pages and blank form PDFs, the official University of New South Wales DASS site, instrument developers, and original validation papers or authoritative open reproductions. Every record carries its source URL.</t>
        </is>
      </c>
    </row>
    <row r="6" ht="15" customHeight="1" s="17">
      <c r="A6" s="20" t="n"/>
      <c r="B6" s="19" t="n"/>
    </row>
    <row r="7" ht="15" customHeight="1" s="17">
      <c r="A7" s="21" t="inlineStr">
        <is>
          <t>Domains</t>
        </is>
      </c>
      <c r="B7" s="19" t="n"/>
    </row>
    <row r="8" ht="23.85" customHeight="1" s="17">
      <c r="A8" s="20" t="inlineStr">
        <is>
          <t>1. Executive functioning and ADHD</t>
        </is>
      </c>
      <c r="B8" s="19" t="inlineStr">
        <is>
          <t>ESQ-R, CFI and ASRS. The ESQ-R is the executive skills core of both executive function batteries and the ASRS adds current adult ADHD symptom screening. The CFI measures cognitive flexibility and is now used in the Perfectionism battery rather than the executive function batteries. The ADEXI, CFQ, WEBEXEC, BIS-11, BIS-Brief, MEWS, MWQ, PROMIS cognitive function forms and (to decide) SRQ-63 extend this domain.</t>
        </is>
      </c>
    </row>
    <row r="9" ht="23.85" customHeight="1" s="17">
      <c r="A9" s="20" t="inlineStr">
        <is>
          <t>2. Strengths knowledge, use and support at work</t>
        </is>
      </c>
      <c r="B9" s="19" t="inlineStr">
        <is>
          <t>SKS, SUS and SSES: whether a client knows their strengths, uses them, and is confident applying them. These are the measures that show change across a coaching engagement.</t>
        </is>
      </c>
    </row>
    <row r="10" ht="23.85" customHeight="1" s="17">
      <c r="A10" s="20" t="inlineStr">
        <is>
          <t>3. Adjacent occupational and wellbeing</t>
        </is>
      </c>
      <c r="B10" s="19" t="inlineStr">
        <is>
          <t>Core Self Evaluations Scale and Psychological Empowerment Scale: general positive self appraisal and felt empowerment in a work role. The CBI (burnout), JDS (job characteristics), CPC-12 (psychological capital), PROMIS General Self-Efficacy and (to decide) AMS-C extend this domain.</t>
        </is>
      </c>
    </row>
    <row r="11" ht="23.85" customHeight="1" s="17">
      <c r="A11" s="20" t="inlineStr">
        <is>
          <t>4. Clinical and distress screening</t>
        </is>
      </c>
      <c r="B11" s="19" t="inlineStr">
        <is>
          <t>DASS-21, PHQ-2, PHQ-9, GAD-7, CES-D, PSWQ, AUDIT-C, CAGE, CUDIT-R, DES-II, RAADS-14 and (to decide) CAPE-42. Screening measures scored for Sarah only; the hub never shows a screener result to a client and nothing here is a diagnosis.</t>
        </is>
      </c>
    </row>
    <row r="12" ht="23.85" customHeight="1" s="17">
      <c r="A12" s="20" t="inlineStr">
        <is>
          <t>5. Self talk, thinking patterns and personality</t>
        </is>
      </c>
      <c r="B12" s="19" t="inlineStr">
        <is>
          <t>PTQ and RRS measure repetitive negative thinking; FSCRS, PCI, SCS-SF, SCS, APS-R, SAPS and FMPS-B measure self critical, self compassionate and perfectionistic self talk; the Mini-IPIP gives a brief trait profile and the NCS-6 the enjoyment of effortful thinking.</t>
        </is>
      </c>
    </row>
    <row r="13" ht="35.05" customHeight="1" s="17">
      <c r="A13" s="20" t="inlineStr">
        <is>
          <t>6. Motivation, self determination and goal pursuit</t>
        </is>
      </c>
      <c r="B13" s="19" t="inlineStr">
        <is>
          <t>Basic Psychological Need Satisfaction and Frustration Scale, Pure and Irrational Procrastination Scales, General Self-Efficacy Scale, Goal Commitment Scale and Goal Adjustment Scale. The last 2 are specific to goals: commitment to a goal the client names, and the capacity to let go of unattainable goals and take up new ones. The GPS, CFC-14 and COHS extend this domain to general procrastination, future orientation and habit.</t>
        </is>
      </c>
    </row>
    <row r="14" ht="15" customHeight="1" s="17">
      <c r="A14" t="inlineStr">
        <is>
          <t>7. Wellbeing and life satisfaction</t>
        </is>
      </c>
      <c r="B14" t="inlineStr">
        <is>
          <t>Hua Oranga, WHO-5, SWLS, UCLA Loneliness Scale and PROMIS Meaning and Purpose: wellbeing as the client experiences it, including the 4 taha of te whare tapa whā.</t>
        </is>
      </c>
    </row>
    <row r="15" ht="15" customHeight="1" s="17">
      <c r="A15" t="inlineStr">
        <is>
          <t>8. Functioning and health</t>
        </is>
      </c>
      <c r="B15" t="inlineStr">
        <is>
          <t>WHODAS 2.0, WSAS, PROMIS Global Health, Ability to Participate, Satisfaction with Social Roles, Fatigue, Sleep Disturbance and Sleep-Related Impairment, and (not built) WFIRS-S: how difficulties show up in daily functioning and health.</t>
        </is>
      </c>
    </row>
    <row r="16" ht="23.85" customHeight="1" s="17">
      <c r="A16" s="20" t="n"/>
      <c r="B16" s="19" t="n"/>
    </row>
    <row r="17" ht="23.85" customHeight="1" s="17">
      <c r="A17" s="20" t="inlineStr">
        <is>
          <t>Sheet</t>
        </is>
      </c>
      <c r="B17" s="19" t="inlineStr">
        <is>
          <t>Contents</t>
        </is>
      </c>
    </row>
    <row r="18" ht="23.85" customHeight="1" s="17">
      <c r="A18" s="16" t="inlineStr">
        <is>
          <t>Hub Library</t>
        </is>
      </c>
      <c r="B18" s="16" t="inlineStr">
        <is>
          <t>One row per instrument as it appears in the Client Hub: the id and client facing name, whether it is included, its licence status for the hub (only cleared instruments can be assigned to clients), whether clients see strengths and areas of focus, item flags for Sarah, and the instructions shown on screen. Edit this sheet, then run npm run codebook to rebuild the hub library files.</t>
        </is>
      </c>
    </row>
    <row r="19" ht="23.85" customHeight="1" s="17">
      <c r="A19" s="16" t="inlineStr">
        <is>
          <t>Hub Subscales</t>
        </is>
      </c>
      <c r="B19" s="16" t="inlineStr">
        <is>
          <t>One row per subscale as the hub scores it: client facing label, scoring direction, method, optional band thresholds (blank means thirds of the response range), the strength and focus wording clients see once released, and the Learning Hub topic each area of focus links to. All wording is draft for Sarah to approve.</t>
        </is>
      </c>
    </row>
    <row r="20" ht="15" customHeight="1" s="17">
      <c r="A20" s="16" t="inlineStr">
        <is>
          <t>NovoPsych Catalogue</t>
        </is>
      </c>
      <c r="B20" s="16" t="inlineStr">
        <is>
          <t>All 150 assessments listed on novopsych.com on 18 October 2026, metadata only: name, code, NovoPsych categories, construct, items, respondent, age range, time, subscales and citation, with the copyright text as it appeared and a suggested hub relevance. NovoPsych loads scoring and licensing panels in the browser, so those columns are mostly "not stated" and the licence must be confirmed on the page or with the authors before an instrument is added. No item text was copied. Filter with the column headers.</t>
        </is>
      </c>
    </row>
    <row r="21" ht="15" customHeight="1" s="17">
      <c r="A21" s="16" t="inlineStr">
        <is>
          <t>Other open instruments</t>
        </is>
      </c>
      <c r="B21" s="16" t="inlineStr">
        <is>
          <t>153 free or open licence adult self report instruments found beyond NovoPsych on 18 October 2026, in 5 searches: executive functioning and time, work and motivation, wellbeing and self talk, the open repositories (APA DSM-5 measures, PROMIS, PhenX, IPIP and others), and clinical practice in New Zealand. Each row carries the licence statement as found with its URL, whether an open access item list exists, NZ use where known, a hub suggestion, and a caution where digital use may need its own licence. Metadata only; no item text. Filter with the column headers.</t>
        </is>
      </c>
    </row>
    <row r="22" ht="15" customHeight="1" s="17">
      <c r="A22" s="20" t="inlineStr">
        <is>
          <t>Batteries</t>
        </is>
      </c>
      <c r="B22" s="19" t="inlineStr">
        <is>
          <t>The 11 assessment forms used in practice, each a combination of instruments: which instruments each contains, total items, the matching report skill, what it assesses and its scoring cautions. Below it, a map showing which batteries use each instrument.</t>
        </is>
      </c>
    </row>
    <row r="23" ht="15" customHeight="1" s="17">
      <c r="A23" s="20" t="inlineStr">
        <is>
          <t>Tally Prompt</t>
        </is>
      </c>
      <c r="B23" s="19" t="inlineStr">
        <is>
          <t>The prompt used to convert an existing Tally assessment form to a different battery, with instructions on which codebook fields to paste in and a checklist for testing the finished form.</t>
        </is>
      </c>
    </row>
    <row r="24" ht="15" customHeight="1" s="17">
      <c r="A24" s="20" t="inlineStr">
        <is>
          <t>Instrument Summary</t>
        </is>
      </c>
      <c r="B24" s="19" t="inlineStr">
        <is>
          <t>One row per instrument with domain, availability, item counts, construct, respondent, cost and access, coaching application, instructions, response options, scoring, interpretation, cut-offs, norms, psychometrics, developer citation, copyright and source.</t>
        </is>
      </c>
    </row>
    <row r="25" ht="23.85" customHeight="1" s="17">
      <c r="A25" s="20" t="inlineStr">
        <is>
          <t>Master Item List</t>
        </is>
      </c>
      <c r="B25" s="19" t="inlineStr">
        <is>
          <t>One row per item across all 70 instruments. Verbatim wording, subscale, reverse and filler flags, response options (an item carries its own where its scale differs from the instrument, as in the AUDIT-C, CUDIT-R and PROMIS Global Health) and notes. Filter on Domain or Code.</t>
        </is>
      </c>
    </row>
    <row r="26" ht="15" customHeight="1" s="17">
      <c r="A26" s="20" t="inlineStr">
        <is>
          <t>Structure and Subscales</t>
        </is>
      </c>
      <c r="B26" s="19" t="inlineStr">
        <is>
          <t>One row per subscale.</t>
        </is>
      </c>
    </row>
    <row r="27" ht="15" customHeight="1" s="17">
      <c r="A27" s="20" t="inlineStr">
        <is>
          <t>References</t>
        </is>
      </c>
      <c r="B27" s="19" t="inlineStr">
        <is>
          <t>Developer citations and reference lists in APA 7 format.</t>
        </is>
      </c>
    </row>
    <row r="28" ht="15" customHeight="1" s="17">
      <c r="A28" s="20" t="inlineStr">
        <is>
          <t>Individual instrument tabs</t>
        </is>
      </c>
      <c r="B28" s="19" t="inlineStr">
        <is>
          <t>One tab per instrument with its metadata block above its own item table.</t>
        </is>
      </c>
    </row>
    <row r="29" ht="15" customHeight="1" s="17">
      <c r="A29" s="20" t="n"/>
      <c r="B29" s="19" t="n"/>
    </row>
    <row r="30" ht="15" customHeight="1" s="17">
      <c r="A30" s="22" t="inlineStr">
        <is>
          <t>Hub conventions</t>
        </is>
      </c>
    </row>
    <row r="31" ht="23.85" customHeight="1" s="17">
      <c r="A31" s="16" t="inlineStr">
        <is>
          <t>Licence status</t>
        </is>
      </c>
      <c r="B31" s="16" t="inlineStr">
        <is>
          <t>cleared: can be assigned to clients. review: in the library file but not uploadable until the licence is confirmed. permission: written permission needed before use. excluded: left out of the hub. The hub refuses to assign anything that is not cleared.</t>
        </is>
      </c>
    </row>
    <row r="32" ht="23.85" customHeight="1" s="17">
      <c r="A32" s="16" t="inlineStr">
        <is>
          <t>Scoring direction</t>
        </is>
      </c>
      <c r="B32" s="16" t="inlineStr">
        <is>
          <t>difficulty: a higher score means more difficulty, so low scores are strengths and high scores are areas of focus. positive: the reverse. none: scored for Sarah only, never summarised to the client. Reverse scored items are reversed as min plus max minus the answer, so 1 to 7 scales reverse correctly.</t>
        </is>
      </c>
    </row>
    <row r="33" ht="23.85" customHeight="1" s="17">
      <c r="A33" s="21" t="inlineStr">
        <is>
          <t>Conventions</t>
        </is>
      </c>
      <c r="B33" s="19" t="n"/>
    </row>
    <row r="34" ht="35.05" customHeight="1" s="17">
      <c r="A34" s="20" t="inlineStr">
        <is>
          <t>Verbatim wording</t>
        </is>
      </c>
      <c r="B34" s="19" t="inlineStr">
        <is>
          <t>Item text is transcribed word for word from the source named against each instrument. Nothing has been paraphrased or reconstructed. Where an item could not be retrieved the cell says so.</t>
        </is>
      </c>
    </row>
    <row r="35" ht="23.85" customHeight="1" s="17">
      <c r="A35" s="20" t="inlineStr">
        <is>
          <t>Not stated on source</t>
        </is>
      </c>
      <c r="B35" s="19" t="inlineStr">
        <is>
          <t>The field is not published in the sources consulted.</t>
        </is>
      </c>
    </row>
    <row r="36" ht="35.05" customHeight="1" s="17">
      <c r="A36" s="20" t="inlineStr">
        <is>
          <t>Reverse and filler</t>
        </is>
      </c>
      <c r="B36" s="19" t="inlineStr">
        <is>
          <t>TRUE in the reverse column means the item is reversed before summing. TRUE in the filler column means the item is not scored at all.</t>
        </is>
      </c>
    </row>
    <row r="37" ht="23.85" customHeight="1" s="17">
      <c r="A37" s="20" t="inlineStr">
        <is>
          <t>Spelling</t>
        </is>
      </c>
      <c r="B37" s="19" t="inlineStr">
        <is>
          <t>Item wording is reproduced exactly as published, including United States spelling. Surrounding commentary uses UK spelling.</t>
        </is>
      </c>
    </row>
    <row r="38" ht="23.85" customHeight="1" s="17">
      <c r="A38" s="20" t="n"/>
      <c r="B38" s="19" t="n"/>
    </row>
    <row r="39" ht="23.85" customHeight="1" s="17">
      <c r="A39" s="21" t="inlineStr">
        <is>
          <t>Cautions and known gaps</t>
        </is>
      </c>
      <c r="B39" s="19" t="n"/>
    </row>
    <row r="40" ht="35.05" customHeight="1" s="17">
      <c r="A40" s="20" t="n"/>
      <c r="B40" s="19" t="inlineStr">
        <is>
          <t>ESQ-R and CFI are scored in opposite directions: higher ESQ-R means more executive difficulty, higher CFI means more flexibility. The ESQ-R norms are 327 Malaysian working adults; the CFI norms are 196 university students.</t>
        </is>
      </c>
    </row>
    <row r="41" ht="35.05" customHeight="1" s="17">
      <c r="A41" s="20" t="n"/>
      <c r="B41" s="19" t="inlineStr">
        <is>
          <t>ASRS Part A of 14 or more is a positive screen, not a diagnosis. Gallup style caution applies: always pair with clinical interview, and with the WURS-25 where childhood history is needed.</t>
        </is>
      </c>
    </row>
    <row r="42" ht="68.65000000000001" customHeight="1" s="17">
      <c r="A42" s="20" t="n"/>
      <c r="B42" s="19" t="inlineStr">
        <is>
          <t>SKS and SUS items are taken from an open access peer reviewed reproduction (Frontiers in Psychology, 2023). CAPP asserts copyright over the scales and one later reuse redacted them, so they are viewable and freely reprinted rather than formally public domain.</t>
        </is>
      </c>
    </row>
    <row r="43">
      <c r="A43" s="20" t="n"/>
      <c r="B43" s="19" t="inlineStr">
        <is>
          <t>DASS-21 is a screening measure only. It describes the past week, contains no item on suicidal thinking and does not assess risk. Items 10, 17 and 21 are followed up directly when endorsed at 2 or 3, as the practice report builder does. Severity labels are population position descriptors, not diagnostic thresholds.</t>
        </is>
      </c>
    </row>
    <row r="44">
      <c r="A44" s="20" t="n"/>
      <c r="B44" s="19" t="inlineStr">
        <is>
          <t>No normative percentile tables exist for the SKS, SUS, SSES, CSES or PES. They are continuous measures best read against a client’s own baseline across repeated administration.</t>
        </is>
      </c>
    </row>
    <row r="45">
      <c r="A45" s="20" t="n"/>
      <c r="B45" s="19" t="inlineStr">
        <is>
          <t>RRS: only the 5 item Brooding and 5 item Reflection subscales are recommended for coaching use. The remaining 12 items overlap with depressive symptom content and are retained for completeness only. NovoPsych hosts the RRS, but its scoring and norm text could not be retrieved, so interpretation here rests on Treynor, Gonzalez and Nolen-Hoeksema (2003).</t>
        </is>
      </c>
    </row>
    <row r="46">
      <c r="A46" s="20" t="n"/>
      <c r="B46" s="19" t="inlineStr">
        <is>
          <t>FSCRS item 9 sits close to self harm content. Frame it with care, and treat endorsement as a prompt for a conversation rather than a score. The FSCRS carries an author copyright notice with no commercial grant or restriction stated; a short email to the authors settles its use in paid practice.</t>
        </is>
      </c>
    </row>
    <row r="47">
      <c r="A47" s="20" t="n"/>
      <c r="B47" s="19" t="inlineStr">
        <is>
          <t>SCS-SF: items 1, 4, 8, 9, 11 and 12 are reverse scored. Higher total scores mean greater self compassion, so the direction runs opposite to the FSCRS, PCI, PTQ and RRS, where higher means more difficulty.</t>
        </is>
      </c>
    </row>
    <row r="48">
      <c r="A48" s="20" t="n"/>
      <c r="B48" s="19" t="inlineStr">
        <is>
          <t>IPS items 2, 6 and 9 are reverse scored. The PPS has no reversed items. Both are free for research and clinical purposes per the author, with items from a CC BY article.</t>
        </is>
      </c>
    </row>
    <row r="49">
      <c r="A49" s="20" t="n"/>
      <c r="B49" s="19" t="inlineStr">
        <is>
          <t>GCS: the 5 items refer to a goal the client names, so the form must ask for that goal first; no verbatim published instructions were located. Items 1, 2 and 4 are reverse scored. Commercial use may need permission from Howard Klein. The items were corrected against Klein et al. (2001) after an aggregator site listed 2 items from the older 9 item scale.</t>
        </is>
      </c>
    </row>
    <row r="50">
      <c r="A50" s="20" t="n"/>
      <c r="B50" s="19" t="inlineStr">
        <is>
          <t>GADJ (Goal Adjustment Scale, coded GADJ to avoid confusion with Goal Attainment Scaling): 4 disengagement and 6 reengagement items, scored separately; items 2 and 3 are reverse scored. The published article carries no licence statement, and permission should be sought from Carsten Wrosch before paid use.</t>
        </is>
      </c>
    </row>
    <row r="51">
      <c r="A51" s="20" t="n"/>
      <c r="B51" s="19" t="inlineStr">
        <is>
          <t>BPNSFS: copyrighted by the Center for Self-Determination Theory. Academic use is free, but the Center’s terms state it may not be used for any commercial purpose without written permission, and paid coaching counts as commercial. Request a commercial licence through the Center before using it with clients. The 6 subscales of 4 items each are scored separately; satisfaction and frustration are distinct constructs with different links to wellbeing and ill being, so read them as a profile rather than combining them. No items are reverse scored. Reliability figures come from an open academia.edu copy of Chen et al. (2015) and should be checked against the journal version before quoting. It replaces the older 21 item Basic Psychological Need Satisfaction in General Scale, which fitted poorly.</t>
        </is>
      </c>
    </row>
    <row r="52">
      <c r="A52" t="inlineStr">
        <is>
          <t>Open licence instruments (18 October 2026): every item was transcribed from the open access source named in References and then checked word for word by an independent second pass. The verdict for each is in References (Transcription row) and on the instrument tab. Spelling and punctuation follow the source.</t>
        </is>
      </c>
    </row>
    <row r="53">
      <c r="A53" t="inlineStr">
        <is>
          <t>Licence status for the new rows: cleared only where the source is public domain or the rights holder grants use in clinical practice in writing; review where use is limited to research or non commercial purposes, or the statement is second hand. Review rows cannot be uploaded until Charlotte confirms the licence and changes the status.</t>
        </is>
      </c>
    </row>
    <row r="54">
      <c r="A54" t="inlineStr">
        <is>
          <t>PROMIS forms are free for individual clinical use with the copyright line retained, but HealthMeasures has charged platform fees since 2024; confirm the practice portal counts as individual clinical use before clearing. The hub records raw sums; T scores are Sarah's.</t>
        </is>
      </c>
    </row>
    <row r="55">
      <c r="A55" t="inlineStr">
        <is>
          <t>Clinical screeners (PHQ-9, PHQ-2, GAD-7, CES-D, PSWQ, AUDIT-C, CAGE, CUDIT-R, DES-II, RAADS-14, CAPE-42) are scored for Sarah only, with the published threshold as the upper band. PHQ-9 item 9 at 1 or more alerts Sarah on the draft, as DASS-21 items 10, 17 and 21 and FSCRS item 9 already do.</t>
        </is>
      </c>
    </row>
    <row r="56">
      <c r="A56" t="inlineStr">
        <is>
          <t>Not built: BTQ (needs follow up questions per event) and WFIRS-S (needs a not applicable answer excluded from the mean). Held back for Sarah: IPIP-NEO-120 and BFAS (length and personality framing) and the C-SSRS Screener (risk assessment belongs in session, not a portal).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L71"/>
  <sheetViews>
    <sheetView workbookViewId="0">
      <pane ySplit="1" topLeftCell="A2" activePane="bottomLeft" state="frozen"/>
      <selection pane="bottomLeft" activeCell="A1" sqref="A1"/>
    </sheetView>
  </sheetViews>
  <sheetFormatPr baseColWidth="8" defaultRowHeight="15"/>
  <cols>
    <col width="10" customWidth="1" style="17" min="1" max="1"/>
    <col width="10" customWidth="1" style="17" min="2" max="2"/>
    <col width="30" customWidth="1" style="17" min="3" max="3"/>
    <col width="40" customWidth="1" style="17" min="4" max="4"/>
    <col width="14" customWidth="1" style="17" min="5" max="5"/>
    <col width="18" customWidth="1" style="17" min="6" max="6"/>
    <col width="60" customWidth="1" style="17" min="7" max="7"/>
    <col width="16" customWidth="1" style="17" min="8" max="8"/>
    <col width="20" customWidth="1" style="17" min="9" max="9"/>
    <col width="60" customWidth="1" style="17" min="10" max="10"/>
    <col width="8" customWidth="1" style="17" min="11" max="11"/>
    <col width="30" customWidth="1" style="17" min="12" max="12"/>
  </cols>
  <sheetData>
    <row r="1">
      <c r="A1" s="23" t="inlineStr">
        <is>
          <t>Code</t>
        </is>
      </c>
      <c r="B1" s="23" t="inlineStr">
        <is>
          <t>Hub id</t>
        </is>
      </c>
      <c r="C1" s="23" t="inlineStr">
        <is>
          <t>Name shown to clients</t>
        </is>
      </c>
      <c r="D1" s="23" t="inlineStr">
        <is>
          <t>Full instrument name</t>
        </is>
      </c>
      <c r="E1" s="23" t="inlineStr">
        <is>
          <t>Include in hub (Yes / No / Decide)</t>
        </is>
      </c>
      <c r="F1" s="23" t="inlineStr">
        <is>
          <t>Hub licence status (cleared / review / permission / excluded)</t>
        </is>
      </c>
      <c r="G1" s="23" t="inlineStr">
        <is>
          <t>Licence note</t>
        </is>
      </c>
      <c r="H1" s="23" t="inlineStr">
        <is>
          <t>Client sees strengths and focus (Yes / No)</t>
        </is>
      </c>
      <c r="I1" s="23" t="inlineStr">
        <is>
          <t>Flag items for Sarah (item numbers at threshold)</t>
        </is>
      </c>
      <c r="J1" s="23" t="inlineStr">
        <is>
          <t>Instructions shown to the client</t>
        </is>
      </c>
      <c r="K1" s="23" t="inlineStr">
        <is>
          <t>Minutes</t>
        </is>
      </c>
      <c r="L1" s="23" t="inlineStr">
        <is>
          <t>Notes</t>
        </is>
      </c>
    </row>
    <row r="2">
      <c r="A2" s="24" t="inlineStr">
        <is>
          <t>ESQ-R</t>
        </is>
      </c>
      <c r="B2" s="24" t="inlineStr">
        <is>
          <t>esq-r</t>
        </is>
      </c>
      <c r="C2" s="24" t="inlineStr">
        <is>
          <t>Everyday executive skills</t>
        </is>
      </c>
      <c r="D2" s="24" t="inlineStr">
        <is>
          <t>Executive Skills Questionnaire - Revised (ESQ-R)</t>
        </is>
      </c>
      <c r="E2" s="24" t="inlineStr">
        <is>
          <t>Yes</t>
        </is>
      </c>
      <c r="F2" s="24" t="inlineStr">
        <is>
          <t>review</t>
        </is>
      </c>
      <c r="G2" s="24" t="inlineStr">
        <is>
          <t>Strait et al. (2020) scale, free to use; NovoPsych page carries a NovoPsych copyright notice. Confirm with Dr Peg Dawson or the authors before clearing.</t>
        </is>
      </c>
      <c r="H2" s="24" t="inlineStr">
        <is>
          <t>Yes</t>
        </is>
      </c>
      <c r="I2" s="24" t="inlineStr"/>
      <c r="J2" s="24" t="inlineStr">
        <is>
          <t>Read each item and decide how often it's a problem for you.</t>
        </is>
      </c>
      <c r="K2" s="24" t="n">
        <v>5</v>
      </c>
      <c r="L2" s="24" t="inlineStr"/>
    </row>
    <row r="3">
      <c r="A3" s="24" t="inlineStr">
        <is>
          <t>CFI</t>
        </is>
      </c>
      <c r="B3" s="24" t="inlineStr">
        <is>
          <t>cfi</t>
        </is>
      </c>
      <c r="C3" s="24" t="inlineStr">
        <is>
          <t>Thinking flexibly</t>
        </is>
      </c>
      <c r="D3" s="24" t="inlineStr">
        <is>
          <t>Cognitive Flexibility Inventory (CFI)</t>
        </is>
      </c>
      <c r="E3" s="24" t="inlineStr">
        <is>
          <t>Yes</t>
        </is>
      </c>
      <c r="F3" s="24" t="inlineStr">
        <is>
          <t>review</t>
        </is>
      </c>
      <c r="G3" s="24" t="inlineStr">
        <is>
          <t>Dennis and Vander Wal (2010); NovoPsych reproduction carries a NovoPsych copyright notice. Confirm author permission before clearing.</t>
        </is>
      </c>
      <c r="H3" s="24" t="inlineStr">
        <is>
          <t>Yes</t>
        </is>
      </c>
      <c r="I3" s="24" t="inlineStr"/>
      <c r="J3" s="24" t="inlineStr">
        <is>
          <t>Please use the scale below to indicate the extent to which you agree or disagree with the following statements.</t>
        </is>
      </c>
      <c r="K3" s="24" t="n">
        <v>4</v>
      </c>
      <c r="L3" s="24" t="inlineStr"/>
    </row>
    <row r="4">
      <c r="A4" s="24" t="inlineStr">
        <is>
          <t>ASRS</t>
        </is>
      </c>
      <c r="B4" s="24" t="inlineStr">
        <is>
          <t>asrs</t>
        </is>
      </c>
      <c r="C4" s="24" t="inlineStr">
        <is>
          <t>Attention and activity</t>
        </is>
      </c>
      <c r="D4" s="24" t="inlineStr">
        <is>
          <t>Adult ADHD Self-Report Scale (ASRS v1.1)</t>
        </is>
      </c>
      <c r="E4" s="24" t="inlineStr">
        <is>
          <t>Yes</t>
        </is>
      </c>
      <c r="F4" s="24" t="inlineStr">
        <is>
          <t>cleared</t>
        </is>
      </c>
      <c r="G4" s="24" t="inlineStr">
        <is>
          <t>Public domain WHO instrument, freely reproducible for clinical use.</t>
        </is>
      </c>
      <c r="H4" s="24" t="inlineStr">
        <is>
          <t>No</t>
        </is>
      </c>
      <c r="I4" s="24" t="inlineStr"/>
      <c r="J4" s="24" t="inlineStr">
        <is>
          <t>Please answer the questions below, rating yourself on each of the criteria shown. As you answer each question, select the box that best describes how you have felt and conducted yourself over the past 6 months.</t>
        </is>
      </c>
      <c r="K4" s="24" t="n">
        <v>4</v>
      </c>
      <c r="L4" s="24" t="inlineStr">
        <is>
          <t>Also published by the PhenX Toolkit (freely available, permission not required, credited to WHO); the hub items were checked against that copy on 18 October 2026.</t>
        </is>
      </c>
    </row>
    <row r="5">
      <c r="A5" s="24" t="inlineStr">
        <is>
          <t>SKS</t>
        </is>
      </c>
      <c r="B5" s="24" t="inlineStr">
        <is>
          <t>sks</t>
        </is>
      </c>
      <c r="C5" s="24" t="inlineStr">
        <is>
          <t>Knowing your strengths</t>
        </is>
      </c>
      <c r="D5" s="24" t="inlineStr">
        <is>
          <t>Strengths Knowledge Scale</t>
        </is>
      </c>
      <c r="E5" s="24" t="inlineStr">
        <is>
          <t>Yes</t>
        </is>
      </c>
      <c r="F5" s="24" t="inlineStr">
        <is>
          <t>review</t>
        </is>
      </c>
      <c r="G5" s="24" t="inlineStr">
        <is>
          <t>No explicit licence found; CAPP asserts copyright over the scales. Confirm before clearing.</t>
        </is>
      </c>
      <c r="H5" s="24" t="inlineStr">
        <is>
          <t>Yes</t>
        </is>
      </c>
      <c r="I5" s="24" t="inlineStr"/>
      <c r="J5" s="24" t="inlineStr">
        <is>
          <t>Not stated on source</t>
        </is>
      </c>
      <c r="K5" s="24" t="n">
        <v>2</v>
      </c>
      <c r="L5" s="24" t="inlineStr">
        <is>
          <t>No published instruction; the hub shows the item alone.</t>
        </is>
      </c>
    </row>
    <row r="6">
      <c r="A6" s="24" t="inlineStr">
        <is>
          <t>SUS</t>
        </is>
      </c>
      <c r="B6" s="24" t="inlineStr">
        <is>
          <t>sus</t>
        </is>
      </c>
      <c r="C6" s="24" t="inlineStr">
        <is>
          <t>Using your strengths</t>
        </is>
      </c>
      <c r="D6" s="24" t="inlineStr">
        <is>
          <t>Strengths Use Scale</t>
        </is>
      </c>
      <c r="E6" s="24" t="inlineStr">
        <is>
          <t>Yes</t>
        </is>
      </c>
      <c r="F6" s="24" t="inlineStr">
        <is>
          <t>review</t>
        </is>
      </c>
      <c r="G6" s="24" t="inlineStr">
        <is>
          <t>No explicit licence found; CAPP asserts copyright over the scales. Confirm before clearing.</t>
        </is>
      </c>
      <c r="H6" s="24" t="inlineStr">
        <is>
          <t>Yes</t>
        </is>
      </c>
      <c r="I6" s="24" t="inlineStr"/>
      <c r="J6" s="24" t="inlineStr">
        <is>
          <t>The following 14 questions ask about your strengths, that is, the things that you can do well or do best.</t>
        </is>
      </c>
      <c r="K6" s="24" t="n">
        <v>3</v>
      </c>
      <c r="L6" s="24" t="inlineStr"/>
    </row>
    <row r="7">
      <c r="A7" s="24" t="inlineStr">
        <is>
          <t>SSES</t>
        </is>
      </c>
      <c r="B7" s="24" t="inlineStr">
        <is>
          <t>sses</t>
        </is>
      </c>
      <c r="C7" s="24" t="inlineStr">
        <is>
          <t>Confidence in your strengths</t>
        </is>
      </c>
      <c r="D7" s="24" t="inlineStr">
        <is>
          <t>Strengths Self-Efficacy Scale</t>
        </is>
      </c>
      <c r="E7" s="24" t="inlineStr">
        <is>
          <t>Yes</t>
        </is>
      </c>
      <c r="F7" s="24" t="inlineStr">
        <is>
          <t>review</t>
        </is>
      </c>
      <c r="G7" s="24" t="inlineStr">
        <is>
          <t>Distributed free for practitioner use by PositivePsychology.com; no explicit licence from the authors. Confirm before clearing.</t>
        </is>
      </c>
      <c r="H7" s="24" t="inlineStr">
        <is>
          <t>Yes</t>
        </is>
      </c>
      <c r="I7" s="24" t="inlineStr"/>
      <c r="J7" s="24" t="inlineStr">
        <is>
          <t>First, please list your 5 signature strengths below: [space for 5 strengths]. How confident are you in your ability to ....</t>
        </is>
      </c>
      <c r="K7" s="24" t="n">
        <v>3</v>
      </c>
      <c r="L7" s="24" t="inlineStr"/>
    </row>
    <row r="8">
      <c r="A8" s="24" t="inlineStr">
        <is>
          <t>CSES</t>
        </is>
      </c>
      <c r="B8" s="24" t="inlineStr">
        <is>
          <t>cses</t>
        </is>
      </c>
      <c r="C8" s="24" t="inlineStr">
        <is>
          <t>How you see yourself</t>
        </is>
      </c>
      <c r="D8" s="24" t="inlineStr">
        <is>
          <t>Core Self-Evaluations Scale</t>
        </is>
      </c>
      <c r="E8" s="24" t="inlineStr">
        <is>
          <t>Yes</t>
        </is>
      </c>
      <c r="F8" s="24" t="inlineStr">
        <is>
          <t>cleared</t>
        </is>
      </c>
      <c r="G8" s="24" t="inlineStr">
        <is>
          <t>Stated non proprietary and free to use without permission.</t>
        </is>
      </c>
      <c r="H8" s="24" t="inlineStr">
        <is>
          <t>Yes</t>
        </is>
      </c>
      <c r="I8" s="24" t="inlineStr"/>
      <c r="J8" s="24" t="inlineStr">
        <is>
          <t>Not retrieved verbatim from a fetched source; the CSES PDF reproduces the item table and response scale but the source fetched did not include a printed respondent-facing preamble/instruction sentence.</t>
        </is>
      </c>
      <c r="K8" s="24" t="n">
        <v>3</v>
      </c>
      <c r="L8" s="24" t="inlineStr">
        <is>
          <t>No published instruction; the hub shows the item alone.</t>
        </is>
      </c>
    </row>
    <row r="9">
      <c r="A9" s="24" t="inlineStr">
        <is>
          <t>PES</t>
        </is>
      </c>
      <c r="B9" s="24" t="inlineStr">
        <is>
          <t>pes</t>
        </is>
      </c>
      <c r="C9" s="24" t="inlineStr">
        <is>
          <t>Feeling empowered at work</t>
        </is>
      </c>
      <c r="D9" s="24" t="inlineStr">
        <is>
          <t>Psychological Empowerment Scale</t>
        </is>
      </c>
      <c r="E9" s="24" t="inlineStr">
        <is>
          <t>Yes</t>
        </is>
      </c>
      <c r="F9" s="24" t="inlineStr">
        <is>
          <t>cleared</t>
        </is>
      </c>
      <c r="G9" s="24" t="inlineStr">
        <is>
          <t>Hosted freely by the author for research and practice use.</t>
        </is>
      </c>
      <c r="H9" s="24" t="inlineStr">
        <is>
          <t>Yes</t>
        </is>
      </c>
      <c r="I9" s="24" t="inlineStr"/>
      <c r="J9" s="24" t="inlineStr">
        <is>
          <t>Listed below are a number of self-orientations that people may have with regard to their work role. Using the following scale, please indicate the extent to which you agree or disagree that each one describes your self-orientation.</t>
        </is>
      </c>
      <c r="K9" s="24" t="n">
        <v>3</v>
      </c>
      <c r="L9" s="24" t="inlineStr"/>
    </row>
    <row r="10">
      <c r="A10" s="24" t="inlineStr">
        <is>
          <t>DASS-21</t>
        </is>
      </c>
      <c r="B10" s="24" t="inlineStr">
        <is>
          <t>dass-21</t>
        </is>
      </c>
      <c r="C10" s="24" t="inlineStr">
        <is>
          <t>How you have been feeling this week</t>
        </is>
      </c>
      <c r="D10" s="24" t="inlineStr">
        <is>
          <t>Depression Anxiety Stress Scales, 21 item version (DASS-21)</t>
        </is>
      </c>
      <c r="E10" s="24" t="inlineStr">
        <is>
          <t>Yes</t>
        </is>
      </c>
      <c r="F10" s="24" t="inlineStr">
        <is>
          <t>cleared</t>
        </is>
      </c>
      <c r="G10" s="24" t="inlineStr">
        <is>
          <t>Public domain per the official UNSW DASS site.</t>
        </is>
      </c>
      <c r="H10" s="24" t="inlineStr">
        <is>
          <t>No</t>
        </is>
      </c>
      <c r="I10" s="24" t="inlineStr">
        <is>
          <t>10,17,21 at 2</t>
        </is>
      </c>
      <c r="J10" s="24" t="inlineStr">
        <is>
          <t>Please read each statement and choose the answer that shows how much the statement applied to you over the past week. There are no right or wrong answers. Do not spend too much time on any statement.</t>
        </is>
      </c>
      <c r="K10" s="24" t="n">
        <v>4</v>
      </c>
      <c r="L10" s="24" t="inlineStr">
        <is>
          <t>Instructions reworded for the screen ("choose the answer" in place of "circle a number"); otherwise verbatim.</t>
        </is>
      </c>
    </row>
    <row r="11">
      <c r="A11" s="24" t="inlineStr">
        <is>
          <t>PTQ</t>
        </is>
      </c>
      <c r="B11" s="24" t="inlineStr">
        <is>
          <t>ptq</t>
        </is>
      </c>
      <c r="C11" s="24" t="inlineStr">
        <is>
          <t>Repetitive thinking</t>
        </is>
      </c>
      <c r="D11" s="24" t="inlineStr">
        <is>
          <t>Perseverative Thinking Questionnaire</t>
        </is>
      </c>
      <c r="E11" s="24" t="inlineStr">
        <is>
          <t>Yes</t>
        </is>
      </c>
      <c r="F11" s="24" t="inlineStr">
        <is>
          <t>review</t>
        </is>
      </c>
      <c r="G11" s="24" t="inlineStr">
        <is>
          <t>Elsevier copyright on the article; no permission statement for practice use found. Confirm before clearing.</t>
        </is>
      </c>
      <c r="H11" s="24" t="inlineStr">
        <is>
          <t>Yes</t>
        </is>
      </c>
      <c r="I11" s="24" t="inlineStr"/>
      <c r="J11" s="24" t="inlineStr">
        <is>
          <t>In this questionnaire, you will be asked to describe how you typically think about negative experiences or problems. Please read the following statements and rate the extent to which they apply to you when you think about negative experiences or problems.</t>
        </is>
      </c>
      <c r="K11" s="24" t="n">
        <v>4</v>
      </c>
      <c r="L11" s="24" t="inlineStr"/>
    </row>
    <row r="12">
      <c r="A12" s="24" t="inlineStr">
        <is>
          <t>RRS</t>
        </is>
      </c>
      <c r="B12" s="24" t="inlineStr">
        <is>
          <t>rrs</t>
        </is>
      </c>
      <c r="C12" s="24" t="inlineStr">
        <is>
          <t>Responding to low mood</t>
        </is>
      </c>
      <c r="D12" s="24" t="inlineStr">
        <is>
          <t>Ruminative Responses Scale</t>
        </is>
      </c>
      <c r="E12" s="24" t="inlineStr">
        <is>
          <t>Yes</t>
        </is>
      </c>
      <c r="F12" s="24" t="inlineStr">
        <is>
          <t>review</t>
        </is>
      </c>
      <c r="G12" s="24" t="inlineStr">
        <is>
          <t>No explicit licence statement found. Confirm before clearing. Only Brooding and Reflection are scored.</t>
        </is>
      </c>
      <c r="H12" s="24" t="inlineStr">
        <is>
          <t>Yes</t>
        </is>
      </c>
      <c r="I12" s="24" t="inlineStr"/>
      <c r="J12" s="24" t="inlineStr">
        <is>
          <t>Please read each of the items below and indicate whether you almost never, sometimes, often, or almost always think or do each one when you feel down, sad, or depressed. Please indicate what you generally do, not what you think you should do.</t>
        </is>
      </c>
      <c r="K12" s="24" t="n">
        <v>5</v>
      </c>
      <c r="L12" s="24" t="inlineStr"/>
    </row>
    <row r="13">
      <c r="A13" s="24" t="inlineStr">
        <is>
          <t>FSCRS</t>
        </is>
      </c>
      <c r="B13" s="24" t="inlineStr">
        <is>
          <t>fscrs</t>
        </is>
      </c>
      <c r="C13" s="24" t="inlineStr">
        <is>
          <t>How you talk to yourself</t>
        </is>
      </c>
      <c r="D13" s="24" t="inlineStr">
        <is>
          <t>Forms of Self-Criticising/Attacking and Self-Reassuring Scale</t>
        </is>
      </c>
      <c r="E13" s="24" t="inlineStr">
        <is>
          <t>Yes</t>
        </is>
      </c>
      <c r="F13" s="24" t="inlineStr">
        <is>
          <t>review</t>
        </is>
      </c>
      <c r="G13" s="24" t="inlineStr">
        <is>
          <t>Author copyright notice (Gilbert et al., 2004); no explicit practice use grant found. Confirm before clearing.</t>
        </is>
      </c>
      <c r="H13" s="24" t="inlineStr">
        <is>
          <t>Yes</t>
        </is>
      </c>
      <c r="I13" s="24" t="inlineStr">
        <is>
          <t>9 at 1</t>
        </is>
      </c>
      <c r="J13" s="24"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choose the answer that best describes how much each statement is true for you.</t>
        </is>
      </c>
      <c r="K13" s="24" t="n">
        <v>5</v>
      </c>
      <c r="L13" s="24" t="inlineStr">
        <is>
          <t>Instructions reworded for the screen ("choose the answer"); otherwise verbatim.</t>
        </is>
      </c>
    </row>
    <row r="14">
      <c r="A14" s="24" t="inlineStr">
        <is>
          <t>PCI</t>
        </is>
      </c>
      <c r="B14" s="24" t="inlineStr">
        <is>
          <t>pci</t>
        </is>
      </c>
      <c r="C14" s="24" t="inlineStr">
        <is>
          <t>Perfectionistic thoughts</t>
        </is>
      </c>
      <c r="D14" s="24" t="inlineStr">
        <is>
          <t>Perfectionism Cognitions Inventory</t>
        </is>
      </c>
      <c r="E14" s="24" t="inlineStr">
        <is>
          <t>Yes</t>
        </is>
      </c>
      <c r="F14" s="24" t="inlineStr">
        <is>
          <t>review</t>
        </is>
      </c>
      <c r="G14" s="24" t="inlineStr">
        <is>
          <t>No explicit restriction found; Hewitt Lab hosts the document. Confirm before clearing.</t>
        </is>
      </c>
      <c r="H14" s="24" t="inlineStr">
        <is>
          <t>Yes</t>
        </is>
      </c>
      <c r="I14" s="24" t="inlineStr"/>
      <c r="J14" s="24" t="inlineStr">
        <is>
          <t>Listed below are a variety of thoughts about perfectionism that sometimes pop into people's heads. Please read each thought and indicate how frequently, if at all, the thoughts occurred to you over the last week.</t>
        </is>
      </c>
      <c r="K14" s="24" t="n">
        <v>5</v>
      </c>
      <c r="L14" s="24" t="inlineStr"/>
    </row>
    <row r="15">
      <c r="A15" s="24" t="inlineStr">
        <is>
          <t>SCS-SF</t>
        </is>
      </c>
      <c r="B15" s="24" t="inlineStr">
        <is>
          <t>scs-sf</t>
        </is>
      </c>
      <c r="C15" s="24" t="inlineStr">
        <is>
          <t>Self compassion</t>
        </is>
      </c>
      <c r="D15" s="24" t="inlineStr">
        <is>
          <t>Self-Compassion Scale – Short Form</t>
        </is>
      </c>
      <c r="E15" s="24" t="inlineStr">
        <is>
          <t>Yes</t>
        </is>
      </c>
      <c r="F15" s="24" t="inlineStr">
        <is>
          <t>review</t>
        </is>
      </c>
      <c r="G15" s="24" t="inlineStr">
        <is>
          <t>Author permits research use; practice use not addressed. Confirm with Dr Kristin Neff before clearing.</t>
        </is>
      </c>
      <c r="H15" s="24" t="inlineStr">
        <is>
          <t>Yes</t>
        </is>
      </c>
      <c r="I15" s="24" t="inlineStr"/>
      <c r="J15" s="24" t="inlineStr">
        <is>
          <t>Please read each statement carefully before answering. Indicate how often you behave in the stated manner.</t>
        </is>
      </c>
      <c r="K15" s="24" t="n">
        <v>3</v>
      </c>
      <c r="L15" s="24" t="inlineStr"/>
    </row>
    <row r="16">
      <c r="A16" s="24" t="inlineStr">
        <is>
          <t>BPNSFS</t>
        </is>
      </c>
      <c r="B16" s="24" t="inlineStr">
        <is>
          <t>bpnsfs</t>
        </is>
      </c>
      <c r="C16" s="24" t="inlineStr">
        <is>
          <t>What you need to feel at your best</t>
        </is>
      </c>
      <c r="D16" s="24" t="inlineStr">
        <is>
          <t>Basic Psychological Need Satisfaction and Frustration Scale (BPNSFS)</t>
        </is>
      </c>
      <c r="E16" s="24" t="inlineStr">
        <is>
          <t>Decide</t>
        </is>
      </c>
      <c r="F16" s="24" t="inlineStr">
        <is>
          <t>permission</t>
        </is>
      </c>
      <c r="G16" s="24" t="inlineStr">
        <is>
          <t>Copyright Center for Self-Determination Theory; written permission required for commercial use.</t>
        </is>
      </c>
      <c r="H16" s="24" t="inlineStr">
        <is>
          <t>Yes</t>
        </is>
      </c>
      <c r="I16" s="24" t="inlineStr"/>
      <c r="J16" s="24" t="inlineStr">
        <is>
          <t>Below, we ask you about the kind of experiences you actually have in your life. Please read each of the following items carefully. You can choose from 1 to 5 to indicate the degree to which the statement is true for you at this point in your life.</t>
        </is>
      </c>
      <c r="K16" s="24" t="n">
        <v>5</v>
      </c>
      <c r="L16" s="24" t="inlineStr"/>
    </row>
    <row r="17">
      <c r="A17" s="24" t="inlineStr">
        <is>
          <t>PPS</t>
        </is>
      </c>
      <c r="B17" s="24" t="inlineStr">
        <is>
          <t>pps</t>
        </is>
      </c>
      <c r="C17" s="24" t="inlineStr">
        <is>
          <t>Putting things off</t>
        </is>
      </c>
      <c r="D17" s="24" t="inlineStr">
        <is>
          <t>Pure Procrastination Scale</t>
        </is>
      </c>
      <c r="E17" s="24" t="inlineStr">
        <is>
          <t>Yes</t>
        </is>
      </c>
      <c r="F17" s="24" t="inlineStr">
        <is>
          <t>cleared</t>
        </is>
      </c>
      <c r="G17" s="24" t="inlineStr">
        <is>
          <t>Items published under CC BY (Svartdal and Steel, 2017).</t>
        </is>
      </c>
      <c r="H17" s="24" t="inlineStr">
        <is>
          <t>Yes</t>
        </is>
      </c>
      <c r="I17" s="24" t="inlineStr"/>
      <c r="J17" s="24" t="inlineStr">
        <is>
          <t>Not stated on source</t>
        </is>
      </c>
      <c r="K17" s="24" t="n">
        <v>3</v>
      </c>
      <c r="L17" s="24" t="inlineStr">
        <is>
          <t>No published instruction; the hub shows the item alone.</t>
        </is>
      </c>
    </row>
    <row r="18">
      <c r="A18" s="24" t="inlineStr">
        <is>
          <t>IPS</t>
        </is>
      </c>
      <c r="B18" s="24" t="inlineStr">
        <is>
          <t>ips</t>
        </is>
      </c>
      <c r="C18" s="24" t="inlineStr">
        <is>
          <t>Delaying despite good intentions</t>
        </is>
      </c>
      <c r="D18" s="24" t="inlineStr">
        <is>
          <t>Irrational Procrastination Scale</t>
        </is>
      </c>
      <c r="E18" s="24" t="inlineStr">
        <is>
          <t>Yes</t>
        </is>
      </c>
      <c r="F18" s="24" t="inlineStr">
        <is>
          <t>cleared</t>
        </is>
      </c>
      <c r="G18" s="24" t="inlineStr">
        <is>
          <t>Items published under CC BY (Svartdal and Steel, 2017).</t>
        </is>
      </c>
      <c r="H18" s="24" t="inlineStr">
        <is>
          <t>Yes</t>
        </is>
      </c>
      <c r="I18" s="24" t="inlineStr"/>
      <c r="J18" s="24" t="inlineStr">
        <is>
          <t>Not stated on source</t>
        </is>
      </c>
      <c r="K18" s="24" t="n">
        <v>2</v>
      </c>
      <c r="L18" s="24" t="inlineStr">
        <is>
          <t>No published instruction; the hub shows the item alone.</t>
        </is>
      </c>
    </row>
    <row r="19">
      <c r="A19" s="24" t="inlineStr">
        <is>
          <t>GSE</t>
        </is>
      </c>
      <c r="B19" s="24" t="inlineStr">
        <is>
          <t>gse</t>
        </is>
      </c>
      <c r="C19" s="24" t="inlineStr">
        <is>
          <t>Confidence in handling challenges</t>
        </is>
      </c>
      <c r="D19" s="24" t="inlineStr">
        <is>
          <t>General Self-Efficacy Scale</t>
        </is>
      </c>
      <c r="E19" s="24" t="inlineStr">
        <is>
          <t>Yes</t>
        </is>
      </c>
      <c r="F19" s="24" t="inlineStr">
        <is>
          <t>cleared</t>
        </is>
      </c>
      <c r="G19" s="24" t="inlineStr">
        <is>
          <t>Authors grant permission to use and reproduce.</t>
        </is>
      </c>
      <c r="H19" s="24" t="inlineStr">
        <is>
          <t>Yes</t>
        </is>
      </c>
      <c r="I19" s="24" t="inlineStr"/>
      <c r="J19" s="24" t="inlineStr">
        <is>
          <t>Not stated on source</t>
        </is>
      </c>
      <c r="K19" s="24" t="n">
        <v>2</v>
      </c>
      <c r="L19" s="24" t="inlineStr">
        <is>
          <t>No published instruction; the hub shows the item alone.</t>
        </is>
      </c>
    </row>
    <row r="20">
      <c r="A20" s="24" t="inlineStr">
        <is>
          <t>GCS</t>
        </is>
      </c>
      <c r="B20" s="24" t="inlineStr">
        <is>
          <t>gcs</t>
        </is>
      </c>
      <c r="C20" s="24" t="inlineStr">
        <is>
          <t>Commitment to your goal</t>
        </is>
      </c>
      <c r="D20" s="24" t="inlineStr">
        <is>
          <t>Goal Commitment Scale (5-item unidimensional version)</t>
        </is>
      </c>
      <c r="E20" s="24" t="inlineStr">
        <is>
          <t>Decide</t>
        </is>
      </c>
      <c r="F20" s="24" t="inlineStr">
        <is>
          <t>permission</t>
        </is>
      </c>
      <c r="G20" s="24" t="inlineStr">
        <is>
          <t>No licence statement found; paywalled Elsevier article. Confirm before clearing. The form must ask the client to name a goal first.</t>
        </is>
      </c>
      <c r="H20" s="24" t="inlineStr">
        <is>
          <t>Yes</t>
        </is>
      </c>
      <c r="I20" s="24" t="inlineStr"/>
      <c r="J20" s="24" t="inlineStr">
        <is>
          <t>Think of the main goal you are working on with Sarah. Answer each statement about that goal.</t>
        </is>
      </c>
      <c r="K20" s="24" t="n">
        <v>2</v>
      </c>
      <c r="L20" s="24" t="inlineStr">
        <is>
          <t>No verbatim published instructions exist. Draft wording for Sarah; the hub does not yet ask the client to type the goal.</t>
        </is>
      </c>
    </row>
    <row r="21">
      <c r="A21" s="24" t="inlineStr">
        <is>
          <t>GADJ</t>
        </is>
      </c>
      <c r="B21" s="24" t="inlineStr">
        <is>
          <t>gadj</t>
        </is>
      </c>
      <c r="C21" s="24" t="inlineStr">
        <is>
          <t>Adjusting your goals</t>
        </is>
      </c>
      <c r="D21" s="24" t="inlineStr">
        <is>
          <t>Goal Adjustment Scale</t>
        </is>
      </c>
      <c r="E21" s="24" t="inlineStr">
        <is>
          <t>Decide</t>
        </is>
      </c>
      <c r="F21" s="24" t="inlineStr">
        <is>
          <t>permission</t>
        </is>
      </c>
      <c r="G21" s="24" t="inlineStr">
        <is>
          <t>Society for Personality and Social Psychology copyright; no permission statement found. Confirm before clearing.</t>
        </is>
      </c>
      <c r="H21" s="24" t="inlineStr">
        <is>
          <t>Yes</t>
        </is>
      </c>
      <c r="I21" s="24" t="inlineStr"/>
      <c r="J21" s="24"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K21" s="24" t="n">
        <v>3</v>
      </c>
      <c r="L21" s="24" t="inlineStr"/>
    </row>
    <row r="22">
      <c r="A22" t="inlineStr">
        <is>
          <t>ADEXI</t>
        </is>
      </c>
      <c r="B22" t="inlineStr">
        <is>
          <t>adexi</t>
        </is>
      </c>
      <c r="C22" t="inlineStr">
        <is>
          <t>Working memory and self control day to day</t>
        </is>
      </c>
      <c r="D22" t="inlineStr">
        <is>
          <t>Adult Executive Functioning Inventory</t>
        </is>
      </c>
      <c r="E22" t="inlineStr">
        <is>
          <t>Yes</t>
        </is>
      </c>
      <c r="F22" t="inlineStr">
        <is>
          <t>cleared</t>
        </is>
      </c>
      <c r="G22" t="inlineStr">
        <is>
          <t>Authors state the ADEXI is freely available for both researchers and clinicians (chexi.se).</t>
        </is>
      </c>
      <c r="H22" t="inlineStr">
        <is>
          <t>Yes</t>
        </is>
      </c>
      <c r="J22" t="inlineStr">
        <is>
          <t>Below you will find a number of statements. Please circle a number to the right of each statement to indicate how well that statement describes how you are as a person. People that you know might feel differently about you – we want to know what you think about yourself. Try to answer as honestly as possible.</t>
        </is>
      </c>
      <c r="K22" t="n">
        <v>3</v>
      </c>
    </row>
    <row r="23">
      <c r="A23" t="inlineStr">
        <is>
          <t>AMS-C</t>
        </is>
      </c>
      <c r="B23" t="inlineStr">
        <is>
          <t>ams-c</t>
        </is>
      </c>
      <c r="C23" t="inlineStr">
        <is>
          <t>What motivates your study</t>
        </is>
      </c>
      <c r="D23" t="inlineStr">
        <is>
          <t>Academic Motivation Scale (College version, AMS-C 28)</t>
        </is>
      </c>
      <c r="E23" t="inlineStr">
        <is>
          <t>Decide</t>
        </is>
      </c>
      <c r="F23" t="inlineStr">
        <is>
          <t>cleared</t>
        </is>
      </c>
      <c r="G23" t="inlineStr">
        <is>
          <t>Form footer: to use this scale you require only to mention the complete reference. Written for college and university students; decide whether Sarah will use it with student clients.</t>
        </is>
      </c>
      <c r="H23" t="inlineStr">
        <is>
          <t>Yes</t>
        </is>
      </c>
      <c r="J23" t="inlineStr">
        <is>
          <t>WHY DO YOU GO TO COLLEGE ? Using the scale below, indicate to what extent each of the following items presently corresponds to one of the reasons why you go to college.</t>
        </is>
      </c>
      <c r="K23" t="n">
        <v>7</v>
      </c>
      <c r="L23" t="inlineStr">
        <is>
          <t>College version (AMS-C 28). Only relevant to tertiary student clients.</t>
        </is>
      </c>
    </row>
    <row r="24">
      <c r="A24" t="inlineStr">
        <is>
          <t>APS-R</t>
        </is>
      </c>
      <c r="B24" t="inlineStr">
        <is>
          <t>aps-r</t>
        </is>
      </c>
      <c r="C24" t="inlineStr">
        <is>
          <t>Standards and self judgement</t>
        </is>
      </c>
      <c r="D24" t="inlineStr">
        <is>
          <t>Almost Perfect Scale Revised</t>
        </is>
      </c>
      <c r="E24" t="inlineStr">
        <is>
          <t>Yes</t>
        </is>
      </c>
      <c r="F24" t="inlineStr">
        <is>
          <t>cleared</t>
        </is>
      </c>
      <c r="G24" t="inlineStr">
        <is>
          <t>Rice lab: no permission needed to use or translate the scale; cite properly. The older PDF note (research only) is superseded by the lab statement; both are quoted in the codebook.</t>
        </is>
      </c>
      <c r="H24" t="inlineStr">
        <is>
          <t>Yes</t>
        </is>
      </c>
      <c r="J24" t="inlineStr">
        <is>
          <t>The following items are designed to measure attitudes people have toward themselves, their performance, and toward others. There are no right or wrong answers. Please respond to all of the items. Use your first impression and do not spend too much time on individual items in responding. Respond to each of the items using the scale below to describe your degree of agreement with each item. Circle the appropriate rating for each item.</t>
        </is>
      </c>
      <c r="K24" t="n">
        <v>5</v>
      </c>
    </row>
    <row r="25">
      <c r="A25" t="inlineStr">
        <is>
          <t>AUDIT-C</t>
        </is>
      </c>
      <c r="B25" t="inlineStr">
        <is>
          <t>audit-c</t>
        </is>
      </c>
      <c r="C25" t="inlineStr">
        <is>
          <t>Alcohol use</t>
        </is>
      </c>
      <c r="D25" t="inlineStr">
        <is>
          <t>AUDIT Consumption</t>
        </is>
      </c>
      <c r="E25" t="inlineStr">
        <is>
          <t>Yes</t>
        </is>
      </c>
      <c r="F25" t="inlineStr">
        <is>
          <t>cleared</t>
        </is>
      </c>
      <c r="G25" t="inlineStr">
        <is>
          <t>Public domain (SAMHSA, WHO AUDIT).</t>
        </is>
      </c>
      <c r="H25" t="inlineStr">
        <is>
          <t>No</t>
        </is>
      </c>
      <c r="J25" t="inlineStr">
        <is>
          <t>Please choose the answer that is correct for you.</t>
        </is>
      </c>
      <c r="K25" t="n">
        <v>1</v>
      </c>
      <c r="L25" t="inlineStr">
        <is>
          <t>Screener, scored for Sarah only. Positive screen 4 or more for men and 3 or more for women; the band uses 4. WHO wording for the answer options, as documented in the codebook.</t>
        </is>
      </c>
    </row>
    <row r="26">
      <c r="A26" t="inlineStr">
        <is>
          <t>BIS-11</t>
        </is>
      </c>
      <c r="B26" t="inlineStr">
        <is>
          <t>bis-11</t>
        </is>
      </c>
      <c r="C26" t="inlineStr">
        <is>
          <t>Acting on impulse</t>
        </is>
      </c>
      <c r="D26" t="inlineStr">
        <is>
          <t>Barratt Impulsiveness Scale, version 11</t>
        </is>
      </c>
      <c r="E26" t="inlineStr">
        <is>
          <t>Yes</t>
        </is>
      </c>
      <c r="F26" t="inlineStr">
        <is>
          <t>review</t>
        </is>
      </c>
      <c r="G26" t="inlineStr">
        <is>
          <t>Secondary sources state the BIS-11 is free for research and clinical use with attribution, but the official page (impulsivity.org) carries a copyright footer and no written grant was found. Confirm before clearing.</t>
        </is>
      </c>
      <c r="H26" t="inlineStr">
        <is>
          <t>Yes</t>
        </is>
      </c>
      <c r="J26" t="inlineStr">
        <is>
          <t>People differ in the ways they act and think in different situations. This is a test to measure some of the ways in which you act and think. Read each statement and select how often this applies to you. Do not spend too much time on any statement. Answer quickly and honestly.</t>
        </is>
      </c>
      <c r="K26" t="n">
        <v>10</v>
      </c>
      <c r="L26" t="inlineStr">
        <is>
          <t>Second order factors are scored for clients; the 6 first order factors are in Structure and Subscales for Sarah.</t>
        </is>
      </c>
    </row>
    <row r="27">
      <c r="A27" t="inlineStr">
        <is>
          <t>BIS-BRIEF</t>
        </is>
      </c>
      <c r="B27" t="inlineStr">
        <is>
          <t>bis-brief</t>
        </is>
      </c>
      <c r="C27" t="inlineStr">
        <is>
          <t>Acting on impulse (short)</t>
        </is>
      </c>
      <c r="D27" t="inlineStr">
        <is>
          <t>Barratt Impulsiveness Scale, Brief</t>
        </is>
      </c>
      <c r="E27" t="inlineStr">
        <is>
          <t>Yes</t>
        </is>
      </c>
      <c r="F27" t="inlineStr">
        <is>
          <t>review</t>
        </is>
      </c>
      <c r="G27" t="inlineStr">
        <is>
          <t>No availability statement in the article; items are a subset of the freely distributed BIS-11. Confirm with the corresponding author before clearing.</t>
        </is>
      </c>
      <c r="H27" t="inlineStr">
        <is>
          <t>Yes</t>
        </is>
      </c>
      <c r="J27" t="inlineStr">
        <is>
          <t>Read each statement and select how often this applies to you.</t>
        </is>
      </c>
      <c r="K27" t="n">
        <v>2</v>
      </c>
      <c r="L27" t="inlineStr">
        <is>
          <t>Reverse keying follows the parent BIS-11.</t>
        </is>
      </c>
    </row>
    <row r="28">
      <c r="A28" t="inlineStr">
        <is>
          <t>BTQ</t>
        </is>
      </c>
      <c r="B28" t="inlineStr">
        <is>
          <t>btq</t>
        </is>
      </c>
      <c r="C28" t="inlineStr">
        <is>
          <t>Stressful life events</t>
        </is>
      </c>
      <c r="D28" t="inlineStr">
        <is>
          <t>Brief Trauma Questionnaire</t>
        </is>
      </c>
      <c r="E28" t="inlineStr">
        <is>
          <t>No</t>
        </is>
      </c>
      <c r="F28" t="inlineStr">
        <is>
          <t>cleared</t>
        </is>
      </c>
      <c r="G28" t="inlineStr">
        <is>
          <t>National Center for PTSD instrument, no fee or permission step.</t>
        </is>
      </c>
      <c r="H28" t="inlineStr">
        <is>
          <t>No</t>
        </is>
      </c>
      <c r="J28" t="inlineStr">
        <is>
          <t>The following questions ask about events that may be extraordinarily stressful or disturbing for almost everyone. Please circle "Yes" or "No" to report what has happened to you. If you answer "Yes" for an event, please answer any additional questions that are listed on the right side of the page to report: (1) whether you thought your life was in danger or you might be seriously injured; and (2) whether you were seriously injured. If you answer "No" for an event, go on to the next event.</t>
        </is>
      </c>
      <c r="K28" t="n">
        <v>5</v>
      </c>
      <c r="L28" t="inlineStr">
        <is>
          <t>Not buildable in the hub as it stands: each event has life threat and serious injury follow up questions that decide a positive exposure. Items kept in the codebook for Sarah to administer in session.</t>
        </is>
      </c>
    </row>
    <row r="29">
      <c r="A29" t="inlineStr">
        <is>
          <t>CAGE</t>
        </is>
      </c>
      <c r="B29" t="inlineStr">
        <is>
          <t>cage</t>
        </is>
      </c>
      <c r="C29" t="inlineStr">
        <is>
          <t>Alcohol use (4 questions)</t>
        </is>
      </c>
      <c r="D29" t="inlineStr">
        <is>
          <t>CAGE Questionnaire</t>
        </is>
      </c>
      <c r="E29" t="inlineStr">
        <is>
          <t>Yes</t>
        </is>
      </c>
      <c r="F29" t="inlineStr">
        <is>
          <t>cleared</t>
        </is>
      </c>
      <c r="G29" t="inlineStr">
        <is>
          <t>Public domain (Ewing, 1984, encourages widespread use).</t>
        </is>
      </c>
      <c r="H29" t="inlineStr">
        <is>
          <t>No</t>
        </is>
      </c>
      <c r="J29" t="inlineStr">
        <is>
          <t>Ask your patients these four questions and use the scoring method described below to determine if substance abuse exists and needs to be addressed.</t>
        </is>
      </c>
      <c r="K29" t="n">
        <v>1</v>
      </c>
      <c r="L29" t="inlineStr">
        <is>
          <t>Screener, scored for Sarah only. 2 or more is clinically significant.</t>
        </is>
      </c>
    </row>
    <row r="30">
      <c r="A30" t="inlineStr">
        <is>
          <t>CAPE-42</t>
        </is>
      </c>
      <c r="B30" t="inlineStr">
        <is>
          <t>cape-42</t>
        </is>
      </c>
      <c r="C30" t="inlineStr">
        <is>
          <t>Unusual experiences</t>
        </is>
      </c>
      <c r="D30" t="inlineStr">
        <is>
          <t>Community Assessment of Psychic Experiences</t>
        </is>
      </c>
      <c r="E30" t="inlineStr">
        <is>
          <t>Decide</t>
        </is>
      </c>
      <c r="F30" t="inlineStr">
        <is>
          <t>cleared</t>
        </is>
      </c>
      <c r="G30" t="inlineStr">
        <is>
          <t>Public domain freeware (van Os, personal communication to CamCOPS).</t>
        </is>
      </c>
      <c r="H30" t="inlineStr">
        <is>
          <t>No</t>
        </is>
      </c>
      <c r="J30" t="inlineStr">
        <is>
          <t>Not reproduced in the CamCOPS string file beyond the distress stem "Please indicate how distressed you are by this experience:". The printed CAPE-42 asks respondents to rate how often they have had each experience, then, if the experience occurs at least sometimes, how distressed they are by it.</t>
        </is>
      </c>
      <c r="K30" t="n">
        <v>15</v>
      </c>
      <c r="L30" t="inlineStr">
        <is>
          <t>Only the 42 frequency items are reproduced; the paired distress items are not. Dimension membership from the CamCOPS task source. Sarah to decide whether a frequency only CAPE is worth including.</t>
        </is>
      </c>
    </row>
    <row r="31">
      <c r="A31" t="inlineStr">
        <is>
          <t>CBI</t>
        </is>
      </c>
      <c r="B31" t="inlineStr">
        <is>
          <t>cbi</t>
        </is>
      </c>
      <c r="C31" t="inlineStr">
        <is>
          <t>Burnout</t>
        </is>
      </c>
      <c r="D31" t="inlineStr">
        <is>
          <t>Copenhagen Burnout Inventory</t>
        </is>
      </c>
      <c r="E31" t="inlineStr">
        <is>
          <t>Yes</t>
        </is>
      </c>
      <c r="F31" t="inlineStr">
        <is>
          <t>cleared</t>
        </is>
      </c>
      <c r="G31" t="inlineStr">
        <is>
          <t>NFA: may be used freely for non commercial and commercial purposes provided the source is cited (Borritz et al., 2006).</t>
        </is>
      </c>
      <c r="H31" t="inlineStr">
        <is>
          <t>Yes</t>
        </is>
      </c>
      <c r="J31" t="inlineStr">
        <is>
          <t>Please choose the answer that fits best for you.</t>
        </is>
      </c>
      <c r="K31" t="n">
        <v>5</v>
      </c>
      <c r="L31" t="inlineStr">
        <is>
          <t>Scores run 0 to 100. Bands: 25 or below strength, 26 to 49 typical, 50 and above focus (Kristensen et al. treat 50 to 74 as moderate and 75 and above as high). Client related items ask about "clients"; adapt the word for the client's work only with the authors' wording guidance.</t>
        </is>
      </c>
    </row>
    <row r="32">
      <c r="A32" t="inlineStr">
        <is>
          <t>CES-D</t>
        </is>
      </c>
      <c r="B32" t="inlineStr">
        <is>
          <t>ces-d</t>
        </is>
      </c>
      <c r="C32" t="inlineStr">
        <is>
          <t>How you have been feeling this week</t>
        </is>
      </c>
      <c r="D32" t="inlineStr">
        <is>
          <t>Center for Epidemiologic Studies Depression Scale</t>
        </is>
      </c>
      <c r="E32" t="inlineStr">
        <is>
          <t>Yes</t>
        </is>
      </c>
      <c r="F32" t="inlineStr">
        <is>
          <t>cleared</t>
        </is>
      </c>
      <c r="G32" t="inlineStr">
        <is>
          <t>Public domain NIMH instrument; free to use without permission.</t>
        </is>
      </c>
      <c r="H32" t="inlineStr">
        <is>
          <t>No</t>
        </is>
      </c>
      <c r="J32" t="inlineStr">
        <is>
          <t>Below is a list of the ways you might have felt or behaved. Please tell me how often you have felt this way during the past week.</t>
        </is>
      </c>
      <c r="K32" t="n">
        <v>3</v>
      </c>
      <c r="L32" t="inlineStr">
        <is>
          <t>Screener, scored for Sarah only. 16 or more is the conventional cut off. The DASS-21 is the default distress screener; use the CES-D where a depression specific measure is wanted.</t>
        </is>
      </c>
    </row>
    <row r="33">
      <c r="A33" t="inlineStr">
        <is>
          <t>CFC-14</t>
        </is>
      </c>
      <c r="B33" t="inlineStr">
        <is>
          <t>cfc-14</t>
        </is>
      </c>
      <c r="C33" t="inlineStr">
        <is>
          <t>Thinking about the future</t>
        </is>
      </c>
      <c r="D33" t="inlineStr">
        <is>
          <t>Consideration of Future Consequences Scale, 14 item</t>
        </is>
      </c>
      <c r="E33" t="inlineStr">
        <is>
          <t>Yes</t>
        </is>
      </c>
      <c r="F33" t="inlineStr">
        <is>
          <t>review</t>
        </is>
      </c>
      <c r="G33" t="inlineStr">
        <is>
          <t>No blanket licence; items published in Joireman et al. (2012) and reused freely in research with citation. Confirm with the authors before clearing.</t>
        </is>
      </c>
      <c r="H33" t="inlineStr">
        <is>
          <t>Yes</t>
        </is>
      </c>
      <c r="J33" t="inlineStr">
        <is>
          <t>Please indicate how characteristic each statement is of you.</t>
        </is>
      </c>
      <c r="K33" t="n">
        <v>3</v>
      </c>
      <c r="L33" t="inlineStr">
        <is>
          <t>Two factor scoring (Joireman et al., 2012). The 7 Immediate items are not reversed because the hub does not score the 14 item total.</t>
        </is>
      </c>
    </row>
    <row r="34">
      <c r="A34" t="inlineStr">
        <is>
          <t>CFQ</t>
        </is>
      </c>
      <c r="B34" t="inlineStr">
        <is>
          <t>cfq</t>
        </is>
      </c>
      <c r="C34" t="inlineStr">
        <is>
          <t>Everyday slips and lapses</t>
        </is>
      </c>
      <c r="D34" t="inlineStr">
        <is>
          <t>Cognitive Failures Questionnaire</t>
        </is>
      </c>
      <c r="E34" t="inlineStr">
        <is>
          <t>Yes</t>
        </is>
      </c>
      <c r="F34" t="inlineStr">
        <is>
          <t>review</t>
        </is>
      </c>
      <c r="G34" t="inlineStr">
        <is>
          <t>Salford PsyTech lists no copyright restrictions and PsyToolkit reproduces it for research with acknowledgement; the 1982 article carries publisher copyright. Confirm before clearing.</t>
        </is>
      </c>
      <c r="H34" t="inlineStr">
        <is>
          <t>Yes</t>
        </is>
      </c>
      <c r="J34" t="inlineStr">
        <is>
          <t>The following questions are about minor mistakes which everyone makes from time to time, but some of which happen more often than others. We want to know how often these things have happened to you in the last six months.</t>
        </is>
      </c>
      <c r="K34" t="n">
        <v>5</v>
      </c>
    </row>
    <row r="35">
      <c r="A35" t="inlineStr">
        <is>
          <t>COHS</t>
        </is>
      </c>
      <c r="B35" t="inlineStr">
        <is>
          <t>cohs</t>
        </is>
      </c>
      <c r="C35" t="inlineStr">
        <is>
          <t>Habits and routines</t>
        </is>
      </c>
      <c r="D35" t="inlineStr">
        <is>
          <t>Creature of Habit Scale</t>
        </is>
      </c>
      <c r="E35" t="inlineStr">
        <is>
          <t>Yes</t>
        </is>
      </c>
      <c r="F35" t="inlineStr">
        <is>
          <t>cleared</t>
        </is>
      </c>
      <c r="G35" t="inlineStr">
        <is>
          <t>Article published under CC BY 4.0 (Ersche et al., 2017).</t>
        </is>
      </c>
      <c r="H35" t="inlineStr">
        <is>
          <t>Yes</t>
        </is>
      </c>
      <c r="J35" t="inlineStr">
        <is>
          <t>Please indicate how much you agree with each statement.</t>
        </is>
      </c>
      <c r="K35" t="n">
        <v>5</v>
      </c>
      <c r="L35" t="inlineStr">
        <is>
          <t>Neither scale is a difficulty; scored as numbers for Sarah to discuss.</t>
        </is>
      </c>
    </row>
    <row r="36">
      <c r="A36" t="inlineStr">
        <is>
          <t>CPC-12</t>
        </is>
      </c>
      <c r="B36" t="inlineStr">
        <is>
          <t>cpc-12</t>
        </is>
      </c>
      <c r="C36" t="inlineStr">
        <is>
          <t>Psychological capital</t>
        </is>
      </c>
      <c r="D36" t="inlineStr">
        <is>
          <t>Compound PsyCap Scale</t>
        </is>
      </c>
      <c r="E36" t="inlineStr">
        <is>
          <t>Yes</t>
        </is>
      </c>
      <c r="F36" t="inlineStr">
        <is>
          <t>cleared</t>
        </is>
      </c>
      <c r="G36" t="inlineStr">
        <is>
          <t>Items published under CC BY (Lorenz et al., 2016; Dudasova et al., 2021). Confirm the 3 resilience items come from the CC BY revised article as noted in the codebook.</t>
        </is>
      </c>
      <c r="H36" t="inlineStr">
        <is>
          <t>Yes</t>
        </is>
      </c>
      <c r="J36" t="inlineStr">
        <is>
          <t>Please indicate how much you agree with each statement.</t>
        </is>
      </c>
      <c r="K36" t="n">
        <v>3</v>
      </c>
      <c r="L36" t="inlineStr">
        <is>
          <t>Hope, optimism and self efficacy items from the original; resilience items from the CPC-12R.</t>
        </is>
      </c>
    </row>
    <row r="37">
      <c r="A37" t="inlineStr">
        <is>
          <t>CUDIT-R</t>
        </is>
      </c>
      <c r="B37" t="inlineStr">
        <is>
          <t>cudit-r</t>
        </is>
      </c>
      <c r="C37" t="inlineStr">
        <is>
          <t>Cannabis use</t>
        </is>
      </c>
      <c r="D37" t="inlineStr">
        <is>
          <t>Cannabis Use Disorders Identification Test, Revised</t>
        </is>
      </c>
      <c r="E37" t="inlineStr">
        <is>
          <t>Yes</t>
        </is>
      </c>
      <c r="F37" t="inlineStr">
        <is>
          <t>cleared</t>
        </is>
      </c>
      <c r="G37" t="inlineStr">
        <is>
          <t>PhenX Toolkit: freely available, permission not required for use. Developed in New Zealand (Adamson et al., 2010).</t>
        </is>
      </c>
      <c r="H37" t="inlineStr">
        <is>
          <t>No</t>
        </is>
      </c>
      <c r="J37" t="inlineStr">
        <is>
          <t>If you have used any cannabis over the past six months, please answer the following questions about your cannabis use.</t>
        </is>
      </c>
      <c r="K37" t="n">
        <v>2</v>
      </c>
      <c r="L37" t="inlineStr">
        <is>
          <t>Screener, scored for Sarah only. 8 or more hazardous use, 12 or more possible cannabis use disorder. The yes or no gate question is asked in the instructions.</t>
        </is>
      </c>
    </row>
    <row r="38">
      <c r="A38" t="inlineStr">
        <is>
          <t>DES-II</t>
        </is>
      </c>
      <c r="B38" t="inlineStr">
        <is>
          <t>des-ii</t>
        </is>
      </c>
      <c r="C38" t="inlineStr">
        <is>
          <t>Everyday experiences of attention and memory</t>
        </is>
      </c>
      <c r="D38" t="inlineStr">
        <is>
          <t>Dissociative Experiences Scale II</t>
        </is>
      </c>
      <c r="E38" t="inlineStr">
        <is>
          <t>Yes</t>
        </is>
      </c>
      <c r="F38" t="inlineStr">
        <is>
          <t>cleared</t>
        </is>
      </c>
      <c r="G38" t="inlineStr">
        <is>
          <t>Authors Carlson and Putnam permit copying, distribution and reproduction for research or clinical use.</t>
        </is>
      </c>
      <c r="H38" t="inlineStr">
        <is>
          <t>No</t>
        </is>
      </c>
      <c r="J38" t="inlineStr">
        <is>
          <t>This questionnaire asks about experiences that you may have in your daily life. We are interested in how often you have these experiences. It is important, however, that your answers show how often these experiences happen to you when you are not under the influence of alcohol or drugs. To answer the questions, please determine to what degree each experience described in the question applies to you, and circle the number to show what percentage of the time you have the experience. For example: 0% (Never) 10 20 30 40 50 60 70 80 90 100% (Always)</t>
        </is>
      </c>
      <c r="K38" t="n">
        <v>10</v>
      </c>
      <c r="L38" t="inlineStr">
        <is>
          <t>Scored for Sarah only; mean of the 28 percentages, 30 or above indicates high dissociation. Subscales and the taxon are in Structure and Subscales.</t>
        </is>
      </c>
    </row>
    <row r="39">
      <c r="A39" t="inlineStr">
        <is>
          <t>FMPS-B</t>
        </is>
      </c>
      <c r="B39" t="inlineStr">
        <is>
          <t>fmps-b</t>
        </is>
      </c>
      <c r="C39" t="inlineStr">
        <is>
          <t>Perfectionism (short)</t>
        </is>
      </c>
      <c r="D39" t="inlineStr">
        <is>
          <t>Frost Multidimensional Perfectionism Scale, Brief</t>
        </is>
      </c>
      <c r="E39" t="inlineStr">
        <is>
          <t>Yes</t>
        </is>
      </c>
      <c r="F39" t="inlineStr">
        <is>
          <t>cleared</t>
        </is>
      </c>
      <c r="G39" t="inlineStr">
        <is>
          <t>Items published in a CC BY article (Woodfin, Binder and Molde, 2020).</t>
        </is>
      </c>
      <c r="H39" t="inlineStr">
        <is>
          <t>Yes</t>
        </is>
      </c>
      <c r="J39" t="inlineStr">
        <is>
          <t>Please indicate how much you agree with each statement.</t>
        </is>
      </c>
      <c r="K39" t="n">
        <v>2</v>
      </c>
    </row>
    <row r="40">
      <c r="A40" t="inlineStr">
        <is>
          <t>GAD-7</t>
        </is>
      </c>
      <c r="B40" t="inlineStr">
        <is>
          <t>gad-7</t>
        </is>
      </c>
      <c r="C40" t="inlineStr">
        <is>
          <t>Worry and anxiety over the last 2 weeks</t>
        </is>
      </c>
      <c r="D40" t="inlineStr">
        <is>
          <t>Generalized Anxiety Disorder 7</t>
        </is>
      </c>
      <c r="E40" t="inlineStr">
        <is>
          <t>Yes</t>
        </is>
      </c>
      <c r="F40" t="inlineStr">
        <is>
          <t>cleared</t>
        </is>
      </c>
      <c r="G40" t="inlineStr">
        <is>
          <t>Pfizer: no permission required to reproduce, translate, display or distribute.</t>
        </is>
      </c>
      <c r="H40" t="inlineStr">
        <is>
          <t>No</t>
        </is>
      </c>
      <c r="J40" t="inlineStr">
        <is>
          <t>Over the last 2 weeks, how often have you been bothered by the following problems?</t>
        </is>
      </c>
      <c r="K40" t="n">
        <v>2</v>
      </c>
      <c r="L40" t="inlineStr">
        <is>
          <t>Screener, scored for Sarah only; 10 or more is the usual threshold. Item 8 (difficulty) is asked but not scored.</t>
        </is>
      </c>
    </row>
    <row r="41">
      <c r="A41" t="inlineStr">
        <is>
          <t>GPS</t>
        </is>
      </c>
      <c r="B41" t="inlineStr">
        <is>
          <t>gps</t>
        </is>
      </c>
      <c r="C41" t="inlineStr">
        <is>
          <t>Putting things off (20 questions)</t>
        </is>
      </c>
      <c r="D41" t="inlineStr">
        <is>
          <t>General Procrastination Scale</t>
        </is>
      </c>
      <c r="E41" t="inlineStr">
        <is>
          <t>Yes</t>
        </is>
      </c>
      <c r="F41" t="inlineStr">
        <is>
          <t>review</t>
        </is>
      </c>
      <c r="G41" t="inlineStr">
        <is>
          <t>Salford PsyTech lists no copyright restrictions; no author licence text on the York University PDF. Confirm before clearing.</t>
        </is>
      </c>
      <c r="H41" t="inlineStr">
        <is>
          <t>Yes</t>
        </is>
      </c>
      <c r="J41" t="inlineStr">
        <is>
          <t>Please indicate how characteristic each statement is of you.</t>
        </is>
      </c>
      <c r="K41" t="n">
        <v>5</v>
      </c>
      <c r="L41" t="inlineStr">
        <is>
          <t>Longer alternative to the PPS. Item 2 reproduces a typographical omission in the source.</t>
        </is>
      </c>
    </row>
    <row r="42">
      <c r="A42" t="inlineStr">
        <is>
          <t>HUA-ORANGA</t>
        </is>
      </c>
      <c r="B42" t="inlineStr">
        <is>
          <t>hua-oranga</t>
        </is>
      </c>
      <c r="C42" t="inlineStr">
        <is>
          <t>Hua Oranga: your wellbeing across the 4 taha</t>
        </is>
      </c>
      <c r="D42" t="inlineStr">
        <is>
          <t>Hua Oranga</t>
        </is>
      </c>
      <c r="E42" t="inlineStr">
        <is>
          <t>Yes</t>
        </is>
      </c>
      <c r="F42" t="inlineStr">
        <is>
          <t>review</t>
        </is>
      </c>
      <c r="G42" t="inlineStr">
        <is>
          <t>Te Rau Ora states the measure is available and free to use; the manual is CC BY 4.0 for non commercial use with attribution. Write to Te Rau Ora to confirm use in a private practice portal, which is also the courteous step with a Māori measure.</t>
        </is>
      </c>
      <c r="H42" t="inlineStr">
        <is>
          <t>Yes</t>
        </is>
      </c>
      <c r="J42" t="inlineStr">
        <is>
          <t>These questions are about taha tinana or your physical health. At this point in time do you feel: [items]. These questions are about taha wairua or your spiritual health. At this point in time do you feel: [items]. These questions are about taha whānau or your family health. At this point in time do you feel: [items]. These questions are about taha hinengaro or your mental health. At this point in time do you feel: [items].</t>
        </is>
      </c>
      <c r="K42" t="n">
        <v>5</v>
      </c>
      <c r="L42" t="inlineStr">
        <is>
          <t>Tangata whaiora form. Bands follow the manual: per taha 4 to 8 very low, 9 to 12 low, 13 to 16 high, 17 to 20 very high. Ideally offered alongside, not instead of, a kōrero about each taha.</t>
        </is>
      </c>
    </row>
    <row r="43">
      <c r="A43" t="inlineStr">
        <is>
          <t>JDS</t>
        </is>
      </c>
      <c r="B43" t="inlineStr">
        <is>
          <t>jds</t>
        </is>
      </c>
      <c r="C43" t="inlineStr">
        <is>
          <t>What your job gives you</t>
        </is>
      </c>
      <c r="D43" t="inlineStr">
        <is>
          <t>Job Diagnostic Survey (revised 15 item core job characteristics form)</t>
        </is>
      </c>
      <c r="E43" t="inlineStr">
        <is>
          <t>Yes</t>
        </is>
      </c>
      <c r="F43" t="inlineStr">
        <is>
          <t>cleared</t>
        </is>
      </c>
      <c r="G43" t="inlineStr">
        <is>
          <t>Public domain US Office of Naval Research technical report (approved for public release, distribution unlimited).</t>
        </is>
      </c>
      <c r="H43" t="inlineStr">
        <is>
          <t>Yes</t>
        </is>
      </c>
      <c r="J43" t="inlineStr">
        <is>
          <t>Section One: This part of the questionnaire asks you to describe your job, as objectively as you can. Please do not use this part of the questionnaire to show how much you like or dislike your job. Section Two: Listed below are a number of statements which could be used to describe a job. You are to indicate whether each statement is an accurate or an inaccurate description of your job. How accurate is the statement in describing your job?</t>
        </is>
      </c>
      <c r="K43" t="n">
        <v>5</v>
      </c>
      <c r="L43" t="inlineStr">
        <is>
          <t>15 item core job characteristics form. The Motivating Potential Score is left to Sarah.</t>
        </is>
      </c>
    </row>
    <row r="44">
      <c r="A44" t="inlineStr">
        <is>
          <t>MEWS</t>
        </is>
      </c>
      <c r="B44" t="inlineStr">
        <is>
          <t>mews</t>
        </is>
      </c>
      <c r="C44" t="inlineStr">
        <is>
          <t>A busy, wandering mind</t>
        </is>
      </c>
      <c r="D44" t="inlineStr">
        <is>
          <t>Mind Excessively Wandering Scale</t>
        </is>
      </c>
      <c r="E44" t="inlineStr">
        <is>
          <t>Yes</t>
        </is>
      </c>
      <c r="F44" t="inlineStr">
        <is>
          <t>review</t>
        </is>
      </c>
      <c r="G44" t="inlineStr">
        <is>
          <t>Authors: copyrighted and available without charge from the corresponding author, research use welcomed. Request permission for practice use before clearing.</t>
        </is>
      </c>
      <c r="H44" t="inlineStr">
        <is>
          <t>Yes</t>
        </is>
      </c>
      <c r="J44" t="inlineStr">
        <is>
          <t>Please indicate how often each statement applies to you.</t>
        </is>
      </c>
      <c r="K44" t="n">
        <v>3</v>
      </c>
      <c r="L44" t="inlineStr">
        <is>
          <t>15 item version. 15 or above distinguished adults with ADHD from controls in Mowlem et al. (2016); bands 7 and 14.</t>
        </is>
      </c>
    </row>
    <row r="45">
      <c r="A45" t="inlineStr">
        <is>
          <t>MINI-IPIP</t>
        </is>
      </c>
      <c r="B45" t="inlineStr">
        <is>
          <t>mini-ipip</t>
        </is>
      </c>
      <c r="C45" t="inlineStr">
        <is>
          <t>Your personality in brief</t>
        </is>
      </c>
      <c r="D45" t="inlineStr">
        <is>
          <t>Mini International Personality Item Pool</t>
        </is>
      </c>
      <c r="E45" t="inlineStr">
        <is>
          <t>Yes</t>
        </is>
      </c>
      <c r="F45" t="inlineStr">
        <is>
          <t>cleared</t>
        </is>
      </c>
      <c r="G45" t="inlineStr">
        <is>
          <t>IPIP items are public domain for any purpose, commercial or non commercial.</t>
        </is>
      </c>
      <c r="H45" t="inlineStr">
        <is>
          <t>Yes</t>
        </is>
      </c>
      <c r="J45" t="inlineStr">
        <is>
          <t>Below are phrases describing people's behaviors. Please use the rating scale below to describe how accurately each statement describes you. Describe yourself as you generally are now, not as you wish to be in the future. Describe yourself as you honestly see yourself, in relation to other people you know of the same sex as you are, and roughly your same age. Please read each statement carefully, and put a number from 1 to 5 next to it to describe how accurately the statement describes you.</t>
        </is>
      </c>
      <c r="K45" t="n">
        <v>3</v>
      </c>
      <c r="L45" t="inlineStr">
        <is>
          <t>Traits are scored as numbers only; no strengths or focus are generated.</t>
        </is>
      </c>
    </row>
    <row r="46">
      <c r="A46" t="inlineStr">
        <is>
          <t>MWQ</t>
        </is>
      </c>
      <c r="B46" t="inlineStr">
        <is>
          <t>mwq</t>
        </is>
      </c>
      <c r="C46" t="inlineStr">
        <is>
          <t>Mind wandering (5 questions)</t>
        </is>
      </c>
      <c r="D46" t="inlineStr">
        <is>
          <t>Mind Wandering Questionnaire</t>
        </is>
      </c>
      <c r="E46" t="inlineStr">
        <is>
          <t>Yes</t>
        </is>
      </c>
      <c r="F46" t="inlineStr">
        <is>
          <t>cleared</t>
        </is>
      </c>
      <c r="G46" t="inlineStr">
        <is>
          <t>Items published under CC BY (Mrazek et al., 2013).</t>
        </is>
      </c>
      <c r="H46" t="inlineStr">
        <is>
          <t>Yes</t>
        </is>
      </c>
      <c r="J46" t="inlineStr">
        <is>
          <t>Please indicate how often each statement applies to you.</t>
        </is>
      </c>
      <c r="K46" t="n">
        <v>1</v>
      </c>
    </row>
    <row r="47">
      <c r="A47" t="inlineStr">
        <is>
          <t>NCS-6</t>
        </is>
      </c>
      <c r="B47" t="inlineStr">
        <is>
          <t>ncs-6</t>
        </is>
      </c>
      <c r="C47" t="inlineStr">
        <is>
          <t>Enjoying effortful thinking</t>
        </is>
      </c>
      <c r="D47" t="inlineStr">
        <is>
          <t>Need for Cognition Scale, 6 item</t>
        </is>
      </c>
      <c r="E47" t="inlineStr">
        <is>
          <t>Yes</t>
        </is>
      </c>
      <c r="F47" t="inlineStr">
        <is>
          <t>cleared</t>
        </is>
      </c>
      <c r="G47" t="inlineStr">
        <is>
          <t>Development article published under CC BY 4.0 (Coelho, Hanel and Wolf, 2020).</t>
        </is>
      </c>
      <c r="H47" t="inlineStr">
        <is>
          <t>Yes</t>
        </is>
      </c>
      <c r="J47" t="inlineStr">
        <is>
          <t>Please indicate how characteristic each statement is of you.</t>
        </is>
      </c>
      <c r="K47" t="n">
        <v>1</v>
      </c>
    </row>
    <row r="48">
      <c r="A48" t="inlineStr">
        <is>
          <t>PHQ-2</t>
        </is>
      </c>
      <c r="B48" t="inlineStr">
        <is>
          <t>phq-2</t>
        </is>
      </c>
      <c r="C48" t="inlineStr">
        <is>
          <t>Mood over the last 2 weeks (2 questions)</t>
        </is>
      </c>
      <c r="D48" t="inlineStr">
        <is>
          <t>Patient Health Questionnaire 2</t>
        </is>
      </c>
      <c r="E48" t="inlineStr">
        <is>
          <t>Yes</t>
        </is>
      </c>
      <c r="F48" t="inlineStr">
        <is>
          <t>cleared</t>
        </is>
      </c>
      <c r="G48" t="inlineStr">
        <is>
          <t>Pfizer: no permission required to reproduce, translate, display or distribute.</t>
        </is>
      </c>
      <c r="H48" t="inlineStr">
        <is>
          <t>No</t>
        </is>
      </c>
      <c r="J48" t="inlineStr">
        <is>
          <t>Over the last 2 weeks, how often have you been bothered by any of the following problems?</t>
        </is>
      </c>
      <c r="K48" t="n">
        <v>1</v>
      </c>
      <c r="L48" t="inlineStr">
        <is>
          <t>Screener, scored for Sarah only; 3 or more is a positive screen, followed by the PHQ-9.</t>
        </is>
      </c>
    </row>
    <row r="49">
      <c r="A49" t="inlineStr">
        <is>
          <t>PHQ-9</t>
        </is>
      </c>
      <c r="B49" t="inlineStr">
        <is>
          <t>phq-9</t>
        </is>
      </c>
      <c r="C49" t="inlineStr">
        <is>
          <t>Mood over the last 2 weeks</t>
        </is>
      </c>
      <c r="D49" t="inlineStr">
        <is>
          <t>Patient Health Questionnaire 9</t>
        </is>
      </c>
      <c r="E49" t="inlineStr">
        <is>
          <t>Yes</t>
        </is>
      </c>
      <c r="F49" t="inlineStr">
        <is>
          <t>cleared</t>
        </is>
      </c>
      <c r="G49" t="inlineStr">
        <is>
          <t>Pfizer: no permission required to reproduce, translate, display or distribute.</t>
        </is>
      </c>
      <c r="H49" t="inlineStr">
        <is>
          <t>No</t>
        </is>
      </c>
      <c r="I49" t="inlineStr">
        <is>
          <t>9 at 1</t>
        </is>
      </c>
      <c r="J49" t="inlineStr">
        <is>
          <t>Over the last 2 weeks, how often have you been bothered by any of the following problems?</t>
        </is>
      </c>
      <c r="K49" t="n">
        <v>2</v>
      </c>
      <c r="L49" t="inlineStr">
        <is>
          <t>Screener, scored for Sarah only; 10 or more is the usual threshold. Item 9 at 1 or more alerts Sarah on the draft.</t>
        </is>
      </c>
    </row>
    <row r="50">
      <c r="A50" t="inlineStr">
        <is>
          <t>PROMIS-GH10</t>
        </is>
      </c>
      <c r="B50" t="inlineStr">
        <is>
          <t>promis-gh10</t>
        </is>
      </c>
      <c r="C50" t="inlineStr">
        <is>
          <t>Your overall health</t>
        </is>
      </c>
      <c r="D50" t="inlineStr">
        <is>
          <t>PROMIS Scale v1.2 Global Health</t>
        </is>
      </c>
      <c r="E50" t="inlineStr">
        <is>
          <t>Yes</t>
        </is>
      </c>
      <c r="F50" t="inlineStr">
        <is>
          <t>review</t>
        </is>
      </c>
      <c r="G50"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0" t="inlineStr">
        <is>
          <t>Yes</t>
        </is>
      </c>
      <c r="J50" t="inlineStr">
        <is>
          <t>Please answer each question about your health.</t>
        </is>
      </c>
      <c r="K50" t="n">
        <v>3</v>
      </c>
      <c r="L50" t="inlineStr">
        <is>
          <t>Raw sum only in the hub. T score conversion (mean 50, SD 10) is done by Sarah from the HealthMeasures table; bands here are thirds of the raw range. Items carry their own scales as printed; the pain item is offered as 5 bands of the 0 to 10 scale, matching the official recoding. Items 1, 2 and 6 are not in either summary score.</t>
        </is>
      </c>
    </row>
    <row r="51">
      <c r="A51" t="inlineStr">
        <is>
          <t>PROMIS-APSRA-8A</t>
        </is>
      </c>
      <c r="B51" t="inlineStr">
        <is>
          <t>promis-apsra-8a</t>
        </is>
      </c>
      <c r="C51" t="inlineStr">
        <is>
          <t>Taking part in work, family and social life</t>
        </is>
      </c>
      <c r="D51" t="inlineStr">
        <is>
          <t>PROMIS Ability to Participate in Social Roles and Activities Short Form 8a</t>
        </is>
      </c>
      <c r="E51" t="inlineStr">
        <is>
          <t>Yes</t>
        </is>
      </c>
      <c r="F51" t="inlineStr">
        <is>
          <t>review</t>
        </is>
      </c>
      <c r="G51"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1" t="inlineStr">
        <is>
          <t>Yes</t>
        </is>
      </c>
      <c r="J51" t="inlineStr">
        <is>
          <t>Please respond to each item by marking one answer.</t>
        </is>
      </c>
      <c r="K51" t="n">
        <v>2</v>
      </c>
      <c r="L51" t="inlineStr">
        <is>
          <t>Raw sum only in the hub. T score conversion (mean 50, SD 10) is done by Sarah from the HealthMeasures table; bands here are thirds of the raw range. Items are negatively worded but scored Never 5 to Always 1, so higher is better.</t>
        </is>
      </c>
    </row>
    <row r="52">
      <c r="A52" t="inlineStr">
        <is>
          <t>PROMIS-COGA-8A</t>
        </is>
      </c>
      <c r="B52" t="inlineStr">
        <is>
          <t>promis-coga-8a</t>
        </is>
      </c>
      <c r="C52" t="inlineStr">
        <is>
          <t>How well your thinking has worked</t>
        </is>
      </c>
      <c r="D52" t="inlineStr">
        <is>
          <t>PROMIS Cognitive Function Abilities Short Form 8a</t>
        </is>
      </c>
      <c r="E52" t="inlineStr">
        <is>
          <t>Yes</t>
        </is>
      </c>
      <c r="F52" t="inlineStr">
        <is>
          <t>review</t>
        </is>
      </c>
      <c r="G52"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2" t="inlineStr">
        <is>
          <t>Yes</t>
        </is>
      </c>
      <c r="J52" t="inlineStr">
        <is>
          <t>In the past 7 days...</t>
        </is>
      </c>
      <c r="K52" t="n">
        <v>2</v>
      </c>
      <c r="L52" t="inlineStr">
        <is>
          <t>Raw sum only in the hub. T score conversion (mean 50, SD 10) is done by Sarah from the HealthMeasures table; bands here are thirds of the raw range.</t>
        </is>
      </c>
    </row>
    <row r="53">
      <c r="A53" t="inlineStr">
        <is>
          <t>PROMIS-COGF-8A</t>
        </is>
      </c>
      <c r="B53" t="inlineStr">
        <is>
          <t>promis-cogf-8a</t>
        </is>
      </c>
      <c r="C53" t="inlineStr">
        <is>
          <t>Thinking and concentration over the past week</t>
        </is>
      </c>
      <c r="D53" t="inlineStr">
        <is>
          <t>PROMIS Cognitive Function Short Form 8a</t>
        </is>
      </c>
      <c r="E53" t="inlineStr">
        <is>
          <t>Yes</t>
        </is>
      </c>
      <c r="F53" t="inlineStr">
        <is>
          <t>review</t>
        </is>
      </c>
      <c r="G53"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3" t="inlineStr">
        <is>
          <t>Yes</t>
        </is>
      </c>
      <c r="J53" t="inlineStr">
        <is>
          <t>In the past 7 days...</t>
        </is>
      </c>
      <c r="K53" t="n">
        <v>2</v>
      </c>
      <c r="L53" t="inlineStr">
        <is>
          <t>Raw sum only in the hub. T score conversion (mean 50, SD 10) is done by Sarah from the HealthMeasures table; bands here are thirds of the raw range. Never is scored 5, so higher is better.</t>
        </is>
      </c>
    </row>
    <row r="54">
      <c r="A54" t="inlineStr">
        <is>
          <t>PROMIS-FAT-8A</t>
        </is>
      </c>
      <c r="B54" t="inlineStr">
        <is>
          <t>promis-fat-8a</t>
        </is>
      </c>
      <c r="C54" t="inlineStr">
        <is>
          <t>Tiredness over the past week</t>
        </is>
      </c>
      <c r="D54" t="inlineStr">
        <is>
          <t>PROMIS Fatigue Short Form 8a</t>
        </is>
      </c>
      <c r="E54" t="inlineStr">
        <is>
          <t>Yes</t>
        </is>
      </c>
      <c r="F54" t="inlineStr">
        <is>
          <t>review</t>
        </is>
      </c>
      <c r="G54"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4" t="inlineStr">
        <is>
          <t>Yes</t>
        </is>
      </c>
      <c r="J54" t="inlineStr">
        <is>
          <t>In the past 7 days...</t>
        </is>
      </c>
      <c r="K54" t="n">
        <v>2</v>
      </c>
      <c r="L54" t="inlineStr">
        <is>
          <t>Raw sum only in the hub. T score conversion (mean 50, SD 10) is done by Sarah from the HealthMeasures table; bands here are thirds of the raw range. Items transcribed from a reproduction, not the official form; confirm against the HealthMeasures PDF before clearing.</t>
        </is>
      </c>
    </row>
    <row r="55">
      <c r="A55" t="inlineStr">
        <is>
          <t>PROMIS-GSE-4A</t>
        </is>
      </c>
      <c r="B55" t="inlineStr">
        <is>
          <t>promis-gse-4a</t>
        </is>
      </c>
      <c r="C55" t="inlineStr">
        <is>
          <t>Confidence in handling problems</t>
        </is>
      </c>
      <c r="D55" t="inlineStr">
        <is>
          <t>PROMIS General Self-Efficacy Short Form 4a</t>
        </is>
      </c>
      <c r="E55" t="inlineStr">
        <is>
          <t>Yes</t>
        </is>
      </c>
      <c r="F55" t="inlineStr">
        <is>
          <t>review</t>
        </is>
      </c>
      <c r="G55"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5" t="inlineStr">
        <is>
          <t>Yes</t>
        </is>
      </c>
      <c r="J55" t="inlineStr">
        <is>
          <t>Please respond to each item by marking one box per row. For the next set of questions, please read each sentence and rate your level of confidence in managing various situations, problems, and events. Rate your level of confidence.</t>
        </is>
      </c>
      <c r="K55" t="n">
        <v>1</v>
      </c>
      <c r="L55" t="inlineStr">
        <is>
          <t>Raw sum only in the hub. T score conversion (mean 50, SD 10) is done by Sarah from the HealthMeasures table; bands here are thirds of the raw range. Overlaps with the GSE already in the hub; use one or the other.</t>
        </is>
      </c>
    </row>
    <row r="56">
      <c r="A56" t="inlineStr">
        <is>
          <t>PROMIS-MP-8A</t>
        </is>
      </c>
      <c r="B56" t="inlineStr">
        <is>
          <t>promis-mp-8a</t>
        </is>
      </c>
      <c r="C56" t="inlineStr">
        <is>
          <t>Meaning and purpose</t>
        </is>
      </c>
      <c r="D56" t="inlineStr">
        <is>
          <t>PROMIS Meaning and Purpose Short Form 8a</t>
        </is>
      </c>
      <c r="E56" t="inlineStr">
        <is>
          <t>Yes</t>
        </is>
      </c>
      <c r="F56" t="inlineStr">
        <is>
          <t>review</t>
        </is>
      </c>
      <c r="G56"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6" t="inlineStr">
        <is>
          <t>Yes</t>
        </is>
      </c>
      <c r="J56" t="inlineStr">
        <is>
          <t>Please indicate how much you agree with each statement.</t>
        </is>
      </c>
      <c r="K56" t="n">
        <v>2</v>
      </c>
      <c r="L56" t="inlineStr">
        <is>
          <t>Raw sum only in the hub. T score conversion (mean 50, SD 10) is done by Sarah from the HealthMeasures table; bands here are thirds of the raw range. Items from the open access development article (Salsman et al., 2020), not the official form.</t>
        </is>
      </c>
    </row>
    <row r="57">
      <c r="A57" t="inlineStr">
        <is>
          <t>PROMIS-SSRA-8A</t>
        </is>
      </c>
      <c r="B57" t="inlineStr">
        <is>
          <t>promis-ssra-8a</t>
        </is>
      </c>
      <c r="C57" t="inlineStr">
        <is>
          <t>Satisfaction with your roles and activities</t>
        </is>
      </c>
      <c r="D57" t="inlineStr">
        <is>
          <t>PROMIS Satisfaction with Social Roles and Activities Short Form 8a</t>
        </is>
      </c>
      <c r="E57" t="inlineStr">
        <is>
          <t>Yes</t>
        </is>
      </c>
      <c r="F57" t="inlineStr">
        <is>
          <t>review</t>
        </is>
      </c>
      <c r="G57"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7" t="inlineStr">
        <is>
          <t>Yes</t>
        </is>
      </c>
      <c r="J57" t="inlineStr">
        <is>
          <t>In the past 7 days...</t>
        </is>
      </c>
      <c r="K57" t="n">
        <v>2</v>
      </c>
      <c r="L57" t="inlineStr">
        <is>
          <t>Raw sum only in the hub. T score conversion (mean 50, SD 10) is done by Sarah from the HealthMeasures table; bands here are thirds of the raw range.</t>
        </is>
      </c>
    </row>
    <row r="58">
      <c r="A58" t="inlineStr">
        <is>
          <t>PROMIS-SD-8A</t>
        </is>
      </c>
      <c r="B58" t="inlineStr">
        <is>
          <t>promis-sd-8a</t>
        </is>
      </c>
      <c r="C58" t="inlineStr">
        <is>
          <t>Sleep over the past week</t>
        </is>
      </c>
      <c r="D58" t="inlineStr">
        <is>
          <t>PROMIS Sleep Disturbance Short Form 8a</t>
        </is>
      </c>
      <c r="E58" t="inlineStr">
        <is>
          <t>Yes</t>
        </is>
      </c>
      <c r="F58" t="inlineStr">
        <is>
          <t>review</t>
        </is>
      </c>
      <c r="G58"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8" t="inlineStr">
        <is>
          <t>Yes</t>
        </is>
      </c>
      <c r="J58" t="inlineStr">
        <is>
          <t>In the past 7 days...</t>
        </is>
      </c>
      <c r="K58" t="n">
        <v>2</v>
      </c>
      <c r="L58" t="inlineStr">
        <is>
          <t>Raw sum only in the hub. T score conversion (mean 50, SD 10) is done by Sarah from the HealthMeasures table; bands here are thirds of the raw range. Items 1, 2 and 8 carry their printed reversed values, so no reversal is applied.</t>
        </is>
      </c>
    </row>
    <row r="59">
      <c r="A59" t="inlineStr">
        <is>
          <t>PROMIS-SRI-8A</t>
        </is>
      </c>
      <c r="B59" t="inlineStr">
        <is>
          <t>promis-sri-8a</t>
        </is>
      </c>
      <c r="C59" t="inlineStr">
        <is>
          <t>Daytime effects of poor sleep</t>
        </is>
      </c>
      <c r="D59" t="inlineStr">
        <is>
          <t>PROMIS Sleep-Related Impairment Short Form 8a</t>
        </is>
      </c>
      <c r="E59" t="inlineStr">
        <is>
          <t>Yes</t>
        </is>
      </c>
      <c r="F59" t="inlineStr">
        <is>
          <t>review</t>
        </is>
      </c>
      <c r="G59" t="inlineStr">
        <is>
          <t>HealthMeasures makes English PROMIS forms free for individual clinical use with the copyright line retained; since 2024 fees apply to translations and vendor platforms. Confirm on healthmeasures.net (Steps to License) that a practice owned client portal counts as individual clinical use before clearing.</t>
        </is>
      </c>
      <c r="H59" t="inlineStr">
        <is>
          <t>Yes</t>
        </is>
      </c>
      <c r="J59" t="inlineStr">
        <is>
          <t>In the past 7 days...</t>
        </is>
      </c>
      <c r="K59" t="n">
        <v>2</v>
      </c>
      <c r="L59" t="inlineStr">
        <is>
          <t>Raw sum only in the hub. T score conversion (mean 50, SD 10) is done by Sarah from the HealthMeasures table; bands here are thirds of the raw range. Item 2 carries its printed reversed values, so no reversal is applied.</t>
        </is>
      </c>
    </row>
    <row r="60">
      <c r="A60" t="inlineStr">
        <is>
          <t>PSWQ</t>
        </is>
      </c>
      <c r="B60" t="inlineStr">
        <is>
          <t>pswq</t>
        </is>
      </c>
      <c r="C60" t="inlineStr">
        <is>
          <t>Worry</t>
        </is>
      </c>
      <c r="D60" t="inlineStr">
        <is>
          <t>Penn State Worry Questionnaire</t>
        </is>
      </c>
      <c r="E60" t="inlineStr">
        <is>
          <t>Yes</t>
        </is>
      </c>
      <c r="F60" t="inlineStr">
        <is>
          <t>cleared</t>
        </is>
      </c>
      <c r="G60" t="inlineStr">
        <is>
          <t>Public domain; permission for use confirmed by Borkovec (CamCOPS, 2015).</t>
        </is>
      </c>
      <c r="H60" t="inlineStr">
        <is>
          <t>No</t>
        </is>
      </c>
      <c r="J60" t="inlineStr">
        <is>
          <t>Rate each of the following statements on a scale of 1 ("not at all typical of me") to 5 ("very typical of me"). Please do not leave any items blank.</t>
        </is>
      </c>
      <c r="K60" t="n">
        <v>3</v>
      </c>
      <c r="L60" t="inlineStr">
        <is>
          <t>Scored for Sarah only. 16 to 39 low, 40 to 59 moderate, 60 to 80 high worry; 45 or more often taken as significant.</t>
        </is>
      </c>
    </row>
    <row r="61">
      <c r="A61" t="inlineStr">
        <is>
          <t>RAADS-14</t>
        </is>
      </c>
      <c r="B61" t="inlineStr">
        <is>
          <t>raads-14</t>
        </is>
      </c>
      <c r="C61" t="inlineStr">
        <is>
          <t>Social and sensory experiences</t>
        </is>
      </c>
      <c r="D61" t="inlineStr">
        <is>
          <t>Ritvo Autism Asperger Diagnostic Scale, 14 item Screen</t>
        </is>
      </c>
      <c r="E61" t="inlineStr">
        <is>
          <t>Yes</t>
        </is>
      </c>
      <c r="F61" t="inlineStr">
        <is>
          <t>cleared</t>
        </is>
      </c>
      <c r="G61" t="inlineStr">
        <is>
          <t>Items published under CC BY 2.0 (Eriksson, Andersen and Bejerot, 2013).</t>
        </is>
      </c>
      <c r="H61" t="inlineStr">
        <is>
          <t>No</t>
        </is>
      </c>
      <c r="J61" t="inlineStr">
        <is>
          <t>Please answer the questions according to what is true for you. Check only one column per statement!</t>
        </is>
      </c>
      <c r="K61" t="n">
        <v>3</v>
      </c>
      <c r="L61" t="inlineStr">
        <is>
          <t>Autism screen, scored for Sarah only; 14 or above is the published cut off. Never a diagnosis.</t>
        </is>
      </c>
    </row>
    <row r="62">
      <c r="A62" t="inlineStr">
        <is>
          <t>SAPS</t>
        </is>
      </c>
      <c r="B62" t="inlineStr">
        <is>
          <t>saps</t>
        </is>
      </c>
      <c r="C62" t="inlineStr">
        <is>
          <t>Standards and self judgement (short)</t>
        </is>
      </c>
      <c r="D62" t="inlineStr">
        <is>
          <t>Short Almost Perfect Scale</t>
        </is>
      </c>
      <c r="E62" t="inlineStr">
        <is>
          <t>Yes</t>
        </is>
      </c>
      <c r="F62" t="inlineStr">
        <is>
          <t>cleared</t>
        </is>
      </c>
      <c r="G62" t="inlineStr">
        <is>
          <t>Rice lab: no permission required to use or translate; cite properly.</t>
        </is>
      </c>
      <c r="H62" t="inlineStr">
        <is>
          <t>Yes</t>
        </is>
      </c>
      <c r="J62" t="inlineStr">
        <is>
          <t>The following items are designed to measure certain attitudes people have toward themselves, their performance, and toward others. It is important that your answers be true and accurate for you. In the space next to the statement, please enter a number from "1" (strongly disagree) to "7" (strongly agree) to describe your degree of agreement with each item.</t>
        </is>
      </c>
      <c r="K62" t="n">
        <v>2</v>
      </c>
    </row>
    <row r="63">
      <c r="A63" t="inlineStr">
        <is>
          <t>SCS</t>
        </is>
      </c>
      <c r="B63" t="inlineStr">
        <is>
          <t>scs</t>
        </is>
      </c>
      <c r="C63" t="inlineStr">
        <is>
          <t>Self compassion (full)</t>
        </is>
      </c>
      <c r="D63" t="inlineStr">
        <is>
          <t>Self-Compassion Scale, long form</t>
        </is>
      </c>
      <c r="E63" t="inlineStr">
        <is>
          <t>Yes</t>
        </is>
      </c>
      <c r="F63" t="inlineStr">
        <is>
          <t>cleared</t>
        </is>
      </c>
      <c r="G63" t="inlineStr">
        <is>
          <t>Dr Kristin Neff grants permission to use the Self-Compassion Scale for any purpose whatsoever.</t>
        </is>
      </c>
      <c r="H63" t="inlineStr">
        <is>
          <t>Yes</t>
        </is>
      </c>
      <c r="J63" t="inlineStr">
        <is>
          <t>HOW I TYPICALLY ACT TOWARDS MYSELF IN DIFFICULT TIMES. Please read each statement carefully before answering. To the left of each item, indicate how often you behave in the stated manner, using the following scale:</t>
        </is>
      </c>
      <c r="K63" t="n">
        <v>5</v>
      </c>
      <c r="L63" t="inlineStr">
        <is>
          <t>Negative subscales are reversed so every score runs higher = more self compassionate. The hub already holds the short form (scs-sf); use one or the other.</t>
        </is>
      </c>
    </row>
    <row r="64">
      <c r="A64" t="inlineStr">
        <is>
          <t>SRQ-63</t>
        </is>
      </c>
      <c r="B64" t="inlineStr">
        <is>
          <t>srq-63</t>
        </is>
      </c>
      <c r="C64" t="inlineStr">
        <is>
          <t>Self regulation</t>
        </is>
      </c>
      <c r="D64" t="inlineStr">
        <is>
          <t>Self-Regulation Questionnaire</t>
        </is>
      </c>
      <c r="E64" t="inlineStr">
        <is>
          <t>Decide</t>
        </is>
      </c>
      <c r="F64" t="inlineStr">
        <is>
          <t>cleared</t>
        </is>
      </c>
      <c r="G64" t="inlineStr">
        <is>
          <t>CASAA: the SRQ is in the public domain and may be freely used, adapted and reproduced without special permission.</t>
        </is>
      </c>
      <c r="H64" t="inlineStr">
        <is>
          <t>Yes</t>
        </is>
      </c>
      <c r="J64" t="inlineStr">
        <is>
          <t>Please answer the following questions by circling the response that best describes how you are. If you STRONGLY DISAGREE with a statement, circle 1. If you DISAGREE circle 2. If you are UNCERTAIN or UNSURE circle 3. If you AGREE circle 4, and if you STRONGLY AGREE circle 5. There are no right or wrong answers. Work quickly and don't think too long about your answers.</t>
        </is>
      </c>
      <c r="K64" t="n">
        <v>12</v>
      </c>
      <c r="L64" t="inlineStr">
        <is>
          <t>63 items, about 12 minutes. Total bands from the source: 213 or below low, 214 to 238 intermediate, 239 and above high. Sarah to decide whether the length suits.</t>
        </is>
      </c>
    </row>
    <row r="65">
      <c r="A65" t="inlineStr">
        <is>
          <t>SWLS</t>
        </is>
      </c>
      <c r="B65" t="inlineStr">
        <is>
          <t>swls</t>
        </is>
      </c>
      <c r="C65" t="inlineStr">
        <is>
          <t>Satisfaction with life</t>
        </is>
      </c>
      <c r="D65" t="inlineStr">
        <is>
          <t>Satisfaction with Life Scale</t>
        </is>
      </c>
      <c r="E65" t="inlineStr">
        <is>
          <t>Yes</t>
        </is>
      </c>
      <c r="F65" t="inlineStr">
        <is>
          <t>review</t>
        </is>
      </c>
      <c r="G65" t="inlineStr">
        <is>
          <t>Diener: free to use without permission or charge by researchers and practitioners with credit; the scales index page adds a non commercial condition. Confirm which applies to a paid practice before clearing.</t>
        </is>
      </c>
      <c r="H65" t="inlineStr">
        <is>
          <t>Yes</t>
        </is>
      </c>
      <c r="J65" t="inlineStr">
        <is>
          <t>Below are five statements that you may agree or disagree with. Using the 1 - 7 scale below, indicate your agreement with each item by placing the appropriate number on the line preceding that item. Please be open and honest in your responding.</t>
        </is>
      </c>
      <c r="K65" t="n">
        <v>1</v>
      </c>
      <c r="L65" t="inlineStr">
        <is>
          <t>Bands follow Diener: 19 or below dissatisfied, 20 neutral to 25 slightly satisfied, 26 and above satisfied.</t>
        </is>
      </c>
    </row>
    <row r="66">
      <c r="A66" t="inlineStr">
        <is>
          <t>UCLA-LS-3</t>
        </is>
      </c>
      <c r="B66" t="inlineStr">
        <is>
          <t>ucla-ls-3</t>
        </is>
      </c>
      <c r="C66" t="inlineStr">
        <is>
          <t>Connection and loneliness</t>
        </is>
      </c>
      <c r="D66" t="inlineStr">
        <is>
          <t>UCLA Loneliness Scale, Version 3 (PhenX Social Isolation)</t>
        </is>
      </c>
      <c r="E66" t="inlineStr">
        <is>
          <t>Yes</t>
        </is>
      </c>
      <c r="F66" t="inlineStr">
        <is>
          <t>cleared</t>
        </is>
      </c>
      <c r="G66" t="inlineStr">
        <is>
          <t>PhenX Toolkit: freely available, permission not required for use; copyright Daniel W. Russell (1994).</t>
        </is>
      </c>
      <c r="H66" t="inlineStr">
        <is>
          <t>Yes</t>
        </is>
      </c>
      <c r="J66" t="inlineStr">
        <is>
          <t>Instructions: The following statements describe how people sometimes feel. For each statement, please indicate how often you feel the way described by writing a number in the space provided. Here is an example: How often do you feel happy? If you never feel happy, you would respond "never"; if you always feel happy, you would respond "always".</t>
        </is>
      </c>
      <c r="K66" t="n">
        <v>4</v>
      </c>
      <c r="L66" t="inlineStr">
        <is>
          <t>PhenX labels the fourth response Always where Russell (1996) uses Often.</t>
        </is>
      </c>
    </row>
    <row r="67">
      <c r="A67" t="inlineStr">
        <is>
          <t>WEBEXEC</t>
        </is>
      </c>
      <c r="B67" t="inlineStr">
        <is>
          <t>webexec</t>
        </is>
      </c>
      <c r="C67" t="inlineStr">
        <is>
          <t>Everyday executive problems (6 questions)</t>
        </is>
      </c>
      <c r="D67" t="inlineStr">
        <is>
          <t>Webexec</t>
        </is>
      </c>
      <c r="E67" t="inlineStr">
        <is>
          <t>Yes</t>
        </is>
      </c>
      <c r="F67" t="inlineStr">
        <is>
          <t>review</t>
        </is>
      </c>
      <c r="G67" t="inlineStr">
        <is>
          <t>PsyToolkit notes research use with acknowledgement; no author licence text located. Confirm before clearing.</t>
        </is>
      </c>
      <c r="H67" t="inlineStr">
        <is>
          <t>Yes</t>
        </is>
      </c>
      <c r="J67" t="inlineStr">
        <is>
          <t>Please rate the extent to which you have problems in the following areas by picking the appropriate option.</t>
        </is>
      </c>
      <c r="K67" t="n">
        <v>1</v>
      </c>
    </row>
    <row r="68">
      <c r="A68" t="inlineStr">
        <is>
          <t>WFIRS-S</t>
        </is>
      </c>
      <c r="B68" t="inlineStr">
        <is>
          <t>wfirs-s</t>
        </is>
      </c>
      <c r="C68" t="inlineStr">
        <is>
          <t>How difficulties affect your life</t>
        </is>
      </c>
      <c r="D68" t="inlineStr">
        <is>
          <t>Weiss Functional Impairment Rating Scale, Self Report</t>
        </is>
      </c>
      <c r="E68" t="inlineStr">
        <is>
          <t>No</t>
        </is>
      </c>
      <c r="F68" t="inlineStr">
        <is>
          <t>review</t>
        </is>
      </c>
      <c r="G68" t="inlineStr">
        <is>
          <t>Copyright Margaret Weiss; free for clinicians and researchers, but Dr Weiss asks to be contacted before the scale is posted on the Internet. Write to her before clearing.</t>
        </is>
      </c>
      <c r="H68" t="inlineStr">
        <is>
          <t>Yes</t>
        </is>
      </c>
      <c r="J68" t="inlineStr">
        <is>
          <t>Circle the number for the rating that best describes how your emotional or behavioural problems have affected each item in the last month.</t>
        </is>
      </c>
      <c r="K68" t="n">
        <v>10</v>
      </c>
      <c r="L68" t="inlineStr">
        <is>
          <t>Not buildable as it stands: the form needs a not applicable answer that is excluded from the mean, which the hub does not yet offer. Items kept in the codebook.</t>
        </is>
      </c>
    </row>
    <row r="69">
      <c r="A69" t="inlineStr">
        <is>
          <t>WHO-5</t>
        </is>
      </c>
      <c r="B69" t="inlineStr">
        <is>
          <t>who-5</t>
        </is>
      </c>
      <c r="C69" t="inlineStr">
        <is>
          <t>Wellbeing over the last 2 weeks</t>
        </is>
      </c>
      <c r="D69" t="inlineStr">
        <is>
          <t>WHO-5 Well-Being Index</t>
        </is>
      </c>
      <c r="E69" t="inlineStr">
        <is>
          <t>Yes</t>
        </is>
      </c>
      <c r="F69" t="inlineStr">
        <is>
          <t>cleared</t>
        </is>
      </c>
      <c r="G69" t="inlineStr">
        <is>
          <t>WHO-5 is free of charge and does not require permission to use (CORC, Te Pou).</t>
        </is>
      </c>
      <c r="H69" t="inlineStr">
        <is>
          <t>Yes</t>
        </is>
      </c>
      <c r="J69" t="inlineStr">
        <is>
          <t>Please respond to each item regarding how you felt in the last two weeks.</t>
        </is>
      </c>
      <c r="K69" t="n">
        <v>2</v>
      </c>
      <c r="L69" t="inlineStr">
        <is>
          <t>Raw sum 0 to 25 in the hub; the percentage score is 4 times the raw sum. Bands: 12 or below (50 percent or less) focus, 13 to 17 typical, 18 and above strength.</t>
        </is>
      </c>
    </row>
    <row r="70">
      <c r="A70" t="inlineStr">
        <is>
          <t>WHODAS-36</t>
        </is>
      </c>
      <c r="B70" t="inlineStr">
        <is>
          <t>whodas-36</t>
        </is>
      </c>
      <c r="C70" t="inlineStr">
        <is>
          <t>Day to day functioning</t>
        </is>
      </c>
      <c r="D70" t="inlineStr">
        <is>
          <t>WHO Disability Assessment Schedule 2.0, 36 item self administered</t>
        </is>
      </c>
      <c r="E70" t="inlineStr">
        <is>
          <t>Yes</t>
        </is>
      </c>
      <c r="F70" t="inlineStr">
        <is>
          <t>review</t>
        </is>
      </c>
      <c r="G70" t="inlineStr">
        <is>
          <t>WHO: may be reproduced without permission by clinicians for use with their own patients; any other use, including electronic use, needs WHO permission. Request permission for the portal before clearing.</t>
        </is>
      </c>
      <c r="H70" t="inlineStr">
        <is>
          <t>Yes</t>
        </is>
      </c>
      <c r="J70" t="inlineStr">
        <is>
          <t>In the past 30 days, how much difficulty did you have in each of the following?</t>
        </is>
      </c>
      <c r="K70" t="n">
        <v>8</v>
      </c>
      <c r="L70" t="inlineStr">
        <is>
          <t>Domain items are phrased as fragments under the stem given in the instructions. Simple scoring (sums); the complex IRT scoring is not applied.</t>
        </is>
      </c>
    </row>
    <row r="71">
      <c r="A71" t="inlineStr">
        <is>
          <t>WSAS</t>
        </is>
      </c>
      <c r="B71" t="inlineStr">
        <is>
          <t>wsas</t>
        </is>
      </c>
      <c r="C71" t="inlineStr">
        <is>
          <t>How difficulties get in the way</t>
        </is>
      </c>
      <c r="D71" t="inlineStr">
        <is>
          <t>Work and Social Adjustment Scale</t>
        </is>
      </c>
      <c r="E71" t="inlineStr">
        <is>
          <t>Yes</t>
        </is>
      </c>
      <c r="F71" t="inlineStr">
        <is>
          <t>review</t>
        </is>
      </c>
      <c r="G71" t="inlineStr">
        <is>
          <t>Copyright Mundt and Marks (2002); permission for research use without charge from Dr Marks. Request permission for practice use before clearing.</t>
        </is>
      </c>
      <c r="H71" t="inlineStr">
        <is>
          <t>Yes</t>
        </is>
      </c>
      <c r="J71" t="inlineStr">
        <is>
          <t>Over the last two weeks, or since your last consultation if more recent, please rate how much the ways you think, feel, or behave impair your ability to do each of the everyday activities described in the following items? Use the following scale:</t>
        </is>
      </c>
      <c r="K71" t="n">
        <v>2</v>
      </c>
      <c r="L71" t="inlineStr">
        <is>
          <t>Bands follow Mundt et al. (2002): 9 or below subclinical, 10 to 20 significant impairment, above 20 moderately severe. The form stem reads "Because of the ways I think, feel, or behave".</t>
        </is>
      </c>
    </row>
  </sheetData>
  <autoFilter ref="A1:L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4"/>
  <sheetViews>
    <sheetView workbookViewId="0">
      <pane ySplit="1" topLeftCell="A2" activePane="bottomLeft" state="frozen"/>
      <selection pane="bottomLeft" activeCell="A1" sqref="A1"/>
    </sheetView>
  </sheetViews>
  <sheetFormatPr baseColWidth="8" defaultRowHeight="15"/>
  <cols>
    <col width="10" customWidth="1" style="17" min="1" max="1"/>
    <col width="34" customWidth="1" style="17" min="2" max="2"/>
    <col width="18" customWidth="1" style="17" min="3" max="3"/>
    <col width="28" customWidth="1" style="17" min="4" max="4"/>
    <col width="16" customWidth="1" style="17" min="5" max="5"/>
    <col width="10" customWidth="1" style="17" min="6" max="6"/>
    <col width="12" customWidth="1" style="17" min="7" max="7"/>
    <col width="12" customWidth="1" style="17" min="8" max="8"/>
    <col width="50" customWidth="1" style="17" min="9" max="9"/>
    <col width="50" customWidth="1" style="17" min="10" max="10"/>
    <col width="24" customWidth="1" style="17" min="11" max="11"/>
    <col width="44" customWidth="1" style="17" min="12" max="12"/>
    <col width="40" customWidth="1" style="17" min="13" max="13"/>
  </cols>
  <sheetData>
    <row r="1">
      <c r="A1" s="23" t="inlineStr">
        <is>
          <t>Code</t>
        </is>
      </c>
      <c r="B1" s="23" t="inlineStr">
        <is>
          <t>Codebook subscale</t>
        </is>
      </c>
      <c r="C1" s="23" t="inlineStr">
        <is>
          <t>Hub subscale id</t>
        </is>
      </c>
      <c r="D1" s="23" t="inlineStr">
        <is>
          <t>Label shown to clients</t>
        </is>
      </c>
      <c r="E1" s="23" t="inlineStr">
        <is>
          <t>Scoring direction (difficulty / positive / none)</t>
        </is>
      </c>
      <c r="F1" s="23" t="inlineStr">
        <is>
          <t>Method (mean / sum)</t>
        </is>
      </c>
      <c r="G1" s="23" t="inlineStr">
        <is>
          <t>Lower band up to (blank = third of range)</t>
        </is>
      </c>
      <c r="H1" s="23" t="inlineStr">
        <is>
          <t>Upper band up to (blank = two thirds of range)</t>
        </is>
      </c>
      <c r="I1" s="23" t="inlineStr">
        <is>
          <t>Strength wording (client sees)</t>
        </is>
      </c>
      <c r="J1" s="23" t="inlineStr">
        <is>
          <t>Focus wording (client sees)</t>
        </is>
      </c>
      <c r="K1" s="23" t="inlineStr">
        <is>
          <t>Learning Hub topic</t>
        </is>
      </c>
      <c r="L1" s="23" t="inlineStr">
        <is>
          <t>Topic URL</t>
        </is>
      </c>
      <c r="M1" s="23" t="inlineStr">
        <is>
          <t>Notes</t>
        </is>
      </c>
    </row>
    <row r="2">
      <c r="A2" s="24" t="inlineStr">
        <is>
          <t>ESQ-R</t>
        </is>
      </c>
      <c r="B2" s="24" t="inlineStr">
        <is>
          <t>Plan Management</t>
        </is>
      </c>
      <c r="C2" s="24" t="inlineStr">
        <is>
          <t>plan</t>
        </is>
      </c>
      <c r="D2" s="24" t="inlineStr">
        <is>
          <t>Planning and managing tasks</t>
        </is>
      </c>
      <c r="E2" s="24" t="inlineStr">
        <is>
          <t>difficulty</t>
        </is>
      </c>
      <c r="F2" s="24" t="inlineStr">
        <is>
          <t>mean</t>
        </is>
      </c>
      <c r="G2" s="24" t="inlineStr"/>
      <c r="H2" s="24" t="inlineStr"/>
      <c r="I2" s="24" t="inlineStr">
        <is>
          <t>You described planning and managing tasks as something that mostly goes smoothly for you.</t>
        </is>
      </c>
      <c r="J2" s="24" t="inlineStr">
        <is>
          <t>Planning and keeping track of tasks came up often in your answers.</t>
        </is>
      </c>
      <c r="K2" s="24" t="inlineStr">
        <is>
          <t>Planning and prioritising</t>
        </is>
      </c>
      <c r="L2" s="24" t="inlineStr">
        <is>
          <t>https://app.executiveframe.co.nz/hub/planning</t>
        </is>
      </c>
      <c r="M2" s="24" t="inlineStr"/>
    </row>
    <row r="3">
      <c r="A3" s="24" t="inlineStr">
        <is>
          <t>ESQ-R</t>
        </is>
      </c>
      <c r="B3" s="24" t="inlineStr">
        <is>
          <t>Time Management</t>
        </is>
      </c>
      <c r="C3" s="24" t="inlineStr">
        <is>
          <t>time</t>
        </is>
      </c>
      <c r="D3" s="24" t="inlineStr">
        <is>
          <t>Managing time</t>
        </is>
      </c>
      <c r="E3" s="24" t="inlineStr">
        <is>
          <t>difficulty</t>
        </is>
      </c>
      <c r="F3" s="24" t="inlineStr">
        <is>
          <t>mean</t>
        </is>
      </c>
      <c r="G3" s="24" t="inlineStr"/>
      <c r="H3" s="24" t="inlineStr"/>
      <c r="I3" s="24" t="inlineStr">
        <is>
          <t>You told us that keeping to time mostly works for you.</t>
        </is>
      </c>
      <c r="J3" s="24" t="inlineStr">
        <is>
          <t>Estimating and keeping to time came up as a difficulty in your answers.</t>
        </is>
      </c>
      <c r="K3" s="24" t="inlineStr">
        <is>
          <t>Time and estimating</t>
        </is>
      </c>
      <c r="L3" s="24" t="inlineStr">
        <is>
          <t>https://app.executiveframe.co.nz/hub/time</t>
        </is>
      </c>
      <c r="M3" s="24" t="inlineStr"/>
    </row>
    <row r="4">
      <c r="A4" s="24" t="inlineStr">
        <is>
          <t>ESQ-R</t>
        </is>
      </c>
      <c r="B4" s="24" t="inlineStr">
        <is>
          <t>Organization</t>
        </is>
      </c>
      <c r="C4" s="24" t="inlineStr">
        <is>
          <t>organisation</t>
        </is>
      </c>
      <c r="D4" s="24" t="inlineStr">
        <is>
          <t>Staying organised</t>
        </is>
      </c>
      <c r="E4" s="24" t="inlineStr">
        <is>
          <t>difficulty</t>
        </is>
      </c>
      <c r="F4" s="24" t="inlineStr">
        <is>
          <t>mean</t>
        </is>
      </c>
      <c r="G4" s="24" t="inlineStr"/>
      <c r="H4" s="24" t="inlineStr"/>
      <c r="I4" s="24" t="inlineStr">
        <is>
          <t>Keeping things and spaces in order mostly works for you.</t>
        </is>
      </c>
      <c r="J4" s="24" t="inlineStr">
        <is>
          <t>Keeping things and spaces in order came up as a difficulty in your answers.</t>
        </is>
      </c>
      <c r="K4" s="24" t="inlineStr">
        <is>
          <t>Organising your things and spaces</t>
        </is>
      </c>
      <c r="L4" s="24" t="inlineStr">
        <is>
          <t>https://app.executiveframe.co.nz/hub/organisation</t>
        </is>
      </c>
      <c r="M4" s="24" t="inlineStr"/>
    </row>
    <row r="5">
      <c r="A5" s="24" t="inlineStr">
        <is>
          <t>ESQ-R</t>
        </is>
      </c>
      <c r="B5" s="24" t="inlineStr">
        <is>
          <t>Emotional Regulation</t>
        </is>
      </c>
      <c r="C5" s="24" t="inlineStr">
        <is>
          <t>emotion</t>
        </is>
      </c>
      <c r="D5" s="24" t="inlineStr">
        <is>
          <t>Managing feelings</t>
        </is>
      </c>
      <c r="E5" s="24" t="inlineStr">
        <is>
          <t>difficulty</t>
        </is>
      </c>
      <c r="F5" s="24" t="inlineStr">
        <is>
          <t>mean</t>
        </is>
      </c>
      <c r="G5" s="24" t="inlineStr"/>
      <c r="H5" s="24" t="inlineStr"/>
      <c r="I5" s="24" t="inlineStr">
        <is>
          <t>You described managing strong feelings as something you handle well.</t>
        </is>
      </c>
      <c r="J5" s="24" t="inlineStr">
        <is>
          <t>Managing strong feelings came up as a difficulty in your answers.</t>
        </is>
      </c>
      <c r="K5" s="24" t="inlineStr">
        <is>
          <t>Managing feelings</t>
        </is>
      </c>
      <c r="L5" s="24" t="inlineStr">
        <is>
          <t>https://app.executiveframe.co.nz/hub/emotional-regulation</t>
        </is>
      </c>
      <c r="M5" s="24" t="inlineStr"/>
    </row>
    <row r="6">
      <c r="A6" s="24" t="inlineStr">
        <is>
          <t>ESQ-R</t>
        </is>
      </c>
      <c r="B6" s="24" t="inlineStr">
        <is>
          <t>Behavioral Regulation</t>
        </is>
      </c>
      <c r="C6" s="24" t="inlineStr">
        <is>
          <t>behaviour</t>
        </is>
      </c>
      <c r="D6" s="24" t="inlineStr">
        <is>
          <t>Pausing before acting</t>
        </is>
      </c>
      <c r="E6" s="24" t="inlineStr">
        <is>
          <t>difficulty</t>
        </is>
      </c>
      <c r="F6" s="24" t="inlineStr">
        <is>
          <t>mean</t>
        </is>
      </c>
      <c r="G6" s="24" t="inlineStr"/>
      <c r="H6" s="24" t="inlineStr"/>
      <c r="I6" s="24" t="inlineStr">
        <is>
          <t>Pausing before acting and sticking with a plan mostly works for you.</t>
        </is>
      </c>
      <c r="J6" s="24" t="inlineStr">
        <is>
          <t>Pausing before acting and sticking with a plan came up as a difficulty in your answers.</t>
        </is>
      </c>
      <c r="K6" s="24" t="inlineStr">
        <is>
          <t>Pausing and following through</t>
        </is>
      </c>
      <c r="L6" s="24" t="inlineStr">
        <is>
          <t>https://app.executiveframe.co.nz/hub/impulse-control</t>
        </is>
      </c>
      <c r="M6" s="24" t="inlineStr"/>
    </row>
    <row r="7">
      <c r="A7" s="24" t="inlineStr">
        <is>
          <t>CFI</t>
        </is>
      </c>
      <c r="B7" s="24" t="inlineStr">
        <is>
          <t>Alternatives</t>
        </is>
      </c>
      <c r="C7" s="24" t="inlineStr">
        <is>
          <t>alternatives</t>
        </is>
      </c>
      <c r="D7" s="24" t="inlineStr">
        <is>
          <t>Seeing other options</t>
        </is>
      </c>
      <c r="E7" s="24" t="inlineStr">
        <is>
          <t>positive</t>
        </is>
      </c>
      <c r="F7" s="24" t="inlineStr">
        <is>
          <t>mean</t>
        </is>
      </c>
      <c r="G7" s="24" t="inlineStr"/>
      <c r="H7" s="24" t="inlineStr"/>
      <c r="I7" s="24" t="inlineStr">
        <is>
          <t>You described finding other ways of seeing a situation as something that comes readily to you.</t>
        </is>
      </c>
      <c r="J7" s="24" t="inlineStr">
        <is>
          <t>Your answers suggest it can be hard to see other ways of reading a situation.</t>
        </is>
      </c>
      <c r="K7" s="24" t="inlineStr">
        <is>
          <t>Thinking flexibly</t>
        </is>
      </c>
      <c r="L7" s="24" t="inlineStr">
        <is>
          <t>https://app.executiveframe.co.nz/hub/flexible-thinking</t>
        </is>
      </c>
      <c r="M7" s="24" t="inlineStr"/>
    </row>
    <row r="8">
      <c r="A8" s="24" t="inlineStr">
        <is>
          <t>CFI</t>
        </is>
      </c>
      <c r="B8" s="24" t="inlineStr">
        <is>
          <t>Control</t>
        </is>
      </c>
      <c r="C8" s="24" t="inlineStr">
        <is>
          <t>control</t>
        </is>
      </c>
      <c r="D8" s="24" t="inlineStr">
        <is>
          <t>Seeing situations as workable</t>
        </is>
      </c>
      <c r="E8" s="24" t="inlineStr">
        <is>
          <t>positive</t>
        </is>
      </c>
      <c r="F8" s="24" t="inlineStr">
        <is>
          <t>mean</t>
        </is>
      </c>
      <c r="G8" s="24" t="inlineStr"/>
      <c r="H8" s="24" t="inlineStr"/>
      <c r="I8" s="24" t="inlineStr">
        <is>
          <t>You tend to see difficult situations as ones you can do something about.</t>
        </is>
      </c>
      <c r="J8" s="24" t="inlineStr">
        <is>
          <t>Your answers suggest difficult situations can feel outside your control.</t>
        </is>
      </c>
      <c r="K8" s="24" t="inlineStr">
        <is>
          <t>Thinking flexibly</t>
        </is>
      </c>
      <c r="L8" s="24" t="inlineStr">
        <is>
          <t>https://app.executiveframe.co.nz/hub/flexible-thinking</t>
        </is>
      </c>
      <c r="M8" s="24" t="inlineStr"/>
    </row>
    <row r="9">
      <c r="A9" s="24" t="inlineStr">
        <is>
          <t>ASRS</t>
        </is>
      </c>
      <c r="B9" s="24" t="inlineStr">
        <is>
          <t>Part A (Criterion / Screener)</t>
        </is>
      </c>
      <c r="C9" s="24" t="inlineStr">
        <is>
          <t>part-a</t>
        </is>
      </c>
      <c r="D9" s="24" t="inlineStr">
        <is>
          <t>Part A</t>
        </is>
      </c>
      <c r="E9" s="24" t="inlineStr">
        <is>
          <t>none</t>
        </is>
      </c>
      <c r="F9" s="24" t="inlineStr">
        <is>
          <t>sum</t>
        </is>
      </c>
      <c r="G9" s="24" t="inlineStr"/>
      <c r="H9" s="24" t="inlineStr"/>
      <c r="I9" s="24" t="inlineStr"/>
      <c r="J9" s="24" t="inlineStr"/>
      <c r="K9" s="24" t="inlineStr"/>
      <c r="L9" s="24" t="inlineStr"/>
      <c r="M9" s="24" t="inlineStr">
        <is>
          <t>Screener. Scored for Sarah only; the hub never shows this to the client.</t>
        </is>
      </c>
    </row>
    <row r="10">
      <c r="A10" s="24" t="inlineStr">
        <is>
          <t>ASRS</t>
        </is>
      </c>
      <c r="B10" s="24" t="inlineStr">
        <is>
          <t>Part B (Additional Symptoms)</t>
        </is>
      </c>
      <c r="C10" s="24" t="inlineStr">
        <is>
          <t>part-b</t>
        </is>
      </c>
      <c r="D10" s="24" t="inlineStr">
        <is>
          <t>Part B</t>
        </is>
      </c>
      <c r="E10" s="24" t="inlineStr">
        <is>
          <t>none</t>
        </is>
      </c>
      <c r="F10" s="24" t="inlineStr">
        <is>
          <t>sum</t>
        </is>
      </c>
      <c r="G10" s="24" t="inlineStr"/>
      <c r="H10" s="24" t="inlineStr"/>
      <c r="I10" s="24" t="inlineStr"/>
      <c r="J10" s="24" t="inlineStr"/>
      <c r="K10" s="24" t="inlineStr"/>
      <c r="L10" s="24" t="inlineStr"/>
      <c r="M10" s="24" t="inlineStr">
        <is>
          <t>Scored for Sarah only.</t>
        </is>
      </c>
    </row>
    <row r="11">
      <c r="A11" s="24" t="inlineStr">
        <is>
          <t>ASRS</t>
        </is>
      </c>
      <c r="B11" s="24" t="inlineStr">
        <is>
          <t>Inattentiveness</t>
        </is>
      </c>
      <c r="C11" s="24" t="inlineStr">
        <is>
          <t>inattention</t>
        </is>
      </c>
      <c r="D11" s="24" t="inlineStr">
        <is>
          <t>Inattention</t>
        </is>
      </c>
      <c r="E11" s="24" t="inlineStr">
        <is>
          <t>none</t>
        </is>
      </c>
      <c r="F11" s="24" t="inlineStr">
        <is>
          <t>sum</t>
        </is>
      </c>
      <c r="G11" s="24" t="inlineStr"/>
      <c r="H11" s="24" t="inlineStr"/>
      <c r="I11" s="24" t="inlineStr"/>
      <c r="J11" s="24" t="inlineStr"/>
      <c r="K11" s="24" t="inlineStr"/>
      <c r="L11" s="24" t="inlineStr"/>
      <c r="M11" s="24" t="inlineStr">
        <is>
          <t>Raw sum; the dichotomous symptom count is read from the shaded boxes by Sarah.</t>
        </is>
      </c>
    </row>
    <row r="12">
      <c r="A12" s="24" t="inlineStr">
        <is>
          <t>ASRS</t>
        </is>
      </c>
      <c r="B12" s="24" t="inlineStr">
        <is>
          <t>Hyperactivity/Impulsivity - Motor</t>
        </is>
      </c>
      <c r="C12" s="24" t="inlineStr">
        <is>
          <t>motor</t>
        </is>
      </c>
      <c r="D12" s="24" t="inlineStr">
        <is>
          <t>Motor</t>
        </is>
      </c>
      <c r="E12" s="24" t="inlineStr">
        <is>
          <t>none</t>
        </is>
      </c>
      <c r="F12" s="24" t="inlineStr">
        <is>
          <t>sum</t>
        </is>
      </c>
      <c r="G12" s="24" t="inlineStr"/>
      <c r="H12" s="24" t="inlineStr"/>
      <c r="I12" s="24" t="inlineStr"/>
      <c r="J12" s="24" t="inlineStr"/>
      <c r="K12" s="24" t="inlineStr"/>
      <c r="L12" s="24" t="inlineStr"/>
      <c r="M12" s="24" t="inlineStr">
        <is>
          <t>Raw sum.</t>
        </is>
      </c>
    </row>
    <row r="13">
      <c r="A13" s="24" t="inlineStr">
        <is>
          <t>ASRS</t>
        </is>
      </c>
      <c r="B13" s="24" t="inlineStr">
        <is>
          <t>Hyperactivity/Impulsivity - Verbal</t>
        </is>
      </c>
      <c r="C13" s="24" t="inlineStr">
        <is>
          <t>verbal</t>
        </is>
      </c>
      <c r="D13" s="24" t="inlineStr">
        <is>
          <t>Verbal</t>
        </is>
      </c>
      <c r="E13" s="24" t="inlineStr">
        <is>
          <t>none</t>
        </is>
      </c>
      <c r="F13" s="24" t="inlineStr">
        <is>
          <t>sum</t>
        </is>
      </c>
      <c r="G13" s="24" t="inlineStr"/>
      <c r="H13" s="24" t="inlineStr"/>
      <c r="I13" s="24" t="inlineStr"/>
      <c r="J13" s="24" t="inlineStr"/>
      <c r="K13" s="24" t="inlineStr"/>
      <c r="L13" s="24" t="inlineStr"/>
      <c r="M13" s="24" t="inlineStr">
        <is>
          <t>Raw sum.</t>
        </is>
      </c>
    </row>
    <row r="14">
      <c r="A14" s="24" t="inlineStr">
        <is>
          <t>SKS</t>
        </is>
      </c>
      <c r="B14" s="24" t="inlineStr">
        <is>
          <t>Strengths Knowledge (total scale)</t>
        </is>
      </c>
      <c r="C14" s="24" t="inlineStr">
        <is>
          <t>total</t>
        </is>
      </c>
      <c r="D14" s="24" t="inlineStr">
        <is>
          <t>Knowing your strengths</t>
        </is>
      </c>
      <c r="E14" s="24" t="inlineStr">
        <is>
          <t>positive</t>
        </is>
      </c>
      <c r="F14" s="24" t="inlineStr">
        <is>
          <t>mean</t>
        </is>
      </c>
      <c r="G14" s="24" t="inlineStr"/>
      <c r="H14" s="24" t="inlineStr"/>
      <c r="I14" s="24" t="inlineStr">
        <is>
          <t>You have a clear sense of what your strengths are.</t>
        </is>
      </c>
      <c r="J14" s="24" t="inlineStr">
        <is>
          <t>Your answers suggest you are not yet sure what your strengths are, which is a good place to start.</t>
        </is>
      </c>
      <c r="K14" s="24" t="inlineStr">
        <is>
          <t>Finding your strengths</t>
        </is>
      </c>
      <c r="L14" s="24" t="inlineStr">
        <is>
          <t>https://app.executiveframe.co.nz/hub/strengths</t>
        </is>
      </c>
      <c r="M14" s="24" t="inlineStr"/>
    </row>
    <row r="15">
      <c r="A15" s="24" t="inlineStr">
        <is>
          <t>SUS</t>
        </is>
      </c>
      <c r="B15" s="24" t="inlineStr">
        <is>
          <t>Strengths Use (total scale)</t>
        </is>
      </c>
      <c r="C15" s="24" t="inlineStr">
        <is>
          <t>total</t>
        </is>
      </c>
      <c r="D15" s="24" t="inlineStr">
        <is>
          <t>Using your strengths</t>
        </is>
      </c>
      <c r="E15" s="24" t="inlineStr">
        <is>
          <t>positive</t>
        </is>
      </c>
      <c r="F15" s="24" t="inlineStr">
        <is>
          <t>mean</t>
        </is>
      </c>
      <c r="G15" s="24" t="inlineStr"/>
      <c r="H15" s="24" t="inlineStr"/>
      <c r="I15" s="24" t="inlineStr">
        <is>
          <t>You described using your strengths often, at work and beyond.</t>
        </is>
      </c>
      <c r="J15" s="24" t="inlineStr">
        <is>
          <t>Your answers suggest your strengths do not get much use day to day.</t>
        </is>
      </c>
      <c r="K15" s="24" t="inlineStr">
        <is>
          <t>Using your strengths</t>
        </is>
      </c>
      <c r="L15" s="24" t="inlineStr">
        <is>
          <t>https://app.executiveframe.co.nz/hub/strengths-use</t>
        </is>
      </c>
      <c r="M15" s="24" t="inlineStr"/>
    </row>
    <row r="16">
      <c r="A16" s="24" t="inlineStr">
        <is>
          <t>SSES</t>
        </is>
      </c>
      <c r="B16" s="24" t="inlineStr">
        <is>
          <t>Strengths Self-Efficacy (total scale)</t>
        </is>
      </c>
      <c r="C16" s="24" t="inlineStr">
        <is>
          <t>total</t>
        </is>
      </c>
      <c r="D16" s="24" t="inlineStr">
        <is>
          <t>Confidence in your strengths</t>
        </is>
      </c>
      <c r="E16" s="24" t="inlineStr">
        <is>
          <t>positive</t>
        </is>
      </c>
      <c r="F16" s="24" t="inlineStr">
        <is>
          <t>mean</t>
        </is>
      </c>
      <c r="G16" s="24" t="inlineStr"/>
      <c r="H16" s="24" t="inlineStr"/>
      <c r="I16" s="24" t="inlineStr">
        <is>
          <t>You feel confident applying your strengths when it counts.</t>
        </is>
      </c>
      <c r="J16" s="24" t="inlineStr">
        <is>
          <t>Your answers suggest you are not yet confident putting your strengths to use.</t>
        </is>
      </c>
      <c r="K16" s="24" t="inlineStr">
        <is>
          <t>Using your strengths</t>
        </is>
      </c>
      <c r="L16" s="24" t="inlineStr">
        <is>
          <t>https://app.executiveframe.co.nz/hub/strengths-use</t>
        </is>
      </c>
      <c r="M16" s="24" t="inlineStr"/>
    </row>
    <row r="17">
      <c r="A17" s="24" t="inlineStr">
        <is>
          <t>CSES</t>
        </is>
      </c>
      <c r="B17" s="24" t="inlineStr">
        <is>
          <t>Core Self-Evaluations (total scale, unidimensional)</t>
        </is>
      </c>
      <c r="C17" s="24" t="inlineStr">
        <is>
          <t>total</t>
        </is>
      </c>
      <c r="D17" s="24" t="inlineStr">
        <is>
          <t>How you see yourself</t>
        </is>
      </c>
      <c r="E17" s="24" t="inlineStr">
        <is>
          <t>positive</t>
        </is>
      </c>
      <c r="F17" s="24" t="inlineStr">
        <is>
          <t>mean</t>
        </is>
      </c>
      <c r="G17" s="24" t="inlineStr"/>
      <c r="H17" s="24" t="inlineStr"/>
      <c r="I17" s="24" t="inlineStr">
        <is>
          <t>You described a steady, positive view of yourself and what you can do.</t>
        </is>
      </c>
      <c r="J17" s="24" t="inlineStr">
        <is>
          <t>Your answers suggest your view of yourself can be harsh or uncertain.</t>
        </is>
      </c>
      <c r="K17" s="24" t="inlineStr">
        <is>
          <t>How you see yourself</t>
        </is>
      </c>
      <c r="L17" s="24" t="inlineStr">
        <is>
          <t>https://app.executiveframe.co.nz/hub/self-view</t>
        </is>
      </c>
      <c r="M17" s="24" t="inlineStr"/>
    </row>
    <row r="18">
      <c r="A18" s="24" t="inlineStr">
        <is>
          <t>PES</t>
        </is>
      </c>
      <c r="B18" s="24" t="inlineStr">
        <is>
          <t>Meaning</t>
        </is>
      </c>
      <c r="C18" s="24" t="inlineStr">
        <is>
          <t>meaning</t>
        </is>
      </c>
      <c r="D18" s="24" t="inlineStr">
        <is>
          <t>Meaning in your work</t>
        </is>
      </c>
      <c r="E18" s="24" t="inlineStr">
        <is>
          <t>positive</t>
        </is>
      </c>
      <c r="F18" s="24" t="inlineStr">
        <is>
          <t>mean</t>
        </is>
      </c>
      <c r="G18" s="24" t="inlineStr"/>
      <c r="H18" s="24" t="inlineStr"/>
      <c r="I18" s="24" t="inlineStr">
        <is>
          <t>Your work feels meaningful to you.</t>
        </is>
      </c>
      <c r="J18" s="24" t="inlineStr">
        <is>
          <t>Your answers suggest your work does not feel very meaningful at the moment.</t>
        </is>
      </c>
      <c r="K18" s="24" t="inlineStr">
        <is>
          <t>Meaning at work</t>
        </is>
      </c>
      <c r="L18" s="24" t="inlineStr">
        <is>
          <t>https://app.executiveframe.co.nz/hub/meaning</t>
        </is>
      </c>
      <c r="M18" s="24" t="inlineStr"/>
    </row>
    <row r="19">
      <c r="A19" s="24" t="inlineStr">
        <is>
          <t>PES</t>
        </is>
      </c>
      <c r="B19" s="24" t="inlineStr">
        <is>
          <t>Competence</t>
        </is>
      </c>
      <c r="C19" s="24" t="inlineStr">
        <is>
          <t>competence</t>
        </is>
      </c>
      <c r="D19" s="24" t="inlineStr">
        <is>
          <t>Confidence in your work</t>
        </is>
      </c>
      <c r="E19" s="24" t="inlineStr">
        <is>
          <t>positive</t>
        </is>
      </c>
      <c r="F19" s="24" t="inlineStr">
        <is>
          <t>mean</t>
        </is>
      </c>
      <c r="G19" s="24" t="inlineStr"/>
      <c r="H19" s="24" t="inlineStr"/>
      <c r="I19" s="24" t="inlineStr">
        <is>
          <t>You feel capable in your work.</t>
        </is>
      </c>
      <c r="J19" s="24" t="inlineStr">
        <is>
          <t>Your answers suggest you are not feeling confident in your work right now.</t>
        </is>
      </c>
      <c r="K19" s="24" t="inlineStr">
        <is>
          <t>Confidence at work</t>
        </is>
      </c>
      <c r="L19" s="24" t="inlineStr">
        <is>
          <t>https://app.executiveframe.co.nz/hub/competence</t>
        </is>
      </c>
      <c r="M19" s="24" t="inlineStr"/>
    </row>
    <row r="20">
      <c r="A20" s="24" t="inlineStr">
        <is>
          <t>PES</t>
        </is>
      </c>
      <c r="B20" s="24" t="inlineStr">
        <is>
          <t>Self-Determination</t>
        </is>
      </c>
      <c r="C20" s="24" t="inlineStr">
        <is>
          <t>autonomy</t>
        </is>
      </c>
      <c r="D20" s="24" t="inlineStr">
        <is>
          <t>Choice in how you work</t>
        </is>
      </c>
      <c r="E20" s="24" t="inlineStr">
        <is>
          <t>positive</t>
        </is>
      </c>
      <c r="F20" s="24" t="inlineStr">
        <is>
          <t>mean</t>
        </is>
      </c>
      <c r="G20" s="24" t="inlineStr"/>
      <c r="H20" s="24" t="inlineStr"/>
      <c r="I20" s="24" t="inlineStr">
        <is>
          <t>You have a good deal of say in how you do your work.</t>
        </is>
      </c>
      <c r="J20" s="24" t="inlineStr">
        <is>
          <t>Your answers suggest you have little say in how you do your work.</t>
        </is>
      </c>
      <c r="K20" s="24" t="inlineStr">
        <is>
          <t>Choice and autonomy at work</t>
        </is>
      </c>
      <c r="L20" s="24" t="inlineStr">
        <is>
          <t>https://app.executiveframe.co.nz/hub/autonomy</t>
        </is>
      </c>
      <c r="M20" s="24" t="inlineStr"/>
    </row>
    <row r="21">
      <c r="A21" s="24" t="inlineStr">
        <is>
          <t>PES</t>
        </is>
      </c>
      <c r="B21" s="24" t="inlineStr">
        <is>
          <t>Impact</t>
        </is>
      </c>
      <c r="C21" s="24" t="inlineStr">
        <is>
          <t>impact</t>
        </is>
      </c>
      <c r="D21" s="24" t="inlineStr">
        <is>
          <t>Influence at work</t>
        </is>
      </c>
      <c r="E21" s="24" t="inlineStr">
        <is>
          <t>positive</t>
        </is>
      </c>
      <c r="F21" s="24" t="inlineStr">
        <is>
          <t>mean</t>
        </is>
      </c>
      <c r="G21" s="24" t="inlineStr"/>
      <c r="H21" s="24" t="inlineStr"/>
      <c r="I21" s="24" t="inlineStr">
        <is>
          <t>You feel your work makes a difference where you are.</t>
        </is>
      </c>
      <c r="J21" s="24" t="inlineStr">
        <is>
          <t>Your answers suggest you feel your work has little influence on what happens around you.</t>
        </is>
      </c>
      <c r="K21" s="24" t="inlineStr">
        <is>
          <t>Influence at work</t>
        </is>
      </c>
      <c r="L21" s="24" t="inlineStr">
        <is>
          <t>https://app.executiveframe.co.nz/hub/impact</t>
        </is>
      </c>
      <c r="M21" s="24" t="inlineStr"/>
    </row>
    <row r="22">
      <c r="A22" s="24" t="inlineStr">
        <is>
          <t>DASS-21</t>
        </is>
      </c>
      <c r="B22" s="24" t="inlineStr">
        <is>
          <t>Depression</t>
        </is>
      </c>
      <c r="C22" s="24" t="inlineStr">
        <is>
          <t>depression</t>
        </is>
      </c>
      <c r="D22" s="24" t="inlineStr">
        <is>
          <t>Depression</t>
        </is>
      </c>
      <c r="E22" s="24" t="inlineStr">
        <is>
          <t>difficulty</t>
        </is>
      </c>
      <c r="F22" s="24" t="inlineStr">
        <is>
          <t>sum</t>
        </is>
      </c>
      <c r="G22" s="24" t="inlineStr"/>
      <c r="H22" s="24" t="n">
        <v>4</v>
      </c>
      <c r="I22" s="24" t="inlineStr"/>
      <c r="J22" s="24" t="inlineStr"/>
      <c r="K22" s="24" t="inlineStr"/>
      <c r="L22" s="24" t="inlineStr"/>
      <c r="M22" s="24" t="inlineStr">
        <is>
          <t>Raw sum of 7 items. Doubled score: normal 0 to 9. Sarah only.</t>
        </is>
      </c>
    </row>
    <row r="23">
      <c r="A23" s="24" t="inlineStr">
        <is>
          <t>DASS-21</t>
        </is>
      </c>
      <c r="B23" s="24" t="inlineStr">
        <is>
          <t>Anxiety</t>
        </is>
      </c>
      <c r="C23" s="24" t="inlineStr">
        <is>
          <t>anxiety</t>
        </is>
      </c>
      <c r="D23" s="24" t="inlineStr">
        <is>
          <t>Anxiety</t>
        </is>
      </c>
      <c r="E23" s="24" t="inlineStr">
        <is>
          <t>difficulty</t>
        </is>
      </c>
      <c r="F23" s="24" t="inlineStr">
        <is>
          <t>sum</t>
        </is>
      </c>
      <c r="G23" s="24" t="inlineStr"/>
      <c r="H23" s="24" t="n">
        <v>3</v>
      </c>
      <c r="I23" s="24" t="inlineStr"/>
      <c r="J23" s="24" t="inlineStr"/>
      <c r="K23" s="24" t="inlineStr"/>
      <c r="L23" s="24" t="inlineStr"/>
      <c r="M23" s="24" t="inlineStr">
        <is>
          <t>Raw sum. Doubled score: normal 0 to 7. Sarah only.</t>
        </is>
      </c>
    </row>
    <row r="24">
      <c r="A24" s="24" t="inlineStr">
        <is>
          <t>DASS-21</t>
        </is>
      </c>
      <c r="B24" s="24" t="inlineStr">
        <is>
          <t>Stress</t>
        </is>
      </c>
      <c r="C24" s="24" t="inlineStr">
        <is>
          <t>stress</t>
        </is>
      </c>
      <c r="D24" s="24" t="inlineStr">
        <is>
          <t>Stress</t>
        </is>
      </c>
      <c r="E24" s="24" t="inlineStr">
        <is>
          <t>difficulty</t>
        </is>
      </c>
      <c r="F24" s="24" t="inlineStr">
        <is>
          <t>sum</t>
        </is>
      </c>
      <c r="G24" s="24" t="inlineStr"/>
      <c r="H24" s="24" t="n">
        <v>7</v>
      </c>
      <c r="I24" s="24" t="inlineStr"/>
      <c r="J24" s="24" t="inlineStr"/>
      <c r="K24" s="24" t="inlineStr"/>
      <c r="L24" s="24" t="inlineStr"/>
      <c r="M24" s="24" t="inlineStr">
        <is>
          <t>Raw sum. Doubled score: normal 0 to 14. Sarah only.</t>
        </is>
      </c>
    </row>
    <row r="25">
      <c r="A25" s="24" t="inlineStr">
        <is>
          <t>PTQ</t>
        </is>
      </c>
      <c r="B25" s="24" t="inlineStr">
        <is>
          <t>Core Characteristics of Repetitive Negative Thinking</t>
        </is>
      </c>
      <c r="C25" s="24" t="inlineStr">
        <is>
          <t>core</t>
        </is>
      </c>
      <c r="D25" s="24" t="inlineStr">
        <is>
          <t>Thoughts that go round</t>
        </is>
      </c>
      <c r="E25" s="24" t="inlineStr">
        <is>
          <t>difficulty</t>
        </is>
      </c>
      <c r="F25" s="24" t="inlineStr">
        <is>
          <t>mean</t>
        </is>
      </c>
      <c r="G25" s="24" t="inlineStr"/>
      <c r="H25" s="24" t="inlineStr"/>
      <c r="I25" s="24" t="inlineStr">
        <is>
          <t>Thoughts that repeat do not seem to take hold for long with you.</t>
        </is>
      </c>
      <c r="J25" s="24" t="inlineStr">
        <is>
          <t>Thoughts that go round and are hard to stop came up often in your answers.</t>
        </is>
      </c>
      <c r="K25" s="24" t="inlineStr">
        <is>
          <t>Repetitive thinking</t>
        </is>
      </c>
      <c r="L25" s="24" t="inlineStr">
        <is>
          <t>https://app.executiveframe.co.nz/hub/repetitive-thinking</t>
        </is>
      </c>
      <c r="M25" s="24" t="inlineStr"/>
    </row>
    <row r="26">
      <c r="A26" s="24" t="inlineStr">
        <is>
          <t>PTQ</t>
        </is>
      </c>
      <c r="B26" s="24" t="inlineStr">
        <is>
          <t>Unproductiveness</t>
        </is>
      </c>
      <c r="C26" s="24" t="inlineStr">
        <is>
          <t>unproductive</t>
        </is>
      </c>
      <c r="D26" s="24" t="inlineStr">
        <is>
          <t>Thinking that goes nowhere</t>
        </is>
      </c>
      <c r="E26" s="24" t="inlineStr">
        <is>
          <t>difficulty</t>
        </is>
      </c>
      <c r="F26" s="24" t="inlineStr">
        <is>
          <t>mean</t>
        </is>
      </c>
      <c r="G26" s="24" t="inlineStr"/>
      <c r="H26" s="24" t="inlineStr"/>
      <c r="I26" s="24" t="inlineStr">
        <is>
          <t>When you think things over, it tends to get you somewhere.</t>
        </is>
      </c>
      <c r="J26" s="24" t="inlineStr">
        <is>
          <t>Your answers suggest a lot of thinking that does not lead anywhere useful.</t>
        </is>
      </c>
      <c r="K26" s="24" t="inlineStr">
        <is>
          <t>Repetitive thinking</t>
        </is>
      </c>
      <c r="L26" s="24" t="inlineStr">
        <is>
          <t>https://app.executiveframe.co.nz/hub/repetitive-thinking</t>
        </is>
      </c>
      <c r="M26" s="24" t="inlineStr"/>
    </row>
    <row r="27">
      <c r="A27" s="24" t="inlineStr">
        <is>
          <t>PTQ</t>
        </is>
      </c>
      <c r="B27" s="24" t="inlineStr">
        <is>
          <t>Capturing Mental Capacity</t>
        </is>
      </c>
      <c r="C27" s="24" t="inlineStr">
        <is>
          <t>capacity</t>
        </is>
      </c>
      <c r="D27" s="24" t="inlineStr">
        <is>
          <t>Thinking that takes over</t>
        </is>
      </c>
      <c r="E27" s="24" t="inlineStr">
        <is>
          <t>difficulty</t>
        </is>
      </c>
      <c r="F27" s="24" t="inlineStr">
        <is>
          <t>mean</t>
        </is>
      </c>
      <c r="G27" s="24" t="inlineStr"/>
      <c r="H27" s="24" t="inlineStr"/>
      <c r="I27" s="24" t="inlineStr">
        <is>
          <t>Your thinking leaves you room for other things.</t>
        </is>
      </c>
      <c r="J27" s="24" t="inlineStr">
        <is>
          <t>Your answers suggest repetitive thinking takes up a lot of your mental space.</t>
        </is>
      </c>
      <c r="K27" s="24" t="inlineStr">
        <is>
          <t>Repetitive thinking</t>
        </is>
      </c>
      <c r="L27" s="24" t="inlineStr">
        <is>
          <t>https://app.executiveframe.co.nz/hub/repetitive-thinking</t>
        </is>
      </c>
      <c r="M27" s="24" t="inlineStr"/>
    </row>
    <row r="28">
      <c r="A28" s="24" t="inlineStr">
        <is>
          <t>RRS</t>
        </is>
      </c>
      <c r="B28" s="24" t="inlineStr">
        <is>
          <t>Brooding</t>
        </is>
      </c>
      <c r="C28" s="24" t="inlineStr">
        <is>
          <t>brooding</t>
        </is>
      </c>
      <c r="D28" s="24" t="inlineStr">
        <is>
          <t>Dwelling on what is wrong</t>
        </is>
      </c>
      <c r="E28" s="24" t="inlineStr">
        <is>
          <t>difficulty</t>
        </is>
      </c>
      <c r="F28" s="24" t="inlineStr">
        <is>
          <t>mean</t>
        </is>
      </c>
      <c r="G28" s="24" t="inlineStr"/>
      <c r="H28" s="24" t="inlineStr"/>
      <c r="I28" s="24" t="inlineStr">
        <is>
          <t>You do not tend to get stuck dwelling on what is wrong.</t>
        </is>
      </c>
      <c r="J28" s="24" t="inlineStr">
        <is>
          <t>Dwelling on what is wrong came up often in your answers.</t>
        </is>
      </c>
      <c r="K28" s="24" t="inlineStr">
        <is>
          <t>Getting unstuck from low mood</t>
        </is>
      </c>
      <c r="L28" s="24" t="inlineStr">
        <is>
          <t>https://app.executiveframe.co.nz/hub/brooding</t>
        </is>
      </c>
      <c r="M28" s="24" t="inlineStr"/>
    </row>
    <row r="29">
      <c r="A29" s="24" t="inlineStr">
        <is>
          <t>RRS</t>
        </is>
      </c>
      <c r="B29" s="24" t="inlineStr">
        <is>
          <t>Reflection</t>
        </is>
      </c>
      <c r="C29" s="24" t="inlineStr">
        <is>
          <t>reflection</t>
        </is>
      </c>
      <c r="D29" s="24" t="inlineStr">
        <is>
          <t>Reflecting on low mood</t>
        </is>
      </c>
      <c r="E29" s="24" t="inlineStr">
        <is>
          <t>none</t>
        </is>
      </c>
      <c r="F29" s="24" t="inlineStr">
        <is>
          <t>mean</t>
        </is>
      </c>
      <c r="G29" s="24" t="inlineStr"/>
      <c r="H29" s="24" t="inlineStr"/>
      <c r="I29" s="24" t="inlineStr"/>
      <c r="J29" s="24" t="inlineStr"/>
      <c r="K29" s="24" t="inlineStr"/>
      <c r="L29" s="24" t="inlineStr"/>
      <c r="M29" s="24" t="inlineStr">
        <is>
          <t>Reflection can be helpful or unhelpful; numbers only.</t>
        </is>
      </c>
    </row>
    <row r="30">
      <c r="A30" s="24" t="inlineStr">
        <is>
          <t>RRS</t>
        </is>
      </c>
      <c r="B30" s="24" t="inlineStr">
        <is>
          <t>Depression-related items (not scored as a subscale)</t>
        </is>
      </c>
      <c r="C30" s="24" t="inlineStr">
        <is>
          <t>depressive</t>
        </is>
      </c>
      <c r="D30" s="24" t="inlineStr">
        <is>
          <t>Depression related items</t>
        </is>
      </c>
      <c r="E30" s="24" t="inlineStr">
        <is>
          <t>none</t>
        </is>
      </c>
      <c r="F30" s="24" t="inlineStr">
        <is>
          <t>mean</t>
        </is>
      </c>
      <c r="G30" s="24" t="inlineStr"/>
      <c r="H30" s="24" t="inlineStr"/>
      <c r="I30" s="24" t="inlineStr"/>
      <c r="J30" s="24" t="inlineStr"/>
      <c r="K30" s="24" t="inlineStr"/>
      <c r="L30" s="24" t="inlineStr"/>
      <c r="M30" s="24" t="inlineStr">
        <is>
          <t>Not recommended for coaching use; numbers only.</t>
        </is>
      </c>
    </row>
    <row r="31">
      <c r="A31" s="24" t="inlineStr">
        <is>
          <t>FSCRS</t>
        </is>
      </c>
      <c r="B31" s="24" t="inlineStr">
        <is>
          <t>Inadequate Self</t>
        </is>
      </c>
      <c r="C31" s="24" t="inlineStr">
        <is>
          <t>inadequate</t>
        </is>
      </c>
      <c r="D31" s="24" t="inlineStr">
        <is>
          <t>Feeling not good enough</t>
        </is>
      </c>
      <c r="E31" s="24" t="inlineStr">
        <is>
          <t>difficulty</t>
        </is>
      </c>
      <c r="F31" s="24" t="inlineStr">
        <is>
          <t>mean</t>
        </is>
      </c>
      <c r="G31" s="24" t="inlineStr"/>
      <c r="H31" s="24" t="inlineStr"/>
      <c r="I31" s="24" t="inlineStr">
        <is>
          <t>You do not tend to come down hard on yourself when things go wrong.</t>
        </is>
      </c>
      <c r="J31" s="24" t="inlineStr">
        <is>
          <t>Feeling not good enough when things go wrong came up often in your answers.</t>
        </is>
      </c>
      <c r="K31" s="24" t="inlineStr">
        <is>
          <t>Self criticism</t>
        </is>
      </c>
      <c r="L31" s="24" t="inlineStr">
        <is>
          <t>https://app.executiveframe.co.nz/hub/self-criticism</t>
        </is>
      </c>
      <c r="M31" s="24" t="inlineStr"/>
    </row>
    <row r="32">
      <c r="A32" s="24" t="inlineStr">
        <is>
          <t>FSCRS</t>
        </is>
      </c>
      <c r="B32" s="24" t="inlineStr">
        <is>
          <t>Hated Self</t>
        </is>
      </c>
      <c r="C32" s="24" t="inlineStr">
        <is>
          <t>hated</t>
        </is>
      </c>
      <c r="D32" s="24" t="inlineStr">
        <is>
          <t>Harsh self attack</t>
        </is>
      </c>
      <c r="E32" s="24" t="inlineStr">
        <is>
          <t>difficulty</t>
        </is>
      </c>
      <c r="F32" s="24" t="inlineStr">
        <is>
          <t>mean</t>
        </is>
      </c>
      <c r="G32" s="24" t="inlineStr"/>
      <c r="H32" s="24" t="inlineStr"/>
      <c r="I32" s="24" t="inlineStr"/>
      <c r="J32" s="24" t="inlineStr">
        <is>
          <t>Your answers include some very harsh thoughts about yourself, which Sarah will talk through with you.</t>
        </is>
      </c>
      <c r="K32" s="24" t="inlineStr">
        <is>
          <t>Self criticism</t>
        </is>
      </c>
      <c r="L32" s="24" t="inlineStr">
        <is>
          <t>https://app.executiveframe.co.nz/hub/self-criticism</t>
        </is>
      </c>
      <c r="M32" s="24" t="inlineStr">
        <is>
          <t>No strength wording; focus wording is deliberately gentle.</t>
        </is>
      </c>
    </row>
    <row r="33">
      <c r="A33" s="24" t="inlineStr">
        <is>
          <t>FSCRS</t>
        </is>
      </c>
      <c r="B33" s="24" t="inlineStr">
        <is>
          <t>Reassured Self</t>
        </is>
      </c>
      <c r="C33" s="24" t="inlineStr">
        <is>
          <t>reassured</t>
        </is>
      </c>
      <c r="D33" s="24" t="inlineStr">
        <is>
          <t>Reassuring yourself</t>
        </is>
      </c>
      <c r="E33" s="24" t="inlineStr">
        <is>
          <t>positive</t>
        </is>
      </c>
      <c r="F33" s="24" t="inlineStr">
        <is>
          <t>mean</t>
        </is>
      </c>
      <c r="G33" s="24" t="inlineStr"/>
      <c r="H33" s="24" t="inlineStr"/>
      <c r="I33" s="24" t="inlineStr">
        <is>
          <t>You are able to be kind and reassuring to yourself when things go wrong.</t>
        </is>
      </c>
      <c r="J33" s="24" t="inlineStr">
        <is>
          <t>Your answers suggest reassuring yourself when things go wrong does not come easily yet.</t>
        </is>
      </c>
      <c r="K33" s="24" t="inlineStr">
        <is>
          <t>Self compassion</t>
        </is>
      </c>
      <c r="L33" s="24" t="inlineStr">
        <is>
          <t>https://app.executiveframe.co.nz/hub/self-compassion</t>
        </is>
      </c>
      <c r="M33" s="24" t="inlineStr"/>
    </row>
    <row r="34">
      <c r="A34" s="24" t="inlineStr">
        <is>
          <t>PCI</t>
        </is>
      </c>
      <c r="B34" s="24" t="inlineStr">
        <is>
          <t>Perfectionism Cognitions (total scale)</t>
        </is>
      </c>
      <c r="C34" s="24" t="inlineStr">
        <is>
          <t>total</t>
        </is>
      </c>
      <c r="D34" s="24" t="inlineStr">
        <is>
          <t>Perfectionistic thoughts</t>
        </is>
      </c>
      <c r="E34" s="24" t="inlineStr">
        <is>
          <t>difficulty</t>
        </is>
      </c>
      <c r="F34" s="24" t="inlineStr">
        <is>
          <t>mean</t>
        </is>
      </c>
      <c r="G34" s="24" t="inlineStr"/>
      <c r="H34" s="24" t="inlineStr"/>
      <c r="I34" s="24" t="inlineStr">
        <is>
          <t>Thoughts about needing to be perfect do not seem to feature much for you.</t>
        </is>
      </c>
      <c r="J34" s="24" t="inlineStr">
        <is>
          <t>Thoughts about needing to be perfect came up often in your answers.</t>
        </is>
      </c>
      <c r="K34" s="24" t="inlineStr">
        <is>
          <t>Perfectionism</t>
        </is>
      </c>
      <c r="L34" s="24" t="inlineStr">
        <is>
          <t>https://app.executiveframe.co.nz/hub/perfectionism</t>
        </is>
      </c>
      <c r="M34" s="24" t="inlineStr"/>
    </row>
    <row r="35">
      <c r="A35" s="24" t="inlineStr">
        <is>
          <t>SCS-SF</t>
        </is>
      </c>
      <c r="B35" s="24" t="inlineStr">
        <is>
          <t>Self-Kindness</t>
        </is>
      </c>
      <c r="C35" s="24" t="inlineStr">
        <is>
          <t>kindness</t>
        </is>
      </c>
      <c r="D35" s="24" t="inlineStr">
        <is>
          <t>Being kind to yourself</t>
        </is>
      </c>
      <c r="E35" s="24" t="inlineStr">
        <is>
          <t>positive</t>
        </is>
      </c>
      <c r="F35" s="24" t="inlineStr">
        <is>
          <t>mean</t>
        </is>
      </c>
      <c r="G35" s="24" t="inlineStr"/>
      <c r="H35" s="24" t="inlineStr"/>
      <c r="I35" s="24" t="inlineStr">
        <is>
          <t>You tend to treat yourself with kindness.</t>
        </is>
      </c>
      <c r="J35" s="24" t="inlineStr">
        <is>
          <t>Your answers suggest being kind to yourself does not come easily.</t>
        </is>
      </c>
      <c r="K35" s="24" t="inlineStr">
        <is>
          <t>Self compassion</t>
        </is>
      </c>
      <c r="L35" s="24" t="inlineStr">
        <is>
          <t>https://app.executiveframe.co.nz/hub/self-compassion</t>
        </is>
      </c>
      <c r="M35" s="24" t="inlineStr"/>
    </row>
    <row r="36">
      <c r="A36" s="24" t="inlineStr">
        <is>
          <t>SCS-SF</t>
        </is>
      </c>
      <c r="B36" s="24" t="inlineStr">
        <is>
          <t>Self-Judgment</t>
        </is>
      </c>
      <c r="C36" s="24" t="inlineStr">
        <is>
          <t>judgment</t>
        </is>
      </c>
      <c r="D36" s="24" t="inlineStr">
        <is>
          <t>Easing self judgement</t>
        </is>
      </c>
      <c r="E36" s="24" t="inlineStr">
        <is>
          <t>positive</t>
        </is>
      </c>
      <c r="F36" s="24" t="inlineStr">
        <is>
          <t>mean</t>
        </is>
      </c>
      <c r="G36" s="24" t="inlineStr"/>
      <c r="H36" s="24" t="inlineStr"/>
      <c r="I36" s="24" t="inlineStr">
        <is>
          <t>You tend not to judge yourself harshly.</t>
        </is>
      </c>
      <c r="J36" s="24" t="inlineStr">
        <is>
          <t>Your answers suggest you judge yourself harshly.</t>
        </is>
      </c>
      <c r="K36" s="24" t="inlineStr">
        <is>
          <t>Self compassion</t>
        </is>
      </c>
      <c r="L36" s="24" t="inlineStr">
        <is>
          <t>https://app.executiveframe.co.nz/hub/self-compassion</t>
        </is>
      </c>
      <c r="M36" s="24" t="inlineStr">
        <is>
          <t>Reverse scored, so higher is better.</t>
        </is>
      </c>
    </row>
    <row r="37">
      <c r="A37" s="24" t="inlineStr">
        <is>
          <t>SCS-SF</t>
        </is>
      </c>
      <c r="B37" s="24" t="inlineStr">
        <is>
          <t>Common Humanity</t>
        </is>
      </c>
      <c r="C37" s="24" t="inlineStr">
        <is>
          <t>humanity</t>
        </is>
      </c>
      <c r="D37" s="24" t="inlineStr">
        <is>
          <t>Feeling you are not alone</t>
        </is>
      </c>
      <c r="E37" s="24" t="inlineStr">
        <is>
          <t>positive</t>
        </is>
      </c>
      <c r="F37" s="24" t="inlineStr">
        <is>
          <t>mean</t>
        </is>
      </c>
      <c r="G37" s="24" t="inlineStr"/>
      <c r="H37" s="24" t="inlineStr"/>
      <c r="I37" s="24" t="inlineStr">
        <is>
          <t>You see your struggles as part of being human.</t>
        </is>
      </c>
      <c r="J37" s="24" t="inlineStr">
        <is>
          <t>Your answers suggest your struggles feel like yours alone.</t>
        </is>
      </c>
      <c r="K37" s="24" t="inlineStr">
        <is>
          <t>Self compassion</t>
        </is>
      </c>
      <c r="L37" s="24" t="inlineStr">
        <is>
          <t>https://app.executiveframe.co.nz/hub/self-compassion</t>
        </is>
      </c>
      <c r="M37" s="24" t="inlineStr"/>
    </row>
    <row r="38">
      <c r="A38" s="24" t="inlineStr">
        <is>
          <t>SCS-SF</t>
        </is>
      </c>
      <c r="B38" s="24" t="inlineStr">
        <is>
          <t>Isolation</t>
        </is>
      </c>
      <c r="C38" s="24" t="inlineStr">
        <is>
          <t>isolation</t>
        </is>
      </c>
      <c r="D38" s="24" t="inlineStr">
        <is>
          <t>Feeling less isolated</t>
        </is>
      </c>
      <c r="E38" s="24" t="inlineStr">
        <is>
          <t>positive</t>
        </is>
      </c>
      <c r="F38" s="24" t="inlineStr">
        <is>
          <t>mean</t>
        </is>
      </c>
      <c r="G38" s="24" t="inlineStr"/>
      <c r="H38" s="24" t="inlineStr"/>
      <c r="I38" s="24" t="inlineStr">
        <is>
          <t>You tend not to feel cut off from others when things are hard.</t>
        </is>
      </c>
      <c r="J38" s="24" t="inlineStr">
        <is>
          <t>Your answers suggest you feel cut off from others when things are hard.</t>
        </is>
      </c>
      <c r="K38" s="24" t="inlineStr">
        <is>
          <t>Self compassion</t>
        </is>
      </c>
      <c r="L38" s="24" t="inlineStr">
        <is>
          <t>https://app.executiveframe.co.nz/hub/self-compassion</t>
        </is>
      </c>
      <c r="M38" s="24" t="inlineStr">
        <is>
          <t>Reverse scored, so higher is better.</t>
        </is>
      </c>
    </row>
    <row r="39">
      <c r="A39" s="24" t="inlineStr">
        <is>
          <t>SCS-SF</t>
        </is>
      </c>
      <c r="B39" s="24" t="inlineStr">
        <is>
          <t>Mindfulness</t>
        </is>
      </c>
      <c r="C39" s="24" t="inlineStr">
        <is>
          <t>mindfulness</t>
        </is>
      </c>
      <c r="D39" s="24" t="inlineStr">
        <is>
          <t>Keeping perspective</t>
        </is>
      </c>
      <c r="E39" s="24" t="inlineStr">
        <is>
          <t>positive</t>
        </is>
      </c>
      <c r="F39" s="24" t="inlineStr">
        <is>
          <t>mean</t>
        </is>
      </c>
      <c r="G39" s="24" t="inlineStr"/>
      <c r="H39" s="24" t="inlineStr"/>
      <c r="I39" s="24" t="inlineStr">
        <is>
          <t>You tend to keep feelings in perspective.</t>
        </is>
      </c>
      <c r="J39" s="24" t="inlineStr">
        <is>
          <t>Your answers suggest difficult feelings can crowd out perspective.</t>
        </is>
      </c>
      <c r="K39" s="24" t="inlineStr">
        <is>
          <t>Self compassion</t>
        </is>
      </c>
      <c r="L39" s="24" t="inlineStr">
        <is>
          <t>https://app.executiveframe.co.nz/hub/self-compassion</t>
        </is>
      </c>
      <c r="M39" s="24" t="inlineStr"/>
    </row>
    <row r="40">
      <c r="A40" s="24" t="inlineStr">
        <is>
          <t>SCS-SF</t>
        </is>
      </c>
      <c r="B40" s="24" t="inlineStr">
        <is>
          <t>Over-Identification</t>
        </is>
      </c>
      <c r="C40" s="24" t="inlineStr">
        <is>
          <t>overidentification</t>
        </is>
      </c>
      <c r="D40" s="24" t="inlineStr">
        <is>
          <t>Not getting swept up</t>
        </is>
      </c>
      <c r="E40" s="24" t="inlineStr">
        <is>
          <t>positive</t>
        </is>
      </c>
      <c r="F40" s="24" t="inlineStr">
        <is>
          <t>mean</t>
        </is>
      </c>
      <c r="G40" s="24" t="inlineStr"/>
      <c r="H40" s="24" t="inlineStr"/>
      <c r="I40" s="24" t="inlineStr">
        <is>
          <t>You tend not to get swept up in difficult feelings.</t>
        </is>
      </c>
      <c r="J40" s="24" t="inlineStr">
        <is>
          <t>Your answers suggest difficult feelings can sweep you up.</t>
        </is>
      </c>
      <c r="K40" s="24" t="inlineStr">
        <is>
          <t>Self compassion</t>
        </is>
      </c>
      <c r="L40" s="24" t="inlineStr">
        <is>
          <t>https://app.executiveframe.co.nz/hub/self-compassion</t>
        </is>
      </c>
      <c r="M40" s="24" t="inlineStr">
        <is>
          <t>Reverse scored, so higher is better.</t>
        </is>
      </c>
    </row>
    <row r="41">
      <c r="A41" s="24" t="inlineStr">
        <is>
          <t>BPNSFS</t>
        </is>
      </c>
      <c r="B41" s="24" t="inlineStr">
        <is>
          <t>Autonomy satisfaction</t>
        </is>
      </c>
      <c r="C41" s="24" t="inlineStr">
        <is>
          <t>autonomy-sat</t>
        </is>
      </c>
      <c r="D41" s="24" t="inlineStr">
        <is>
          <t>Feeling free to choose</t>
        </is>
      </c>
      <c r="E41" s="24" t="inlineStr">
        <is>
          <t>positive</t>
        </is>
      </c>
      <c r="F41" s="24" t="inlineStr">
        <is>
          <t>mean</t>
        </is>
      </c>
      <c r="G41" s="24" t="inlineStr"/>
      <c r="H41" s="24" t="inlineStr"/>
      <c r="I41" s="24" t="inlineStr">
        <is>
          <t>You feel free to choose how you live and work.</t>
        </is>
      </c>
      <c r="J41" s="24" t="inlineStr">
        <is>
          <t>Your answers suggest you do not feel free to choose how you live and work.</t>
        </is>
      </c>
      <c r="K41" s="24" t="inlineStr">
        <is>
          <t>Autonomy</t>
        </is>
      </c>
      <c r="L41" s="24" t="inlineStr">
        <is>
          <t>https://app.executiveframe.co.nz/hub/autonomy</t>
        </is>
      </c>
      <c r="M41" s="24" t="inlineStr"/>
    </row>
    <row r="42">
      <c r="A42" s="24" t="inlineStr">
        <is>
          <t>BPNSFS</t>
        </is>
      </c>
      <c r="B42" s="24" t="inlineStr">
        <is>
          <t>Autonomy frustration</t>
        </is>
      </c>
      <c r="C42" s="24" t="inlineStr">
        <is>
          <t>autonomy-frus</t>
        </is>
      </c>
      <c r="D42" s="24" t="inlineStr">
        <is>
          <t>Feeling pushed</t>
        </is>
      </c>
      <c r="E42" s="24" t="inlineStr">
        <is>
          <t>difficulty</t>
        </is>
      </c>
      <c r="F42" s="24" t="inlineStr">
        <is>
          <t>mean</t>
        </is>
      </c>
      <c r="G42" s="24" t="inlineStr"/>
      <c r="H42" s="24" t="inlineStr"/>
      <c r="I42" s="24" t="inlineStr">
        <is>
          <t>You do not feel pushed into things against your wishes.</t>
        </is>
      </c>
      <c r="J42" s="24" t="inlineStr">
        <is>
          <t>Feeling pushed into things came up often in your answers.</t>
        </is>
      </c>
      <c r="K42" s="24" t="inlineStr">
        <is>
          <t>Autonomy</t>
        </is>
      </c>
      <c r="L42" s="24" t="inlineStr">
        <is>
          <t>https://app.executiveframe.co.nz/hub/autonomy</t>
        </is>
      </c>
      <c r="M42" s="24" t="inlineStr"/>
    </row>
    <row r="43">
      <c r="A43" s="24" t="inlineStr">
        <is>
          <t>BPNSFS</t>
        </is>
      </c>
      <c r="B43" s="24" t="inlineStr">
        <is>
          <t>Relatedness satisfaction</t>
        </is>
      </c>
      <c r="C43" s="24" t="inlineStr">
        <is>
          <t>relatedness-sat</t>
        </is>
      </c>
      <c r="D43" s="24" t="inlineStr">
        <is>
          <t>Feeling connected</t>
        </is>
      </c>
      <c r="E43" s="24" t="inlineStr">
        <is>
          <t>positive</t>
        </is>
      </c>
      <c r="F43" s="24" t="inlineStr">
        <is>
          <t>mean</t>
        </is>
      </c>
      <c r="G43" s="24" t="inlineStr"/>
      <c r="H43" s="24" t="inlineStr"/>
      <c r="I43" s="24" t="inlineStr">
        <is>
          <t>You feel close to the people who matter to you.</t>
        </is>
      </c>
      <c r="J43" s="24" t="inlineStr">
        <is>
          <t>Your answers suggest you are not feeling close to the people who matter to you.</t>
        </is>
      </c>
      <c r="K43" s="24" t="inlineStr">
        <is>
          <t>Connection</t>
        </is>
      </c>
      <c r="L43" s="24" t="inlineStr">
        <is>
          <t>https://app.executiveframe.co.nz/hub/relatedness</t>
        </is>
      </c>
      <c r="M43" s="24" t="inlineStr"/>
    </row>
    <row r="44">
      <c r="A44" s="24" t="inlineStr">
        <is>
          <t>BPNSFS</t>
        </is>
      </c>
      <c r="B44" s="24" t="inlineStr">
        <is>
          <t>Relatedness frustration</t>
        </is>
      </c>
      <c r="C44" s="24" t="inlineStr">
        <is>
          <t>relatedness-frus</t>
        </is>
      </c>
      <c r="D44" s="24" t="inlineStr">
        <is>
          <t>Feeling left out</t>
        </is>
      </c>
      <c r="E44" s="24" t="inlineStr">
        <is>
          <t>difficulty</t>
        </is>
      </c>
      <c r="F44" s="24" t="inlineStr">
        <is>
          <t>mean</t>
        </is>
      </c>
      <c r="G44" s="24" t="inlineStr"/>
      <c r="H44" s="24" t="inlineStr"/>
      <c r="I44" s="24" t="inlineStr">
        <is>
          <t>You do not feel left out or distant from others.</t>
        </is>
      </c>
      <c r="J44" s="24" t="inlineStr">
        <is>
          <t>Feeling left out or distant from others came up often in your answers.</t>
        </is>
      </c>
      <c r="K44" s="24" t="inlineStr">
        <is>
          <t>Connection</t>
        </is>
      </c>
      <c r="L44" s="24" t="inlineStr">
        <is>
          <t>https://app.executiveframe.co.nz/hub/relatedness</t>
        </is>
      </c>
      <c r="M44" s="24" t="inlineStr"/>
    </row>
    <row r="45">
      <c r="A45" s="24" t="inlineStr">
        <is>
          <t>BPNSFS</t>
        </is>
      </c>
      <c r="B45" s="24" t="inlineStr">
        <is>
          <t>Competence satisfaction</t>
        </is>
      </c>
      <c r="C45" s="24" t="inlineStr">
        <is>
          <t>competence-sat</t>
        </is>
      </c>
      <c r="D45" s="24" t="inlineStr">
        <is>
          <t>Feeling capable</t>
        </is>
      </c>
      <c r="E45" s="24" t="inlineStr">
        <is>
          <t>positive</t>
        </is>
      </c>
      <c r="F45" s="24" t="inlineStr">
        <is>
          <t>mean</t>
        </is>
      </c>
      <c r="G45" s="24" t="inlineStr"/>
      <c r="H45" s="24" t="inlineStr"/>
      <c r="I45" s="24" t="inlineStr">
        <is>
          <t>You feel capable of what you set out to do.</t>
        </is>
      </c>
      <c r="J45" s="24" t="inlineStr">
        <is>
          <t>Your answers suggest you are not feeling capable of what you set out to do.</t>
        </is>
      </c>
      <c r="K45" s="24" t="inlineStr">
        <is>
          <t>Confidence</t>
        </is>
      </c>
      <c r="L45" s="24" t="inlineStr">
        <is>
          <t>https://app.executiveframe.co.nz/hub/competence</t>
        </is>
      </c>
      <c r="M45" s="24" t="inlineStr"/>
    </row>
    <row r="46">
      <c r="A46" s="24" t="inlineStr">
        <is>
          <t>BPNSFS</t>
        </is>
      </c>
      <c r="B46" s="24" t="inlineStr">
        <is>
          <t>Competence frustration</t>
        </is>
      </c>
      <c r="C46" s="24" t="inlineStr">
        <is>
          <t>competence-frus</t>
        </is>
      </c>
      <c r="D46" s="24" t="inlineStr">
        <is>
          <t>Doubting yourself</t>
        </is>
      </c>
      <c r="E46" s="24" t="inlineStr">
        <is>
          <t>difficulty</t>
        </is>
      </c>
      <c r="F46" s="24" t="inlineStr">
        <is>
          <t>mean</t>
        </is>
      </c>
      <c r="G46" s="24" t="inlineStr"/>
      <c r="H46" s="24" t="inlineStr"/>
      <c r="I46" s="24" t="inlineStr">
        <is>
          <t>You do not doubt your ability much.</t>
        </is>
      </c>
      <c r="J46" s="24" t="inlineStr">
        <is>
          <t>Doubting your ability came up often in your answers.</t>
        </is>
      </c>
      <c r="K46" s="24" t="inlineStr">
        <is>
          <t>Confidence</t>
        </is>
      </c>
      <c r="L46" s="24" t="inlineStr">
        <is>
          <t>https://app.executiveframe.co.nz/hub/competence</t>
        </is>
      </c>
      <c r="M46" s="24" t="inlineStr"/>
    </row>
    <row r="47">
      <c r="A47" s="24" t="inlineStr">
        <is>
          <t>PPS</t>
        </is>
      </c>
      <c r="B47" s="24" t="inlineStr">
        <is>
          <t>Pure Procrastination (total scale)</t>
        </is>
      </c>
      <c r="C47" s="24" t="inlineStr">
        <is>
          <t>total</t>
        </is>
      </c>
      <c r="D47" s="24" t="inlineStr">
        <is>
          <t>Putting things off</t>
        </is>
      </c>
      <c r="E47" s="24" t="inlineStr">
        <is>
          <t>difficulty</t>
        </is>
      </c>
      <c r="F47" s="24" t="inlineStr">
        <is>
          <t>mean</t>
        </is>
      </c>
      <c r="G47" s="24" t="inlineStr"/>
      <c r="H47" s="24" t="inlineStr"/>
      <c r="I47" s="24" t="inlineStr">
        <is>
          <t>Putting things off is not a big feature of how you work.</t>
        </is>
      </c>
      <c r="J47" s="24" t="inlineStr">
        <is>
          <t>Putting things off came up often in your answers.</t>
        </is>
      </c>
      <c r="K47" s="24" t="inlineStr">
        <is>
          <t>Getting started</t>
        </is>
      </c>
      <c r="L47" s="24" t="inlineStr">
        <is>
          <t>https://app.executiveframe.co.nz/hub/starting</t>
        </is>
      </c>
      <c r="M47" s="24" t="inlineStr"/>
    </row>
    <row r="48">
      <c r="A48" s="24" t="inlineStr">
        <is>
          <t>IPS</t>
        </is>
      </c>
      <c r="B48" s="24" t="inlineStr">
        <is>
          <t>Irrational Procrastination (total scale)</t>
        </is>
      </c>
      <c r="C48" s="24" t="inlineStr">
        <is>
          <t>total</t>
        </is>
      </c>
      <c r="D48" s="24" t="inlineStr">
        <is>
          <t>Delaying despite good intentions</t>
        </is>
      </c>
      <c r="E48" s="24" t="inlineStr">
        <is>
          <t>difficulty</t>
        </is>
      </c>
      <c r="F48" s="24" t="inlineStr">
        <is>
          <t>mean</t>
        </is>
      </c>
      <c r="G48" s="24" t="inlineStr"/>
      <c r="H48" s="24" t="inlineStr"/>
      <c r="I48" s="24" t="inlineStr">
        <is>
          <t>You mostly do what you intend to, when you intend to.</t>
        </is>
      </c>
      <c r="J48" s="24" t="inlineStr">
        <is>
          <t>Delaying things you meant to do came up often in your answers.</t>
        </is>
      </c>
      <c r="K48" s="24" t="inlineStr">
        <is>
          <t>Getting started</t>
        </is>
      </c>
      <c r="L48" s="24" t="inlineStr">
        <is>
          <t>https://app.executiveframe.co.nz/hub/starting</t>
        </is>
      </c>
      <c r="M48" s="24" t="inlineStr"/>
    </row>
    <row r="49">
      <c r="A49" s="24" t="inlineStr">
        <is>
          <t>GSE</t>
        </is>
      </c>
      <c r="B49" s="24" t="inlineStr">
        <is>
          <t>General Self-Efficacy (total scale)</t>
        </is>
      </c>
      <c r="C49" s="24" t="inlineStr">
        <is>
          <t>total</t>
        </is>
      </c>
      <c r="D49" s="24" t="inlineStr">
        <is>
          <t>Confidence in handling challenges</t>
        </is>
      </c>
      <c r="E49" s="24" t="inlineStr">
        <is>
          <t>positive</t>
        </is>
      </c>
      <c r="F49" s="24" t="inlineStr">
        <is>
          <t>mean</t>
        </is>
      </c>
      <c r="G49" s="24" t="inlineStr"/>
      <c r="H49" s="24" t="inlineStr"/>
      <c r="I49" s="24" t="inlineStr">
        <is>
          <t>You feel confident you can handle what comes your way.</t>
        </is>
      </c>
      <c r="J49" s="24" t="inlineStr">
        <is>
          <t>Your answers suggest you are not feeling confident about handling what comes your way.</t>
        </is>
      </c>
      <c r="K49" s="24" t="inlineStr">
        <is>
          <t>Confidence</t>
        </is>
      </c>
      <c r="L49" s="24" t="inlineStr">
        <is>
          <t>https://app.executiveframe.co.nz/hub/competence</t>
        </is>
      </c>
      <c r="M49" s="24" t="inlineStr"/>
    </row>
    <row r="50">
      <c r="A50" s="24" t="inlineStr">
        <is>
          <t>GCS</t>
        </is>
      </c>
      <c r="B50" s="24" t="inlineStr">
        <is>
          <t>Goal Commitment</t>
        </is>
      </c>
      <c r="C50" s="24" t="inlineStr">
        <is>
          <t>total</t>
        </is>
      </c>
      <c r="D50" s="24" t="inlineStr">
        <is>
          <t>Commitment to your goal</t>
        </is>
      </c>
      <c r="E50" s="24" t="inlineStr">
        <is>
          <t>positive</t>
        </is>
      </c>
      <c r="F50" s="24" t="inlineStr">
        <is>
          <t>mean</t>
        </is>
      </c>
      <c r="G50" s="24" t="inlineStr"/>
      <c r="H50" s="24" t="inlineStr"/>
      <c r="I50" s="24" t="inlineStr">
        <is>
          <t>You are firmly committed to the goal you named.</t>
        </is>
      </c>
      <c r="J50" s="24" t="inlineStr">
        <is>
          <t>Your answers suggest your commitment to the goal you named is wavering.</t>
        </is>
      </c>
      <c r="K50" s="24" t="inlineStr">
        <is>
          <t>Goals</t>
        </is>
      </c>
      <c r="L50" s="24" t="inlineStr">
        <is>
          <t>https://app.executiveframe.co.nz/hub/goals</t>
        </is>
      </c>
      <c r="M50" s="24" t="inlineStr"/>
    </row>
    <row r="51">
      <c r="A51" s="24" t="inlineStr">
        <is>
          <t>GADJ</t>
        </is>
      </c>
      <c r="B51" s="24" t="inlineStr">
        <is>
          <t>Goal Disengagement</t>
        </is>
      </c>
      <c r="C51" s="24" t="inlineStr">
        <is>
          <t>disengagement</t>
        </is>
      </c>
      <c r="D51" s="24" t="inlineStr">
        <is>
          <t>Letting go of goals</t>
        </is>
      </c>
      <c r="E51" s="24" t="inlineStr">
        <is>
          <t>none</t>
        </is>
      </c>
      <c r="F51" s="24" t="inlineStr">
        <is>
          <t>mean</t>
        </is>
      </c>
      <c r="G51" s="24" t="inlineStr"/>
      <c r="H51" s="24" t="inlineStr"/>
      <c r="I51" s="24" t="inlineStr"/>
      <c r="J51" s="24" t="inlineStr"/>
      <c r="K51" s="24" t="inlineStr"/>
      <c r="L51" s="24" t="inlineStr"/>
      <c r="M51" s="24" t="inlineStr">
        <is>
          <t>Neither high nor low is better in itself; numbers only.</t>
        </is>
      </c>
    </row>
    <row r="52">
      <c r="A52" s="24" t="inlineStr">
        <is>
          <t>GADJ</t>
        </is>
      </c>
      <c r="B52" s="24" t="inlineStr">
        <is>
          <t>Goal Reengagement</t>
        </is>
      </c>
      <c r="C52" s="24" t="inlineStr">
        <is>
          <t>reengagement</t>
        </is>
      </c>
      <c r="D52" s="24" t="inlineStr">
        <is>
          <t>Finding new goals</t>
        </is>
      </c>
      <c r="E52" s="24" t="inlineStr">
        <is>
          <t>positive</t>
        </is>
      </c>
      <c r="F52" s="24" t="inlineStr">
        <is>
          <t>mean</t>
        </is>
      </c>
      <c r="G52" s="24" t="inlineStr"/>
      <c r="H52" s="24" t="inlineStr"/>
      <c r="I52" s="24" t="inlineStr">
        <is>
          <t>When a goal is out of reach you find new ones to pursue.</t>
        </is>
      </c>
      <c r="J52" s="24" t="inlineStr">
        <is>
          <t>Your answers suggest it is hard to find new goals when one is out of reach.</t>
        </is>
      </c>
      <c r="K52" s="24" t="inlineStr">
        <is>
          <t>Goals</t>
        </is>
      </c>
      <c r="L52" s="24" t="inlineStr">
        <is>
          <t>https://app.executiveframe.co.nz/hub/goals</t>
        </is>
      </c>
      <c r="M52" s="24" t="inlineStr"/>
    </row>
    <row r="53">
      <c r="A53" t="inlineStr">
        <is>
          <t>ADEXI</t>
        </is>
      </c>
      <c r="B53" t="inlineStr">
        <is>
          <t>Working Memory</t>
        </is>
      </c>
      <c r="C53" t="inlineStr">
        <is>
          <t>working-memory</t>
        </is>
      </c>
      <c r="D53" t="inlineStr">
        <is>
          <t>Holding things in mind</t>
        </is>
      </c>
      <c r="E53" t="inlineStr">
        <is>
          <t>difficulty</t>
        </is>
      </c>
      <c r="F53" t="inlineStr">
        <is>
          <t>mean</t>
        </is>
      </c>
      <c r="I53" t="inlineStr">
        <is>
          <t>Keeping instructions and plans in mind mostly works for you.</t>
        </is>
      </c>
      <c r="J53" t="inlineStr">
        <is>
          <t>Holding instructions and plans in mind came up as a difficulty in your answers.</t>
        </is>
      </c>
    </row>
    <row r="54">
      <c r="A54" t="inlineStr">
        <is>
          <t>ADEXI</t>
        </is>
      </c>
      <c r="B54" t="inlineStr">
        <is>
          <t>Inhibition</t>
        </is>
      </c>
      <c r="C54" t="inlineStr">
        <is>
          <t>inhibition</t>
        </is>
      </c>
      <c r="D54" t="inlineStr">
        <is>
          <t>Pausing before acting</t>
        </is>
      </c>
      <c r="E54" t="inlineStr">
        <is>
          <t>difficulty</t>
        </is>
      </c>
      <c r="F54" t="inlineStr">
        <is>
          <t>mean</t>
        </is>
      </c>
      <c r="I54" t="inlineStr">
        <is>
          <t>Pausing before you act is something you described handling well.</t>
        </is>
      </c>
      <c r="J54" t="inlineStr">
        <is>
          <t>Pausing before you act came up as a difficulty in your answers.</t>
        </is>
      </c>
    </row>
    <row r="55">
      <c r="A55" t="inlineStr">
        <is>
          <t>AMS-C</t>
        </is>
      </c>
      <c r="B55" t="inlineStr">
        <is>
          <t>Intrinsic motivation - to know</t>
        </is>
      </c>
      <c r="C55" t="inlineStr">
        <is>
          <t>im-know</t>
        </is>
      </c>
      <c r="D55" t="inlineStr">
        <is>
          <t>Learning for its own sake</t>
        </is>
      </c>
      <c r="E55" t="inlineStr">
        <is>
          <t>positive</t>
        </is>
      </c>
      <c r="F55" t="inlineStr">
        <is>
          <t>mean</t>
        </is>
      </c>
      <c r="I55" t="inlineStr">
        <is>
          <t>Curiosity and the pleasure of learning are strong drivers for you.</t>
        </is>
      </c>
      <c r="J55" t="inlineStr">
        <is>
          <t>Learning for its own sake did not come through strongly in your answers.</t>
        </is>
      </c>
    </row>
    <row r="56">
      <c r="A56" t="inlineStr">
        <is>
          <t>AMS-C</t>
        </is>
      </c>
      <c r="B56" t="inlineStr">
        <is>
          <t>Intrinsic motivation - toward accomplishment</t>
        </is>
      </c>
      <c r="C56" t="inlineStr">
        <is>
          <t>im-accomplish</t>
        </is>
      </c>
      <c r="D56" t="inlineStr">
        <is>
          <t>Satisfaction in mastering things</t>
        </is>
      </c>
      <c r="E56" t="inlineStr">
        <is>
          <t>positive</t>
        </is>
      </c>
      <c r="F56" t="inlineStr">
        <is>
          <t>mean</t>
        </is>
      </c>
      <c r="I56" t="inlineStr">
        <is>
          <t>You draw real satisfaction from getting better at things.</t>
        </is>
      </c>
      <c r="J56" t="inlineStr">
        <is>
          <t>The satisfaction of mastering things did not come through strongly in your answers.</t>
        </is>
      </c>
    </row>
    <row r="57">
      <c r="A57" t="inlineStr">
        <is>
          <t>AMS-C</t>
        </is>
      </c>
      <c r="B57" t="inlineStr">
        <is>
          <t>Intrinsic motivation - to experience stimulation</t>
        </is>
      </c>
      <c r="C57" t="inlineStr">
        <is>
          <t>im-stimulation</t>
        </is>
      </c>
      <c r="D57" t="inlineStr">
        <is>
          <t>Enjoyment of the experience</t>
        </is>
      </c>
      <c r="E57" t="inlineStr">
        <is>
          <t>positive</t>
        </is>
      </c>
      <c r="F57" t="inlineStr">
        <is>
          <t>mean</t>
        </is>
      </c>
      <c r="I57" t="inlineStr">
        <is>
          <t>You find the experience of study itself enjoyable.</t>
        </is>
      </c>
      <c r="J57" t="inlineStr">
        <is>
          <t>Enjoyment of study itself did not come through strongly in your answers.</t>
        </is>
      </c>
    </row>
    <row r="58">
      <c r="A58" t="inlineStr">
        <is>
          <t>AMS-C</t>
        </is>
      </c>
      <c r="B58" t="inlineStr">
        <is>
          <t>Extrinsic motivation - identified</t>
        </is>
      </c>
      <c r="C58" t="inlineStr">
        <is>
          <t>em-identified</t>
        </is>
      </c>
      <c r="D58" t="inlineStr">
        <is>
          <t>Study that fits your goals</t>
        </is>
      </c>
      <c r="E58" t="inlineStr">
        <is>
          <t>positive</t>
        </is>
      </c>
      <c r="F58" t="inlineStr">
        <is>
          <t>mean</t>
        </is>
      </c>
      <c r="I58" t="inlineStr">
        <is>
          <t>You see clearly how your study connects to what you want.</t>
        </is>
      </c>
      <c r="J58" t="inlineStr">
        <is>
          <t>The link between your study and your own goals was less clear in your answers.</t>
        </is>
      </c>
    </row>
    <row r="59">
      <c r="A59" t="inlineStr">
        <is>
          <t>AMS-C</t>
        </is>
      </c>
      <c r="B59" t="inlineStr">
        <is>
          <t>Extrinsic motivation - introjected</t>
        </is>
      </c>
      <c r="C59" t="inlineStr">
        <is>
          <t>em-introjected</t>
        </is>
      </c>
      <c r="D59" t="inlineStr">
        <is>
          <t>Studying to prove something</t>
        </is>
      </c>
      <c r="E59" t="inlineStr">
        <is>
          <t>none</t>
        </is>
      </c>
      <c r="F59" t="inlineStr">
        <is>
          <t>mean</t>
        </is>
      </c>
    </row>
    <row r="60">
      <c r="A60" t="inlineStr">
        <is>
          <t>AMS-C</t>
        </is>
      </c>
      <c r="B60" t="inlineStr">
        <is>
          <t>Extrinsic motivation - external regulation</t>
        </is>
      </c>
      <c r="C60" t="inlineStr">
        <is>
          <t>em-external</t>
        </is>
      </c>
      <c r="D60" t="inlineStr">
        <is>
          <t>Studying for outside rewards</t>
        </is>
      </c>
      <c r="E60" t="inlineStr">
        <is>
          <t>none</t>
        </is>
      </c>
      <c r="F60" t="inlineStr">
        <is>
          <t>mean</t>
        </is>
      </c>
    </row>
    <row r="61">
      <c r="A61" t="inlineStr">
        <is>
          <t>AMS-C</t>
        </is>
      </c>
      <c r="B61" t="inlineStr">
        <is>
          <t>Amotivation</t>
        </is>
      </c>
      <c r="C61" t="inlineStr">
        <is>
          <t>amotivation</t>
        </is>
      </c>
      <c r="D61" t="inlineStr">
        <is>
          <t>Feeling unsure why you study</t>
        </is>
      </c>
      <c r="E61" t="inlineStr">
        <is>
          <t>difficulty</t>
        </is>
      </c>
      <c r="F61" t="inlineStr">
        <is>
          <t>mean</t>
        </is>
      </c>
      <c r="I61" t="inlineStr">
        <is>
          <t>You are clear about why you are studying.</t>
        </is>
      </c>
      <c r="J61" t="inlineStr">
        <is>
          <t>Your answers suggest you sometimes wonder why you are studying at all.</t>
        </is>
      </c>
    </row>
    <row r="62">
      <c r="A62" t="inlineStr">
        <is>
          <t>APS-R</t>
        </is>
      </c>
      <c r="B62" t="inlineStr">
        <is>
          <t>Standards</t>
        </is>
      </c>
      <c r="C62" t="inlineStr">
        <is>
          <t>standards</t>
        </is>
      </c>
      <c r="D62" t="inlineStr">
        <is>
          <t>High standards</t>
        </is>
      </c>
      <c r="E62" t="inlineStr">
        <is>
          <t>none</t>
        </is>
      </c>
      <c r="F62" t="inlineStr">
        <is>
          <t>mean</t>
        </is>
      </c>
    </row>
    <row r="63">
      <c r="A63" t="inlineStr">
        <is>
          <t>APS-R</t>
        </is>
      </c>
      <c r="B63" t="inlineStr">
        <is>
          <t>Order</t>
        </is>
      </c>
      <c r="C63" t="inlineStr">
        <is>
          <t>order</t>
        </is>
      </c>
      <c r="D63" t="inlineStr">
        <is>
          <t>Preference for order</t>
        </is>
      </c>
      <c r="E63" t="inlineStr">
        <is>
          <t>none</t>
        </is>
      </c>
      <c r="F63" t="inlineStr">
        <is>
          <t>mean</t>
        </is>
      </c>
    </row>
    <row r="64">
      <c r="A64" t="inlineStr">
        <is>
          <t>APS-R</t>
        </is>
      </c>
      <c r="B64" t="inlineStr">
        <is>
          <t>Discrepancy</t>
        </is>
      </c>
      <c r="C64" t="inlineStr">
        <is>
          <t>discrepancy</t>
        </is>
      </c>
      <c r="D64" t="inlineStr">
        <is>
          <t>Falling short of your standards</t>
        </is>
      </c>
      <c r="E64" t="inlineStr">
        <is>
          <t>difficulty</t>
        </is>
      </c>
      <c r="F64" t="inlineStr">
        <is>
          <t>mean</t>
        </is>
      </c>
      <c r="I64" t="inlineStr">
        <is>
          <t>You described mostly feeling that you meet the standards you set.</t>
        </is>
      </c>
      <c r="J64" t="inlineStr">
        <is>
          <t>A sense of falling short of your own standards came up often in your answers.</t>
        </is>
      </c>
    </row>
    <row r="65">
      <c r="A65" t="inlineStr">
        <is>
          <t>AUDIT-C</t>
        </is>
      </c>
      <c r="B65" t="inlineStr">
        <is>
          <t>Total</t>
        </is>
      </c>
      <c r="C65" t="inlineStr">
        <is>
          <t>total</t>
        </is>
      </c>
      <c r="D65" t="inlineStr">
        <is>
          <t>Alcohol use</t>
        </is>
      </c>
      <c r="E65" t="inlineStr">
        <is>
          <t>difficulty</t>
        </is>
      </c>
      <c r="F65" t="inlineStr">
        <is>
          <t>sum</t>
        </is>
      </c>
      <c r="H65" t="inlineStr">
        <is>
          <t>3</t>
        </is>
      </c>
      <c r="M65" t="inlineStr">
        <is>
          <t>Scored for Sarah only.</t>
        </is>
      </c>
    </row>
    <row r="66">
      <c r="A66" t="inlineStr">
        <is>
          <t>BIS-11</t>
        </is>
      </c>
      <c r="B66" t="inlineStr">
        <is>
          <t>Attentional</t>
        </is>
      </c>
      <c r="C66" t="inlineStr">
        <is>
          <t>attentional</t>
        </is>
      </c>
      <c r="D66" t="inlineStr">
        <is>
          <t>Staying focused</t>
        </is>
      </c>
      <c r="E66" t="inlineStr">
        <is>
          <t>difficulty</t>
        </is>
      </c>
      <c r="F66" t="inlineStr">
        <is>
          <t>mean</t>
        </is>
      </c>
      <c r="I66" t="inlineStr">
        <is>
          <t>Keeping your attention where you want it mostly works for you.</t>
        </is>
      </c>
      <c r="J66" t="inlineStr">
        <is>
          <t>Keeping your attention where you want it came up as a difficulty in your answers.</t>
        </is>
      </c>
    </row>
    <row r="67">
      <c r="A67" t="inlineStr">
        <is>
          <t>BIS-11</t>
        </is>
      </c>
      <c r="B67" t="inlineStr">
        <is>
          <t>Motor (second order)</t>
        </is>
      </c>
      <c r="C67" t="inlineStr">
        <is>
          <t>motor</t>
        </is>
      </c>
      <c r="D67" t="inlineStr">
        <is>
          <t>Acting without thinking</t>
        </is>
      </c>
      <c r="E67" t="inlineStr">
        <is>
          <t>difficulty</t>
        </is>
      </c>
      <c r="F67" t="inlineStr">
        <is>
          <t>mean</t>
        </is>
      </c>
      <c r="I67" t="inlineStr">
        <is>
          <t>You described pausing before you act as something you do well.</t>
        </is>
      </c>
      <c r="J67" t="inlineStr">
        <is>
          <t>Acting before thinking came up often in your answers.</t>
        </is>
      </c>
    </row>
    <row r="68">
      <c r="A68" t="inlineStr">
        <is>
          <t>BIS-11</t>
        </is>
      </c>
      <c r="B68" t="inlineStr">
        <is>
          <t>Nonplanning</t>
        </is>
      </c>
      <c r="C68" t="inlineStr">
        <is>
          <t>non-planning</t>
        </is>
      </c>
      <c r="D68" t="inlineStr">
        <is>
          <t>Planning ahead</t>
        </is>
      </c>
      <c r="E68" t="inlineStr">
        <is>
          <t>difficulty</t>
        </is>
      </c>
      <c r="F68" t="inlineStr">
        <is>
          <t>mean</t>
        </is>
      </c>
      <c r="I68" t="inlineStr">
        <is>
          <t>Thinking ahead and planning mostly works for you.</t>
        </is>
      </c>
      <c r="J68" t="inlineStr">
        <is>
          <t>Thinking ahead and planning came up as a difficulty in your answers.</t>
        </is>
      </c>
    </row>
    <row r="69">
      <c r="A69" t="inlineStr">
        <is>
          <t>BIS-BRIEF</t>
        </is>
      </c>
      <c r="B69" t="inlineStr">
        <is>
          <t>Total</t>
        </is>
      </c>
      <c r="C69" t="inlineStr">
        <is>
          <t>total</t>
        </is>
      </c>
      <c r="D69" t="inlineStr">
        <is>
          <t>Acting on impulse</t>
        </is>
      </c>
      <c r="E69" t="inlineStr">
        <is>
          <t>difficulty</t>
        </is>
      </c>
      <c r="F69" t="inlineStr">
        <is>
          <t>mean</t>
        </is>
      </c>
      <c r="I69" t="inlineStr">
        <is>
          <t>Pausing before you act mostly works for you.</t>
        </is>
      </c>
      <c r="J69" t="inlineStr">
        <is>
          <t>Acting on impulse came up often in your answers.</t>
        </is>
      </c>
    </row>
    <row r="70">
      <c r="A70" t="inlineStr">
        <is>
          <t>BTQ</t>
        </is>
      </c>
      <c r="B70" t="inlineStr">
        <is>
          <t>Trauma exposure</t>
        </is>
      </c>
      <c r="C70" t="inlineStr">
        <is>
          <t>exposure</t>
        </is>
      </c>
      <c r="D70" t="inlineStr">
        <is>
          <t>Stressful events</t>
        </is>
      </c>
      <c r="E70" t="inlineStr">
        <is>
          <t>none</t>
        </is>
      </c>
      <c r="F70" t="inlineStr">
        <is>
          <t>sum</t>
        </is>
      </c>
      <c r="M70" t="inlineStr">
        <is>
          <t>Scored for Sarah only.</t>
        </is>
      </c>
    </row>
    <row r="71">
      <c r="A71" t="inlineStr">
        <is>
          <t>CAGE</t>
        </is>
      </c>
      <c r="B71" t="inlineStr">
        <is>
          <t>Total</t>
        </is>
      </c>
      <c r="C71" t="inlineStr">
        <is>
          <t>total</t>
        </is>
      </c>
      <c r="D71" t="inlineStr">
        <is>
          <t>Alcohol use</t>
        </is>
      </c>
      <c r="E71" t="inlineStr">
        <is>
          <t>difficulty</t>
        </is>
      </c>
      <c r="F71" t="inlineStr">
        <is>
          <t>sum</t>
        </is>
      </c>
      <c r="H71" t="inlineStr">
        <is>
          <t>1</t>
        </is>
      </c>
      <c r="M71" t="inlineStr">
        <is>
          <t>Scored for Sarah only.</t>
        </is>
      </c>
    </row>
    <row r="72">
      <c r="A72" t="inlineStr">
        <is>
          <t>CAPE-42</t>
        </is>
      </c>
      <c r="B72" t="inlineStr">
        <is>
          <t>Positive</t>
        </is>
      </c>
      <c r="C72" t="inlineStr">
        <is>
          <t>positive</t>
        </is>
      </c>
      <c r="D72" t="inlineStr">
        <is>
          <t>Unusual experiences</t>
        </is>
      </c>
      <c r="E72" t="inlineStr">
        <is>
          <t>difficulty</t>
        </is>
      </c>
      <c r="F72" t="inlineStr">
        <is>
          <t>mean</t>
        </is>
      </c>
      <c r="M72" t="inlineStr">
        <is>
          <t>Scored for Sarah only.</t>
        </is>
      </c>
    </row>
    <row r="73">
      <c r="A73" t="inlineStr">
        <is>
          <t>CAPE-42</t>
        </is>
      </c>
      <c r="B73" t="inlineStr">
        <is>
          <t>Negative</t>
        </is>
      </c>
      <c r="C73" t="inlineStr">
        <is>
          <t>negative</t>
        </is>
      </c>
      <c r="D73" t="inlineStr">
        <is>
          <t>Flattened motivation and feeling</t>
        </is>
      </c>
      <c r="E73" t="inlineStr">
        <is>
          <t>difficulty</t>
        </is>
      </c>
      <c r="F73" t="inlineStr">
        <is>
          <t>mean</t>
        </is>
      </c>
      <c r="M73" t="inlineStr">
        <is>
          <t>Scored for Sarah only.</t>
        </is>
      </c>
    </row>
    <row r="74">
      <c r="A74" t="inlineStr">
        <is>
          <t>CAPE-42</t>
        </is>
      </c>
      <c r="B74" t="inlineStr">
        <is>
          <t>Depressive</t>
        </is>
      </c>
      <c r="C74" t="inlineStr">
        <is>
          <t>depressive</t>
        </is>
      </c>
      <c r="D74" t="inlineStr">
        <is>
          <t>Low mood</t>
        </is>
      </c>
      <c r="E74" t="inlineStr">
        <is>
          <t>difficulty</t>
        </is>
      </c>
      <c r="F74" t="inlineStr">
        <is>
          <t>mean</t>
        </is>
      </c>
      <c r="M74" t="inlineStr">
        <is>
          <t>Scored for Sarah only.</t>
        </is>
      </c>
    </row>
    <row r="75">
      <c r="A75" t="inlineStr">
        <is>
          <t>CBI</t>
        </is>
      </c>
      <c r="B75" t="inlineStr">
        <is>
          <t>Personal burnout</t>
        </is>
      </c>
      <c r="C75" t="inlineStr">
        <is>
          <t>personal</t>
        </is>
      </c>
      <c r="D75" t="inlineStr">
        <is>
          <t>Overall exhaustion</t>
        </is>
      </c>
      <c r="E75" t="inlineStr">
        <is>
          <t>difficulty</t>
        </is>
      </c>
      <c r="F75" t="inlineStr">
        <is>
          <t>mean</t>
        </is>
      </c>
      <c r="G75" t="inlineStr">
        <is>
          <t>25</t>
        </is>
      </c>
      <c r="H75" t="inlineStr">
        <is>
          <t>49</t>
        </is>
      </c>
      <c r="I75" t="inlineStr">
        <is>
          <t>You described your energy as holding up well.</t>
        </is>
      </c>
      <c r="J75" t="inlineStr">
        <is>
          <t>Feeling exhausted came up often in your answers.</t>
        </is>
      </c>
    </row>
    <row r="76">
      <c r="A76" t="inlineStr">
        <is>
          <t>CBI</t>
        </is>
      </c>
      <c r="B76" t="inlineStr">
        <is>
          <t>Work related burnout</t>
        </is>
      </c>
      <c r="C76" t="inlineStr">
        <is>
          <t>work</t>
        </is>
      </c>
      <c r="D76" t="inlineStr">
        <is>
          <t>Exhaustion from work</t>
        </is>
      </c>
      <c r="E76" t="inlineStr">
        <is>
          <t>difficulty</t>
        </is>
      </c>
      <c r="F76" t="inlineStr">
        <is>
          <t>mean</t>
        </is>
      </c>
      <c r="G76" t="inlineStr">
        <is>
          <t>25</t>
        </is>
      </c>
      <c r="H76" t="inlineStr">
        <is>
          <t>49</t>
        </is>
      </c>
      <c r="I76" t="inlineStr">
        <is>
          <t>Your work does not seem to be wearing you down.</t>
        </is>
      </c>
      <c r="J76" t="inlineStr">
        <is>
          <t>Your answers suggest work is wearing you down.</t>
        </is>
      </c>
    </row>
    <row r="77">
      <c r="A77" t="inlineStr">
        <is>
          <t>CBI</t>
        </is>
      </c>
      <c r="B77" t="inlineStr">
        <is>
          <t>Client related burnout</t>
        </is>
      </c>
      <c r="C77" t="inlineStr">
        <is>
          <t>client</t>
        </is>
      </c>
      <c r="D77" t="inlineStr">
        <is>
          <t>Exhaustion from working with people</t>
        </is>
      </c>
      <c r="E77" t="inlineStr">
        <is>
          <t>difficulty</t>
        </is>
      </c>
      <c r="F77" t="inlineStr">
        <is>
          <t>mean</t>
        </is>
      </c>
      <c r="G77" t="inlineStr">
        <is>
          <t>25</t>
        </is>
      </c>
      <c r="H77" t="inlineStr">
        <is>
          <t>49</t>
        </is>
      </c>
      <c r="I77" t="inlineStr">
        <is>
          <t>Working with the people you serve does not seem to drain you.</t>
        </is>
      </c>
      <c r="J77" t="inlineStr">
        <is>
          <t>Working with the people you serve came up as draining in your answers.</t>
        </is>
      </c>
    </row>
    <row r="78">
      <c r="A78" t="inlineStr">
        <is>
          <t>CES-D</t>
        </is>
      </c>
      <c r="B78" t="inlineStr">
        <is>
          <t>Total</t>
        </is>
      </c>
      <c r="C78" t="inlineStr">
        <is>
          <t>total</t>
        </is>
      </c>
      <c r="D78" t="inlineStr">
        <is>
          <t>Depressive symptoms</t>
        </is>
      </c>
      <c r="E78" t="inlineStr">
        <is>
          <t>difficulty</t>
        </is>
      </c>
      <c r="F78" t="inlineStr">
        <is>
          <t>sum</t>
        </is>
      </c>
      <c r="H78" t="inlineStr">
        <is>
          <t>15</t>
        </is>
      </c>
      <c r="M78" t="inlineStr">
        <is>
          <t>Scored for Sarah only.</t>
        </is>
      </c>
    </row>
    <row r="79">
      <c r="A79" t="inlineStr">
        <is>
          <t>CFC-14</t>
        </is>
      </c>
      <c r="B79" t="inlineStr">
        <is>
          <t>CFC Future</t>
        </is>
      </c>
      <c r="C79" t="inlineStr">
        <is>
          <t>future</t>
        </is>
      </c>
      <c r="D79" t="inlineStr">
        <is>
          <t>Weighing future consequences</t>
        </is>
      </c>
      <c r="E79" t="inlineStr">
        <is>
          <t>positive</t>
        </is>
      </c>
      <c r="F79" t="inlineStr">
        <is>
          <t>mean</t>
        </is>
      </c>
      <c r="I79" t="inlineStr">
        <is>
          <t>You described weighing the longer term consequences of what you do as natural for you.</t>
        </is>
      </c>
      <c r="J79" t="inlineStr">
        <is>
          <t>Weighing the longer term consequences of what you do came through less strongly in your answers.</t>
        </is>
      </c>
    </row>
    <row r="80">
      <c r="A80" t="inlineStr">
        <is>
          <t>CFC-14</t>
        </is>
      </c>
      <c r="B80" t="inlineStr">
        <is>
          <t>CFC Immediate</t>
        </is>
      </c>
      <c r="C80" t="inlineStr">
        <is>
          <t>immediate</t>
        </is>
      </c>
      <c r="D80" t="inlineStr">
        <is>
          <t>Focusing on the present moment</t>
        </is>
      </c>
      <c r="E80" t="inlineStr">
        <is>
          <t>none</t>
        </is>
      </c>
      <c r="F80" t="inlineStr">
        <is>
          <t>mean</t>
        </is>
      </c>
    </row>
    <row r="81">
      <c r="A81" t="inlineStr">
        <is>
          <t>CFQ</t>
        </is>
      </c>
      <c r="B81" t="inlineStr">
        <is>
          <t>Total</t>
        </is>
      </c>
      <c r="C81" t="inlineStr">
        <is>
          <t>total</t>
        </is>
      </c>
      <c r="D81" t="inlineStr">
        <is>
          <t>Everyday slips and lapses</t>
        </is>
      </c>
      <c r="E81" t="inlineStr">
        <is>
          <t>difficulty</t>
        </is>
      </c>
      <c r="F81" t="inlineStr">
        <is>
          <t>mean</t>
        </is>
      </c>
      <c r="I81" t="inlineStr">
        <is>
          <t>Everyday slips of memory and attention are not a big feature of your days.</t>
        </is>
      </c>
      <c r="J81" t="inlineStr">
        <is>
          <t>Everyday slips of memory and attention came up often in your answers.</t>
        </is>
      </c>
    </row>
    <row r="82">
      <c r="A82" t="inlineStr">
        <is>
          <t>COHS</t>
        </is>
      </c>
      <c r="B82" t="inlineStr">
        <is>
          <t>Routine</t>
        </is>
      </c>
      <c r="C82" t="inlineStr">
        <is>
          <t>routine</t>
        </is>
      </c>
      <c r="D82" t="inlineStr">
        <is>
          <t>Preference for routine</t>
        </is>
      </c>
      <c r="E82" t="inlineStr">
        <is>
          <t>none</t>
        </is>
      </c>
      <c r="F82" t="inlineStr">
        <is>
          <t>mean</t>
        </is>
      </c>
    </row>
    <row r="83">
      <c r="A83" t="inlineStr">
        <is>
          <t>COHS</t>
        </is>
      </c>
      <c r="B83" t="inlineStr">
        <is>
          <t>Automaticity</t>
        </is>
      </c>
      <c r="C83" t="inlineStr">
        <is>
          <t>automaticity</t>
        </is>
      </c>
      <c r="D83" t="inlineStr">
        <is>
          <t>Acting automatically</t>
        </is>
      </c>
      <c r="E83" t="inlineStr">
        <is>
          <t>none</t>
        </is>
      </c>
      <c r="F83" t="inlineStr">
        <is>
          <t>mean</t>
        </is>
      </c>
    </row>
    <row r="84">
      <c r="A84" t="inlineStr">
        <is>
          <t>CPC-12</t>
        </is>
      </c>
      <c r="B84" t="inlineStr">
        <is>
          <t>Hope</t>
        </is>
      </c>
      <c r="C84" t="inlineStr">
        <is>
          <t>hope</t>
        </is>
      </c>
      <c r="D84" t="inlineStr">
        <is>
          <t>Hope</t>
        </is>
      </c>
      <c r="E84" t="inlineStr">
        <is>
          <t>positive</t>
        </is>
      </c>
      <c r="F84" t="inlineStr">
        <is>
          <t>mean</t>
        </is>
      </c>
      <c r="I84" t="inlineStr">
        <is>
          <t>You described a strong sense that your goals are reachable.</t>
        </is>
      </c>
      <c r="J84" t="inlineStr">
        <is>
          <t>A sense that your goals are reachable came through less strongly in your answers.</t>
        </is>
      </c>
    </row>
    <row r="85">
      <c r="A85" t="inlineStr">
        <is>
          <t>CPC-12</t>
        </is>
      </c>
      <c r="B85" t="inlineStr">
        <is>
          <t>Optimism</t>
        </is>
      </c>
      <c r="C85" t="inlineStr">
        <is>
          <t>optimism</t>
        </is>
      </c>
      <c r="D85" t="inlineStr">
        <is>
          <t>Optimism</t>
        </is>
      </c>
      <c r="E85" t="inlineStr">
        <is>
          <t>positive</t>
        </is>
      </c>
      <c r="F85" t="inlineStr">
        <is>
          <t>mean</t>
        </is>
      </c>
      <c r="I85" t="inlineStr">
        <is>
          <t>You tend to expect things to work out.</t>
        </is>
      </c>
      <c r="J85" t="inlineStr">
        <is>
          <t>Expecting things to work out came through less strongly in your answers.</t>
        </is>
      </c>
    </row>
    <row r="86">
      <c r="A86" t="inlineStr">
        <is>
          <t>CPC-12</t>
        </is>
      </c>
      <c r="B86" t="inlineStr">
        <is>
          <t>Resilience</t>
        </is>
      </c>
      <c r="C86" t="inlineStr">
        <is>
          <t>resilience</t>
        </is>
      </c>
      <c r="D86" t="inlineStr">
        <is>
          <t>Bouncing back</t>
        </is>
      </c>
      <c r="E86" t="inlineStr">
        <is>
          <t>positive</t>
        </is>
      </c>
      <c r="F86" t="inlineStr">
        <is>
          <t>mean</t>
        </is>
      </c>
      <c r="I86" t="inlineStr">
        <is>
          <t>You described bouncing back from setbacks as something you do well.</t>
        </is>
      </c>
      <c r="J86" t="inlineStr">
        <is>
          <t>Bouncing back from setbacks came through less strongly in your answers.</t>
        </is>
      </c>
    </row>
    <row r="87">
      <c r="A87" t="inlineStr">
        <is>
          <t>CPC-12</t>
        </is>
      </c>
      <c r="B87" t="inlineStr">
        <is>
          <t>Self-efficacy</t>
        </is>
      </c>
      <c r="C87" t="inlineStr">
        <is>
          <t>self-efficacy</t>
        </is>
      </c>
      <c r="D87" t="inlineStr">
        <is>
          <t>Confidence in your abilities</t>
        </is>
      </c>
      <c r="E87" t="inlineStr">
        <is>
          <t>positive</t>
        </is>
      </c>
      <c r="F87" t="inlineStr">
        <is>
          <t>mean</t>
        </is>
      </c>
      <c r="I87" t="inlineStr">
        <is>
          <t>You have confidence in your ability to handle what comes up at work.</t>
        </is>
      </c>
      <c r="J87" t="inlineStr">
        <is>
          <t>Confidence in handling what comes up at work came through less strongly in your answers.</t>
        </is>
      </c>
    </row>
    <row r="88">
      <c r="A88" t="inlineStr">
        <is>
          <t>CUDIT-R</t>
        </is>
      </c>
      <c r="B88" t="inlineStr">
        <is>
          <t>Total</t>
        </is>
      </c>
      <c r="C88" t="inlineStr">
        <is>
          <t>total</t>
        </is>
      </c>
      <c r="D88" t="inlineStr">
        <is>
          <t>Cannabis use</t>
        </is>
      </c>
      <c r="E88" t="inlineStr">
        <is>
          <t>difficulty</t>
        </is>
      </c>
      <c r="F88" t="inlineStr">
        <is>
          <t>sum</t>
        </is>
      </c>
      <c r="H88" t="inlineStr">
        <is>
          <t>7</t>
        </is>
      </c>
      <c r="M88" t="inlineStr">
        <is>
          <t>Scored for Sarah only.</t>
        </is>
      </c>
    </row>
    <row r="89">
      <c r="A89" t="inlineStr">
        <is>
          <t>DES-II</t>
        </is>
      </c>
      <c r="B89" t="inlineStr">
        <is>
          <t>Total</t>
        </is>
      </c>
      <c r="C89" t="inlineStr">
        <is>
          <t>total</t>
        </is>
      </c>
      <c r="D89" t="inlineStr">
        <is>
          <t>Dissociative experiences</t>
        </is>
      </c>
      <c r="E89" t="inlineStr">
        <is>
          <t>difficulty</t>
        </is>
      </c>
      <c r="F89" t="inlineStr">
        <is>
          <t>mean</t>
        </is>
      </c>
      <c r="H89" t="inlineStr">
        <is>
          <t>29</t>
        </is>
      </c>
      <c r="M89" t="inlineStr">
        <is>
          <t>Scored for Sarah only.</t>
        </is>
      </c>
    </row>
    <row r="90">
      <c r="A90" t="inlineStr">
        <is>
          <t>FMPS-B</t>
        </is>
      </c>
      <c r="B90" t="inlineStr">
        <is>
          <t>Evaluative Concerns</t>
        </is>
      </c>
      <c r="C90" t="inlineStr">
        <is>
          <t>concerns</t>
        </is>
      </c>
      <c r="D90" t="inlineStr">
        <is>
          <t>Worry about mistakes and judgement</t>
        </is>
      </c>
      <c r="E90" t="inlineStr">
        <is>
          <t>difficulty</t>
        </is>
      </c>
      <c r="F90" t="inlineStr">
        <is>
          <t>mean</t>
        </is>
      </c>
      <c r="I90" t="inlineStr">
        <is>
          <t>Worry about mistakes and what others think is not a big feature of your answers.</t>
        </is>
      </c>
      <c r="J90" t="inlineStr">
        <is>
          <t>Worry about mistakes and what others think came up often in your answers.</t>
        </is>
      </c>
    </row>
    <row r="91">
      <c r="A91" t="inlineStr">
        <is>
          <t>FMPS-B</t>
        </is>
      </c>
      <c r="B91" t="inlineStr">
        <is>
          <t>Strivings</t>
        </is>
      </c>
      <c r="C91" t="inlineStr">
        <is>
          <t>strivings</t>
        </is>
      </c>
      <c r="D91" t="inlineStr">
        <is>
          <t>High personal standards</t>
        </is>
      </c>
      <c r="E91" t="inlineStr">
        <is>
          <t>none</t>
        </is>
      </c>
      <c r="F91" t="inlineStr">
        <is>
          <t>mean</t>
        </is>
      </c>
    </row>
    <row r="92">
      <c r="A92" t="inlineStr">
        <is>
          <t>GAD-7</t>
        </is>
      </c>
      <c r="B92" t="inlineStr">
        <is>
          <t>Total</t>
        </is>
      </c>
      <c r="C92" t="inlineStr">
        <is>
          <t>total</t>
        </is>
      </c>
      <c r="D92" t="inlineStr">
        <is>
          <t>Anxiety</t>
        </is>
      </c>
      <c r="E92" t="inlineStr">
        <is>
          <t>difficulty</t>
        </is>
      </c>
      <c r="F92" t="inlineStr">
        <is>
          <t>sum</t>
        </is>
      </c>
      <c r="H92" t="inlineStr">
        <is>
          <t>9</t>
        </is>
      </c>
      <c r="M92" t="inlineStr">
        <is>
          <t>Scored for Sarah only.</t>
        </is>
      </c>
    </row>
    <row r="93">
      <c r="A93" t="inlineStr">
        <is>
          <t>GPS</t>
        </is>
      </c>
      <c r="B93" t="inlineStr">
        <is>
          <t>Total</t>
        </is>
      </c>
      <c r="C93" t="inlineStr">
        <is>
          <t>total</t>
        </is>
      </c>
      <c r="D93" t="inlineStr">
        <is>
          <t>Putting things off</t>
        </is>
      </c>
      <c r="E93" t="inlineStr">
        <is>
          <t>difficulty</t>
        </is>
      </c>
      <c r="F93" t="inlineStr">
        <is>
          <t>mean</t>
        </is>
      </c>
      <c r="I93" t="inlineStr">
        <is>
          <t>Putting things off is not a big feature of how you work.</t>
        </is>
      </c>
      <c r="J93" t="inlineStr">
        <is>
          <t>Putting things off came up often in your answers.</t>
        </is>
      </c>
    </row>
    <row r="94">
      <c r="A94" t="inlineStr">
        <is>
          <t>HUA-ORANGA</t>
        </is>
      </c>
      <c r="B94" t="inlineStr">
        <is>
          <t>Taha Tinana</t>
        </is>
      </c>
      <c r="C94" t="inlineStr">
        <is>
          <t>tinana</t>
        </is>
      </c>
      <c r="D94" t="inlineStr">
        <is>
          <t>Taha tinana (physical wellbeing)</t>
        </is>
      </c>
      <c r="E94" t="inlineStr">
        <is>
          <t>positive</t>
        </is>
      </c>
      <c r="F94" t="inlineStr">
        <is>
          <t>sum</t>
        </is>
      </c>
      <c r="G94" t="inlineStr">
        <is>
          <t>12</t>
        </is>
      </c>
      <c r="H94" t="inlineStr">
        <is>
          <t>16</t>
        </is>
      </c>
      <c r="I94" t="inlineStr">
        <is>
          <t>Your taha tinana, your physical wellbeing, came through as a strength.</t>
        </is>
      </c>
      <c r="J94" t="inlineStr">
        <is>
          <t>Your taha tinana, your physical wellbeing, came through as an area to look after.</t>
        </is>
      </c>
    </row>
    <row r="95">
      <c r="A95" t="inlineStr">
        <is>
          <t>HUA-ORANGA</t>
        </is>
      </c>
      <c r="B95" t="inlineStr">
        <is>
          <t>Taha Wairua</t>
        </is>
      </c>
      <c r="C95" t="inlineStr">
        <is>
          <t>wairua</t>
        </is>
      </c>
      <c r="D95" t="inlineStr">
        <is>
          <t>Taha wairua (spiritual wellbeing)</t>
        </is>
      </c>
      <c r="E95" t="inlineStr">
        <is>
          <t>positive</t>
        </is>
      </c>
      <c r="F95" t="inlineStr">
        <is>
          <t>sum</t>
        </is>
      </c>
      <c r="G95" t="inlineStr">
        <is>
          <t>12</t>
        </is>
      </c>
      <c r="H95" t="inlineStr">
        <is>
          <t>16</t>
        </is>
      </c>
      <c r="I95" t="inlineStr">
        <is>
          <t>Your taha wairua, your spiritual wellbeing, came through as a strength.</t>
        </is>
      </c>
      <c r="J95" t="inlineStr">
        <is>
          <t>Your taha wairua, your spiritual wellbeing, came through as an area to look after.</t>
        </is>
      </c>
    </row>
    <row r="96">
      <c r="A96" t="inlineStr">
        <is>
          <t>HUA-ORANGA</t>
        </is>
      </c>
      <c r="B96" t="inlineStr">
        <is>
          <t>Taha Whānau</t>
        </is>
      </c>
      <c r="C96" t="inlineStr">
        <is>
          <t>whanau</t>
        </is>
      </c>
      <c r="D96" t="inlineStr">
        <is>
          <t>Taha whānau (family and relationships)</t>
        </is>
      </c>
      <c r="E96" t="inlineStr">
        <is>
          <t>positive</t>
        </is>
      </c>
      <c r="F96" t="inlineStr">
        <is>
          <t>sum</t>
        </is>
      </c>
      <c r="G96" t="inlineStr">
        <is>
          <t>12</t>
        </is>
      </c>
      <c r="H96" t="inlineStr">
        <is>
          <t>16</t>
        </is>
      </c>
      <c r="I96" t="inlineStr">
        <is>
          <t>Your taha whānau, your connections with others, came through as a strength.</t>
        </is>
      </c>
      <c r="J96" t="inlineStr">
        <is>
          <t>Your taha whānau, your connections with others, came through as an area to look after.</t>
        </is>
      </c>
    </row>
    <row r="97">
      <c r="A97" t="inlineStr">
        <is>
          <t>HUA-ORANGA</t>
        </is>
      </c>
      <c r="B97" t="inlineStr">
        <is>
          <t>Taha Hinengaro</t>
        </is>
      </c>
      <c r="C97" t="inlineStr">
        <is>
          <t>hinengaro</t>
        </is>
      </c>
      <c r="D97" t="inlineStr">
        <is>
          <t>Taha hinengaro (mental and emotional wellbeing)</t>
        </is>
      </c>
      <c r="E97" t="inlineStr">
        <is>
          <t>positive</t>
        </is>
      </c>
      <c r="F97" t="inlineStr">
        <is>
          <t>sum</t>
        </is>
      </c>
      <c r="G97" t="inlineStr">
        <is>
          <t>12</t>
        </is>
      </c>
      <c r="H97" t="inlineStr">
        <is>
          <t>16</t>
        </is>
      </c>
      <c r="I97" t="inlineStr">
        <is>
          <t>Your taha hinengaro, your mental and emotional wellbeing, came through as a strength.</t>
        </is>
      </c>
      <c r="J97" t="inlineStr">
        <is>
          <t>Your taha hinengaro, your mental and emotional wellbeing, came through as an area to look after.</t>
        </is>
      </c>
    </row>
    <row r="98">
      <c r="A98" t="inlineStr">
        <is>
          <t>HUA-ORANGA</t>
        </is>
      </c>
      <c r="B98" t="inlineStr">
        <is>
          <t>Total</t>
        </is>
      </c>
      <c r="C98" t="inlineStr">
        <is>
          <t>total</t>
        </is>
      </c>
      <c r="D98" t="inlineStr">
        <is>
          <t>Overall wellbeing</t>
        </is>
      </c>
      <c r="E98" t="inlineStr">
        <is>
          <t>positive</t>
        </is>
      </c>
      <c r="F98" t="inlineStr">
        <is>
          <t>sum</t>
        </is>
      </c>
      <c r="G98" t="inlineStr">
        <is>
          <t>48</t>
        </is>
      </c>
      <c r="H98" t="inlineStr">
        <is>
          <t>64</t>
        </is>
      </c>
      <c r="I98" t="inlineStr">
        <is>
          <t>Taken together, your answers describe a strong sense of wellbeing.</t>
        </is>
      </c>
      <c r="J98" t="inlineStr">
        <is>
          <t>Taken together, your answers point to wellbeing as an area to look after.</t>
        </is>
      </c>
    </row>
    <row r="99">
      <c r="A99" t="inlineStr">
        <is>
          <t>JDS</t>
        </is>
      </c>
      <c r="B99" t="inlineStr">
        <is>
          <t>Skill variety</t>
        </is>
      </c>
      <c r="C99" t="inlineStr">
        <is>
          <t>variety</t>
        </is>
      </c>
      <c r="D99" t="inlineStr">
        <is>
          <t>Variety in your work</t>
        </is>
      </c>
      <c r="E99" t="inlineStr">
        <is>
          <t>positive</t>
        </is>
      </c>
      <c r="F99" t="inlineStr">
        <is>
          <t>mean</t>
        </is>
      </c>
      <c r="I99" t="inlineStr">
        <is>
          <t>Your work gives you plenty of variety.</t>
        </is>
      </c>
      <c r="J99" t="inlineStr">
        <is>
          <t>Variety in your work came through as limited in your answers.</t>
        </is>
      </c>
    </row>
    <row r="100">
      <c r="A100" t="inlineStr">
        <is>
          <t>JDS</t>
        </is>
      </c>
      <c r="B100" t="inlineStr">
        <is>
          <t>Task identity</t>
        </is>
      </c>
      <c r="C100" t="inlineStr">
        <is>
          <t>identity</t>
        </is>
      </c>
      <c r="D100" t="inlineStr">
        <is>
          <t>Seeing a piece of work through</t>
        </is>
      </c>
      <c r="E100" t="inlineStr">
        <is>
          <t>positive</t>
        </is>
      </c>
      <c r="F100" t="inlineStr">
        <is>
          <t>mean</t>
        </is>
      </c>
      <c r="I100" t="inlineStr">
        <is>
          <t>You get to see pieces of work through from start to finish.</t>
        </is>
      </c>
      <c r="J100" t="inlineStr">
        <is>
          <t>Seeing pieces of work through from start to finish came through as limited in your answers.</t>
        </is>
      </c>
    </row>
    <row r="101">
      <c r="A101" t="inlineStr">
        <is>
          <t>JDS</t>
        </is>
      </c>
      <c r="B101" t="inlineStr">
        <is>
          <t>Task significance</t>
        </is>
      </c>
      <c r="C101" t="inlineStr">
        <is>
          <t>significance</t>
        </is>
      </c>
      <c r="D101" t="inlineStr">
        <is>
          <t>Work that matters to others</t>
        </is>
      </c>
      <c r="E101" t="inlineStr">
        <is>
          <t>positive</t>
        </is>
      </c>
      <c r="F101" t="inlineStr">
        <is>
          <t>mean</t>
        </is>
      </c>
      <c r="I101" t="inlineStr">
        <is>
          <t>You see your work as mattering to other people.</t>
        </is>
      </c>
      <c r="J101" t="inlineStr">
        <is>
          <t>A sense that your work matters to other people came through less strongly in your answers.</t>
        </is>
      </c>
    </row>
    <row r="102">
      <c r="A102" t="inlineStr">
        <is>
          <t>JDS</t>
        </is>
      </c>
      <c r="B102" t="inlineStr">
        <is>
          <t>Autonomy</t>
        </is>
      </c>
      <c r="C102" t="inlineStr">
        <is>
          <t>autonomy</t>
        </is>
      </c>
      <c r="D102" t="inlineStr">
        <is>
          <t>Freedom in how you work</t>
        </is>
      </c>
      <c r="E102" t="inlineStr">
        <is>
          <t>positive</t>
        </is>
      </c>
      <c r="F102" t="inlineStr">
        <is>
          <t>mean</t>
        </is>
      </c>
      <c r="I102" t="inlineStr">
        <is>
          <t>You have real freedom in how you do your work.</t>
        </is>
      </c>
      <c r="J102" t="inlineStr">
        <is>
          <t>Freedom in how you do your work came through as limited in your answers.</t>
        </is>
      </c>
    </row>
    <row r="103">
      <c r="A103" t="inlineStr">
        <is>
          <t>JDS</t>
        </is>
      </c>
      <c r="B103" t="inlineStr">
        <is>
          <t>Feedback from the job</t>
        </is>
      </c>
      <c r="C103" t="inlineStr">
        <is>
          <t>feedback</t>
        </is>
      </c>
      <c r="D103" t="inlineStr">
        <is>
          <t>Knowing how you are doing</t>
        </is>
      </c>
      <c r="E103" t="inlineStr">
        <is>
          <t>positive</t>
        </is>
      </c>
      <c r="F103" t="inlineStr">
        <is>
          <t>mean</t>
        </is>
      </c>
      <c r="I103" t="inlineStr">
        <is>
          <t>Your work itself tells you how you are doing.</t>
        </is>
      </c>
      <c r="J103" t="inlineStr">
        <is>
          <t>Knowing how you are doing from the work itself came through as limited in your answers.</t>
        </is>
      </c>
    </row>
    <row r="104">
      <c r="A104" t="inlineStr">
        <is>
          <t>MEWS</t>
        </is>
      </c>
      <c r="B104" t="inlineStr">
        <is>
          <t>Total</t>
        </is>
      </c>
      <c r="C104" t="inlineStr">
        <is>
          <t>total</t>
        </is>
      </c>
      <c r="D104" t="inlineStr">
        <is>
          <t>Mind wandering</t>
        </is>
      </c>
      <c r="E104" t="inlineStr">
        <is>
          <t>difficulty</t>
        </is>
      </c>
      <c r="F104" t="inlineStr">
        <is>
          <t>sum</t>
        </is>
      </c>
      <c r="G104" t="inlineStr">
        <is>
          <t>7</t>
        </is>
      </c>
      <c r="H104" t="inlineStr">
        <is>
          <t>14</t>
        </is>
      </c>
      <c r="I104" t="inlineStr">
        <is>
          <t>A racing or wandering mind is not a big feature of your answers.</t>
        </is>
      </c>
      <c r="J104" t="inlineStr">
        <is>
          <t>A racing or wandering mind came up often in your answers.</t>
        </is>
      </c>
    </row>
    <row r="105">
      <c r="A105" t="inlineStr">
        <is>
          <t>MINI-IPIP</t>
        </is>
      </c>
      <c r="B105" t="inlineStr">
        <is>
          <t>Extraversion</t>
        </is>
      </c>
      <c r="C105" t="inlineStr">
        <is>
          <t>extraversion</t>
        </is>
      </c>
      <c r="D105" t="inlineStr">
        <is>
          <t>Extraversion</t>
        </is>
      </c>
      <c r="E105" t="inlineStr">
        <is>
          <t>none</t>
        </is>
      </c>
      <c r="F105" t="inlineStr">
        <is>
          <t>sum</t>
        </is>
      </c>
    </row>
    <row r="106">
      <c r="A106" t="inlineStr">
        <is>
          <t>MINI-IPIP</t>
        </is>
      </c>
      <c r="B106" t="inlineStr">
        <is>
          <t>Agreeableness</t>
        </is>
      </c>
      <c r="C106" t="inlineStr">
        <is>
          <t>agreeableness</t>
        </is>
      </c>
      <c r="D106" t="inlineStr">
        <is>
          <t>Agreeableness</t>
        </is>
      </c>
      <c r="E106" t="inlineStr">
        <is>
          <t>none</t>
        </is>
      </c>
      <c r="F106" t="inlineStr">
        <is>
          <t>sum</t>
        </is>
      </c>
    </row>
    <row r="107">
      <c r="A107" t="inlineStr">
        <is>
          <t>MINI-IPIP</t>
        </is>
      </c>
      <c r="B107" t="inlineStr">
        <is>
          <t>Conscientiousness</t>
        </is>
      </c>
      <c r="C107" t="inlineStr">
        <is>
          <t>conscientiousness</t>
        </is>
      </c>
      <c r="D107" t="inlineStr">
        <is>
          <t>Conscientiousness</t>
        </is>
      </c>
      <c r="E107" t="inlineStr">
        <is>
          <t>none</t>
        </is>
      </c>
      <c r="F107" t="inlineStr">
        <is>
          <t>sum</t>
        </is>
      </c>
    </row>
    <row r="108">
      <c r="A108" t="inlineStr">
        <is>
          <t>MINI-IPIP</t>
        </is>
      </c>
      <c r="B108" t="inlineStr">
        <is>
          <t>Neuroticism</t>
        </is>
      </c>
      <c r="C108" t="inlineStr">
        <is>
          <t>neuroticism</t>
        </is>
      </c>
      <c r="D108" t="inlineStr">
        <is>
          <t>Emotional reactivity</t>
        </is>
      </c>
      <c r="E108" t="inlineStr">
        <is>
          <t>none</t>
        </is>
      </c>
      <c r="F108" t="inlineStr">
        <is>
          <t>sum</t>
        </is>
      </c>
    </row>
    <row r="109">
      <c r="A109" t="inlineStr">
        <is>
          <t>MINI-IPIP</t>
        </is>
      </c>
      <c r="B109" t="inlineStr">
        <is>
          <t>Intellect or Imagination</t>
        </is>
      </c>
      <c r="C109" t="inlineStr">
        <is>
          <t>intellect</t>
        </is>
      </c>
      <c r="D109" t="inlineStr">
        <is>
          <t>Openness</t>
        </is>
      </c>
      <c r="E109" t="inlineStr">
        <is>
          <t>none</t>
        </is>
      </c>
      <c r="F109" t="inlineStr">
        <is>
          <t>sum</t>
        </is>
      </c>
    </row>
    <row r="110">
      <c r="A110" t="inlineStr">
        <is>
          <t>MWQ</t>
        </is>
      </c>
      <c r="B110" t="inlineStr">
        <is>
          <t>Total</t>
        </is>
      </c>
      <c r="C110" t="inlineStr">
        <is>
          <t>total</t>
        </is>
      </c>
      <c r="D110" t="inlineStr">
        <is>
          <t>Mind wandering</t>
        </is>
      </c>
      <c r="E110" t="inlineStr">
        <is>
          <t>difficulty</t>
        </is>
      </c>
      <c r="F110" t="inlineStr">
        <is>
          <t>mean</t>
        </is>
      </c>
      <c r="I110" t="inlineStr">
        <is>
          <t>A wandering mind is not a big feature of your answers.</t>
        </is>
      </c>
      <c r="J110" t="inlineStr">
        <is>
          <t>A wandering mind came up often in your answers.</t>
        </is>
      </c>
    </row>
    <row r="111">
      <c r="A111" t="inlineStr">
        <is>
          <t>NCS-6</t>
        </is>
      </c>
      <c r="B111" t="inlineStr">
        <is>
          <t>Total</t>
        </is>
      </c>
      <c r="C111" t="inlineStr">
        <is>
          <t>total</t>
        </is>
      </c>
      <c r="D111" t="inlineStr">
        <is>
          <t>Enjoying effortful thinking</t>
        </is>
      </c>
      <c r="E111" t="inlineStr">
        <is>
          <t>positive</t>
        </is>
      </c>
      <c r="F111" t="inlineStr">
        <is>
          <t>mean</t>
        </is>
      </c>
      <c r="I111" t="inlineStr">
        <is>
          <t>You described enjoying problems that take real thought.</t>
        </is>
      </c>
      <c r="J111" t="inlineStr">
        <is>
          <t>Enjoying problems that take real thought came through less strongly in your answers.</t>
        </is>
      </c>
    </row>
    <row r="112">
      <c r="A112" t="inlineStr">
        <is>
          <t>PHQ-2</t>
        </is>
      </c>
      <c r="B112" t="inlineStr">
        <is>
          <t>Total</t>
        </is>
      </c>
      <c r="C112" t="inlineStr">
        <is>
          <t>total</t>
        </is>
      </c>
      <c r="D112" t="inlineStr">
        <is>
          <t>Mood</t>
        </is>
      </c>
      <c r="E112" t="inlineStr">
        <is>
          <t>difficulty</t>
        </is>
      </c>
      <c r="F112" t="inlineStr">
        <is>
          <t>sum</t>
        </is>
      </c>
      <c r="H112" t="inlineStr">
        <is>
          <t>2</t>
        </is>
      </c>
      <c r="M112" t="inlineStr">
        <is>
          <t>Scored for Sarah only.</t>
        </is>
      </c>
    </row>
    <row r="113">
      <c r="A113" t="inlineStr">
        <is>
          <t>PHQ-9</t>
        </is>
      </c>
      <c r="B113" t="inlineStr">
        <is>
          <t>Total</t>
        </is>
      </c>
      <c r="C113" t="inlineStr">
        <is>
          <t>total</t>
        </is>
      </c>
      <c r="D113" t="inlineStr">
        <is>
          <t>Depressive symptoms</t>
        </is>
      </c>
      <c r="E113" t="inlineStr">
        <is>
          <t>difficulty</t>
        </is>
      </c>
      <c r="F113" t="inlineStr">
        <is>
          <t>sum</t>
        </is>
      </c>
      <c r="H113" t="inlineStr">
        <is>
          <t>9</t>
        </is>
      </c>
      <c r="M113" t="inlineStr">
        <is>
          <t>Scored for Sarah only.</t>
        </is>
      </c>
    </row>
    <row r="114">
      <c r="A114" t="inlineStr">
        <is>
          <t>PROMIS-GH10</t>
        </is>
      </c>
      <c r="B114" t="inlineStr">
        <is>
          <t>Global Physical Health</t>
        </is>
      </c>
      <c r="C114" t="inlineStr">
        <is>
          <t>physical</t>
        </is>
      </c>
      <c r="D114" t="inlineStr">
        <is>
          <t>Physical health</t>
        </is>
      </c>
      <c r="E114" t="inlineStr">
        <is>
          <t>positive</t>
        </is>
      </c>
      <c r="F114" t="inlineStr">
        <is>
          <t>sum</t>
        </is>
      </c>
      <c r="I114" t="inlineStr">
        <is>
          <t>You described your physical health as good.</t>
        </is>
      </c>
      <c r="J114" t="inlineStr">
        <is>
          <t>Your physical health came through as an area to look after.</t>
        </is>
      </c>
    </row>
    <row r="115">
      <c r="A115" t="inlineStr">
        <is>
          <t>PROMIS-GH10</t>
        </is>
      </c>
      <c r="B115" t="inlineStr">
        <is>
          <t>Global Mental Health</t>
        </is>
      </c>
      <c r="C115" t="inlineStr">
        <is>
          <t>mental</t>
        </is>
      </c>
      <c r="D115" t="inlineStr">
        <is>
          <t>Mental health and quality of life</t>
        </is>
      </c>
      <c r="E115" t="inlineStr">
        <is>
          <t>positive</t>
        </is>
      </c>
      <c r="F115" t="inlineStr">
        <is>
          <t>sum</t>
        </is>
      </c>
      <c r="I115" t="inlineStr">
        <is>
          <t>You described your mental health and quality of life as good.</t>
        </is>
      </c>
      <c r="J115" t="inlineStr">
        <is>
          <t>Your mental health and quality of life came through as an area to look after.</t>
        </is>
      </c>
    </row>
    <row r="116">
      <c r="A116" t="inlineStr">
        <is>
          <t>PROMIS-APSRA-8A</t>
        </is>
      </c>
      <c r="B116" t="inlineStr">
        <is>
          <t>Total</t>
        </is>
      </c>
      <c r="C116" t="inlineStr">
        <is>
          <t>total</t>
        </is>
      </c>
      <c r="D116" t="inlineStr">
        <is>
          <t>Taking part in life</t>
        </is>
      </c>
      <c r="E116" t="inlineStr">
        <is>
          <t>positive</t>
        </is>
      </c>
      <c r="F116" t="inlineStr">
        <is>
          <t>sum</t>
        </is>
      </c>
      <c r="I116" t="inlineStr">
        <is>
          <t>You are able to take part in the activities and roles that matter to you.</t>
        </is>
      </c>
      <c r="J116" t="inlineStr">
        <is>
          <t>Taking part in the activities and roles that matter to you came through as limited in your answers.</t>
        </is>
      </c>
    </row>
    <row r="117">
      <c r="A117" t="inlineStr">
        <is>
          <t>PROMIS-COGA-8A</t>
        </is>
      </c>
      <c r="B117" t="inlineStr">
        <is>
          <t>Total</t>
        </is>
      </c>
      <c r="C117" t="inlineStr">
        <is>
          <t>total</t>
        </is>
      </c>
      <c r="D117" t="inlineStr">
        <is>
          <t>Thinking abilities</t>
        </is>
      </c>
      <c r="E117" t="inlineStr">
        <is>
          <t>positive</t>
        </is>
      </c>
      <c r="F117" t="inlineStr">
        <is>
          <t>sum</t>
        </is>
      </c>
      <c r="I117" t="inlineStr">
        <is>
          <t>You described your thinking as working well for you over the past week.</t>
        </is>
      </c>
      <c r="J117" t="inlineStr">
        <is>
          <t>Your thinking felt less reliable than you would like over the past week.</t>
        </is>
      </c>
    </row>
    <row r="118">
      <c r="A118" t="inlineStr">
        <is>
          <t>PROMIS-COGF-8A</t>
        </is>
      </c>
      <c r="B118" t="inlineStr">
        <is>
          <t>Total</t>
        </is>
      </c>
      <c r="C118" t="inlineStr">
        <is>
          <t>total</t>
        </is>
      </c>
      <c r="D118" t="inlineStr">
        <is>
          <t>Thinking and concentration</t>
        </is>
      </c>
      <c r="E118" t="inlineStr">
        <is>
          <t>positive</t>
        </is>
      </c>
      <c r="F118" t="inlineStr">
        <is>
          <t>sum</t>
        </is>
      </c>
      <c r="I118" t="inlineStr">
        <is>
          <t>Your thinking and concentration held up well over the past week.</t>
        </is>
      </c>
      <c r="J118" t="inlineStr">
        <is>
          <t>Your thinking and concentration came through as an area to look after over the past week.</t>
        </is>
      </c>
    </row>
    <row r="119">
      <c r="A119" t="inlineStr">
        <is>
          <t>PROMIS-FAT-8A</t>
        </is>
      </c>
      <c r="B119" t="inlineStr">
        <is>
          <t>Total</t>
        </is>
      </c>
      <c r="C119" t="inlineStr">
        <is>
          <t>total</t>
        </is>
      </c>
      <c r="D119" t="inlineStr">
        <is>
          <t>Tiredness</t>
        </is>
      </c>
      <c r="E119" t="inlineStr">
        <is>
          <t>difficulty</t>
        </is>
      </c>
      <c r="F119" t="inlineStr">
        <is>
          <t>sum</t>
        </is>
      </c>
      <c r="I119" t="inlineStr">
        <is>
          <t>Tiredness did not feature strongly in your answers over the past week.</t>
        </is>
      </c>
      <c r="J119" t="inlineStr">
        <is>
          <t>Tiredness came through as an area to look after over the past week.</t>
        </is>
      </c>
    </row>
    <row r="120">
      <c r="A120" t="inlineStr">
        <is>
          <t>PROMIS-GSE-4A</t>
        </is>
      </c>
      <c r="B120" t="inlineStr">
        <is>
          <t>Total</t>
        </is>
      </c>
      <c r="C120" t="inlineStr">
        <is>
          <t>total</t>
        </is>
      </c>
      <c r="D120" t="inlineStr">
        <is>
          <t>Confidence in handling problems</t>
        </is>
      </c>
      <c r="E120" t="inlineStr">
        <is>
          <t>positive</t>
        </is>
      </c>
      <c r="F120" t="inlineStr">
        <is>
          <t>sum</t>
        </is>
      </c>
      <c r="I120" t="inlineStr">
        <is>
          <t>You described confidence in handling what comes up.</t>
        </is>
      </c>
      <c r="J120" t="inlineStr">
        <is>
          <t>Confidence in handling what comes up came through less strongly in your answers.</t>
        </is>
      </c>
    </row>
    <row r="121">
      <c r="A121" t="inlineStr">
        <is>
          <t>PROMIS-MP-8A</t>
        </is>
      </c>
      <c r="B121" t="inlineStr">
        <is>
          <t>Total</t>
        </is>
      </c>
      <c r="C121" t="inlineStr">
        <is>
          <t>total</t>
        </is>
      </c>
      <c r="D121" t="inlineStr">
        <is>
          <t>Meaning and purpose</t>
        </is>
      </c>
      <c r="E121" t="inlineStr">
        <is>
          <t>positive</t>
        </is>
      </c>
      <c r="F121" t="inlineStr">
        <is>
          <t>sum</t>
        </is>
      </c>
      <c r="I121" t="inlineStr">
        <is>
          <t>You described a strong sense of meaning and purpose.</t>
        </is>
      </c>
      <c r="J121" t="inlineStr">
        <is>
          <t>A sense of meaning and purpose came through less strongly in your answers.</t>
        </is>
      </c>
    </row>
    <row r="122">
      <c r="A122" t="inlineStr">
        <is>
          <t>PROMIS-SSRA-8A</t>
        </is>
      </c>
      <c r="B122" t="inlineStr">
        <is>
          <t>Total</t>
        </is>
      </c>
      <c r="C122" t="inlineStr">
        <is>
          <t>total</t>
        </is>
      </c>
      <c r="D122" t="inlineStr">
        <is>
          <t>Satisfaction with your roles</t>
        </is>
      </c>
      <c r="E122" t="inlineStr">
        <is>
          <t>positive</t>
        </is>
      </c>
      <c r="F122" t="inlineStr">
        <is>
          <t>sum</t>
        </is>
      </c>
      <c r="I122" t="inlineStr">
        <is>
          <t>You described being satisfied with how you take part in work, family and social life.</t>
        </is>
      </c>
      <c r="J122" t="inlineStr">
        <is>
          <t>Satisfaction with how you take part in work, family and social life came through as an area to look after.</t>
        </is>
      </c>
    </row>
    <row r="123">
      <c r="A123" t="inlineStr">
        <is>
          <t>PROMIS-SD-8A</t>
        </is>
      </c>
      <c r="B123" t="inlineStr">
        <is>
          <t>Total</t>
        </is>
      </c>
      <c r="C123" t="inlineStr">
        <is>
          <t>total</t>
        </is>
      </c>
      <c r="D123" t="inlineStr">
        <is>
          <t>Sleep disturbance</t>
        </is>
      </c>
      <c r="E123" t="inlineStr">
        <is>
          <t>difficulty</t>
        </is>
      </c>
      <c r="F123" t="inlineStr">
        <is>
          <t>sum</t>
        </is>
      </c>
      <c r="I123" t="inlineStr">
        <is>
          <t>Your sleep held up well over the past week.</t>
        </is>
      </c>
      <c r="J123" t="inlineStr">
        <is>
          <t>Your sleep came through as an area to look after over the past week.</t>
        </is>
      </c>
    </row>
    <row r="124">
      <c r="A124" t="inlineStr">
        <is>
          <t>PROMIS-SRI-8A</t>
        </is>
      </c>
      <c r="B124" t="inlineStr">
        <is>
          <t>Total</t>
        </is>
      </c>
      <c r="C124" t="inlineStr">
        <is>
          <t>total</t>
        </is>
      </c>
      <c r="D124" t="inlineStr">
        <is>
          <t>Daytime effects of poor sleep</t>
        </is>
      </c>
      <c r="E124" t="inlineStr">
        <is>
          <t>difficulty</t>
        </is>
      </c>
      <c r="F124" t="inlineStr">
        <is>
          <t>sum</t>
        </is>
      </c>
      <c r="I124" t="inlineStr">
        <is>
          <t>Poor sleep did not get in the way of your days over the past week.</t>
        </is>
      </c>
      <c r="J124" t="inlineStr">
        <is>
          <t>Poor sleep got in the way of your days over the past week.</t>
        </is>
      </c>
    </row>
    <row r="125">
      <c r="A125" t="inlineStr">
        <is>
          <t>PSWQ</t>
        </is>
      </c>
      <c r="B125" t="inlineStr">
        <is>
          <t>Total</t>
        </is>
      </c>
      <c r="C125" t="inlineStr">
        <is>
          <t>total</t>
        </is>
      </c>
      <c r="D125" t="inlineStr">
        <is>
          <t>Worry</t>
        </is>
      </c>
      <c r="E125" t="inlineStr">
        <is>
          <t>difficulty</t>
        </is>
      </c>
      <c r="F125" t="inlineStr">
        <is>
          <t>sum</t>
        </is>
      </c>
      <c r="G125" t="inlineStr">
        <is>
          <t>39</t>
        </is>
      </c>
      <c r="H125" t="inlineStr">
        <is>
          <t>59</t>
        </is>
      </c>
      <c r="M125" t="inlineStr">
        <is>
          <t>Scored for Sarah only.</t>
        </is>
      </c>
    </row>
    <row r="126">
      <c r="A126" t="inlineStr">
        <is>
          <t>RAADS-14</t>
        </is>
      </c>
      <c r="B126" t="inlineStr">
        <is>
          <t>Total</t>
        </is>
      </c>
      <c r="C126" t="inlineStr">
        <is>
          <t>total</t>
        </is>
      </c>
      <c r="D126" t="inlineStr">
        <is>
          <t>Autistic traits</t>
        </is>
      </c>
      <c r="E126" t="inlineStr">
        <is>
          <t>difficulty</t>
        </is>
      </c>
      <c r="F126" t="inlineStr">
        <is>
          <t>sum</t>
        </is>
      </c>
      <c r="H126" t="inlineStr">
        <is>
          <t>13</t>
        </is>
      </c>
      <c r="M126" t="inlineStr">
        <is>
          <t>Scored for Sarah only.</t>
        </is>
      </c>
    </row>
    <row r="127">
      <c r="A127" t="inlineStr">
        <is>
          <t>RAADS-14</t>
        </is>
      </c>
      <c r="B127" t="inlineStr">
        <is>
          <t>Mentalizing deficits</t>
        </is>
      </c>
      <c r="C127" t="inlineStr">
        <is>
          <t>mentalizing</t>
        </is>
      </c>
      <c r="D127" t="inlineStr">
        <is>
          <t>Reading other people</t>
        </is>
      </c>
      <c r="E127" t="inlineStr">
        <is>
          <t>none</t>
        </is>
      </c>
      <c r="F127" t="inlineStr">
        <is>
          <t>sum</t>
        </is>
      </c>
      <c r="M127" t="inlineStr">
        <is>
          <t>Scored for Sarah only.</t>
        </is>
      </c>
    </row>
    <row r="128">
      <c r="A128" t="inlineStr">
        <is>
          <t>RAADS-14</t>
        </is>
      </c>
      <c r="B128" t="inlineStr">
        <is>
          <t>Social anxiety</t>
        </is>
      </c>
      <c r="C128" t="inlineStr">
        <is>
          <t>social-anxiety</t>
        </is>
      </c>
      <c r="D128" t="inlineStr">
        <is>
          <t>Social anxiety</t>
        </is>
      </c>
      <c r="E128" t="inlineStr">
        <is>
          <t>none</t>
        </is>
      </c>
      <c r="F128" t="inlineStr">
        <is>
          <t>sum</t>
        </is>
      </c>
      <c r="M128" t="inlineStr">
        <is>
          <t>Scored for Sarah only.</t>
        </is>
      </c>
    </row>
    <row r="129">
      <c r="A129" t="inlineStr">
        <is>
          <t>RAADS-14</t>
        </is>
      </c>
      <c r="B129" t="inlineStr">
        <is>
          <t>Sensory reactivity</t>
        </is>
      </c>
      <c r="C129" t="inlineStr">
        <is>
          <t>sensory</t>
        </is>
      </c>
      <c r="D129" t="inlineStr">
        <is>
          <t>Sensory reactivity</t>
        </is>
      </c>
      <c r="E129" t="inlineStr">
        <is>
          <t>none</t>
        </is>
      </c>
      <c r="F129" t="inlineStr">
        <is>
          <t>sum</t>
        </is>
      </c>
      <c r="M129" t="inlineStr">
        <is>
          <t>Scored for Sarah only.</t>
        </is>
      </c>
    </row>
    <row r="130">
      <c r="A130" t="inlineStr">
        <is>
          <t>SAPS</t>
        </is>
      </c>
      <c r="B130" t="inlineStr">
        <is>
          <t>Standards</t>
        </is>
      </c>
      <c r="C130" t="inlineStr">
        <is>
          <t>standards</t>
        </is>
      </c>
      <c r="D130" t="inlineStr">
        <is>
          <t>High standards</t>
        </is>
      </c>
      <c r="E130" t="inlineStr">
        <is>
          <t>none</t>
        </is>
      </c>
      <c r="F130" t="inlineStr">
        <is>
          <t>mean</t>
        </is>
      </c>
    </row>
    <row r="131">
      <c r="A131" t="inlineStr">
        <is>
          <t>SAPS</t>
        </is>
      </c>
      <c r="B131" t="inlineStr">
        <is>
          <t>Discrepancy</t>
        </is>
      </c>
      <c r="C131" t="inlineStr">
        <is>
          <t>discrepancy</t>
        </is>
      </c>
      <c r="D131" t="inlineStr">
        <is>
          <t>Falling short of your standards</t>
        </is>
      </c>
      <c r="E131" t="inlineStr">
        <is>
          <t>difficulty</t>
        </is>
      </c>
      <c r="F131" t="inlineStr">
        <is>
          <t>mean</t>
        </is>
      </c>
      <c r="I131" t="inlineStr">
        <is>
          <t>You described mostly feeling that you meet the standards you set.</t>
        </is>
      </c>
      <c r="J131" t="inlineStr">
        <is>
          <t>A sense of falling short of your own standards came up often in your answers.</t>
        </is>
      </c>
    </row>
    <row r="132">
      <c r="A132" t="inlineStr">
        <is>
          <t>SCS</t>
        </is>
      </c>
      <c r="B132" t="inlineStr">
        <is>
          <t>Total</t>
        </is>
      </c>
      <c r="C132" t="inlineStr">
        <is>
          <t>total</t>
        </is>
      </c>
      <c r="D132" t="inlineStr">
        <is>
          <t>Self compassion</t>
        </is>
      </c>
      <c r="E132" t="inlineStr">
        <is>
          <t>positive</t>
        </is>
      </c>
      <c r="F132" t="inlineStr">
        <is>
          <t>mean</t>
        </is>
      </c>
      <c r="I132" t="inlineStr">
        <is>
          <t>You described treating yourself with kindness and perspective when things go wrong.</t>
        </is>
      </c>
      <c r="J132" t="inlineStr">
        <is>
          <t>Treating yourself with kindness when things go wrong came through as an area to work on.</t>
        </is>
      </c>
    </row>
    <row r="133">
      <c r="A133" t="inlineStr">
        <is>
          <t>SCS</t>
        </is>
      </c>
      <c r="B133" t="inlineStr">
        <is>
          <t>Self-Kindness</t>
        </is>
      </c>
      <c r="C133" t="inlineStr">
        <is>
          <t>kindness</t>
        </is>
      </c>
      <c r="D133" t="inlineStr">
        <is>
          <t>Kindness towards yourself</t>
        </is>
      </c>
      <c r="E133" t="inlineStr">
        <is>
          <t>positive</t>
        </is>
      </c>
      <c r="F133" t="inlineStr">
        <is>
          <t>mean</t>
        </is>
      </c>
      <c r="I133" t="inlineStr">
        <is>
          <t>You tend to be kind to yourself when things are hard.</t>
        </is>
      </c>
      <c r="J133" t="inlineStr">
        <is>
          <t>Being kind to yourself when things are hard came through as an area to work on.</t>
        </is>
      </c>
    </row>
    <row r="134">
      <c r="A134" t="inlineStr">
        <is>
          <t>SCS</t>
        </is>
      </c>
      <c r="B134" t="inlineStr">
        <is>
          <t>Self-Judgment</t>
        </is>
      </c>
      <c r="C134" t="inlineStr">
        <is>
          <t>judgment</t>
        </is>
      </c>
      <c r="D134" t="inlineStr">
        <is>
          <t>Easing off self judgement</t>
        </is>
      </c>
      <c r="E134" t="inlineStr">
        <is>
          <t>positive</t>
        </is>
      </c>
      <c r="F134" t="inlineStr">
        <is>
          <t>mean</t>
        </is>
      </c>
      <c r="I134" t="inlineStr">
        <is>
          <t>Harsh self judgement is not a big feature of your answers.</t>
        </is>
      </c>
      <c r="J134" t="inlineStr">
        <is>
          <t>Harsh self judgement came up often in your answers.</t>
        </is>
      </c>
    </row>
    <row r="135">
      <c r="A135" t="inlineStr">
        <is>
          <t>SCS</t>
        </is>
      </c>
      <c r="B135" t="inlineStr">
        <is>
          <t>Common Humanity</t>
        </is>
      </c>
      <c r="C135" t="inlineStr">
        <is>
          <t>humanity</t>
        </is>
      </c>
      <c r="D135" t="inlineStr">
        <is>
          <t>Remembering you are not alone</t>
        </is>
      </c>
      <c r="E135" t="inlineStr">
        <is>
          <t>positive</t>
        </is>
      </c>
      <c r="F135" t="inlineStr">
        <is>
          <t>mean</t>
        </is>
      </c>
      <c r="I135" t="inlineStr">
        <is>
          <t>You remember that struggle is part of being human.</t>
        </is>
      </c>
      <c r="J135" t="inlineStr">
        <is>
          <t>Remembering that struggle is part of being human came through as an area to work on.</t>
        </is>
      </c>
    </row>
    <row r="136">
      <c r="A136" t="inlineStr">
        <is>
          <t>SCS</t>
        </is>
      </c>
      <c r="B136" t="inlineStr">
        <is>
          <t>Isolation</t>
        </is>
      </c>
      <c r="C136" t="inlineStr">
        <is>
          <t>isolation</t>
        </is>
      </c>
      <c r="D136" t="inlineStr">
        <is>
          <t>Feeling less alone in struggle</t>
        </is>
      </c>
      <c r="E136" t="inlineStr">
        <is>
          <t>positive</t>
        </is>
      </c>
      <c r="F136" t="inlineStr">
        <is>
          <t>mean</t>
        </is>
      </c>
      <c r="I136" t="inlineStr">
        <is>
          <t>Feeling alone in your struggles is not a big feature of your answers.</t>
        </is>
      </c>
      <c r="J136" t="inlineStr">
        <is>
          <t>Feeling alone in your struggles came up often in your answers.</t>
        </is>
      </c>
    </row>
    <row r="137">
      <c r="A137" t="inlineStr">
        <is>
          <t>SCS</t>
        </is>
      </c>
      <c r="B137" t="inlineStr">
        <is>
          <t>Mindfulness</t>
        </is>
      </c>
      <c r="C137" t="inlineStr">
        <is>
          <t>mindfulness</t>
        </is>
      </c>
      <c r="D137" t="inlineStr">
        <is>
          <t>Keeping perspective</t>
        </is>
      </c>
      <c r="E137" t="inlineStr">
        <is>
          <t>positive</t>
        </is>
      </c>
      <c r="F137" t="inlineStr">
        <is>
          <t>mean</t>
        </is>
      </c>
      <c r="I137" t="inlineStr">
        <is>
          <t>You tend to keep painful feelings in perspective.</t>
        </is>
      </c>
      <c r="J137" t="inlineStr">
        <is>
          <t>Keeping painful feelings in perspective came through as an area to work on.</t>
        </is>
      </c>
    </row>
    <row r="138">
      <c r="A138" t="inlineStr">
        <is>
          <t>SCS</t>
        </is>
      </c>
      <c r="B138" t="inlineStr">
        <is>
          <t>Over-identified</t>
        </is>
      </c>
      <c r="C138" t="inlineStr">
        <is>
          <t>over-identified</t>
        </is>
      </c>
      <c r="D138" t="inlineStr">
        <is>
          <t>Not getting swept up</t>
        </is>
      </c>
      <c r="E138" t="inlineStr">
        <is>
          <t>positive</t>
        </is>
      </c>
      <c r="F138" t="inlineStr">
        <is>
          <t>mean</t>
        </is>
      </c>
      <c r="I138" t="inlineStr">
        <is>
          <t>Getting swept up in difficult feelings is not a big feature of your answers.</t>
        </is>
      </c>
      <c r="J138" t="inlineStr">
        <is>
          <t>Getting swept up in difficult feelings came up often in your answers.</t>
        </is>
      </c>
    </row>
    <row r="139">
      <c r="A139" t="inlineStr">
        <is>
          <t>SRQ-63</t>
        </is>
      </c>
      <c r="B139" t="inlineStr">
        <is>
          <t>Total</t>
        </is>
      </c>
      <c r="C139" t="inlineStr">
        <is>
          <t>total</t>
        </is>
      </c>
      <c r="D139" t="inlineStr">
        <is>
          <t>Self regulation</t>
        </is>
      </c>
      <c r="E139" t="inlineStr">
        <is>
          <t>positive</t>
        </is>
      </c>
      <c r="F139" t="inlineStr">
        <is>
          <t>sum</t>
        </is>
      </c>
      <c r="G139" t="inlineStr">
        <is>
          <t>213</t>
        </is>
      </c>
      <c r="H139" t="inlineStr">
        <is>
          <t>238</t>
        </is>
      </c>
      <c r="I139" t="inlineStr">
        <is>
          <t>You described steering your own behaviour towards your goals as something you do well.</t>
        </is>
      </c>
      <c r="J139" t="inlineStr">
        <is>
          <t>Steering your own behaviour towards your goals came through as an area to work on.</t>
        </is>
      </c>
    </row>
    <row r="140">
      <c r="A140" t="inlineStr">
        <is>
          <t>SRQ-63</t>
        </is>
      </c>
      <c r="B140" t="inlineStr">
        <is>
          <t>Receiving</t>
        </is>
      </c>
      <c r="C140" t="inlineStr">
        <is>
          <t>receiving</t>
        </is>
      </c>
      <c r="D140" t="inlineStr">
        <is>
          <t>Noticing relevant information</t>
        </is>
      </c>
      <c r="E140" t="inlineStr">
        <is>
          <t>positive</t>
        </is>
      </c>
      <c r="F140" t="inlineStr">
        <is>
          <t>mean</t>
        </is>
      </c>
    </row>
    <row r="141">
      <c r="A141" t="inlineStr">
        <is>
          <t>SRQ-63</t>
        </is>
      </c>
      <c r="B141" t="inlineStr">
        <is>
          <t>Evaluating</t>
        </is>
      </c>
      <c r="C141" t="inlineStr">
        <is>
          <t>evaluating</t>
        </is>
      </c>
      <c r="D141" t="inlineStr">
        <is>
          <t>Weighing it against your standards</t>
        </is>
      </c>
      <c r="E141" t="inlineStr">
        <is>
          <t>positive</t>
        </is>
      </c>
      <c r="F141" t="inlineStr">
        <is>
          <t>mean</t>
        </is>
      </c>
    </row>
    <row r="142">
      <c r="A142" t="inlineStr">
        <is>
          <t>SRQ-63</t>
        </is>
      </c>
      <c r="B142" t="inlineStr">
        <is>
          <t>Triggering</t>
        </is>
      </c>
      <c r="C142" t="inlineStr">
        <is>
          <t>triggering</t>
        </is>
      </c>
      <c r="D142" t="inlineStr">
        <is>
          <t>Feeling the need to change</t>
        </is>
      </c>
      <c r="E142" t="inlineStr">
        <is>
          <t>positive</t>
        </is>
      </c>
      <c r="F142" t="inlineStr">
        <is>
          <t>mean</t>
        </is>
      </c>
    </row>
    <row r="143">
      <c r="A143" t="inlineStr">
        <is>
          <t>SRQ-63</t>
        </is>
      </c>
      <c r="B143" t="inlineStr">
        <is>
          <t>Searching</t>
        </is>
      </c>
      <c r="C143" t="inlineStr">
        <is>
          <t>searching</t>
        </is>
      </c>
      <c r="D143" t="inlineStr">
        <is>
          <t>Looking for options</t>
        </is>
      </c>
      <c r="E143" t="inlineStr">
        <is>
          <t>positive</t>
        </is>
      </c>
      <c r="F143" t="inlineStr">
        <is>
          <t>mean</t>
        </is>
      </c>
    </row>
    <row r="144">
      <c r="A144" t="inlineStr">
        <is>
          <t>SRQ-63</t>
        </is>
      </c>
      <c r="B144" t="inlineStr">
        <is>
          <t>Planning</t>
        </is>
      </c>
      <c r="C144" t="inlineStr">
        <is>
          <t>planning</t>
        </is>
      </c>
      <c r="D144" t="inlineStr">
        <is>
          <t>Making a plan</t>
        </is>
      </c>
      <c r="E144" t="inlineStr">
        <is>
          <t>positive</t>
        </is>
      </c>
      <c r="F144" t="inlineStr">
        <is>
          <t>mean</t>
        </is>
      </c>
    </row>
    <row r="145">
      <c r="A145" t="inlineStr">
        <is>
          <t>SRQ-63</t>
        </is>
      </c>
      <c r="B145" t="inlineStr">
        <is>
          <t>Implementing</t>
        </is>
      </c>
      <c r="C145" t="inlineStr">
        <is>
          <t>implementing</t>
        </is>
      </c>
      <c r="D145" t="inlineStr">
        <is>
          <t>Following through</t>
        </is>
      </c>
      <c r="E145" t="inlineStr">
        <is>
          <t>positive</t>
        </is>
      </c>
      <c r="F145" t="inlineStr">
        <is>
          <t>mean</t>
        </is>
      </c>
    </row>
    <row r="146">
      <c r="A146" t="inlineStr">
        <is>
          <t>SRQ-63</t>
        </is>
      </c>
      <c r="B146" t="inlineStr">
        <is>
          <t>Assessing</t>
        </is>
      </c>
      <c r="C146" t="inlineStr">
        <is>
          <t>assessing</t>
        </is>
      </c>
      <c r="D146" t="inlineStr">
        <is>
          <t>Checking how it went</t>
        </is>
      </c>
      <c r="E146" t="inlineStr">
        <is>
          <t>positive</t>
        </is>
      </c>
      <c r="F146" t="inlineStr">
        <is>
          <t>mean</t>
        </is>
      </c>
    </row>
    <row r="147">
      <c r="A147" t="inlineStr">
        <is>
          <t>SWLS</t>
        </is>
      </c>
      <c r="B147" t="inlineStr">
        <is>
          <t>Total</t>
        </is>
      </c>
      <c r="C147" t="inlineStr">
        <is>
          <t>total</t>
        </is>
      </c>
      <c r="D147" t="inlineStr">
        <is>
          <t>Satisfaction with life</t>
        </is>
      </c>
      <c r="E147" t="inlineStr">
        <is>
          <t>positive</t>
        </is>
      </c>
      <c r="F147" t="inlineStr">
        <is>
          <t>sum</t>
        </is>
      </c>
      <c r="G147" t="inlineStr">
        <is>
          <t>19</t>
        </is>
      </c>
      <c r="H147" t="inlineStr">
        <is>
          <t>25</t>
        </is>
      </c>
      <c r="I147" t="inlineStr">
        <is>
          <t>You described being satisfied with your life as a whole.</t>
        </is>
      </c>
      <c r="J147" t="inlineStr">
        <is>
          <t>Satisfaction with your life as a whole came through as an area to look after.</t>
        </is>
      </c>
    </row>
    <row r="148">
      <c r="A148" t="inlineStr">
        <is>
          <t>UCLA-LS-3</t>
        </is>
      </c>
      <c r="B148" t="inlineStr">
        <is>
          <t>Total</t>
        </is>
      </c>
      <c r="C148" t="inlineStr">
        <is>
          <t>total</t>
        </is>
      </c>
      <c r="D148" t="inlineStr">
        <is>
          <t>Loneliness</t>
        </is>
      </c>
      <c r="E148" t="inlineStr">
        <is>
          <t>difficulty</t>
        </is>
      </c>
      <c r="F148" t="inlineStr">
        <is>
          <t>sum</t>
        </is>
      </c>
      <c r="I148" t="inlineStr">
        <is>
          <t>You described feeling connected to the people around you.</t>
        </is>
      </c>
      <c r="J148" t="inlineStr">
        <is>
          <t>Feeling disconnected from the people around you came up often in your answers.</t>
        </is>
      </c>
    </row>
    <row r="149">
      <c r="A149" t="inlineStr">
        <is>
          <t>WEBEXEC</t>
        </is>
      </c>
      <c r="B149" t="inlineStr">
        <is>
          <t>Total</t>
        </is>
      </c>
      <c r="C149" t="inlineStr">
        <is>
          <t>total</t>
        </is>
      </c>
      <c r="D149" t="inlineStr">
        <is>
          <t>Everyday executive problems</t>
        </is>
      </c>
      <c r="E149" t="inlineStr">
        <is>
          <t>difficulty</t>
        </is>
      </c>
      <c r="F149" t="inlineStr">
        <is>
          <t>mean</t>
        </is>
      </c>
      <c r="I149" t="inlineStr">
        <is>
          <t>Everyday problems with planning and attention are not a big feature of your answers.</t>
        </is>
      </c>
      <c r="J149" t="inlineStr">
        <is>
          <t>Everyday problems with planning and attention came up often in your answers.</t>
        </is>
      </c>
    </row>
    <row r="150">
      <c r="A150" t="inlineStr">
        <is>
          <t>WFIRS-S</t>
        </is>
      </c>
      <c r="B150" t="inlineStr">
        <is>
          <t>Family</t>
        </is>
      </c>
      <c r="C150" t="inlineStr">
        <is>
          <t>family</t>
        </is>
      </c>
      <c r="D150" t="inlineStr">
        <is>
          <t>Family</t>
        </is>
      </c>
      <c r="E150" t="inlineStr">
        <is>
          <t>difficulty</t>
        </is>
      </c>
      <c r="F150" t="inlineStr">
        <is>
          <t>mean</t>
        </is>
      </c>
    </row>
    <row r="151">
      <c r="A151" t="inlineStr">
        <is>
          <t>WFIRS-S</t>
        </is>
      </c>
      <c r="B151" t="inlineStr">
        <is>
          <t>Work</t>
        </is>
      </c>
      <c r="C151" t="inlineStr">
        <is>
          <t>work</t>
        </is>
      </c>
      <c r="D151" t="inlineStr">
        <is>
          <t>Work</t>
        </is>
      </c>
      <c r="E151" t="inlineStr">
        <is>
          <t>difficulty</t>
        </is>
      </c>
      <c r="F151" t="inlineStr">
        <is>
          <t>mean</t>
        </is>
      </c>
    </row>
    <row r="152">
      <c r="A152" t="inlineStr">
        <is>
          <t>WFIRS-S</t>
        </is>
      </c>
      <c r="B152" t="inlineStr">
        <is>
          <t>School</t>
        </is>
      </c>
      <c r="C152" t="inlineStr">
        <is>
          <t>school</t>
        </is>
      </c>
      <c r="D152" t="inlineStr">
        <is>
          <t>School</t>
        </is>
      </c>
      <c r="E152" t="inlineStr">
        <is>
          <t>difficulty</t>
        </is>
      </c>
      <c r="F152" t="inlineStr">
        <is>
          <t>mean</t>
        </is>
      </c>
    </row>
    <row r="153">
      <c r="A153" t="inlineStr">
        <is>
          <t>WFIRS-S</t>
        </is>
      </c>
      <c r="B153" t="inlineStr">
        <is>
          <t>Life Skills</t>
        </is>
      </c>
      <c r="C153" t="inlineStr">
        <is>
          <t>life-skills</t>
        </is>
      </c>
      <c r="D153" t="inlineStr">
        <is>
          <t>Life skills</t>
        </is>
      </c>
      <c r="E153" t="inlineStr">
        <is>
          <t>difficulty</t>
        </is>
      </c>
      <c r="F153" t="inlineStr">
        <is>
          <t>mean</t>
        </is>
      </c>
    </row>
    <row r="154">
      <c r="A154" t="inlineStr">
        <is>
          <t>WFIRS-S</t>
        </is>
      </c>
      <c r="B154" t="inlineStr">
        <is>
          <t>Self-Concept</t>
        </is>
      </c>
      <c r="C154" t="inlineStr">
        <is>
          <t>self-concept</t>
        </is>
      </c>
      <c r="D154" t="inlineStr">
        <is>
          <t>Self concept</t>
        </is>
      </c>
      <c r="E154" t="inlineStr">
        <is>
          <t>difficulty</t>
        </is>
      </c>
      <c r="F154" t="inlineStr">
        <is>
          <t>mean</t>
        </is>
      </c>
    </row>
    <row r="155">
      <c r="A155" t="inlineStr">
        <is>
          <t>WFIRS-S</t>
        </is>
      </c>
      <c r="B155" t="inlineStr">
        <is>
          <t>Social</t>
        </is>
      </c>
      <c r="C155" t="inlineStr">
        <is>
          <t>social</t>
        </is>
      </c>
      <c r="D155" t="inlineStr">
        <is>
          <t>Social</t>
        </is>
      </c>
      <c r="E155" t="inlineStr">
        <is>
          <t>difficulty</t>
        </is>
      </c>
      <c r="F155" t="inlineStr">
        <is>
          <t>mean</t>
        </is>
      </c>
    </row>
    <row r="156">
      <c r="A156" t="inlineStr">
        <is>
          <t>WFIRS-S</t>
        </is>
      </c>
      <c r="B156" t="inlineStr">
        <is>
          <t>Risk</t>
        </is>
      </c>
      <c r="C156" t="inlineStr">
        <is>
          <t>risk</t>
        </is>
      </c>
      <c r="D156" t="inlineStr">
        <is>
          <t>Risk</t>
        </is>
      </c>
      <c r="E156" t="inlineStr">
        <is>
          <t>difficulty</t>
        </is>
      </c>
      <c r="F156" t="inlineStr">
        <is>
          <t>mean</t>
        </is>
      </c>
    </row>
    <row r="157">
      <c r="A157" t="inlineStr">
        <is>
          <t>WHO-5</t>
        </is>
      </c>
      <c r="B157" t="inlineStr">
        <is>
          <t>Total</t>
        </is>
      </c>
      <c r="C157" t="inlineStr">
        <is>
          <t>total</t>
        </is>
      </c>
      <c r="D157" t="inlineStr">
        <is>
          <t>Wellbeing</t>
        </is>
      </c>
      <c r="E157" t="inlineStr">
        <is>
          <t>positive</t>
        </is>
      </c>
      <c r="F157" t="inlineStr">
        <is>
          <t>sum</t>
        </is>
      </c>
      <c r="G157" t="inlineStr">
        <is>
          <t>12</t>
        </is>
      </c>
      <c r="H157" t="inlineStr">
        <is>
          <t>17</t>
        </is>
      </c>
      <c r="I157" t="inlineStr">
        <is>
          <t>You described feeling well, rested and interested in life over the past 2 weeks.</t>
        </is>
      </c>
      <c r="J157" t="inlineStr">
        <is>
          <t>Your wellbeing over the past 2 weeks came through as an area to look after.</t>
        </is>
      </c>
    </row>
    <row r="158">
      <c r="A158" t="inlineStr">
        <is>
          <t>WHODAS-36</t>
        </is>
      </c>
      <c r="B158" t="inlineStr">
        <is>
          <t>Understanding and communicating</t>
        </is>
      </c>
      <c r="C158" t="inlineStr">
        <is>
          <t>understanding</t>
        </is>
      </c>
      <c r="D158" t="inlineStr">
        <is>
          <t>Understanding and communicating</t>
        </is>
      </c>
      <c r="E158" t="inlineStr">
        <is>
          <t>difficulty</t>
        </is>
      </c>
      <c r="F158" t="inlineStr">
        <is>
          <t>mean</t>
        </is>
      </c>
      <c r="I158" t="inlineStr">
        <is>
          <t>Understanding and communicating is going well for you.</t>
        </is>
      </c>
      <c r="J158" t="inlineStr">
        <is>
          <t>Understanding and communicating came up as a difficulty in your answers.</t>
        </is>
      </c>
    </row>
    <row r="159">
      <c r="A159" t="inlineStr">
        <is>
          <t>WHODAS-36</t>
        </is>
      </c>
      <c r="B159" t="inlineStr">
        <is>
          <t>Getting around</t>
        </is>
      </c>
      <c r="C159" t="inlineStr">
        <is>
          <t>mobility</t>
        </is>
      </c>
      <c r="D159" t="inlineStr">
        <is>
          <t>Getting around</t>
        </is>
      </c>
      <c r="E159" t="inlineStr">
        <is>
          <t>difficulty</t>
        </is>
      </c>
      <c r="F159" t="inlineStr">
        <is>
          <t>mean</t>
        </is>
      </c>
      <c r="I159" t="inlineStr">
        <is>
          <t>Getting around is going well for you.</t>
        </is>
      </c>
      <c r="J159" t="inlineStr">
        <is>
          <t>Getting around came up as a difficulty in your answers.</t>
        </is>
      </c>
    </row>
    <row r="160">
      <c r="A160" t="inlineStr">
        <is>
          <t>WHODAS-36</t>
        </is>
      </c>
      <c r="B160" t="inlineStr">
        <is>
          <t>Self-care</t>
        </is>
      </c>
      <c r="C160" t="inlineStr">
        <is>
          <t>self-care</t>
        </is>
      </c>
      <c r="D160" t="inlineStr">
        <is>
          <t>Looking after yourself</t>
        </is>
      </c>
      <c r="E160" t="inlineStr">
        <is>
          <t>difficulty</t>
        </is>
      </c>
      <c r="F160" t="inlineStr">
        <is>
          <t>mean</t>
        </is>
      </c>
      <c r="I160" t="inlineStr">
        <is>
          <t>Looking after yourself is going well for you.</t>
        </is>
      </c>
      <c r="J160" t="inlineStr">
        <is>
          <t>Looking after yourself came up as a difficulty in your answers.</t>
        </is>
      </c>
    </row>
    <row r="161">
      <c r="A161" t="inlineStr">
        <is>
          <t>WHODAS-36</t>
        </is>
      </c>
      <c r="B161" t="inlineStr">
        <is>
          <t>Getting along with people</t>
        </is>
      </c>
      <c r="C161" t="inlineStr">
        <is>
          <t>relationships</t>
        </is>
      </c>
      <c r="D161" t="inlineStr">
        <is>
          <t>Getting along with people</t>
        </is>
      </c>
      <c r="E161" t="inlineStr">
        <is>
          <t>difficulty</t>
        </is>
      </c>
      <c r="F161" t="inlineStr">
        <is>
          <t>mean</t>
        </is>
      </c>
      <c r="I161" t="inlineStr">
        <is>
          <t>Getting along with people is going well for you.</t>
        </is>
      </c>
      <c r="J161" t="inlineStr">
        <is>
          <t>Getting along with people came up as a difficulty in your answers.</t>
        </is>
      </c>
    </row>
    <row r="162">
      <c r="A162" t="inlineStr">
        <is>
          <t>WHODAS-36</t>
        </is>
      </c>
      <c r="B162" t="inlineStr">
        <is>
          <t>Life activities</t>
        </is>
      </c>
      <c r="C162" t="inlineStr">
        <is>
          <t>activities</t>
        </is>
      </c>
      <c r="D162" t="inlineStr">
        <is>
          <t>Household and work activities</t>
        </is>
      </c>
      <c r="E162" t="inlineStr">
        <is>
          <t>difficulty</t>
        </is>
      </c>
      <c r="F162" t="inlineStr">
        <is>
          <t>mean</t>
        </is>
      </c>
      <c r="I162" t="inlineStr">
        <is>
          <t>Household and work activities are going well for you.</t>
        </is>
      </c>
      <c r="J162" t="inlineStr">
        <is>
          <t>Household and work activities came up as a difficulty in your answers.</t>
        </is>
      </c>
    </row>
    <row r="163">
      <c r="A163" t="inlineStr">
        <is>
          <t>WHODAS-36</t>
        </is>
      </c>
      <c r="B163" t="inlineStr">
        <is>
          <t>Participation in society</t>
        </is>
      </c>
      <c r="C163" t="inlineStr">
        <is>
          <t>participation</t>
        </is>
      </c>
      <c r="D163" t="inlineStr">
        <is>
          <t>Joining in</t>
        </is>
      </c>
      <c r="E163" t="inlineStr">
        <is>
          <t>difficulty</t>
        </is>
      </c>
      <c r="F163" t="inlineStr">
        <is>
          <t>mean</t>
        </is>
      </c>
      <c r="I163" t="inlineStr">
        <is>
          <t>Joining in with life around you is going well for you.</t>
        </is>
      </c>
      <c r="J163" t="inlineStr">
        <is>
          <t>Joining in with life around you came up as a difficulty in your answers.</t>
        </is>
      </c>
    </row>
    <row r="164">
      <c r="A164" t="inlineStr">
        <is>
          <t>WSAS</t>
        </is>
      </c>
      <c r="B164" t="inlineStr">
        <is>
          <t>Total</t>
        </is>
      </c>
      <c r="C164" t="inlineStr">
        <is>
          <t>total</t>
        </is>
      </c>
      <c r="D164" t="inlineStr">
        <is>
          <t>Getting in the way of life</t>
        </is>
      </c>
      <c r="E164" t="inlineStr">
        <is>
          <t>difficulty</t>
        </is>
      </c>
      <c r="F164" t="inlineStr">
        <is>
          <t>sum</t>
        </is>
      </c>
      <c r="G164" t="inlineStr">
        <is>
          <t>9</t>
        </is>
      </c>
      <c r="H164" t="inlineStr">
        <is>
          <t>20</t>
        </is>
      </c>
      <c r="I164" t="inlineStr">
        <is>
          <t>Your difficulties are not getting in the way of your life much at the moment.</t>
        </is>
      </c>
      <c r="J164" t="inlineStr">
        <is>
          <t>Your difficulties are getting in the way of your life at the moment.</t>
        </is>
      </c>
    </row>
  </sheetData>
  <autoFilter ref="A1:M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5" customWidth="1" style="17" min="1" max="1"/>
    <col width="34" customWidth="1" style="17" min="2" max="2"/>
    <col width="12" customWidth="1" style="17" min="3" max="3"/>
    <col width="24" customWidth="1" style="17" min="4" max="4"/>
    <col width="44" customWidth="1" style="17" min="5" max="5"/>
    <col width="7" customWidth="1" style="17" min="6" max="6"/>
    <col width="16" customWidth="1" style="17" min="7" max="7"/>
    <col width="12" customWidth="1" style="17" min="8" max="8"/>
    <col width="8" customWidth="1" style="17" min="9" max="9"/>
    <col width="30" customWidth="1" style="17" min="10" max="10"/>
    <col width="30" customWidth="1" style="17" min="11" max="11"/>
    <col width="40" customWidth="1" style="17" min="12" max="12"/>
    <col width="34" customWidth="1" style="17" min="13" max="13"/>
    <col width="30" customWidth="1" style="17" min="14" max="14"/>
    <col width="16" customWidth="1" style="17" min="15" max="15"/>
    <col width="30" customWidth="1" style="17" min="16" max="16"/>
    <col width="18" customWidth="1" style="17" min="17" max="17"/>
    <col width="14" customWidth="1" style="17" min="18" max="18"/>
    <col width="40" customWidth="1" style="17" min="19" max="19"/>
    <col width="40" customWidth="1" style="17" min="20" max="20"/>
  </cols>
  <sheetData>
    <row r="1">
      <c r="A1" s="23" t="inlineStr">
        <is>
          <t>#</t>
        </is>
      </c>
      <c r="B1" s="23" t="inlineStr">
        <is>
          <t>Instrument</t>
        </is>
      </c>
      <c r="C1" s="23" t="inlineStr">
        <is>
          <t>Code</t>
        </is>
      </c>
      <c r="D1" s="23" t="inlineStr">
        <is>
          <t>NovoPsych categories</t>
        </is>
      </c>
      <c r="E1" s="23" t="inlineStr">
        <is>
          <t>What it measures</t>
        </is>
      </c>
      <c r="F1" s="23" t="inlineStr">
        <is>
          <t>Items</t>
        </is>
      </c>
      <c r="G1" s="23" t="inlineStr">
        <is>
          <t>Respondent</t>
        </is>
      </c>
      <c r="H1" s="23" t="inlineStr">
        <is>
          <t>Age range</t>
        </is>
      </c>
      <c r="I1" s="23" t="inlineStr">
        <is>
          <t>Minutes</t>
        </is>
      </c>
      <c r="J1" s="23" t="inlineStr">
        <is>
          <t>Subscales</t>
        </is>
      </c>
      <c r="K1" s="23" t="inlineStr">
        <is>
          <t>Response scale (as fetched)</t>
        </is>
      </c>
      <c r="L1" s="23" t="inlineStr">
        <is>
          <t>Scoring (as fetched)</t>
        </is>
      </c>
      <c r="M1" s="23" t="inlineStr">
        <is>
          <t>Citation (as fetched)</t>
        </is>
      </c>
      <c r="N1" s="23" t="inlineStr">
        <is>
          <t>Copyright text on page</t>
        </is>
      </c>
      <c r="O1" s="23" t="inlineStr">
        <is>
          <t>Availability (as fetched)</t>
        </is>
      </c>
      <c r="P1" s="23" t="inlineStr">
        <is>
          <t>Hub relevance (suggested)</t>
        </is>
      </c>
      <c r="Q1" s="23" t="inlineStr">
        <is>
          <t>Licence confirmed (to fill in)</t>
        </is>
      </c>
      <c r="R1" s="23" t="inlineStr">
        <is>
          <t>Decision (add / skip)</t>
        </is>
      </c>
      <c r="S1" s="23" t="inlineStr">
        <is>
          <t>Notes</t>
        </is>
      </c>
      <c r="T1" s="23" t="inlineStr">
        <is>
          <t>URL</t>
        </is>
      </c>
    </row>
    <row r="2">
      <c r="A2" s="24" t="n">
        <v>1</v>
      </c>
      <c r="B2" s="24" t="inlineStr">
        <is>
          <t>Adult ADHD Self-Report Scale (ASRS v1.1)</t>
        </is>
      </c>
      <c r="C2" s="24" t="inlineStr">
        <is>
          <t>ASRS</t>
        </is>
      </c>
      <c r="D2" s="24" t="inlineStr">
        <is>
          <t>ADHD, Diagnosis</t>
        </is>
      </c>
      <c r="E2" s="24" t="inlineStr">
        <is>
          <t>Screens for ADHD symptoms in adults, aligned to DSM criteria.</t>
        </is>
      </c>
      <c r="F2" s="24" t="n">
        <v>18</v>
      </c>
      <c r="G2" s="24" t="inlineStr">
        <is>
          <t>Self report</t>
        </is>
      </c>
      <c r="H2" s="24" t="inlineStr">
        <is>
          <t>18+</t>
        </is>
      </c>
      <c r="I2" s="24" t="n">
        <v>3</v>
      </c>
      <c r="J2" s="24" t="inlineStr">
        <is>
          <t>Part A (screener, 6 items), Part B (12 items), Inattentiveness, Motor Hyperactivity/Impulsivity, Verbal Hyperactivity</t>
        </is>
      </c>
      <c r="K2" s="24" t="inlineStr">
        <is>
          <t>5 point, scored 0 to 4 (anchor labels not stated); original version dichotomous 0 or 1</t>
        </is>
      </c>
      <c r="L2" s="24" t="inlineStr">
        <is>
          <t>Items scored 0 to 4 and summed; higher scores indicate more symptoms. Part A of 14 or above is the recommended ADHD cut off; total of 40 or above (79th percentile) typically indicates ADHD; Part B of 27 or above is clinically significant.</t>
        </is>
      </c>
      <c r="M2" s="24" t="inlineStr">
        <is>
          <t>Kessler et al. (2005), based on the WHO Composite International Diagnostic Interview (2001); validation Brevik et al. (2020); norms Adler et al. (2018). Journals not given.</t>
        </is>
      </c>
      <c r="N2" s="24" t="inlineStr">
        <is>
          <t>No copyright, licensing, permission or free to use statement on the page</t>
        </is>
      </c>
      <c r="O2" s="24" t="inlineStr">
        <is>
          <t>not stated</t>
        </is>
      </c>
      <c r="P2" s="24" t="inlineStr">
        <is>
          <t>Already in codebook</t>
        </is>
      </c>
      <c r="Q2" s="24" t="inlineStr"/>
      <c r="R2" s="24" t="inlineStr"/>
      <c r="S2" s="24" t="inlineStr">
        <is>
          <t>Factor structure from Stanton et al. (2018). Page gives no licensing statement.</t>
        </is>
      </c>
      <c r="T2" s="24" t="inlineStr">
        <is>
          <t>https://novopsych.com/assessments/diagnosis/adult-adhd-self-report-scale-asrs/</t>
        </is>
      </c>
    </row>
    <row r="3">
      <c r="A3" s="24" t="n">
        <v>2</v>
      </c>
      <c r="B3" s="24" t="inlineStr">
        <is>
          <t>Adult ADHD Observer-Report Scale</t>
        </is>
      </c>
      <c r="C3" s="24" t="inlineStr">
        <is>
          <t>ASRS-O</t>
        </is>
      </c>
      <c r="D3" s="24" t="inlineStr">
        <is>
          <t>ADHD, Diagnosis</t>
        </is>
      </c>
      <c r="E3" s="24" t="inlineStr">
        <is>
          <t>Informant rated observations of adult ADHD symptoms over the past 6 months, complementing the self report ASRS.</t>
        </is>
      </c>
      <c r="F3" s="24" t="n">
        <v>18</v>
      </c>
      <c r="G3" s="24" t="inlineStr">
        <is>
          <t>Informant (partner, parent, relative, friend) or clinician who has regularly observed the adult</t>
        </is>
      </c>
      <c r="H3" s="24" t="inlineStr">
        <is>
          <t>18+</t>
        </is>
      </c>
      <c r="I3" s="24" t="n">
        <v>3</v>
      </c>
      <c r="J3" s="24" t="inlineStr">
        <is>
          <t>Inattentiveness, Hyperactivity/Impulsivity (motor and verbal components)</t>
        </is>
      </c>
      <c r="K3" s="24" t="inlineStr">
        <is>
          <t>Not stated; frequency rating over the past 6 months</t>
        </is>
      </c>
      <c r="L3" s="24" t="inlineStr">
        <is>
          <t>Total and 2 subscale scores produced; method and direction not stated. NovoPsych applies the self report ASRS screener thresholds as reference points, noting these are not validated for observer ratings.</t>
        </is>
      </c>
      <c r="M3" s="24" t="inlineStr">
        <is>
          <t>No developer citation given; background references American Psychiatric Association (2022), Sibley et al. (2012), Achenbach et al. (2005).</t>
        </is>
      </c>
      <c r="N3" s="24" t="inlineStr">
        <is>
          <t>No copyright, licensing, permission or free to use statement on the page</t>
        </is>
      </c>
      <c r="O3" s="24" t="inlineStr">
        <is>
          <t>not stated</t>
        </is>
      </c>
      <c r="P3" s="24" t="inlineStr">
        <is>
          <t>Out of scope for the hub (not self report)</t>
        </is>
      </c>
      <c r="Q3" s="24" t="inlineStr"/>
      <c r="R3" s="24" t="inlineStr"/>
      <c r="S3" s="24" t="inlineStr">
        <is>
          <t>Observer adaptation appears to be a NovoPsych construction; no original publication cited.</t>
        </is>
      </c>
      <c r="T3" s="24" t="inlineStr">
        <is>
          <t>https://novopsych.com/assessments/diagnosis/adult-adhd-observer-report-scale-asrs-o/</t>
        </is>
      </c>
    </row>
    <row r="4">
      <c r="A4" s="24" t="n">
        <v>3</v>
      </c>
      <c r="B4" s="24" t="inlineStr">
        <is>
          <t>Depression Anxiety Stress Scales – Short Form</t>
        </is>
      </c>
      <c r="C4" s="24" t="inlineStr">
        <is>
          <t>DASS-21</t>
        </is>
      </c>
      <c r="D4" s="24" t="inlineStr">
        <is>
          <t>Anxiety, Depression, Outcome monitoring</t>
        </is>
      </c>
      <c r="E4" s="24" t="inlineStr">
        <is>
          <t>Measures general psychological distress and symptoms of depression, anxiety and stress over the past week.</t>
        </is>
      </c>
      <c r="F4" s="24" t="n">
        <v>21</v>
      </c>
      <c r="G4" s="24" t="inlineStr">
        <is>
          <t>Self report</t>
        </is>
      </c>
      <c r="H4" s="24" t="inlineStr">
        <is>
          <t>17+</t>
        </is>
      </c>
      <c r="I4" s="24" t="n">
        <v>4</v>
      </c>
      <c r="J4" s="24" t="inlineStr">
        <is>
          <t>Depression, Anxiety, Stress, Total Distress</t>
        </is>
      </c>
      <c r="K4" s="24" t="inlineStr">
        <is>
          <t>Not stated on the page</t>
        </is>
      </c>
      <c r="L4" s="24" t="inlineStr">
        <is>
          <t>Each subscale is the sum of its 7 items, doubled to apply DASS-42 severity bands (e.g. Depression Normal 0 to 9, Extremely Severe 28+); higher scores indicate greater severity. Percentiles against a non clinical adult sample.</t>
        </is>
      </c>
      <c r="M4" s="24" t="inlineStr">
        <is>
          <t>Lovibond, S.H., &amp; Lovibond, P.F. (1995). Manual for the Depression Anxiety Stress Scales (2nd ed.). Psychology Foundation, Sydney.</t>
        </is>
      </c>
      <c r="N4" s="24" t="inlineStr">
        <is>
          <t>© 2026 Copyright – NovoPsych – All rights reserved (site wide footer; no instrument specific statement on the page); page also states: "For full interpretive information please purchase the DASS manual"</t>
        </is>
      </c>
      <c r="O4" s="24" t="inlineStr">
        <is>
          <t>not stated</t>
        </is>
      </c>
      <c r="P4" s="24" t="inlineStr">
        <is>
          <t>Already in codebook</t>
        </is>
      </c>
      <c r="Q4" s="24" t="inlineStr"/>
      <c r="R4" s="24" t="inlineStr"/>
      <c r="S4" s="24" t="inlineStr">
        <is>
          <t>No instrument level licence statement; the DASS is widely described as public domain elsewhere but the page does not say so.</t>
        </is>
      </c>
      <c r="T4" s="24" t="inlineStr">
        <is>
          <t>https://novopsych.com/assessments/depression/depression-anxiety-stress-scales-short-form-dass-21/</t>
        </is>
      </c>
    </row>
    <row r="5">
      <c r="A5" s="24" t="n">
        <v>4</v>
      </c>
      <c r="B5" s="24" t="inlineStr">
        <is>
          <t>Multilevel Assessment of Psychopathology</t>
        </is>
      </c>
      <c r="C5" s="24" t="inlineStr">
        <is>
          <t>MAPsy</t>
        </is>
      </c>
      <c r="D5" s="24" t="inlineStr">
        <is>
          <t>Formulation</t>
        </is>
      </c>
      <c r="E5" s="24" t="inlineStr">
        <is>
          <t>Broad self report of DSM-5 disorder symptoms via 41 disorder scales and 127 dimensions of an empirically derived hierarchy of psychopathology.</t>
        </is>
      </c>
      <c r="F5" s="24" t="n">
        <v>154</v>
      </c>
      <c r="G5" s="24" t="inlineStr">
        <is>
          <t>Self report</t>
        </is>
      </c>
      <c r="H5" s="24" t="inlineStr">
        <is>
          <t>16+</t>
        </is>
      </c>
      <c r="I5" s="24" t="n">
        <v>20</v>
      </c>
      <c r="J5" s="24" t="inlineStr">
        <is>
          <t>41 disorder scales, 127 hierarchy dimensions across 9 broad spectra (spectra, subfactors, clusters), 23 personality facets, 7 personality disorder scales, Harmful Substance Use spectrum and 3 substance use checklist clusters</t>
        </is>
      </c>
      <c r="K5" s="24" t="inlineStr">
        <is>
          <t>Not stated on the page</t>
        </is>
      </c>
      <c r="L5" s="24" t="inlineStr">
        <is>
          <t>Scores compared with percentiles from a mental health reference sample and assigned to severity bands including Elevated and Clinically Significant; hierarchy thresholds are sums of item thresholds. Sum or mean method not stated.</t>
        </is>
      </c>
      <c r="M5" s="24" t="inlineStr">
        <is>
          <t>No developer citation; framework references Kotov et al. (2017) and Forbes et al. (2025). Page author Simon Baker, PhD, NovoPsych.</t>
        </is>
      </c>
      <c r="N5" s="24" t="inlineStr">
        <is>
          <t>No copyright, licensing, permission or free to use statement on the page</t>
        </is>
      </c>
      <c r="O5" s="24" t="inlineStr">
        <is>
          <t>not stated</t>
        </is>
      </c>
      <c r="P5" s="24" t="inlineStr">
        <is>
          <t>Shortlist: screening or clinical (Sarah only if used)</t>
        </is>
      </c>
      <c r="Q5" s="24" t="inlineStr"/>
      <c r="R5" s="24" t="inlineStr"/>
      <c r="S5" s="24" t="inlineStr">
        <is>
          <t>Appears to be a NovoPsych developed instrument offered under Professional Access, but the page does not state ownership.</t>
        </is>
      </c>
      <c r="T5" s="24" t="inlineStr">
        <is>
          <t>https://novopsych.com/assessments/formulation/multilevel-assessment-of-psychopathology-mapsy/</t>
        </is>
      </c>
    </row>
    <row r="6">
      <c r="A6" s="24" t="n">
        <v>5</v>
      </c>
      <c r="B6" s="24" t="inlineStr">
        <is>
          <t>PTSD Checklist for DSM-5</t>
        </is>
      </c>
      <c r="C6" s="24" t="inlineStr">
        <is>
          <t>PCL-5</t>
        </is>
      </c>
      <c r="D6" s="24" t="inlineStr">
        <is>
          <t>Diagnosis, Trauma</t>
        </is>
      </c>
      <c r="E6" s="24" t="inlineStr">
        <is>
          <t>Measures adult PTSD symptoms over the past month mapped to the DSM-5 criteria.</t>
        </is>
      </c>
      <c r="F6" s="24" t="n">
        <v>20</v>
      </c>
      <c r="G6" s="24" t="inlineStr">
        <is>
          <t>Self report</t>
        </is>
      </c>
      <c r="H6" s="24" t="inlineStr">
        <is>
          <t>18+</t>
        </is>
      </c>
      <c r="I6" s="24" t="n">
        <v>3</v>
      </c>
      <c r="J6" s="24" t="inlineStr">
        <is>
          <t>Re-experiencing, Avoidance, Negative alterations in cognition and mood, Hyperarousal</t>
        </is>
      </c>
      <c r="K6" s="24" t="inlineStr">
        <is>
          <t>5 point, 0 to 4 (anchor labels not stated)</t>
        </is>
      </c>
      <c r="L6" s="24" t="inlineStr">
        <is>
          <t>Items summed to a total of 0 to 80, higher indicating more symptoms; 33 cited as the commonly used cut off. Cluster scores averaged on the 0 to 4 scale; a 12 point change is clinically meaningful.</t>
        </is>
      </c>
      <c r="M6" s="24" t="inlineStr">
        <is>
          <t>Weathers, F.W., Litz, B.T., Keane, T.M., Palmieri, P.A., Marx, B.P., &amp; Schnurr, P.P. (2013). The PTSD Checklist for DSM-5 (PCL-5). National Center for PTSD, www.ptsd.va.gov.</t>
        </is>
      </c>
      <c r="N6" s="24" t="inlineStr">
        <is>
          <t>© 2026 Copyright – NovoPsych – All rights reserved (site wide footer; no instrument specific statement on the page); video transcript states: "Developed by the VA's National Center for PTSD, it is well validated, widely used, and free."</t>
        </is>
      </c>
      <c r="O6" s="24" t="inlineStr">
        <is>
          <t>free, copyright held by authors</t>
        </is>
      </c>
      <c r="P6" s="24" t="inlineStr">
        <is>
          <t>Shortlist: screening or clinical (Sarah only if used)</t>
        </is>
      </c>
      <c r="Q6" s="24" t="inlineStr"/>
      <c r="R6" s="24" t="inlineStr"/>
      <c r="S6" s="24" t="inlineStr">
        <is>
          <t>Only free statement is in the video transcript; page does not use the words public domain.</t>
        </is>
      </c>
      <c r="T6" s="24" t="inlineStr">
        <is>
          <t>https://novopsych.com/assessments/diagnosis/ptsd-checklist-5-pcl-5/</t>
        </is>
      </c>
    </row>
    <row r="7">
      <c r="A7" s="24" t="n">
        <v>6</v>
      </c>
      <c r="B7" s="24" t="inlineStr">
        <is>
          <t>Generalised Anxiety Disorder Assessment</t>
        </is>
      </c>
      <c r="C7" s="24" t="inlineStr">
        <is>
          <t>GAD-7</t>
        </is>
      </c>
      <c r="D7" s="24" t="inlineStr">
        <is>
          <t>Anxiety, Outcome monitoring</t>
        </is>
      </c>
      <c r="E7" s="24" t="inlineStr">
        <is>
          <t>Screens for anxiety symptoms based on the DSM criteria for generalised anxiety disorder.</t>
        </is>
      </c>
      <c r="F7" s="24" t="n"/>
      <c r="G7" s="24" t="inlineStr">
        <is>
          <t>Not stated (self report by convention)</t>
        </is>
      </c>
      <c r="H7" s="24" t="inlineStr">
        <is>
          <t>12+</t>
        </is>
      </c>
      <c r="I7" s="24" t="n">
        <v>1</v>
      </c>
      <c r="J7" s="24" t="inlineStr"/>
      <c r="K7" s="24" t="inlineStr">
        <is>
          <t>Not stated on the page</t>
        </is>
      </c>
      <c r="L7" s="24" t="inlineStr">
        <is>
          <t>Not available; scoring section empty in fetched content.</t>
        </is>
      </c>
      <c r="M7" s="24" t="inlineStr">
        <is>
          <t>Spitzer, R. L., Kroenke, K., Williams, J. B., &amp; Löwe, B. (2006). A brief measure for assessing generalized anxiety disorder: the GAD-7. Archives of Internal Medicine, 166(10), 1092-1097.</t>
        </is>
      </c>
      <c r="N7" s="24" t="inlineStr">
        <is>
          <t>© 2026 Copyright – NovoPsych – All rights reserved (site wide footer; no instrument specific statement on the page)</t>
        </is>
      </c>
      <c r="O7" s="24" t="inlineStr">
        <is>
          <t>not stated</t>
        </is>
      </c>
      <c r="P7" s="24" t="inlineStr">
        <is>
          <t>Shortlist: coaching and wellbeing (client facing possible)</t>
        </is>
      </c>
      <c r="Q7" s="24" t="inlineStr"/>
      <c r="R7" s="24" t="inlineStr">
        <is>
          <t>Added (yes, cleared)</t>
        </is>
      </c>
      <c r="S7" s="24" t="inlineStr">
        <is>
          <t>Scoring and Interpretation and Psychometric sections are rendered client side and were not visible to the fetcher. Item count (7) implied by the name but not stated in fetched text.</t>
        </is>
      </c>
      <c r="T7" s="24" t="inlineStr">
        <is>
          <t>https://novopsych.com/assessments/anxiety/generalised-anxiety-disorder-assessment-gad-7/</t>
        </is>
      </c>
    </row>
    <row r="8">
      <c r="A8" s="24" t="n">
        <v>7</v>
      </c>
      <c r="B8" s="24" t="inlineStr">
        <is>
          <t>Patient Health Questionnaire – Depression</t>
        </is>
      </c>
      <c r="C8" s="24" t="inlineStr">
        <is>
          <t>PHQ-9</t>
        </is>
      </c>
      <c r="D8" s="24" t="inlineStr">
        <is>
          <t>Depression, Outcome monitoring</t>
        </is>
      </c>
      <c r="E8" s="24" t="inlineStr">
        <is>
          <t>Screens for depression and monitors treatment response, originally for primary care.</t>
        </is>
      </c>
      <c r="F8" s="24" t="n">
        <v>9</v>
      </c>
      <c r="G8" s="24" t="inlineStr">
        <is>
          <t>Not stated (self report by convention)</t>
        </is>
      </c>
      <c r="H8" s="24" t="inlineStr">
        <is>
          <t>13+</t>
        </is>
      </c>
      <c r="I8" s="24" t="n">
        <v>2</v>
      </c>
      <c r="J8" s="24" t="inlineStr"/>
      <c r="K8" s="24" t="inlineStr">
        <is>
          <t>Not stated on the page</t>
        </is>
      </c>
      <c r="L8" s="24" t="inlineStr">
        <is>
          <t>Not available; scoring section empty in fetched content.</t>
        </is>
      </c>
      <c r="M8" s="24" t="inlineStr">
        <is>
          <t>Kroenke, K., Spitzer, R. L., &amp; Williams, J. B. W. (2001). The PHQ-9. Journal of General Internal Medicine, 16(9), 606-613. https://doi.org/10.1046/j.1525-1497.2001.016009606.x</t>
        </is>
      </c>
      <c r="N8" s="24" t="inlineStr">
        <is>
          <t>© 2026 Copyright – NovoPsych – All rights reserved (site wide footer; no instrument specific statement on the page)</t>
        </is>
      </c>
      <c r="O8" s="24" t="inlineStr">
        <is>
          <t>not stated</t>
        </is>
      </c>
      <c r="P8" s="24" t="inlineStr">
        <is>
          <t>Shortlist: coaching and wellbeing (client facing possible)</t>
        </is>
      </c>
      <c r="Q8" s="24" t="inlineStr"/>
      <c r="R8" s="24" t="inlineStr">
        <is>
          <t>Added (yes, cleared)</t>
        </is>
      </c>
      <c r="S8" s="24" t="inlineStr">
        <is>
          <t>Scoring and Interpretation and Psychometric sections are rendered client side and were not visible to the fetcher. Page offers a PDF download and Administer Now with no terms of use.</t>
        </is>
      </c>
      <c r="T8" s="24" t="inlineStr">
        <is>
          <t>https://novopsych.com/assessments/depression/patient-health-questionnaire-depression-phq-9/</t>
        </is>
      </c>
    </row>
    <row r="9">
      <c r="A9" s="24" t="n">
        <v>8</v>
      </c>
      <c r="B9" s="24" t="inlineStr">
        <is>
          <t>Autism Spectrum Quotient</t>
        </is>
      </c>
      <c r="C9" s="24" t="inlineStr">
        <is>
          <t>AQ</t>
        </is>
      </c>
      <c r="D9" s="24" t="inlineStr">
        <is>
          <t>Autism, Diagnosis</t>
        </is>
      </c>
      <c r="E9" s="24" t="inlineStr">
        <is>
          <t>Measures autistic traits in adults and adolescents aged 16 and over.</t>
        </is>
      </c>
      <c r="F9" s="24" t="n">
        <v>50</v>
      </c>
      <c r="G9" s="24" t="inlineStr">
        <is>
          <t>Self report</t>
        </is>
      </c>
      <c r="H9" s="24" t="inlineStr">
        <is>
          <t>16+</t>
        </is>
      </c>
      <c r="I9" s="24" t="n">
        <v>8</v>
      </c>
      <c r="J9" s="24" t="inlineStr"/>
      <c r="K9" s="24" t="inlineStr">
        <is>
          <t>Not stated on the page</t>
        </is>
      </c>
      <c r="L9" s="24" t="inlineStr">
        <is>
          <t>Not available; scoring section empty in fetched content.</t>
        </is>
      </c>
      <c r="M9" s="24" t="inlineStr">
        <is>
          <t>Baron-Cohen, S., Wheelwright, S., Skinner, R., Martin, J., &amp; Clubley, E. (2001). The Autism-Spectrum Quotient (AQ). Journal of Autism and Developmental Disorders, 31(1), 5-17.</t>
        </is>
      </c>
      <c r="N9" s="24" t="inlineStr">
        <is>
          <t>© 2026 Copyright – NovoPsych – All rights reserved (site wide footer; no instrument specific statement on the page)</t>
        </is>
      </c>
      <c r="O9" s="24" t="inlineStr">
        <is>
          <t>not stated</t>
        </is>
      </c>
      <c r="P9" s="24" t="inlineStr">
        <is>
          <t>Shortlist: screening or clinical (Sarah only if used)</t>
        </is>
      </c>
      <c r="Q9" s="24" t="inlineStr"/>
      <c r="R9" s="24" t="inlineStr"/>
      <c r="S9" s="24" t="inlineStr">
        <is>
          <t>Scoring and Interpretation and Psychometric sections are rendered client side and were not visible to the fetcher. Psychometric references listed (Ruzich et al. 2015; Broadbent et al. 2013; Woodbury-Smith et al. 2005) without figures.</t>
        </is>
      </c>
      <c r="T9" s="24" t="inlineStr">
        <is>
          <t>https://novopsych.com/assessments/diagnosis/autism-spectrum-quotient/</t>
        </is>
      </c>
    </row>
    <row r="10">
      <c r="A10" s="24" t="n">
        <v>9</v>
      </c>
      <c r="B10" s="24" t="inlineStr">
        <is>
          <t>Executive Skills Questionnaire – Revised</t>
        </is>
      </c>
      <c r="C10" s="24" t="inlineStr">
        <is>
          <t>ESQ-R</t>
        </is>
      </c>
      <c r="D10" s="24" t="inlineStr">
        <is>
          <t>ADHD, Autism, Formulation</t>
        </is>
      </c>
      <c r="E10" s="24" t="inlineStr">
        <is>
          <t>Measures executive functioning skills including planning, time management, organisation, and emotional and behavioural regulation.</t>
        </is>
      </c>
      <c r="F10" s="24" t="n">
        <v>25</v>
      </c>
      <c r="G10" s="24" t="inlineStr">
        <is>
          <t>Self report</t>
        </is>
      </c>
      <c r="H10" s="24" t="inlineStr">
        <is>
          <t>14+</t>
        </is>
      </c>
      <c r="I10" s="24" t="n">
        <v>5</v>
      </c>
      <c r="J10" s="24" t="inlineStr"/>
      <c r="K10" s="24" t="inlineStr">
        <is>
          <t>Not stated on the page</t>
        </is>
      </c>
      <c r="L10" s="24" t="inlineStr">
        <is>
          <t>Not available; scoring section empty in fetched content.</t>
        </is>
      </c>
      <c r="M10" s="24" t="inlineStr">
        <is>
          <t>Strait, J. E., Dawson, P., Walther, C. A. P., Strait, G. G., Barton, A. K., &amp; McClain, M. B. (2020). Refinement and psychometric evaluation of the Executive Skills Questionnaire-Revised. Contemporary School Psychology, 24, 378-388.</t>
        </is>
      </c>
      <c r="N10" s="24" t="inlineStr">
        <is>
          <t>"included on NovoPsych with permission from Dr. Peg Dawson at Smart But Scattered Kids"; plus © 2026 Copyright – NovoPsych – All rights reserved (site wide footer; no instrument specific statement on the page)</t>
        </is>
      </c>
      <c r="O10" s="24" t="inlineStr">
        <is>
          <t>permission required</t>
        </is>
      </c>
      <c r="P10" s="24" t="inlineStr">
        <is>
          <t>Already in codebook</t>
        </is>
      </c>
      <c r="Q10" s="24" t="inlineStr"/>
      <c r="R10" s="24" t="inlineStr"/>
      <c r="S10" s="24" t="inlineStr">
        <is>
          <t>Scoring and Interpretation and Psychometric sections are rendered client side and were not visible to the fetcher. Classified as permission required because the page says it is hosted with the developer's permission.</t>
        </is>
      </c>
      <c r="T10" s="24" t="inlineStr">
        <is>
          <t>https://novopsych.com/assessments/formulation/executive-skills-questionnaire-revised-esq-r/</t>
        </is>
      </c>
    </row>
    <row r="11">
      <c r="A11" s="24" t="n">
        <v>10</v>
      </c>
      <c r="B11" s="24" t="inlineStr">
        <is>
          <t>Athens Insomnia Scale (8 item)</t>
        </is>
      </c>
      <c r="C11" s="24" t="inlineStr">
        <is>
          <t>AIS (AIS-8)</t>
        </is>
      </c>
      <c r="D11" s="24" t="inlineStr">
        <is>
          <t>Sleep</t>
        </is>
      </c>
      <c r="E11" s="24" t="inlineStr">
        <is>
          <t>Measures self reported insomnia severity in adults, referenced to ICD-10 criteria for nonorganic insomnia.</t>
        </is>
      </c>
      <c r="F11" s="24" t="n">
        <v>8</v>
      </c>
      <c r="G11" s="24" t="inlineStr">
        <is>
          <t>Self report</t>
        </is>
      </c>
      <c r="H11" s="24" t="inlineStr">
        <is>
          <t>18+</t>
        </is>
      </c>
      <c r="I11" s="24" t="n">
        <v>1</v>
      </c>
      <c r="J11" s="24" t="inlineStr">
        <is>
          <t>Sleep Difficulty (items 1 to 5), Daytime Consequences (items 6 to 8)</t>
        </is>
      </c>
      <c r="K11" s="24" t="inlineStr">
        <is>
          <t>Not stated on the page</t>
        </is>
      </c>
      <c r="L11" s="24" t="inlineStr">
        <is>
          <t>Total scored 0 to 24 with a validated clinical cut off of 6 or higher indicating clinically significant insomnia warranting fuller assessment. Domain scores reported separately without cut offs or norms.</t>
        </is>
      </c>
      <c r="M11" s="24" t="inlineStr">
        <is>
          <t>Soldatos et al. (2000); validation Soldatos et al. (2003). Journal not given.</t>
        </is>
      </c>
      <c r="N11" s="24" t="inlineStr">
        <is>
          <t>No licensing statement; meta description reads "Administer and score it free with NovoPsych."</t>
        </is>
      </c>
      <c r="O11" s="24" t="inlineStr">
        <is>
          <t>not stated</t>
        </is>
      </c>
      <c r="P11" s="24" t="inlineStr">
        <is>
          <t>Consider</t>
        </is>
      </c>
      <c r="Q11" s="24" t="inlineStr"/>
      <c r="R11" s="24" t="inlineStr"/>
      <c r="S11" s="24" t="inlineStr">
        <is>
          <t>The free wording refers to administration on the NovoPsych platform, not to the instrument licence. Domain groupings are author described, not validated subscales.</t>
        </is>
      </c>
      <c r="T11" s="24" t="inlineStr">
        <is>
          <t>https://novopsych.com/assessments/sleep/athens-insomnia-scale-ais/</t>
        </is>
      </c>
    </row>
    <row r="12">
      <c r="A12" s="24" t="n">
        <v>11</v>
      </c>
      <c r="B12" s="24" t="inlineStr">
        <is>
          <t>CRAFFT Substance Use Assessment (version 2.1+N)</t>
        </is>
      </c>
      <c r="C12" s="24" t="inlineStr">
        <is>
          <t>CRAFFT 2.1+N</t>
        </is>
      </c>
      <c r="D12" s="24" t="inlineStr">
        <is>
          <t>Addiction, Adolescent</t>
        </is>
      </c>
      <c r="E12" s="24" t="inlineStr">
        <is>
          <t>Screens young people for substance use, substance related riding and driving risk, and risk of substance use disorder, with a nicotine checklist.</t>
        </is>
      </c>
      <c r="F12" s="24" t="n">
        <v>20</v>
      </c>
      <c r="G12" s="24" t="inlineStr">
        <is>
          <t>Self report (young person completes in private)</t>
        </is>
      </c>
      <c r="H12" s="24" t="inlineStr">
        <is>
          <t>12 to 21</t>
        </is>
      </c>
      <c r="I12" s="24" t="n">
        <v>2</v>
      </c>
      <c r="J12" s="24" t="inlineStr">
        <is>
          <t>Part A (past 12 month use frequency by substance), Part B (6 CRAFFT items), Part C (Hooked on Nicotine Checklist, HONC, 10 items)</t>
        </is>
      </c>
      <c r="K12" s="24" t="inlineStr">
        <is>
          <t>Not stated; branching means respondents answer 5 to 20 questions</t>
        </is>
      </c>
      <c r="L12" s="24" t="inlineStr">
        <is>
          <t>CRAFFT total 0 to 6 from the 6 Part B items, higher indicating greater risk; 4 or more described as a strong signal and a High risk result is a positive screen. HONC reported separately; a single Yes is treated as meaningful.</t>
        </is>
      </c>
      <c r="M12" s="24" t="inlineStr">
        <is>
          <t>Knight et al. (2002); CABHRe (2021); HONC: Wheeler et al. (2004). Journals not given.</t>
        </is>
      </c>
      <c r="N12" s="24" t="inlineStr">
        <is>
          <t>No copyright, licensing, permission or free to use statement on the page</t>
        </is>
      </c>
      <c r="O12" s="24" t="inlineStr">
        <is>
          <t>not stated</t>
        </is>
      </c>
      <c r="P12" s="24" t="inlineStr">
        <is>
          <t>Out of scope for the hub (child, adolescent, sport, eating, clinician or service feedback)</t>
        </is>
      </c>
      <c r="Q12" s="24" t="inlineStr"/>
      <c r="R12" s="24" t="inlineStr"/>
      <c r="S12" s="24" t="inlineStr">
        <is>
          <t>Exact cut offs per risk category not stated on the page.</t>
        </is>
      </c>
      <c r="T12" s="24" t="inlineStr">
        <is>
          <t>https://novopsych.com/assessments/addiction/crafft-substance-use-assessment-crafft-2-1-n/</t>
        </is>
      </c>
    </row>
    <row r="13">
      <c r="A13" s="24" t="n">
        <v>12</v>
      </c>
      <c r="B13" s="24" t="inlineStr">
        <is>
          <t>Alexian Brothers Urge to Self-Injure Scale</t>
        </is>
      </c>
      <c r="C13" s="24" t="inlineStr">
        <is>
          <t>ABUSI</t>
        </is>
      </c>
      <c r="D13" s="24" t="inlineStr">
        <is>
          <t>Adolescent, Outcome monitoring</t>
        </is>
      </c>
      <c r="E13" s="24" t="inlineStr">
        <is>
          <t>Measures the severity of the urge to engage in non suicidal self injury over the past week.</t>
        </is>
      </c>
      <c r="F13" s="24" t="n">
        <v>5</v>
      </c>
      <c r="G13" s="24" t="inlineStr">
        <is>
          <t>Self report</t>
        </is>
      </c>
      <c r="H13" s="24" t="inlineStr">
        <is>
          <t>11+</t>
        </is>
      </c>
      <c r="I13" s="24" t="n">
        <v>2</v>
      </c>
      <c r="J13" s="24" t="inlineStr">
        <is>
          <t>Frequency, Intensity, Duration, Resistance, Overall urge (facets of a single construct, not formal subscales)</t>
        </is>
      </c>
      <c r="K13" s="24" t="inlineStr">
        <is>
          <t>Not stated on the page</t>
        </is>
      </c>
      <c r="L13" s="24" t="inlineStr">
        <is>
          <t>Total score with percentile against a treatment seeking reference sample and severity categories; method and cut offs not stated. A change of 7 or more points is treated as real change.</t>
        </is>
      </c>
      <c r="M13" s="24" t="inlineStr">
        <is>
          <t>Washburn et al. (2010); adapted from the Penn Alcohol Craving Scale (Flannery et al., 1999). Journal not given.</t>
        </is>
      </c>
      <c r="N13" s="24" t="inlineStr">
        <is>
          <t>No copyright, licensing, permission or free to use statement on the page</t>
        </is>
      </c>
      <c r="O13" s="24" t="inlineStr">
        <is>
          <t>not stated</t>
        </is>
      </c>
      <c r="P13" s="24" t="inlineStr">
        <is>
          <t>Out of scope for the hub (child, adolescent, sport, eating, clinician or service feedback)</t>
        </is>
      </c>
      <c r="Q13" s="24" t="inlineStr"/>
      <c r="R13" s="24" t="inlineStr"/>
      <c r="S13" s="24" t="inlineStr">
        <is>
          <t>Scoring and Interpretation and Psychometric sections are rendered client side and were not visible to the fetcher.</t>
        </is>
      </c>
      <c r="T13" s="24" t="inlineStr">
        <is>
          <t>https://novopsych.com/assessments/adolescent/alexian-brothers-urge-to-self-injure-scale-abusi/</t>
        </is>
      </c>
    </row>
    <row r="14">
      <c r="A14" s="24" t="n">
        <v>13</v>
      </c>
      <c r="B14" s="24" t="inlineStr">
        <is>
          <t>Why Have Sex? Questionnaire Short Form</t>
        </is>
      </c>
      <c r="C14" s="24" t="inlineStr">
        <is>
          <t>YSEX-SF</t>
        </is>
      </c>
      <c r="D14" s="24" t="inlineStr">
        <is>
          <t>Formulation</t>
        </is>
      </c>
      <c r="E14" s="24" t="inlineStr">
        <is>
          <t>Profiles sexual motivation across 14 reasons adults have (or would have) sex.</t>
        </is>
      </c>
      <c r="F14" s="24" t="n">
        <v>28</v>
      </c>
      <c r="G14" s="24" t="inlineStr">
        <is>
          <t>Self report</t>
        </is>
      </c>
      <c r="H14" s="24" t="inlineStr">
        <is>
          <t>18+</t>
        </is>
      </c>
      <c r="I14" s="24" t="n">
        <v>5</v>
      </c>
      <c r="J14" s="24" t="inlineStr">
        <is>
          <t>Stress Reduction, Pleasure, Physical Desirability, Experience Seeking, Resources, Reproduction, Social Status, Revenge, Practical, Love and Commitment, Expression, Self-Esteem Boost, Duty/Pressure, Mate Guarding</t>
        </is>
      </c>
      <c r="K14" s="24" t="inlineStr">
        <is>
          <t>Not stated on the page</t>
        </is>
      </c>
      <c r="L14" s="24" t="inlineStr">
        <is>
          <t>Profile across 14 subscales of 2 items each; sum or mean, direction and cut offs not stated.</t>
        </is>
      </c>
      <c r="M14" s="24" t="inlineStr">
        <is>
          <t>Meston et al. (2020). Full authors and journal not given.</t>
        </is>
      </c>
      <c r="N14" s="24" t="inlineStr">
        <is>
          <t>No copyright, licensing, permission or free to use statement on the page</t>
        </is>
      </c>
      <c r="O14" s="24" t="inlineStr">
        <is>
          <t>not stated</t>
        </is>
      </c>
      <c r="P14" s="24" t="inlineStr">
        <is>
          <t>Shortlist: screening or clinical (Sarah only if used)</t>
        </is>
      </c>
      <c r="Q14" s="24" t="inlineStr"/>
      <c r="R14" s="24" t="inlineStr"/>
      <c r="S14" s="24" t="inlineStr">
        <is>
          <t>Respondents who have not had sex rate likelihood rather than frequency.</t>
        </is>
      </c>
      <c r="T14" s="24" t="inlineStr">
        <is>
          <t>https://novopsych.com/assessments/formulation/why-have-sex-questionnaire-short-form-ysex-sf/</t>
        </is>
      </c>
    </row>
    <row r="15">
      <c r="A15" s="24" t="n">
        <v>14</v>
      </c>
      <c r="B15" s="24" t="inlineStr">
        <is>
          <t>Brief Addiction Monitor – Continuous</t>
        </is>
      </c>
      <c r="C15" s="24" t="inlineStr">
        <is>
          <t>BAM</t>
        </is>
      </c>
      <c r="D15" s="24" t="inlineStr">
        <is>
          <t>Addiction, Outcome monitoring</t>
        </is>
      </c>
      <c r="E15" s="24" t="inlineStr">
        <is>
          <t>Monitors substance use and related recovery factors in adults in treatment for substance use disorders.</t>
        </is>
      </c>
      <c r="F15" s="24" t="n">
        <v>17</v>
      </c>
      <c r="G15" s="24" t="inlineStr">
        <is>
          <t>Self report or clinician administered (in person or telephone)</t>
        </is>
      </c>
      <c r="H15" s="24" t="inlineStr">
        <is>
          <t>18+</t>
        </is>
      </c>
      <c r="I15" s="24" t="n">
        <v>5</v>
      </c>
      <c r="J15" s="24" t="inlineStr">
        <is>
          <t>Substance Use, Risk Factors, Protective Factors</t>
        </is>
      </c>
      <c r="K15" s="24" t="inlineStr">
        <is>
          <t>Not stated on the page</t>
        </is>
      </c>
      <c r="L15" s="24" t="inlineStr">
        <is>
          <t>3 raw domain scores reported with no established cut off or general population norms; rises in Substance Use or Risk Factors, or falls in Protective Factors, indicate less favourable status.</t>
        </is>
      </c>
      <c r="M15" s="24" t="inlineStr">
        <is>
          <t>Cacciola et al. (2013). Journal not given.</t>
        </is>
      </c>
      <c r="N15" s="24" t="inlineStr">
        <is>
          <t>No copyright, licensing, permission or free to use statement on the page</t>
        </is>
      </c>
      <c r="O15" s="24" t="inlineStr">
        <is>
          <t>not stated</t>
        </is>
      </c>
      <c r="P15" s="24" t="inlineStr">
        <is>
          <t>Out of scope for the hub (not self report)</t>
        </is>
      </c>
      <c r="Q15" s="24" t="inlineStr"/>
      <c r="R15" s="24" t="inlineStr"/>
      <c r="S15" s="24" t="inlineStr">
        <is>
          <t>Developed within the US Veterans Affairs system; page does not state licensing.</t>
        </is>
      </c>
      <c r="T15" s="24" t="inlineStr">
        <is>
          <t>https://novopsych.com/assessments/addiction/brief-addiction-monitor-bam/</t>
        </is>
      </c>
    </row>
    <row r="16">
      <c r="A16" s="24" t="n">
        <v>15</v>
      </c>
      <c r="B16" s="24" t="inlineStr">
        <is>
          <t>Ask Suicide-Screening Questions</t>
        </is>
      </c>
      <c r="C16" s="24" t="inlineStr">
        <is>
          <t>asQ</t>
        </is>
      </c>
      <c r="D16" s="24" t="inlineStr">
        <is>
          <t>Formulation, Clinician self assessment</t>
        </is>
      </c>
      <c r="E16" s="24" t="inlineStr">
        <is>
          <t>Brief clinician administered screen that flags suicide risk requiring further assessment; not a diagnostic or severity measure.</t>
        </is>
      </c>
      <c r="F16" s="24" t="n">
        <v>5</v>
      </c>
      <c r="G16" s="24" t="inlineStr">
        <is>
          <t>Clinician administered (4 core items plus 1 acuity item); self report evidence limited</t>
        </is>
      </c>
      <c r="H16" s="24" t="inlineStr">
        <is>
          <t>8+</t>
        </is>
      </c>
      <c r="I16" s="24" t="n">
        <v>5</v>
      </c>
      <c r="J16" s="24" t="inlineStr"/>
      <c r="K16" s="24" t="inlineStr">
        <is>
          <t>Dichotomous, Yes/No</t>
        </is>
      </c>
      <c r="L16" s="24" t="inlineStr">
        <is>
          <t>No summed score. A Yes to any of the 4 core items is a positive screen; the fifth item separates acute from non acute positives.</t>
        </is>
      </c>
      <c r="M16" s="24" t="inlineStr">
        <is>
          <t>Horowitz et al. (2012); developed at the US National Institute of Mental Health. Journal not given.</t>
        </is>
      </c>
      <c r="N16" s="24" t="inlineStr">
        <is>
          <t>No instrument licence statement; page describes the NIMH asQ Toolkit as "freely available".</t>
        </is>
      </c>
      <c r="O16" s="24" t="inlineStr">
        <is>
          <t>free, copyright held by authors</t>
        </is>
      </c>
      <c r="P16" s="24" t="inlineStr">
        <is>
          <t>Out of scope for the hub (child, adolescent, sport, eating, clinician or service feedback)</t>
        </is>
      </c>
      <c r="Q16" s="24" t="inlineStr"/>
      <c r="R16" s="24" t="inlineStr"/>
      <c r="S16" s="24" t="inlineStr">
        <is>
          <t>Page says typically completed in under 2 minutes despite the 5 minute header. Classified free on the basis of the NIMH toolkit wording; public domain not stated.</t>
        </is>
      </c>
      <c r="T16" s="24" t="inlineStr">
        <is>
          <t>https://novopsych.com/assessments/formulation/ask-suicide-screening-questionnaire-asq/</t>
        </is>
      </c>
    </row>
    <row r="17">
      <c r="A17" s="24" t="n">
        <v>16</v>
      </c>
      <c r="B17" s="24" t="inlineStr">
        <is>
          <t>MASCC Unmet Needs Assessment for Cancer-Related Cognitive Impairment Impact</t>
        </is>
      </c>
      <c r="C17" s="24" t="inlineStr">
        <is>
          <t>MASCC COG-IMPACT</t>
        </is>
      </c>
      <c r="D17" s="24" t="inlineStr">
        <is>
          <t>Health</t>
        </is>
      </c>
      <c r="E17" s="24" t="inlineStr">
        <is>
          <t>Assesses the difficulties and unmet supportive care needs caused by cancer related cognitive impairment in survivors.</t>
        </is>
      </c>
      <c r="F17" s="24" t="n">
        <v>55</v>
      </c>
      <c r="G17" s="24" t="inlineStr">
        <is>
          <t>Self report</t>
        </is>
      </c>
      <c r="H17" s="24" t="inlineStr">
        <is>
          <t>18+</t>
        </is>
      </c>
      <c r="I17" s="24" t="n">
        <v>7</v>
      </c>
      <c r="J17" s="24" t="inlineStr">
        <is>
          <t>Executing Regular Activities, Finding Meaning and Enjoyment in Activities, Relational Difficulties, Occupational/Vocational Functioning, Psychological Challenges, Verbal Communication Challenges, Social Functioning and Withdrawal, Informational Needs</t>
        </is>
      </c>
      <c r="K17" s="24" t="inlineStr">
        <is>
          <t>Not stated on the page</t>
        </is>
      </c>
      <c r="L17" s="24" t="inlineStr">
        <is>
          <t>Each domain yields a Difficulties index and an Unmet Supportive Care Needs index, with an Unmet Needs Score and author anchored descriptor bands; sum or mean and cut offs not stated.</t>
        </is>
      </c>
      <c r="M17" s="24" t="inlineStr">
        <is>
          <t>Haywood, Chan, Chan, Baughman, et al. (2025b), developed under the auspices of MASCC. Journal not given.</t>
        </is>
      </c>
      <c r="N17" s="24" t="inlineStr">
        <is>
          <t>No copyright, licensing, permission or free to use statement on the page</t>
        </is>
      </c>
      <c r="O17" s="24" t="inlineStr">
        <is>
          <t>not stated</t>
        </is>
      </c>
      <c r="P17" s="24" t="inlineStr">
        <is>
          <t>Consider</t>
        </is>
      </c>
      <c r="Q17" s="24" t="inlineStr"/>
      <c r="R17" s="24" t="inlineStr"/>
      <c r="S17" s="24" t="inlineStr">
        <is>
          <t>Scoring and Interpretation and Psychometric sections are rendered client side and were not visible to the fetcher.</t>
        </is>
      </c>
      <c r="T17" s="24" t="inlineStr">
        <is>
          <t>https://novopsych.com/assessments/health/mascc-unmet-needs-assessment-for-cancer-related-cognitive-impairment-impact-mascc-cog-impact/</t>
        </is>
      </c>
    </row>
    <row r="18">
      <c r="A18" s="24" t="n">
        <v>17</v>
      </c>
      <c r="B18" s="24" t="inlineStr">
        <is>
          <t>Strengths and Difficulties Questionnaire</t>
        </is>
      </c>
      <c r="C18" s="24" t="inlineStr">
        <is>
          <t>SDQ</t>
        </is>
      </c>
      <c r="D18" s="24" t="inlineStr">
        <is>
          <t>Child, Outcome monitoring</t>
        </is>
      </c>
      <c r="E18" s="24" t="inlineStr">
        <is>
          <t>Broad behavioural and emotional screening measure for children and young people, including prosocial behaviour.</t>
        </is>
      </c>
      <c r="F18" s="24" t="n">
        <v>25</v>
      </c>
      <c r="G18" s="24" t="inlineStr">
        <is>
          <t>Parent, teacher, and self report (self report from age 11)</t>
        </is>
      </c>
      <c r="H18" s="24" t="inlineStr">
        <is>
          <t>2 to 17</t>
        </is>
      </c>
      <c r="I18" s="24" t="n">
        <v>5</v>
      </c>
      <c r="J18" s="24" t="inlineStr">
        <is>
          <t>Emotional symptoms, Conduct problems, Hyperactivity/inattention, Peer relationship problems, Prosocial behaviour</t>
        </is>
      </c>
      <c r="K18" s="24" t="inlineStr">
        <is>
          <t>Not stated on the page</t>
        </is>
      </c>
      <c r="L18" s="24" t="inlineStr">
        <is>
          <t>Not available; scoring section empty in fetched content. Impact Supplement has a gateway question; a No means no Impact score is calculated.</t>
        </is>
      </c>
      <c r="M18" s="24" t="inlineStr">
        <is>
          <t>Goodman (1997). Full reference not given.</t>
        </is>
      </c>
      <c r="N18" s="24" t="inlineStr">
        <is>
          <t>No licensing statement; page reads "Log in or create an account to access the full suite of SDQ measures in NovoPsych."</t>
        </is>
      </c>
      <c r="O18" s="24" t="inlineStr">
        <is>
          <t>not stated</t>
        </is>
      </c>
      <c r="P18" s="24" t="inlineStr">
        <is>
          <t>Out of scope for the hub (child, adolescent, sport, eating, clinician or service feedback)</t>
        </is>
      </c>
      <c r="Q18" s="24" t="inlineStr"/>
      <c r="R18" s="24" t="inlineStr"/>
      <c r="S18" s="24" t="inlineStr">
        <is>
          <t>Scoring and Interpretation and Psychometric sections are rendered client side and were not visible to the fetcher. Versions for ages 2 to 4 and 4 to 10, parent and teacher forms, and a Follow-up version.</t>
        </is>
      </c>
      <c r="T18" s="24" t="inlineStr">
        <is>
          <t>https://novopsych.com/assessments/child/strengths-and-difficulties-questionnaire-sdq/</t>
        </is>
      </c>
    </row>
    <row r="19">
      <c r="A19" s="24" t="n">
        <v>18</v>
      </c>
      <c r="B19" s="24" t="inlineStr">
        <is>
          <t>Ruminative Responses Scale</t>
        </is>
      </c>
      <c r="C19" s="24" t="inlineStr">
        <is>
          <t>RRS</t>
        </is>
      </c>
      <c r="D19" s="24" t="inlineStr">
        <is>
          <t>Formulation, Depression</t>
        </is>
      </c>
      <c r="E19" s="24" t="inlineStr">
        <is>
          <t>Measures how often adults engage in ruminative responses when feeling down, sad or depressed.</t>
        </is>
      </c>
      <c r="F19" s="24" t="n">
        <v>22</v>
      </c>
      <c r="G19" s="24" t="inlineStr">
        <is>
          <t>Self report</t>
        </is>
      </c>
      <c r="H19" s="24" t="inlineStr">
        <is>
          <t>18+</t>
        </is>
      </c>
      <c r="I19" s="24" t="n">
        <v>2</v>
      </c>
      <c r="J19" s="24" t="inlineStr">
        <is>
          <t>Brooding (5 items), Reflection (5 items)</t>
        </is>
      </c>
      <c r="K19" s="24" t="inlineStr">
        <is>
          <t>Not stated on the page</t>
        </is>
      </c>
      <c r="L19" s="24" t="inlineStr">
        <is>
          <t>Total score plus Brooding and Reflection subscale scores; 12 items contribute to the total only. Sum or mean, direction and cut offs not stated.</t>
        </is>
      </c>
      <c r="M19" s="24" t="inlineStr">
        <is>
          <t>Treynor et al. (2003) for the Brooding and Reflection subscales; original scale citation not given.</t>
        </is>
      </c>
      <c r="N19" s="24" t="inlineStr">
        <is>
          <t>No copyright, licensing, permission or free to use statement on the page</t>
        </is>
      </c>
      <c r="O19" s="24" t="inlineStr">
        <is>
          <t>not stated</t>
        </is>
      </c>
      <c r="P19" s="24" t="inlineStr">
        <is>
          <t>Already in codebook</t>
        </is>
      </c>
      <c r="Q19" s="24" t="inlineStr"/>
      <c r="R19" s="24" t="inlineStr"/>
      <c r="S19" s="24" t="inlineStr">
        <is>
          <t>Scoring and Interpretation and Psychometric sections are rendered client side and were not visible to the fetcher.</t>
        </is>
      </c>
      <c r="T19" s="24" t="inlineStr">
        <is>
          <t>https://novopsych.com/assessments/formulation/ruminative-responses-scale-rrs/</t>
        </is>
      </c>
    </row>
    <row r="20">
      <c r="A20" s="24" t="n">
        <v>19</v>
      </c>
      <c r="B20" s="24" t="inlineStr">
        <is>
          <t>Work and Social Adjustment Scale</t>
        </is>
      </c>
      <c r="C20" s="24" t="inlineStr">
        <is>
          <t>WSAS</t>
        </is>
      </c>
      <c r="D20" s="24" t="inlineStr">
        <is>
          <t>Disability, Health, Outcome monitoring</t>
        </is>
      </c>
      <c r="E20" s="24" t="inlineStr">
        <is>
          <t>Measures functional impairment across work, home, leisure and relationships resulting from a person's difficulties.</t>
        </is>
      </c>
      <c r="F20" s="24" t="n">
        <v>5</v>
      </c>
      <c r="G20" s="24" t="inlineStr">
        <is>
          <t>Self report</t>
        </is>
      </c>
      <c r="H20" s="24" t="inlineStr">
        <is>
          <t>18+</t>
        </is>
      </c>
      <c r="I20" s="24" t="n">
        <v>1</v>
      </c>
      <c r="J20" s="24" t="inlineStr"/>
      <c r="K20" s="24" t="inlineStr">
        <is>
          <t>Not stated on the page</t>
        </is>
      </c>
      <c r="L20" s="24" t="inlineStr">
        <is>
          <t>Total score with severity bands; method and cut offs not stated in fetched content. A change of 5 or more points is clinically meaningful.</t>
        </is>
      </c>
      <c r="M20" s="24" t="inlineStr">
        <is>
          <t>Mundt et al. (2002). Journal not given.</t>
        </is>
      </c>
      <c r="N20" s="24" t="inlineStr">
        <is>
          <t>No copyright, licensing, permission or free to use statement on the page</t>
        </is>
      </c>
      <c r="O20" s="24" t="inlineStr">
        <is>
          <t>not stated</t>
        </is>
      </c>
      <c r="P20" s="24" t="inlineStr">
        <is>
          <t>Shortlist: coaching and wellbeing (client facing possible)</t>
        </is>
      </c>
      <c r="Q20" s="24" t="inlineStr"/>
      <c r="R20" s="24" t="inlineStr">
        <is>
          <t>Added (yes, review)</t>
        </is>
      </c>
      <c r="S20" s="24" t="inlineStr">
        <is>
          <t>Each item corresponds to a distinct life domain rather than a subscale.</t>
        </is>
      </c>
      <c r="T20" s="24" t="inlineStr">
        <is>
          <t>https://novopsych.com/assessments/disability/work-and-social-adjustment-scale/</t>
        </is>
      </c>
    </row>
    <row r="21">
      <c r="A21" s="24" t="n">
        <v>20</v>
      </c>
      <c r="B21" s="24" t="inlineStr">
        <is>
          <t>Reflective Practice Questionnaire – Extended</t>
        </is>
      </c>
      <c r="C21" s="24" t="inlineStr">
        <is>
          <t>RPQ-E</t>
        </is>
      </c>
      <c r="D21" s="24" t="inlineStr">
        <is>
          <t>Clinician self assessment</t>
        </is>
      </c>
      <c r="E21" s="24" t="inlineStr">
        <is>
          <t>Measures reflective practice and related attributes among professionals in client facing roles.</t>
        </is>
      </c>
      <c r="F21" s="24" t="n">
        <v>30</v>
      </c>
      <c r="G21" s="24" t="inlineStr">
        <is>
          <t>Self report (clinician self assessment, also used in supervision or training)</t>
        </is>
      </c>
      <c r="H21" s="24" t="inlineStr">
        <is>
          <t>Not stated</t>
        </is>
      </c>
      <c r="I21" s="24" t="n">
        <v>5</v>
      </c>
      <c r="J21" s="24" t="inlineStr">
        <is>
          <t>Uncertainty/Stress, Confidence, Work Satisfaction, Fourth subscale not named on page</t>
        </is>
      </c>
      <c r="K21" s="24" t="inlineStr">
        <is>
          <t>Not stated on the page</t>
        </is>
      </c>
      <c r="L21" s="24" t="inlineStr">
        <is>
          <t>Results compared with a sample of mental health practitioners; both very low and very high scores warrant interpretation. Sum or mean and cut offs not stated.</t>
        </is>
      </c>
      <c r="M21" s="24" t="inlineStr">
        <is>
          <t>No developer citation given; Mann, Gordon, &amp; MacLeod (2009) cited only for background.</t>
        </is>
      </c>
      <c r="N21" s="24" t="inlineStr">
        <is>
          <t>No copyright, licensing, permission or free to use statement on the page</t>
        </is>
      </c>
      <c r="O21" s="24" t="inlineStr">
        <is>
          <t>not stated</t>
        </is>
      </c>
      <c r="P21" s="24" t="inlineStr">
        <is>
          <t>Out of scope for the hub (child, adolescent, sport, eating, clinician or service feedback)</t>
        </is>
      </c>
      <c r="Q21" s="24" t="inlineStr"/>
      <c r="R21" s="24" t="inlineStr"/>
      <c r="S21" s="24" t="inlineStr">
        <is>
          <t>Scoring and Interpretation and Psychometric sections are rendered client side and were not visible to the fetcher. Developer is likely Priddis and Rogers (2018) but the page does not say so.</t>
        </is>
      </c>
      <c r="T21" s="24" t="inlineStr">
        <is>
          <t>https://novopsych.com/assessments/clinician-self-assessment/reflective-practice-questionnaire-extended/</t>
        </is>
      </c>
    </row>
    <row r="22">
      <c r="A22" s="24" t="n">
        <v>21</v>
      </c>
      <c r="B22" s="24" t="inlineStr">
        <is>
          <t>Penn Alcohol Craving Scale</t>
        </is>
      </c>
      <c r="C22" s="24" t="inlineStr">
        <is>
          <t>PACS</t>
        </is>
      </c>
      <c r="D22" s="24" t="inlineStr">
        <is>
          <t>Addiction, Outcome monitoring</t>
        </is>
      </c>
      <c r="E22" s="24" t="inlineStr">
        <is>
          <t>Measures alcohol craving over the preceding week as a single construct.</t>
        </is>
      </c>
      <c r="F22" s="24" t="n">
        <v>5</v>
      </c>
      <c r="G22" s="24" t="inlineStr">
        <is>
          <t>Self report</t>
        </is>
      </c>
      <c r="H22" s="24" t="inlineStr">
        <is>
          <t>18+</t>
        </is>
      </c>
      <c r="I22" s="24" t="n">
        <v>1</v>
      </c>
      <c r="J22" s="24" t="inlineStr"/>
      <c r="K22" s="24" t="inlineStr">
        <is>
          <t>Not stated on the page</t>
        </is>
      </c>
      <c r="L22" s="24" t="inlineStr">
        <is>
          <t>Total score; sum or mean not stated. 21 or above is in the Elevated range; 15 or above corresponded with clinician endorsed craving (Hartwell et al., 2019). A reduction of 3 or more points indicates meaningful improvement.</t>
        </is>
      </c>
      <c r="M22" s="24" t="inlineStr">
        <is>
          <t>Flannery et al. (1999). Full authors and journal not given.</t>
        </is>
      </c>
      <c r="N22" s="24" t="inlineStr">
        <is>
          <t>No copyright, licensing, permission or free to use statement on the page</t>
        </is>
      </c>
      <c r="O22" s="24" t="inlineStr">
        <is>
          <t>not stated</t>
        </is>
      </c>
      <c r="P22" s="24" t="inlineStr">
        <is>
          <t>Shortlist: screening or clinical (Sarah only if used)</t>
        </is>
      </c>
      <c r="Q22" s="24" t="inlineStr"/>
      <c r="R22" s="24" t="inlineStr"/>
      <c r="S22" s="24" t="inlineStr"/>
      <c r="T22" s="24" t="inlineStr">
        <is>
          <t>https://novopsych.com/assessments/addiction/penn-alcohol-craving-scale-pacs/</t>
        </is>
      </c>
    </row>
    <row r="23">
      <c r="A23" s="24" t="n">
        <v>22</v>
      </c>
      <c r="B23" s="24" t="inlineStr">
        <is>
          <t>Manic and Depression Symptoms Paired Screening (Patient Mania Questionnaire-9 and Patient Health Questionnaire-9)</t>
        </is>
      </c>
      <c r="C23" s="24" t="inlineStr">
        <is>
          <t>PMQ-9 and PHQ-9</t>
        </is>
      </c>
      <c r="D23" s="24" t="inlineStr">
        <is>
          <t>Bipolar, Outcome monitoring</t>
        </is>
      </c>
      <c r="E23" s="24" t="inlineStr">
        <is>
          <t>Monitors manic symptoms over the past week and depressive symptoms to track mood state change in adults with bipolar disorder.</t>
        </is>
      </c>
      <c r="F23" s="24" t="n">
        <v>18</v>
      </c>
      <c r="G23" s="24" t="inlineStr">
        <is>
          <t>Self report</t>
        </is>
      </c>
      <c r="H23" s="24" t="inlineStr">
        <is>
          <t>18+</t>
        </is>
      </c>
      <c r="I23" s="24" t="n">
        <v>3</v>
      </c>
      <c r="J23" s="24" t="inlineStr">
        <is>
          <t>PMQ-9 (9 items), PHQ-9 (9 items)</t>
        </is>
      </c>
      <c r="K23" s="24" t="inlineStr">
        <is>
          <t>Not stated; PMQ-9 designed to match the PHQ-9 response format</t>
        </is>
      </c>
      <c r="L23" s="24" t="inlineStr">
        <is>
          <t>Each measure scored against a clinical cut off of 10; the 2 results combine to classify 1 of 4 mood states. Total computation and direction not stated.</t>
        </is>
      </c>
      <c r="M23" s="24" t="inlineStr">
        <is>
          <t>Cerimele et al. (2022), PMQ-9 development and validation within the SPIRIT trial. Journal not given.</t>
        </is>
      </c>
      <c r="N23" s="24" t="inlineStr">
        <is>
          <t>No copyright, licensing, permission or free to use statement on the page</t>
        </is>
      </c>
      <c r="O23" s="24" t="inlineStr">
        <is>
          <t>not stated</t>
        </is>
      </c>
      <c r="P23" s="24" t="inlineStr">
        <is>
          <t>Shortlist: screening or clinical (Sarah only if used)</t>
        </is>
      </c>
      <c r="Q23" s="24" t="inlineStr"/>
      <c r="R23" s="24" t="inlineStr"/>
      <c r="S23" s="24" t="inlineStr"/>
      <c r="T23" s="24" t="inlineStr">
        <is>
          <t>https://novopsych.com/assessments/bipolar/manic-and-depression-symptoms-paired-screening-pmq-9-and-phq-9/</t>
        </is>
      </c>
    </row>
    <row r="24">
      <c r="A24" s="24" t="n">
        <v>23</v>
      </c>
      <c r="B24" s="24" t="inlineStr">
        <is>
          <t>Pica, ARFID, and Rumination Disorder Interview – ARFID Questionnaire: Informant report</t>
        </is>
      </c>
      <c r="C24" s="24" t="inlineStr">
        <is>
          <t>PARDI-AR-Q-Informant</t>
        </is>
      </c>
      <c r="D24" s="24" t="inlineStr">
        <is>
          <t>Body image and eating</t>
        </is>
      </c>
      <c r="E24" s="24" t="inlineStr">
        <is>
          <t>Screens for avoidant/restrictive food intake disorder in children and profiles the drivers of restricted or avoidant eating.</t>
        </is>
      </c>
      <c r="F24" s="24" t="n">
        <v>29</v>
      </c>
      <c r="G24" s="24" t="inlineStr">
        <is>
          <t>Parent or carer reporting on a child</t>
        </is>
      </c>
      <c r="H24" s="24" t="inlineStr">
        <is>
          <t>4+</t>
        </is>
      </c>
      <c r="I24" s="24" t="n">
        <v>4</v>
      </c>
      <c r="J24" s="24" t="inlineStr">
        <is>
          <t>Sensory-based avoidance, Lack of interest in eating or food, Concern about aversive consequences, Severity of impact (separate psychosocial impairment index)</t>
        </is>
      </c>
      <c r="K24" s="24" t="inlineStr">
        <is>
          <t>Not stated on the page</t>
        </is>
      </c>
      <c r="L24" s="24" t="inlineStr">
        <is>
          <t>3 driver subscales reported separately with no total score; method and cut offs not stated. A positive screen indicates further assessment is warranted, not a diagnosis.</t>
        </is>
      </c>
      <c r="M24" s="24" t="inlineStr">
        <is>
          <t>Not given; page mentions validation work without a citation. Content author Emerson Bartholomew (NovoPsych).</t>
        </is>
      </c>
      <c r="N24" s="24" t="inlineStr">
        <is>
          <t>No copyright, licensing, permission or free to use statement on the page</t>
        </is>
      </c>
      <c r="O24" s="24" t="inlineStr">
        <is>
          <t>not stated</t>
        </is>
      </c>
      <c r="P24" s="24" t="inlineStr">
        <is>
          <t>Out of scope for the hub (child, adolescent, sport, eating, clinician or service feedback)</t>
        </is>
      </c>
      <c r="Q24" s="24" t="inlineStr"/>
      <c r="R24" s="24" t="inlineStr"/>
      <c r="S24" s="24" t="inlineStr"/>
      <c r="T24" s="24" t="inlineStr">
        <is>
          <t>https://novopsych.com/assessments/eating/pica-arfid-and-rumination-disorder-interview-arfid-questionnaire-informant-report-pardi-ar-q-informant/</t>
        </is>
      </c>
    </row>
    <row r="25">
      <c r="A25" s="24" t="n">
        <v>24</v>
      </c>
      <c r="B25" s="24" t="inlineStr">
        <is>
          <t>Pica, ARFID, and Rumination Disorder Interview – ARFID Questionnaire</t>
        </is>
      </c>
      <c r="C25" s="24" t="inlineStr">
        <is>
          <t>PARDI-AR-Q</t>
        </is>
      </c>
      <c r="D25" s="24" t="inlineStr">
        <is>
          <t>Body image and eating</t>
        </is>
      </c>
      <c r="E25" s="24" t="inlineStr">
        <is>
          <t>Screens for avoidant/restrictive food intake disorder and identifies the main driver of restricted or avoidant eating.</t>
        </is>
      </c>
      <c r="F25" s="24" t="n">
        <v>29</v>
      </c>
      <c r="G25" s="24" t="inlineStr">
        <is>
          <t>Self report (14+); separate parent or carer version for 4+</t>
        </is>
      </c>
      <c r="H25" s="24" t="inlineStr">
        <is>
          <t>14+ (self report); 4+ (parent/carer version)</t>
        </is>
      </c>
      <c r="I25" s="24" t="n">
        <v>4</v>
      </c>
      <c r="J25" s="24" t="inlineStr">
        <is>
          <t>Sensory-based avoidance, Lack of interest in eating or food, Concern about aversive consequences, Severity of impact (separate psychosocial impairment index)</t>
        </is>
      </c>
      <c r="K25" s="24" t="inlineStr">
        <is>
          <t>Not stated on the page</t>
        </is>
      </c>
      <c r="L25" s="24" t="inlineStr">
        <is>
          <t>3 driver subscales reported separately with no total score; method and cut offs not stated. A positive screen suggests further assessment, not a diagnosis.</t>
        </is>
      </c>
      <c r="M25" s="24" t="inlineStr">
        <is>
          <t>Not given; page mentions validation work without a citation.</t>
        </is>
      </c>
      <c r="N25" s="24" t="inlineStr">
        <is>
          <t>No copyright, licensing, permission or free to use statement on the page</t>
        </is>
      </c>
      <c r="O25" s="24" t="inlineStr">
        <is>
          <t>not stated</t>
        </is>
      </c>
      <c r="P25" s="24" t="inlineStr">
        <is>
          <t>Out of scope for the hub (child, adolescent, sport, eating, clinician or service feedback)</t>
        </is>
      </c>
      <c r="Q25" s="24" t="inlineStr"/>
      <c r="R25" s="24" t="inlineStr"/>
      <c r="S25" s="24" t="inlineStr"/>
      <c r="T25" s="24" t="inlineStr">
        <is>
          <t>https://novopsych.com/assessments/eating/pardi-ar-q-arfid-questionnaire/</t>
        </is>
      </c>
    </row>
    <row r="26">
      <c r="A26" s="24" t="n">
        <v>25</v>
      </c>
      <c r="B26" s="24" t="inlineStr">
        <is>
          <t>Fatigue Assessment Scale</t>
        </is>
      </c>
      <c r="C26" s="24" t="inlineStr">
        <is>
          <t>FAS</t>
        </is>
      </c>
      <c r="D26" s="24" t="inlineStr">
        <is>
          <t>Health</t>
        </is>
      </c>
      <c r="E26" s="24" t="inlineStr">
        <is>
          <t>Measures general fatigue including physical and mental symptoms.</t>
        </is>
      </c>
      <c r="F26" s="24" t="n">
        <v>10</v>
      </c>
      <c r="G26" s="24" t="inlineStr">
        <is>
          <t>Self report</t>
        </is>
      </c>
      <c r="H26" s="24" t="inlineStr">
        <is>
          <t>18+</t>
        </is>
      </c>
      <c r="I26" s="24" t="n">
        <v>2</v>
      </c>
      <c r="J26" s="24" t="inlineStr"/>
      <c r="K26" s="24" t="inlineStr">
        <is>
          <t>Not stated on the page</t>
        </is>
      </c>
      <c r="L26" s="24" t="inlineStr">
        <is>
          <t>Total score: below 22 no substantial fatigue, 22 to 34 mild to moderate (NovoPsych splits into mild 22 to 27 and moderate 28 to 34), 35 or above severe; described as clinical guidelines rather than validated thresholds. Minimal clinically important difference of 4 points.</t>
        </is>
      </c>
      <c r="M26" s="24" t="inlineStr">
        <is>
          <t>Not given on the page.</t>
        </is>
      </c>
      <c r="N26" s="24" t="inlineStr">
        <is>
          <t>No copyright, licensing, permission or free to use statement on the page</t>
        </is>
      </c>
      <c r="O26" s="24" t="inlineStr">
        <is>
          <t>not stated</t>
        </is>
      </c>
      <c r="P26" s="24" t="inlineStr">
        <is>
          <t>Shortlist: screening or clinical (Sarah only if used)</t>
        </is>
      </c>
      <c r="Q26" s="24" t="inlineStr"/>
      <c r="R26" s="24" t="inlineStr"/>
      <c r="S26" s="24" t="inlineStr">
        <is>
          <t>Developer (Michielsen et al., 2003) not cited in fetched content.</t>
        </is>
      </c>
      <c r="T26" s="24" t="inlineStr">
        <is>
          <t>https://novopsych.com/assessments/health/fatigue-assessment-scale-fas/</t>
        </is>
      </c>
    </row>
    <row r="27">
      <c r="A27" s="24" t="n">
        <v>26</v>
      </c>
      <c r="B27" s="24" t="inlineStr">
        <is>
          <t>Swanson, Nolan and Pelham Rating Scale, 18 Item Version</t>
        </is>
      </c>
      <c r="C27" s="24" t="inlineStr">
        <is>
          <t>SNAP-IV</t>
        </is>
      </c>
      <c r="D27" s="24" t="inlineStr">
        <is>
          <t>ADHD, Adolescent, Child, Diagnosis</t>
        </is>
      </c>
      <c r="E27" s="24" t="inlineStr">
        <is>
          <t>Rates difficulties in attention and behavioural regulation in children and adolescents.</t>
        </is>
      </c>
      <c r="F27" s="24" t="n">
        <v>18</v>
      </c>
      <c r="G27" s="24" t="inlineStr">
        <is>
          <t>Informant (parent, caregiver or teacher)</t>
        </is>
      </c>
      <c r="H27" s="24" t="inlineStr">
        <is>
          <t>5 to 17</t>
        </is>
      </c>
      <c r="I27" s="24" t="n">
        <v>3</v>
      </c>
      <c r="J27" s="24" t="inlineStr">
        <is>
          <t>Inattention (9 items), Hyperactivity/Impulsivity (9 items)</t>
        </is>
      </c>
      <c r="K27" s="24" t="inlineStr">
        <is>
          <t>Not stated on the page</t>
        </is>
      </c>
      <c r="L27" s="24" t="inlineStr">
        <is>
          <t>Not available; scoring section empty in fetched content.</t>
        </is>
      </c>
      <c r="M27" s="24" t="inlineStr">
        <is>
          <t>Swanson (1992); Swanson et al. (2012). Journal details not given.</t>
        </is>
      </c>
      <c r="N27" s="24" t="inlineStr">
        <is>
          <t>No copyright, licensing, permission or free to use statement on the page</t>
        </is>
      </c>
      <c r="O27" s="24" t="inlineStr">
        <is>
          <t>not stated</t>
        </is>
      </c>
      <c r="P27" s="24" t="inlineStr">
        <is>
          <t>Out of scope for the hub (child, adolescent, sport, eating, clinician or service feedback)</t>
        </is>
      </c>
      <c r="Q27" s="24" t="inlineStr"/>
      <c r="R27" s="24" t="inlineStr"/>
      <c r="S27" s="24" t="inlineStr">
        <is>
          <t>Scoring and Interpretation and Psychometric sections are rendered client side and were not visible to the fetcher. Note the URL sits under /adhd/ rather than /assessments/.</t>
        </is>
      </c>
      <c r="T27" s="24" t="inlineStr">
        <is>
          <t>https://novopsych.com/adhd/swanson-nolan-and-pelham-rating-scale-snap-iv-18-item-version/</t>
        </is>
      </c>
    </row>
    <row r="28">
      <c r="A28" s="24" t="n">
        <v>27</v>
      </c>
      <c r="B28" s="24" t="inlineStr">
        <is>
          <t>Comprehensive Autistic Trait Inventory</t>
        </is>
      </c>
      <c r="C28" s="24" t="inlineStr">
        <is>
          <t>CATI</t>
        </is>
      </c>
      <c r="D28" s="24" t="inlineStr">
        <is>
          <t>Autism, Diagnosis</t>
        </is>
      </c>
      <c r="E28" s="24" t="inlineStr">
        <is>
          <t>Measures traits and characteristics relevant to identifying autism in adults.</t>
        </is>
      </c>
      <c r="F28" s="24" t="n">
        <v>42</v>
      </c>
      <c r="G28" s="24" t="inlineStr">
        <is>
          <t>Self report</t>
        </is>
      </c>
      <c r="H28" s="24" t="inlineStr">
        <is>
          <t>16+</t>
        </is>
      </c>
      <c r="I28" s="24" t="n">
        <v>7</v>
      </c>
      <c r="J28" s="24" t="inlineStr"/>
      <c r="K28" s="24" t="inlineStr">
        <is>
          <t>Not stated on the page</t>
        </is>
      </c>
      <c r="L28" s="24" t="inlineStr">
        <is>
          <t>Not available; scoring section empty in fetched content.</t>
        </is>
      </c>
      <c r="M28" s="24" t="inlineStr">
        <is>
          <t>English, M. C. W., Gignac, G. E., Visser, T. A. W., Whitehouse, A. J. O., Enns, J. T., &amp; Maybery, M. T. (2021). The Comprehensive Autistic Trait Inventory (CATI). Molecular Autism, 12(1), 37. https://doi.org/10.1186/s13229-021-00445-7</t>
        </is>
      </c>
      <c r="N28" s="24" t="inlineStr">
        <is>
          <t>© 2026 Copyright – NovoPsych – All rights reserved (site wide footer; no instrument specific statement on the page)</t>
        </is>
      </c>
      <c r="O28" s="24" t="inlineStr">
        <is>
          <t>not stated</t>
        </is>
      </c>
      <c r="P28" s="24" t="inlineStr">
        <is>
          <t>Shortlist: screening or clinical (Sarah only if used)</t>
        </is>
      </c>
      <c r="Q28" s="24" t="inlineStr"/>
      <c r="R28" s="24" t="inlineStr"/>
      <c r="S28" s="24" t="inlineStr">
        <is>
          <t>Scoring and Interpretation and Psychometric sections are rendered client side and were not visible to the fetcher. Page directs readers to cati-autism.com for forms and translations; also cites English et al. (2024) preprint.</t>
        </is>
      </c>
      <c r="T28" s="24" t="inlineStr">
        <is>
          <t>https://novopsych.com/assessments/diagnosis/comprehensive-autistic-trait-inventory-cati/</t>
        </is>
      </c>
    </row>
    <row r="29">
      <c r="A29" s="24" t="n">
        <v>28</v>
      </c>
      <c r="B29" s="24" t="inlineStr">
        <is>
          <t>Attachment Style Questionnaire – Short Form</t>
        </is>
      </c>
      <c r="C29" s="24" t="inlineStr">
        <is>
          <t>ASQ-SF</t>
        </is>
      </c>
      <c r="D29" s="24" t="inlineStr">
        <is>
          <t>Formulation</t>
        </is>
      </c>
      <c r="E29" s="24" t="inlineStr">
        <is>
          <t>Measures adult attachment patterns in non clinical and mental health settings.</t>
        </is>
      </c>
      <c r="F29" s="24" t="n">
        <v>29</v>
      </c>
      <c r="G29" s="24" t="inlineStr">
        <is>
          <t>Self report</t>
        </is>
      </c>
      <c r="H29" s="24" t="inlineStr">
        <is>
          <t>15+</t>
        </is>
      </c>
      <c r="I29" s="24" t="n">
        <v>5</v>
      </c>
      <c r="J29" s="24" t="inlineStr"/>
      <c r="K29" s="24" t="inlineStr">
        <is>
          <t>Not stated on the page</t>
        </is>
      </c>
      <c r="L29" s="24" t="inlineStr">
        <is>
          <t>Not available; scoring section empty in fetched content.</t>
        </is>
      </c>
      <c r="M29" s="24" t="inlineStr">
        <is>
          <t>Alexander, R., Feeney, J., Hohaus, L., &amp; Noller, P. (2001). Attachment style and coping resources as predictors of coping strategies in the transition to parenthood. Personal Relationships, 8(2), 137-152.</t>
        </is>
      </c>
      <c r="N29" s="24" t="inlineStr">
        <is>
          <t>© 2026 Copyright – NovoPsych – All rights reserved (site wide footer; no instrument specific statement on the page)</t>
        </is>
      </c>
      <c r="O29" s="24" t="inlineStr">
        <is>
          <t>not stated</t>
        </is>
      </c>
      <c r="P29" s="24" t="inlineStr">
        <is>
          <t>Shortlist: coaching and wellbeing (client facing possible)</t>
        </is>
      </c>
      <c r="Q29" s="24" t="inlineStr"/>
      <c r="R29" s="24" t="inlineStr"/>
      <c r="S29" s="24" t="inlineStr">
        <is>
          <t>Scoring and Interpretation and Psychometric sections are rendered client side and were not visible to the fetcher. Page offers a PDF download without usage terms.</t>
        </is>
      </c>
      <c r="T29" s="24" t="inlineStr">
        <is>
          <t>https://novopsych.com/assessments/formulation/attachment-style-questionnaire-short-form-asq-sf/</t>
        </is>
      </c>
    </row>
    <row r="30">
      <c r="A30" s="24" t="n">
        <v>29</v>
      </c>
      <c r="B30" s="24" t="inlineStr">
        <is>
          <t>Mood Disorder Questionnaire</t>
        </is>
      </c>
      <c r="C30" s="24" t="inlineStr">
        <is>
          <t>MDQ</t>
        </is>
      </c>
      <c r="D30" s="24" t="inlineStr">
        <is>
          <t>Bipolar, Diagnosis, Formulation</t>
        </is>
      </c>
      <c r="E30" s="24" t="inlineStr">
        <is>
          <t>Screens adults for bipolar disorder via lifetime manic and hypomanic symptoms, symptom clustering and functional impairment.</t>
        </is>
      </c>
      <c r="F30" s="24" t="n">
        <v>15</v>
      </c>
      <c r="G30" s="24" t="inlineStr">
        <is>
          <t>Self report</t>
        </is>
      </c>
      <c r="H30" s="24" t="inlineStr">
        <is>
          <t>18+</t>
        </is>
      </c>
      <c r="I30" s="24" t="n">
        <v>3</v>
      </c>
      <c r="J30" s="24" t="inlineStr">
        <is>
          <t>Positive Activation, Negative Activation</t>
        </is>
      </c>
      <c r="K30" s="24" t="inlineStr">
        <is>
          <t>Not stated on the page</t>
        </is>
      </c>
      <c r="L30" s="24" t="inlineStr">
        <is>
          <t>Not available; scoring section empty in fetched content.</t>
        </is>
      </c>
      <c r="M30" s="24" t="inlineStr">
        <is>
          <t>Hirschfeld, R. M. A., Williams, J. B. W., Spitzer, R. L., Calabrese, J. R., Flynn, L., Keck Jr, P. E., et al. (2000). Development and validation of a screening instrument for bipolar spectrum disorder: The Mood Disorder Questionnaire. American Journal of Psychiatry, 157(11), 1873-1875.</t>
        </is>
      </c>
      <c r="N30" s="24" t="inlineStr">
        <is>
          <t>© 2026 Copyright – NovoPsych – All rights reserved (site wide footer; no instrument specific statement on the page)</t>
        </is>
      </c>
      <c r="O30" s="24" t="inlineStr">
        <is>
          <t>not stated</t>
        </is>
      </c>
      <c r="P30" s="24" t="inlineStr">
        <is>
          <t>Shortlist: screening or clinical (Sarah only if used)</t>
        </is>
      </c>
      <c r="Q30" s="24" t="inlineStr"/>
      <c r="R30" s="24" t="inlineStr"/>
      <c r="S30" s="24" t="inlineStr">
        <is>
          <t>Scoring and Interpretation and Psychometric sections are rendered client side and were not visible to the fetcher.</t>
        </is>
      </c>
      <c r="T30" s="24" t="inlineStr">
        <is>
          <t>https://novopsych.com/assessments/diagnosis/mood-disorder-questionnaire-mdq/</t>
        </is>
      </c>
    </row>
    <row r="31">
      <c r="A31" s="24" t="n">
        <v>30</v>
      </c>
      <c r="B31" s="24" t="inlineStr">
        <is>
          <t>Extreme Demand Avoidance Questionnaire – Adult</t>
        </is>
      </c>
      <c r="C31" s="24" t="inlineStr">
        <is>
          <t>EDA-QA</t>
        </is>
      </c>
      <c r="D31" s="24" t="inlineStr">
        <is>
          <t>Autism, Formulation</t>
        </is>
      </c>
      <c r="E31" s="24" t="inlineStr">
        <is>
          <t>Measures demand avoidance characteristics in adults linked to anxiety and a need for control.</t>
        </is>
      </c>
      <c r="F31" s="24" t="n"/>
      <c r="G31" s="24" t="inlineStr">
        <is>
          <t>Self report</t>
        </is>
      </c>
      <c r="H31" s="24" t="inlineStr">
        <is>
          <t>18+</t>
        </is>
      </c>
      <c r="I31" s="24" t="n">
        <v>4</v>
      </c>
      <c r="J31" s="24" t="inlineStr"/>
      <c r="K31" s="24" t="inlineStr">
        <is>
          <t>Not stated on the page</t>
        </is>
      </c>
      <c r="L31" s="24" t="inlineStr">
        <is>
          <t>Results given as percentiles against general population and clinical samples; sum or mean, direction and cut offs not stated.</t>
        </is>
      </c>
      <c r="M31" s="24" t="inlineStr">
        <is>
          <t>Egan et al. (2019). Title and journal not given.</t>
        </is>
      </c>
      <c r="N31" s="24" t="inlineStr">
        <is>
          <t>No copyright, licensing, permission or free to use statement on the page</t>
        </is>
      </c>
      <c r="O31" s="24" t="inlineStr">
        <is>
          <t>not stated</t>
        </is>
      </c>
      <c r="P31" s="24" t="inlineStr">
        <is>
          <t>Shortlist: coaching and wellbeing (client facing possible)</t>
        </is>
      </c>
      <c r="Q31" s="24" t="inlineStr"/>
      <c r="R31" s="24" t="inlineStr"/>
      <c r="S31" s="24" t="inlineStr">
        <is>
          <t>Item count not stated in fetched content. Scoring and Interpretation and Psychometric sections are rendered client side and were not visible to the fetcher.</t>
        </is>
      </c>
      <c r="T31" s="24" t="inlineStr">
        <is>
          <t>https://novopsych.com/assessments/autism/extreme-demand-avoidance-questionnaire-adult-eda-qa/</t>
        </is>
      </c>
    </row>
    <row r="32">
      <c r="A32" s="24" t="n">
        <v>31</v>
      </c>
      <c r="B32" s="24" t="inlineStr">
        <is>
          <t>Extreme Demand Avoidance 8</t>
        </is>
      </c>
      <c r="C32" s="24" t="inlineStr">
        <is>
          <t>EDA-8</t>
        </is>
      </c>
      <c r="D32" s="24" t="inlineStr">
        <is>
          <t>Autism, Adolescent, Child, Formulation</t>
        </is>
      </c>
      <c r="E32" s="24" t="inlineStr">
        <is>
          <t>Pathological (extreme) demand avoidance traits in children and adolescents.</t>
        </is>
      </c>
      <c r="F32" s="24" t="n"/>
      <c r="G32" s="24" t="inlineStr">
        <is>
          <t>Parent or caregiver report</t>
        </is>
      </c>
      <c r="H32" s="24" t="inlineStr">
        <is>
          <t>5 to 17 years</t>
        </is>
      </c>
      <c r="I32" s="24" t="n">
        <v>1</v>
      </c>
      <c r="J32" s="24" t="inlineStr"/>
      <c r="K32" s="24" t="inlineStr">
        <is>
          <t>Not stated on page.</t>
        </is>
      </c>
      <c r="L32" s="24" t="inlineStr">
        <is>
          <t>Not stated on page.</t>
        </is>
      </c>
      <c r="M32" s="24" t="inlineStr">
        <is>
          <t>O'Nions et al. (2021)</t>
        </is>
      </c>
      <c r="N32" s="24" t="inlineStr">
        <is>
          <t>None stated on page.</t>
        </is>
      </c>
      <c r="O32" s="24" t="inlineStr">
        <is>
          <t>not stated</t>
        </is>
      </c>
      <c r="P32" s="24" t="inlineStr">
        <is>
          <t>Out of scope for the hub (child, adolescent, sport, eating, clinician or service feedback)</t>
        </is>
      </c>
      <c r="Q32" s="24" t="inlineStr"/>
      <c r="R32" s="24" t="inlineStr"/>
      <c r="S32" s="24" t="inlineStr">
        <is>
          <t>Item count not shown in fetched text (the EDA-8 is understood to have 8 items). Scoring and Interpretation, Psychometrics and Professional Access sections render client side and were empty in the fetched text. No instrument specific licence statement on page.</t>
        </is>
      </c>
      <c r="T32" s="24" t="inlineStr">
        <is>
          <t>https://novopsych.com/assessments/autism/extreme-demand-avoidance-8-eda-8/</t>
        </is>
      </c>
    </row>
    <row r="33">
      <c r="A33" s="24" t="n">
        <v>32</v>
      </c>
      <c r="B33" s="24" t="inlineStr">
        <is>
          <t>Dimensions of Anger Reactions 5</t>
        </is>
      </c>
      <c r="C33" s="24" t="inlineStr">
        <is>
          <t>DAR-5</t>
        </is>
      </c>
      <c r="D33" s="24" t="inlineStr">
        <is>
          <t>Trauma</t>
        </is>
      </c>
      <c r="E33" s="24" t="inlineStr">
        <is>
          <t>Frequency and impact of anger reactions over the past 4 weeks, particularly after trauma.</t>
        </is>
      </c>
      <c r="F33" s="24" t="n">
        <v>5</v>
      </c>
      <c r="G33" s="24" t="inlineStr">
        <is>
          <t>Self report</t>
        </is>
      </c>
      <c r="H33" s="24" t="inlineStr">
        <is>
          <t>18+</t>
        </is>
      </c>
      <c r="I33" s="24" t="n">
        <v>1</v>
      </c>
      <c r="J33" s="24" t="inlineStr"/>
      <c r="K33" s="24" t="inlineStr">
        <is>
          <t>Not stated on page.</t>
        </is>
      </c>
      <c r="L33" s="24" t="inlineStr">
        <is>
          <t>Not stated on page; individual item scores described as informing treatment planning.</t>
        </is>
      </c>
      <c r="M33" s="24" t="inlineStr">
        <is>
          <t>Not stated on page (page cites DAR-5 psychometric papers only).</t>
        </is>
      </c>
      <c r="N33" s="24" t="inlineStr">
        <is>
          <t>None stated on page.</t>
        </is>
      </c>
      <c r="O33" s="24" t="inlineStr">
        <is>
          <t>not stated</t>
        </is>
      </c>
      <c r="P33" s="24" t="inlineStr">
        <is>
          <t>Shortlist: coaching and wellbeing (client facing possible)</t>
        </is>
      </c>
      <c r="Q33" s="24" t="inlineStr"/>
      <c r="R33" s="24" t="inlineStr"/>
      <c r="S33" s="24" t="inlineStr">
        <is>
          <t>Scoring and Interpretation, Psychometrics and Professional Access sections render client side and were empty in the fetched text. No instrument specific licence statement on page.</t>
        </is>
      </c>
      <c r="T33" s="24" t="inlineStr">
        <is>
          <t>https://novopsych.com/assessments/trauma/dar-5/</t>
        </is>
      </c>
    </row>
    <row r="34">
      <c r="A34" s="24" t="n">
        <v>33</v>
      </c>
      <c r="B34" s="24" t="inlineStr">
        <is>
          <t>Menopause Depression Rating Scale</t>
        </is>
      </c>
      <c r="C34" s="24" t="inlineStr">
        <is>
          <t>MENO-D</t>
        </is>
      </c>
      <c r="D34" s="24" t="inlineStr">
        <is>
          <t>Depression</t>
        </is>
      </c>
      <c r="E34" s="24" t="inlineStr">
        <is>
          <t>Depressive symptoms in perimenopausal women, including physical and psychological symptoms.</t>
        </is>
      </c>
      <c r="F34" s="24" t="n">
        <v>12</v>
      </c>
      <c r="G34" s="24" t="inlineStr">
        <is>
          <t>Self report (implied)</t>
        </is>
      </c>
      <c r="H34" s="24" t="inlineStr">
        <is>
          <t>40+</t>
        </is>
      </c>
      <c r="I34" s="24" t="n">
        <v>2</v>
      </c>
      <c r="J34" s="24" t="inlineStr">
        <is>
          <t>Self, Sexual, Somatic, Cognitive, Sleep</t>
        </is>
      </c>
      <c r="K34" s="24" t="inlineStr">
        <is>
          <t>Not stated on page.</t>
        </is>
      </c>
      <c r="L34" s="24" t="inlineStr">
        <is>
          <t>Total score indicates depression severity with a None to Minimal band; higher scores worse. High score on the self esteem item should prompt self harm risk assessment. No numeric cut offs in fetched text.</t>
        </is>
      </c>
      <c r="M34" s="24" t="inlineStr">
        <is>
          <t>Not stated as developer; page cites Kulkarni (2017) and Gibbs et al. (2015) as background.</t>
        </is>
      </c>
      <c r="N34" s="24" t="inlineStr">
        <is>
          <t>None stated on page.</t>
        </is>
      </c>
      <c r="O34" s="24" t="inlineStr">
        <is>
          <t>not stated</t>
        </is>
      </c>
      <c r="P34" s="24" t="inlineStr">
        <is>
          <t>Shortlist: screening or clinical (Sarah only if used)</t>
        </is>
      </c>
      <c r="Q34" s="24" t="inlineStr"/>
      <c r="R34" s="24" t="inlineStr"/>
      <c r="S34" s="24" t="inlineStr">
        <is>
          <t>Scoring and Interpretation, Psychometrics and Professional Access sections render client side and were empty in the fetched text. No instrument specific licence statement on page.</t>
        </is>
      </c>
      <c r="T34" s="24" t="inlineStr">
        <is>
          <t>https://novopsych.com/assessments/depression/meno-d/</t>
        </is>
      </c>
    </row>
    <row r="35">
      <c r="A35" s="24" t="n">
        <v>34</v>
      </c>
      <c r="B35" s="24" t="inlineStr">
        <is>
          <t>Pain Self-Efficacy Questionnaire</t>
        </is>
      </c>
      <c r="C35" s="24" t="inlineStr">
        <is>
          <t>PSEQ</t>
        </is>
      </c>
      <c r="D35" s="24" t="inlineStr">
        <is>
          <t>Health</t>
        </is>
      </c>
      <c r="E35" s="24" t="inlineStr">
        <is>
          <t>Confidence in performing activities despite ongoing pain.</t>
        </is>
      </c>
      <c r="F35" s="24" t="n">
        <v>10</v>
      </c>
      <c r="G35" s="24" t="inlineStr">
        <is>
          <t>Self report</t>
        </is>
      </c>
      <c r="H35" s="24" t="inlineStr">
        <is>
          <t>18+</t>
        </is>
      </c>
      <c r="I35" s="24" t="n">
        <v>2</v>
      </c>
      <c r="J35" s="24" t="inlineStr"/>
      <c r="K35" s="24" t="inlineStr">
        <is>
          <t>Not stated on page.</t>
        </is>
      </c>
      <c r="L35" s="24" t="inlineStr">
        <is>
          <t>Sum, range 0 to 60, higher is greater self efficacy. Bands: 40+ high, 18 to 29 moderate, 5 to 17 low, 0 to 4 very low; below 22 linked to higher daily opioid use; MCID 6.65 points.</t>
        </is>
      </c>
      <c r="M35" s="24" t="inlineStr">
        <is>
          <t>Nicholas (2007)</t>
        </is>
      </c>
      <c r="N35" s="24" t="inlineStr">
        <is>
          <t>None stated on page.</t>
        </is>
      </c>
      <c r="O35" s="24" t="inlineStr">
        <is>
          <t>not stated</t>
        </is>
      </c>
      <c r="P35" s="24" t="inlineStr">
        <is>
          <t>Shortlist: screening or clinical (Sarah only if used)</t>
        </is>
      </c>
      <c r="Q35" s="24" t="inlineStr"/>
      <c r="R35" s="24" t="inlineStr"/>
      <c r="S35" s="24" t="inlineStr">
        <is>
          <t>FAQ gives 2 to 3 minutes completion time. Scoring and Interpretation, Psychometrics and Professional Access sections render client side and were empty in the fetched text. No instrument specific licence statement on page.</t>
        </is>
      </c>
      <c r="T35" s="24" t="inlineStr">
        <is>
          <t>https://novopsych.com/assessments/health/pain-self-efficacy-questionnaire-pseq/</t>
        </is>
      </c>
    </row>
    <row r="36">
      <c r="A36" s="24" t="n">
        <v>35</v>
      </c>
      <c r="B36" s="24" t="inlineStr">
        <is>
          <t>Autism Treatment Evaluation Checklist</t>
        </is>
      </c>
      <c r="C36" s="24" t="inlineStr">
        <is>
          <t>ATEC</t>
        </is>
      </c>
      <c r="D36" s="24" t="inlineStr">
        <is>
          <t>Autism</t>
        </is>
      </c>
      <c r="E36" s="24" t="inlineStr">
        <is>
          <t>Change in autistic characteristics over time, including response to treatment.</t>
        </is>
      </c>
      <c r="F36" s="24" t="n"/>
      <c r="G36" s="24" t="inlineStr">
        <is>
          <t>Parent or caregiver report</t>
        </is>
      </c>
      <c r="H36" s="24" t="inlineStr">
        <is>
          <t>2+ (children and adults)</t>
        </is>
      </c>
      <c r="I36" s="24" t="n">
        <v>13</v>
      </c>
      <c r="J36" s="24" t="inlineStr">
        <is>
          <t>Speech/Language/Communication, Sociability, Sensory/Cognitive Awareness, Health/Physical/Behaviour</t>
        </is>
      </c>
      <c r="K36" s="24" t="inlineStr">
        <is>
          <t>Not stated on page.</t>
        </is>
      </c>
      <c r="L36" s="24" t="inlineStr">
        <is>
          <t>Percentile ranges generated per subscale; lower scores indicate fewer autistic characteristics and scores typically decrease with age. No cut offs stated.</t>
        </is>
      </c>
      <c r="M36" s="24" t="inlineStr">
        <is>
          <t>Not stated as developer; page cites Jarusiewicz (2002) and Magiati et al. (2011).</t>
        </is>
      </c>
      <c r="N36" s="24" t="inlineStr">
        <is>
          <t>None stated on page.</t>
        </is>
      </c>
      <c r="O36" s="24" t="inlineStr">
        <is>
          <t>not stated</t>
        </is>
      </c>
      <c r="P36" s="24" t="inlineStr">
        <is>
          <t>Out of scope for the hub (not self report)</t>
        </is>
      </c>
      <c r="Q36" s="24" t="inlineStr"/>
      <c r="R36" s="24" t="inlineStr"/>
      <c r="S36" s="24" t="inlineStr">
        <is>
          <t>Item count not in fetched text. Scoring and Interpretation, Psychometrics and Professional Access sections render client side and were empty in the fetched text. No instrument specific licence statement on page.</t>
        </is>
      </c>
      <c r="T36" s="24" t="inlineStr">
        <is>
          <t>https://novopsych.com/assessments/autism/autism-treatment-evaluation-checklist-atec/</t>
        </is>
      </c>
    </row>
    <row r="37">
      <c r="A37" s="24" t="n">
        <v>36</v>
      </c>
      <c r="B37" s="24" t="inlineStr">
        <is>
          <t>Death Anxiety Beliefs and Behaviours Scale</t>
        </is>
      </c>
      <c r="C37" s="24" t="inlineStr">
        <is>
          <t>DABBS</t>
        </is>
      </c>
      <c r="D37" s="24" t="inlineStr">
        <is>
          <t>Formulation</t>
        </is>
      </c>
      <c r="E37" s="24" t="inlineStr">
        <is>
          <t>Death anxiety, described as fears of death or dying, across affect, beliefs and behaviours.</t>
        </is>
      </c>
      <c r="F37" s="24" t="n">
        <v>18</v>
      </c>
      <c r="G37" s="24" t="inlineStr">
        <is>
          <t>Self report</t>
        </is>
      </c>
      <c r="H37" s="24" t="inlineStr">
        <is>
          <t>18+</t>
        </is>
      </c>
      <c r="I37" s="24" t="n">
        <v>3</v>
      </c>
      <c r="J37" s="24" t="inlineStr">
        <is>
          <t>Affect, Beliefs, Behaviours</t>
        </is>
      </c>
      <c r="K37" s="24" t="inlineStr">
        <is>
          <t>Not stated on page.</t>
        </is>
      </c>
      <c r="L37" s="24" t="inlineStr">
        <is>
          <t>Total score with clinical cut off of 55; minimally important difference of 7 points for monitoring change. Higher scores indicate greater death anxiety.</t>
        </is>
      </c>
      <c r="M37" s="24" t="inlineStr">
        <is>
          <t>Not stated on page; article author is Dr David Hegarty (NovoPsych).</t>
        </is>
      </c>
      <c r="N37" s="24" t="inlineStr">
        <is>
          <t>None stated on page.</t>
        </is>
      </c>
      <c r="O37" s="24" t="inlineStr">
        <is>
          <t>not stated</t>
        </is>
      </c>
      <c r="P37" s="24" t="inlineStr">
        <is>
          <t>Shortlist: coaching and wellbeing (client facing possible)</t>
        </is>
      </c>
      <c r="Q37" s="24" t="inlineStr"/>
      <c r="R37" s="24" t="inlineStr"/>
      <c r="S37" s="24" t="inlineStr">
        <is>
          <t>Scoring and Interpretation, Psychometrics and Professional Access sections render client side and were empty in the fetched text. No instrument specific licence statement on page.</t>
        </is>
      </c>
      <c r="T37" s="24" t="inlineStr">
        <is>
          <t>https://novopsych.com/assessments/formulation/death-anxiety-beliefs-and-behaviours-scale-dabbs/</t>
        </is>
      </c>
    </row>
    <row r="38">
      <c r="A38" s="24" t="n">
        <v>37</v>
      </c>
      <c r="B38" s="24" t="inlineStr">
        <is>
          <t>Couples Satisfaction Index 16</t>
        </is>
      </c>
      <c r="C38" s="24" t="inlineStr">
        <is>
          <t>CSI-16</t>
        </is>
      </c>
      <c r="D38" s="24" t="inlineStr">
        <is>
          <t>Well-being</t>
        </is>
      </c>
      <c r="E38" s="24" t="inlineStr">
        <is>
          <t>Romantic relationship satisfaction and functioning.</t>
        </is>
      </c>
      <c r="F38" s="24" t="n">
        <v>16</v>
      </c>
      <c r="G38" s="24" t="inlineStr">
        <is>
          <t>Self report (one or both partners separately)</t>
        </is>
      </c>
      <c r="H38" s="24" t="inlineStr">
        <is>
          <t>18+</t>
        </is>
      </c>
      <c r="I38" s="24" t="n">
        <v>3</v>
      </c>
      <c r="J38" s="24" t="inlineStr"/>
      <c r="K38" s="24" t="inlineStr">
        <is>
          <t>Not stated on page.</t>
        </is>
      </c>
      <c r="L38" s="24" t="inlineStr">
        <is>
          <t>Total score, higher is greater satisfaction; clinical cut off 51.5 with scores below indicating relationship distress; reliable change approximately 8 to 10 points.</t>
        </is>
      </c>
      <c r="M38" s="24" t="inlineStr">
        <is>
          <t>Funk, J. L., &amp; Rogge, R. D. (2007). Journal of Family Psychology, 21(4), 572 to 583. doi:10.1037/0893-3200.21.4.572</t>
        </is>
      </c>
      <c r="N38" s="24" t="inlineStr">
        <is>
          <t>© 2026 Copyright – NovoPsych – All rights reserved (site footer only)</t>
        </is>
      </c>
      <c r="O38" s="24" t="inlineStr">
        <is>
          <t>not stated</t>
        </is>
      </c>
      <c r="P38" s="24" t="inlineStr">
        <is>
          <t>Shortlist: coaching and wellbeing (client facing possible)</t>
        </is>
      </c>
      <c r="Q38" s="24" t="inlineStr"/>
      <c r="R38" s="24" t="inlineStr"/>
      <c r="S38" s="24" t="inlineStr">
        <is>
          <t>PDF download offered without stated licence. Scoring and Interpretation, Psychometrics and Professional Access sections render client side and were empty in the fetched text. No instrument specific licence statement on page.</t>
        </is>
      </c>
      <c r="T38" s="24" t="inlineStr">
        <is>
          <t>https://novopsych.com/assessments/well-being/couples-satisfaction-index-csi-16/</t>
        </is>
      </c>
    </row>
    <row r="39">
      <c r="A39" s="24" t="n">
        <v>38</v>
      </c>
      <c r="B39" s="24" t="inlineStr">
        <is>
          <t>State Difficulties in Emotion Regulation Scale</t>
        </is>
      </c>
      <c r="C39" s="24" t="inlineStr">
        <is>
          <t>S-DERS</t>
        </is>
      </c>
      <c r="D39" s="24" t="inlineStr">
        <is>
          <t>Formulation</t>
        </is>
      </c>
      <c r="E39" s="24" t="inlineStr">
        <is>
          <t>Momentary (state) difficulties in emotion regulation across 4 dimensions.</t>
        </is>
      </c>
      <c r="F39" s="24" t="n"/>
      <c r="G39" s="24" t="inlineStr">
        <is>
          <t>Self report</t>
        </is>
      </c>
      <c r="H39" s="24" t="inlineStr">
        <is>
          <t>18+</t>
        </is>
      </c>
      <c r="I39" s="24" t="n">
        <v>4</v>
      </c>
      <c r="J39" s="24" t="inlineStr">
        <is>
          <t>Nonacceptance, Modulate, Awareness, Clarity</t>
        </is>
      </c>
      <c r="K39" s="24" t="inlineStr">
        <is>
          <t>5 point, 1 Not at all to 5 Completely, rated for right now</t>
        </is>
      </c>
      <c r="L39" s="24" t="inlineStr">
        <is>
          <t>Not stated on page.</t>
        </is>
      </c>
      <c r="M39" s="24" t="inlineStr">
        <is>
          <t>Not stated on page.</t>
        </is>
      </c>
      <c r="N39" s="24" t="inlineStr">
        <is>
          <t>None stated on page.</t>
        </is>
      </c>
      <c r="O39" s="24" t="inlineStr">
        <is>
          <t>not stated</t>
        </is>
      </c>
      <c r="P39" s="24" t="inlineStr">
        <is>
          <t>Shortlist: coaching and wellbeing (client facing possible)</t>
        </is>
      </c>
      <c r="Q39" s="24" t="inlineStr"/>
      <c r="R39" s="24" t="inlineStr"/>
      <c r="S39" s="24" t="inlineStr">
        <is>
          <t>Item count not in fetched text. Scoring and Interpretation, Psychometrics and Professional Access sections render client side and were empty in the fetched text. No instrument specific licence statement on page.</t>
        </is>
      </c>
      <c r="T39" s="24" t="inlineStr">
        <is>
          <t>https://novopsych.com/assessments/formulation/state-difficulties-in-emotion-regulation-scale-s-ders/</t>
        </is>
      </c>
    </row>
    <row r="40">
      <c r="A40" s="24" t="n">
        <v>39</v>
      </c>
      <c r="B40" s="24" t="inlineStr">
        <is>
          <t>Ten Item Personality Inventory</t>
        </is>
      </c>
      <c r="C40" s="24" t="inlineStr">
        <is>
          <t>TIPI</t>
        </is>
      </c>
      <c r="D40" s="24" t="inlineStr">
        <is>
          <t>Personality</t>
        </is>
      </c>
      <c r="E40" s="24" t="inlineStr">
        <is>
          <t>Brief measure of the Big Five personality domains.</t>
        </is>
      </c>
      <c r="F40" s="24" t="n">
        <v>10</v>
      </c>
      <c r="G40" s="24" t="inlineStr">
        <is>
          <t>Self report</t>
        </is>
      </c>
      <c r="H40" s="24" t="inlineStr">
        <is>
          <t>18+</t>
        </is>
      </c>
      <c r="I40" s="24" t="n">
        <v>2</v>
      </c>
      <c r="J40" s="24" t="inlineStr">
        <is>
          <t>Extraversion, Agreeableness, Conscientiousness, Emotional Stability, Openness to Experience</t>
        </is>
      </c>
      <c r="K40" s="24" t="inlineStr">
        <is>
          <t>7 point agreement scale; anchor labels not given on page</t>
        </is>
      </c>
      <c r="L40" s="24" t="inlineStr">
        <is>
          <t>Each domain is the mean of its 2 items (range 1 to 7), higher is more of the trait; reported as percentile ranks against norms, no cut offs.</t>
        </is>
      </c>
      <c r="M40" s="24" t="inlineStr">
        <is>
          <t>Gosling et al. (2003)</t>
        </is>
      </c>
      <c r="N40" s="24" t="inlineStr">
        <is>
          <t>None stated on page.</t>
        </is>
      </c>
      <c r="O40" s="24" t="inlineStr">
        <is>
          <t>not stated</t>
        </is>
      </c>
      <c r="P40" s="24" t="inlineStr">
        <is>
          <t>Shortlist: coaching and wellbeing (client facing possible)</t>
        </is>
      </c>
      <c r="Q40" s="24" t="inlineStr"/>
      <c r="R40" s="24" t="inlineStr"/>
      <c r="S40" s="24" t="inlineStr">
        <is>
          <t>Scoring and Interpretation, Psychometrics and Professional Access sections render client side and were empty in the fetched text. No instrument specific licence statement on page.</t>
        </is>
      </c>
      <c r="T40" s="24" t="inlineStr">
        <is>
          <t>https://novopsych.com/personality/ten-item-personality-inventory-tipi/</t>
        </is>
      </c>
    </row>
    <row r="41">
      <c r="A41" s="24" t="n">
        <v>40</v>
      </c>
      <c r="B41" s="24" t="inlineStr">
        <is>
          <t>Perfectionistic Cognitions Inventory</t>
        </is>
      </c>
      <c r="C41" s="24" t="inlineStr">
        <is>
          <t>PCI</t>
        </is>
      </c>
      <c r="D41" s="24" t="inlineStr">
        <is>
          <t>Formulation, Adolescent</t>
        </is>
      </c>
      <c r="E41" s="24" t="inlineStr">
        <is>
          <t>Frequency of automatic perfectionistic thoughts, including self critical thinking.</t>
        </is>
      </c>
      <c r="F41" s="24" t="n"/>
      <c r="G41" s="24" t="inlineStr">
        <is>
          <t>Self report (implied)</t>
        </is>
      </c>
      <c r="H41" s="24" t="inlineStr">
        <is>
          <t>15+</t>
        </is>
      </c>
      <c r="I41" s="24" t="n">
        <v>4</v>
      </c>
      <c r="J41" s="24" t="inlineStr"/>
      <c r="K41" s="24" t="inlineStr">
        <is>
          <t>Not stated on page.</t>
        </is>
      </c>
      <c r="L41" s="24" t="inlineStr">
        <is>
          <t>Not stated on page.</t>
        </is>
      </c>
      <c r="M41" s="24" t="inlineStr">
        <is>
          <t>Not stated as developer; page cites Flett et al. (1998, 2007).</t>
        </is>
      </c>
      <c r="N41" s="24" t="inlineStr">
        <is>
          <t>None stated on page.</t>
        </is>
      </c>
      <c r="O41" s="24" t="inlineStr">
        <is>
          <t>not stated</t>
        </is>
      </c>
      <c r="P41" s="24" t="inlineStr">
        <is>
          <t>Already in codebook</t>
        </is>
      </c>
      <c r="Q41" s="24" t="inlineStr"/>
      <c r="R41" s="24" t="inlineStr"/>
      <c r="S41" s="24" t="inlineStr">
        <is>
          <t>Item count not in fetched text. Scoring and Interpretation, Psychometrics and Professional Access sections render client side and were empty in the fetched text. No instrument specific licence statement on page.</t>
        </is>
      </c>
      <c r="T41" s="24" t="inlineStr">
        <is>
          <t>https://novopsych.com/assessments/formulation/perfectionistic-cognitions-inventory-pci/</t>
        </is>
      </c>
    </row>
    <row r="42">
      <c r="A42" s="24" t="n">
        <v>41</v>
      </c>
      <c r="B42" s="24" t="inlineStr">
        <is>
          <t>Phobic Stimuli Response Scale</t>
        </is>
      </c>
      <c r="C42" s="24" t="inlineStr">
        <is>
          <t>PSRS</t>
        </is>
      </c>
      <c r="D42" s="24" t="inlineStr">
        <is>
          <t>Anxiety, Clinician self assessment</t>
        </is>
      </c>
      <c r="E42" s="24" t="inlineStr">
        <is>
          <t>Fear responses across 5 specific phobia subtypes, covering cognitive and emotional components.</t>
        </is>
      </c>
      <c r="F42" s="24" t="n"/>
      <c r="G42" s="24" t="inlineStr">
        <is>
          <t>Self report</t>
        </is>
      </c>
      <c r="H42" s="24" t="inlineStr">
        <is>
          <t>18+</t>
        </is>
      </c>
      <c r="I42" s="24" t="n">
        <v>8</v>
      </c>
      <c r="J42" s="24" t="inlineStr">
        <is>
          <t>Blood-injection (only subtype named in fetched text; 5 subtypes in total)</t>
        </is>
      </c>
      <c r="K42" s="24" t="inlineStr">
        <is>
          <t>Not stated on page.</t>
        </is>
      </c>
      <c r="L42" s="24" t="inlineStr">
        <is>
          <t>Not stated on page.</t>
        </is>
      </c>
      <c r="M42" s="24" t="inlineStr">
        <is>
          <t>Cutshall and Watson (2004)</t>
        </is>
      </c>
      <c r="N42" s="24" t="inlineStr">
        <is>
          <t>None stated on page.</t>
        </is>
      </c>
      <c r="O42" s="24" t="inlineStr">
        <is>
          <t>not stated</t>
        </is>
      </c>
      <c r="P42" s="24" t="inlineStr">
        <is>
          <t>Out of scope for the hub (child, adolescent, sport, eating, clinician or service feedback)</t>
        </is>
      </c>
      <c r="Q42" s="24" t="inlineStr"/>
      <c r="R42" s="24" t="inlineStr"/>
      <c r="S42" s="24" t="inlineStr">
        <is>
          <t>Item count and full subscale list not in fetched text. Scoring and Interpretation, Psychometrics and Professional Access sections render client side and were empty in the fetched text. No instrument specific licence statement on page.</t>
        </is>
      </c>
      <c r="T42" s="24" t="inlineStr">
        <is>
          <t>https://novopsych.com/assessments/anxiety/phobic-stimuli-response-scale-psrs/</t>
        </is>
      </c>
    </row>
    <row r="43">
      <c r="A43" s="24" t="n">
        <v>42</v>
      </c>
      <c r="B43" s="24" t="inlineStr">
        <is>
          <t>Herth Hope Index</t>
        </is>
      </c>
      <c r="C43" s="24" t="inlineStr">
        <is>
          <t>HHI</t>
        </is>
      </c>
      <c r="D43" s="24" t="inlineStr">
        <is>
          <t>Well-being</t>
        </is>
      </c>
      <c r="E43" s="24" t="inlineStr">
        <is>
          <t>Levels of hope and change in hope over time in adults experiencing illness.</t>
        </is>
      </c>
      <c r="F43" s="24" t="n">
        <v>12</v>
      </c>
      <c r="G43" s="24" t="inlineStr">
        <is>
          <t>Self report</t>
        </is>
      </c>
      <c r="H43" s="24" t="inlineStr">
        <is>
          <t>18+</t>
        </is>
      </c>
      <c r="I43" s="24" t="n">
        <v>2</v>
      </c>
      <c r="J43" s="24" t="inlineStr">
        <is>
          <t>Temporality and future, Positive readiness and expectancy, Interconnectedness</t>
        </is>
      </c>
      <c r="K43" s="24" t="inlineStr">
        <is>
          <t>Not stated on page.</t>
        </is>
      </c>
      <c r="L43" s="24" t="inlineStr">
        <is>
          <t>Not stated on page.</t>
        </is>
      </c>
      <c r="M43" s="24" t="inlineStr">
        <is>
          <t>Herth, K. (1992). Journal of Advanced Nursing, 17(10), 1251 to 1259. doi:10.1111/j.1365-2648.1992.tb01843.x</t>
        </is>
      </c>
      <c r="N43" s="24" t="inlineStr">
        <is>
          <t>© 2026 Copyright – NovoPsych – All rights reserved (site footer only)</t>
        </is>
      </c>
      <c r="O43" s="24" t="inlineStr">
        <is>
          <t>not stated</t>
        </is>
      </c>
      <c r="P43" s="24" t="inlineStr">
        <is>
          <t>Shortlist: coaching and wellbeing (client facing possible)</t>
        </is>
      </c>
      <c r="Q43" s="24" t="inlineStr"/>
      <c r="R43" s="24" t="inlineStr"/>
      <c r="S43" s="24" t="inlineStr">
        <is>
          <t>Subscale names inferred from dimensions mentioned in text; not formally listed. PDF offered without stated licence. Scoring and Interpretation, Psychometrics and Professional Access sections render client side and were empty in the fetched text. No instrument specific licence statement on page.</t>
        </is>
      </c>
      <c r="T43" s="24" t="inlineStr">
        <is>
          <t>https://novopsych.com/assessments/well-being/herth-hope-index-hhi/</t>
        </is>
      </c>
    </row>
    <row r="44">
      <c r="A44" s="24" t="n">
        <v>43</v>
      </c>
      <c r="B44" s="24" t="inlineStr">
        <is>
          <t>Drug Use Disorders Identification Test</t>
        </is>
      </c>
      <c r="C44" s="24" t="inlineStr">
        <is>
          <t>DUDIT</t>
        </is>
      </c>
      <c r="D44" s="24" t="inlineStr">
        <is>
          <t>Addiction</t>
        </is>
      </c>
      <c r="E44" s="24" t="inlineStr">
        <is>
          <t>Drug involvement including frequency of use, dependence symptoms and drug related problems.</t>
        </is>
      </c>
      <c r="F44" s="24" t="n"/>
      <c r="G44" s="24" t="inlineStr">
        <is>
          <t>Self report</t>
        </is>
      </c>
      <c r="H44" s="24" t="inlineStr">
        <is>
          <t>18+</t>
        </is>
      </c>
      <c r="I44" s="24" t="n">
        <v>2</v>
      </c>
      <c r="J44" s="24" t="inlineStr"/>
      <c r="K44" s="24" t="inlineStr">
        <is>
          <t>Not stated on page.</t>
        </is>
      </c>
      <c r="L44" s="24" t="inlineStr">
        <is>
          <t>Sum, range 0 to 44, higher is more drug related problems. Cut offs: men 6+ and women 2+ indicate probable drug related problems; 25+ indicates probable dependence.</t>
        </is>
      </c>
      <c r="M44" s="24" t="inlineStr">
        <is>
          <t>Not stated on page.</t>
        </is>
      </c>
      <c r="N44" s="24" t="inlineStr">
        <is>
          <t>None stated on page.</t>
        </is>
      </c>
      <c r="O44" s="24" t="inlineStr">
        <is>
          <t>not stated</t>
        </is>
      </c>
      <c r="P44" s="24" t="inlineStr">
        <is>
          <t>Shortlist: screening or clinical (Sarah only if used)</t>
        </is>
      </c>
      <c r="Q44" s="24" t="inlineStr"/>
      <c r="R44" s="24" t="inlineStr"/>
      <c r="S44" s="24" t="inlineStr">
        <is>
          <t>Item count not in fetched text (DUDIT is understood to have 11 items). FAQ gives 5 to 10 minutes. Scoring and Interpretation, Psychometrics and Professional Access sections render client side and were empty in the fetched text. No instrument specific licence statement on page.</t>
        </is>
      </c>
      <c r="T44" s="24" t="inlineStr">
        <is>
          <t>https://novopsych.com/assessments/addiction/drug-use-disorders-identification-test-dudit/</t>
        </is>
      </c>
    </row>
    <row r="45">
      <c r="A45" s="24" t="n">
        <v>44</v>
      </c>
      <c r="B45" s="24" t="inlineStr">
        <is>
          <t>Brief Resilience Scale</t>
        </is>
      </c>
      <c r="C45" s="24" t="inlineStr">
        <is>
          <t>BRS</t>
        </is>
      </c>
      <c r="D45" s="24" t="inlineStr">
        <is>
          <t>Formulation</t>
        </is>
      </c>
      <c r="E45" s="24" t="inlineStr">
        <is>
          <t>Ability to bounce back or recover from stress and adversity.</t>
        </is>
      </c>
      <c r="F45" s="24" t="n">
        <v>6</v>
      </c>
      <c r="G45" s="24" t="inlineStr">
        <is>
          <t>Self report</t>
        </is>
      </c>
      <c r="H45" s="24" t="inlineStr">
        <is>
          <t>18+</t>
        </is>
      </c>
      <c r="I45" s="24" t="n">
        <v>1</v>
      </c>
      <c r="J45" s="24" t="inlineStr"/>
      <c r="K45" s="24" t="inlineStr">
        <is>
          <t>Not stated on page.</t>
        </is>
      </c>
      <c r="L45" s="24" t="inlineStr">
        <is>
          <t>Not stated on page.</t>
        </is>
      </c>
      <c r="M45" s="24" t="inlineStr">
        <is>
          <t>Smith et al. (2008)</t>
        </is>
      </c>
      <c r="N45" s="24" t="inlineStr">
        <is>
          <t>None stated on page.</t>
        </is>
      </c>
      <c r="O45" s="24" t="inlineStr">
        <is>
          <t>not stated</t>
        </is>
      </c>
      <c r="P45" s="24" t="inlineStr">
        <is>
          <t>Shortlist: coaching and wellbeing (client facing possible)</t>
        </is>
      </c>
      <c r="Q45" s="24" t="inlineStr"/>
      <c r="R45" s="24" t="inlineStr"/>
      <c r="S45" s="24" t="inlineStr">
        <is>
          <t>Scoring and Interpretation, Psychometrics and Professional Access sections render client side and were empty in the fetched text. No instrument specific licence statement on page.</t>
        </is>
      </c>
      <c r="T45" s="24" t="inlineStr">
        <is>
          <t>https://novopsych.com/assessments/formulation/brief-resilience-scale/</t>
        </is>
      </c>
    </row>
    <row r="46">
      <c r="A46" s="24" t="n">
        <v>45</v>
      </c>
      <c r="B46" s="24" t="inlineStr">
        <is>
          <t>Life Orientation Test Revised</t>
        </is>
      </c>
      <c r="C46" s="24" t="inlineStr">
        <is>
          <t>LOT-R</t>
        </is>
      </c>
      <c r="D46" s="24" t="inlineStr">
        <is>
          <t>Formulation</t>
        </is>
      </c>
      <c r="E46" s="24" t="inlineStr">
        <is>
          <t>Dispositional optimism, as generalised positive expectancies about future outcomes.</t>
        </is>
      </c>
      <c r="F46" s="24" t="n">
        <v>10</v>
      </c>
      <c r="G46" s="24" t="inlineStr">
        <is>
          <t>Self report</t>
        </is>
      </c>
      <c r="H46" s="24" t="inlineStr">
        <is>
          <t>14+</t>
        </is>
      </c>
      <c r="I46" s="24" t="n">
        <v>2</v>
      </c>
      <c r="J46" s="24" t="inlineStr">
        <is>
          <t>Optimism, Pessimism</t>
        </is>
      </c>
      <c r="K46" s="24" t="inlineStr">
        <is>
          <t>Not stated on page.</t>
        </is>
      </c>
      <c r="L46" s="24" t="inlineStr">
        <is>
          <t>Method not stated. Percentile guidance: below 30th percentile (under 13) may indicate problematic pessimism; above 75th percentile (over 19) indicates high optimism.</t>
        </is>
      </c>
      <c r="M46" s="24" t="inlineStr">
        <is>
          <t>Scheier, Carver, &amp; Bridges (1994); original LOT Scheier &amp; Carver (1985).</t>
        </is>
      </c>
      <c r="N46" s="24" t="inlineStr">
        <is>
          <t>None stated on page.</t>
        </is>
      </c>
      <c r="O46" s="24" t="inlineStr">
        <is>
          <t>not stated</t>
        </is>
      </c>
      <c r="P46" s="24" t="inlineStr">
        <is>
          <t>Shortlist: coaching and wellbeing (client facing possible)</t>
        </is>
      </c>
      <c r="Q46" s="24" t="inlineStr"/>
      <c r="R46" s="24" t="inlineStr"/>
      <c r="S46" s="24" t="inlineStr">
        <is>
          <t>Scoring and Interpretation, Psychometrics and Professional Access sections render client side and were empty in the fetched text. No instrument specific licence statement on page.</t>
        </is>
      </c>
      <c r="T46" s="24" t="inlineStr">
        <is>
          <t>https://novopsych.com/assessments/formulation/life-orientation-test-revised/</t>
        </is>
      </c>
    </row>
    <row r="47">
      <c r="A47" s="24" t="n">
        <v>46</v>
      </c>
      <c r="B47" s="24" t="inlineStr">
        <is>
          <t>Athlete Psychological Strain Questionnaire</t>
        </is>
      </c>
      <c r="C47" s="24" t="inlineStr">
        <is>
          <t>APSQ</t>
        </is>
      </c>
      <c r="D47" s="24" t="inlineStr">
        <is>
          <t>Sport</t>
        </is>
      </c>
      <c r="E47" s="24" t="inlineStr">
        <is>
          <t>Psychological distress and strain in elite athletes.</t>
        </is>
      </c>
      <c r="F47" s="24" t="n">
        <v>10</v>
      </c>
      <c r="G47" s="24" t="inlineStr">
        <is>
          <t>Self report</t>
        </is>
      </c>
      <c r="H47" s="24" t="inlineStr">
        <is>
          <t>18+</t>
        </is>
      </c>
      <c r="I47" s="24" t="n">
        <v>2</v>
      </c>
      <c r="J47" s="24" t="inlineStr">
        <is>
          <t>Self-Regulation, Performance, External Coping</t>
        </is>
      </c>
      <c r="K47" s="24" t="inlineStr">
        <is>
          <t>Not stated on page.</t>
        </is>
      </c>
      <c r="L47" s="24" t="inlineStr">
        <is>
          <t>Not stated on page.</t>
        </is>
      </c>
      <c r="M47" s="24" t="inlineStr">
        <is>
          <t>Rice, S.M., et al. (2020). International Journal of Sport and Exercise Psychology, 18(6), 850 to 865. doi:10.1080/1612197X.2019.1611900</t>
        </is>
      </c>
      <c r="N47" s="24" t="inlineStr">
        <is>
          <t>© 2026 Copyright – NovoPsych – All rights reserved (site footer only)</t>
        </is>
      </c>
      <c r="O47" s="24" t="inlineStr">
        <is>
          <t>not stated</t>
        </is>
      </c>
      <c r="P47" s="24" t="inlineStr">
        <is>
          <t>Out of scope for the hub (child, adolescent, sport, eating, clinician or service feedback)</t>
        </is>
      </c>
      <c r="Q47" s="24" t="inlineStr"/>
      <c r="R47" s="24" t="inlineStr"/>
      <c r="S47" s="24" t="inlineStr">
        <is>
          <t>PDF offered without stated licence. Scoring and Interpretation, Psychometrics and Professional Access sections render client side and were empty in the fetched text. No instrument specific licence statement on page.</t>
        </is>
      </c>
      <c r="T47" s="24" t="inlineStr">
        <is>
          <t>https://novopsych.com/assessments/sport-assessments/athlete-psychological-strain-questionnaire/</t>
        </is>
      </c>
    </row>
    <row r="48">
      <c r="A48" s="24" t="n">
        <v>47</v>
      </c>
      <c r="B48" s="24" t="inlineStr">
        <is>
          <t>Strengths and Stressors</t>
        </is>
      </c>
      <c r="C48" s="24" t="inlineStr">
        <is>
          <t>SAS</t>
        </is>
      </c>
      <c r="D48" s="24" t="inlineStr">
        <is>
          <t>Child</t>
        </is>
      </c>
      <c r="E48" s="24" t="inlineStr">
        <is>
          <t>Family functioning and child psychosocial wellbeing in child protection settings.</t>
        </is>
      </c>
      <c r="F48" s="24" t="n">
        <v>56</v>
      </c>
      <c r="G48" s="24" t="inlineStr">
        <is>
          <t>Clinician rated</t>
        </is>
      </c>
      <c r="H48" s="24" t="inlineStr">
        <is>
          <t>1 to 17 years</t>
        </is>
      </c>
      <c r="I48" s="24" t="n">
        <v>3</v>
      </c>
      <c r="J48" s="24" t="inlineStr">
        <is>
          <t>Environment, Social Support, Parental Capabilities, Family Interactions, Family Safety, Child Well-Being</t>
        </is>
      </c>
      <c r="K48" s="24" t="inlineStr">
        <is>
          <t>Bidirectional 6 point, -3 serious stressor to +2 clear strength</t>
        </is>
      </c>
      <c r="L48" s="24" t="inlineStr">
        <is>
          <t>Not stated on page.</t>
        </is>
      </c>
      <c r="M48" s="24" t="inlineStr">
        <is>
          <t>Berry et al. (2003)</t>
        </is>
      </c>
      <c r="N48" s="24" t="inlineStr">
        <is>
          <t>None stated on page.</t>
        </is>
      </c>
      <c r="O48" s="24" t="inlineStr">
        <is>
          <t>not stated</t>
        </is>
      </c>
      <c r="P48" s="24" t="inlineStr">
        <is>
          <t>Out of scope for the hub (child, adolescent, sport, eating, clinician or service feedback)</t>
        </is>
      </c>
      <c r="Q48" s="24" t="inlineStr"/>
      <c r="R48" s="24" t="inlineStr"/>
      <c r="S48" s="24" t="inlineStr">
        <is>
          <t>Scoring and Interpretation, Psychometrics and Professional Access sections render client side and were empty in the fetched text. No instrument specific licence statement on page.</t>
        </is>
      </c>
      <c r="T48" s="24" t="inlineStr">
        <is>
          <t>https://novopsych.com/assessments/child/strengths-and-stressors/</t>
        </is>
      </c>
    </row>
    <row r="49">
      <c r="A49" s="24" t="n">
        <v>48</v>
      </c>
      <c r="B49" s="24" t="inlineStr">
        <is>
          <t>UPPS-P Impulsive Behavior Scale</t>
        </is>
      </c>
      <c r="C49" s="24" t="inlineStr">
        <is>
          <t>UPPS-P</t>
        </is>
      </c>
      <c r="D49" s="24" t="inlineStr">
        <is>
          <t>ADHD, Adolescent, Formulation</t>
        </is>
      </c>
      <c r="E49" s="24" t="inlineStr">
        <is>
          <t>Multidimensional impulsive personality traits.</t>
        </is>
      </c>
      <c r="F49" s="24" t="n">
        <v>59</v>
      </c>
      <c r="G49" s="24" t="inlineStr">
        <is>
          <t>Self report</t>
        </is>
      </c>
      <c r="H49" s="24" t="inlineStr">
        <is>
          <t>13+</t>
        </is>
      </c>
      <c r="I49" s="24" t="n">
        <v>10</v>
      </c>
      <c r="J49" s="24" t="inlineStr">
        <is>
          <t>Negative Urgency, Positive Urgency, Lack of Premeditation, Lack of Perseverance, Sensation Seeking</t>
        </is>
      </c>
      <c r="K49" s="24" t="inlineStr">
        <is>
          <t>Not stated on page.</t>
        </is>
      </c>
      <c r="L49" s="24" t="inlineStr">
        <is>
          <t>Not stated on page.</t>
        </is>
      </c>
      <c r="M49" s="24" t="inlineStr">
        <is>
          <t>Cyders et al. (2007); original UPPS Whiteside &amp; Lynam (2001).</t>
        </is>
      </c>
      <c r="N49" s="24" t="inlineStr">
        <is>
          <t>None stated on page.</t>
        </is>
      </c>
      <c r="O49" s="24" t="inlineStr">
        <is>
          <t>not stated</t>
        </is>
      </c>
      <c r="P49" s="24" t="inlineStr">
        <is>
          <t>Out of scope for the hub (child, adolescent, sport, eating, clinician or service feedback)</t>
        </is>
      </c>
      <c r="Q49" s="24" t="inlineStr"/>
      <c r="R49" s="24" t="inlineStr"/>
      <c r="S49" s="24" t="inlineStr">
        <is>
          <t>Scoring and Interpretation, Psychometrics and Professional Access sections render client side and were empty in the fetched text. No instrument specific licence statement on page.</t>
        </is>
      </c>
      <c r="T49" s="24" t="inlineStr">
        <is>
          <t>https://novopsych.com/adhd/upps-p-impulsive-behavior-scale-upps-p/</t>
        </is>
      </c>
    </row>
    <row r="50">
      <c r="A50" s="24" t="n">
        <v>49</v>
      </c>
      <c r="B50" s="24" t="inlineStr">
        <is>
          <t>Protective Factors of Resilience Scale</t>
        </is>
      </c>
      <c r="C50" s="24" t="inlineStr">
        <is>
          <t>PFRS</t>
        </is>
      </c>
      <c r="D50" s="24" t="inlineStr">
        <is>
          <t>Formulation</t>
        </is>
      </c>
      <c r="E50" s="24" t="inlineStr">
        <is>
          <t>Personal, family and peer protective factors supporting resilience.</t>
        </is>
      </c>
      <c r="F50" s="24" t="n">
        <v>15</v>
      </c>
      <c r="G50" s="24" t="inlineStr">
        <is>
          <t>Self report</t>
        </is>
      </c>
      <c r="H50" s="24" t="inlineStr">
        <is>
          <t>16+</t>
        </is>
      </c>
      <c r="I50" s="24" t="n">
        <v>2</v>
      </c>
      <c r="J50" s="24" t="inlineStr">
        <is>
          <t>Personal Resources, Family Resources, Peer Resources</t>
        </is>
      </c>
      <c r="K50" s="24" t="inlineStr">
        <is>
          <t>Not stated on page.</t>
        </is>
      </c>
      <c r="L50" s="24" t="inlineStr">
        <is>
          <t>Method not stated. Percentile interpretation: top 30 percent indicates greater resources, bottom 30 percent indicates areas to build; no numeric cut offs.</t>
        </is>
      </c>
      <c r="M50" s="24" t="inlineStr">
        <is>
          <t>Harms et al. (2017)</t>
        </is>
      </c>
      <c r="N50" s="24" t="inlineStr">
        <is>
          <t>None stated on page.</t>
        </is>
      </c>
      <c r="O50" s="24" t="inlineStr">
        <is>
          <t>not stated</t>
        </is>
      </c>
      <c r="P50" s="24" t="inlineStr">
        <is>
          <t>Shortlist: coaching and wellbeing (client facing possible)</t>
        </is>
      </c>
      <c r="Q50" s="24" t="inlineStr"/>
      <c r="R50" s="24" t="inlineStr"/>
      <c r="S50" s="24" t="inlineStr">
        <is>
          <t>Scoring and Interpretation, Psychometrics and Professional Access sections render client side and were empty in the fetched text. No instrument specific licence statement on page.</t>
        </is>
      </c>
      <c r="T50" s="24" t="inlineStr">
        <is>
          <t>https://novopsych.com/assessments/formulation/protective-factors-of-resilience-scale/</t>
        </is>
      </c>
    </row>
    <row r="51">
      <c r="A51" s="24" t="n">
        <v>50</v>
      </c>
      <c r="B51" s="24" t="inlineStr">
        <is>
          <t>Brief Hierarchical Taxonomy of Psychopathology</t>
        </is>
      </c>
      <c r="C51" s="24" t="inlineStr">
        <is>
          <t>B-HiTOP</t>
        </is>
      </c>
      <c r="D51" s="24" t="inlineStr">
        <is>
          <t>Formulation</t>
        </is>
      </c>
      <c r="E51" s="24" t="inlineStr">
        <is>
          <t>Dimensional screening across the hierarchical spectra of psychopathology in adults.</t>
        </is>
      </c>
      <c r="F51" s="24" t="n">
        <v>45</v>
      </c>
      <c r="G51" s="24" t="inlineStr">
        <is>
          <t>Self report</t>
        </is>
      </c>
      <c r="H51" s="24" t="inlineStr">
        <is>
          <t>18+</t>
        </is>
      </c>
      <c r="I51" s="24" t="n">
        <v>8</v>
      </c>
      <c r="J51" s="24" t="inlineStr">
        <is>
          <t>Internalising, Somatoform, Detachment, Thought Disorder, Disinhibition, Antagonism, p-Factor, Externalising</t>
        </is>
      </c>
      <c r="K51" s="24" t="inlineStr">
        <is>
          <t>Not stated on page.</t>
        </is>
      </c>
      <c r="L51" s="24" t="inlineStr">
        <is>
          <t>Dimensional; higher scores indicate greater severity within each spectrum. Sum or mean not stated; no cut offs.</t>
        </is>
      </c>
      <c r="M51" s="24" t="inlineStr">
        <is>
          <t>HiTOP Consortium. (2025). B-HiTOP Overview. https://www.hitop-system.org/hitop-self-report-measures</t>
        </is>
      </c>
      <c r="N51" s="24" t="inlineStr">
        <is>
          <t>© 2026 Copyright – NovoPsych – All rights reserved (site footer). HiTOP model figure: "Taken from: https://www.hitop-system.org/current-model and licensed under CC BY 4.0."</t>
        </is>
      </c>
      <c r="O51" s="24" t="inlineStr">
        <is>
          <t>not stated</t>
        </is>
      </c>
      <c r="P51" s="24" t="inlineStr">
        <is>
          <t>Shortlist: screening or clinical (Sarah only if used)</t>
        </is>
      </c>
      <c r="Q51" s="24" t="inlineStr"/>
      <c r="R51" s="24" t="inlineStr"/>
      <c r="S51" s="24" t="inlineStr">
        <is>
          <t>CC BY 4.0 applies to the model figure only, not stated for the instrument. HiTOP self report measures are generally free from the consortium, but the page does not say so. Scoring and Interpretation, Psychometrics and Professional Access sections render client side and were empty in the fetched text. No instrument specific licence statement on page.</t>
        </is>
      </c>
      <c r="T51" s="24" t="inlineStr">
        <is>
          <t>https://novopsych.com/assessments/formulation/brief-hierarchical-taxonomy-of-psychopathology-b-hitop/</t>
        </is>
      </c>
    </row>
    <row r="52">
      <c r="A52" s="24" t="n">
        <v>51</v>
      </c>
      <c r="B52" s="24" t="inlineStr">
        <is>
          <t>Brief 2-Way Social Support Scale</t>
        </is>
      </c>
      <c r="C52" s="24" t="inlineStr">
        <is>
          <t>Brief 2-Way SSS</t>
        </is>
      </c>
      <c r="D52" s="24" t="inlineStr">
        <is>
          <t>Formulation</t>
        </is>
      </c>
      <c r="E52" s="24" t="inlineStr">
        <is>
          <t>Giving and receiving of emotional and instrumental social support.</t>
        </is>
      </c>
      <c r="F52" s="24" t="n">
        <v>12</v>
      </c>
      <c r="G52" s="24" t="inlineStr">
        <is>
          <t>Self report</t>
        </is>
      </c>
      <c r="H52" s="24" t="inlineStr">
        <is>
          <t>18+</t>
        </is>
      </c>
      <c r="I52" s="24" t="n">
        <v>2</v>
      </c>
      <c r="J52" s="24" t="inlineStr">
        <is>
          <t>Receiving Emotional Support, Receiving Instrumental Support, Giving Emotional Support, Giving Instrumental Support</t>
        </is>
      </c>
      <c r="K52" s="24" t="inlineStr">
        <is>
          <t>Not stated on page.</t>
        </is>
      </c>
      <c r="L52" s="24" t="inlineStr">
        <is>
          <t>Not stated on page.</t>
        </is>
      </c>
      <c r="M52" s="24" t="inlineStr">
        <is>
          <t>Obst, P., Shakespeare-Finch, J., Krosch, D. J., &amp; Rogers, E. J. (2019). SAGE Open Medicine, 7, 1 to 10. doi:10.1177/2050312119836020</t>
        </is>
      </c>
      <c r="N52" s="24" t="inlineStr">
        <is>
          <t>© 2026 Copyright – NovoPsych – All rights reserved (site footer only)</t>
        </is>
      </c>
      <c r="O52" s="24" t="inlineStr">
        <is>
          <t>not stated</t>
        </is>
      </c>
      <c r="P52" s="24" t="inlineStr">
        <is>
          <t>Shortlist: coaching and wellbeing (client facing possible)</t>
        </is>
      </c>
      <c r="Q52" s="24" t="inlineStr"/>
      <c r="R52" s="24" t="inlineStr"/>
      <c r="S52" s="24" t="inlineStr">
        <is>
          <t>PDF offered without stated licence. Scoring and Interpretation, Psychometrics and Professional Access sections render client side and were empty in the fetched text. No instrument specific licence statement on page.</t>
        </is>
      </c>
      <c r="T52" s="24" t="inlineStr">
        <is>
          <t>https://novopsych.com/assessments/formulation/brief-2-way-social-support-scale/</t>
        </is>
      </c>
    </row>
    <row r="53">
      <c r="A53" s="24" t="n">
        <v>52</v>
      </c>
      <c r="B53" s="24" t="inlineStr">
        <is>
          <t>Team Psychological Safety Scale</t>
        </is>
      </c>
      <c r="C53" s="24" t="inlineStr">
        <is>
          <t>TPS-7</t>
        </is>
      </c>
      <c r="D53" s="24" t="inlineStr">
        <is>
          <t>Sport</t>
        </is>
      </c>
      <c r="E53" s="24" t="inlineStr">
        <is>
          <t>Perceived psychological safety within teams, the belief that interpersonal risk taking is safe.</t>
        </is>
      </c>
      <c r="F53" s="24" t="n">
        <v>7</v>
      </c>
      <c r="G53" s="24" t="inlineStr">
        <is>
          <t>Self report</t>
        </is>
      </c>
      <c r="H53" s="24" t="inlineStr">
        <is>
          <t>18+</t>
        </is>
      </c>
      <c r="I53" s="24" t="n">
        <v>1</v>
      </c>
      <c r="J53" s="24" t="inlineStr"/>
      <c r="K53" s="24" t="inlineStr">
        <is>
          <t>Not stated on page.</t>
        </is>
      </c>
      <c r="L53" s="24" t="inlineStr">
        <is>
          <t>3 items reverse scored; percentile scores compared with elite athlete norms; higher is greater psychological safety. No cut offs.</t>
        </is>
      </c>
      <c r="M53" s="24" t="inlineStr">
        <is>
          <t>Edmondson, A. (1999). Administrative Science Quarterly, 44(2), 350 to 383.</t>
        </is>
      </c>
      <c r="N53" s="24" t="inlineStr">
        <is>
          <t>© 2026 Copyright – NovoPsych – All rights reserved (site footer only)</t>
        </is>
      </c>
      <c r="O53" s="24" t="inlineStr">
        <is>
          <t>not stated</t>
        </is>
      </c>
      <c r="P53" s="24" t="inlineStr">
        <is>
          <t>Out of scope for the hub (child, adolescent, sport, eating, clinician or service feedback)</t>
        </is>
      </c>
      <c r="Q53" s="24" t="inlineStr"/>
      <c r="R53" s="24" t="inlineStr"/>
      <c r="S53" s="24" t="inlineStr">
        <is>
          <t>Page lists Edmondson (1999) as developer. PDF offered without stated licence. Scoring and Interpretation, Psychometrics and Professional Access sections render client side and were empty in the fetched text. No instrument specific licence statement on page.</t>
        </is>
      </c>
      <c r="T53" s="24" t="inlineStr">
        <is>
          <t>https://novopsych.com/assessments/sport-assessments/team-psychological-safety-tps-7/</t>
        </is>
      </c>
    </row>
    <row r="54">
      <c r="A54" s="24" t="n">
        <v>53</v>
      </c>
      <c r="B54" s="24" t="inlineStr">
        <is>
          <t>Leadership Scale for Sports 15</t>
        </is>
      </c>
      <c r="C54" s="24" t="inlineStr">
        <is>
          <t>LSS-15</t>
        </is>
      </c>
      <c r="D54" s="24" t="inlineStr">
        <is>
          <t>Sport, Clinician self assessment</t>
        </is>
      </c>
      <c r="E54" s="24" t="inlineStr">
        <is>
          <t>Athletes' perceptions of their coach's leadership behaviours.</t>
        </is>
      </c>
      <c r="F54" s="24" t="n">
        <v>15</v>
      </c>
      <c r="G54" s="24" t="inlineStr">
        <is>
          <t>Self report (athlete rating coach)</t>
        </is>
      </c>
      <c r="H54" s="24" t="inlineStr">
        <is>
          <t>18+ (16+ at clinician discretion)</t>
        </is>
      </c>
      <c r="I54" s="24" t="n">
        <v>2</v>
      </c>
      <c r="J54" s="24" t="inlineStr">
        <is>
          <t>Training &amp; Instruction, Democratic Behaviour, Autocratic Behaviour, Social Support, Positive Feedback</t>
        </is>
      </c>
      <c r="K54" s="24" t="inlineStr">
        <is>
          <t>Not stated on page.</t>
        </is>
      </c>
      <c r="L54" s="24" t="inlineStr">
        <is>
          <t>Percentiles against normative data, 50th is average; higher is more positive except Autocratic Behaviour where lower is more positive. No cut offs.</t>
        </is>
      </c>
      <c r="M54" s="24" t="inlineStr">
        <is>
          <t>Teques, P., Silva, C., Rosado, A., Calmeiro, L., &amp; Serpa, S. (2020). Psychological Reports. doi:10.1177/0033294120953560; framework Chelladurai &amp; Saleh (1980).</t>
        </is>
      </c>
      <c r="N54" s="24" t="inlineStr">
        <is>
          <t>© 2026 Copyright – NovoPsych – All rights reserved (site footer only)</t>
        </is>
      </c>
      <c r="O54" s="24" t="inlineStr">
        <is>
          <t>not stated</t>
        </is>
      </c>
      <c r="P54" s="24" t="inlineStr">
        <is>
          <t>Out of scope for the hub (child, adolescent, sport, eating, clinician or service feedback)</t>
        </is>
      </c>
      <c r="Q54" s="24" t="inlineStr"/>
      <c r="R54" s="24" t="inlineStr"/>
      <c r="S54" s="24" t="inlineStr">
        <is>
          <t>Image alt text refers to LSS-13; title and body say LSS-15. Scoring and Interpretation, Psychometrics and Professional Access sections render client side and were empty in the fetched text. No instrument specific licence statement on page.</t>
        </is>
      </c>
      <c r="T54" s="24" t="inlineStr">
        <is>
          <t>https://novopsych.com/assessments/sport-assessments/leadership-scale-for-sports-lss-15/</t>
        </is>
      </c>
    </row>
    <row r="55">
      <c r="A55" s="24" t="n">
        <v>54</v>
      </c>
      <c r="B55" s="24" t="inlineStr">
        <is>
          <t>Screen for Child Anxiety Related Emotional Disorders, Parent Version</t>
        </is>
      </c>
      <c r="C55" s="24" t="inlineStr">
        <is>
          <t>SCARED-P</t>
        </is>
      </c>
      <c r="D55" s="24" t="inlineStr">
        <is>
          <t>Child, Adolescent, Anxiety</t>
        </is>
      </c>
      <c r="E55" s="24" t="inlineStr">
        <is>
          <t>Parent reported anxiety disorder symptoms in children and adolescents.</t>
        </is>
      </c>
      <c r="F55" s="24" t="n"/>
      <c r="G55" s="24" t="inlineStr">
        <is>
          <t>Parent report</t>
        </is>
      </c>
      <c r="H55" s="24" t="inlineStr">
        <is>
          <t>8 to 18 years (child); metadata box lists 18+ for respondent</t>
        </is>
      </c>
      <c r="I55" s="24" t="n">
        <v>4</v>
      </c>
      <c r="J55" s="24" t="inlineStr">
        <is>
          <t>Somatic/Panic, General Anxiety, Separation Anxiety, Social Phobia, School Avoidance</t>
        </is>
      </c>
      <c r="K55" s="24" t="inlineStr">
        <is>
          <t>Not stated on page.</t>
        </is>
      </c>
      <c r="L55" s="24" t="inlineStr">
        <is>
          <t>Reported as standardised scores and percentiles; method and cut offs not in fetched text.</t>
        </is>
      </c>
      <c r="M55" s="24" t="inlineStr">
        <is>
          <t>Birmaher, B., et al. (1997). Journal of the American Academy of Child and Adolescent Psychiatry, 36(4), 545 to 553.</t>
        </is>
      </c>
      <c r="N55" s="24" t="inlineStr">
        <is>
          <t>© 2026 Copyright – NovoPsych – All rights reserved (site footer only)</t>
        </is>
      </c>
      <c r="O55" s="24" t="inlineStr">
        <is>
          <t>not stated</t>
        </is>
      </c>
      <c r="P55" s="24" t="inlineStr">
        <is>
          <t>Out of scope for the hub (child, adolescent, sport, eating, clinician or service feedback)</t>
        </is>
      </c>
      <c r="Q55" s="24" t="inlineStr"/>
      <c r="R55" s="24" t="inlineStr"/>
      <c r="S55" s="24" t="inlineStr">
        <is>
          <t>Item count not in fetched text (SCARED has 41 items). Subscales taken from the SCARED Child page; parent page lists only disorder areas. PDF offered without stated licence. Scoring and Interpretation, Psychometrics and Professional Access sections render client side and were empty in the fetched text. No instrument specific licence statement on page.</t>
        </is>
      </c>
      <c r="T55" s="24" t="inlineStr">
        <is>
          <t>https://novopsych.com/assessments/child/screen-for-child-anxiety-related-emotional-disorders-parent-version-scared-parent/</t>
        </is>
      </c>
    </row>
    <row r="56">
      <c r="A56" s="24" t="n">
        <v>55</v>
      </c>
      <c r="B56" s="24" t="inlineStr">
        <is>
          <t>Screen for Child Anxiety Related Emotional Disorders, Child Version</t>
        </is>
      </c>
      <c r="C56" s="24" t="inlineStr">
        <is>
          <t>SCARED-C</t>
        </is>
      </c>
      <c r="D56" s="24" t="inlineStr">
        <is>
          <t>Child, Adolescent, Anxiety</t>
        </is>
      </c>
      <c r="E56" s="24" t="inlineStr">
        <is>
          <t>Child self reported anxiety disorder symptoms across DSM anxiety categories.</t>
        </is>
      </c>
      <c r="F56" s="24" t="n"/>
      <c r="G56" s="24" t="inlineStr">
        <is>
          <t>Child self report</t>
        </is>
      </c>
      <c r="H56" s="24" t="inlineStr">
        <is>
          <t>8 to 18 years</t>
        </is>
      </c>
      <c r="I56" s="24" t="n">
        <v>7</v>
      </c>
      <c r="J56" s="24" t="inlineStr">
        <is>
          <t>Somatic/Panic, General Anxiety, Separation Anxiety, Social Phobia, School Avoidance</t>
        </is>
      </c>
      <c r="K56" s="24" t="inlineStr">
        <is>
          <t>Not stated on page.</t>
        </is>
      </c>
      <c r="L56" s="24" t="inlineStr">
        <is>
          <t>Total score with overall clinical cut off of 25; percentiles against anxious clinical and community samples, community scores above 95th percentile indicate clinical concern.</t>
        </is>
      </c>
      <c r="M56" s="24" t="inlineStr">
        <is>
          <t>Birmaher, B., et al. (1997). Journal of the American Academy of Child and Adolescent Psychiatry, 36(4), 545 to 553. doi:10.1097/00004583-199704000-00018</t>
        </is>
      </c>
      <c r="N56" s="24" t="inlineStr">
        <is>
          <t>© 2026 Copyright – NovoPsych – All rights reserved (site footer only)</t>
        </is>
      </c>
      <c r="O56" s="24" t="inlineStr">
        <is>
          <t>not stated</t>
        </is>
      </c>
      <c r="P56" s="24" t="inlineStr">
        <is>
          <t>Out of scope for the hub (child, adolescent, sport, eating, clinician or service feedback)</t>
        </is>
      </c>
      <c r="Q56" s="24" t="inlineStr"/>
      <c r="R56" s="24" t="inlineStr"/>
      <c r="S56" s="24" t="inlineStr">
        <is>
          <t>Item count not in fetched text (SCARED has 41 items). Scoring and Interpretation, Psychometrics and Professional Access sections render client side and were empty in the fetched text. No instrument specific licence statement on page.</t>
        </is>
      </c>
      <c r="T56" s="24" t="inlineStr">
        <is>
          <t>https://novopsych.com/assessments/child/screen-for-child-anxiety-related-emotional-disorders-child-version-scared-child/</t>
        </is>
      </c>
    </row>
    <row r="57">
      <c r="A57" s="24" t="n">
        <v>56</v>
      </c>
      <c r="B57" s="24" t="inlineStr">
        <is>
          <t>World Health Organization Quality of Life, Brief Version</t>
        </is>
      </c>
      <c r="C57" s="24" t="inlineStr">
        <is>
          <t>WHOQOL-BREF</t>
        </is>
      </c>
      <c r="D57" s="24" t="inlineStr">
        <is>
          <t>Formulation, Health, Well-being</t>
        </is>
      </c>
      <c r="E57" s="24" t="inlineStr">
        <is>
          <t>Self perceived quality of life across physical, psychological, social and environmental domains.</t>
        </is>
      </c>
      <c r="F57" s="24" t="n">
        <v>26</v>
      </c>
      <c r="G57" s="24" t="inlineStr">
        <is>
          <t>Self report</t>
        </is>
      </c>
      <c r="H57" s="24" t="inlineStr">
        <is>
          <t>18+</t>
        </is>
      </c>
      <c r="I57" s="24" t="n">
        <v>4</v>
      </c>
      <c r="J57" s="24" t="inlineStr">
        <is>
          <t>Physical Health, Psychological, Social Relationships, Environment</t>
        </is>
      </c>
      <c r="K57" s="24" t="inlineStr">
        <is>
          <t>Not stated on page; 2 week reference period.</t>
        </is>
      </c>
      <c r="L57" s="24" t="inlineStr">
        <is>
          <t>Domain scores transformed to 0 to 100, higher is better quality of life; no formal cut offs, scores below 30th percentile in a domain may warrant attention.</t>
        </is>
      </c>
      <c r="M57" s="24" t="inlineStr">
        <is>
          <t>The WHOQOL Group. (1994). In Orley &amp; Kuyken (eds) Quality of Life Assessment: International Perspectives. Springer. doi:10.1007/978-3-642-79123-9_4</t>
        </is>
      </c>
      <c r="N57" s="24" t="inlineStr">
        <is>
          <t>© 2026 Copyright – NovoPsych – All rights reserved (site footer only)</t>
        </is>
      </c>
      <c r="O57" s="24" t="inlineStr">
        <is>
          <t>not stated</t>
        </is>
      </c>
      <c r="P57" s="24" t="inlineStr">
        <is>
          <t>Shortlist: coaching and wellbeing (client facing possible)</t>
        </is>
      </c>
      <c r="Q57" s="24" t="inlineStr"/>
      <c r="R57" s="24" t="inlineStr"/>
      <c r="S57" s="24" t="inlineStr">
        <is>
          <t>WHO holds copyright on the WHOQOL-BREF and requires registration; the page does not state this. Scoring and Interpretation, Psychometrics and Professional Access sections render client side and were empty in the fetched text. No instrument specific licence statement on page.</t>
        </is>
      </c>
      <c r="T57" s="24" t="inlineStr">
        <is>
          <t>https://novopsych.com/assessments/formulation/who-quality-of-life-brief-whoqol-bref/</t>
        </is>
      </c>
    </row>
    <row r="58">
      <c r="A58" s="24" t="n">
        <v>57</v>
      </c>
      <c r="B58" s="24" t="inlineStr">
        <is>
          <t>Young Person's Clinical Outcomes in Routine Evaluation</t>
        </is>
      </c>
      <c r="C58" s="24" t="inlineStr">
        <is>
          <t>YP-CORE</t>
        </is>
      </c>
      <c r="D58" s="24" t="inlineStr">
        <is>
          <t>Outcome monitoring, Adolescent, Child</t>
        </is>
      </c>
      <c r="E58" s="24" t="inlineStr">
        <is>
          <t>Psychological distress and wellbeing in young people for routine outcome monitoring.</t>
        </is>
      </c>
      <c r="F58" s="24" t="n">
        <v>10</v>
      </c>
      <c r="G58" s="24" t="inlineStr">
        <is>
          <t>Self report</t>
        </is>
      </c>
      <c r="H58" s="24" t="inlineStr">
        <is>
          <t>11 to 16 years</t>
        </is>
      </c>
      <c r="I58" s="24" t="n">
        <v>2</v>
      </c>
      <c r="J58" s="24" t="inlineStr"/>
      <c r="K58" s="24" t="inlineStr">
        <is>
          <t>Not stated on page; past week reference period.</t>
        </is>
      </c>
      <c r="L58" s="24" t="inlineStr">
        <is>
          <t>Single total score; method, direction and cut offs not in fetched text.</t>
        </is>
      </c>
      <c r="M58" s="24" t="inlineStr">
        <is>
          <t>Twigg, E., Barkham, M., Bewick, B. M., Mulhern, B., Connell, J., &amp; Cooper, M. (2009). Counselling and Psychotherapy Research, 9(3), 160 to 168. doi:10.1080/14733140902979722</t>
        </is>
      </c>
      <c r="N58" s="24" t="inlineStr">
        <is>
          <t>"The copyright holder for the YP-CORE is the CORE System Trust." FAQ: "All CORE measures are the copyright of the CORE System Trust."</t>
        </is>
      </c>
      <c r="O58" s="24" t="inlineStr">
        <is>
          <t>not stated</t>
        </is>
      </c>
      <c r="P58" s="24" t="inlineStr">
        <is>
          <t>Out of scope for the hub (child, adolescent, sport, eating, clinician or service feedback)</t>
        </is>
      </c>
      <c r="Q58" s="24" t="inlineStr"/>
      <c r="R58" s="24" t="inlineStr"/>
      <c r="S58" s="24" t="inlineStr">
        <is>
          <t>Copyright holder named but no permission or free use statement. CORE System Trust measures are generally free under a CC licence, but the page does not say so. Scoring and Interpretation, Psychometrics and Professional Access sections render client side and were empty in the fetched text. No instrument specific licence statement on page.</t>
        </is>
      </c>
      <c r="T58" s="24" t="inlineStr">
        <is>
          <t>https://novopsych.com/assessments/outcome-monitoring/young-persons-core-yp-core/</t>
        </is>
      </c>
    </row>
    <row r="59">
      <c r="A59" s="24" t="n">
        <v>58</v>
      </c>
      <c r="B59" s="24" t="inlineStr">
        <is>
          <t>Thought Action Fusion Scale Revised</t>
        </is>
      </c>
      <c r="C59" s="24" t="inlineStr">
        <is>
          <t>TAFS-R</t>
        </is>
      </c>
      <c r="D59" s="24" t="inlineStr">
        <is>
          <t>Formulation, OCD</t>
        </is>
      </c>
      <c r="E59" s="24" t="inlineStr">
        <is>
          <t>Thought action fusion beliefs, a cognitive distortion relevant to OCD.</t>
        </is>
      </c>
      <c r="F59" s="24" t="n">
        <v>19</v>
      </c>
      <c r="G59" s="24" t="inlineStr">
        <is>
          <t>Self report</t>
        </is>
      </c>
      <c r="H59" s="24" t="inlineStr">
        <is>
          <t>18+</t>
        </is>
      </c>
      <c r="I59" s="24" t="n">
        <v>3</v>
      </c>
      <c r="J59" s="24" t="inlineStr">
        <is>
          <t>TAF-Moral (12 items), TAF-Likelihood-Other (4 items), TAF-Likelihood-Self (3 items)</t>
        </is>
      </c>
      <c r="K59" s="24" t="inlineStr">
        <is>
          <t>Not stated on page.</t>
        </is>
      </c>
      <c r="L59" s="24" t="inlineStr">
        <is>
          <t>Method not stated; elevated subscale scores flagged as treatment targets. No cut offs.</t>
        </is>
      </c>
      <c r="M59" s="24" t="inlineStr">
        <is>
          <t>Shafran, R., Thordarson, D. S., &amp; Rachman, S. (1996). Journal of Anxiety Disorders, 10, 379 to 391. doi:10.1016/0887-6185(96)00018-7</t>
        </is>
      </c>
      <c r="N59" s="24" t="inlineStr">
        <is>
          <t>© 2026 Copyright – NovoPsych – All rights reserved (site footer only)</t>
        </is>
      </c>
      <c r="O59" s="24" t="inlineStr">
        <is>
          <t>not stated</t>
        </is>
      </c>
      <c r="P59" s="24" t="inlineStr">
        <is>
          <t>Shortlist: coaching and wellbeing (client facing possible)</t>
        </is>
      </c>
      <c r="Q59" s="24" t="inlineStr"/>
      <c r="R59" s="24" t="inlineStr"/>
      <c r="S59" s="24" t="inlineStr">
        <is>
          <t>PDF offered without stated licence. Scoring and Interpretation, Psychometrics and Professional Access sections render client side and were empty in the fetched text. No instrument specific licence statement on page.</t>
        </is>
      </c>
      <c r="T59" s="24" t="inlineStr">
        <is>
          <t>https://novopsych.com/assessments/formulation/thought-action-fusion-scale-revised-tafs-r/</t>
        </is>
      </c>
    </row>
    <row r="60">
      <c r="A60" s="24" t="n">
        <v>59</v>
      </c>
      <c r="B60" s="24" t="inlineStr">
        <is>
          <t>Athletic Coping Skills Inventory 28</t>
        </is>
      </c>
      <c r="C60" s="24" t="inlineStr">
        <is>
          <t>ACSI-28</t>
        </is>
      </c>
      <c r="D60" s="24" t="inlineStr">
        <is>
          <t>Sport</t>
        </is>
      </c>
      <c r="E60" s="24" t="inlineStr">
        <is>
          <t>Psychological coping skills used by athletes in competitive sport.</t>
        </is>
      </c>
      <c r="F60" s="24" t="n">
        <v>28</v>
      </c>
      <c r="G60" s="24" t="inlineStr">
        <is>
          <t>Self report</t>
        </is>
      </c>
      <c r="H60" s="24" t="inlineStr">
        <is>
          <t>14+</t>
        </is>
      </c>
      <c r="I60" s="24" t="n">
        <v>5</v>
      </c>
      <c r="J60" s="24" t="inlineStr">
        <is>
          <t>Concentration, Coping with Adversity (only 2 of 7 subscales named in fetched text)</t>
        </is>
      </c>
      <c r="K60" s="24" t="inlineStr">
        <is>
          <t>Not stated on page.</t>
        </is>
      </c>
      <c r="L60" s="24" t="inlineStr">
        <is>
          <t>Higher scores indicate better coping skills; balance across subscales emphasised over total. Method and cut offs not stated.</t>
        </is>
      </c>
      <c r="M60" s="24" t="inlineStr">
        <is>
          <t>Smith et al. (1995)</t>
        </is>
      </c>
      <c r="N60" s="24" t="inlineStr">
        <is>
          <t>None stated on page.</t>
        </is>
      </c>
      <c r="O60" s="24" t="inlineStr">
        <is>
          <t>not stated</t>
        </is>
      </c>
      <c r="P60" s="24" t="inlineStr">
        <is>
          <t>Out of scope for the hub (child, adolescent, sport, eating, clinician or service feedback)</t>
        </is>
      </c>
      <c r="Q60" s="24" t="inlineStr"/>
      <c r="R60" s="24" t="inlineStr"/>
      <c r="S60" s="24" t="inlineStr">
        <is>
          <t>Full subscale list not in fetched text. Scoring and Interpretation, Psychometrics and Professional Access sections render client side and were empty in the fetched text. No instrument specific licence statement on page.</t>
        </is>
      </c>
      <c r="T60" s="24" t="inlineStr">
        <is>
          <t>https://novopsych.com/assessments/sport-assessments/athletic-coping-skills-inventory-acsi-28/</t>
        </is>
      </c>
    </row>
    <row r="61">
      <c r="A61" s="24" t="n">
        <v>60</v>
      </c>
      <c r="B61" s="24" t="inlineStr">
        <is>
          <t>Wender Utah Rating Scale, 25 item version</t>
        </is>
      </c>
      <c r="C61" s="24" t="inlineStr">
        <is>
          <t>WURS-25</t>
        </is>
      </c>
      <c r="D61" s="24" t="inlineStr">
        <is>
          <t>ADHD, Diagnosis, Formulation</t>
        </is>
      </c>
      <c r="E61" s="24" t="inlineStr">
        <is>
          <t>Retrospective self report of childhood ADHD symptoms in adults.</t>
        </is>
      </c>
      <c r="F61" s="24" t="n">
        <v>25</v>
      </c>
      <c r="G61" s="24" t="inlineStr">
        <is>
          <t>Self report (retrospective)</t>
        </is>
      </c>
      <c r="H61" s="24" t="inlineStr">
        <is>
          <t>18+</t>
        </is>
      </c>
      <c r="I61" s="24" t="n">
        <v>4</v>
      </c>
      <c r="J61" s="24" t="inlineStr">
        <is>
          <t>ADHD factor, Disruptive mood/behaviour factor, Anxiety/dysphoria factor</t>
        </is>
      </c>
      <c r="K61" s="24" t="inlineStr">
        <is>
          <t>Not stated on page.</t>
        </is>
      </c>
      <c r="L61" s="24" t="inlineStr">
        <is>
          <t>NovoPsych scoring uses logistic regression fitted values to estimate probability of ADHD versus non clinical and versus depression/anxiety; no simple sum cut off stated.</t>
        </is>
      </c>
      <c r="M61" s="24" t="inlineStr">
        <is>
          <t>Ward, M. F., Wender, P. H., &amp; Reimherr, F. W. (1993). American Journal of Psychiatry, 150(6), 885 to 890. doi:10.1176/ajp.150.6.885</t>
        </is>
      </c>
      <c r="N61" s="24" t="inlineStr">
        <is>
          <t>© 2026 Copyright – NovoPsych – All rights reserved (site footer only)</t>
        </is>
      </c>
      <c r="O61" s="24" t="inlineStr">
        <is>
          <t>not stated</t>
        </is>
      </c>
      <c r="P61" s="24" t="inlineStr">
        <is>
          <t>Shortlist: coaching and wellbeing (client facing possible)</t>
        </is>
      </c>
      <c r="Q61" s="24" t="inlineStr"/>
      <c r="R61" s="24" t="inlineStr"/>
      <c r="S61" s="24" t="inlineStr">
        <is>
          <t>Scoring and Interpretation, Psychometrics and Professional Access sections render client side and were empty in the fetched text. No instrument specific licence statement on page.</t>
        </is>
      </c>
      <c r="T61" s="24" t="inlineStr">
        <is>
          <t>https://novopsych.com/assessments/diagnosis/wender-utah-rating-scale-25-item-version-wurs-25/</t>
        </is>
      </c>
    </row>
    <row r="62">
      <c r="A62" s="24" t="n">
        <v>61</v>
      </c>
      <c r="B62" s="24" t="inlineStr">
        <is>
          <t>Personality Inventory for DSM-5 Short Form</t>
        </is>
      </c>
      <c r="C62" s="24" t="inlineStr">
        <is>
          <t>PID-5-SF</t>
        </is>
      </c>
      <c r="D62" s="24" t="inlineStr">
        <is>
          <t>Diagnosis, Formulation, Personality</t>
        </is>
      </c>
      <c r="E62" s="24" t="inlineStr">
        <is>
          <t>Maladaptive personality traits across 5 domains and 25 facets of the DSM-5 Alternative Model of Personality Disorders.</t>
        </is>
      </c>
      <c r="F62" s="24" t="n">
        <v>100</v>
      </c>
      <c r="G62" s="24" t="inlineStr">
        <is>
          <t>Self report</t>
        </is>
      </c>
      <c r="H62" s="24" t="inlineStr">
        <is>
          <t>18+</t>
        </is>
      </c>
      <c r="I62" s="24" t="n">
        <v>16</v>
      </c>
      <c r="J62" s="24" t="inlineStr">
        <is>
          <t>Negative Affectivity, Detachment, Antagonism, Disinhibition, Psychoticism</t>
        </is>
      </c>
      <c r="K62" s="24" t="inlineStr">
        <is>
          <t>Not stated on page</t>
        </is>
      </c>
      <c r="L62" s="24" t="inlineStr">
        <is>
          <t>Not stated on page. Page says it yields domain, facet and AMPD composite scores, with higher elevations indicating more maladaptive traits.</t>
        </is>
      </c>
      <c r="M62" s="24" t="inlineStr">
        <is>
          <t>Maples, J. L., et al. (2015). Cited on page without full reference.</t>
        </is>
      </c>
      <c r="N62" s="24" t="inlineStr">
        <is>
          <t>Site footer only: "© 2026 Copyright – NovoPsych – All rights reserved". No instrument specific statement on the page.</t>
        </is>
      </c>
      <c r="O62" s="24" t="inlineStr">
        <is>
          <t>not stated</t>
        </is>
      </c>
      <c r="P62" s="24" t="inlineStr">
        <is>
          <t>Shortlist: screening or clinical (Sarah only if used)</t>
        </is>
      </c>
      <c r="Q62" s="24" t="inlineStr"/>
      <c r="R62" s="24" t="inlineStr"/>
      <c r="S62" s="24" t="inlineStr">
        <is>
          <t>Scoring and Interpretation and Psychometric Properties sections are gated behind Professional Access login and not visible to an unauthenticated fetch. Page also mentions an adaptive version PID-5-A averaging about 66 items. Intended for qualified professionals.</t>
        </is>
      </c>
      <c r="T62" s="24" t="inlineStr">
        <is>
          <t>https://novopsych.com/assessments/diagnosis/personality-inventory-for-dsm-5-short-form-pid-5-sf/</t>
        </is>
      </c>
    </row>
    <row r="63">
      <c r="A63" s="24" t="n">
        <v>62</v>
      </c>
      <c r="B63" s="24" t="inlineStr">
        <is>
          <t>Child Dissociative Checklist</t>
        </is>
      </c>
      <c r="C63" s="24" t="inlineStr">
        <is>
          <t>CDC</t>
        </is>
      </c>
      <c r="D63" s="24" t="inlineStr">
        <is>
          <t>Child, Trauma</t>
        </is>
      </c>
      <c r="E63" s="24" t="inlineStr">
        <is>
          <t>Screening measure of dissociative symptoms in children, completed by an adult observer.</t>
        </is>
      </c>
      <c r="F63" s="24" t="n">
        <v>20</v>
      </c>
      <c r="G63" s="24" t="inlineStr">
        <is>
          <t>Observer report (parent or carer)</t>
        </is>
      </c>
      <c r="H63" s="24" t="inlineStr">
        <is>
          <t>5 to 12 years</t>
        </is>
      </c>
      <c r="I63" s="24" t="n">
        <v>4</v>
      </c>
      <c r="J63" s="24" t="inlineStr"/>
      <c r="K63" s="24" t="inlineStr">
        <is>
          <t>Not stated on page</t>
        </is>
      </c>
      <c r="L63" s="24" t="inlineStr">
        <is>
          <t>Not stated on page. Image alt text references a dissociative disorder screening cut off and a normative percentile chart, values not shown.</t>
        </is>
      </c>
      <c r="M63" s="24" t="inlineStr">
        <is>
          <t>Putnam, F. W., Helmers, K., &amp; Trickett, P. K. (1993). Development, reliability, and validity of a child dissociation scale. Child Abuse &amp; Neglect, 17(6), 731-741.</t>
        </is>
      </c>
      <c r="N63" s="24" t="inlineStr">
        <is>
          <t>Site footer only: "© 2026 Copyright – NovoPsych – All rights reserved". No instrument specific statement on the page.</t>
        </is>
      </c>
      <c r="O63" s="24" t="inlineStr">
        <is>
          <t>not stated</t>
        </is>
      </c>
      <c r="P63" s="24" t="inlineStr">
        <is>
          <t>Out of scope for the hub (child, adolescent, sport, eating, clinician or service feedback)</t>
        </is>
      </c>
      <c r="Q63" s="24" t="inlineStr"/>
      <c r="R63" s="24" t="inlineStr"/>
      <c r="S63" s="24" t="inlineStr">
        <is>
          <t>Scoring and Interpretation and Psychometric Properties sections are gated behind Professional Access login and not visible to an unauthenticated fetch.</t>
        </is>
      </c>
      <c r="T63" s="24" t="inlineStr">
        <is>
          <t>https://novopsych.com/assessments/child/child-dissociative-checklist-scale-cdc/</t>
        </is>
      </c>
    </row>
    <row r="64">
      <c r="A64" s="24" t="n">
        <v>63</v>
      </c>
      <c r="B64" s="24" t="inlineStr">
        <is>
          <t>Trauma Recovery Measure</t>
        </is>
      </c>
      <c r="C64" s="24" t="inlineStr">
        <is>
          <t>TRM</t>
        </is>
      </c>
      <c r="D64" s="24" t="inlineStr">
        <is>
          <t>Outcome monitoring, Trauma</t>
        </is>
      </c>
      <c r="E64" s="24" t="inlineStr">
        <is>
          <t>Psychological recovery in adults following trauma exposure, for outcome monitoring.</t>
        </is>
      </c>
      <c r="F64" s="24" t="n">
        <v>15</v>
      </c>
      <c r="G64" s="24" t="inlineStr">
        <is>
          <t>Self report</t>
        </is>
      </c>
      <c r="H64" s="24" t="inlineStr">
        <is>
          <t>18+</t>
        </is>
      </c>
      <c r="I64" s="24" t="n">
        <v>3</v>
      </c>
      <c r="J64" s="24" t="inlineStr"/>
      <c r="K64" s="24" t="inlineStr">
        <is>
          <t>Not stated on page</t>
        </is>
      </c>
      <c r="L64" s="24" t="inlineStr">
        <is>
          <t>Not stated on page.</t>
        </is>
      </c>
      <c r="M64" s="24" t="inlineStr">
        <is>
          <t>Smith, S. (2022). The cognitive path to trauma recovery. Doctoral thesis, Bond University.</t>
        </is>
      </c>
      <c r="N64" s="24" t="inlineStr">
        <is>
          <t>Site footer only: "© 2026 Copyright – NovoPsych – All rights reserved". No instrument specific statement on the page.</t>
        </is>
      </c>
      <c r="O64" s="24" t="inlineStr">
        <is>
          <t>not stated</t>
        </is>
      </c>
      <c r="P64" s="24" t="inlineStr">
        <is>
          <t>Shortlist: screening or clinical (Sarah only if used)</t>
        </is>
      </c>
      <c r="Q64" s="24" t="inlineStr"/>
      <c r="R64" s="24" t="inlineStr"/>
      <c r="S64" s="24" t="inlineStr">
        <is>
          <t>Scoring and Interpretation and Psychometric Properties sections are gated behind Professional Access login and not visible to an unauthenticated fetch. Developer citation is a doctoral thesis, not a journal article.</t>
        </is>
      </c>
      <c r="T64" s="24" t="inlineStr">
        <is>
          <t>https://novopsych.com/assessments/outcome-monitoring/trauma-recovery-measure-trm/</t>
        </is>
      </c>
    </row>
    <row r="65">
      <c r="A65" s="24" t="n">
        <v>64</v>
      </c>
      <c r="B65" s="24" t="inlineStr">
        <is>
          <t>Zung Self-Rating Depression Scale</t>
        </is>
      </c>
      <c r="C65" s="24" t="inlineStr">
        <is>
          <t>SDS (also ZSDS)</t>
        </is>
      </c>
      <c r="D65" s="24" t="inlineStr">
        <is>
          <t>Adolescent, Depression, Outcome monitoring</t>
        </is>
      </c>
      <c r="E65" s="24" t="inlineStr">
        <is>
          <t>Depressive symptoms across affective, cognitive, anxious and somatic domains.</t>
        </is>
      </c>
      <c r="F65" s="24" t="n"/>
      <c r="G65" s="24" t="inlineStr">
        <is>
          <t>Self report</t>
        </is>
      </c>
      <c r="H65" s="24" t="inlineStr">
        <is>
          <t>16+</t>
        </is>
      </c>
      <c r="I65" s="24" t="n">
        <v>3</v>
      </c>
      <c r="J65" s="24" t="inlineStr">
        <is>
          <t>Affective, Cognitive, Anxious, Somatic</t>
        </is>
      </c>
      <c r="K65" s="24" t="inlineStr">
        <is>
          <t>Not stated on page</t>
        </is>
      </c>
      <c r="L65" s="24" t="inlineStr">
        <is>
          <t>Not stated on page. Reference list cites a percentile rankings and qualitative descriptors review and norm studies by Holmes et al. (1988) and Knight et al. (1983).</t>
        </is>
      </c>
      <c r="M65" s="24" t="inlineStr">
        <is>
          <t>Zung, W. W. (1965). A Self-Rating Depression Scale. Archives of General Psychiatry, 12, 63-70.</t>
        </is>
      </c>
      <c r="N65" s="24" t="inlineStr">
        <is>
          <t>Site footer only: "© 2026 Copyright – NovoPsych – All rights reserved". No instrument specific statement on the page.</t>
        </is>
      </c>
      <c r="O65" s="24" t="inlineStr">
        <is>
          <t>not stated</t>
        </is>
      </c>
      <c r="P65" s="24" t="inlineStr">
        <is>
          <t>Out of scope for the hub (child, adolescent, sport, eating, clinician or service feedback)</t>
        </is>
      </c>
      <c r="Q65" s="24" t="inlineStr"/>
      <c r="R65" s="24" t="inlineStr"/>
      <c r="S65" s="24" t="inlineStr">
        <is>
          <t>Scoring and Interpretation and Psychometric Properties sections are gated behind Professional Access login and not visible to an unauthenticated fetch. Item count not stated on page (published scale has 20 items; verify).</t>
        </is>
      </c>
      <c r="T65" s="24" t="inlineStr">
        <is>
          <t>https://novopsych.com/assessments/depression/zung-self-rating-depression-scale/</t>
        </is>
      </c>
    </row>
    <row r="66">
      <c r="A66" s="24" t="n">
        <v>65</v>
      </c>
      <c r="B66" s="24" t="inlineStr">
        <is>
          <t>Digital Stress Scale</t>
        </is>
      </c>
      <c r="C66" s="24" t="inlineStr">
        <is>
          <t>DSS</t>
        </is>
      </c>
      <c r="D66" s="24" t="inlineStr">
        <is>
          <t>Formulation</t>
        </is>
      </c>
      <c r="E66" s="24" t="inlineStr">
        <is>
          <t>Perceived stress linked to use of digital devices, mainly phones and social media.</t>
        </is>
      </c>
      <c r="F66" s="24" t="n">
        <v>24</v>
      </c>
      <c r="G66" s="24" t="inlineStr">
        <is>
          <t>Self report</t>
        </is>
      </c>
      <c r="H66" s="24" t="inlineStr">
        <is>
          <t>14+</t>
        </is>
      </c>
      <c r="I66" s="24" t="n">
        <v>4</v>
      </c>
      <c r="J66" s="24" t="inlineStr"/>
      <c r="K66" s="24" t="inlineStr">
        <is>
          <t>Not stated on page</t>
        </is>
      </c>
      <c r="L66" s="24" t="inlineStr">
        <is>
          <t>Not stated on page.</t>
        </is>
      </c>
      <c r="M66" s="24" t="inlineStr">
        <is>
          <t>Hall, J. A., Steele, R. G., Christofferson, J. L., &amp; Mihailova, T. (2021). Development and initial evaluation of a multidimensional digital stress scale. Psychological Assessment, 33(3), 230-242.</t>
        </is>
      </c>
      <c r="N66" s="24" t="inlineStr">
        <is>
          <t>Site footer only: "© 2026 Copyright – NovoPsych – All rights reserved". No instrument specific statement on the page.</t>
        </is>
      </c>
      <c r="O66" s="24" t="inlineStr">
        <is>
          <t>not stated</t>
        </is>
      </c>
      <c r="P66" s="24" t="inlineStr">
        <is>
          <t>Shortlist: coaching and wellbeing (client facing possible)</t>
        </is>
      </c>
      <c r="Q66" s="24" t="inlineStr"/>
      <c r="R66" s="24" t="inlineStr"/>
      <c r="S66" s="24" t="inlineStr">
        <is>
          <t>Scoring and Interpretation and Psychometric Properties sections are gated behind Professional Access login and not visible to an unauthenticated fetch. Translations section notes translators sought approval from the first author before translating.</t>
        </is>
      </c>
      <c r="T66" s="24" t="inlineStr">
        <is>
          <t>https://novopsych.com/assessments/formulation/digital-stress-scale/</t>
        </is>
      </c>
    </row>
    <row r="67">
      <c r="A67" s="24" t="n">
        <v>66</v>
      </c>
      <c r="B67" s="24" t="inlineStr">
        <is>
          <t>International Trauma Questionnaire Child and Adolescent Version</t>
        </is>
      </c>
      <c r="C67" s="24" t="inlineStr">
        <is>
          <t>ITQ-CA</t>
        </is>
      </c>
      <c r="D67" s="24" t="inlineStr">
        <is>
          <t>Adolescent, Child, Diagnosis, Trauma</t>
        </is>
      </c>
      <c r="E67" s="24" t="inlineStr">
        <is>
          <t>ICD-11 PTSD and Disturbances in Self Organisation (Complex PTSD) symptoms in children and adolescents.</t>
        </is>
      </c>
      <c r="F67" s="24" t="n">
        <v>22</v>
      </c>
      <c r="G67" s="24" t="inlineStr">
        <is>
          <t>Self report</t>
        </is>
      </c>
      <c r="H67" s="24" t="inlineStr">
        <is>
          <t>7 to 17 years</t>
        </is>
      </c>
      <c r="I67" s="24" t="n">
        <v>4</v>
      </c>
      <c r="J67" s="24" t="inlineStr">
        <is>
          <t>PTSD, Disturbances in Self Organisation (DSO)</t>
        </is>
      </c>
      <c r="K67" s="24" t="inlineStr">
        <is>
          <t>Symptom items 5 point, scored 0 to 4 (2 = Moderately); functional impairment items binary Yes/No scored 1/0</t>
        </is>
      </c>
      <c r="L67" s="24" t="inlineStr">
        <is>
          <t>PTSD and DSO severity are item sums (6 items each, range 0 to 24), higher = more severe; percentile severity bands given. Reliable change threshold 7 points (PTSD) and 6 points (DSO).</t>
        </is>
      </c>
      <c r="M67" s="24" t="inlineStr">
        <is>
          <t>Cloitre, M., Shevlin, M., Brewin, C. R., Bisson, J. I., Roberts, N. P., Maercker, A., Karatzias, T., &amp; Hyland, P. (2018). Acta Psychiatrica Scandinavica, 138(6), 536-546.</t>
        </is>
      </c>
      <c r="N67" s="24" t="inlineStr">
        <is>
          <t>Site footer only: "© 2026 Copyright – NovoPsych – All rights reserved". No instrument specific statement on the page.</t>
        </is>
      </c>
      <c r="O67" s="24" t="inlineStr">
        <is>
          <t>not stated</t>
        </is>
      </c>
      <c r="P67" s="24" t="inlineStr">
        <is>
          <t>Out of scope for the hub (child, adolescent, sport, eating, clinician or service feedback)</t>
        </is>
      </c>
      <c r="Q67" s="24" t="inlineStr"/>
      <c r="R67" s="24" t="inlineStr"/>
      <c r="S67" s="24" t="inlineStr">
        <is>
          <t>Scoring details visible on this page unlike most others in this batch.</t>
        </is>
      </c>
      <c r="T67" s="24" t="inlineStr">
        <is>
          <t>https://novopsych.com/assessments/diagnosis/international-trauma-questionnaire-child-and-adolescent-version-itq-ca/</t>
        </is>
      </c>
    </row>
    <row r="68">
      <c r="A68" s="24" t="n">
        <v>67</v>
      </c>
      <c r="B68" s="24" t="inlineStr">
        <is>
          <t>International Trauma Questionnaire</t>
        </is>
      </c>
      <c r="C68" s="24" t="inlineStr">
        <is>
          <t>ITQ</t>
        </is>
      </c>
      <c r="D68" s="24" t="inlineStr">
        <is>
          <t>Diagnosis, Trauma</t>
        </is>
      </c>
      <c r="E68" s="24" t="inlineStr">
        <is>
          <t>ICD-11 PTSD and Disturbances in Self Organisation (Complex PTSD) symptoms in adults.</t>
        </is>
      </c>
      <c r="F68" s="24" t="n">
        <v>18</v>
      </c>
      <c r="G68" s="24" t="inlineStr">
        <is>
          <t>Self report</t>
        </is>
      </c>
      <c r="H68" s="24" t="inlineStr">
        <is>
          <t>18+</t>
        </is>
      </c>
      <c r="I68" s="24" t="n">
        <v>3</v>
      </c>
      <c r="J68" s="24" t="inlineStr">
        <is>
          <t>Re-experiencing, Avoidance, Sense of Threat, Affective Dysregulation, Negative Self-Concept, Disturbances in Relationships, Functional impairment</t>
        </is>
      </c>
      <c r="K68" s="24" t="inlineStr">
        <is>
          <t>Not fully stated; symptom items rated so that 2 = Moderately, with severity descriptors Severe and Very Severe</t>
        </is>
      </c>
      <c r="L68" s="24" t="inlineStr">
        <is>
          <t>Dimensional severity scoring plus dichotomous diagnostic algorithm: a symptom counts at a rating of 2 or more; PTSD needs 1 symptom per PTSD cluster plus impairment, CPTSD adds 1 per DSO cluster. No numeric cut offs on page.</t>
        </is>
      </c>
      <c r="M68" s="24" t="inlineStr">
        <is>
          <t>Cloitre, M., Shevlin, M., Brewin, C. R., Bisson, J. I., Roberts, N. P., Maercker, A., Karatzias, T., &amp; Hyland, P. (2018). Acta Psychiatrica Scandinavica, 138(6), 536-546. doi:10.1111/acps.12956</t>
        </is>
      </c>
      <c r="N68" s="24" t="inlineStr">
        <is>
          <t>Site footer only: "© 2026 Copyright – NovoPsych – All rights reserved". No instrument specific statement on the page.</t>
        </is>
      </c>
      <c r="O68" s="24" t="inlineStr">
        <is>
          <t>not stated</t>
        </is>
      </c>
      <c r="P68" s="24" t="inlineStr">
        <is>
          <t>Shortlist: screening or clinical (Sarah only if used)</t>
        </is>
      </c>
      <c r="Q68" s="24" t="inlineStr"/>
      <c r="R68" s="24" t="inlineStr"/>
      <c r="S68" s="24" t="inlineStr">
        <is>
          <t>Scoring and Interpretation and Psychometric Properties sections are gated behind Professional Access login and not visible to an unauthenticated fetch. Scoring summary drawn from FAQ text.</t>
        </is>
      </c>
      <c r="T68" s="24" t="inlineStr">
        <is>
          <t>https://novopsych.com/assessments/diagnosis/international-trauma-questionnaire-itq/</t>
        </is>
      </c>
    </row>
    <row r="69">
      <c r="A69" s="24" t="n">
        <v>68</v>
      </c>
      <c r="B69" s="24" t="inlineStr">
        <is>
          <t>Adolescent Dissociative Experiences Scale</t>
        </is>
      </c>
      <c r="C69" s="24" t="inlineStr">
        <is>
          <t>A-DES</t>
        </is>
      </c>
      <c r="D69" s="24" t="inlineStr">
        <is>
          <t>Diagnosis, Adolescent</t>
        </is>
      </c>
      <c r="E69" s="24" t="inlineStr">
        <is>
          <t>Typical and pathological dissociative experiences in adolescents.</t>
        </is>
      </c>
      <c r="F69" s="24" t="n">
        <v>30</v>
      </c>
      <c r="G69" s="24" t="inlineStr">
        <is>
          <t>Self report</t>
        </is>
      </c>
      <c r="H69" s="24" t="inlineStr">
        <is>
          <t>11 to 18 years</t>
        </is>
      </c>
      <c r="I69" s="24" t="n">
        <v>5</v>
      </c>
      <c r="J69" s="24" t="inlineStr"/>
      <c r="K69" s="24" t="inlineStr">
        <is>
          <t>Not stated on page</t>
        </is>
      </c>
      <c r="L69" s="24" t="inlineStr">
        <is>
          <t>Not stated on page.</t>
        </is>
      </c>
      <c r="M69" s="24" t="inlineStr">
        <is>
          <t>Armstrong, J. G., Putnam, F. W., Carlson, E. B., Libero, D. Z., &amp; Smith, S. R. (1997). The Journal of Nervous and Mental Disease, 185(8), 491-497.</t>
        </is>
      </c>
      <c r="N69" s="24" t="inlineStr">
        <is>
          <t>Site footer only: "© 2026 Copyright – NovoPsych – All rights reserved". No instrument specific statement on the page.</t>
        </is>
      </c>
      <c r="O69" s="24" t="inlineStr">
        <is>
          <t>not stated</t>
        </is>
      </c>
      <c r="P69" s="24" t="inlineStr">
        <is>
          <t>Out of scope for the hub (child, adolescent, sport, eating, clinician or service feedback)</t>
        </is>
      </c>
      <c r="Q69" s="24" t="inlineStr"/>
      <c r="R69" s="24" t="inlineStr"/>
      <c r="S69" s="24" t="inlineStr">
        <is>
          <t>Scoring and Interpretation and Psychometric Properties sections are gated behind Professional Access login and not visible to an unauthenticated fetch.</t>
        </is>
      </c>
      <c r="T69" s="24" t="inlineStr">
        <is>
          <t>https://novopsych.com/assessments/diagnosis/adolescent-dissociative-experiences-scale-a-des/</t>
        </is>
      </c>
    </row>
    <row r="70">
      <c r="A70" s="24" t="n">
        <v>69</v>
      </c>
      <c r="B70" s="24" t="inlineStr">
        <is>
          <t>Positive Childhood Experiences Scale</t>
        </is>
      </c>
      <c r="C70" s="24" t="inlineStr">
        <is>
          <t>PCEs</t>
        </is>
      </c>
      <c r="D70" s="24" t="inlineStr">
        <is>
          <t>Formulation, Trauma</t>
        </is>
      </c>
      <c r="E70" s="24" t="inlineStr">
        <is>
          <t>Retrospective report of interpersonal childhood experiences (birth to 18) that act as developmental assets.</t>
        </is>
      </c>
      <c r="F70" s="24" t="n">
        <v>7</v>
      </c>
      <c r="G70" s="24" t="inlineStr">
        <is>
          <t>Self report</t>
        </is>
      </c>
      <c r="H70" s="24" t="inlineStr">
        <is>
          <t>18+</t>
        </is>
      </c>
      <c r="I70" s="24" t="n">
        <v>1</v>
      </c>
      <c r="J70" s="24" t="inlineStr"/>
      <c r="K70" s="24" t="inlineStr">
        <is>
          <t>Not stated on page</t>
        </is>
      </c>
      <c r="L70" s="24" t="inlineStr">
        <is>
          <t>Not stated on page.</t>
        </is>
      </c>
      <c r="M70" s="24" t="inlineStr">
        <is>
          <t>Bethell, C., Jones, J., Gombojav, N., Linkenbach, J., &amp; Sege, R. (2019). JAMA Pediatrics, 173(11), e193007.</t>
        </is>
      </c>
      <c r="N70" s="24" t="inlineStr">
        <is>
          <t>Site footer only: "© 2026 Copyright – NovoPsych – All rights reserved". No instrument specific statement on the page.</t>
        </is>
      </c>
      <c r="O70" s="24" t="inlineStr">
        <is>
          <t>not stated</t>
        </is>
      </c>
      <c r="P70" s="24" t="inlineStr">
        <is>
          <t>Shortlist: coaching and wellbeing (client facing possible)</t>
        </is>
      </c>
      <c r="Q70" s="24" t="inlineStr"/>
      <c r="R70" s="24" t="inlineStr"/>
      <c r="S70" s="24" t="inlineStr">
        <is>
          <t>Scoring and Interpretation and Psychometric Properties sections are gated behind Professional Access login and not visible to an unauthenticated fetch.</t>
        </is>
      </c>
      <c r="T70" s="24" t="inlineStr">
        <is>
          <t>https://novopsych.com/assessments/formulation/positive-childhood-experiences-pces-scale/</t>
        </is>
      </c>
    </row>
    <row r="71">
      <c r="A71" s="24" t="n">
        <v>70</v>
      </c>
      <c r="B71" s="24" t="inlineStr">
        <is>
          <t>Benevolent Childhood Experiences Scale</t>
        </is>
      </c>
      <c r="C71" s="24" t="inlineStr">
        <is>
          <t>BCEs</t>
        </is>
      </c>
      <c r="D71" s="24" t="inlineStr">
        <is>
          <t>Formulation, Trauma</t>
        </is>
      </c>
      <c r="E71" s="24" t="inlineStr">
        <is>
          <t>Retrospective report of positive childhood experiences (birth to 18) across multiple systems in a child's life.</t>
        </is>
      </c>
      <c r="F71" s="24" t="n">
        <v>20</v>
      </c>
      <c r="G71" s="24" t="inlineStr">
        <is>
          <t>Self report</t>
        </is>
      </c>
      <c r="H71" s="24" t="inlineStr">
        <is>
          <t>18+</t>
        </is>
      </c>
      <c r="I71" s="24" t="n">
        <v>3</v>
      </c>
      <c r="J71" s="24" t="inlineStr"/>
      <c r="K71" s="24" t="inlineStr">
        <is>
          <t>Not stated on page</t>
        </is>
      </c>
      <c r="L71" s="24" t="inlineStr">
        <is>
          <t>Not stated on page.</t>
        </is>
      </c>
      <c r="M71" s="24" t="inlineStr">
        <is>
          <t>Narayan, A. J., Rivera, L. M., Bernstein, R. E., Harris, W. W., &amp; Lieberman, A. F. (2018). Child Abuse and Neglect, 78, 19-30; revised BCEs: Narayan et al. (2023). Development and Psychopathology, 35(5), 2444-2463.</t>
        </is>
      </c>
      <c r="N71" s="24" t="inlineStr">
        <is>
          <t>Site footer only: "© 2026 Copyright – NovoPsych – All rights reserved". No instrument specific statement on the page.</t>
        </is>
      </c>
      <c r="O71" s="24" t="inlineStr">
        <is>
          <t>not stated</t>
        </is>
      </c>
      <c r="P71" s="24" t="inlineStr">
        <is>
          <t>Shortlist: coaching and wellbeing (client facing possible)</t>
        </is>
      </c>
      <c r="Q71" s="24" t="inlineStr"/>
      <c r="R71" s="24" t="inlineStr"/>
      <c r="S71" s="24" t="inlineStr">
        <is>
          <t>Scoring and Interpretation and Psychometric Properties sections are gated behind Professional Access login and not visible to an unauthenticated fetch. 20 items suggests the revised BCEs version (original had 10).</t>
        </is>
      </c>
      <c r="T71" s="24" t="inlineStr">
        <is>
          <t>https://novopsych.com/assessments/formulation/benevolent-childhood-experiences-bces-scale/</t>
        </is>
      </c>
    </row>
    <row r="72">
      <c r="A72" s="24" t="n">
        <v>71</v>
      </c>
      <c r="B72" s="24" t="inlineStr">
        <is>
          <t>Repetitive Behaviours Questionnaire 3</t>
        </is>
      </c>
      <c r="C72" s="24" t="inlineStr">
        <is>
          <t>RBQ-3</t>
        </is>
      </c>
      <c r="D72" s="24" t="inlineStr">
        <is>
          <t>Autism, Formulation</t>
        </is>
      </c>
      <c r="E72" s="24" t="inlineStr">
        <is>
          <t>Restricted and repetitive behaviours as a core feature of autism.</t>
        </is>
      </c>
      <c r="F72" s="24" t="n">
        <v>20</v>
      </c>
      <c r="G72" s="24" t="inlineStr">
        <is>
          <t>Self report (13+) or informant report (parent or other)</t>
        </is>
      </c>
      <c r="H72" s="24" t="inlineStr">
        <is>
          <t>Self report 13+; informant 15 months+</t>
        </is>
      </c>
      <c r="I72" s="24" t="n">
        <v>3</v>
      </c>
      <c r="J72" s="24" t="inlineStr"/>
      <c r="K72" s="24" t="inlineStr">
        <is>
          <t>Not stated on page</t>
        </is>
      </c>
      <c r="L72" s="24" t="inlineStr">
        <is>
          <t>Not stated on page.</t>
        </is>
      </c>
      <c r="M72" s="24" t="inlineStr">
        <is>
          <t>Jones, C. R. G., Livingston, L. A., Fretwell, C., Uljarevic, M., Carrington, S. J., Shah, P., &amp; Leekam, S. R. (2024). Molecular Autism, 15(1), 24. doi:10.1186/s13229-024-00603-7</t>
        </is>
      </c>
      <c r="N72" s="24" t="inlineStr">
        <is>
          <t>Site footer only: "© 2026 Copyright – NovoPsych – All rights reserved". No instrument specific statement on the page. Page notes the manual and PDF questionnaires are available from Cardiff University Wales Autism Research Centre.</t>
        </is>
      </c>
      <c r="O72" s="24" t="inlineStr">
        <is>
          <t>not stated</t>
        </is>
      </c>
      <c r="P72" s="24" t="inlineStr">
        <is>
          <t>Out of scope for the hub (not self report)</t>
        </is>
      </c>
      <c r="Q72" s="24" t="inlineStr"/>
      <c r="R72" s="24" t="inlineStr"/>
      <c r="S72" s="24" t="inlineStr">
        <is>
          <t>Scoring and Interpretation and Psychometric Properties sections are gated behind Professional Access login and not visible to an unauthenticated fetch. Access link points to NovoPsych registration.</t>
        </is>
      </c>
      <c r="T72" s="24" t="inlineStr">
        <is>
          <t>https://novopsych.com/assessments/formulation/repetitive-behaviours-questionnaire-3/</t>
        </is>
      </c>
    </row>
    <row r="73">
      <c r="A73" s="24" t="n">
        <v>72</v>
      </c>
      <c r="B73" s="24" t="inlineStr">
        <is>
          <t>Gender Preoccupation and Stability Questionnaire 2</t>
        </is>
      </c>
      <c r="C73" s="24" t="inlineStr">
        <is>
          <t>GPSQ-2</t>
        </is>
      </c>
      <c r="D73" s="24" t="inlineStr">
        <is>
          <t>Formulation</t>
        </is>
      </c>
      <c r="E73" s="24" t="inlineStr">
        <is>
          <t>Gender related distress (gender dysphoria).</t>
        </is>
      </c>
      <c r="F73" s="24" t="n">
        <v>14</v>
      </c>
      <c r="G73" s="24" t="inlineStr">
        <is>
          <t>Self report</t>
        </is>
      </c>
      <c r="H73" s="24" t="inlineStr">
        <is>
          <t>13+</t>
        </is>
      </c>
      <c r="I73" s="24" t="n">
        <v>3</v>
      </c>
      <c r="J73" s="24" t="inlineStr"/>
      <c r="K73" s="24" t="inlineStr">
        <is>
          <t>Not stated on page</t>
        </is>
      </c>
      <c r="L73" s="24" t="inlineStr">
        <is>
          <t>Not stated on page.</t>
        </is>
      </c>
      <c r="M73" s="24" t="inlineStr">
        <is>
          <t>Bowman, S. J., Hakeem, A., Demant, D., McAloon, J., &amp; Wootton, B. M. (2024). Journal of Homosexuality, 71(3), 666-690.</t>
        </is>
      </c>
      <c r="N73" s="24" t="inlineStr">
        <is>
          <t>Site footer only: "© 2026 Copyright – NovoPsych – All rights reserved". No instrument specific statement on the page.</t>
        </is>
      </c>
      <c r="O73" s="24" t="inlineStr">
        <is>
          <t>not stated</t>
        </is>
      </c>
      <c r="P73" s="24" t="inlineStr">
        <is>
          <t>Shortlist: screening or clinical (Sarah only if used)</t>
        </is>
      </c>
      <c r="Q73" s="24" t="inlineStr"/>
      <c r="R73" s="24" t="inlineStr"/>
      <c r="S73" s="24" t="inlineStr">
        <is>
          <t>Scoring and Interpretation and Psychometric Properties sections are gated behind Professional Access login and not visible to an unauthenticated fetch.</t>
        </is>
      </c>
      <c r="T73" s="24" t="inlineStr">
        <is>
          <t>https://novopsych.com/assessments/formulation/gender-preoccupation-stability-questionnaire-2/</t>
        </is>
      </c>
    </row>
    <row r="74">
      <c r="A74" s="24" t="n">
        <v>73</v>
      </c>
      <c r="B74" s="24" t="inlineStr">
        <is>
          <t>Autism Spectrum Quotient Adolescent Version</t>
        </is>
      </c>
      <c r="C74" s="24" t="inlineStr">
        <is>
          <t>AQ-Adolescent</t>
        </is>
      </c>
      <c r="D74" s="24" t="inlineStr">
        <is>
          <t>Adolescent, Autism, Diagnosis</t>
        </is>
      </c>
      <c r="E74" s="24" t="inlineStr">
        <is>
          <t>Autistic traits in adolescents, reported by a parent.</t>
        </is>
      </c>
      <c r="F74" s="24" t="n">
        <v>50</v>
      </c>
      <c r="G74" s="24" t="inlineStr">
        <is>
          <t>Parent report</t>
        </is>
      </c>
      <c r="H74" s="24" t="inlineStr">
        <is>
          <t>12 to 15 years</t>
        </is>
      </c>
      <c r="I74" s="24" t="n">
        <v>8</v>
      </c>
      <c r="J74" s="24" t="inlineStr"/>
      <c r="K74" s="24" t="inlineStr">
        <is>
          <t>Not stated on page</t>
        </is>
      </c>
      <c r="L74" s="24" t="inlineStr">
        <is>
          <t>Not stated on page.</t>
        </is>
      </c>
      <c r="M74" s="24" t="inlineStr">
        <is>
          <t>Baron-Cohen, S., Hoekstra, R. A., Knickmeyer, R., &amp; Wheelwright, S. (2006). Journal of Autism and Developmental Disorders, 36(3), 343-350.</t>
        </is>
      </c>
      <c r="N74" s="24" t="inlineStr">
        <is>
          <t>Site footer only: "© 2026 Copyright – NovoPsych – All rights reserved". No instrument specific statement on the page.</t>
        </is>
      </c>
      <c r="O74" s="24" t="inlineStr">
        <is>
          <t>not stated</t>
        </is>
      </c>
      <c r="P74" s="24" t="inlineStr">
        <is>
          <t>Out of scope for the hub (child, adolescent, sport, eating, clinician or service feedback)</t>
        </is>
      </c>
      <c r="Q74" s="24" t="inlineStr"/>
      <c r="R74" s="24" t="inlineStr"/>
      <c r="S74" s="24" t="inlineStr">
        <is>
          <t>Scoring and Interpretation and Psychometric Properties sections are gated behind Professional Access login and not visible to an unauthenticated fetch. A PDF download is offered without stated terms.</t>
        </is>
      </c>
      <c r="T74" s="24" t="inlineStr">
        <is>
          <t>https://novopsych.com/assessments/diagnosis/autism-spectrum-quotient-adolescent/</t>
        </is>
      </c>
    </row>
    <row r="75">
      <c r="A75" s="24" t="n">
        <v>74</v>
      </c>
      <c r="B75" s="24" t="inlineStr">
        <is>
          <t>Autism Spectrum Quotient Children's Version</t>
        </is>
      </c>
      <c r="C75" s="24" t="inlineStr">
        <is>
          <t>AQ-Child</t>
        </is>
      </c>
      <c r="D75" s="24" t="inlineStr">
        <is>
          <t>Child, Autism, Diagnosis</t>
        </is>
      </c>
      <c r="E75" s="24" t="inlineStr">
        <is>
          <t>Autistic traits in children, reported by a parent.</t>
        </is>
      </c>
      <c r="F75" s="24" t="n">
        <v>50</v>
      </c>
      <c r="G75" s="24" t="inlineStr">
        <is>
          <t>Parent report</t>
        </is>
      </c>
      <c r="H75" s="24" t="inlineStr">
        <is>
          <t>4 to 11 years</t>
        </is>
      </c>
      <c r="I75" s="24" t="n">
        <v>8</v>
      </c>
      <c r="J75" s="24" t="inlineStr"/>
      <c r="K75" s="24" t="inlineStr">
        <is>
          <t>Not stated on page</t>
        </is>
      </c>
      <c r="L75" s="24" t="inlineStr">
        <is>
          <t>Not stated on page.</t>
        </is>
      </c>
      <c r="M75" s="24" t="inlineStr">
        <is>
          <t>Auyeung, B., Baron-Cohen, S., Wheelwright, S., &amp; Allison, C. (2008). Journal of Autism and Developmental Disorders, 38(7), 1230-1240.</t>
        </is>
      </c>
      <c r="N75" s="24" t="inlineStr">
        <is>
          <t>Site footer only: "© 2026 Copyright – NovoPsych – All rights reserved". No instrument specific statement on the page.</t>
        </is>
      </c>
      <c r="O75" s="24" t="inlineStr">
        <is>
          <t>not stated</t>
        </is>
      </c>
      <c r="P75" s="24" t="inlineStr">
        <is>
          <t>Out of scope for the hub (child, adolescent, sport, eating, clinician or service feedback)</t>
        </is>
      </c>
      <c r="Q75" s="24" t="inlineStr"/>
      <c r="R75" s="24" t="inlineStr"/>
      <c r="S75" s="24" t="inlineStr">
        <is>
          <t>Scoring and Interpretation and Psychometric Properties sections are gated behind Professional Access login and not visible to an unauthenticated fetch. A PDF download is offered without stated terms.</t>
        </is>
      </c>
      <c r="T75" s="24" t="inlineStr">
        <is>
          <t>https://novopsych.com/assessments/diagnosis/autism-spectrum-quotient-child/</t>
        </is>
      </c>
    </row>
    <row r="76">
      <c r="A76" s="24" t="n">
        <v>75</v>
      </c>
      <c r="B76" s="24" t="inlineStr">
        <is>
          <t>Brief Emotional Intelligence Scale</t>
        </is>
      </c>
      <c r="C76" s="24" t="inlineStr">
        <is>
          <t>BEIS-10</t>
        </is>
      </c>
      <c r="D76" s="24" t="inlineStr">
        <is>
          <t>Formulation</t>
        </is>
      </c>
      <c r="E76" s="24" t="inlineStr">
        <is>
          <t>Emotional intelligence in adults.</t>
        </is>
      </c>
      <c r="F76" s="24" t="n">
        <v>10</v>
      </c>
      <c r="G76" s="24" t="inlineStr">
        <is>
          <t>Self report</t>
        </is>
      </c>
      <c r="H76" s="24" t="inlineStr">
        <is>
          <t>18+</t>
        </is>
      </c>
      <c r="I76" s="24" t="n">
        <v>2</v>
      </c>
      <c r="J76" s="24" t="inlineStr"/>
      <c r="K76" s="24" t="inlineStr">
        <is>
          <t>Not stated on page</t>
        </is>
      </c>
      <c r="L76" s="24" t="inlineStr">
        <is>
          <t>Not stated on page.</t>
        </is>
      </c>
      <c r="M76" s="24" t="inlineStr">
        <is>
          <t>Davies, K. A., Lane, A. M., Devonport, T. J., &amp; Scott, J. A. (2010). Journal of Individual Differences, 31(4), 198-208.</t>
        </is>
      </c>
      <c r="N76" s="24" t="inlineStr">
        <is>
          <t>Site footer only: "© 2026 Copyright – NovoPsych – All rights reserved". No instrument specific statement on the page.</t>
        </is>
      </c>
      <c r="O76" s="24" t="inlineStr">
        <is>
          <t>not stated</t>
        </is>
      </c>
      <c r="P76" s="24" t="inlineStr">
        <is>
          <t>Shortlist: coaching and wellbeing (client facing possible)</t>
        </is>
      </c>
      <c r="Q76" s="24" t="inlineStr"/>
      <c r="R76" s="24" t="inlineStr"/>
      <c r="S76" s="24" t="inlineStr">
        <is>
          <t>Scoring and Interpretation and Psychometric Properties sections are gated behind Professional Access login and not visible to an unauthenticated fetch.</t>
        </is>
      </c>
      <c r="T76" s="24" t="inlineStr">
        <is>
          <t>https://novopsych.com/assessments/formulation/brief-emotional-intelligence-scale/</t>
        </is>
      </c>
    </row>
    <row r="77">
      <c r="A77" s="24" t="n">
        <v>76</v>
      </c>
      <c r="B77" s="24" t="inlineStr">
        <is>
          <t>General Behaviour Inventory (Revised)</t>
        </is>
      </c>
      <c r="C77" s="24" t="inlineStr">
        <is>
          <t>GBI / GBI-R</t>
        </is>
      </c>
      <c r="D77" s="24" t="inlineStr">
        <is>
          <t>Bipolar, Formulation</t>
        </is>
      </c>
      <c r="E77" s="24" t="inlineStr">
        <is>
          <t>Frequency, intensity and duration of symptoms associated with bipolar I, bipolar II and cyclothymia.</t>
        </is>
      </c>
      <c r="F77" s="24" t="n">
        <v>73</v>
      </c>
      <c r="G77" s="24" t="inlineStr">
        <is>
          <t>Self report</t>
        </is>
      </c>
      <c r="H77" s="24" t="inlineStr">
        <is>
          <t>13+</t>
        </is>
      </c>
      <c r="I77" s="24" t="n">
        <v>13</v>
      </c>
      <c r="J77" s="24" t="inlineStr"/>
      <c r="K77" s="24" t="inlineStr">
        <is>
          <t>Not stated on page</t>
        </is>
      </c>
      <c r="L77" s="24" t="inlineStr">
        <is>
          <t>Not stated on page.</t>
        </is>
      </c>
      <c r="M77" s="24" t="inlineStr">
        <is>
          <t>Depue, R. A., Krauss, S., Spoont, M. R., &amp; Arbisi, P. (1989). Journal of Abnormal Psychology, 98(2), 117-126.</t>
        </is>
      </c>
      <c r="N77" s="24" t="inlineStr">
        <is>
          <t>Site footer only: "© 2026 Copyright – NovoPsych – All rights reserved". No instrument specific statement on the page.</t>
        </is>
      </c>
      <c r="O77" s="24" t="inlineStr">
        <is>
          <t>not stated</t>
        </is>
      </c>
      <c r="P77" s="24" t="inlineStr">
        <is>
          <t>Consider</t>
        </is>
      </c>
      <c r="Q77" s="24" t="inlineStr"/>
      <c r="R77" s="24" t="inlineStr"/>
      <c r="S77" s="24" t="inlineStr">
        <is>
          <t>Scoring and Interpretation and Psychometric Properties sections are gated behind Professional Access login and not visible to an unauthenticated fetch. Page title says GBI; body refers to the revised GBI-R.</t>
        </is>
      </c>
      <c r="T77" s="24" t="inlineStr">
        <is>
          <t>https://novopsych.com/assessments/formulation/general-behaviour-inventory-gbi/</t>
        </is>
      </c>
    </row>
    <row r="78">
      <c r="A78" s="24" t="n">
        <v>77</v>
      </c>
      <c r="B78" s="24" t="inlineStr">
        <is>
          <t>Adult Separation Anxiety Questionnaire</t>
        </is>
      </c>
      <c r="C78" s="24" t="inlineStr">
        <is>
          <t>ASA-27</t>
        </is>
      </c>
      <c r="D78" s="24" t="inlineStr">
        <is>
          <t>Anxiety, Diagnosis, Formulation</t>
        </is>
      </c>
      <c r="E78" s="24" t="inlineStr">
        <is>
          <t>Adult separation anxiety symptoms including worry, distress and avoidance around separation from loved ones or familiar places.</t>
        </is>
      </c>
      <c r="F78" s="24" t="n">
        <v>27</v>
      </c>
      <c r="G78" s="24" t="inlineStr">
        <is>
          <t>Self report</t>
        </is>
      </c>
      <c r="H78" s="24" t="inlineStr">
        <is>
          <t>18+</t>
        </is>
      </c>
      <c r="I78" s="24" t="n">
        <v>5</v>
      </c>
      <c r="J78" s="24" t="inlineStr"/>
      <c r="K78" s="24" t="inlineStr">
        <is>
          <t>Not stated on page</t>
        </is>
      </c>
      <c r="L78" s="24" t="inlineStr">
        <is>
          <t>Not stated on page.</t>
        </is>
      </c>
      <c r="M78" s="24" t="inlineStr">
        <is>
          <t>Manicavasagar, V., Silove, D., Wagner, R., &amp; Drobny, J. (2003). Comprehensive Psychiatry, 44(2), 146-153.</t>
        </is>
      </c>
      <c r="N78" s="24" t="inlineStr">
        <is>
          <t>Site footer only: "© 2026 Copyright – NovoPsych – All rights reserved". No instrument specific statement on the page.</t>
        </is>
      </c>
      <c r="O78" s="24" t="inlineStr">
        <is>
          <t>not stated</t>
        </is>
      </c>
      <c r="P78" s="24" t="inlineStr">
        <is>
          <t>Shortlist: screening or clinical (Sarah only if used)</t>
        </is>
      </c>
      <c r="Q78" s="24" t="inlineStr"/>
      <c r="R78" s="24" t="inlineStr"/>
      <c r="S78" s="24" t="inlineStr">
        <is>
          <t>Scoring and Interpretation and Psychometric Properties sections are gated behind Professional Access login and not visible to an unauthenticated fetch. Item count inferred from the code ASA-27, not stated explicitly. PDF download offered.</t>
        </is>
      </c>
      <c r="T78" s="24" t="inlineStr">
        <is>
          <t>https://novopsych.com/assessments/diagnosis/adult-separation-anxiety-questionnaire/</t>
        </is>
      </c>
    </row>
    <row r="79">
      <c r="A79" s="24" t="n">
        <v>78</v>
      </c>
      <c r="B79" s="24" t="inlineStr">
        <is>
          <t>ADHD Clinical Outcome Scale, Self Report Version</t>
        </is>
      </c>
      <c r="C79" s="24" t="inlineStr">
        <is>
          <t>ACOS-Self</t>
        </is>
      </c>
      <c r="D79" s="24" t="inlineStr">
        <is>
          <t>ADHD, Outcome monitoring</t>
        </is>
      </c>
      <c r="E79" s="24" t="inlineStr">
        <is>
          <t>Routine outcome measure of ADHD symptoms, related mental health problems and functional difficulties in adults.</t>
        </is>
      </c>
      <c r="F79" s="24" t="n">
        <v>15</v>
      </c>
      <c r="G79" s="24" t="inlineStr">
        <is>
          <t>Self report</t>
        </is>
      </c>
      <c r="H79" s="24" t="inlineStr">
        <is>
          <t>18+</t>
        </is>
      </c>
      <c r="I79" s="24" t="n">
        <v>3</v>
      </c>
      <c r="J79" s="24" t="inlineStr"/>
      <c r="K79" s="24" t="inlineStr">
        <is>
          <t>Not stated on page</t>
        </is>
      </c>
      <c r="L79" s="24" t="inlineStr">
        <is>
          <t>Not stated on page.</t>
        </is>
      </c>
      <c r="M79" s="24" t="inlineStr">
        <is>
          <t>Adamis, D., Singh, J., Coada, I., Wrigley, M., Gavin, B., &amp; McNicholas, F. (2024). BJPsych Open, 10(6), e180.</t>
        </is>
      </c>
      <c r="N79" s="24" t="inlineStr">
        <is>
          <t>Site footer only: "© 2026 Copyright – NovoPsych – All rights reserved". No instrument specific statement on the page.</t>
        </is>
      </c>
      <c r="O79" s="24" t="inlineStr">
        <is>
          <t>not stated</t>
        </is>
      </c>
      <c r="P79" s="24" t="inlineStr">
        <is>
          <t>Shortlist: coaching and wellbeing (client facing possible)</t>
        </is>
      </c>
      <c r="Q79" s="24" t="inlineStr"/>
      <c r="R79" s="24" t="inlineStr"/>
      <c r="S79" s="24" t="inlineStr">
        <is>
          <t>Scoring and Interpretation and Psychometric Properties sections are gated behind Professional Access login and not visible to an unauthenticated fetch. Companion clinician version catalogued separately.</t>
        </is>
      </c>
      <c r="T79" s="24" t="inlineStr">
        <is>
          <t>https://novopsych.com/assessments/outcome-monitoring/adhd-clinical-outcome-scale-acos-self-report-version/</t>
        </is>
      </c>
    </row>
    <row r="80">
      <c r="A80" s="24" t="n">
        <v>79</v>
      </c>
      <c r="B80" s="24" t="inlineStr">
        <is>
          <t>ADHD Clinical Outcome Scale, Clinician Version</t>
        </is>
      </c>
      <c r="C80" s="24" t="inlineStr">
        <is>
          <t>ACOS-Clinician</t>
        </is>
      </c>
      <c r="D80" s="24" t="inlineStr">
        <is>
          <t>ADHD, Outcome monitoring</t>
        </is>
      </c>
      <c r="E80" s="24" t="inlineStr">
        <is>
          <t>Clinician rated routine outcome measure of ADHD, related mental health problems and functional difficulties in adults.</t>
        </is>
      </c>
      <c r="F80" s="24" t="n">
        <v>15</v>
      </c>
      <c r="G80" s="24" t="inlineStr">
        <is>
          <t>Clinician</t>
        </is>
      </c>
      <c r="H80" s="24" t="inlineStr">
        <is>
          <t>18+</t>
        </is>
      </c>
      <c r="I80" s="24" t="n">
        <v>3</v>
      </c>
      <c r="J80" s="24" t="inlineStr"/>
      <c r="K80" s="24" t="inlineStr">
        <is>
          <t>Not stated on page</t>
        </is>
      </c>
      <c r="L80" s="24" t="inlineStr">
        <is>
          <t>Not stated on page.</t>
        </is>
      </c>
      <c r="M80" s="24" t="inlineStr">
        <is>
          <t>Adamis, D., Singh, J., Coada, I., Wrigley, M., Gavin, B., &amp; McNicholas, F. (2024). BJPsych Open, 10(6), e180. doi:10.1192/bjo.2024.739</t>
        </is>
      </c>
      <c r="N80" s="24" t="inlineStr">
        <is>
          <t>Site footer only: "© 2026 Copyright – NovoPsych – All rights reserved". No instrument specific statement on the page.</t>
        </is>
      </c>
      <c r="O80" s="24" t="inlineStr">
        <is>
          <t>not stated</t>
        </is>
      </c>
      <c r="P80" s="24" t="inlineStr">
        <is>
          <t>Out of scope for the hub (not self report)</t>
        </is>
      </c>
      <c r="Q80" s="24" t="inlineStr"/>
      <c r="R80" s="24" t="inlineStr"/>
      <c r="S80" s="24" t="inlineStr">
        <is>
          <t>Scoring and Interpretation and Psychometric Properties sections are gated behind Professional Access login and not visible to an unauthenticated fetch.</t>
        </is>
      </c>
      <c r="T80" s="24" t="inlineStr">
        <is>
          <t>https://novopsych.com/assessments/outcome-monitoring/adhd-clinical-outcome-scale-acos-clinician-version/</t>
        </is>
      </c>
    </row>
    <row r="81">
      <c r="A81" s="24" t="n">
        <v>80</v>
      </c>
      <c r="B81" s="24" t="inlineStr">
        <is>
          <t>Flourishing Scale</t>
        </is>
      </c>
      <c r="C81" s="24" t="inlineStr">
        <is>
          <t>FS</t>
        </is>
      </c>
      <c r="D81" s="24" t="inlineStr">
        <is>
          <t>Well-being</t>
        </is>
      </c>
      <c r="E81" s="24" t="inlineStr">
        <is>
          <t>Self perceived success in important life areas such as relationships, self esteem, purpose and optimism.</t>
        </is>
      </c>
      <c r="F81" s="24" t="n">
        <v>8</v>
      </c>
      <c r="G81" s="24" t="inlineStr">
        <is>
          <t>Self report</t>
        </is>
      </c>
      <c r="H81" s="24" t="inlineStr">
        <is>
          <t>18+</t>
        </is>
      </c>
      <c r="I81" s="24" t="n">
        <v>1</v>
      </c>
      <c r="J81" s="24" t="inlineStr"/>
      <c r="K81" s="24" t="inlineStr">
        <is>
          <t>Not stated on page</t>
        </is>
      </c>
      <c r="L81" s="24" t="inlineStr">
        <is>
          <t>Not stated on page.</t>
        </is>
      </c>
      <c r="M81" s="24" t="inlineStr">
        <is>
          <t>Diener, E., Wirtz, D., Tov, W., Kim-Prieto, C., Choi, D. W., Oishi, S., &amp; Biswas-Diener, R. (2010). Social Indicators Research, 97(2), 143-156.</t>
        </is>
      </c>
      <c r="N81" s="24" t="inlineStr">
        <is>
          <t>Site footer only: "© 2026 Copyright – NovoPsych – All rights reserved". No instrument specific statement on the page.</t>
        </is>
      </c>
      <c r="O81" s="24" t="inlineStr">
        <is>
          <t>not stated</t>
        </is>
      </c>
      <c r="P81" s="24" t="inlineStr">
        <is>
          <t>Shortlist: coaching and wellbeing (client facing possible)</t>
        </is>
      </c>
      <c r="Q81" s="24" t="inlineStr"/>
      <c r="R81" s="24" t="inlineStr"/>
      <c r="S81" s="24" t="inlineStr">
        <is>
          <t>Scoring and Interpretation and Psychometric Properties sections are gated behind Professional Access login and not visible to an unauthenticated fetch.</t>
        </is>
      </c>
      <c r="T81" s="24" t="inlineStr">
        <is>
          <t>https://novopsych.com/assessments/well-being/flourishing-scale-fs/</t>
        </is>
      </c>
    </row>
    <row r="82">
      <c r="A82" s="24" t="n">
        <v>81</v>
      </c>
      <c r="B82" s="24" t="inlineStr">
        <is>
          <t>Clinical Outcomes in Routine Evaluation Outcome Measure</t>
        </is>
      </c>
      <c r="C82" s="24" t="inlineStr">
        <is>
          <t>CORE-OM</t>
        </is>
      </c>
      <c r="D82" s="24" t="inlineStr">
        <is>
          <t>Outcome monitoring</t>
        </is>
      </c>
      <c r="E82" s="24" t="inlineStr">
        <is>
          <t>General psychological distress, used to track treatment response over the course of therapy.</t>
        </is>
      </c>
      <c r="F82" s="24" t="n"/>
      <c r="G82" s="24" t="inlineStr">
        <is>
          <t>Self report</t>
        </is>
      </c>
      <c r="H82" s="24" t="inlineStr">
        <is>
          <t>18+</t>
        </is>
      </c>
      <c r="I82" s="24" t="n">
        <v>6</v>
      </c>
      <c r="J82" s="24" t="inlineStr"/>
      <c r="K82" s="24" t="inlineStr">
        <is>
          <t>Not stated on page</t>
        </is>
      </c>
      <c r="L82" s="24" t="inlineStr">
        <is>
          <t>Not stated on page.</t>
        </is>
      </c>
      <c r="M82" s="24" t="inlineStr">
        <is>
          <t>Evans, C., Connell, J., Barkham, M., Margison, F., McGrath, G., Mellor-Clark, J., &amp; Audin, K. (2002). The British Journal of Psychiatry, 180, 51-60.</t>
        </is>
      </c>
      <c r="N82" s="24" t="inlineStr">
        <is>
          <t>"The copyright holder for the CORE-OM is the CORE System Trust." No further licensing terms on page.</t>
        </is>
      </c>
      <c r="O82" s="24" t="inlineStr">
        <is>
          <t>not stated</t>
        </is>
      </c>
      <c r="P82" s="24" t="inlineStr">
        <is>
          <t>Shortlist: coaching and wellbeing (client facing possible)</t>
        </is>
      </c>
      <c r="Q82" s="24" t="inlineStr"/>
      <c r="R82" s="24" t="inlineStr"/>
      <c r="S82" s="24" t="inlineStr">
        <is>
          <t>Scoring and Interpretation and Psychometric Properties sections are gated behind Professional Access login and not visible to an unauthenticated fetch. Copyright held by a third party (CORE System Trust); item count not stated (published measure has 34 items; verify).</t>
        </is>
      </c>
      <c r="T82" s="24" t="inlineStr">
        <is>
          <t>https://novopsych.com/assessments/outcome-monitoring/clinical-outcomes-in-routine-evaluation-core-om/</t>
        </is>
      </c>
    </row>
    <row r="83">
      <c r="A83" s="24" t="n">
        <v>82</v>
      </c>
      <c r="B83" s="24" t="inlineStr">
        <is>
          <t>Clinical Outcomes in Routine Evaluation 10</t>
        </is>
      </c>
      <c r="C83" s="24" t="inlineStr">
        <is>
          <t>CORE-10</t>
        </is>
      </c>
      <c r="D83" s="24" t="inlineStr">
        <is>
          <t>Outcome monitoring</t>
        </is>
      </c>
      <c r="E83" s="24" t="inlineStr">
        <is>
          <t>Psychological distress over the past week for routine symptom tracking during treatment.</t>
        </is>
      </c>
      <c r="F83" s="24" t="n">
        <v>10</v>
      </c>
      <c r="G83" s="24" t="inlineStr">
        <is>
          <t>Self report</t>
        </is>
      </c>
      <c r="H83" s="24" t="inlineStr">
        <is>
          <t>17+</t>
        </is>
      </c>
      <c r="I83" s="24" t="n">
        <v>2</v>
      </c>
      <c r="J83" s="24" t="inlineStr"/>
      <c r="K83" s="24" t="inlineStr">
        <is>
          <t>Not stated on page</t>
        </is>
      </c>
      <c r="L83" s="24" t="inlineStr">
        <is>
          <t>Not stated on page.</t>
        </is>
      </c>
      <c r="M83" s="24" t="inlineStr">
        <is>
          <t>Barkham, M., Bewick, B., Mullin, T., Gilbody, S., Connell, J., Cahill, J., Mellor-Clark, J., Richards, D., Unsworth, G., &amp; Evans, C. (2013). Counselling and Psychotherapy Research. doi:10.1080/14733145.2012.729069</t>
        </is>
      </c>
      <c r="N83" s="24" t="inlineStr">
        <is>
          <t>"The copyright holder for the CORE-10 is the CORE System Trust". No further licensing terms on page.</t>
        </is>
      </c>
      <c r="O83" s="24" t="inlineStr">
        <is>
          <t>not stated</t>
        </is>
      </c>
      <c r="P83" s="24" t="inlineStr">
        <is>
          <t>Shortlist: coaching and wellbeing (client facing possible)</t>
        </is>
      </c>
      <c r="Q83" s="24" t="inlineStr"/>
      <c r="R83" s="24" t="inlineStr"/>
      <c r="S83" s="24" t="inlineStr">
        <is>
          <t>Scoring and Interpretation and Psychometric Properties sections are gated behind Professional Access login and not visible to an unauthenticated fetch. Copyright held by a third party (CORE System Trust). Page developer section lists a different DOI (10.4236/psych.2014.510141) that appears to be an error.</t>
        </is>
      </c>
      <c r="T83" s="24" t="inlineStr">
        <is>
          <t>https://novopsych.com/assessments/outcome-monitoring/clinical-outcomes-in-routine-evaluation-10-core-10/</t>
        </is>
      </c>
    </row>
    <row r="84">
      <c r="A84" s="24" t="n">
        <v>83</v>
      </c>
      <c r="B84" s="24" t="inlineStr">
        <is>
          <t>Camouflaging Autistic Traits Questionnaire</t>
        </is>
      </c>
      <c r="C84" s="24" t="inlineStr">
        <is>
          <t>CAT-Q</t>
        </is>
      </c>
      <c r="D84" s="24" t="inlineStr">
        <is>
          <t>Adolescent, Autism, Formulation</t>
        </is>
      </c>
      <c r="E84" s="24" t="inlineStr">
        <is>
          <t>Strategies used to adapt to or mask autistic traits in social situations.</t>
        </is>
      </c>
      <c r="F84" s="24" t="n">
        <v>25</v>
      </c>
      <c r="G84" s="24" t="inlineStr">
        <is>
          <t>Self report</t>
        </is>
      </c>
      <c r="H84" s="24" t="inlineStr">
        <is>
          <t>16+</t>
        </is>
      </c>
      <c r="I84" s="24" t="n"/>
      <c r="J84" s="24" t="inlineStr">
        <is>
          <t>Compensation, Masking, Assimilation</t>
        </is>
      </c>
      <c r="K84" s="24" t="inlineStr">
        <is>
          <t>Not stated on page</t>
        </is>
      </c>
      <c r="L84" s="24" t="inlineStr">
        <is>
          <t>Total and subscale scores reported as percentiles against non autistic adults of the same gender; higher = more camouflaging. Qualitative descriptors described without cut off values. A change of 13 or more total points is treated as meaningful.</t>
        </is>
      </c>
      <c r="M84" s="24" t="inlineStr">
        <is>
          <t>Hull, L., Mandy, W., Lai, M. C., Baron-Cohen, S., Allison, C., Smith, P., &amp; Petrides, K. V. (2019). Journal of Autism and Developmental Disorders, 49(3), 819-833.</t>
        </is>
      </c>
      <c r="N84" s="24" t="inlineStr">
        <is>
          <t>No copyright, licensing or permission statement found on page.</t>
        </is>
      </c>
      <c r="O84" s="24" t="inlineStr">
        <is>
          <t>not stated</t>
        </is>
      </c>
      <c r="P84" s="24" t="inlineStr">
        <is>
          <t>Out of scope for the hub (child, adolescent, sport, eating, clinician or service feedback)</t>
        </is>
      </c>
      <c r="Q84" s="24" t="inlineStr"/>
      <c r="R84" s="24" t="inlineStr"/>
      <c r="S84" s="24" t="inlineStr">
        <is>
          <t>Administration time not stated.</t>
        </is>
      </c>
      <c r="T84" s="24" t="inlineStr">
        <is>
          <t>https://novopsych.com/assessments/formulation/camouflaging-autistic-traits-questionnaire-cat-q/</t>
        </is>
      </c>
    </row>
    <row r="85">
      <c r="A85" s="24" t="n">
        <v>84</v>
      </c>
      <c r="B85" s="24" t="inlineStr">
        <is>
          <t>Maladaptive Schema Scale</t>
        </is>
      </c>
      <c r="C85" s="24" t="inlineStr">
        <is>
          <t>MSS</t>
        </is>
      </c>
      <c r="D85" s="24" t="inlineStr">
        <is>
          <t>Formulation</t>
        </is>
      </c>
      <c r="E85" s="24" t="inlineStr">
        <is>
          <t>Maladaptive patterns of thought, behaviour and emotion (27 schemas) relevant to mental ill health, for case formulation.</t>
        </is>
      </c>
      <c r="F85" s="24" t="n">
        <v>108</v>
      </c>
      <c r="G85" s="24" t="inlineStr">
        <is>
          <t>Self report</t>
        </is>
      </c>
      <c r="H85" s="24" t="inlineStr">
        <is>
          <t>18+</t>
        </is>
      </c>
      <c r="I85" s="24" t="n">
        <v>15</v>
      </c>
      <c r="J85" s="24" t="inlineStr">
        <is>
          <t>27 schemas (not all named on page), Childhood Unmet Needs Clusters, Schema Focus Categories</t>
        </is>
      </c>
      <c r="K85" s="24" t="inlineStr">
        <is>
          <t>Not stated on page</t>
        </is>
      </c>
      <c r="L85" s="24" t="inlineStr">
        <is>
          <t>Method not stated. Clinical thresholds are set at the 90th percentile of a clinical sample; numeric cut offs not published on page.</t>
        </is>
      </c>
      <c r="M85" s="24" t="inlineStr">
        <is>
          <t>Not stated on page for the MSS. Related: Buchanan, B., et al. (2025). Assessment. doi:10.1177/10731911251390083. Page says NovoPsych developed the adaptive MSS-Dynamic.</t>
        </is>
      </c>
      <c r="N85" s="24" t="inlineStr">
        <is>
          <t>"The MSS is distributed under an open-source license, removing the restrictive copyright and financial barriers associated with the YSQ and its derivatives, thereby providing free access for clinical and research use."</t>
        </is>
      </c>
      <c r="O85" s="24" t="inlineStr">
        <is>
          <t>free, copyright held by authors</t>
        </is>
      </c>
      <c r="P85" s="24" t="inlineStr">
        <is>
          <t>Shortlist: coaching and wellbeing (client facing possible)</t>
        </is>
      </c>
      <c r="Q85" s="24" t="inlineStr"/>
      <c r="R85" s="24" t="inlineStr"/>
      <c r="S85" s="24" t="inlineStr">
        <is>
          <t>Open source licence stated; exact licence name not given. Example schemas named: Excessive Self-Reliance / Avoidant Attachment, Lack of Coherent Identity, Meaningless World, Unfairness. Page published 28 October 2024.</t>
        </is>
      </c>
      <c r="T85" s="24" t="inlineStr">
        <is>
          <t>https://novopsych.com/assessments/formulation/maladaptive-schema-scale-mss/</t>
        </is>
      </c>
    </row>
    <row r="86">
      <c r="A86" s="24" t="n">
        <v>85</v>
      </c>
      <c r="B86" s="24" t="inlineStr">
        <is>
          <t>Maladaptive Schema Scale, Young Schema Aligned</t>
        </is>
      </c>
      <c r="C86" s="24" t="inlineStr">
        <is>
          <t>MSS-YSQ</t>
        </is>
      </c>
      <c r="D86" s="24" t="inlineStr">
        <is>
          <t>Formulation</t>
        </is>
      </c>
      <c r="E86" s="24" t="inlineStr">
        <is>
          <t>Problematic thinking, behavioural and emotional patterns aligned with the schemas of the 1990 Young Schema Questionnaire.</t>
        </is>
      </c>
      <c r="F86" s="24" t="n">
        <v>76</v>
      </c>
      <c r="G86" s="24" t="inlineStr">
        <is>
          <t>Self report (implied; not stated)</t>
        </is>
      </c>
      <c r="H86" s="24" t="inlineStr">
        <is>
          <t>18+</t>
        </is>
      </c>
      <c r="I86" s="24" t="n">
        <v>8</v>
      </c>
      <c r="J86" s="24" t="inlineStr"/>
      <c r="K86" s="24" t="inlineStr">
        <is>
          <t>Not stated on page</t>
        </is>
      </c>
      <c r="L86" s="24" t="inlineStr">
        <is>
          <t>Not stated on page. A schema scores bar chart is referenced.</t>
        </is>
      </c>
      <c r="M86" s="24" t="inlineStr">
        <is>
          <t>Buchanan, B., Bartholomew, E., Smyth, C., &amp; Hegarty, D. (2024). The Maladaptive Schema Scale, Young Schema Aligned. Parent instrument: Buchanan et al. (2025). Assessment. doi:10.1177/10731911251390083</t>
        </is>
      </c>
      <c r="N86" s="24" t="inlineStr">
        <is>
          <t>Site footer only: "© 2026 Copyright – NovoPsych – All rights reserved". No instrument specific statement on the page.</t>
        </is>
      </c>
      <c r="O86" s="24" t="inlineStr">
        <is>
          <t>not stated</t>
        </is>
      </c>
      <c r="P86" s="24" t="inlineStr">
        <is>
          <t>Shortlist: coaching and wellbeing (client facing possible)</t>
        </is>
      </c>
      <c r="Q86" s="24" t="inlineStr"/>
      <c r="R86" s="24" t="inlineStr"/>
      <c r="S86" s="24" t="inlineStr">
        <is>
          <t>Scoring and Interpretation and Psychometric Properties sections are gated behind Professional Access login and not visible to an unauthenticated fetch. Schema names section present but not captured. Parent MSS page states an open source licence; not restated here.</t>
        </is>
      </c>
      <c r="T86" s="24" t="inlineStr">
        <is>
          <t>https://novopsych.com/assessments/formulation/mss-ysq-young-schema-questionnaire/</t>
        </is>
      </c>
    </row>
    <row r="87">
      <c r="A87" s="24" t="n">
        <v>86</v>
      </c>
      <c r="B87" s="24" t="inlineStr">
        <is>
          <t>Brief Experiential Avoidance Questionnaire</t>
        </is>
      </c>
      <c r="C87" s="24" t="inlineStr">
        <is>
          <t>BEAQ</t>
        </is>
      </c>
      <c r="D87" s="24" t="inlineStr">
        <is>
          <t>Formulation</t>
        </is>
      </c>
      <c r="E87" s="24" t="inlineStr">
        <is>
          <t>Tendency to avoid unpleasant emotions, thoughts, memories or bodily sensations.</t>
        </is>
      </c>
      <c r="F87" s="24" t="n"/>
      <c r="G87" s="24" t="inlineStr">
        <is>
          <t>Self report (implied; not stated)</t>
        </is>
      </c>
      <c r="H87" s="24" t="inlineStr">
        <is>
          <t>18+</t>
        </is>
      </c>
      <c r="I87" s="24" t="n">
        <v>3</v>
      </c>
      <c r="J87" s="24" t="inlineStr"/>
      <c r="K87" s="24" t="inlineStr">
        <is>
          <t>Not stated on page</t>
        </is>
      </c>
      <c r="L87" s="24" t="inlineStr">
        <is>
          <t>Not stated on page.</t>
        </is>
      </c>
      <c r="M87" s="24" t="inlineStr">
        <is>
          <t>Gamez, W., Chmielewski, M., Kotov, R., Ruggero, C., Suzuki, N., &amp; Watson, D. (2014). Psychological Assessment, 26(1), 35-45. doi:10.1037/a0034473</t>
        </is>
      </c>
      <c r="N87" s="24" t="inlineStr">
        <is>
          <t>Site footer only: "© 2026 Copyright – NovoPsych – All rights reserved". No instrument specific statement on the page.</t>
        </is>
      </c>
      <c r="O87" s="24" t="inlineStr">
        <is>
          <t>not stated</t>
        </is>
      </c>
      <c r="P87" s="24" t="inlineStr">
        <is>
          <t>Shortlist: coaching and wellbeing (client facing possible)</t>
        </is>
      </c>
      <c r="Q87" s="24" t="inlineStr"/>
      <c r="R87" s="24" t="inlineStr"/>
      <c r="S87" s="24" t="inlineStr">
        <is>
          <t>Scoring and Interpretation and Psychometric Properties sections are gated behind Professional Access login and not visible to an unauthenticated fetch. Item count not stated (published BEAQ has 15 items; verify).</t>
        </is>
      </c>
      <c r="T87" s="24" t="inlineStr">
        <is>
          <t>https://novopsych.com/assessments/formulation/brief-experiential-avoidance-questionnaire-beaq/</t>
        </is>
      </c>
    </row>
    <row r="88">
      <c r="A88" s="24" t="n">
        <v>87</v>
      </c>
      <c r="B88" s="24" t="inlineStr">
        <is>
          <t>Strengths and Weaknesses of ADHD Symptoms and Normal Behavior Scale</t>
        </is>
      </c>
      <c r="C88" s="24" t="inlineStr">
        <is>
          <t>SWAN</t>
        </is>
      </c>
      <c r="D88" s="24" t="inlineStr">
        <is>
          <t>ADHD</t>
        </is>
      </c>
      <c r="E88" s="24" t="inlineStr">
        <is>
          <t>Strengths and difficulties in attention and behavioural regulation in children and adolescents.</t>
        </is>
      </c>
      <c r="F88" s="24" t="n">
        <v>18</v>
      </c>
      <c r="G88" s="24" t="inlineStr">
        <is>
          <t>Parent report (typical); other versions not stated</t>
        </is>
      </c>
      <c r="H88" s="24" t="inlineStr">
        <is>
          <t>5 to 18 years</t>
        </is>
      </c>
      <c r="I88" s="24" t="n">
        <v>3</v>
      </c>
      <c r="J88" s="24" t="inlineStr"/>
      <c r="K88" s="24" t="inlineStr">
        <is>
          <t>Not stated on page</t>
        </is>
      </c>
      <c r="L88" s="24" t="inlineStr">
        <is>
          <t>Not stated on page.</t>
        </is>
      </c>
      <c r="M88" s="24" t="inlineStr">
        <is>
          <t>Developer James M. Swanson. Swanson, J. M., Schuck, S., Porter, M. M., et al. (2012). The International Journal of Educational and Psychological Assessment, 10(1), 51-70.</t>
        </is>
      </c>
      <c r="N88" s="24" t="inlineStr">
        <is>
          <t>Site footer only: "© 2026 Copyright – NovoPsych – All rights reserved". No instrument specific statement on the page.</t>
        </is>
      </c>
      <c r="O88" s="24" t="inlineStr">
        <is>
          <t>not stated</t>
        </is>
      </c>
      <c r="P88" s="24" t="inlineStr">
        <is>
          <t>Out of scope for the hub (not self report)</t>
        </is>
      </c>
      <c r="Q88" s="24" t="inlineStr"/>
      <c r="R88" s="24" t="inlineStr"/>
      <c r="S88" s="24" t="inlineStr">
        <is>
          <t>Scoring and Interpretation and Psychometric Properties sections are gated behind Professional Access login and not visible to an unauthenticated fetch. PDF download offered without stated terms. URL sits under /adhd/ rather than /assessments/.</t>
        </is>
      </c>
      <c r="T88" s="24" t="inlineStr">
        <is>
          <t>https://novopsych.com/adhd/strengths-and-weaknesses-of-adhd-symptoms-and-normal-behavior-scale-swan/</t>
        </is>
      </c>
    </row>
    <row r="89">
      <c r="A89" s="24" t="n">
        <v>88</v>
      </c>
      <c r="B89" s="24" t="inlineStr">
        <is>
          <t>Brief Early Schema Questionnaire</t>
        </is>
      </c>
      <c r="C89" s="24" t="inlineStr">
        <is>
          <t>BESQ</t>
        </is>
      </c>
      <c r="D89" s="24" t="inlineStr">
        <is>
          <t>Formulation</t>
        </is>
      </c>
      <c r="E89" s="24" t="inlineStr">
        <is>
          <t>Rapid screening of maladaptive patterns of thoughts, behaviours and emotions (early maladaptive schemas).</t>
        </is>
      </c>
      <c r="F89" s="24" t="n">
        <v>24</v>
      </c>
      <c r="G89" s="24" t="inlineStr">
        <is>
          <t>Self report (implied; not stated)</t>
        </is>
      </c>
      <c r="H89" s="24" t="inlineStr">
        <is>
          <t>18+</t>
        </is>
      </c>
      <c r="I89" s="24" t="n">
        <v>6</v>
      </c>
      <c r="J89" s="24" t="inlineStr"/>
      <c r="K89" s="24" t="inlineStr">
        <is>
          <t>Not stated on page</t>
        </is>
      </c>
      <c r="L89" s="24" t="inlineStr">
        <is>
          <t>Not stated on page.</t>
        </is>
      </c>
      <c r="M89" s="24" t="inlineStr">
        <is>
          <t>Brockman, R., Hayes, C., &amp; Behary, W. (2023). Brief Early Schema Questionnaire (BESQ). No journal listed.</t>
        </is>
      </c>
      <c r="N89" s="24" t="inlineStr">
        <is>
          <t>Site footer only: "© 2026 Copyright – NovoPsych – All rights reserved". No instrument specific statement on the page.</t>
        </is>
      </c>
      <c r="O89" s="24" t="inlineStr">
        <is>
          <t>not stated</t>
        </is>
      </c>
      <c r="P89" s="24" t="inlineStr">
        <is>
          <t>Shortlist: coaching and wellbeing (client facing possible)</t>
        </is>
      </c>
      <c r="Q89" s="24" t="inlineStr"/>
      <c r="R89" s="24" t="inlineStr"/>
      <c r="S89" s="24" t="inlineStr">
        <is>
          <t>Scoring and Interpretation and Psychometric Properties sections are gated behind Professional Access login and not visible to an unauthenticated fetch.</t>
        </is>
      </c>
      <c r="T89" s="24" t="inlineStr">
        <is>
          <t>https://novopsych.com/assessments/formulation/brief-early-schema-questionnaire-besq/</t>
        </is>
      </c>
    </row>
    <row r="90">
      <c r="A90" s="24" t="n">
        <v>89</v>
      </c>
      <c r="B90" s="24" t="inlineStr">
        <is>
          <t>Binge Eating Scale</t>
        </is>
      </c>
      <c r="C90" s="24" t="inlineStr">
        <is>
          <t>BES</t>
        </is>
      </c>
      <c r="D90" s="24" t="inlineStr">
        <is>
          <t>Body image and eating</t>
        </is>
      </c>
      <c r="E90" s="24" t="inlineStr">
        <is>
          <t>Presence and behavioural features of binge eating disorder.</t>
        </is>
      </c>
      <c r="F90" s="24" t="n">
        <v>16</v>
      </c>
      <c r="G90" s="24" t="inlineStr">
        <is>
          <t>Self report</t>
        </is>
      </c>
      <c r="H90" s="24" t="inlineStr">
        <is>
          <t>18+</t>
        </is>
      </c>
      <c r="I90" s="24" t="n">
        <v>5</v>
      </c>
      <c r="J90" s="24" t="inlineStr"/>
      <c r="K90" s="24" t="inlineStr">
        <is>
          <t>Not stated on page</t>
        </is>
      </c>
      <c r="L90" s="24" t="inlineStr">
        <is>
          <t>Not stated on page.</t>
        </is>
      </c>
      <c r="M90" s="24" t="inlineStr">
        <is>
          <t>Gormally, J., Black, S., Daston, S., &amp; Rardin, D. (1982). Addictive Behaviors, 7(1), 47-55.</t>
        </is>
      </c>
      <c r="N90" s="24" t="inlineStr">
        <is>
          <t>Site footer only: "© 2026 Copyright – NovoPsych – All rights reserved". No instrument specific statement on the page.</t>
        </is>
      </c>
      <c r="O90" s="24" t="inlineStr">
        <is>
          <t>not stated</t>
        </is>
      </c>
      <c r="P90" s="24" t="inlineStr">
        <is>
          <t>Out of scope for the hub (child, adolescent, sport, eating, clinician or service feedback)</t>
        </is>
      </c>
      <c r="Q90" s="24" t="inlineStr"/>
      <c r="R90" s="24" t="inlineStr"/>
      <c r="S90" s="24" t="inlineStr">
        <is>
          <t>Scoring and Interpretation and Psychometric Properties sections are gated behind Professional Access login and not visible to an unauthenticated fetch.</t>
        </is>
      </c>
      <c r="T90" s="24" t="inlineStr">
        <is>
          <t>https://novopsych.com/assessments/eating/binge-eating-scale-bes/</t>
        </is>
      </c>
    </row>
    <row r="91">
      <c r="A91" s="24" t="n">
        <v>90</v>
      </c>
      <c r="B91" s="24" t="inlineStr">
        <is>
          <t>Childhood Autism Spectrum Test</t>
        </is>
      </c>
      <c r="C91" s="24" t="inlineStr">
        <is>
          <t>CAST</t>
        </is>
      </c>
      <c r="D91" s="24" t="inlineStr">
        <is>
          <t>Autism, Child, Diagnosis</t>
        </is>
      </c>
      <c r="E91" s="24" t="inlineStr">
        <is>
          <t>Screens for developmental differences in children's social and communication functioning.</t>
        </is>
      </c>
      <c r="F91" s="24" t="n"/>
      <c r="G91" s="24" t="inlineStr">
        <is>
          <t>Informant report (parent, carer or teacher)</t>
        </is>
      </c>
      <c r="H91" s="24" t="inlineStr">
        <is>
          <t>4 to 11 years</t>
        </is>
      </c>
      <c r="I91" s="24" t="n">
        <v>5</v>
      </c>
      <c r="J91" s="24" t="inlineStr"/>
      <c r="K91" s="24" t="inlineStr">
        <is>
          <t>Not stated on page</t>
        </is>
      </c>
      <c r="L91" s="24" t="inlineStr">
        <is>
          <t>Not stated on page.</t>
        </is>
      </c>
      <c r="M91" s="24" t="inlineStr">
        <is>
          <t>Scott, F. J., Baron-Cohen, S., Bolton, P., &amp; Brayne, C. (2002). The CAST (Childhood Asperger Syndrome Test). Autism, 6(1), 9-31.</t>
        </is>
      </c>
      <c r="N91" s="24" t="inlineStr">
        <is>
          <t>Site footer only: "© 2026 Copyright – NovoPsych – All rights reserved". No instrument specific statement on the page.</t>
        </is>
      </c>
      <c r="O91" s="24" t="inlineStr">
        <is>
          <t>not stated</t>
        </is>
      </c>
      <c r="P91" s="24" t="inlineStr">
        <is>
          <t>Out of scope for the hub (child, adolescent, sport, eating, clinician or service feedback)</t>
        </is>
      </c>
      <c r="Q91" s="24" t="inlineStr"/>
      <c r="R91" s="24" t="inlineStr"/>
      <c r="S91" s="24" t="inlineStr">
        <is>
          <t>Scoring and Interpretation and Psychometric Properties sections are gated behind Professional Access login and not visible to an unauthenticated fetch. Originally named Childhood Asperger Syndrome Test. Item count not stated (published CAST has 37 items; verify). Blank PDF download offered.</t>
        </is>
      </c>
      <c r="T91" s="24" t="inlineStr">
        <is>
          <t>https://novopsych.com/assessments/diagnosis/childhood-autism-spectrum-test-cast/</t>
        </is>
      </c>
    </row>
    <row r="92">
      <c r="A92" s="24" t="n">
        <v>91</v>
      </c>
      <c r="B92" s="24" t="inlineStr">
        <is>
          <t>Anxiety, Depression, and Mood Scale</t>
        </is>
      </c>
      <c r="C92" s="24" t="inlineStr">
        <is>
          <t>ADAMS</t>
        </is>
      </c>
      <c r="D92" s="24" t="inlineStr">
        <is>
          <t>Disability</t>
        </is>
      </c>
      <c r="E92" s="24" t="inlineStr">
        <is>
          <t>Symptoms of anxiety, depression and other mood disorders in people with intellectual disability.</t>
        </is>
      </c>
      <c r="F92" s="24" t="n"/>
      <c r="G92" s="24" t="inlineStr">
        <is>
          <t>Informant report</t>
        </is>
      </c>
      <c r="H92" s="24" t="inlineStr">
        <is>
          <t>10+</t>
        </is>
      </c>
      <c r="I92" s="24" t="n">
        <v>5</v>
      </c>
      <c r="J92" s="24" t="inlineStr"/>
      <c r="K92" s="24" t="inlineStr">
        <is>
          <t>Not stated on page</t>
        </is>
      </c>
      <c r="L92" s="24" t="inlineStr">
        <is>
          <t>Not stated on page</t>
        </is>
      </c>
      <c r="M92" s="24" t="inlineStr">
        <is>
          <t>Esbensen, A. J., Rojahn, J., Aman, M. G., &amp; Ruedrich, S. (2003). Reliability and validity of an assessment instrument for anxiety, depression, and mood among individuals with mental retardation. Journal of Autism and Developmental Disorders, 33(6), 617-629.</t>
        </is>
      </c>
      <c r="N92" s="24" t="inlineStr">
        <is>
          <t>© 2026 Copyright – NovoPsych – All rights reserved</t>
        </is>
      </c>
      <c r="O92" s="24" t="inlineStr">
        <is>
          <t>not stated</t>
        </is>
      </c>
      <c r="P92" s="24" t="inlineStr">
        <is>
          <t>Out of scope for the hub (not self report)</t>
        </is>
      </c>
      <c r="Q92" s="24" t="inlineStr"/>
      <c r="R92" s="24" t="inlineStr"/>
      <c r="S92" s="24" t="inlineStr">
        <is>
          <t>Item count, response scale and scoring not visible. Detailed sections are behind Professional Access; only the site footer copyright notice appears on the public page.</t>
        </is>
      </c>
      <c r="T92" s="24" t="inlineStr">
        <is>
          <t>https://novopsych.com/assessments/disability/anxiety-depression-mood-scale-adams/</t>
        </is>
      </c>
    </row>
    <row r="93">
      <c r="A93" s="24" t="n">
        <v>92</v>
      </c>
      <c r="B93" s="24" t="inlineStr">
        <is>
          <t>Mental Health Literacy Scale</t>
        </is>
      </c>
      <c r="C93" s="24" t="inlineStr">
        <is>
          <t>MHLS</t>
        </is>
      </c>
      <c r="D93" s="24" t="inlineStr">
        <is>
          <t>Clinician self assessment, Formulation</t>
        </is>
      </c>
      <c r="E93" s="24" t="inlineStr">
        <is>
          <t>Knowledge and beliefs about mental disorders that support their recognition, management or prevention.</t>
        </is>
      </c>
      <c r="F93" s="24" t="n">
        <v>35</v>
      </c>
      <c r="G93" s="24" t="inlineStr">
        <is>
          <t>Self report (listed under clinician self assessment)</t>
        </is>
      </c>
      <c r="H93" s="24" t="inlineStr">
        <is>
          <t>13+</t>
        </is>
      </c>
      <c r="I93" s="24" t="n">
        <v>5</v>
      </c>
      <c r="J93" s="24" t="inlineStr"/>
      <c r="K93" s="24" t="inlineStr">
        <is>
          <t>Not stated on page</t>
        </is>
      </c>
      <c r="L93" s="24" t="inlineStr">
        <is>
          <t>Not stated on page</t>
        </is>
      </c>
      <c r="M93" s="24" t="inlineStr">
        <is>
          <t>O'Connor, M., &amp; Casey, L. (2015). The Mental Health Literacy Scale (MHLS): A new scale-based measure of mental health literacy. Psychiatry Research, 229(1-2), 511-516.</t>
        </is>
      </c>
      <c r="N93" s="24" t="inlineStr">
        <is>
          <t>"The MHLS is not to be used for commercial purposes." Page also states that those interested in using the MHLS for research purposes should contact the developer. Site footer: © 2026 Copyright – NovoPsych – All rights reserved</t>
        </is>
      </c>
      <c r="O93" s="24" t="inlineStr">
        <is>
          <t>permission required</t>
        </is>
      </c>
      <c r="P93" s="24" t="inlineStr">
        <is>
          <t>Out of scope for the hub (child, adolescent, sport, eating, clinician or service feedback)</t>
        </is>
      </c>
      <c r="Q93" s="24" t="inlineStr"/>
      <c r="R93" s="24" t="inlineStr"/>
      <c r="S93" s="24" t="inlineStr">
        <is>
          <t>Non commercial use only; developer contact required for research use. Scoring section not visible on public page.</t>
        </is>
      </c>
      <c r="T93" s="24" t="inlineStr">
        <is>
          <t>https://novopsych.com/assessments/clinician-self-assessment/mental-health-literacy-scale-mhls/</t>
        </is>
      </c>
    </row>
    <row r="94">
      <c r="A94" s="24" t="n">
        <v>93</v>
      </c>
      <c r="B94" s="24" t="inlineStr">
        <is>
          <t>Buss and Perry Aggression Questionnaire</t>
        </is>
      </c>
      <c r="C94" s="24" t="inlineStr">
        <is>
          <t>BPAQ</t>
        </is>
      </c>
      <c r="D94" s="24" t="inlineStr">
        <is>
          <t>Formulation, Personality</t>
        </is>
      </c>
      <c r="E94" s="24" t="inlineStr">
        <is>
          <t>Self reported aggression across physical and verbal aggression, anger and hostility.</t>
        </is>
      </c>
      <c r="F94" s="24" t="n">
        <v>29</v>
      </c>
      <c r="G94" s="24" t="inlineStr">
        <is>
          <t>Self report</t>
        </is>
      </c>
      <c r="H94" s="24" t="inlineStr">
        <is>
          <t>18+</t>
        </is>
      </c>
      <c r="I94" s="24" t="n">
        <v>5</v>
      </c>
      <c r="J94" s="24" t="inlineStr">
        <is>
          <t>Physical Aggression, Verbal Aggression, Anger, Hostility</t>
        </is>
      </c>
      <c r="K94" s="24" t="inlineStr">
        <is>
          <t>5 point rating scale; anchor labels not stated on page</t>
        </is>
      </c>
      <c r="L94" s="24" t="inlineStr">
        <is>
          <t>Subscales summed; ranges Physical Aggression 9 to 45, Verbal Aggression 5 to 25, Anger 7 to 35, Hostility 8 to 40. Higher scores indicate more of the construct. No cut offs stated.</t>
        </is>
      </c>
      <c r="M94" s="24" t="inlineStr">
        <is>
          <t>Buss, A. H., &amp; Perry, M. (1992). The Aggression Questionnaire. Journal of Personality and Social Psychology, 63(3), 452-459.</t>
        </is>
      </c>
      <c r="N94" s="24" t="inlineStr">
        <is>
          <t>© 2026 Copyright – NovoPsych – All rights reserved</t>
        </is>
      </c>
      <c r="O94" s="24" t="inlineStr">
        <is>
          <t>not stated</t>
        </is>
      </c>
      <c r="P94" s="24" t="inlineStr">
        <is>
          <t>Shortlist: coaching and wellbeing (client facing possible)</t>
        </is>
      </c>
      <c r="Q94" s="24" t="inlineStr"/>
      <c r="R94" s="24" t="inlineStr"/>
      <c r="S94" s="24" t="inlineStr">
        <is>
          <t>Repeat administrations graphed over time on the platform.</t>
        </is>
      </c>
      <c r="T94" s="24" t="inlineStr">
        <is>
          <t>https://novopsych.com/assessments/formulation/buss-perry-aggression-questionnaire-bpaq/</t>
        </is>
      </c>
    </row>
    <row r="95">
      <c r="A95" s="24" t="n">
        <v>94</v>
      </c>
      <c r="B95" s="24" t="inlineStr">
        <is>
          <t>Brief Emotional Distress Scale for Youth</t>
        </is>
      </c>
      <c r="C95" s="24" t="inlineStr">
        <is>
          <t>BEDSY</t>
        </is>
      </c>
      <c r="D95" s="24" t="inlineStr">
        <is>
          <t>Adolescent, Outcome monitoring</t>
        </is>
      </c>
      <c r="E95" s="24" t="inlineStr">
        <is>
          <t>General emotional distress in young people rather than specific anxiety or depression symptoms.</t>
        </is>
      </c>
      <c r="F95" s="24" t="n">
        <v>8</v>
      </c>
      <c r="G95" s="24" t="inlineStr">
        <is>
          <t>Self report</t>
        </is>
      </c>
      <c r="H95" s="24" t="inlineStr">
        <is>
          <t>11 to 17</t>
        </is>
      </c>
      <c r="I95" s="24" t="n">
        <v>1</v>
      </c>
      <c r="J95" s="24" t="inlineStr"/>
      <c r="K95" s="24" t="inlineStr">
        <is>
          <t>Not stated on page</t>
        </is>
      </c>
      <c r="L95" s="24" t="inlineStr">
        <is>
          <t>Not stated on page</t>
        </is>
      </c>
      <c r="M95" s="24" t="inlineStr">
        <is>
          <t>Spence, S. H., &amp; Rapee, R. M. (2022). Journal of Anxiety Disorders, 85, 102495. https://doi.org/10.1016/j.janxdis.2021.102495</t>
        </is>
      </c>
      <c r="N95" s="24" t="inlineStr">
        <is>
          <t>© 2026 Copyright – NovoPsych – All rights reserved</t>
        </is>
      </c>
      <c r="O95" s="24" t="inlineStr">
        <is>
          <t>not stated</t>
        </is>
      </c>
      <c r="P95" s="24" t="inlineStr">
        <is>
          <t>Out of scope for the hub (child, adolescent, sport, eating, clinician or service feedback)</t>
        </is>
      </c>
      <c r="Q95" s="24" t="inlineStr"/>
      <c r="R95" s="24" t="inlineStr"/>
      <c r="S95" s="24" t="inlineStr">
        <is>
          <t>Scoring and interpretation heading present without visible content. Detailed sections are behind Professional Access; only the site footer copyright notice appears on the public page.</t>
        </is>
      </c>
      <c r="T95" s="24" t="inlineStr">
        <is>
          <t>https://novopsych.com/assessments/outcome-monitoring/brief-emotional-distress-scale-for-youth-bedsy/</t>
        </is>
      </c>
    </row>
    <row r="96">
      <c r="A96" s="24" t="n">
        <v>95</v>
      </c>
      <c r="B96" s="24" t="inlineStr">
        <is>
          <t>Geriatric Depression Scale 15</t>
        </is>
      </c>
      <c r="C96" s="24" t="inlineStr">
        <is>
          <t>GDS-15</t>
        </is>
      </c>
      <c r="D96" s="24" t="inlineStr">
        <is>
          <t>Depression, Diagnosis</t>
        </is>
      </c>
      <c r="E96" s="24" t="inlineStr">
        <is>
          <t>Screening for depression in older adults based on feelings over the past week.</t>
        </is>
      </c>
      <c r="F96" s="24" t="n">
        <v>15</v>
      </c>
      <c r="G96" s="24" t="inlineStr">
        <is>
          <t>Not stated on page (self report by design)</t>
        </is>
      </c>
      <c r="H96" s="24" t="inlineStr">
        <is>
          <t>55+</t>
        </is>
      </c>
      <c r="I96" s="24" t="n">
        <v>3</v>
      </c>
      <c r="J96" s="24" t="inlineStr"/>
      <c r="K96" s="24" t="inlineStr">
        <is>
          <t>Not stated on page</t>
        </is>
      </c>
      <c r="L96" s="24" t="inlineStr">
        <is>
          <t>Cut off of 6 for clinical depression; results shown as percentiles against older adult norms. Sum method and direction not stated on page.</t>
        </is>
      </c>
      <c r="M96" s="24" t="inlineStr">
        <is>
          <t>Yesavage, J. A., Brink, T. L., Rose, T. L., Lum, O., Huang, V., Adey, M., &amp; Leirer, V. O. (1982). Development and validation of a geriatric depression screening scale: A preliminary report. Journal of Psychiatric Research, 17(1), 37-49.</t>
        </is>
      </c>
      <c r="N96" s="24" t="inlineStr">
        <is>
          <t>© 2026 Copyright – NovoPsych – All rights reserved</t>
        </is>
      </c>
      <c r="O96" s="24" t="inlineStr">
        <is>
          <t>not stated</t>
        </is>
      </c>
      <c r="P96" s="24" t="inlineStr">
        <is>
          <t>Shortlist: screening or clinical (Sarah only if used)</t>
        </is>
      </c>
      <c r="Q96" s="24" t="inlineStr"/>
      <c r="R96" s="24" t="inlineStr"/>
      <c r="S96" s="24" t="inlineStr">
        <is>
          <t>Meta description mentions 2 subscales but they are not named on the page.</t>
        </is>
      </c>
      <c r="T96" s="24" t="inlineStr">
        <is>
          <t>https://novopsych.com/assessments/diagnosis/geriatric-depression-scale-15-gds/</t>
        </is>
      </c>
    </row>
    <row r="97">
      <c r="A97" s="24" t="n">
        <v>96</v>
      </c>
      <c r="B97" s="24" t="inlineStr">
        <is>
          <t>Weiss Symptom Record II</t>
        </is>
      </c>
      <c r="C97" s="24" t="inlineStr">
        <is>
          <t>WSR-II</t>
        </is>
      </c>
      <c r="D97" s="24" t="inlineStr">
        <is>
          <t>Formulation</t>
        </is>
      </c>
      <c r="E97" s="24" t="inlineStr">
        <is>
          <t>Broad screening tool for systematically gathering information about a wide range of psychiatric symptoms.</t>
        </is>
      </c>
      <c r="F97" s="24" t="n">
        <v>123</v>
      </c>
      <c r="G97" s="24" t="inlineStr">
        <is>
          <t>Not stated on page</t>
        </is>
      </c>
      <c r="H97" s="24" t="inlineStr">
        <is>
          <t>6+</t>
        </is>
      </c>
      <c r="I97" s="24" t="n">
        <v>20</v>
      </c>
      <c r="J97" s="24" t="inlineStr"/>
      <c r="K97" s="24" t="inlineStr">
        <is>
          <t>Not stated on page</t>
        </is>
      </c>
      <c r="L97" s="24" t="inlineStr">
        <is>
          <t>Not stated on page</t>
        </is>
      </c>
      <c r="M97" s="24" t="inlineStr">
        <is>
          <t>Weiss, M. D. (developer named on page; no full bibliographic citation given).</t>
        </is>
      </c>
      <c r="N97" s="24" t="inlineStr">
        <is>
          <t>© 2026 Copyright – NovoPsych – All rights reserved</t>
        </is>
      </c>
      <c r="O97" s="24" t="inlineStr">
        <is>
          <t>not stated</t>
        </is>
      </c>
      <c r="P97" s="24" t="inlineStr">
        <is>
          <t>Shortlist: screening or clinical (Sarah only if used)</t>
        </is>
      </c>
      <c r="Q97" s="24" t="inlineStr"/>
      <c r="R97" s="24" t="inlineStr"/>
      <c r="S97" s="24" t="inlineStr">
        <is>
          <t>Blank PDF and sample report offered without terms of use. Detailed sections are behind Professional Access; only the site footer copyright notice appears on the public page.</t>
        </is>
      </c>
      <c r="T97" s="24" t="inlineStr">
        <is>
          <t>https://novopsych.com/assessments/formulation/weiss-symptom-record-ii-wsr-ii/</t>
        </is>
      </c>
    </row>
    <row r="98">
      <c r="A98" s="24" t="n">
        <v>97</v>
      </c>
      <c r="B98" s="24" t="inlineStr">
        <is>
          <t>Indigenous Risk Impact Screen</t>
        </is>
      </c>
      <c r="C98" s="24" t="inlineStr">
        <is>
          <t>IRIS</t>
        </is>
      </c>
      <c r="D98" s="24" t="inlineStr">
        <is>
          <t>Addiction, Outcome monitoring</t>
        </is>
      </c>
      <c r="E98" s="24" t="inlineStr">
        <is>
          <t>Alcohol and other drug risk and mental health and emotional wellbeing risk in Indigenous Australian adults.</t>
        </is>
      </c>
      <c r="F98" s="24" t="n">
        <v>13</v>
      </c>
      <c r="G98" s="24" t="inlineStr">
        <is>
          <t>Not stated on page</t>
        </is>
      </c>
      <c r="H98" s="24" t="inlineStr">
        <is>
          <t>18+</t>
        </is>
      </c>
      <c r="I98" s="24" t="n">
        <v>3</v>
      </c>
      <c r="J98" s="24" t="inlineStr">
        <is>
          <t>Alcohol and Other Drug risk, Mental Health and Emotional Well-being risk</t>
        </is>
      </c>
      <c r="K98" s="24" t="inlineStr">
        <is>
          <t>Not stated on page</t>
        </is>
      </c>
      <c r="L98" s="24" t="inlineStr">
        <is>
          <t>Summed subscales, higher indicates greater risk. AOD risk ranges 7 to 28, score of 10 or more clinically significant. Mental health risk ranges 6 to 18, score of 11 or more clinically significant.</t>
        </is>
      </c>
      <c r="M98" s="24" t="inlineStr">
        <is>
          <t>Schlesinger, C. M., Ober, C., McCarthy, M. M., Watson, J. D., &amp; Seinen, A. (2007). The development and validation of the Indigenous Risk Impact Screen (IRIS). Drug and Alcohol Review, 26(2), 109-117.</t>
        </is>
      </c>
      <c r="N98" s="24" t="inlineStr">
        <is>
          <t>© 2026 Copyright – NovoPsych – All rights reserved</t>
        </is>
      </c>
      <c r="O98" s="24" t="inlineStr">
        <is>
          <t>not stated</t>
        </is>
      </c>
      <c r="P98" s="24" t="inlineStr">
        <is>
          <t>Consider</t>
        </is>
      </c>
      <c r="Q98" s="24" t="inlineStr"/>
      <c r="R98" s="24" t="inlineStr"/>
      <c r="S98" s="24" t="inlineStr">
        <is>
          <t>Items 1 to 7 form the AOD subscale and items 8 to 13 the mental health subscale.</t>
        </is>
      </c>
      <c r="T98" s="24" t="inlineStr">
        <is>
          <t>https://novopsych.com/assessments/outcome-monitoring/indigenous_risk_impact_screen/</t>
        </is>
      </c>
    </row>
    <row r="99">
      <c r="A99" s="24" t="n">
        <v>98</v>
      </c>
      <c r="B99" s="24" t="inlineStr">
        <is>
          <t>Children's Eating Attitudes Test</t>
        </is>
      </c>
      <c r="C99" s="24" t="inlineStr">
        <is>
          <t>ChEAT</t>
        </is>
      </c>
      <c r="D99" s="24" t="inlineStr">
        <is>
          <t>Adolescent, Body image and eating, Child</t>
        </is>
      </c>
      <c r="E99" s="24" t="inlineStr">
        <is>
          <t>Eating attitudes and disordered eating behaviours in children, used to screen for eating disorder risk.</t>
        </is>
      </c>
      <c r="F99" s="24" t="n">
        <v>26</v>
      </c>
      <c r="G99" s="24" t="inlineStr">
        <is>
          <t>Self report; items read aloud by administrator for younger children</t>
        </is>
      </c>
      <c r="H99" s="24" t="inlineStr">
        <is>
          <t>8 to 15</t>
        </is>
      </c>
      <c r="I99" s="24" t="n">
        <v>3</v>
      </c>
      <c r="J99" s="24" t="inlineStr"/>
      <c r="K99" s="24" t="inlineStr">
        <is>
          <t>Not stated on page</t>
        </is>
      </c>
      <c r="L99" s="24" t="inlineStr">
        <is>
          <t>Not stated on page</t>
        </is>
      </c>
      <c r="M99" s="24" t="inlineStr">
        <is>
          <t>Maloney, M. J., McGuire, J. B., &amp; Daniels, S. R. (1988). Reliability testing of a children's version of the Eating Attitude Test. Journal of the American Academy of Child &amp; Adolescent Psychiatry, 27(5), 541-543.</t>
        </is>
      </c>
      <c r="N99" s="24" t="inlineStr">
        <is>
          <t>© 2026 Copyright – NovoPsych – All rights reserved</t>
        </is>
      </c>
      <c r="O99" s="24" t="inlineStr">
        <is>
          <t>not stated</t>
        </is>
      </c>
      <c r="P99" s="24" t="inlineStr">
        <is>
          <t>Out of scope for the hub (child, adolescent, sport, eating, clinician or service feedback)</t>
        </is>
      </c>
      <c r="Q99" s="24" t="inlineStr"/>
      <c r="R99" s="24" t="inlineStr"/>
      <c r="S99" s="24" t="inlineStr">
        <is>
          <t>Second reference: Maloney et al. (1989), Pediatrics, 84(3), 482-489. Detailed sections are behind Professional Access; only the site footer copyright notice appears on the public page.</t>
        </is>
      </c>
      <c r="T99" s="24" t="inlineStr">
        <is>
          <t>https://novopsych.com/assessments/child/children-eating-attitudes-test-cheat/</t>
        </is>
      </c>
    </row>
    <row r="100">
      <c r="A100" s="24" t="n">
        <v>99</v>
      </c>
      <c r="B100" s="24" t="inlineStr">
        <is>
          <t>Oldenburg Burnout Inventory</t>
        </is>
      </c>
      <c r="C100" s="24" t="inlineStr">
        <is>
          <t>OLBI</t>
        </is>
      </c>
      <c r="D100" s="24" t="inlineStr">
        <is>
          <t>Outcome monitoring, Well-being</t>
        </is>
      </c>
      <c r="E100" s="24" t="inlineStr">
        <is>
          <t>Burnout in employed adults, covering exhaustion and disengagement from work.</t>
        </is>
      </c>
      <c r="F100" s="24" t="n">
        <v>16</v>
      </c>
      <c r="G100" s="24" t="inlineStr">
        <is>
          <t>Self report</t>
        </is>
      </c>
      <c r="H100" s="24" t="inlineStr">
        <is>
          <t>18+</t>
        </is>
      </c>
      <c r="I100" s="24" t="n">
        <v>3</v>
      </c>
      <c r="J100" s="24" t="inlineStr">
        <is>
          <t>Exhaustion, Disengagement</t>
        </is>
      </c>
      <c r="K100" s="24" t="inlineStr">
        <is>
          <t>Not stated on page</t>
        </is>
      </c>
      <c r="L100" s="24" t="inlineStr">
        <is>
          <t>Summed; subscales range 8 to 32 each, higher indicates more burnout. Percentiles against pooled norms; total of 43 is about the 49th percentile. Above 50th percentile described as clinically significant. Exhaustion 23+ and Disengagement 22+ described as high.</t>
        </is>
      </c>
      <c r="M100" s="24" t="inlineStr">
        <is>
          <t>Demerouti, E. (1999). Burnout: Eine Folge konkreter Arbeitsbedingungen bei Dienstleistungs- und Produktionstaetigkeiten. Peter Lang.</t>
        </is>
      </c>
      <c r="N100" s="24" t="inlineStr">
        <is>
          <t>© 2026 Copyright – NovoPsych – All rights reserved</t>
        </is>
      </c>
      <c r="O100" s="24" t="inlineStr">
        <is>
          <t>not stated</t>
        </is>
      </c>
      <c r="P100" s="24" t="inlineStr">
        <is>
          <t>Shortlist: coaching and wellbeing (client facing possible)</t>
        </is>
      </c>
      <c r="Q100" s="24" t="inlineStr"/>
      <c r="R100" s="24" t="inlineStr"/>
      <c r="S100" s="24" t="inlineStr">
        <is>
          <t>Change over time assessed against a minimally important difference of half a standard deviation.</t>
        </is>
      </c>
      <c r="T100" s="24" t="inlineStr">
        <is>
          <t>https://novopsych.com/assessments/well-being/oldenburg-burnout-inventory-olbi/</t>
        </is>
      </c>
    </row>
    <row r="101">
      <c r="A101" s="24" t="n">
        <v>100</v>
      </c>
      <c r="B101" s="24" t="inlineStr">
        <is>
          <t>Eating Disorder-15</t>
        </is>
      </c>
      <c r="C101" s="24" t="inlineStr">
        <is>
          <t>ED-15</t>
        </is>
      </c>
      <c r="D101" s="24" t="inlineStr">
        <is>
          <t>Body image and eating, Outcome monitoring</t>
        </is>
      </c>
      <c r="E101" s="24" t="inlineStr">
        <is>
          <t>Eating disorder attitudes and behaviours for session by session change monitoring.</t>
        </is>
      </c>
      <c r="F101" s="24" t="n">
        <v>15</v>
      </c>
      <c r="G101" s="24" t="inlineStr">
        <is>
          <t>Self report (a separate caregiver version, ED-15-P, exists)</t>
        </is>
      </c>
      <c r="H101" s="24" t="inlineStr">
        <is>
          <t>15+; youth adaptation from age 8</t>
        </is>
      </c>
      <c r="I101" s="24" t="n">
        <v>2</v>
      </c>
      <c r="J101" s="24" t="inlineStr">
        <is>
          <t>Weight &amp; Shape Concerns, Eating Concerns</t>
        </is>
      </c>
      <c r="K101" s="24" t="inlineStr">
        <is>
          <t>7 point (0 to 6) for attitudinal items; behavioural items 11 to 15 rated by frequency over the past week. Anchor labels not stated.</t>
        </is>
      </c>
      <c r="L101" s="24" t="inlineStr">
        <is>
          <t>Subscale scores are item means from 0 to 6. Scores of 2.1 or above are clinically significant (sensitivity .73, specificity .73). Reported as community and clinical percentiles; a change of 1 or more in total is clinically meaningful.</t>
        </is>
      </c>
      <c r="M101" s="24" t="inlineStr">
        <is>
          <t>Tatham, M., Turner, H., Mountford, V. A., Tritt, A., Dyas, R., &amp; Waller, G. (2015). Development, psychometric properties and preliminary clinical validation of a brief, session-by-session measure of eating disorder cognitions and behaviors: The ED-15. International Journal of Eating Disorders, 48(7), 1005-1015.</t>
        </is>
      </c>
      <c r="N101" s="24" t="inlineStr">
        <is>
          <t>© 2026 Copyright – NovoPsych – All rights reserved</t>
        </is>
      </c>
      <c r="O101" s="24" t="inlineStr">
        <is>
          <t>not stated</t>
        </is>
      </c>
      <c r="P101" s="24" t="inlineStr">
        <is>
          <t>Out of scope for the hub (child, adolescent, sport, eating, clinician or service feedback)</t>
        </is>
      </c>
      <c r="Q101" s="24" t="inlineStr"/>
      <c r="R101" s="24" t="inlineStr"/>
      <c r="S101" s="24" t="inlineStr">
        <is>
          <t>Weight &amp; Shape Concerns uses items 2, 4, 5, 6, 9, 10; Eating Concerns uses items 1, 3, 7, 8.</t>
        </is>
      </c>
      <c r="T101" s="24" t="inlineStr">
        <is>
          <t>https://novopsych.com/assessments/outcome-monitoring/eating_disorder-15ed-15/</t>
        </is>
      </c>
    </row>
    <row r="102">
      <c r="A102" s="24" t="n">
        <v>101</v>
      </c>
      <c r="B102" s="24" t="inlineStr">
        <is>
          <t>Leeds Dependence Questionnaire</t>
        </is>
      </c>
      <c r="C102" s="24" t="inlineStr">
        <is>
          <t>LDQ</t>
        </is>
      </c>
      <c r="D102" s="24" t="inlineStr">
        <is>
          <t>Addiction, Diagnosis, Health</t>
        </is>
      </c>
      <c r="E102" s="24" t="inlineStr">
        <is>
          <t>Substance dependence as a unitary continuous construct across all substance classes.</t>
        </is>
      </c>
      <c r="F102" s="24" t="n">
        <v>10</v>
      </c>
      <c r="G102" s="24" t="inlineStr">
        <is>
          <t>Self report</t>
        </is>
      </c>
      <c r="H102" s="24" t="inlineStr">
        <is>
          <t>18+</t>
        </is>
      </c>
      <c r="I102" s="24" t="n">
        <v>2</v>
      </c>
      <c r="J102" s="24" t="inlineStr"/>
      <c r="K102" s="24" t="inlineStr">
        <is>
          <t>Not stated on page</t>
        </is>
      </c>
      <c r="L102" s="24" t="inlineStr">
        <is>
          <t>Yields a unitary continuous measure of dependence; scoring detail and cut offs not visible on page.</t>
        </is>
      </c>
      <c r="M102" s="24" t="inlineStr">
        <is>
          <t>Raistrick, D., Bradshaw, J., Tober, G., Weiner, J., Allison, J., &amp; Healey, C. (1994). Development of the Leeds Dependence Questionnaire (LDQ). Addiction, 89(5), 563-572.</t>
        </is>
      </c>
      <c r="N102" s="24" t="inlineStr">
        <is>
          <t>© 2026 Copyright – NovoPsych – All rights reserved</t>
        </is>
      </c>
      <c r="O102" s="24" t="inlineStr">
        <is>
          <t>not stated</t>
        </is>
      </c>
      <c r="P102" s="24" t="inlineStr">
        <is>
          <t>Shortlist: screening or clinical (Sarah only if used)</t>
        </is>
      </c>
      <c r="Q102" s="24" t="inlineStr"/>
      <c r="R102" s="24" t="inlineStr"/>
      <c r="S102" s="24" t="inlineStr">
        <is>
          <t>URL slug refers to alcohol addiction questionnaire but the page is the LDQ. Detailed sections are behind Professional Access; only the site footer copyright notice appears on the public page.</t>
        </is>
      </c>
      <c r="T102" s="24" t="inlineStr">
        <is>
          <t>https://novopsych.com/assessments/diagnosis/alcohol-addiction-questionnaire/</t>
        </is>
      </c>
    </row>
    <row r="103">
      <c r="A103" s="24" t="n">
        <v>102</v>
      </c>
      <c r="B103" s="24" t="inlineStr">
        <is>
          <t>Institute for Basic Research Modified Overt Aggression Scale</t>
        </is>
      </c>
      <c r="C103" s="24" t="inlineStr">
        <is>
          <t>IBR-MOAS</t>
        </is>
      </c>
      <c r="D103" s="24" t="inlineStr">
        <is>
          <t>Autism, Child</t>
        </is>
      </c>
      <c r="E103" s="24" t="inlineStr">
        <is>
          <t>Type, frequency and severity of aggressive behaviours in autistic, brain injured and intellectually disabled populations.</t>
        </is>
      </c>
      <c r="F103" s="24" t="n">
        <v>20</v>
      </c>
      <c r="G103" s="24" t="inlineStr">
        <is>
          <t>Caregiver report</t>
        </is>
      </c>
      <c r="H103" s="24" t="inlineStr">
        <is>
          <t>6+</t>
        </is>
      </c>
      <c r="I103" s="24" t="n">
        <v>3</v>
      </c>
      <c r="J103" s="24" t="inlineStr"/>
      <c r="K103" s="24" t="inlineStr">
        <is>
          <t>Not stated on page</t>
        </is>
      </c>
      <c r="L103" s="24" t="inlineStr">
        <is>
          <t>Not stated on page</t>
        </is>
      </c>
      <c r="M103" s="24" t="inlineStr">
        <is>
          <t>Cohen, I. L., Tsiouris, J. A., Flory, M. J., et al. (2010). A large scale study of the psychometric characteristics of the IBR Modified Overt Aggression Scale. Journal of Autism and Developmental Disorders, 40, 599-609.</t>
        </is>
      </c>
      <c r="N103" s="24" t="inlineStr">
        <is>
          <t>© 2026 Copyright – NovoPsych – All rights reserved</t>
        </is>
      </c>
      <c r="O103" s="24" t="inlineStr">
        <is>
          <t>not stated</t>
        </is>
      </c>
      <c r="P103" s="24" t="inlineStr">
        <is>
          <t>Out of scope for the hub (child, adolescent, sport, eating, clinician or service feedback)</t>
        </is>
      </c>
      <c r="Q103" s="24" t="inlineStr"/>
      <c r="R103" s="24" t="inlineStr"/>
      <c r="S103" s="24" t="inlineStr">
        <is>
          <t>Detailed sections are behind Professional Access; only the site footer copyright notice appears on the public page.</t>
        </is>
      </c>
      <c r="T103" s="24" t="inlineStr">
        <is>
          <t>https://novopsych.com/assessments/child/aggression-scale-for-autism/</t>
        </is>
      </c>
    </row>
    <row r="104">
      <c r="A104" s="24" t="n">
        <v>103</v>
      </c>
      <c r="B104" s="24" t="inlineStr">
        <is>
          <t>Toronto Alexithymia Scale</t>
        </is>
      </c>
      <c r="C104" s="24" t="inlineStr">
        <is>
          <t>TAS-20</t>
        </is>
      </c>
      <c r="D104" s="24" t="inlineStr">
        <is>
          <t>Formulation</t>
        </is>
      </c>
      <c r="E104" s="24" t="inlineStr">
        <is>
          <t>Alexithymia, including difficulty identifying and describing feelings and externally oriented thinking.</t>
        </is>
      </c>
      <c r="F104" s="24" t="n">
        <v>20</v>
      </c>
      <c r="G104" s="24" t="inlineStr">
        <is>
          <t>Self report</t>
        </is>
      </c>
      <c r="H104" s="24" t="inlineStr">
        <is>
          <t>17+</t>
        </is>
      </c>
      <c r="I104" s="24" t="n">
        <v>4</v>
      </c>
      <c r="J104" s="24" t="inlineStr"/>
      <c r="K104" s="24" t="inlineStr">
        <is>
          <t>Not stated on page</t>
        </is>
      </c>
      <c r="L104" s="24" t="inlineStr">
        <is>
          <t>Not stated on page</t>
        </is>
      </c>
      <c r="M104" s="24" t="inlineStr">
        <is>
          <t>Bagby, R. M., Parker, J. D., &amp; Taylor, G. J. (1994). The twenty-item Toronto Alexithymia Scale I. Item selection and cross-validation of the factor structure. Journal of Psychosomatic Research, 38(1), 23-32.</t>
        </is>
      </c>
      <c r="N104" s="24" t="inlineStr">
        <is>
          <t>© 2026 Copyright – NovoPsych – All rights reserved</t>
        </is>
      </c>
      <c r="O104" s="24" t="inlineStr">
        <is>
          <t>not stated</t>
        </is>
      </c>
      <c r="P104" s="24" t="inlineStr">
        <is>
          <t>Shortlist: coaching and wellbeing (client facing possible)</t>
        </is>
      </c>
      <c r="Q104" s="24" t="inlineStr"/>
      <c r="R104" s="24" t="inlineStr"/>
      <c r="S104" s="24" t="inlineStr">
        <is>
          <t>The 3 factors named in the construct are described but not listed as scored subscales on the public page. Detailed sections are behind Professional Access; only the site footer copyright notice appears on the public page.</t>
        </is>
      </c>
      <c r="T104" s="24" t="inlineStr">
        <is>
          <t>https://novopsych.com/assessments/formulation/toronto-alexithymia-scale/</t>
        </is>
      </c>
    </row>
    <row r="105">
      <c r="A105" s="24" t="n">
        <v>104</v>
      </c>
      <c r="B105" s="24" t="inlineStr">
        <is>
          <t>Kessler Psychological Distress Scale 5</t>
        </is>
      </c>
      <c r="C105" s="24" t="inlineStr">
        <is>
          <t>K5</t>
        </is>
      </c>
      <c r="D105" s="24" t="inlineStr">
        <is>
          <t>Anxiety, Depression, Outcome monitoring</t>
        </is>
      </c>
      <c r="E105" s="24" t="inlineStr">
        <is>
          <t>Psychological distress over the past 4 weeks, designed for Australian Indigenous adults.</t>
        </is>
      </c>
      <c r="F105" s="24" t="n">
        <v>5</v>
      </c>
      <c r="G105" s="24" t="inlineStr">
        <is>
          <t>Self report</t>
        </is>
      </c>
      <c r="H105" s="24" t="inlineStr">
        <is>
          <t>16+ per page text; listing shows 18+</t>
        </is>
      </c>
      <c r="I105" s="24" t="n">
        <v>1</v>
      </c>
      <c r="J105" s="24" t="inlineStr"/>
      <c r="K105" s="24" t="inlineStr">
        <is>
          <t>Not stated on page</t>
        </is>
      </c>
      <c r="L105" s="24" t="inlineStr">
        <is>
          <t>Not stated on page</t>
        </is>
      </c>
      <c r="M105" s="24" t="inlineStr">
        <is>
          <t>Kessler, R., &amp; Mroczek, D. (1992). An update of the development of mental health screening scales for the US national health interview study. Survey Research Center, University of Michigan.</t>
        </is>
      </c>
      <c r="N105" s="24" t="inlineStr">
        <is>
          <t>© 2026 Copyright – NovoPsych – All rights reserved</t>
        </is>
      </c>
      <c r="O105" s="24" t="inlineStr">
        <is>
          <t>not stated</t>
        </is>
      </c>
      <c r="P105" s="24" t="inlineStr">
        <is>
          <t>Shortlist: coaching and wellbeing (client facing possible)</t>
        </is>
      </c>
      <c r="Q105" s="24" t="inlineStr"/>
      <c r="R105" s="24" t="inlineStr"/>
      <c r="S105" s="24" t="inlineStr">
        <is>
          <t>Scoring reference also cited: Australian Government Department of Health (2018), Scoring the Kessler-5. Age range conflicts between page text and listing.</t>
        </is>
      </c>
      <c r="T105" s="24" t="inlineStr">
        <is>
          <t>https://novopsych.com/assessments/depression/kessler-psychological-distress-scale-5/</t>
        </is>
      </c>
    </row>
    <row r="106">
      <c r="A106" s="24" t="n">
        <v>105</v>
      </c>
      <c r="B106" s="24" t="inlineStr">
        <is>
          <t>Male Depression Risk Scale</t>
        </is>
      </c>
      <c r="C106" s="24" t="inlineStr">
        <is>
          <t>MDRS-22</t>
        </is>
      </c>
      <c r="D106" s="24" t="inlineStr">
        <is>
          <t>Depression, Formulation</t>
        </is>
      </c>
      <c r="E106" s="24" t="inlineStr">
        <is>
          <t>Depression risk in adult men with emphasis on externalising symptoms such as aggression and substance use.</t>
        </is>
      </c>
      <c r="F106" s="24" t="n">
        <v>22</v>
      </c>
      <c r="G106" s="24" t="inlineStr">
        <is>
          <t>Self report</t>
        </is>
      </c>
      <c r="H106" s="24" t="inlineStr">
        <is>
          <t>18+</t>
        </is>
      </c>
      <c r="I106" s="24" t="n">
        <v>4</v>
      </c>
      <c r="J106" s="24" t="inlineStr">
        <is>
          <t>Emotional Suppression, Somatic Symptoms, Drug Use, Alcohol Use, Anger &amp; Aggression, Risk-Taking</t>
        </is>
      </c>
      <c r="K106" s="24" t="inlineStr">
        <is>
          <t>8 point, 0 Not at all to 7 Almost always</t>
        </is>
      </c>
      <c r="L106" s="24" t="inlineStr">
        <is>
          <t>Mean scores on the 0 to 7 metric for total and each subscale; higher indicates greater risk. Subscale risk thresholds: Emotional Suppression 2.75, Drug Use 0.33, Alcohol Use 0.25, Anger &amp; Aggression 1.50, Somatic Symptoms 1.50, Risk-Taking 1.00. No total cut off stated.</t>
        </is>
      </c>
      <c r="M106" s="24" t="inlineStr">
        <is>
          <t>Rice, S. M., Fallon, B. J., Aucote, H. M., Moeller-Leimkuehler, A., Treeby, M. S., &amp; Amminger, G. P. (2015). Longitudinal sex differences of externalising and internalising depression symptom trajectories. International Journal of Social Psychiatry, 61(3), 236-240.</t>
        </is>
      </c>
      <c r="N106" s="24" t="inlineStr">
        <is>
          <t>© 2026 Copyright – NovoPsych – All rights reserved</t>
        </is>
      </c>
      <c r="O106" s="24" t="inlineStr">
        <is>
          <t>not stated</t>
        </is>
      </c>
      <c r="P106" s="24" t="inlineStr">
        <is>
          <t>Shortlist: screening or clinical (Sarah only if used)</t>
        </is>
      </c>
      <c r="Q106" s="24" t="inlineStr"/>
      <c r="R106" s="24" t="inlineStr"/>
      <c r="S106" s="24" t="inlineStr">
        <is>
          <t>Administration listed as 3 to 4 minutes. Page narrative also describes any drug or alcohol score above 0 as elevated.</t>
        </is>
      </c>
      <c r="T106" s="24" t="inlineStr">
        <is>
          <t>https://novopsych.com/assessments/depression/male-depression-risk-scale-mdrs-22/</t>
        </is>
      </c>
    </row>
    <row r="107">
      <c r="A107" s="24" t="n">
        <v>106</v>
      </c>
      <c r="B107" s="24" t="inlineStr">
        <is>
          <t>Empathy Quotient 40 item version</t>
        </is>
      </c>
      <c r="C107" s="24" t="inlineStr">
        <is>
          <t>EQ-40</t>
        </is>
      </c>
      <c r="D107" s="24" t="inlineStr">
        <is>
          <t>Autism, Formulation</t>
        </is>
      </c>
      <c r="E107" s="24" t="inlineStr">
        <is>
          <t>Empathy in adults across cognitive, emotional and social aspects.</t>
        </is>
      </c>
      <c r="F107" s="24" t="n">
        <v>40</v>
      </c>
      <c r="G107" s="24" t="inlineStr">
        <is>
          <t>Self report</t>
        </is>
      </c>
      <c r="H107" s="24" t="inlineStr">
        <is>
          <t>18+</t>
        </is>
      </c>
      <c r="I107" s="24" t="n">
        <v>7</v>
      </c>
      <c r="J107" s="24" t="inlineStr">
        <is>
          <t>Cognitive Empathy, Emotional Empathy, Social Skills</t>
        </is>
      </c>
      <c r="K107" s="24" t="inlineStr">
        <is>
          <t>Not stated on page</t>
        </is>
      </c>
      <c r="L107" s="24" t="inlineStr">
        <is>
          <t>Not stated on page</t>
        </is>
      </c>
      <c r="M107" s="24" t="inlineStr">
        <is>
          <t>Baron-Cohen, S., &amp; Wheelwright, S. (2004). The Empathy Quotient: An investigation of adults with Asperger syndrome or high functioning autism, and normal sex differences. Journal of Autism and Developmental Disorders, 34(2), 163-175.</t>
        </is>
      </c>
      <c r="N107" s="24" t="inlineStr">
        <is>
          <t>© 2026 Copyright – NovoPsych – All rights reserved</t>
        </is>
      </c>
      <c r="O107" s="24" t="inlineStr">
        <is>
          <t>not stated</t>
        </is>
      </c>
      <c r="P107" s="24" t="inlineStr">
        <is>
          <t>Shortlist: coaching and wellbeing (client facing possible)</t>
        </is>
      </c>
      <c r="Q107" s="24" t="inlineStr"/>
      <c r="R107" s="24" t="inlineStr"/>
      <c r="S107" s="24" t="inlineStr">
        <is>
          <t>Detailed sections are behind Professional Access; only the site footer copyright notice appears on the public page.</t>
        </is>
      </c>
      <c r="T107" s="24" t="inlineStr">
        <is>
          <t>https://novopsych.com/assessments/formulation/empathy-quotient-40-item-version/</t>
        </is>
      </c>
    </row>
    <row r="108">
      <c r="A108" s="24" t="n">
        <v>107</v>
      </c>
      <c r="B108" s="24" t="inlineStr">
        <is>
          <t>Life Events Checklist for DSM-5</t>
        </is>
      </c>
      <c r="C108" s="24" t="inlineStr">
        <is>
          <t>LEC-5</t>
        </is>
      </c>
      <c r="D108" s="24" t="inlineStr">
        <is>
          <t>Diagnosis, Trauma</t>
        </is>
      </c>
      <c r="E108" s="24" t="inlineStr">
        <is>
          <t>Exposure to potentially traumatic events, used to establish PTSD Criterion A.</t>
        </is>
      </c>
      <c r="F108" s="24" t="n">
        <v>17</v>
      </c>
      <c r="G108" s="24" t="inlineStr">
        <is>
          <t>Self report</t>
        </is>
      </c>
      <c r="H108" s="24" t="inlineStr">
        <is>
          <t>18+</t>
        </is>
      </c>
      <c r="I108" s="24" t="n">
        <v>3</v>
      </c>
      <c r="J108" s="24" t="inlineStr"/>
      <c r="K108" s="24" t="inlineStr">
        <is>
          <t>Not stated on page</t>
        </is>
      </c>
      <c r="L108" s="24" t="inlineStr">
        <is>
          <t>Not stated on page</t>
        </is>
      </c>
      <c r="M108" s="24" t="inlineStr">
        <is>
          <t>Weathers, F. W., Blake, D. D., Schnurr, P. P., Kaloupek, D. G., Marx, B. P., &amp; Keane, T. M. (2013). The Life Events Checklist for DSM-5 (LEC-5). National Center for PTSD, www.ptsd.va.gov</t>
        </is>
      </c>
      <c r="N108" s="24" t="inlineStr">
        <is>
          <t>© 2026 Copyright – NovoPsych – All rights reserved</t>
        </is>
      </c>
      <c r="O108" s="24" t="inlineStr">
        <is>
          <t>not stated</t>
        </is>
      </c>
      <c r="P108" s="24" t="inlineStr">
        <is>
          <t>Shortlist: screening or clinical (Sarah only if used)</t>
        </is>
      </c>
      <c r="Q108" s="24" t="inlineStr"/>
      <c r="R108" s="24" t="inlineStr"/>
      <c r="S108" s="24" t="inlineStr">
        <is>
          <t>Page notes the instrument is available from the National Center for PTSD but does not state licensing terms. Detailed sections are behind Professional Access; only the site footer copyright notice appears on the public page.</t>
        </is>
      </c>
      <c r="T108" s="24" t="inlineStr">
        <is>
          <t>https://novopsych.com/assessments/diagnosis/life-events-checklist-5-lec-5/</t>
        </is>
      </c>
    </row>
    <row r="109">
      <c r="A109" s="24" t="n">
        <v>108</v>
      </c>
      <c r="B109" s="24" t="inlineStr">
        <is>
          <t>World Health Organisation Disability Assessment Schedule, Children and Youth version</t>
        </is>
      </c>
      <c r="C109" s="24" t="inlineStr">
        <is>
          <t>WHODAS-Child</t>
        </is>
      </c>
      <c r="D109" s="24" t="inlineStr">
        <is>
          <t>Adolescent, Child, Disability, Health</t>
        </is>
      </c>
      <c r="E109" s="24" t="inlineStr">
        <is>
          <t>Health and disability in children and youth, adapted from the adult WHODAS 2.0.</t>
        </is>
      </c>
      <c r="F109" s="24" t="n"/>
      <c r="G109" s="24" t="inlineStr">
        <is>
          <t>Parent report, or self report for youth aged 11+</t>
        </is>
      </c>
      <c r="H109" s="24" t="inlineStr">
        <is>
          <t>10 to 17</t>
        </is>
      </c>
      <c r="I109" s="24" t="n">
        <v>7</v>
      </c>
      <c r="J109" s="24" t="inlineStr"/>
      <c r="K109" s="24" t="inlineStr">
        <is>
          <t>Not stated on page</t>
        </is>
      </c>
      <c r="L109" s="24" t="inlineStr">
        <is>
          <t>Not stated on page</t>
        </is>
      </c>
      <c r="M109" s="24" t="inlineStr">
        <is>
          <t>Scorza, P., Stevenson, A., Canino, G., Mushashi, C., Kanyanganzi, F., Munyanah, M., &amp; Betancourt, T. (2013). Validation of the WHODAS-Child in Rwanda. PLoS One, 8(3), e57725.</t>
        </is>
      </c>
      <c r="N109" s="24" t="inlineStr">
        <is>
          <t>© 2026 Copyright – NovoPsych – All rights reserved</t>
        </is>
      </c>
      <c r="O109" s="24" t="inlineStr">
        <is>
          <t>not stated</t>
        </is>
      </c>
      <c r="P109" s="24" t="inlineStr">
        <is>
          <t>Out of scope for the hub (child, adolescent, sport, eating, clinician or service feedback)</t>
        </is>
      </c>
      <c r="Q109" s="24" t="inlineStr"/>
      <c r="R109" s="24" t="inlineStr"/>
      <c r="S109" s="24" t="inlineStr">
        <is>
          <t>Item count not stated on page. Detailed sections are behind Professional Access; only the site footer copyright notice appears on the public page.</t>
        </is>
      </c>
      <c r="T109" s="24" t="inlineStr">
        <is>
          <t>https://novopsych.com/assessments/child/the-world-health-organisation-disability-assessment-schedule-whodas-child/</t>
        </is>
      </c>
    </row>
    <row r="110">
      <c r="A110" s="24" t="n">
        <v>109</v>
      </c>
      <c r="B110" s="24" t="inlineStr">
        <is>
          <t>Montgomery-Asberg Depression Rating Scale</t>
        </is>
      </c>
      <c r="C110" s="24" t="inlineStr">
        <is>
          <t>MADRS</t>
        </is>
      </c>
      <c r="D110" s="24" t="inlineStr">
        <is>
          <t>Depression, Outcome monitoring</t>
        </is>
      </c>
      <c r="E110" s="24" t="inlineStr">
        <is>
          <t>Depression severity with emphasis on functional impairment and somatic symptoms.</t>
        </is>
      </c>
      <c r="F110" s="24" t="n">
        <v>10</v>
      </c>
      <c r="G110" s="24" t="inlineStr">
        <is>
          <t>Clinician rated</t>
        </is>
      </c>
      <c r="H110" s="24" t="inlineStr">
        <is>
          <t>18+</t>
        </is>
      </c>
      <c r="I110" s="24" t="n">
        <v>2</v>
      </c>
      <c r="J110" s="24" t="inlineStr"/>
      <c r="K110" s="24" t="inlineStr">
        <is>
          <t>Not stated on page</t>
        </is>
      </c>
      <c r="L110" s="24" t="inlineStr">
        <is>
          <t>Total range 0 to 60; page refers to severity ranges and clinically meaningful change but details are not visible.</t>
        </is>
      </c>
      <c r="M110" s="24" t="inlineStr">
        <is>
          <t>Montgomery, S. A., &amp; Asberg, M. (1979). A new depression scale designed to be sensitive to change. British Journal of Psychiatry, 134(4), 382-389.</t>
        </is>
      </c>
      <c r="N110" s="24" t="inlineStr">
        <is>
          <t>© 2026 Copyright – NovoPsych – All rights reserved</t>
        </is>
      </c>
      <c r="O110" s="24" t="inlineStr">
        <is>
          <t>not stated</t>
        </is>
      </c>
      <c r="P110" s="24" t="inlineStr">
        <is>
          <t>Out of scope for the hub (not self report)</t>
        </is>
      </c>
      <c r="Q110" s="24" t="inlineStr"/>
      <c r="R110" s="24" t="inlineStr"/>
      <c r="S110" s="24" t="inlineStr">
        <is>
          <t>Detailed sections are behind Professional Access; only the site footer copyright notice appears on the public page.</t>
        </is>
      </c>
      <c r="T110" s="24" t="inlineStr">
        <is>
          <t>https://novopsych.com/assessments/depression/the-montgomery-asberg-rating-scale-madrs/</t>
        </is>
      </c>
    </row>
    <row r="111">
      <c r="A111" s="24" t="n">
        <v>110</v>
      </c>
      <c r="B111" s="24" t="inlineStr">
        <is>
          <t>Kessler Psychological Distress Scale PLUS</t>
        </is>
      </c>
      <c r="C111" s="24" t="inlineStr">
        <is>
          <t>K10+</t>
        </is>
      </c>
      <c r="D111" s="24" t="inlineStr">
        <is>
          <t>Outcome monitoring</t>
        </is>
      </c>
      <c r="E111" s="24" t="inlineStr">
        <is>
          <t>Screening for significant psychological distress in adults, with additional functional impact items.</t>
        </is>
      </c>
      <c r="F111" s="24" t="n">
        <v>14</v>
      </c>
      <c r="G111" s="24" t="inlineStr">
        <is>
          <t>Not stated on page (self report by design)</t>
        </is>
      </c>
      <c r="H111" s="24" t="inlineStr">
        <is>
          <t>18+</t>
        </is>
      </c>
      <c r="I111" s="24" t="n">
        <v>2</v>
      </c>
      <c r="J111" s="24" t="inlineStr"/>
      <c r="K111" s="24" t="inlineStr">
        <is>
          <t>Not stated on page</t>
        </is>
      </c>
      <c r="L111" s="24" t="inlineStr">
        <is>
          <t>Not stated on page</t>
        </is>
      </c>
      <c r="M111" s="24" t="inlineStr">
        <is>
          <t>Kessler, R. C., Andrews, G., Colpe, L. J., Hiripi, E., Mroczek, D. K., Normand, S.-L. T., Walters, E. E., &amp; Zaslavsky, A. M. (2002). Short screening scales to monitor population prevalences and trends in non-specific psychological distress. Psychological Medicine, 32(6), 959-976.</t>
        </is>
      </c>
      <c r="N111" s="24" t="inlineStr">
        <is>
          <t>© 2026 Copyright – NovoPsych – All rights reserved</t>
        </is>
      </c>
      <c r="O111" s="24" t="inlineStr">
        <is>
          <t>not stated</t>
        </is>
      </c>
      <c r="P111" s="24" t="inlineStr">
        <is>
          <t>Shortlist: coaching and wellbeing (client facing possible)</t>
        </is>
      </c>
      <c r="Q111" s="24" t="inlineStr"/>
      <c r="R111" s="24" t="inlineStr"/>
      <c r="S111" s="24" t="inlineStr">
        <is>
          <t>K10 plus 4 supplementary items. Detailed sections are behind Professional Access; only the site footer copyright notice appears on the public page.</t>
        </is>
      </c>
      <c r="T111" s="24" t="inlineStr">
        <is>
          <t>https://novopsych.com/assessments/outcome-monitoring/kessler-psychological-distress-scale-plus-k10/</t>
        </is>
      </c>
    </row>
    <row r="112">
      <c r="A112" s="24" t="n">
        <v>111</v>
      </c>
      <c r="B112" s="24" t="inlineStr">
        <is>
          <t>Problem Gambling Severity Index</t>
        </is>
      </c>
      <c r="C112" s="24" t="inlineStr">
        <is>
          <t>PGSI</t>
        </is>
      </c>
      <c r="D112" s="24" t="inlineStr">
        <is>
          <t>Addiction, Health</t>
        </is>
      </c>
      <c r="E112" s="24" t="inlineStr">
        <is>
          <t>Problematic gambling behaviour in the general population, classified by risk status.</t>
        </is>
      </c>
      <c r="F112" s="24" t="n">
        <v>9</v>
      </c>
      <c r="G112" s="24" t="inlineStr">
        <is>
          <t>Self report</t>
        </is>
      </c>
      <c r="H112" s="24" t="inlineStr">
        <is>
          <t>18+</t>
        </is>
      </c>
      <c r="I112" s="24" t="n">
        <v>2</v>
      </c>
      <c r="J112" s="24" t="inlineStr"/>
      <c r="K112" s="24" t="inlineStr">
        <is>
          <t>Not stated on page</t>
        </is>
      </c>
      <c r="L112" s="24" t="inlineStr">
        <is>
          <t>Four risk categories named (none, low, moderate, problematic); scoring method and cut offs not visible on page.</t>
        </is>
      </c>
      <c r="M112" s="24" t="inlineStr">
        <is>
          <t>Ferris, J., &amp; Wynne, H. (2001). The Canadian Problem Gambling Index: Final report. Canadian Centre on Substance Abuse.</t>
        </is>
      </c>
      <c r="N112" s="24" t="inlineStr">
        <is>
          <t>© 2026 Copyright – NovoPsych – All rights reserved</t>
        </is>
      </c>
      <c r="O112" s="24" t="inlineStr">
        <is>
          <t>not stated</t>
        </is>
      </c>
      <c r="P112" s="24" t="inlineStr">
        <is>
          <t>Shortlist: screening or clinical (Sarah only if used)</t>
        </is>
      </c>
      <c r="Q112" s="24" t="inlineStr"/>
      <c r="R112" s="24" t="inlineStr"/>
      <c r="S112" s="24" t="inlineStr">
        <is>
          <t>Detailed sections are behind Professional Access; only the site footer copyright notice appears on the public page.</t>
        </is>
      </c>
      <c r="T112" s="24" t="inlineStr">
        <is>
          <t>https://novopsych.com/assessments/health/problem-gambling-severity-index-pgsi/</t>
        </is>
      </c>
    </row>
    <row r="113">
      <c r="A113" s="24" t="n">
        <v>112</v>
      </c>
      <c r="B113" s="24" t="inlineStr">
        <is>
          <t>Life Skills Profile 16 item version</t>
        </is>
      </c>
      <c r="C113" s="24" t="inlineStr">
        <is>
          <t>LSP-16</t>
        </is>
      </c>
      <c r="D113" s="24" t="inlineStr">
        <is>
          <t>Disability</t>
        </is>
      </c>
      <c r="E113" s="24" t="inlineStr">
        <is>
          <t>Day to day functioning and disability in people with mental illness.</t>
        </is>
      </c>
      <c r="F113" s="24" t="n">
        <v>16</v>
      </c>
      <c r="G113" s="24" t="inlineStr">
        <is>
          <t>Clinician rated</t>
        </is>
      </c>
      <c r="H113" s="24" t="inlineStr">
        <is>
          <t>18+</t>
        </is>
      </c>
      <c r="I113" s="24" t="n">
        <v>2</v>
      </c>
      <c r="J113" s="24" t="inlineStr"/>
      <c r="K113" s="24" t="inlineStr">
        <is>
          <t>Not stated on page</t>
        </is>
      </c>
      <c r="L113" s="24" t="inlineStr">
        <is>
          <t>Not stated on page</t>
        </is>
      </c>
      <c r="M113" s="24" t="inlineStr">
        <is>
          <t>Rosen, A., Hadzi-Pavlovic, D., &amp; Parker, G. (1989). The Life Skills Profile: A measure assessing function and disability in schizophrenia. Schizophrenia Bulletin, 15(2), 325-337.</t>
        </is>
      </c>
      <c r="N113" s="24" t="inlineStr">
        <is>
          <t>© 2026 Copyright – NovoPsych – All rights reserved</t>
        </is>
      </c>
      <c r="O113" s="24" t="inlineStr">
        <is>
          <t>not stated</t>
        </is>
      </c>
      <c r="P113" s="24" t="inlineStr">
        <is>
          <t>Out of scope for the hub (not self report)</t>
        </is>
      </c>
      <c r="Q113" s="24" t="inlineStr"/>
      <c r="R113" s="24" t="inlineStr"/>
      <c r="S113" s="24" t="inlineStr">
        <is>
          <t>Detailed sections are behind Professional Access; only the site footer copyright notice appears on the public page.</t>
        </is>
      </c>
      <c r="T113" s="24" t="inlineStr">
        <is>
          <t>https://novopsych.com/assessments/disability/life-skills-profile-16-item-version/</t>
        </is>
      </c>
    </row>
    <row r="114">
      <c r="A114" s="24" t="n">
        <v>113</v>
      </c>
      <c r="B114" s="24" t="inlineStr">
        <is>
          <t>Session Reactions Scale 3 Brief</t>
        </is>
      </c>
      <c r="C114" s="24" t="inlineStr">
        <is>
          <t>SRS-3-B</t>
        </is>
      </c>
      <c r="D114" s="24" t="inlineStr">
        <is>
          <t>Feedback-informed</t>
        </is>
      </c>
      <c r="E114" s="24" t="inlineStr">
        <is>
          <t>Client reactions to a therapy session, used to track the therapeutic relationship in feedback informed treatment.</t>
        </is>
      </c>
      <c r="F114" s="24" t="n">
        <v>15</v>
      </c>
      <c r="G114" s="24" t="inlineStr">
        <is>
          <t>Self report</t>
        </is>
      </c>
      <c r="H114" s="24" t="inlineStr">
        <is>
          <t>18+</t>
        </is>
      </c>
      <c r="I114" s="24" t="n">
        <v>2</v>
      </c>
      <c r="J114" s="24" t="inlineStr">
        <is>
          <t>Helpful Reactions, Hindering Reactions</t>
        </is>
      </c>
      <c r="K114" s="24" t="inlineStr">
        <is>
          <t>5 point (1 to 5); anchor labels not stated</t>
        </is>
      </c>
      <c r="L114" s="24" t="inlineStr">
        <is>
          <t>Raw and mean scores (1 to 5) per subscale; higher indicates greater endorsement. A positive session shows higher Helpful and lower Hindering scores. Item level review recommended when within subscale SD is 0.85 or greater. No cut offs.</t>
        </is>
      </c>
      <c r="M114" s="24" t="inlineStr">
        <is>
          <t>Rihacek, T., Elliott, R., Owen, J., Ladmanova, M., Coleman, J. J., &amp; Bugatti, M. (2023). Session Reactions Scale-3: Initial psychometric evidence. Psychotherapy Research. https://doi.org/10.1080/10503307.2023.2241983</t>
        </is>
      </c>
      <c r="N114" s="24" t="inlineStr">
        <is>
          <t>© 2026 Copyright – NovoPsych – All rights reserved</t>
        </is>
      </c>
      <c r="O114" s="24" t="inlineStr">
        <is>
          <t>not stated</t>
        </is>
      </c>
      <c r="P114" s="24" t="inlineStr">
        <is>
          <t>Out of scope for the hub (child, adolescent, sport, eating, clinician or service feedback)</t>
        </is>
      </c>
      <c r="Q114" s="24" t="inlineStr"/>
      <c r="R114" s="24" t="inlineStr"/>
      <c r="S114" s="24" t="inlineStr">
        <is>
          <t>Helpful Reactions has 10 items and Hindering Reactions 4 items; 1 further item not allocated on page.</t>
        </is>
      </c>
      <c r="T114" s="24" t="inlineStr">
        <is>
          <t>https://novopsych.com/assessments/feedback-informed/session-reactions-scale-3-brief-srs-3-b/</t>
        </is>
      </c>
    </row>
    <row r="115">
      <c r="A115" s="24" t="n">
        <v>114</v>
      </c>
      <c r="B115" s="24" t="inlineStr">
        <is>
          <t>Your Experience of Service</t>
        </is>
      </c>
      <c r="C115" s="24" t="inlineStr">
        <is>
          <t>YES</t>
        </is>
      </c>
      <c r="D115" s="24" t="inlineStr">
        <is>
          <t>Feedback-informed</t>
        </is>
      </c>
      <c r="E115" s="24" t="inlineStr">
        <is>
          <t>Consumer experience of mental health care, used to assess service quality.</t>
        </is>
      </c>
      <c r="F115" s="24" t="n">
        <v>28</v>
      </c>
      <c r="G115" s="24" t="inlineStr">
        <is>
          <t>Self report (service user)</t>
        </is>
      </c>
      <c r="H115" s="24" t="inlineStr">
        <is>
          <t>18+</t>
        </is>
      </c>
      <c r="I115" s="24" t="n">
        <v>5</v>
      </c>
      <c r="J115" s="24" t="inlineStr">
        <is>
          <t>Frequency Scale, Performance Scale, Making a Difference, Providing Information &amp; Support, Valuing Individuality, Supporting Active Participation, Showing Respect, Ensuring Safety and Fairness</t>
        </is>
      </c>
      <c r="K115" s="24" t="inlineStr">
        <is>
          <t>5 point Likert with Not Applicable option; frequency items Never to Always, performance items Poor to Excellent</t>
        </is>
      </c>
      <c r="L115" s="24" t="inlineStr">
        <is>
          <t>Items summed and divided by number completed (NA excluded) to give a mean; higher indicates better experience. Descriptor bands: below 1.5, below 2.5, below 3.5, below 4.5, and up to 5. Domain means calculated the same way.</t>
        </is>
      </c>
      <c r="M115" s="24" t="inlineStr">
        <is>
          <t>Victorian Department of Health (2013). National Mental Health Consumer Experiences of Care Report: Development and Evaluation of a Consumer Experiences of Care Survey Instrument.</t>
        </is>
      </c>
      <c r="N115" s="24" t="inlineStr">
        <is>
          <t>© 2026 Copyright – NovoPsych – All rights reserved</t>
        </is>
      </c>
      <c r="O115" s="24" t="inlineStr">
        <is>
          <t>not stated</t>
        </is>
      </c>
      <c r="P115" s="24" t="inlineStr">
        <is>
          <t>Out of scope for the hub (child, adolescent, sport, eating, clinician or service feedback)</t>
        </is>
      </c>
      <c r="Q115" s="24" t="inlineStr"/>
      <c r="R115" s="24" t="inlineStr"/>
      <c r="S115" s="24" t="inlineStr">
        <is>
          <t>26 Likert items plus 2 open ended questions. Also cites AMHOCN (2020) reporting domains guide. Blank PDF available.</t>
        </is>
      </c>
      <c r="T115" s="24" t="inlineStr">
        <is>
          <t>https://novopsych.com/assessments/feedback-informed/your-experience-of-service-yes/</t>
        </is>
      </c>
    </row>
    <row r="116">
      <c r="A116" s="24" t="n">
        <v>115</v>
      </c>
      <c r="B116" s="24" t="inlineStr">
        <is>
          <t>NovoPsych Five Factor Personality Scale 30 item version</t>
        </is>
      </c>
      <c r="C116" s="24" t="inlineStr">
        <is>
          <t>NFFPS-30</t>
        </is>
      </c>
      <c r="D116" s="24" t="inlineStr">
        <is>
          <t>Formulation, Personality</t>
        </is>
      </c>
      <c r="E116" s="24" t="inlineStr">
        <is>
          <t>Big Five personality traits (Openness, Conscientiousness, Extraversion, Agreeableness, Neuroticism) with 6 facets each.</t>
        </is>
      </c>
      <c r="F116" s="24" t="n">
        <v>30</v>
      </c>
      <c r="G116" s="24" t="inlineStr">
        <is>
          <t>Self report</t>
        </is>
      </c>
      <c r="H116" s="24" t="inlineStr">
        <is>
          <t>16+</t>
        </is>
      </c>
      <c r="I116" s="24" t="n">
        <v>5</v>
      </c>
      <c r="J116" s="24" t="inlineStr">
        <is>
          <t>Openness, Conscientiousness, Extraversion, Agreeableness, Neuroticism</t>
        </is>
      </c>
      <c r="K116" s="24" t="inlineStr">
        <is>
          <t>Not stated on page</t>
        </is>
      </c>
      <c r="L116" s="24" t="inlineStr">
        <is>
          <t>Reported as percentiles against an age and gender matched Australian sample; 50 is typical. High 70th percentile or above, Average 30 to 70, Low 30 or below. Each facet rests on a single item so facet scores need caution.</t>
        </is>
      </c>
      <c r="M116" s="24" t="inlineStr">
        <is>
          <t>Buchanan, B., &amp; Hegarty, D. (2023). Development of a Short Personality Assessment: The NovoPsych Five Factor Personality Scale, 30-item version.</t>
        </is>
      </c>
      <c r="N116" s="24" t="inlineStr">
        <is>
          <t>© 2026 Copyright – NovoPsych – All rights reserved. A link labelled "Open source License" appears under the Developer section; licence terms not on page.</t>
        </is>
      </c>
      <c r="O116" s="24" t="inlineStr">
        <is>
          <t>copyright NovoPsych</t>
        </is>
      </c>
      <c r="P116" s="24" t="inlineStr">
        <is>
          <t>Shortlist: coaching and wellbeing (client facing possible)</t>
        </is>
      </c>
      <c r="Q116" s="24" t="inlineStr"/>
      <c r="R116" s="24" t="inlineStr"/>
      <c r="S116" s="24" t="inlineStr">
        <is>
          <t>Developed by NovoPsych. Open source licence link present but terms not shown; check the linked licence before assuming free use. 30 facets listed on page under the 5 factors.</t>
        </is>
      </c>
      <c r="T116" s="24" t="inlineStr">
        <is>
          <t>https://novopsych.com/assessments/formulation/novopsych-five-factor-personality-scale-30-item-version-nffps-30/</t>
        </is>
      </c>
    </row>
    <row r="117">
      <c r="A117" s="24" t="n">
        <v>116</v>
      </c>
      <c r="B117" s="24" t="inlineStr">
        <is>
          <t>International Personality Item Pool NEO 120 item version</t>
        </is>
      </c>
      <c r="C117" s="24" t="inlineStr">
        <is>
          <t>IPIP-NEO-120</t>
        </is>
      </c>
      <c r="D117" s="24" t="inlineStr">
        <is>
          <t>Adolescent, Formulation, Personality</t>
        </is>
      </c>
      <c r="E117" s="24" t="inlineStr">
        <is>
          <t>Five broad personality factors each with 6 facets, for clinical and non clinical use.</t>
        </is>
      </c>
      <c r="F117" s="24" t="n">
        <v>120</v>
      </c>
      <c r="G117" s="24" t="inlineStr">
        <is>
          <t>Self report</t>
        </is>
      </c>
      <c r="H117" s="24" t="inlineStr">
        <is>
          <t>16+</t>
        </is>
      </c>
      <c r="I117" s="24" t="n">
        <v>20</v>
      </c>
      <c r="J117" s="24" t="inlineStr">
        <is>
          <t>Neuroticism, Extraversion, Openness, Agreeableness, Conscientiousness, Socially Desirable Responding</t>
        </is>
      </c>
      <c r="K117" s="24" t="inlineStr">
        <is>
          <t>Not stated on page</t>
        </is>
      </c>
      <c r="L117" s="24" t="inlineStr">
        <is>
          <t>Raw scores converted to community percentiles with High, Average and Low descriptors by age and gender. SDR scale elevated above the 90th percentile and very low below the 10th. Sum or mean method not stated.</t>
        </is>
      </c>
      <c r="M117" s="24" t="inlineStr">
        <is>
          <t>Johnson, J. A. (2014). Measuring thirty facets of the five factor model with a 120-item public domain inventory: Development of the IPIP-NEO-120. Journal of Research in Personality, 51, 78-89.</t>
        </is>
      </c>
      <c r="N117" s="24" t="inlineStr">
        <is>
          <t>© 2026 Copyright – NovoPsych – All rights reserved</t>
        </is>
      </c>
      <c r="O117" s="24" t="inlineStr">
        <is>
          <t>not stated</t>
        </is>
      </c>
      <c r="P117" s="24" t="inlineStr">
        <is>
          <t>Out of scope for the hub (child, adolescent, sport, eating, clinician or service feedback)</t>
        </is>
      </c>
      <c r="Q117" s="24" t="inlineStr"/>
      <c r="R117" s="24" t="inlineStr">
        <is>
          <t>Held back for Sarah to decide</t>
        </is>
      </c>
      <c r="S117" s="24" t="inlineStr">
        <is>
          <t>The cited article title describes the inventory as public domain, but the NovoPsych page makes no explicit availability statement. 30 facets; only some facet names listed on page.</t>
        </is>
      </c>
      <c r="T117" s="24" t="inlineStr">
        <is>
          <t>https://novopsych.com/assessments/formulation/international-personality-item-pool-neo-120-item-version-ipip-neo-120/</t>
        </is>
      </c>
    </row>
    <row r="118">
      <c r="A118" s="24" t="n">
        <v>117</v>
      </c>
      <c r="B118" s="24" t="inlineStr">
        <is>
          <t>Acceptance and Action Questionnaire version 2</t>
        </is>
      </c>
      <c r="C118" s="24" t="inlineStr">
        <is>
          <t>AAQ-2</t>
        </is>
      </c>
      <c r="D118" s="24" t="inlineStr">
        <is>
          <t>Formulation</t>
        </is>
      </c>
      <c r="E118" s="24" t="inlineStr">
        <is>
          <t>Psychological inflexibility and experiential avoidance.</t>
        </is>
      </c>
      <c r="F118" s="24" t="n"/>
      <c r="G118" s="24" t="inlineStr">
        <is>
          <t>Not stated on page (self report by design)</t>
        </is>
      </c>
      <c r="H118" s="24" t="inlineStr">
        <is>
          <t>18+</t>
        </is>
      </c>
      <c r="I118" s="24" t="n">
        <v>1</v>
      </c>
      <c r="J118" s="24" t="inlineStr"/>
      <c r="K118" s="24" t="inlineStr">
        <is>
          <t>Not stated on page</t>
        </is>
      </c>
      <c r="L118" s="24" t="inlineStr">
        <is>
          <t>Total score; higher indicates greater inflexibility and experiential avoidance. Normative percentile against Bond et al. (2011) norms. A total of 25 or above (about the 86th percentile) suggests inflexibility may affect wellbeing.</t>
        </is>
      </c>
      <c r="M118" s="24" t="inlineStr">
        <is>
          <t>Bond, F. W., Hayes, S. C., Baer, R. A., Carpenter, K. M., Guenole, N., Orcutt, H. K., Waltz, T., &amp; Zettle, R. D. (2011). Preliminary psychometric properties of the Acceptance and Action Questionnaire II. Behavior Therapy, 42, 676-688.</t>
        </is>
      </c>
      <c r="N118" s="24" t="inlineStr">
        <is>
          <t>© 2026 Copyright – NovoPsych – All rights reserved</t>
        </is>
      </c>
      <c r="O118" s="24" t="inlineStr">
        <is>
          <t>not stated</t>
        </is>
      </c>
      <c r="P118" s="24" t="inlineStr">
        <is>
          <t>Shortlist: coaching and wellbeing (client facing possible)</t>
        </is>
      </c>
      <c r="Q118" s="24" t="inlineStr"/>
      <c r="R118" s="24" t="inlineStr"/>
      <c r="S118" s="24" t="inlineStr">
        <is>
          <t>Also known as AAQ-II. Item count not stated on page (7 items in the published version). Psychometric section behind Professional Access.</t>
        </is>
      </c>
      <c r="T118" s="24" t="inlineStr">
        <is>
          <t>https://novopsych.com/assessments/formulation/acceptance-and-action-questionnaire-version-2-aaq-2/</t>
        </is>
      </c>
    </row>
    <row r="119">
      <c r="A119" s="24" t="n">
        <v>118</v>
      </c>
      <c r="B119" s="24" t="inlineStr">
        <is>
          <t>Multidimensional Inventory of Dissociation 60 item Adolescent version</t>
        </is>
      </c>
      <c r="C119" s="24" t="inlineStr">
        <is>
          <t>MID-60-A</t>
        </is>
      </c>
      <c r="D119" s="24" t="inlineStr">
        <is>
          <t>Adolescent, Formulation, Trauma</t>
        </is>
      </c>
      <c r="E119" s="24" t="inlineStr">
        <is>
          <t>Screening for dissociative symptoms linked to DSM-5-TR dissociative disorders, with PTSD and somatic symptom coverage.</t>
        </is>
      </c>
      <c r="F119" s="24" t="n">
        <v>60</v>
      </c>
      <c r="G119" s="24" t="inlineStr">
        <is>
          <t>Not stated on page (self report by design)</t>
        </is>
      </c>
      <c r="H119" s="24" t="inlineStr">
        <is>
          <t>16 to 19</t>
        </is>
      </c>
      <c r="I119" s="24" t="n">
        <v>10</v>
      </c>
      <c r="J119" s="24" t="inlineStr"/>
      <c r="K119" s="24" t="inlineStr">
        <is>
          <t>Not stated on page</t>
        </is>
      </c>
      <c r="L119" s="24" t="inlineStr">
        <is>
          <t>Not stated on page</t>
        </is>
      </c>
      <c r="M119" s="24" t="inlineStr">
        <is>
          <t>Kate, M.-A. (2022). The Adolescent Multidimensional Inventory of Dissociation 60 item version (A-MID-60). Unpublished measurement instrument, Southern Cross University.</t>
        </is>
      </c>
      <c r="N119" s="24" t="inlineStr">
        <is>
          <t>© 2026 Copyright – NovoPsych – All rights reserved</t>
        </is>
      </c>
      <c r="O119" s="24" t="inlineStr">
        <is>
          <t>not stated</t>
        </is>
      </c>
      <c r="P119" s="24" t="inlineStr">
        <is>
          <t>Out of scope for the hub (child, adolescent, sport, eating, clinician or service feedback)</t>
        </is>
      </c>
      <c r="Q119" s="24" t="inlineStr"/>
      <c r="R119" s="24" t="inlineStr"/>
      <c r="S119" s="24" t="inlineStr">
        <is>
          <t>Overview, scoring and psychometric sections all behind Professional Access.</t>
        </is>
      </c>
      <c r="T119" s="24" t="inlineStr">
        <is>
          <t>https://novopsych.com/assessments/formulation/multidimensional-inventory-of-dissociation-60-item-adolescent-version-mid-60-a/</t>
        </is>
      </c>
    </row>
    <row r="120">
      <c r="A120" s="24" t="n">
        <v>119</v>
      </c>
      <c r="B120" s="24" t="inlineStr">
        <is>
          <t>Difficulties in Emotion Regulation Scale 16 item version</t>
        </is>
      </c>
      <c r="C120" s="24" t="inlineStr">
        <is>
          <t>DERS-16</t>
        </is>
      </c>
      <c r="D120" s="24" t="inlineStr">
        <is>
          <t>Formulation</t>
        </is>
      </c>
      <c r="E120" s="24" t="inlineStr">
        <is>
          <t>Difficulties in emotion regulation.</t>
        </is>
      </c>
      <c r="F120" s="24" t="n">
        <v>16</v>
      </c>
      <c r="G120" s="24" t="inlineStr">
        <is>
          <t>Self report</t>
        </is>
      </c>
      <c r="H120" s="24" t="inlineStr">
        <is>
          <t>18+</t>
        </is>
      </c>
      <c r="I120" s="24" t="n">
        <v>3</v>
      </c>
      <c r="J120" s="24" t="inlineStr"/>
      <c r="K120" s="24" t="inlineStr">
        <is>
          <t>Not stated on page</t>
        </is>
      </c>
      <c r="L120" s="24" t="inlineStr">
        <is>
          <t>Not stated on page</t>
        </is>
      </c>
      <c r="M120" s="24" t="inlineStr">
        <is>
          <t>Bjureberg, J., Ljotsson, B., Tull, M. T., Hedman, E., Sahlin, H., Lundh, L.-G., Bjarehed, J., DiLillo, D., Messman-Moore, T., Gumpert, C. H., &amp; Gratz, K. L. (2016). Development and validation of a brief version of the Difficulties in Emotion Regulation Scale: The DERS-16. Journal of Psychopathology and Behavioral Assessment, 38(2), 284-296.</t>
        </is>
      </c>
      <c r="N120" s="24" t="inlineStr">
        <is>
          <t>© 2026 Copyright – NovoPsych – All rights reserved</t>
        </is>
      </c>
      <c r="O120" s="24" t="inlineStr">
        <is>
          <t>not stated</t>
        </is>
      </c>
      <c r="P120" s="24" t="inlineStr">
        <is>
          <t>Shortlist: coaching and wellbeing (client facing possible)</t>
        </is>
      </c>
      <c r="Q120" s="24" t="inlineStr"/>
      <c r="R120" s="24" t="inlineStr"/>
      <c r="S120" s="24" t="inlineStr">
        <is>
          <t>Detailed sections are behind Professional Access; only the site footer copyright notice appears on the public page.</t>
        </is>
      </c>
      <c r="T120" s="24" t="inlineStr">
        <is>
          <t>https://novopsych.com/assessments/formulation/difficulties-in-emotion-regulation-scale-16-item-version-ders-16/</t>
        </is>
      </c>
    </row>
    <row r="121">
      <c r="A121" s="24" t="n">
        <v>120</v>
      </c>
      <c r="B121" s="24" t="inlineStr">
        <is>
          <t>Short Health Anxiety Inventory</t>
        </is>
      </c>
      <c r="C121" s="24" t="inlineStr">
        <is>
          <t>SHAI</t>
        </is>
      </c>
      <c r="D121" s="24" t="inlineStr">
        <is>
          <t>Anxiety, Health</t>
        </is>
      </c>
      <c r="E121" s="24" t="inlineStr">
        <is>
          <t>Health anxiety independent of physical health status.</t>
        </is>
      </c>
      <c r="F121" s="24" t="n">
        <v>18</v>
      </c>
      <c r="G121" s="24" t="inlineStr">
        <is>
          <t>Not stated on page (self report by design)</t>
        </is>
      </c>
      <c r="H121" s="24" t="inlineStr">
        <is>
          <t>18+</t>
        </is>
      </c>
      <c r="I121" s="24" t="n">
        <v>3</v>
      </c>
      <c r="J121" s="24" t="inlineStr"/>
      <c r="K121" s="24" t="inlineStr">
        <is>
          <t>Not stated on page</t>
        </is>
      </c>
      <c r="L121" s="24" t="inlineStr">
        <is>
          <t>Not stated on page</t>
        </is>
      </c>
      <c r="M121" s="24" t="inlineStr">
        <is>
          <t>Salkovskis, P. M., Rimes, K. A., Warwick, H. M. C., &amp; Clark, D. M. (2002). The Health Anxiety Inventory: Development and validation of scales for the measurement of health anxiety and hypochondriasis. Psychological Medicine, 32(5), 843-853.</t>
        </is>
      </c>
      <c r="N121" s="24" t="inlineStr">
        <is>
          <t>© 2026 Copyright – NovoPsych – All rights reserved</t>
        </is>
      </c>
      <c r="O121" s="24" t="inlineStr">
        <is>
          <t>not stated</t>
        </is>
      </c>
      <c r="P121" s="24" t="inlineStr">
        <is>
          <t>Shortlist: coaching and wellbeing (client facing possible)</t>
        </is>
      </c>
      <c r="Q121" s="24" t="inlineStr"/>
      <c r="R121" s="24" t="inlineStr"/>
      <c r="S121" s="24" t="inlineStr">
        <is>
          <t>Detailed sections are behind Professional Access; only the site footer copyright notice appears on the public page.</t>
        </is>
      </c>
      <c r="T121" s="24" t="inlineStr">
        <is>
          <t>https://novopsych.com/assessments/health/short-health-anxiety-inventory-shai/</t>
        </is>
      </c>
    </row>
    <row r="122">
      <c r="A122" s="24" t="n">
        <v>121</v>
      </c>
      <c r="B122" s="24" t="inlineStr">
        <is>
          <t>Regensburg Insomnia Scale</t>
        </is>
      </c>
      <c r="C122" s="24" t="inlineStr">
        <is>
          <t>RIS</t>
        </is>
      </c>
      <c r="D122" s="24" t="inlineStr">
        <is>
          <t>Sleep</t>
        </is>
      </c>
      <c r="E122" s="24" t="inlineStr">
        <is>
          <t>Measures cognitive, behavioural and emotional aspects of psychophysiological insomnia.</t>
        </is>
      </c>
      <c r="F122" s="24" t="n">
        <v>10</v>
      </c>
      <c r="G122" s="24" t="inlineStr">
        <is>
          <t>self report</t>
        </is>
      </c>
      <c r="H122" s="24" t="inlineStr">
        <is>
          <t>18+</t>
        </is>
      </c>
      <c r="I122" s="24" t="n">
        <v>2</v>
      </c>
      <c r="J122" s="24" t="inlineStr"/>
      <c r="K122" s="24" t="inlineStr">
        <is>
          <t>not stated</t>
        </is>
      </c>
      <c r="L122" s="24" t="inlineStr">
        <is>
          <t>not stated</t>
        </is>
      </c>
      <c r="M122" s="24" t="inlineStr">
        <is>
          <t>Crönlein, T., Langguth, B., Popp, R., Lukesch, H., Pieh, C., Hajak, G., &amp; Geisler, P. (2013). Regensburg Insomnia Scale (RIS): a new short rating scale for the assessment of psychological symptoms and sleep in insomnia. Health and Quality of Life Outcomes, 11(1), 1 to 8.</t>
        </is>
      </c>
      <c r="N122" s="24" t="inlineStr">
        <is>
          <t>© 2026 Copyright – NovoPsych – All rights reserved</t>
        </is>
      </c>
      <c r="O122" s="24" t="inlineStr">
        <is>
          <t>not stated</t>
        </is>
      </c>
      <c r="P122" s="24" t="inlineStr">
        <is>
          <t>Shortlist: coaching and wellbeing (client facing possible)</t>
        </is>
      </c>
      <c r="Q122" s="24" t="inlineStr"/>
      <c r="R122" s="24" t="inlineStr"/>
      <c r="S122" s="24" t="inlineStr">
        <is>
          <t>Only the site wide footer copyright appears; no instrument specific licence statement. Scoring and Interpretation and Psychometric Properties tab content not present in fetched page text; only overview, developer and reference sections were readable.</t>
        </is>
      </c>
      <c r="T122" s="24" t="inlineStr">
        <is>
          <t>https://novopsych.com/assessments/sleep/regensburg-insomnia-scale-ris/</t>
        </is>
      </c>
    </row>
    <row r="123">
      <c r="A123" s="24" t="n">
        <v>122</v>
      </c>
      <c r="B123" s="24" t="inlineStr">
        <is>
          <t>Clinical Impairment Assessment Questionnaire</t>
        </is>
      </c>
      <c r="C123" s="24" t="inlineStr">
        <is>
          <t>CIA</t>
        </is>
      </c>
      <c r="D123" s="24" t="inlineStr">
        <is>
          <t>Adolescent, Body image and eating, Diagnosis</t>
        </is>
      </c>
      <c r="E123" s="24" t="inlineStr">
        <is>
          <t>Measures the severity of psychosocial impairment due to eating disorder features over the past 28 days.</t>
        </is>
      </c>
      <c r="F123" s="24" t="n">
        <v>16</v>
      </c>
      <c r="G123" s="24" t="inlineStr">
        <is>
          <t>self report</t>
        </is>
      </c>
      <c r="H123" s="24" t="inlineStr">
        <is>
          <t>17+ (normed in adults aged 17 to 65)</t>
        </is>
      </c>
      <c r="I123" s="24" t="n">
        <v>3</v>
      </c>
      <c r="J123" s="24" t="inlineStr"/>
      <c r="K123" s="24" t="inlineStr">
        <is>
          <t>not stated</t>
        </is>
      </c>
      <c r="L123" s="24" t="inlineStr">
        <is>
          <t>not stated</t>
        </is>
      </c>
      <c r="M123" s="24" t="inlineStr">
        <is>
          <t>Bohn, K., Doll, H. A., Cooper, Z., O'Connor, M., Palmer, R. L., &amp; Fairburn, C. G. (2008). The measurement of impairment due to eating disorder psychopathology. Behaviour Research and Therapy, 46(10), 1105 to 1110. Also Bohn &amp; Fairburn (2008), CIA 3.0, in Fairburn, Cognitive Behavior Therapy and Eating Disorders, Guilford Press.</t>
        </is>
      </c>
      <c r="N123" s="24" t="inlineStr">
        <is>
          <t>© 2026 Copyright – NovoPsych – All rights reserved</t>
        </is>
      </c>
      <c r="O123" s="24" t="inlineStr">
        <is>
          <t>not stated</t>
        </is>
      </c>
      <c r="P123" s="24" t="inlineStr">
        <is>
          <t>Out of scope for the hub (child, adolescent, sport, eating, clinician or service feedback)</t>
        </is>
      </c>
      <c r="Q123" s="24" t="inlineStr"/>
      <c r="R123" s="24" t="inlineStr"/>
      <c r="S123" s="24" t="inlineStr">
        <is>
          <t>Only the site wide footer copyright appears; no instrument specific licence statement. Scoring and Interpretation and Psychometric Properties tab content not present in fetched page text; only overview, developer and reference sections were readable.</t>
        </is>
      </c>
      <c r="T123" s="24" t="inlineStr">
        <is>
          <t>https://novopsych.com/assessments/diagnosis/clinical-impairment-assessment-questionnaire-cia/</t>
        </is>
      </c>
    </row>
    <row r="124">
      <c r="A124" s="24" t="n">
        <v>123</v>
      </c>
      <c r="B124" s="24" t="inlineStr">
        <is>
          <t>Depression Anxiety Stress Scales Youth Version</t>
        </is>
      </c>
      <c r="C124" s="24" t="inlineStr">
        <is>
          <t>DASS-Y</t>
        </is>
      </c>
      <c r="D124" s="24" t="inlineStr">
        <is>
          <t>Adolescent, Anxiety, Child, Depression, Outcome monitoring</t>
        </is>
      </c>
      <c r="E124" s="24" t="inlineStr">
        <is>
          <t>Measures general psychological distress and the negative emotional states of depression, anxiety and stress in young people, with simplified wording.</t>
        </is>
      </c>
      <c r="F124" s="24" t="n"/>
      <c r="G124" s="24" t="inlineStr">
        <is>
          <t>self report (child or adolescent)</t>
        </is>
      </c>
      <c r="H124" s="24" t="inlineStr">
        <is>
          <t>7 to 18 years</t>
        </is>
      </c>
      <c r="I124" s="24" t="n">
        <v>4</v>
      </c>
      <c r="J124" s="24" t="inlineStr">
        <is>
          <t>Depression, Anxiety, Stress</t>
        </is>
      </c>
      <c r="K124" s="24" t="inlineStr">
        <is>
          <t>not stated</t>
        </is>
      </c>
      <c r="L124" s="24" t="inlineStr">
        <is>
          <t>not stated</t>
        </is>
      </c>
      <c r="M124" s="24" t="inlineStr">
        <is>
          <t>Szabo, M., &amp; Lovibond, P. F. (2022). Development and Psychometric Properties of the DASS-Youth (DASS-Y). Frontiers in Psychology, 13, 766890. https://doi.org/10.3389/fpsyg.2022.766890</t>
        </is>
      </c>
      <c r="N124" s="24" t="inlineStr">
        <is>
          <t>© 2026 Copyright – NovoPsych – All rights reserved</t>
        </is>
      </c>
      <c r="O124" s="24" t="inlineStr">
        <is>
          <t>not stated</t>
        </is>
      </c>
      <c r="P124" s="24" t="inlineStr">
        <is>
          <t>Out of scope for the hub (child, adolescent, sport, eating, clinician or service feedback)</t>
        </is>
      </c>
      <c r="Q124" s="24" t="inlineStr"/>
      <c r="R124" s="24" t="inlineStr"/>
      <c r="S124" s="24" t="inlineStr">
        <is>
          <t>Item count not stated in readable text (the developer paper describes a 21 item youth adaptation of the DASS-21). Subscales inferred from the 3 constructs named. 1995 DASS manual noted as available from the Psychology Foundation. Scoring and Interpretation and Psychometric Properties tab content not present in fetched page text; only overview, developer and reference sections were readable.</t>
        </is>
      </c>
      <c r="T124" s="24" t="inlineStr">
        <is>
          <t>https://novopsych.com/assessments/child/depression-anxiety-stress-scale-youth-version-dass-y/</t>
        </is>
      </c>
    </row>
    <row r="125">
      <c r="A125" s="24" t="n">
        <v>124</v>
      </c>
      <c r="B125" s="24" t="inlineStr">
        <is>
          <t>Personal Wellbeing Index Adult</t>
        </is>
      </c>
      <c r="C125" s="24" t="inlineStr">
        <is>
          <t>PWI-A</t>
        </is>
      </c>
      <c r="D125" s="24" t="inlineStr">
        <is>
          <t>Formulation, Well-being</t>
        </is>
      </c>
      <c r="E125" s="24" t="inlineStr">
        <is>
          <t>Measures subjective wellbeing as satisfaction with several major life domains.</t>
        </is>
      </c>
      <c r="F125" s="24" t="n">
        <v>9</v>
      </c>
      <c r="G125" s="24" t="inlineStr">
        <is>
          <t>self report</t>
        </is>
      </c>
      <c r="H125" s="24" t="inlineStr">
        <is>
          <t>18+ (older adolescents at administrator discretion)</t>
        </is>
      </c>
      <c r="I125" s="24" t="n">
        <v>2</v>
      </c>
      <c r="J125" s="24" t="inlineStr">
        <is>
          <t>Standard of living, Health, Achievement in life, Personal relationships, Safety, Community, Future security</t>
        </is>
      </c>
      <c r="K125" s="24" t="inlineStr">
        <is>
          <t>Satisfaction rating per domain; number of points and anchors not stated on page (manual uses 0 to 10)</t>
        </is>
      </c>
      <c r="L125" s="24" t="inlineStr">
        <is>
          <t>Composite is the mean of the 7 core domain items (optional spirituality item included only if completed; life as a whole item not scored), higher is better. Bands: 70 to 100 normal, 50 to 69 compromised, 0 to 49 challenged; reliable change 14 or more points; percentiles against Australian adults (Khor et al., 2020).</t>
        </is>
      </c>
      <c r="M125" s="24" t="inlineStr">
        <is>
          <t>International Wellbeing Group (2024). Personal Wellbeing Index Manual: 6th Edition, Version 2, 190624. Cummins, R. A. (Ed.). Geelong: Australian Centre on Quality of Life, School of Psychology, Deakin University.</t>
        </is>
      </c>
      <c r="N125" s="24" t="inlineStr">
        <is>
          <t>© 2026 Copyright – NovoPsych – All rights reserved</t>
        </is>
      </c>
      <c r="O125" s="24" t="inlineStr">
        <is>
          <t>not stated</t>
        </is>
      </c>
      <c r="P125" s="24" t="inlineStr">
        <is>
          <t>Shortlist: coaching and wellbeing (client facing possible)</t>
        </is>
      </c>
      <c r="Q125" s="24" t="inlineStr"/>
      <c r="R125" s="24" t="inlineStr"/>
      <c r="S125" s="24" t="inlineStr">
        <is>
          <t>Page lists 5th edition in title; 9 items comprise 7 core domains plus 1 optional life as a whole item and 1 optional spirituality or religion item. Only the site wide footer copyright appears.</t>
        </is>
      </c>
      <c r="T125" s="24" t="inlineStr">
        <is>
          <t>https://novopsych.com/assessments/well-being/personal-wellbeing-index-adult-5-pwi-a/</t>
        </is>
      </c>
    </row>
    <row r="126">
      <c r="A126" s="24" t="n">
        <v>125</v>
      </c>
      <c r="B126" s="24" t="inlineStr">
        <is>
          <t>Pediatric Symptom Checklist 17</t>
        </is>
      </c>
      <c r="C126" s="24" t="inlineStr">
        <is>
          <t>PSC-17</t>
        </is>
      </c>
      <c r="D126" s="24" t="inlineStr">
        <is>
          <t>Adolescent, Child</t>
        </is>
      </c>
      <c r="E126" s="24" t="inlineStr">
        <is>
          <t>Screens for emotional, behavioural and attentional difficulties in children.</t>
        </is>
      </c>
      <c r="F126" s="24" t="n">
        <v>17</v>
      </c>
      <c r="G126" s="24" t="inlineStr">
        <is>
          <t>parent report</t>
        </is>
      </c>
      <c r="H126" s="24" t="inlineStr">
        <is>
          <t>4 to 16 years</t>
        </is>
      </c>
      <c r="I126" s="24" t="n">
        <v>3</v>
      </c>
      <c r="J126" s="24" t="inlineStr">
        <is>
          <t>Internalising, Attention, Externalising, Total</t>
        </is>
      </c>
      <c r="K126" s="24" t="inlineStr">
        <is>
          <t>not stated</t>
        </is>
      </c>
      <c r="L126" s="24" t="inlineStr">
        <is>
          <t>Higher scores indicate more difficulties; results banded as within typical range, mild (monitoring flag) or above clinical screening threshold. Numeric cut offs not shown in readable text. Reliable change 6 or more points on Total and 2 or more on each subscale.</t>
        </is>
      </c>
      <c r="M126" s="24" t="inlineStr">
        <is>
          <t>Gardner, W., Murphy, M., Childs, G., Kelleher, K., Pagano, M., Jellinek, M., McInerny, T. K., Wasserman, R. C., Nutting, P., &amp; Chiappetta, L. (1999). The PSC-17: a brief Pediatric Symptom Checklist with psychosocial problem subscales. Ambulatory Child Health, 5(3), 225 to 236.</t>
        </is>
      </c>
      <c r="N126" s="24" t="inlineStr">
        <is>
          <t>© 2026 Copyright – NovoPsych – All rights reserved</t>
        </is>
      </c>
      <c r="O126" s="24" t="inlineStr">
        <is>
          <t>not stated</t>
        </is>
      </c>
      <c r="P126" s="24" t="inlineStr">
        <is>
          <t>Out of scope for the hub (child, adolescent, sport, eating, clinician or service feedback)</t>
        </is>
      </c>
      <c r="Q126" s="24" t="inlineStr"/>
      <c r="R126" s="24" t="inlineStr"/>
      <c r="S126" s="24" t="inlineStr">
        <is>
          <t>FAQ gives about 2.5 minutes versus 3 minutes in the header. Only the site wide footer copyright appears. Scoring and Interpretation and Psychometric Properties tab content not present in fetched page text; only overview, developer and reference sections were readable.</t>
        </is>
      </c>
      <c r="T126" s="24" t="inlineStr">
        <is>
          <t>https://novopsych.com/assessments/child/pediatric-symptom-checklist-17-psc-17/</t>
        </is>
      </c>
    </row>
    <row r="127">
      <c r="A127" s="24" t="n">
        <v>126</v>
      </c>
      <c r="B127" s="24" t="inlineStr">
        <is>
          <t>Composite Caregiving Questionnaire</t>
        </is>
      </c>
      <c r="C127" s="24" t="inlineStr">
        <is>
          <t>CCQ</t>
        </is>
      </c>
      <c r="D127" s="24" t="inlineStr">
        <is>
          <t>Child</t>
        </is>
      </c>
      <c r="E127" s="24" t="inlineStr">
        <is>
          <t>Measures parenting constructs linked to attachment security in young children.</t>
        </is>
      </c>
      <c r="F127" s="24" t="n">
        <v>42</v>
      </c>
      <c r="G127" s="24" t="inlineStr">
        <is>
          <t>parent or caregiver report</t>
        </is>
      </c>
      <c r="H127" s="24" t="inlineStr">
        <is>
          <t>child 0 to 6 years</t>
        </is>
      </c>
      <c r="I127" s="24" t="n">
        <v>7</v>
      </c>
      <c r="J127" s="24" t="inlineStr">
        <is>
          <t>Parenting self efficacy in empathy, Parenting self efficacy in expressing affection and managing child emotion, Caregiving helplessness, Hostile perceptions of the child, Parent mentalisation</t>
        </is>
      </c>
      <c r="K127" s="24" t="inlineStr">
        <is>
          <t>not stated</t>
        </is>
      </c>
      <c r="L127" s="24" t="inlineStr">
        <is>
          <t>not stated</t>
        </is>
      </c>
      <c r="M127" s="24" t="inlineStr">
        <is>
          <t>Byron, B., &amp; Hawkins, E. (2022). Unpublished data. Scale information composed by Dr David Hegarty, Head of Psychometrics, NovoPsych.</t>
        </is>
      </c>
      <c r="N127" s="24" t="inlineStr">
        <is>
          <t>© 2026 Copyright – NovoPsych – All rights reserved</t>
        </is>
      </c>
      <c r="O127" s="24" t="inlineStr">
        <is>
          <t>not stated</t>
        </is>
      </c>
      <c r="P127" s="24" t="inlineStr">
        <is>
          <t>Out of scope for the hub (child, adolescent, sport, eating, clinician or service feedback)</t>
        </is>
      </c>
      <c r="Q127" s="24" t="inlineStr"/>
      <c r="R127" s="24" t="inlineStr"/>
      <c r="S127" s="24" t="inlineStr">
        <is>
          <t>Original developer not explicitly named; reference is to unpublished data. Only the site wide footer copyright appears. Scoring and Interpretation and Psychometric Properties tab content not present in fetched page text; only overview, developer and reference sections were readable.</t>
        </is>
      </c>
      <c r="T127" s="24" t="inlineStr">
        <is>
          <t>https://novopsych.com/assessments/child/composite-caregiving-questionnaire-ccq/</t>
        </is>
      </c>
    </row>
    <row r="128">
      <c r="A128" s="24" t="n">
        <v>127</v>
      </c>
      <c r="B128" s="24" t="inlineStr">
        <is>
          <t>Obsessive Compulsive Inventory Revised</t>
        </is>
      </c>
      <c r="C128" s="24" t="inlineStr">
        <is>
          <t>OCI-R</t>
        </is>
      </c>
      <c r="D128" s="24" t="inlineStr">
        <is>
          <t>Diagnosis, OCD</t>
        </is>
      </c>
      <c r="E128" s="24" t="inlineStr">
        <is>
          <t>Measures obsessive compulsive symptoms with a separate hoarding component.</t>
        </is>
      </c>
      <c r="F128" s="24" t="n">
        <v>18</v>
      </c>
      <c r="G128" s="24" t="inlineStr">
        <is>
          <t>self report</t>
        </is>
      </c>
      <c r="H128" s="24" t="inlineStr">
        <is>
          <t>18+</t>
        </is>
      </c>
      <c r="I128" s="24" t="n">
        <v>3</v>
      </c>
      <c r="J128" s="24" t="inlineStr">
        <is>
          <t>Washing, Checking, Ordering, Obsessing, Neutralising, Hoarding</t>
        </is>
      </c>
      <c r="K128" s="24" t="inlineStr">
        <is>
          <t>not stated</t>
        </is>
      </c>
      <c r="L128" s="24" t="inlineStr">
        <is>
          <t>Summed scores: OCI-OCD 15 items range 0 to 60, OCI-HD 3 items range 0 to 12; higher means more symptoms. Clinical threshold of 12 or above referenced for severity descriptors.</t>
        </is>
      </c>
      <c r="M128" s="24" t="inlineStr">
        <is>
          <t>Foa, E. B., et al. (2002). The Obsessive-Compulsive Inventory: development and validation of a short version. Also cites Wootton et al. (2015) and Abramovitch et al. (2006).</t>
        </is>
      </c>
      <c r="N128" s="24" t="inlineStr">
        <is>
          <t>© 2026 Copyright – NovoPsych – All rights reserved</t>
        </is>
      </c>
      <c r="O128" s="24" t="inlineStr">
        <is>
          <t>not stated</t>
        </is>
      </c>
      <c r="P128" s="24" t="inlineStr">
        <is>
          <t>Shortlist: screening or clinical (Sarah only if used)</t>
        </is>
      </c>
      <c r="Q128" s="24" t="inlineStr"/>
      <c r="R128" s="24" t="inlineStr"/>
      <c r="S128" s="24" t="inlineStr">
        <is>
          <t>Full bibliographic reference for Foa et al. (2002) not shown in readable text. No copyright or licence statement found on page beyond site footer.</t>
        </is>
      </c>
      <c r="T128" s="24" t="inlineStr">
        <is>
          <t>https://novopsych.com/assessments/diagnosis/obsessional-compulsive-inventory-revised-oci-r/</t>
        </is>
      </c>
    </row>
    <row r="129">
      <c r="A129" s="24" t="n">
        <v>128</v>
      </c>
      <c r="B129" s="24" t="inlineStr">
        <is>
          <t>Multidimensional Inventory of Dissociation 60 item version</t>
        </is>
      </c>
      <c r="C129" s="24" t="inlineStr">
        <is>
          <t>MID-60</t>
        </is>
      </c>
      <c r="D129" s="24" t="inlineStr">
        <is>
          <t>Formulation, Trauma</t>
        </is>
      </c>
      <c r="E129" s="24" t="inlineStr">
        <is>
          <t>Measures dissociative symptoms and experiences consistent with DSM-5-TR dissociative disorders plus PTSD, somatic symptoms, trance and self confusion.</t>
        </is>
      </c>
      <c r="F129" s="24" t="n">
        <v>60</v>
      </c>
      <c r="G129" s="24" t="inlineStr">
        <is>
          <t>self report</t>
        </is>
      </c>
      <c r="H129" s="24" t="inlineStr">
        <is>
          <t>18+ (MID-60-A covers 16 to 19)</t>
        </is>
      </c>
      <c r="I129" s="24" t="n">
        <v>10</v>
      </c>
      <c r="J129" s="24" t="inlineStr">
        <is>
          <t>Amnesia, Subjective Awareness of Alter Personalities and Self States, Angry Intrusions, Persecutory Intrusions, Derealisation/Depersonalisation, Distress about Severe Memory Problems, Loss of Autobiographical Memory, Flashbacks, Body Symptoms, Psychogenic Non Epileptic Seizures, Trance, Self Confusion</t>
        </is>
      </c>
      <c r="K129" s="24" t="inlineStr">
        <is>
          <t>11 point, 0 Never to 10 Always, representing estimated percentage of time a symptom is experienced</t>
        </is>
      </c>
      <c r="L129" s="24" t="inlineStr">
        <is>
          <t>Mean score equals average percentage of time dissociative symptoms are reported; higher means more dissociation. No formal cut offs; mean 65 or above may be consistent with severe dissociation and scores over 80 interpreted cautiously. Subscale cut offs exist but values not shown.</t>
        </is>
      </c>
      <c r="M129" s="24" t="inlineStr">
        <is>
          <t>Kate, M.-A., Jamieson, G., Dorahy, M. J., &amp; Middleton, W. (2020). Measuring Dissociative Symptoms and Experiences in an Australian College Sample Using a Short Version of the Multidimensional Inventory of Dissociation. Journal of Trauma &amp; Dissociation, 22(3), 265 to 287. https://doi.org/10.1080/15299732.2020.1792024</t>
        </is>
      </c>
      <c r="N129" s="24" t="inlineStr">
        <is>
          <t>© 2026 Copyright – NovoPsych – All rights reserved</t>
        </is>
      </c>
      <c r="O129" s="24" t="inlineStr">
        <is>
          <t>not stated</t>
        </is>
      </c>
      <c r="P129" s="24" t="inlineStr">
        <is>
          <t>Shortlist: screening or clinical (Sarah only if used)</t>
        </is>
      </c>
      <c r="Q129" s="24" t="inlineStr"/>
      <c r="R129" s="24" t="inlineStr"/>
      <c r="S129" s="24" t="inlineStr">
        <is>
          <t>Only the site wide footer copyright appears; no instrument specific licence statement.</t>
        </is>
      </c>
      <c r="T129" s="24" t="inlineStr">
        <is>
          <t>https://novopsych.com/assessments/formulation/multidimensional-inventory-of-dissociation-60-item-version-mid-60/</t>
        </is>
      </c>
    </row>
    <row r="130">
      <c r="A130" s="24" t="n">
        <v>129</v>
      </c>
      <c r="B130" s="24" t="inlineStr">
        <is>
          <t>McLean Screening Instrument for Borderline Personality Disorder</t>
        </is>
      </c>
      <c r="C130" s="24" t="inlineStr">
        <is>
          <t>MSI-BPD</t>
        </is>
      </c>
      <c r="D130" s="24" t="inlineStr">
        <is>
          <t>Diagnosis, Personality</t>
        </is>
      </c>
      <c r="E130" s="24" t="inlineStr">
        <is>
          <t>Screens for borderline personality disorder against the DSM-5 criteria.</t>
        </is>
      </c>
      <c r="F130" s="24" t="n">
        <v>10</v>
      </c>
      <c r="G130" s="24" t="inlineStr">
        <is>
          <t>self report</t>
        </is>
      </c>
      <c r="H130" s="24" t="inlineStr">
        <is>
          <t>15+ (youth and adults)</t>
        </is>
      </c>
      <c r="I130" s="24" t="n">
        <v>2</v>
      </c>
      <c r="J130" s="24" t="inlineStr"/>
      <c r="K130" s="24" t="inlineStr">
        <is>
          <t>not stated</t>
        </is>
      </c>
      <c r="L130" s="24" t="inlineStr">
        <is>
          <t>Positive responses indicate symptoms; a total at or above the clinical cut off warrants further evaluation. Numeric cut off not shown in readable text; a borderline range of 5 to 6 is mentioned.</t>
        </is>
      </c>
      <c r="M130" s="24" t="inlineStr">
        <is>
          <t>Zanarini, M. C., et al. (2003). A screening measure for BPD: the McLean Screening Instrument for Borderline Personality Disorder (MSI-BPD). Journal of Personality Disorders, 17(6), 568 to 573.</t>
        </is>
      </c>
      <c r="N130" s="24" t="inlineStr">
        <is>
          <t>© 2026 Copyright – NovoPsych – All rights reserved</t>
        </is>
      </c>
      <c r="O130" s="24" t="inlineStr">
        <is>
          <t>not stated</t>
        </is>
      </c>
      <c r="P130" s="24" t="inlineStr">
        <is>
          <t>Shortlist: screening or clinical (Sarah only if used)</t>
        </is>
      </c>
      <c r="Q130" s="24" t="inlineStr"/>
      <c r="R130" s="24" t="inlineStr"/>
      <c r="S130" s="24" t="inlineStr">
        <is>
          <t>Page cites Zanarini et al. (2003) without a full reference in readable text; citation completed from the standard source. Items map to the 9 DSM-5 BPD criteria, with paranoia or dissociation covered by 2 items. No copyright statement beyond site footer.</t>
        </is>
      </c>
      <c r="T130" s="24" t="inlineStr">
        <is>
          <t>https://novopsych.com/assessments/diagnosis/mclean-screening-instrument-for-bpd-msi-bpd/</t>
        </is>
      </c>
    </row>
    <row r="131">
      <c r="A131" s="24" t="n">
        <v>130</v>
      </c>
      <c r="B131" s="24" t="inlineStr">
        <is>
          <t>Vanderbilt ADHD Diagnostic Teacher Rating Scale</t>
        </is>
      </c>
      <c r="C131" s="24" t="inlineStr">
        <is>
          <t>VADTRS</t>
        </is>
      </c>
      <c r="D131" s="24" t="inlineStr">
        <is>
          <t>ADHD, Child, Diagnosis</t>
        </is>
      </c>
      <c r="E131" s="24" t="inlineStr">
        <is>
          <t>Measures ADHD symptoms, common comorbid conditions and functional impairment in academic and classroom behaviour performance.</t>
        </is>
      </c>
      <c r="F131" s="24" t="n">
        <v>43</v>
      </c>
      <c r="G131" s="24" t="inlineStr">
        <is>
          <t>teacher report</t>
        </is>
      </c>
      <c r="H131" s="24" t="inlineStr">
        <is>
          <t>5 to 12 years</t>
        </is>
      </c>
      <c r="I131" s="24" t="n">
        <v>7</v>
      </c>
      <c r="J131" s="24" t="inlineStr">
        <is>
          <t>Inattention, Hyperactivity/Impulsivity, Oppositional Defiant/Conduct, Anxiety/Depression, Academic Performance, Classroom Behavioural Performance</t>
        </is>
      </c>
      <c r="K131" s="24" t="inlineStr">
        <is>
          <t>not stated</t>
        </is>
      </c>
      <c r="L131" s="24" t="inlineStr">
        <is>
          <t>not stated</t>
        </is>
      </c>
      <c r="M131" s="24" t="inlineStr">
        <is>
          <t>Wolraich, M. L., Feurer, I. D., Hannah, J. N., Baumgaertel, A., &amp; Pinnock, T. Y. (1998). Obtaining systematic teacher reports of disruptive behaviour disorders utilizing DSM-IV. Journal of Abnormal Child Psychology, 26(2), 141 to 152. https://doi.org/10.1023/a:1022673906401</t>
        </is>
      </c>
      <c r="N131" s="24" t="inlineStr">
        <is>
          <t>© 2026 Copyright – NovoPsych – All rights reserved</t>
        </is>
      </c>
      <c r="O131" s="24" t="inlineStr">
        <is>
          <t>not stated</t>
        </is>
      </c>
      <c r="P131" s="24" t="inlineStr">
        <is>
          <t>Out of scope for the hub (child, adolescent, sport, eating, clinician or service feedback)</t>
        </is>
      </c>
      <c r="Q131" s="24" t="inlineStr"/>
      <c r="R131" s="24" t="inlineStr"/>
      <c r="S131" s="24" t="inlineStr">
        <is>
          <t>Page names Oppositional Defiant/Conduct and Anxiety/Depression plus academic and classroom performance domains; inattention and hyperactivity subscales inferred from the instrument. Only the site wide footer copyright appears. Scoring and Interpretation and Psychometric Properties tab content not present in fetched page text; only overview, developer and reference sections were readable.</t>
        </is>
      </c>
      <c r="T131" s="24" t="inlineStr">
        <is>
          <t>https://novopsych.com/assessments/diagnosis/vanderbilt-adhd-diagnostic-teacher-rating-scale-vadtrs/</t>
        </is>
      </c>
    </row>
    <row r="132">
      <c r="A132" s="24" t="n">
        <v>131</v>
      </c>
      <c r="B132" s="24" t="inlineStr">
        <is>
          <t>Positive and Negative Affect Schedule</t>
        </is>
      </c>
      <c r="C132" s="24" t="inlineStr">
        <is>
          <t>PANAS</t>
        </is>
      </c>
      <c r="D132" s="24" t="inlineStr">
        <is>
          <t>Formulation, Outcome monitoring</t>
        </is>
      </c>
      <c r="E132" s="24" t="inlineStr">
        <is>
          <t>Measures positive and negative emotional states, with positive affect reflecting engagement and negative affect reflecting general distress.</t>
        </is>
      </c>
      <c r="F132" s="24" t="n">
        <v>20</v>
      </c>
      <c r="G132" s="24" t="inlineStr">
        <is>
          <t>self report</t>
        </is>
      </c>
      <c r="H132" s="24" t="inlineStr">
        <is>
          <t>18+</t>
        </is>
      </c>
      <c r="I132" s="24" t="n">
        <v>3</v>
      </c>
      <c r="J132" s="24" t="inlineStr">
        <is>
          <t>Positive Affect, Negative Affect</t>
        </is>
      </c>
      <c r="K132" s="24" t="inlineStr">
        <is>
          <t>not stated</t>
        </is>
      </c>
      <c r="L132" s="24" t="inlineStr">
        <is>
          <t>Scoring method not shown in readable text. Australian non clinical norms (state version, n = 1059, ages 18 to 50): Positive Affect M 26.48 SD 8.1; Negative Affect M 14.80 SD 5.49.</t>
        </is>
      </c>
      <c r="M132" s="24" t="inlineStr">
        <is>
          <t>Watson, D., Clark, L. A., &amp; Tellegen, A. (1988). Development and validation of brief measures of positive and negative affect: The PANAS scales. Journal of Personality and Social Psychology, 54(6), 1063 to 1070. https://doi.org/10.1037/0022-3514.54.6.1063</t>
        </is>
      </c>
      <c r="N132" s="24" t="inlineStr">
        <is>
          <t>© 2026 Copyright – NovoPsych – All rights reserved</t>
        </is>
      </c>
      <c r="O132" s="24" t="inlineStr">
        <is>
          <t>not stated</t>
        </is>
      </c>
      <c r="P132" s="24" t="inlineStr">
        <is>
          <t>Shortlist: coaching and wellbeing (client facing possible)</t>
        </is>
      </c>
      <c r="Q132" s="24" t="inlineStr"/>
      <c r="R132" s="24" t="inlineStr"/>
      <c r="S132" s="24" t="inlineStr">
        <is>
          <t>Only the site wide footer copyright appears; no instrument specific licence statement. Scoring and Interpretation and Psychometric Properties tab content not present in fetched page text; only overview, developer and reference sections were readable.</t>
        </is>
      </c>
      <c r="T132" s="24" t="inlineStr">
        <is>
          <t>https://novopsych.com/assessments/formulation/positive-and-negative-affect-schedule-panas/</t>
        </is>
      </c>
    </row>
    <row r="133">
      <c r="A133" s="24" t="n">
        <v>132</v>
      </c>
      <c r="B133" s="24" t="inlineStr">
        <is>
          <t>Mindfulness Based Self Efficacy Scale Revised</t>
        </is>
      </c>
      <c r="C133" s="24" t="inlineStr">
        <is>
          <t>MSES-R</t>
        </is>
      </c>
      <c r="D133" s="24" t="inlineStr">
        <is>
          <t>Formulation</t>
        </is>
      </c>
      <c r="E133" s="24" t="inlineStr">
        <is>
          <t>Measures self efficacy in overcoming daily stressors using skills gained through mindfulness practice.</t>
        </is>
      </c>
      <c r="F133" s="24" t="n">
        <v>22</v>
      </c>
      <c r="G133" s="24" t="inlineStr">
        <is>
          <t>self report</t>
        </is>
      </c>
      <c r="H133" s="24" t="inlineStr">
        <is>
          <t>16+</t>
        </is>
      </c>
      <c r="I133" s="24" t="n">
        <v>4</v>
      </c>
      <c r="J133" s="24" t="inlineStr"/>
      <c r="K133" s="24" t="inlineStr">
        <is>
          <t>not stated</t>
        </is>
      </c>
      <c r="L133" s="24" t="inlineStr">
        <is>
          <t>not stated</t>
        </is>
      </c>
      <c r="M133" s="24" t="inlineStr">
        <is>
          <t>Cayoun, B., Elphinstone, B., Kasselis, N., Bilsborrow, G., &amp; Skilbeck, C. (2022). Validation and Factor Structure of the Mindfulness-Based Self Efficacy Scale-Revised. Mindfulness, 13(3), 751 to 765. https://doi.org/10.1007/s12671-022-01834-6</t>
        </is>
      </c>
      <c r="N133" s="24" t="inlineStr">
        <is>
          <t>© 2026 Copyright – NovoPsych – All rights reserved</t>
        </is>
      </c>
      <c r="O133" s="24" t="inlineStr">
        <is>
          <t>not stated</t>
        </is>
      </c>
      <c r="P133" s="24" t="inlineStr">
        <is>
          <t>Shortlist: coaching and wellbeing (client facing possible)</t>
        </is>
      </c>
      <c r="Q133" s="24" t="inlineStr"/>
      <c r="R133" s="24" t="inlineStr"/>
      <c r="S133" s="24" t="inlineStr">
        <is>
          <t>Only the site wide footer copyright appears; no instrument specific licence statement. Scoring and Interpretation and Psychometric Properties tab content not present in fetched page text; only overview, developer and reference sections were readable.</t>
        </is>
      </c>
      <c r="T133" s="24" t="inlineStr">
        <is>
          <t>https://novopsych.com/assessments/formulation/mindfulness-based-self-efficacy-scale-mses-r/</t>
        </is>
      </c>
    </row>
    <row r="134">
      <c r="A134" s="24" t="n">
        <v>133</v>
      </c>
      <c r="B134" s="24" t="inlineStr">
        <is>
          <t>Equanimity Scale 16</t>
        </is>
      </c>
      <c r="C134" s="24" t="inlineStr">
        <is>
          <t>ES-16</t>
        </is>
      </c>
      <c r="D134" s="24" t="inlineStr">
        <is>
          <t>Formulation</t>
        </is>
      </c>
      <c r="E134" s="24" t="inlineStr">
        <is>
          <t>Measures the degree to which a person responds to thoughts, feelings and experiences without reactivity.</t>
        </is>
      </c>
      <c r="F134" s="24" t="n">
        <v>16</v>
      </c>
      <c r="G134" s="24" t="inlineStr">
        <is>
          <t>self report</t>
        </is>
      </c>
      <c r="H134" s="24" t="inlineStr">
        <is>
          <t>18+</t>
        </is>
      </c>
      <c r="I134" s="24" t="n">
        <v>3</v>
      </c>
      <c r="J134" s="24" t="inlineStr"/>
      <c r="K134" s="24" t="inlineStr">
        <is>
          <t>not stated</t>
        </is>
      </c>
      <c r="L134" s="24" t="inlineStr">
        <is>
          <t>not stated</t>
        </is>
      </c>
      <c r="M134" s="24" t="inlineStr">
        <is>
          <t>Rogers, H. T., Shires, A. G., &amp; Cayoun, B. A. (2021). Development and Validation of the Equanimity Scale-16. Mindfulness, 12(1), 107 to 120. https://doi.org/10.1007/s12671-020-01503-6</t>
        </is>
      </c>
      <c r="N134" s="24" t="inlineStr">
        <is>
          <t>© 2026 Copyright – NovoPsych – All rights reserved</t>
        </is>
      </c>
      <c r="O134" s="24" t="inlineStr">
        <is>
          <t>not stated</t>
        </is>
      </c>
      <c r="P134" s="24" t="inlineStr">
        <is>
          <t>Shortlist: coaching and wellbeing (client facing possible)</t>
        </is>
      </c>
      <c r="Q134" s="24" t="inlineStr"/>
      <c r="R134" s="24" t="inlineStr"/>
      <c r="S134" s="24" t="inlineStr">
        <is>
          <t>Only the site wide footer copyright appears; no instrument specific licence statement. Scoring and Interpretation and Psychometric Properties tab content not present in fetched page text; only overview, developer and reference sections were readable.</t>
        </is>
      </c>
      <c r="T134" s="24" t="inlineStr">
        <is>
          <t>https://novopsych.com/assessments/formulation/equanimity-scale-es-16/</t>
        </is>
      </c>
    </row>
    <row r="135">
      <c r="A135" s="24" t="n">
        <v>134</v>
      </c>
      <c r="B135" s="24" t="inlineStr">
        <is>
          <t>Tinnitus Handicap Inventory</t>
        </is>
      </c>
      <c r="C135" s="24" t="inlineStr">
        <is>
          <t>THI</t>
        </is>
      </c>
      <c r="D135" s="24" t="inlineStr">
        <is>
          <t>Health</t>
        </is>
      </c>
      <c r="E135" s="24" t="inlineStr">
        <is>
          <t>Measures perceived severity of tinnitus related handicap.</t>
        </is>
      </c>
      <c r="F135" s="24" t="n">
        <v>25</v>
      </c>
      <c r="G135" s="24" t="inlineStr">
        <is>
          <t>self report</t>
        </is>
      </c>
      <c r="H135" s="24" t="inlineStr">
        <is>
          <t>18+</t>
        </is>
      </c>
      <c r="I135" s="24" t="n">
        <v>4</v>
      </c>
      <c r="J135" s="24" t="inlineStr"/>
      <c r="K135" s="24" t="inlineStr">
        <is>
          <t>not stated</t>
        </is>
      </c>
      <c r="L135" s="24" t="inlineStr">
        <is>
          <t>not stated</t>
        </is>
      </c>
      <c r="M135" s="24" t="inlineStr">
        <is>
          <t>Newman, C. W., Jacobson, G. P., &amp; Spitzer, J. B. (1996). Development of the Tinnitus Handicap Inventory. Archives of Otolaryngology, Head &amp; Neck Surgery, 122(2), 143 to 148. https://doi.org/10.1001/archotol.1996.01890140029007</t>
        </is>
      </c>
      <c r="N135" s="24" t="inlineStr">
        <is>
          <t>© 2026 Copyright – NovoPsych – All rights reserved</t>
        </is>
      </c>
      <c r="O135" s="24" t="inlineStr">
        <is>
          <t>not stated</t>
        </is>
      </c>
      <c r="P135" s="24" t="inlineStr">
        <is>
          <t>Consider</t>
        </is>
      </c>
      <c r="Q135" s="24" t="inlineStr"/>
      <c r="R135" s="24" t="inlineStr"/>
      <c r="S135" s="24" t="inlineStr">
        <is>
          <t>Only the site wide footer copyright appears; no instrument specific licence statement. Scoring and Interpretation and Psychometric Properties tab content not present in fetched page text; only overview, developer and reference sections were readable.</t>
        </is>
      </c>
      <c r="T135" s="24" t="inlineStr">
        <is>
          <t>https://novopsych.com/assessments/diagnosis/tinnitus-handicap-inventory-thi/</t>
        </is>
      </c>
    </row>
    <row r="136">
      <c r="A136" s="24" t="n">
        <v>135</v>
      </c>
      <c r="B136" s="24" t="inlineStr">
        <is>
          <t>Multidimensional Assessment of Interoceptive Awareness Youth Version</t>
        </is>
      </c>
      <c r="C136" s="24" t="inlineStr">
        <is>
          <t>MAIA-Y</t>
        </is>
      </c>
      <c r="D136" s="24" t="inlineStr">
        <is>
          <t>Adolescent, Autism, Child</t>
        </is>
      </c>
      <c r="E136" s="24" t="inlineStr">
        <is>
          <t>Measures several dimensions of interoception, meaning awareness of bodily sensations, in children and adolescents.</t>
        </is>
      </c>
      <c r="F136" s="24" t="n">
        <v>32</v>
      </c>
      <c r="G136" s="24" t="inlineStr">
        <is>
          <t>self report (youth)</t>
        </is>
      </c>
      <c r="H136" s="24" t="inlineStr">
        <is>
          <t>7 to 17 years</t>
        </is>
      </c>
      <c r="I136" s="24" t="n">
        <v>5</v>
      </c>
      <c r="J136" s="24" t="inlineStr"/>
      <c r="K136" s="24" t="inlineStr">
        <is>
          <t>not stated</t>
        </is>
      </c>
      <c r="L136" s="24" t="inlineStr">
        <is>
          <t>not stated</t>
        </is>
      </c>
      <c r="M136" s="24" t="inlineStr">
        <is>
          <t>Jones, A., Silas, J., Todd, J., Stewart, A., Acree, M., Coulson, M., &amp; Mehling, W. E. (2021). Exploring the Multidimensional Assessment of Interoceptive Awareness in youth aged 7-17 years. Journal of Clinical Psychology, 77(3), 661 to 682. https://doi.org/10.1002/jclp.23067</t>
        </is>
      </c>
      <c r="N136" s="24" t="inlineStr">
        <is>
          <t>© 2026 Copyright – NovoPsych – All rights reserved</t>
        </is>
      </c>
      <c r="O136" s="24" t="inlineStr">
        <is>
          <t>not stated</t>
        </is>
      </c>
      <c r="P136" s="24" t="inlineStr">
        <is>
          <t>Out of scope for the hub (child, adolescent, sport, eating, clinician or service feedback)</t>
        </is>
      </c>
      <c r="Q136" s="24" t="inlineStr"/>
      <c r="R136" s="24" t="inlineStr"/>
      <c r="S136" s="24" t="inlineStr">
        <is>
          <t>Page states 8 scales but names were not in readable text. Respondent inferred as youth self report. Only the site wide footer copyright appears. Scoring and Interpretation and Psychometric Properties tab content not present in fetched page text; only overview, developer and reference sections were readable.</t>
        </is>
      </c>
      <c r="T136" s="24" t="inlineStr">
        <is>
          <t>https://novopsych.com/assessments/child/multidimensional-assessment-of-interoceptive-awareness-youth-version-maia-y/</t>
        </is>
      </c>
    </row>
    <row r="137">
      <c r="A137" s="24" t="n">
        <v>136</v>
      </c>
      <c r="B137" s="24" t="inlineStr">
        <is>
          <t>Multidimensional Assessment of Interoceptive Awareness Version 2</t>
        </is>
      </c>
      <c r="C137" s="24" t="inlineStr">
        <is>
          <t>MAIA-2</t>
        </is>
      </c>
      <c r="D137" s="24" t="inlineStr">
        <is>
          <t>Autism, Formulation, Well-being</t>
        </is>
      </c>
      <c r="E137" s="24" t="inlineStr">
        <is>
          <t>Measures adults' self reported interoceptive awareness, meaning how they perceive, interpret and respond to internal bodily sensations.</t>
        </is>
      </c>
      <c r="F137" s="24" t="n">
        <v>37</v>
      </c>
      <c r="G137" s="24" t="inlineStr">
        <is>
          <t>self report</t>
        </is>
      </c>
      <c r="H137" s="24" t="inlineStr">
        <is>
          <t>18+</t>
        </is>
      </c>
      <c r="I137" s="24" t="n">
        <v>6</v>
      </c>
      <c r="J137" s="24" t="inlineStr">
        <is>
          <t>Noticing, Not-Distracting, Not-Worrying, Attention Regulation, Emotional Awareness, Self-Regulation, Body Listening, Trusting</t>
        </is>
      </c>
      <c r="K137" s="24" t="inlineStr">
        <is>
          <t>not stated</t>
        </is>
      </c>
      <c r="L137" s="24" t="inlineStr">
        <is>
          <t>No total score; each subscale interpreted separately, with scores below the 25th or above the 75th percentile of a community sample flagged. Higher scores indicate greater interoceptive capacity. Sum or mean not stated.</t>
        </is>
      </c>
      <c r="M137" s="24" t="inlineStr">
        <is>
          <t>Mehling, W. E., Acree, M., Stewart, A., Silas, J., &amp; Jones, A. (2018). The Multidimensional Assessment of Interoceptive Awareness, Version 2 (MAIA-2). PLoS ONE, 13(12), e0208034.</t>
        </is>
      </c>
      <c r="N137" s="24" t="inlineStr">
        <is>
          <t>© 2026 Copyright – NovoPsych – All rights reserved</t>
        </is>
      </c>
      <c r="O137" s="24" t="inlineStr">
        <is>
          <t>not stated</t>
        </is>
      </c>
      <c r="P137" s="24" t="inlineStr">
        <is>
          <t>Shortlist: coaching and wellbeing (client facing possible)</t>
        </is>
      </c>
      <c r="Q137" s="24" t="inlineStr"/>
      <c r="R137" s="24" t="inlineStr"/>
      <c r="S137" s="24" t="inlineStr">
        <is>
          <t>Page names 6 of the 8 subscales; Attention Regulation and Self-Regulation added from the instrument. Full citation completed from the standard source; page gives Mehling et al., 2018 only. No copyright statement found beyond site footer.</t>
        </is>
      </c>
      <c r="T137" s="24" t="inlineStr">
        <is>
          <t>https://novopsych.com/assessments/well-being/multidimensional-assessment-of-interoceptive-awareness-version-2-maia-2/</t>
        </is>
      </c>
    </row>
    <row r="138">
      <c r="A138" s="24" t="n">
        <v>137</v>
      </c>
      <c r="B138" s="24" t="inlineStr">
        <is>
          <t>Ritvo Autism Asperger Diagnostic Scale Revised</t>
        </is>
      </c>
      <c r="C138" s="24" t="inlineStr">
        <is>
          <t>RAADS-R</t>
        </is>
      </c>
      <c r="D138" s="24" t="inlineStr">
        <is>
          <t>Autism, Diagnosis</t>
        </is>
      </c>
      <c r="E138" s="24" t="inlineStr">
        <is>
          <t>A self report screen for autistic traits in adults.</t>
        </is>
      </c>
      <c r="F138" s="24" t="n">
        <v>80</v>
      </c>
      <c r="G138" s="24" t="inlineStr">
        <is>
          <t>self report</t>
        </is>
      </c>
      <c r="H138" s="24" t="inlineStr">
        <is>
          <t>18+</t>
        </is>
      </c>
      <c r="I138" s="24" t="n">
        <v>13</v>
      </c>
      <c r="J138" s="24" t="inlineStr">
        <is>
          <t>Social Relatedness, Circumscribed Interests, Language, Sensory-Motor</t>
        </is>
      </c>
      <c r="K138" s="24" t="inlineStr">
        <is>
          <t>4 point, from never true, through true only when younger than 16 and true only now, to true now and when young</t>
        </is>
      </c>
      <c r="L138" s="24" t="inlineStr">
        <is>
          <t>Total score, higher indicates more autistic traits. Bands: 65 to 105 some autistic traits (original 65 cut off), 106 or above consistent with autism, 140 or above pronounced traits.</t>
        </is>
      </c>
      <c r="M138" s="24" t="inlineStr">
        <is>
          <t>Ritvo, R. A., Ritvo, E. R., Guthrie, D., Ritvo, M. J., Hufnagel, D. H., McMahon, W., et al. (2011). The Ritvo Autism Asperger Diagnostic Scale-Revised (RAADS-R). Journal of Autism and Developmental Disorders, 41(8), 1076 to 1089.</t>
        </is>
      </c>
      <c r="N138" s="24" t="inlineStr">
        <is>
          <t>© 2026 Copyright – NovoPsych – All rights reserved</t>
        </is>
      </c>
      <c r="O138" s="24" t="inlineStr">
        <is>
          <t>not stated</t>
        </is>
      </c>
      <c r="P138" s="24" t="inlineStr">
        <is>
          <t>Shortlist: screening or clinical (Sarah only if used)</t>
        </is>
      </c>
      <c r="Q138" s="24" t="inlineStr"/>
      <c r="R138" s="24" t="inlineStr"/>
      <c r="S138" s="24" t="inlineStr">
        <is>
          <t>Subscale item counts: Social Relatedness 39, Circumscribed Interests 14, Language 7, Sensory-Motor 20. Page cites Ritvo et al. (2011) without full reference; completed from the standard source. No copyright statement found beyond site footer.</t>
        </is>
      </c>
      <c r="T138" s="24" t="inlineStr">
        <is>
          <t>https://novopsych.com/assessments/diagnosis/ritvo-autism-asperger-diagnostic-scale-revised-raads-r/</t>
        </is>
      </c>
    </row>
    <row r="139">
      <c r="A139" s="24" t="n">
        <v>138</v>
      </c>
      <c r="B139" s="24" t="inlineStr">
        <is>
          <t>Borderline Symptom List Short Version</t>
        </is>
      </c>
      <c r="C139" s="24" t="inlineStr">
        <is>
          <t>BSL-23</t>
        </is>
      </c>
      <c r="D139" s="24" t="inlineStr">
        <is>
          <t>Diagnosis, Personality</t>
        </is>
      </c>
      <c r="E139" s="24" t="inlineStr">
        <is>
          <t>Measures self reported severity of borderline personality disorder symptoms in adults over the past week.</t>
        </is>
      </c>
      <c r="F139" s="24" t="n">
        <v>23</v>
      </c>
      <c r="G139" s="24" t="inlineStr">
        <is>
          <t>self report</t>
        </is>
      </c>
      <c r="H139" s="24" t="inlineStr">
        <is>
          <t>18+</t>
        </is>
      </c>
      <c r="I139" s="24" t="n">
        <v>4</v>
      </c>
      <c r="J139" s="24" t="inlineStr"/>
      <c r="K139" s="24" t="inlineStr">
        <is>
          <t>5 point, 0 Not at all to 4 Very strong; plus a separate 0 to 100 wellbeing item not included in the total</t>
        </is>
      </c>
      <c r="L139" s="24" t="inlineStr">
        <is>
          <t>Higher scores indicate greater likelihood of BPD. Sum or mean not stated; Kleindienst et al. (2020) severity classification referenced but thresholds not shown in readable text.</t>
        </is>
      </c>
      <c r="M139" s="24" t="inlineStr">
        <is>
          <t>Bohus, M., Kleindienst, N., Limberger, M. F., Stieglitz, R.-D., Domsalla, M., Chapman, A. L., Steil, R., Philipsen, A., &amp; Wolf, M. (2009). The short version of the Borderline Symptom List (BSL-23): development and initial data on psychometric properties. Psychopathology, 42(1), 32 to 39.</t>
        </is>
      </c>
      <c r="N139" s="24" t="inlineStr">
        <is>
          <t>© 2026 Copyright – NovoPsych – All rights reserved</t>
        </is>
      </c>
      <c r="O139" s="24" t="inlineStr">
        <is>
          <t>not stated</t>
        </is>
      </c>
      <c r="P139" s="24" t="inlineStr">
        <is>
          <t>Shortlist: screening or clinical (Sarah only if used)</t>
        </is>
      </c>
      <c r="Q139" s="24" t="inlineStr"/>
      <c r="R139" s="24" t="inlineStr"/>
      <c r="S139" s="24" t="inlineStr">
        <is>
          <t>23 scored items plus item 24 wellbeing rating. Only the site wide footer copyright appears; no instrument specific licence statement.</t>
        </is>
      </c>
      <c r="T139" s="24" t="inlineStr">
        <is>
          <t>https://novopsych.com/assessments/diagnosis/borderline-symptom-list-bsl-23/</t>
        </is>
      </c>
    </row>
    <row r="140">
      <c r="A140" s="24" t="n">
        <v>139</v>
      </c>
      <c r="B140" s="24" t="inlineStr">
        <is>
          <t>Vanderbilt ADHD Diagnostic Parent Rating Scale</t>
        </is>
      </c>
      <c r="C140" s="24" t="inlineStr">
        <is>
          <t>VADPRS</t>
        </is>
      </c>
      <c r="D140" s="24" t="inlineStr">
        <is>
          <t>ADHD, Child, Diagnosis</t>
        </is>
      </c>
      <c r="E140" s="24" t="inlineStr">
        <is>
          <t>Measures parent reported symptoms of ADHD and common comorbid conditions in children.</t>
        </is>
      </c>
      <c r="F140" s="24" t="n">
        <v>55</v>
      </c>
      <c r="G140" s="24" t="inlineStr">
        <is>
          <t>parent report</t>
        </is>
      </c>
      <c r="H140" s="24" t="inlineStr">
        <is>
          <t>5 to 12 years</t>
        </is>
      </c>
      <c r="I140" s="24" t="n">
        <v>9</v>
      </c>
      <c r="J140" s="24" t="inlineStr"/>
      <c r="K140" s="24" t="inlineStr">
        <is>
          <t>not stated</t>
        </is>
      </c>
      <c r="L140" s="24" t="inlineStr">
        <is>
          <t>not stated</t>
        </is>
      </c>
      <c r="M140" s="24" t="inlineStr">
        <is>
          <t>Wolraich, M. L., Lambert, W., Doffing, M. A., Bickman, L., Simmons, T., &amp; Worley, K. (2003). Psychometric properties of the Vanderbilt ADHD diagnostic parent rating scale in a referred population. Journal of Pediatric Psychology, 28(8), 559 to 567. https://doi.org/10.1093/jpepsy/jsg046</t>
        </is>
      </c>
      <c r="N140" s="24" t="inlineStr">
        <is>
          <t>© 2026 Copyright – NovoPsych – All rights reserved</t>
        </is>
      </c>
      <c r="O140" s="24" t="inlineStr">
        <is>
          <t>not stated</t>
        </is>
      </c>
      <c r="P140" s="24" t="inlineStr">
        <is>
          <t>Out of scope for the hub (child, adolescent, sport, eating, clinician or service feedback)</t>
        </is>
      </c>
      <c r="Q140" s="24" t="inlineStr"/>
      <c r="R140" s="24" t="inlineStr"/>
      <c r="S140" s="24" t="inlineStr">
        <is>
          <t>Only the site wide footer copyright appears; no instrument specific licence statement. Scoring and Interpretation and Psychometric Properties tab content not present in fetched page text; only overview, developer and reference sections were readable.</t>
        </is>
      </c>
      <c r="T140" s="24" t="inlineStr">
        <is>
          <t>https://novopsych.com/assessments/diagnosis/vanderbilt-adhd-diagnostic-parent-rating-scale-vadprs/</t>
        </is>
      </c>
    </row>
    <row r="141">
      <c r="A141" s="24" t="n">
        <v>140</v>
      </c>
      <c r="B141" s="24" t="inlineStr">
        <is>
          <t>Compassion Motivation and Action Scales Self Compassion</t>
        </is>
      </c>
      <c r="C141" s="24" t="inlineStr">
        <is>
          <t>CMAS-Self</t>
        </is>
      </c>
      <c r="D141" s="24" t="inlineStr">
        <is>
          <t>Formulation</t>
        </is>
      </c>
      <c r="E141" s="24" t="inlineStr">
        <is>
          <t>Measures self directed compassionate motivation and action.</t>
        </is>
      </c>
      <c r="F141" s="24" t="n">
        <v>18</v>
      </c>
      <c r="G141" s="24" t="inlineStr">
        <is>
          <t>self report</t>
        </is>
      </c>
      <c r="H141" s="24" t="inlineStr">
        <is>
          <t>18+</t>
        </is>
      </c>
      <c r="I141" s="24" t="n">
        <v>3</v>
      </c>
      <c r="J141" s="24" t="inlineStr"/>
      <c r="K141" s="24" t="inlineStr">
        <is>
          <t>not stated</t>
        </is>
      </c>
      <c r="L141" s="24" t="inlineStr">
        <is>
          <t>not stated</t>
        </is>
      </c>
      <c r="M141"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1" s="24" t="inlineStr">
        <is>
          <t>© 2026 Copyright – NovoPsych – All rights reserved</t>
        </is>
      </c>
      <c r="O141" s="24" t="inlineStr">
        <is>
          <t>not stated</t>
        </is>
      </c>
      <c r="P141" s="24" t="inlineStr">
        <is>
          <t>Shortlist: coaching and wellbeing (client facing possible)</t>
        </is>
      </c>
      <c r="Q141" s="24" t="inlineStr"/>
      <c r="R141" s="24" t="inlineStr"/>
      <c r="S141" s="24" t="inlineStr">
        <is>
          <t>Page notes Overview, Scoring and Interpretation and Psychometric Properties sit behind Professional Access. Only the site wide footer copyright appears.</t>
        </is>
      </c>
      <c r="T141" s="24" t="inlineStr">
        <is>
          <t>https://novopsych.com/assessments/formulation/compassion-motivation-and-action-scales-self-compassion-cmas-self/</t>
        </is>
      </c>
    </row>
    <row r="142">
      <c r="A142" s="24" t="n">
        <v>141</v>
      </c>
      <c r="B142" s="24" t="inlineStr">
        <is>
          <t>Compassion Motivation and Action Scales Compassion for Others</t>
        </is>
      </c>
      <c r="C142" s="24" t="inlineStr">
        <is>
          <t>CMAS-Other</t>
        </is>
      </c>
      <c r="D142" s="24" t="inlineStr">
        <is>
          <t>Formulation</t>
        </is>
      </c>
      <c r="E142" s="24" t="inlineStr">
        <is>
          <t>Measures compassionate motivation and action directed toward other people; companion to the CMAS-Self.</t>
        </is>
      </c>
      <c r="F142" s="24" t="n"/>
      <c r="G142" s="24" t="inlineStr">
        <is>
          <t>self report</t>
        </is>
      </c>
      <c r="H142" s="24" t="inlineStr">
        <is>
          <t>18+</t>
        </is>
      </c>
      <c r="I142" s="24" t="n">
        <v>2</v>
      </c>
      <c r="J142" s="24" t="inlineStr"/>
      <c r="K142" s="24" t="inlineStr">
        <is>
          <t>not stated</t>
        </is>
      </c>
      <c r="L142" s="24" t="inlineStr">
        <is>
          <t>not stated</t>
        </is>
      </c>
      <c r="M142" s="24" t="inlineStr">
        <is>
          <t>Steindl, S. R., Tellegen, C. L., Filus, A., Seppälä, E., Doty, J. R., &amp; Kirby, J. N. (2021). The Compassion Motivation and Action Scales: a self-report measure of compassionate and self-compassionate behaviours. Australian Psychologist, 56(2), 93 to 110. https://doi.org/10.1080/00050067.2021.1893110</t>
        </is>
      </c>
      <c r="N142" s="24" t="inlineStr">
        <is>
          <t>© 2026 Copyright – NovoPsych – All rights reserved</t>
        </is>
      </c>
      <c r="O142" s="24" t="inlineStr">
        <is>
          <t>not stated</t>
        </is>
      </c>
      <c r="P142" s="24" t="inlineStr">
        <is>
          <t>Shortlist: coaching and wellbeing (client facing possible)</t>
        </is>
      </c>
      <c r="Q142" s="24" t="inlineStr"/>
      <c r="R142" s="24" t="inlineStr"/>
      <c r="S142" s="24" t="inlineStr">
        <is>
          <t>Item count not stated in readable text. Only the site wide footer copyright appears. Scoring and Interpretation and Psychometric Properties tab content not present in fetched page text; only overview, developer and reference sections were readable.</t>
        </is>
      </c>
      <c r="T142" s="24" t="inlineStr">
        <is>
          <t>https://novopsych.com/assessments/formulation/compassion-motivation-and-action-scales-compassion-cmas-other/</t>
        </is>
      </c>
    </row>
    <row r="143">
      <c r="A143" s="24" t="n">
        <v>142</v>
      </c>
      <c r="B143" s="24" t="inlineStr">
        <is>
          <t>Adverse Childhood Experiences Questionnaire</t>
        </is>
      </c>
      <c r="C143" s="24" t="inlineStr">
        <is>
          <t>ACE-Q</t>
        </is>
      </c>
      <c r="D143" s="24" t="inlineStr">
        <is>
          <t>Trauma, Formulation</t>
        </is>
      </c>
      <c r="E143" s="24" t="inlineStr">
        <is>
          <t>Measures retrospective exposure to potentially traumatic experiences before age 18, covering abuse and neglect and household dysfunction.</t>
        </is>
      </c>
      <c r="F143" s="24" t="n">
        <v>10</v>
      </c>
      <c r="G143" s="24" t="inlineStr">
        <is>
          <t>self report</t>
        </is>
      </c>
      <c r="H143" s="24" t="inlineStr">
        <is>
          <t>18+</t>
        </is>
      </c>
      <c r="I143" s="24" t="n">
        <v>2</v>
      </c>
      <c r="J143" s="24" t="inlineStr">
        <is>
          <t>Abuse and neglect, Household dysfunction</t>
        </is>
      </c>
      <c r="K143" s="24" t="inlineStr">
        <is>
          <t>not stated</t>
        </is>
      </c>
      <c r="L143" s="24" t="inlineStr">
        <is>
          <t>not stated</t>
        </is>
      </c>
      <c r="M143" s="24" t="inlineStr">
        <is>
          <t>Felitti, V. J., Anda, R. F., Nordenberg, D., Williamson, D. F., Spitz, A. M., Edwards, V., Koss, M. P., &amp; Marks, J. S. (1998). Relationship of childhood abuse and household dysfunction to many of the leading causes of death in adults. American Journal of Preventive Medicine, 14(4), 245 to 258. https://doi.org/10.1016/s0749-3797(98)00017-8</t>
        </is>
      </c>
      <c r="N143" s="24" t="inlineStr">
        <is>
          <t>© 2026 Copyright – NovoPsych – All rights reserved</t>
        </is>
      </c>
      <c r="O143" s="24" t="inlineStr">
        <is>
          <t>not stated</t>
        </is>
      </c>
      <c r="P143" s="24" t="inlineStr">
        <is>
          <t>Shortlist: coaching and wellbeing (client facing possible)</t>
        </is>
      </c>
      <c r="Q143" s="24" t="inlineStr"/>
      <c r="R143" s="24" t="inlineStr"/>
      <c r="S143" s="24" t="inlineStr">
        <is>
          <t>Subscales listed are the 2 broad categories described on the page rather than formal subscales. Only the site wide footer copyright appears. Scoring and Interpretation and Psychometric Properties tab content not present in fetched page text; only overview, developer and reference sections were readable.</t>
        </is>
      </c>
      <c r="T143" s="24" t="inlineStr">
        <is>
          <t>https://novopsych.com/assessments/trauma/adverse-childhood-experiences-questionnaire-ace-q/</t>
        </is>
      </c>
    </row>
    <row r="144">
      <c r="A144" s="24" t="n">
        <v>143</v>
      </c>
      <c r="B144" s="24" t="inlineStr">
        <is>
          <t>Cognitive Flexibility Inventory</t>
        </is>
      </c>
      <c r="C144" s="24" t="inlineStr">
        <is>
          <t>CFI</t>
        </is>
      </c>
      <c r="D144" s="24" t="inlineStr">
        <is>
          <t>Formulation</t>
        </is>
      </c>
      <c r="E144" s="24" t="inlineStr">
        <is>
          <t>Measures how regularly people apply the thought challenging strategies used in cognitive behavioural therapy.</t>
        </is>
      </c>
      <c r="F144" s="24" t="n">
        <v>20</v>
      </c>
      <c r="G144" s="24" t="inlineStr">
        <is>
          <t>self report</t>
        </is>
      </c>
      <c r="H144" s="24" t="inlineStr">
        <is>
          <t>18+</t>
        </is>
      </c>
      <c r="I144" s="24" t="n">
        <v>3</v>
      </c>
      <c r="J144" s="24" t="inlineStr"/>
      <c r="K144" s="24" t="inlineStr">
        <is>
          <t>not stated</t>
        </is>
      </c>
      <c r="L144" s="24" t="inlineStr">
        <is>
          <t>not stated</t>
        </is>
      </c>
      <c r="M144" s="24" t="inlineStr">
        <is>
          <t>Dennis, J. P., &amp; Vander Wal, J. S. (2010). The cognitive flexibility inventory: Instrument development and estimates of reliability and validity. Cognitive Therapy and Research, 34(3), 241 to 253. https://doi.org/10.1007/s10608-009-9276-4</t>
        </is>
      </c>
      <c r="N144" s="24" t="inlineStr">
        <is>
          <t>© 2026 Copyright – NovoPsych – All rights reserved</t>
        </is>
      </c>
      <c r="O144" s="24" t="inlineStr">
        <is>
          <t>not stated</t>
        </is>
      </c>
      <c r="P144" s="24" t="inlineStr">
        <is>
          <t>Already in codebook</t>
        </is>
      </c>
      <c r="Q144" s="24" t="inlineStr"/>
      <c r="R144" s="24" t="inlineStr"/>
      <c r="S144" s="24" t="inlineStr">
        <is>
          <t>Sample report mentions a scored subscale bar chart but names were not in readable text (the instrument has Alternatives and Control subscales). Only the site wide footer copyright appears. Scoring and Interpretation and Psychometric Properties tab content not present in fetched page text; only overview, developer and reference sections were readable.</t>
        </is>
      </c>
      <c r="T144" s="24" t="inlineStr">
        <is>
          <t>https://novopsych.com/assessments/formulation/cognitive-flexibility-inventory-cfi/</t>
        </is>
      </c>
    </row>
    <row r="145">
      <c r="A145" s="24" t="n">
        <v>144</v>
      </c>
      <c r="B145" s="24" t="inlineStr">
        <is>
          <t>Automatic Thoughts Questionnaire Believability</t>
        </is>
      </c>
      <c r="C145" s="24" t="inlineStr">
        <is>
          <t>ATQ-B</t>
        </is>
      </c>
      <c r="D145" s="24" t="inlineStr">
        <is>
          <t>Depression, Formulation</t>
        </is>
      </c>
      <c r="E145" s="24" t="inlineStr">
        <is>
          <t>Measures the believability of depression related cognitions, meaning how true the client considers those thoughts rather than how often they occur.</t>
        </is>
      </c>
      <c r="F145" s="24" t="n">
        <v>15</v>
      </c>
      <c r="G145" s="24" t="inlineStr">
        <is>
          <t>self report</t>
        </is>
      </c>
      <c r="H145" s="24" t="inlineStr">
        <is>
          <t>18+</t>
        </is>
      </c>
      <c r="I145" s="24" t="n">
        <v>3</v>
      </c>
      <c r="J145" s="24" t="inlineStr"/>
      <c r="K145" s="24" t="inlineStr">
        <is>
          <t>not stated</t>
        </is>
      </c>
      <c r="L145" s="24" t="inlineStr">
        <is>
          <t>not stated</t>
        </is>
      </c>
      <c r="M145" s="24" t="inlineStr">
        <is>
          <t>Netemeyer, R. G., Williamson, D. A., Burton, S., Biswas, D., Jindal, S., Landreth, S., Mills, G., &amp; Primeaux, S. (2002). Psychometric properties of shortened versions of the automatic thoughts questionnaire. Educational and Psychological Measurement, 62(1), 111 to 129. https://doi.org/10.1177/0013164402062001008</t>
        </is>
      </c>
      <c r="N145" s="24" t="inlineStr">
        <is>
          <t>© 2026 Copyright – NovoPsych – All rights reserved</t>
        </is>
      </c>
      <c r="O145" s="24" t="inlineStr">
        <is>
          <t>not stated</t>
        </is>
      </c>
      <c r="P145" s="24" t="inlineStr">
        <is>
          <t>Shortlist: coaching and wellbeing (client facing possible)</t>
        </is>
      </c>
      <c r="Q145" s="24" t="inlineStr"/>
      <c r="R145" s="24" t="inlineStr"/>
      <c r="S145" s="24" t="inlineStr">
        <is>
          <t>Page also refers to the scale as ATQ-B-15. Only the site wide footer copyright appears. Scoring and Interpretation and Psychometric Properties tab content not present in fetched page text; only overview, developer and reference sections were readable.</t>
        </is>
      </c>
      <c r="T145" s="24" t="inlineStr">
        <is>
          <t>https://novopsych.com/assessments/depression/automatic-thoughts-questionnaire-believability-atq-b/</t>
        </is>
      </c>
    </row>
    <row r="146">
      <c r="A146" s="24" t="n">
        <v>145</v>
      </c>
      <c r="B146" s="24" t="inlineStr">
        <is>
          <t>World Health Organisation Disability Assessment Schedule 2.0 Interview</t>
        </is>
      </c>
      <c r="C146" s="24" t="inlineStr">
        <is>
          <t>WHODAS 2.0 Interview</t>
        </is>
      </c>
      <c r="D146" s="24" t="inlineStr">
        <is>
          <t>Disability, Formulation, Health</t>
        </is>
      </c>
      <c r="E146" s="24" t="inlineStr">
        <is>
          <t>A generic instrument for assessing health and disability across functioning domains, usable at population level or in clinical practice.</t>
        </is>
      </c>
      <c r="F146" s="24" t="n"/>
      <c r="G146" s="24" t="inlineStr">
        <is>
          <t>clinician administered interview</t>
        </is>
      </c>
      <c r="H146" s="24" t="inlineStr">
        <is>
          <t>18+</t>
        </is>
      </c>
      <c r="I146" s="24" t="n">
        <v>7</v>
      </c>
      <c r="J146" s="24" t="inlineStr"/>
      <c r="K146" s="24" t="inlineStr">
        <is>
          <t>not stated</t>
        </is>
      </c>
      <c r="L146" s="24" t="inlineStr">
        <is>
          <t>not stated</t>
        </is>
      </c>
      <c r="M146" s="24" t="inlineStr">
        <is>
          <t>Üstün, T. B., Kostanjsek, N., Chatterji, S., &amp; Rehm, J. (Eds.). (2010). Measuring health and disability: Manual for WHO Disability Assessment Schedule (WHODAS 2.0). World Health Organization.</t>
        </is>
      </c>
      <c r="N146" s="24" t="inlineStr">
        <is>
          <t>© 2026 Copyright – NovoPsych – All rights reserved</t>
        </is>
      </c>
      <c r="O146" s="24" t="inlineStr">
        <is>
          <t>not stated</t>
        </is>
      </c>
      <c r="P146" s="24" t="inlineStr">
        <is>
          <t>Out of scope for the hub (not self report)</t>
        </is>
      </c>
      <c r="Q146" s="24" t="inlineStr"/>
      <c r="R146" s="24" t="inlineStr"/>
      <c r="S146"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6" s="24" t="inlineStr">
        <is>
          <t>https://novopsych.com/assessments/health/world-health-organisation-disability-assessment-schedule-2-0-interview-whodas-interview/</t>
        </is>
      </c>
    </row>
    <row r="147">
      <c r="A147" s="24" t="n">
        <v>146</v>
      </c>
      <c r="B147" s="24" t="inlineStr">
        <is>
          <t>World Health Organisation Disability Assessment Schedule 2.0 Proxy</t>
        </is>
      </c>
      <c r="C147" s="24" t="inlineStr">
        <is>
          <t>WHODAS 2.0 Proxy</t>
        </is>
      </c>
      <c r="D147" s="24" t="inlineStr">
        <is>
          <t>Disability, Formulation, Health</t>
        </is>
      </c>
      <c r="E147" s="24" t="inlineStr">
        <is>
          <t>A generic instrument for assessing health and disability completed by a proxy such as a family member or carer.</t>
        </is>
      </c>
      <c r="F147" s="24" t="n"/>
      <c r="G147" s="24" t="inlineStr">
        <is>
          <t>proxy report</t>
        </is>
      </c>
      <c r="H147" s="24" t="inlineStr">
        <is>
          <t>18+</t>
        </is>
      </c>
      <c r="I147" s="24" t="n">
        <v>7</v>
      </c>
      <c r="J147" s="24" t="inlineStr"/>
      <c r="K147" s="24" t="inlineStr">
        <is>
          <t>not stated</t>
        </is>
      </c>
      <c r="L147" s="24" t="inlineStr">
        <is>
          <t>not stated</t>
        </is>
      </c>
      <c r="M147" s="24" t="inlineStr">
        <is>
          <t>Üstün, T. B., Kostanjsek, N., Chatterji, S., &amp; Rehm, J. (Eds.). (2010). Measuring health and disability: Manual for WHO Disability Assessment Schedule (WHODAS 2.0). World Health Organization.</t>
        </is>
      </c>
      <c r="N147" s="24" t="inlineStr">
        <is>
          <t>© 2026 Copyright – NovoPsych – All rights reserved</t>
        </is>
      </c>
      <c r="O147" s="24" t="inlineStr">
        <is>
          <t>not stated</t>
        </is>
      </c>
      <c r="P147" s="24" t="inlineStr">
        <is>
          <t>Out of scope for the hub (not self report)</t>
        </is>
      </c>
      <c r="Q147" s="24" t="inlineStr"/>
      <c r="R147" s="24" t="inlineStr"/>
      <c r="S147"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7" s="24" t="inlineStr">
        <is>
          <t>https://novopsych.com/assessments/health/world-health-organisation-disability-assessment-schedule-2-0-proxy-whodas-proxy/</t>
        </is>
      </c>
    </row>
    <row r="148">
      <c r="A148" s="24" t="n">
        <v>147</v>
      </c>
      <c r="B148" s="24" t="inlineStr">
        <is>
          <t>World Health Organisation Disability Assessment Schedule 2.0 Self Report</t>
        </is>
      </c>
      <c r="C148" s="24" t="inlineStr">
        <is>
          <t>WHODAS 2.0</t>
        </is>
      </c>
      <c r="D148" s="24" t="inlineStr">
        <is>
          <t>Disability, Formulation, Health</t>
        </is>
      </c>
      <c r="E148" s="24" t="inlineStr">
        <is>
          <t>A generic instrument for assessing health and disability across functioning domains, usable at population level or in clinical practice.</t>
        </is>
      </c>
      <c r="F148" s="24" t="n"/>
      <c r="G148" s="24" t="inlineStr">
        <is>
          <t>self report</t>
        </is>
      </c>
      <c r="H148" s="24" t="inlineStr">
        <is>
          <t>18+</t>
        </is>
      </c>
      <c r="I148" s="24" t="n">
        <v>7</v>
      </c>
      <c r="J148" s="24" t="inlineStr"/>
      <c r="K148" s="24" t="inlineStr">
        <is>
          <t>not stated</t>
        </is>
      </c>
      <c r="L148" s="24" t="inlineStr">
        <is>
          <t>not stated</t>
        </is>
      </c>
      <c r="M148" s="24" t="inlineStr">
        <is>
          <t>Üstün, T. B., Kostanjsek, N., Chatterji, S., &amp; Rehm, J. (Eds.). (2010). Measuring health and disability: Manual for WHO Disability Assessment Schedule (WHODAS 2.0). World Health Organization.</t>
        </is>
      </c>
      <c r="N148" s="24" t="inlineStr">
        <is>
          <t>© 2026 Copyright – NovoPsych – All rights reserved</t>
        </is>
      </c>
      <c r="O148" s="24" t="inlineStr">
        <is>
          <t>not stated</t>
        </is>
      </c>
      <c r="P148" s="24" t="inlineStr">
        <is>
          <t>Shortlist: coaching and wellbeing (client facing possible)</t>
        </is>
      </c>
      <c r="Q148" s="24" t="inlineStr"/>
      <c r="R148" s="24" t="inlineStr"/>
      <c r="S148" s="24" t="inlineStr">
        <is>
          <t>Item count, domains and scoring not in readable text. Only the site wide footer copyright appears. Scoring and Interpretation and Psychometric Properties tab content not present in fetched page text; only overview, developer and reference sections were readable.</t>
        </is>
      </c>
      <c r="T148" s="24" t="inlineStr">
        <is>
          <t>https://novopsych.com/assessments/health/the-world-health-organisation-disability-assessment-schedule-whodas-2-0-self-report-version/</t>
        </is>
      </c>
    </row>
    <row r="149">
      <c r="A149" s="24" t="n">
        <v>148</v>
      </c>
      <c r="B149" s="24" t="inlineStr">
        <is>
          <t>Self Compassion Scale Short Form</t>
        </is>
      </c>
      <c r="C149" s="24" t="inlineStr">
        <is>
          <t>SCS-SF</t>
        </is>
      </c>
      <c r="D149" s="24" t="inlineStr">
        <is>
          <t>Formulation, Well-being</t>
        </is>
      </c>
      <c r="E149" s="24" t="inlineStr">
        <is>
          <t>Measures self compassion as a brief alternative to Neff's original 26 item scale.</t>
        </is>
      </c>
      <c r="F149" s="24" t="n">
        <v>12</v>
      </c>
      <c r="G149" s="24" t="inlineStr">
        <is>
          <t>self report</t>
        </is>
      </c>
      <c r="H149" s="24" t="inlineStr">
        <is>
          <t>18+</t>
        </is>
      </c>
      <c r="I149" s="24" t="n">
        <v>2</v>
      </c>
      <c r="J149" s="24" t="inlineStr">
        <is>
          <t>Self Disparagement, Self Care</t>
        </is>
      </c>
      <c r="K149" s="24" t="inlineStr">
        <is>
          <t>not stated</t>
        </is>
      </c>
      <c r="L149" s="24" t="inlineStr">
        <is>
          <t>Total average score and subscale average scores compared against a community sample; direction and cut offs not stated.</t>
        </is>
      </c>
      <c r="M149" s="24" t="inlineStr">
        <is>
          <t>Raes, F., Pommier, E., Neff, K. D., &amp; Van Gucht, D. (2011). Construction and factorial validation of a short form of the Self-Compassion Scale. Clinical Psychology &amp; Psychotherapy, 18(3), 250 to 255. Original scale: Neff (2003).</t>
        </is>
      </c>
      <c r="N149" s="24" t="inlineStr">
        <is>
          <t>© 2026 Copyright – NovoPsych – All rights reserved</t>
        </is>
      </c>
      <c r="O149" s="24" t="inlineStr">
        <is>
          <t>not stated</t>
        </is>
      </c>
      <c r="P149" s="24" t="inlineStr">
        <is>
          <t>Already in codebook</t>
        </is>
      </c>
      <c r="Q149" s="24" t="inlineStr"/>
      <c r="R149" s="24" t="inlineStr"/>
      <c r="S149" s="24" t="inlineStr">
        <is>
          <t>Page cites Raes et al. (2011) without full reference; completed from the standard source. No copyright statement found beyond site footer.</t>
        </is>
      </c>
      <c r="T149" s="24" t="inlineStr">
        <is>
          <t>https://novopsych.com/assessments/well-being/self-compassion-scale-short-form-scs-sf/</t>
        </is>
      </c>
    </row>
    <row r="150">
      <c r="A150" s="24" t="n">
        <v>149</v>
      </c>
      <c r="B150" s="24" t="inlineStr">
        <is>
          <t>Preschool Anxiety Scale</t>
        </is>
      </c>
      <c r="C150" s="24" t="inlineStr">
        <is>
          <t>PAS</t>
        </is>
      </c>
      <c r="D150" s="24" t="inlineStr">
        <is>
          <t>Anxiety, Child, Diagnosis</t>
        </is>
      </c>
      <c r="E150" s="24" t="inlineStr">
        <is>
          <t>Measures anxiety in young children, giving an overall anxiety score and 5 specific anxiety domain scores.</t>
        </is>
      </c>
      <c r="F150" s="24" t="n">
        <v>28</v>
      </c>
      <c r="G150" s="24" t="inlineStr">
        <is>
          <t>parent or guardian report</t>
        </is>
      </c>
      <c r="H150" s="24" t="inlineStr">
        <is>
          <t>2.5 to 6.5 years</t>
        </is>
      </c>
      <c r="I150" s="24" t="n">
        <v>6</v>
      </c>
      <c r="J150" s="24" t="inlineStr">
        <is>
          <t>Generalised anxiety, Social anxiety, Obsessive compulsive disorder, Physical injury fears, Separation anxiety</t>
        </is>
      </c>
      <c r="K150" s="24" t="inlineStr">
        <is>
          <t>not stated</t>
        </is>
      </c>
      <c r="L150" s="24" t="inlineStr">
        <is>
          <t>not stated</t>
        </is>
      </c>
      <c r="M150" s="24" t="inlineStr">
        <is>
          <t>Spence, S. H., Rapee, R., McDonald, C., &amp; Ingram, M. (2001). The structure of anxiety symptoms among preschoolers. Behaviour Research and Therapy, 39(11), 1293 to 1316.</t>
        </is>
      </c>
      <c r="N150" s="24" t="inlineStr">
        <is>
          <t>© 2026 Copyright – NovoPsych – All rights reserved</t>
        </is>
      </c>
      <c r="O150" s="24" t="inlineStr">
        <is>
          <t>not stated</t>
        </is>
      </c>
      <c r="P150" s="24" t="inlineStr">
        <is>
          <t>Out of scope for the hub (child, adolescent, sport, eating, clinician or service feedback)</t>
        </is>
      </c>
      <c r="Q150" s="24" t="inlineStr"/>
      <c r="R150" s="24" t="inlineStr"/>
      <c r="S150" s="24" t="inlineStr">
        <is>
          <t>Page links to a blank PDF form. Only the site wide footer copyright appears. Scoring and Interpretation and Psychometric Properties tab content not present in fetched page text; only overview, developer and reference sections were readable.</t>
        </is>
      </c>
      <c r="T150" s="24" t="inlineStr">
        <is>
          <t>https://novopsych.com/assessments/diagnosis/preschool-anxiety-scale-pas/</t>
        </is>
      </c>
    </row>
    <row r="151">
      <c r="A151" s="24" t="n">
        <v>150</v>
      </c>
      <c r="B151" s="24" t="inlineStr">
        <is>
          <t>Depression Anxiety Stress Scale 10</t>
        </is>
      </c>
      <c r="C151" s="24" t="inlineStr">
        <is>
          <t>DASS-10</t>
        </is>
      </c>
      <c r="D151" s="24" t="inlineStr">
        <is>
          <t>Anxiety, Depression, Outcome monitoring</t>
        </is>
      </c>
      <c r="E151" s="24" t="inlineStr">
        <is>
          <t>Measures overall psychological distress with subscale scores for depression and for anxiety and stress symptoms.</t>
        </is>
      </c>
      <c r="F151" s="24" t="n">
        <v>10</v>
      </c>
      <c r="G151" s="24" t="inlineStr">
        <is>
          <t>self report</t>
        </is>
      </c>
      <c r="H151" s="24" t="inlineStr">
        <is>
          <t>18+</t>
        </is>
      </c>
      <c r="I151" s="24" t="n">
        <v>2</v>
      </c>
      <c r="J151" s="24" t="inlineStr">
        <is>
          <t>Depression, Anxiety/Stress</t>
        </is>
      </c>
      <c r="K151" s="24" t="inlineStr">
        <is>
          <t>not stated</t>
        </is>
      </c>
      <c r="L151" s="24" t="inlineStr">
        <is>
          <t>not stated</t>
        </is>
      </c>
      <c r="M151" s="24" t="inlineStr">
        <is>
          <t>Halford, W. K., &amp; Frost, A. D. J. (2021). Depression Anxiety Stress Scale-10: A Brief Measure for Routine Psychotherapy Outcome and Progress Assessment. Behaviour Change, 1 to 14. https://doi.org/10.1017/bec.2021.12</t>
        </is>
      </c>
      <c r="N151" s="24" t="inlineStr">
        <is>
          <t>© 2026 Copyright – NovoPsych – All rights reserved</t>
        </is>
      </c>
      <c r="O151" s="24" t="inlineStr">
        <is>
          <t>not stated</t>
        </is>
      </c>
      <c r="P151" s="24" t="inlineStr">
        <is>
          <t>Shortlist: coaching and wellbeing (client facing possible)</t>
        </is>
      </c>
      <c r="Q151" s="24" t="inlineStr"/>
      <c r="R151" s="24" t="inlineStr"/>
      <c r="S151" s="24" t="inlineStr">
        <is>
          <t>Short form of the DASS-42. Also references Lovibond &amp; Lovibond (1995) DASS manual, Psychology Foundation. Only the site wide footer copyright appears. Scoring and Interpretation and Psychometric Properties tab content not present in fetched page text; only overview, developer and reference sections were readable.</t>
        </is>
      </c>
      <c r="T151" s="24" t="inlineStr">
        <is>
          <t>https://novopsych.com/assessments/depression/depression-anxiety-stress-scale-dass-10/</t>
        </is>
      </c>
    </row>
  </sheetData>
  <autoFilter ref="A1:T1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5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5" customWidth="1" style="17" min="1" max="1"/>
    <col width="22" customWidth="1" style="17" min="2" max="2"/>
    <col width="34" customWidth="1" style="17" min="3" max="3"/>
    <col width="12" customWidth="1" style="17" min="4" max="4"/>
    <col width="24" customWidth="1" style="17" min="5" max="5"/>
    <col width="7" customWidth="1" style="17" min="6" max="6"/>
    <col width="44" customWidth="1" style="17" min="7" max="7"/>
    <col width="7" customWidth="1" style="17" min="8" max="8"/>
    <col width="28" customWidth="1" style="17" min="9" max="9"/>
    <col width="30" customWidth="1" style="17" min="10" max="10"/>
    <col width="40" customWidth="1" style="17" min="11" max="11"/>
    <col width="22" customWidth="1" style="17" min="12" max="12"/>
    <col width="44" customWidth="1" style="17" min="13" max="13"/>
    <col width="30" customWidth="1" style="17" min="14" max="14"/>
    <col width="10" customWidth="1" style="17" min="15" max="15"/>
    <col width="30" customWidth="1" style="17" min="16" max="16"/>
    <col width="34" customWidth="1" style="17" min="17" max="17"/>
    <col width="40" customWidth="1" style="17" min="18" max="18"/>
    <col width="18" customWidth="1" style="17" min="19" max="19"/>
    <col width="30" customWidth="1" style="17" min="20" max="20"/>
    <col width="30" customWidth="1" style="17" min="21" max="21"/>
    <col width="26" customWidth="1" style="17" min="22" max="22"/>
    <col width="18" customWidth="1" style="17" min="23" max="23"/>
    <col width="14" customWidth="1" style="17" min="24" max="24"/>
  </cols>
  <sheetData>
    <row r="1">
      <c r="A1" s="23" t="inlineStr">
        <is>
          <t>#</t>
        </is>
      </c>
      <c r="B1" s="23" t="inlineStr">
        <is>
          <t>Search domain</t>
        </is>
      </c>
      <c r="C1" s="23" t="inlineStr">
        <is>
          <t>Instrument</t>
        </is>
      </c>
      <c r="D1" s="23" t="inlineStr">
        <is>
          <t>Code</t>
        </is>
      </c>
      <c r="E1" s="23" t="inlineStr">
        <is>
          <t>Developer</t>
        </is>
      </c>
      <c r="F1" s="23" t="inlineStr">
        <is>
          <t>Year</t>
        </is>
      </c>
      <c r="G1" s="23" t="inlineStr">
        <is>
          <t>What it measures</t>
        </is>
      </c>
      <c r="H1" s="23" t="inlineStr">
        <is>
          <t>Items</t>
        </is>
      </c>
      <c r="I1" s="23" t="inlineStr">
        <is>
          <t>Response scale</t>
        </is>
      </c>
      <c r="J1" s="23" t="inlineStr">
        <is>
          <t>Subscales</t>
        </is>
      </c>
      <c r="K1" s="23" t="inlineStr">
        <is>
          <t>Scoring</t>
        </is>
      </c>
      <c r="L1" s="23" t="inlineStr">
        <is>
          <t>Availability</t>
        </is>
      </c>
      <c r="M1" s="23" t="inlineStr">
        <is>
          <t>Licence statement (as found)</t>
        </is>
      </c>
      <c r="N1" s="23" t="inlineStr">
        <is>
          <t>Licence URL</t>
        </is>
      </c>
      <c r="O1" s="23" t="inlineStr">
        <is>
          <t>Open access items</t>
        </is>
      </c>
      <c r="P1" s="23" t="inlineStr">
        <is>
          <t>Items URL</t>
        </is>
      </c>
      <c r="Q1" s="23" t="inlineStr">
        <is>
          <t>NZ use or norms</t>
        </is>
      </c>
      <c r="R1" s="23" t="inlineStr">
        <is>
          <t>Practice note</t>
        </is>
      </c>
      <c r="S1" s="23" t="inlineStr">
        <is>
          <t>Repository</t>
        </is>
      </c>
      <c r="T1" s="23" t="inlineStr">
        <is>
          <t>Source URL</t>
        </is>
      </c>
      <c r="U1" s="23" t="inlineStr">
        <is>
          <t>Hub suggestion</t>
        </is>
      </c>
      <c r="V1" s="23" t="inlineStr">
        <is>
          <t>Digital use caution</t>
        </is>
      </c>
      <c r="W1" s="23" t="inlineStr">
        <is>
          <t>Licence confirmed (to fill in)</t>
        </is>
      </c>
      <c r="X1" s="23" t="inlineStr">
        <is>
          <t>Decision (add / skip)</t>
        </is>
      </c>
    </row>
    <row r="2">
      <c r="A2" s="24" t="n">
        <v>1</v>
      </c>
      <c r="B2" s="24" t="inlineStr">
        <is>
          <t>Executive functioning, attention and time</t>
        </is>
      </c>
      <c r="C2" s="24" t="inlineStr">
        <is>
          <t>Adult Executive Functioning Inventory</t>
        </is>
      </c>
      <c r="D2" s="24" t="inlineStr">
        <is>
          <t>ADEXI</t>
        </is>
      </c>
      <c r="E2" s="24" t="inlineStr">
        <is>
          <t>Holst and Thorell (Karolinska Institutet)</t>
        </is>
      </c>
      <c r="F2" s="24" t="n">
        <v>2018</v>
      </c>
      <c r="G2" s="24" t="inlineStr">
        <is>
          <t>Everyday executive functioning deficits in adults, specifically working memory and inhibition, designed as the adult counterpart of the CHEXI.</t>
        </is>
      </c>
      <c r="H2" s="24" t="n">
        <v>14</v>
      </c>
      <c r="I2" s="24" t="inlineStr">
        <is>
          <t>5 point scale from definitely not true to definitely true.</t>
        </is>
      </c>
      <c r="J2" s="24" t="inlineStr">
        <is>
          <t>Working Memory (9 items), Inhibition (5 items)</t>
        </is>
      </c>
      <c r="K2" s="24" t="inlineStr">
        <is>
          <t>Sum or mean items within each subscale and overall. Higher scores indicate greater executive difficulties. No published cut offs; the authors note normative data are not yet available.</t>
        </is>
      </c>
      <c r="L2" s="24" t="inlineStr">
        <is>
          <t>free with attribution (CC or stated)</t>
        </is>
      </c>
      <c r="M2" s="24" t="inlineStr">
        <is>
          <t>"The instruments are freely available for both researchers and clinicians." Translations downloadable from the author site. No formal licence text is given.</t>
        </is>
      </c>
      <c r="N2" s="24" t="inlineStr">
        <is>
          <t>https://chexi.se/</t>
        </is>
      </c>
      <c r="O2" s="24" t="inlineStr">
        <is>
          <t>Yes</t>
        </is>
      </c>
      <c r="P2" s="24" t="inlineStr">
        <is>
          <t>https://chexi.se/translations</t>
        </is>
      </c>
      <c r="Q2" s="24" t="inlineStr"/>
      <c r="R2" s="24" t="inlineStr">
        <is>
          <t>Short, plain language and directly relevant to working memory and inhibition goals; well suited to intake and progress review.</t>
        </is>
      </c>
      <c r="S2" s="24" t="inlineStr"/>
      <c r="T2" s="24" t="inlineStr">
        <is>
          <t>https://chexi.se/</t>
        </is>
      </c>
      <c r="U2" s="24" t="inlineStr">
        <is>
          <t>Candidate, client facing possible</t>
        </is>
      </c>
      <c r="V2" s="24" t="inlineStr"/>
      <c r="W2" s="24" t="inlineStr"/>
      <c r="X2" s="24" t="inlineStr">
        <is>
          <t>Added (yes, cleared)</t>
        </is>
      </c>
    </row>
    <row r="3">
      <c r="A3" s="24" t="n">
        <v>2</v>
      </c>
      <c r="B3" s="24" t="inlineStr">
        <is>
          <t>Executive functioning, attention and time</t>
        </is>
      </c>
      <c r="C3" s="24" t="inlineStr">
        <is>
          <t>Cognitive Failures Questionnaire</t>
        </is>
      </c>
      <c r="D3" s="24" t="inlineStr">
        <is>
          <t>CFQ</t>
        </is>
      </c>
      <c r="E3" s="24" t="inlineStr">
        <is>
          <t>Broadbent, Cooper, FitzGerald and Parkes</t>
        </is>
      </c>
      <c r="F3" s="24" t="n">
        <v>1982</v>
      </c>
      <c r="G3" s="24" t="inlineStr">
        <is>
          <t>Frequency of everyday slips and lapses in perception, memory and motor function over the past 6 months.</t>
        </is>
      </c>
      <c r="H3" s="24" t="n">
        <v>25</v>
      </c>
      <c r="I3" s="24" t="inlineStr">
        <is>
          <t>5 point frequency scale from 0 never to 4 very often.</t>
        </is>
      </c>
      <c r="J3" s="24" t="inlineStr">
        <is>
          <t>Forgetfulness, Distractibility, False triggering</t>
        </is>
      </c>
      <c r="K3" s="24" t="inlineStr">
        <is>
          <t>Sum all items for a total of 0 to 100; higher scores indicate more cognitive failures. Subscale scores can also be summed. No formal clinical cut offs; general population means around 30 to 45 are commonly reported.</t>
        </is>
      </c>
      <c r="L3" s="24" t="inlineStr">
        <is>
          <t>free with attribution (CC or stated)</t>
        </is>
      </c>
      <c r="M3" s="24" t="inlineStr">
        <is>
          <t>Salford PsyTech questionnaire battery lists the CFQ with restrictions stated as "No restrictions." The 1982 article (British Journal of Clinical Psychology) carries publisher copyright; no author permission statement was located.</t>
        </is>
      </c>
      <c r="N3" s="24" t="inlineStr">
        <is>
          <t>https://hub.salford.ac.uk/psytech/equipment-resources/questionnaire-battery/the-cognitive-failures-questionnaire/</t>
        </is>
      </c>
      <c r="O3" s="24" t="inlineStr">
        <is>
          <t>Yes</t>
        </is>
      </c>
      <c r="P3" s="24" t="inlineStr">
        <is>
          <t>https://fcon_1000.projects.nitrc.org/indi/enhanced/assessments/cfq.html</t>
        </is>
      </c>
      <c r="Q3" s="24" t="inlineStr"/>
      <c r="R3" s="24" t="inlineStr">
        <is>
          <t>Useful for naming the concrete everyday lapses clients want to reduce; items map easily onto environmental and routine based strategies.</t>
        </is>
      </c>
      <c r="S3" s="24" t="inlineStr"/>
      <c r="T3" s="24" t="inlineStr">
        <is>
          <t>https://hub.salford.ac.uk/psytech/equipment-resources/questionnaire-battery/the-cognitive-failures-questionnaire/</t>
        </is>
      </c>
      <c r="U3" s="24" t="inlineStr">
        <is>
          <t>Candidate, client facing possible</t>
        </is>
      </c>
      <c r="V3" s="24" t="inlineStr"/>
      <c r="W3" s="24" t="inlineStr"/>
      <c r="X3" s="24" t="inlineStr">
        <is>
          <t>Added (yes, review)</t>
        </is>
      </c>
    </row>
    <row r="4">
      <c r="A4" s="24" t="n">
        <v>3</v>
      </c>
      <c r="B4" s="24" t="inlineStr">
        <is>
          <t>Executive functioning, attention and time</t>
        </is>
      </c>
      <c r="C4" s="24" t="inlineStr">
        <is>
          <t>Attentional Control Scale</t>
        </is>
      </c>
      <c r="D4" s="24" t="inlineStr">
        <is>
          <t>ACS</t>
        </is>
      </c>
      <c r="E4" s="24" t="inlineStr">
        <is>
          <t>Derryberry and Reed</t>
        </is>
      </c>
      <c r="F4" s="24" t="n">
        <v>2002</v>
      </c>
      <c r="G4" s="24" t="inlineStr">
        <is>
          <t>Self reported capacity to focus attention and to shift attention flexibly between tasks.</t>
        </is>
      </c>
      <c r="H4" s="24" t="n">
        <v>20</v>
      </c>
      <c r="I4" s="24" t="inlineStr">
        <is>
          <t>4 point scale from 1 almost never to 4 always.</t>
        </is>
      </c>
      <c r="J4" s="24" t="inlineStr">
        <is>
          <t>Attention Focusing (items 1 to 9), Attention Shifting (items 10 to 20)</t>
        </is>
      </c>
      <c r="K4" s="24" t="inlineStr">
        <is>
          <t>Reverse score the negatively worded items, then sum for subscale and total scores (20 to 80). Higher scores indicate better attentional control. Short 12 item form (7 focusing, 5 shifting) proposed by later factor analyses. No cut offs.</t>
        </is>
      </c>
      <c r="L4" s="24" t="inlineStr">
        <is>
          <t>not stated</t>
        </is>
      </c>
      <c r="M4" s="24" t="inlineStr">
        <is>
          <t>Wisconsin ARC: "We do not have copyright authority over these measures and cannot grant permission for use. Please contact the author of the questionnaire for use permissions." Scoring code is CC BY-SA 4.0.</t>
        </is>
      </c>
      <c r="N4" s="24" t="inlineStr">
        <is>
          <t>https://arc.psych.wisc.edu/self-report/attention-control-scale-attc/</t>
        </is>
      </c>
      <c r="O4" s="24" t="inlineStr">
        <is>
          <t>No</t>
        </is>
      </c>
      <c r="P4" s="24" t="inlineStr">
        <is>
          <t>https://arc.psych.wisc.edu/self-report/attention-control-scale-attc/</t>
        </is>
      </c>
      <c r="Q4" s="24" t="inlineStr"/>
      <c r="R4" s="24" t="inlineStr">
        <is>
          <t>Strength framed (higher is better), so it reads well as a progress measure for focus and task switching work.</t>
        </is>
      </c>
      <c r="S4" s="24" t="inlineStr"/>
      <c r="T4" s="24" t="inlineStr">
        <is>
          <t>https://www.psych.utah.edu/_resources/documents/people/williams/williams-et-al_pa-17.pdf</t>
        </is>
      </c>
      <c r="U4" s="24" t="inlineStr">
        <is>
          <t>Candidate, licence to confirm</t>
        </is>
      </c>
      <c r="V4" s="24" t="inlineStr"/>
      <c r="W4" s="24" t="inlineStr"/>
      <c r="X4" s="24" t="inlineStr"/>
    </row>
    <row r="5">
      <c r="A5" s="24" t="n">
        <v>4</v>
      </c>
      <c r="B5" s="24" t="inlineStr">
        <is>
          <t>Executive functioning, attention and time</t>
        </is>
      </c>
      <c r="C5" s="24" t="inlineStr">
        <is>
          <t>Mind Wandering Questionnaire</t>
        </is>
      </c>
      <c r="D5" s="24" t="inlineStr">
        <is>
          <t>MWQ</t>
        </is>
      </c>
      <c r="E5" s="24" t="inlineStr">
        <is>
          <t>Mrazek, Phillips, Franklin, Broadway and Schooler</t>
        </is>
      </c>
      <c r="F5" s="24" t="n">
        <v>2013</v>
      </c>
      <c r="G5" s="24" t="inlineStr">
        <is>
          <t>Trait level frequency of mind wandering during everyday tasks such as reading, listening and repetitive work.</t>
        </is>
      </c>
      <c r="H5" s="24" t="n">
        <v>5</v>
      </c>
      <c r="I5" s="24" t="inlineStr">
        <is>
          <t>6 point frequency scale from almost never to almost always.</t>
        </is>
      </c>
      <c r="J5" s="24" t="inlineStr"/>
      <c r="K5" s="24" t="inlineStr">
        <is>
          <t>Unidimensional; sum (5 to 30) or average the items. Higher scores indicate more frequent mind wandering. No cut offs. Alpha 0.85 in the college sample.</t>
        </is>
      </c>
      <c r="L5" s="24" t="inlineStr">
        <is>
          <t>free with attribution (CC or stated)</t>
        </is>
      </c>
      <c r="M5" s="24" t="inlineStr">
        <is>
          <t>Published in Frontiers in Psychology: "distributed under the terms of the Creative Commons Attribution License (CC BY)".</t>
        </is>
      </c>
      <c r="N5" s="24" t="inlineStr">
        <is>
          <t>https://www.frontiersin.org/journals/psychology/articles/10.3389/fpsyg.2013.00560/full</t>
        </is>
      </c>
      <c r="O5" s="24" t="inlineStr">
        <is>
          <t>Yes</t>
        </is>
      </c>
      <c r="P5" s="24" t="inlineStr">
        <is>
          <t>https://www.frontiersin.org/journals/psychology/articles/10.3389/fpsyg.2013.00560/full</t>
        </is>
      </c>
      <c r="Q5" s="24" t="inlineStr"/>
      <c r="R5" s="24" t="inlineStr">
        <is>
          <t>Very brief and non clinical; a quick anchor for attention regulation goals and for tracking change across sessions.</t>
        </is>
      </c>
      <c r="S5" s="24" t="inlineStr"/>
      <c r="T5" s="24" t="inlineStr">
        <is>
          <t>https://www.frontiersin.org/journals/psychology/articles/10.3389/fpsyg.2013.00560/full</t>
        </is>
      </c>
      <c r="U5" s="24" t="inlineStr">
        <is>
          <t>Candidate, client facing possible</t>
        </is>
      </c>
      <c r="V5" s="24" t="inlineStr"/>
      <c r="W5" s="24" t="inlineStr"/>
      <c r="X5" s="24" t="inlineStr">
        <is>
          <t>Added (yes, cleared)</t>
        </is>
      </c>
    </row>
    <row r="6">
      <c r="A6" s="24" t="n">
        <v>5</v>
      </c>
      <c r="B6" s="24" t="inlineStr">
        <is>
          <t>Executive functioning, attention and time</t>
        </is>
      </c>
      <c r="C6" s="24" t="inlineStr">
        <is>
          <t>Mind Excessively Wandering Scale</t>
        </is>
      </c>
      <c r="D6" s="24" t="inlineStr">
        <is>
          <t>MEWS</t>
        </is>
      </c>
      <c r="E6" s="24" t="inlineStr">
        <is>
          <t>Mowlem, Skirrow, Reid, Maltezos, Nijjar, Merwood, Barker, Cooper, Kuntsi and Asherson (King's College London)</t>
        </is>
      </c>
      <c r="F6" s="24" t="n">
        <v>2016</v>
      </c>
      <c r="G6" s="24" t="inlineStr">
        <is>
          <t>Excessive, uncontrolled and ceaseless mental activity characteristic of adult ADHD.</t>
        </is>
      </c>
      <c r="H6" s="24" t="n">
        <v>15</v>
      </c>
      <c r="I6" s="24" t="inlineStr">
        <is>
          <t>4 point scale from 0 not at all or rarely to 3 nearly all of the time or constantly.</t>
        </is>
      </c>
      <c r="J6" s="24" t="inlineStr"/>
      <c r="K6" s="24" t="inlineStr">
        <is>
          <t>Sum items (0 to 45 for 15 items); higher scores indicate more excessive mind wandering. Cut off of 15 or above gave sensitivity and specificity around 0.88 to 0.90 for ADHD. Authors recommend a 12 item version dropping items 6, 10 and 14.</t>
        </is>
      </c>
      <c r="L6" s="24" t="inlineStr">
        <is>
          <t>free with attribution (CC or stated)</t>
        </is>
      </c>
      <c r="M6" s="24" t="inlineStr">
        <is>
          <t>Article states the scale "is copyrighted and available without charge from the corresponding author" (Philip Asherson) and the authors welcome its use. Validation paper (Scientific Reports 2019) is CC BY 4.0.</t>
        </is>
      </c>
      <c r="N6" s="24" t="inlineStr">
        <is>
          <t>https://discovery-pp.ucl.ac.uk/id/eprint/1513566/1/Journal%20of%20Attention%20Disorders-2016-Mowlem-1087054716651927.pdf</t>
        </is>
      </c>
      <c r="O6" s="24" t="inlineStr">
        <is>
          <t>Yes</t>
        </is>
      </c>
      <c r="P6" s="24" t="inlineStr">
        <is>
          <t>https://discovery-pp.ucl.ac.uk/id/eprint/1513566/1/Journal%20of%20Attention%20Disorders-2016-Mowlem-1087054716651927.pdf</t>
        </is>
      </c>
      <c r="Q6" s="24" t="inlineStr"/>
      <c r="R6" s="24" t="inlineStr">
        <is>
          <t>Captures the racing, unfocused thinking many ADHD clients describe; strong fit for ADHD coaching intake and outcome tracking.</t>
        </is>
      </c>
      <c r="S6" s="24" t="inlineStr"/>
      <c r="T6" s="24" t="inlineStr">
        <is>
          <t>https://discovery.ucl.ac.uk/id/eprint/10070531/</t>
        </is>
      </c>
      <c r="U6" s="24" t="inlineStr">
        <is>
          <t>Candidate, client facing possible</t>
        </is>
      </c>
      <c r="V6" s="24" t="inlineStr"/>
      <c r="W6" s="24" t="inlineStr"/>
      <c r="X6" s="24" t="inlineStr">
        <is>
          <t>Added (yes, review)</t>
        </is>
      </c>
    </row>
    <row r="7">
      <c r="A7" s="24" t="n">
        <v>6</v>
      </c>
      <c r="B7" s="24" t="inlineStr">
        <is>
          <t>Executive functioning, attention and time</t>
        </is>
      </c>
      <c r="C7" s="24" t="inlineStr">
        <is>
          <t>Webexec</t>
        </is>
      </c>
      <c r="D7" s="24" t="inlineStr">
        <is>
          <t>WEBEXEC</t>
        </is>
      </c>
      <c r="E7" s="24" t="inlineStr">
        <is>
          <t>Buchanan, Heffernan, Parrott, Ling, Rodgers and Scholey</t>
        </is>
      </c>
      <c r="F7" s="24" t="n">
        <v>2010</v>
      </c>
      <c r="G7" s="24" t="inlineStr">
        <is>
          <t>Brief self report of everyday problems with executive function (attention, concentration, multitasking, train of thought, follow through, impulsivity) designed for online administration.</t>
        </is>
      </c>
      <c r="H7" s="24" t="n">
        <v>6</v>
      </c>
      <c r="I7" s="24" t="inlineStr">
        <is>
          <t>4 point scale from 1 no problems experienced to 4 a great many problems experienced.</t>
        </is>
      </c>
      <c r="J7" s="24" t="inlineStr"/>
      <c r="K7" s="24" t="inlineStr">
        <is>
          <t>Sum items for a total of 6 to 24; higher scores indicate more executive problems. Original sample mean 11.25. No cut offs.</t>
        </is>
      </c>
      <c r="L7" s="24" t="inlineStr">
        <is>
          <t>free with attribution (CC or stated)</t>
        </is>
      </c>
      <c r="M7" s="24" t="inlineStr">
        <is>
          <t>PsyToolkit: "It seems that the webexec can be used for research, but you need to acknowledge the authors and their research paper when writing about it." No formal licence text from the authors was located.</t>
        </is>
      </c>
      <c r="N7" s="24" t="inlineStr">
        <is>
          <t>https://psytoolkit.org/survey-library/webexec.html</t>
        </is>
      </c>
      <c r="O7" s="24" t="inlineStr">
        <is>
          <t>Yes</t>
        </is>
      </c>
      <c r="P7" s="24" t="inlineStr">
        <is>
          <t>https://psytoolkit.org/survey-library/webexec.html</t>
        </is>
      </c>
      <c r="Q7" s="24" t="inlineStr"/>
      <c r="R7" s="24" t="inlineStr">
        <is>
          <t>A 1 minute pulse check for executive strain; useful for frequent repeated measurement but too coarse for profiling.</t>
        </is>
      </c>
      <c r="S7" s="24" t="inlineStr"/>
      <c r="T7" s="24" t="inlineStr">
        <is>
          <t>https://psytoolkit.org/survey-library/webexec.html</t>
        </is>
      </c>
      <c r="U7" s="24" t="inlineStr">
        <is>
          <t>Candidate, client facing possible</t>
        </is>
      </c>
      <c r="V7" s="24" t="inlineStr"/>
      <c r="W7" s="24" t="inlineStr"/>
      <c r="X7" s="24" t="inlineStr">
        <is>
          <t>Added (yes, review)</t>
        </is>
      </c>
    </row>
    <row r="8">
      <c r="A8" s="24" t="n">
        <v>7</v>
      </c>
      <c r="B8" s="24" t="inlineStr">
        <is>
          <t>Executive functioning, attention and time</t>
        </is>
      </c>
      <c r="C8" s="24" t="inlineStr">
        <is>
          <t>Self-Regulation Questionnaire</t>
        </is>
      </c>
      <c r="D8" s="24" t="inlineStr">
        <is>
          <t>SRQ</t>
        </is>
      </c>
      <c r="E8" s="24" t="inlineStr">
        <is>
          <t>Brown, Miller and Lawendowski (University of New Mexico CASAA)</t>
        </is>
      </c>
      <c r="F8" s="24" t="n">
        <v>1999</v>
      </c>
      <c r="G8" s="24" t="inlineStr">
        <is>
          <t>Generalised capacity for self regulation across the 7 stages of Miller and Brown's model, from receiving information to assessing plan effectiveness.</t>
        </is>
      </c>
      <c r="H8" s="24" t="n">
        <v>63</v>
      </c>
      <c r="I8" s="24" t="inlineStr">
        <is>
          <t>5 point agreement scale from 1 strongly disagree to 5 strongly agree.</t>
        </is>
      </c>
      <c r="J8" s="24" t="inlineStr">
        <is>
          <t>Receiving, Evaluating, Triggering, Searching, Planning, Implementing, Assessing</t>
        </is>
      </c>
      <c r="K8" s="24" t="inlineStr">
        <is>
          <t>Reverse score marked items and sum (63 to 315). Tentative bands: above 239 high or intact, 214 to 238 intermediate, below 213 low or impaired. Authors advise against clinical decisions or separate subscale interpretation.</t>
        </is>
      </c>
      <c r="L8" s="24" t="inlineStr">
        <is>
          <t>public domain</t>
        </is>
      </c>
      <c r="M8" s="24" t="inlineStr">
        <is>
          <t>"The SRQ is in the public domain and may be freely used, adapted, and reproduced without special permission. Proper acknowledgment of the source is appreciated."</t>
        </is>
      </c>
      <c r="N8" s="24" t="inlineStr">
        <is>
          <t>https://casaa.unm.edu/assets/inst/selfregulation-questionnaire-srq.pdf</t>
        </is>
      </c>
      <c r="O8" s="24" t="inlineStr">
        <is>
          <t>Yes</t>
        </is>
      </c>
      <c r="P8" s="24" t="inlineStr">
        <is>
          <t>https://casaa.unm.edu/assets/inst/selfregulation-questionnaire-srq.pdf</t>
        </is>
      </c>
      <c r="Q8" s="24" t="inlineStr"/>
      <c r="R8" s="24" t="inlineStr">
        <is>
          <t>Long, but the stage based subscales map neatly onto a goal pursuit coaching model; a 31 item short form (SSRQ, Carey et al 2004) exists.</t>
        </is>
      </c>
      <c r="S8" s="24" t="inlineStr"/>
      <c r="T8" s="24" t="inlineStr">
        <is>
          <t>https://casaa.unm.edu/assets/inst/selfregulation-questionnaire-srq.pdf</t>
        </is>
      </c>
      <c r="U8" s="24" t="inlineStr">
        <is>
          <t>Candidate, client facing possible</t>
        </is>
      </c>
      <c r="V8" s="24" t="inlineStr"/>
      <c r="W8" s="24" t="inlineStr"/>
      <c r="X8" s="24" t="inlineStr">
        <is>
          <t>Added (decide, cleared)</t>
        </is>
      </c>
    </row>
    <row r="9">
      <c r="A9" s="24" t="n">
        <v>8</v>
      </c>
      <c r="B9" s="24" t="inlineStr">
        <is>
          <t>Executive functioning, attention and time; Wellbeing, stress, self talk and personality; Open repositories</t>
        </is>
      </c>
      <c r="C9" s="24" t="inlineStr">
        <is>
          <t>Brief Self-Control Scale</t>
        </is>
      </c>
      <c r="D9" s="24" t="inlineStr">
        <is>
          <t>BSCS</t>
        </is>
      </c>
      <c r="E9" s="24" t="inlineStr">
        <is>
          <t>Tangney, Baumeister and Boone</t>
        </is>
      </c>
      <c r="F9" s="24" t="n">
        <v>2004</v>
      </c>
      <c r="G9" s="24" t="inlineStr">
        <is>
          <t>Dispositional self control, the capacity to override impulses, resist temptation and maintain discipline.</t>
        </is>
      </c>
      <c r="H9" s="24" t="n">
        <v>13</v>
      </c>
      <c r="I9" s="24" t="inlineStr">
        <is>
          <t>5 point scale from 1 not at all like me to 5 very much like me.</t>
        </is>
      </c>
      <c r="J9" s="24" t="inlineStr"/>
      <c r="K9" s="24" t="inlineStr">
        <is>
          <t>Reverse score items 2, 3, 4, 5, 7, 9, 10, 12 and 13, then sum (13 to 65); higher scores indicate greater self control. Student norm mean about 39.5. No clinical cut offs.</t>
        </is>
      </c>
      <c r="L9" s="24" t="inlineStr">
        <is>
          <t>not stated</t>
        </is>
      </c>
      <c r="M9" s="24" t="inlineStr">
        <is>
          <t>No permission or licence statement located on author or distributing pages; the scale is reproduced freely in many open access sources and is widely treated as free for research and clinical use.</t>
        </is>
      </c>
      <c r="N9" s="24" t="inlineStr">
        <is>
          <t>https://psychologie.uni-konstanz.de/en/working-group-renner/research/questionnaires-and-scales/personality-psychology-scales/brief-self-control-scale</t>
        </is>
      </c>
      <c r="O9" s="24" t="inlineStr">
        <is>
          <t>Yes</t>
        </is>
      </c>
      <c r="P9" s="24" t="inlineStr">
        <is>
          <t>https://www.goodmedicine.org.uk/files/assessment,%20self-control,%20brief.pdf</t>
        </is>
      </c>
      <c r="Q9" s="24" t="inlineStr"/>
      <c r="R9" s="24" t="inlineStr">
        <is>
          <t>Quick, well normed trait measure of self control that pairs well with habit and impulsivity work.</t>
        </is>
      </c>
      <c r="S9" s="24" t="inlineStr"/>
      <c r="T9" s="24" t="inlineStr">
        <is>
          <t>https://www.goodmedicine.org.uk/files/assessment,%20self-control,%20brief.pdf</t>
        </is>
      </c>
      <c r="U9" s="24" t="inlineStr">
        <is>
          <t>Candidate, licence to confirm</t>
        </is>
      </c>
      <c r="V9" s="24" t="inlineStr"/>
      <c r="W9" s="24" t="inlineStr"/>
      <c r="X9" s="24" t="inlineStr"/>
    </row>
    <row r="10">
      <c r="A10" s="24" t="n">
        <v>9</v>
      </c>
      <c r="B10" s="24" t="inlineStr">
        <is>
          <t>Executive functioning, attention and time</t>
        </is>
      </c>
      <c r="C10" s="24" t="inlineStr">
        <is>
          <t>Tuckman Procrastination Scale</t>
        </is>
      </c>
      <c r="D10" s="24" t="inlineStr">
        <is>
          <t>TPS</t>
        </is>
      </c>
      <c r="E10" s="24" t="inlineStr">
        <is>
          <t>Tuckman</t>
        </is>
      </c>
      <c r="F10" s="24" t="n">
        <v>1991</v>
      </c>
      <c r="G10" s="24" t="inlineStr">
        <is>
          <t>Tendency to waste time, delay and intentionally put off tasks that should be done.</t>
        </is>
      </c>
      <c r="H10" s="24" t="n">
        <v>16</v>
      </c>
      <c r="I10" s="24" t="inlineStr">
        <is>
          <t>Original 4 point agreement scale (that's me for sure to that's not me for sure); 5 point versions are also used.</t>
        </is>
      </c>
      <c r="J10" s="24" t="inlineStr"/>
      <c r="K10" s="24" t="inlineStr">
        <is>
          <t>Reverse score the positively worded items and sum; higher scores indicate more procrastination. Unidimensional in the 16 item form. No published cut offs.</t>
        </is>
      </c>
      <c r="L10" s="24" t="inlineStr">
        <is>
          <t>not stated</t>
        </is>
      </c>
      <c r="M10" s="24" t="inlineStr">
        <is>
          <t>No permission statement located. Published in Educational and Psychological Measurement (Sage copyright). Later adaptation papers report obtaining the author's authorisation.</t>
        </is>
      </c>
      <c r="N10" s="24" t="inlineStr">
        <is>
          <t>https://prc.springeropen.com/articles/10.1186/s41155-025-00365-y</t>
        </is>
      </c>
      <c r="O10" s="24" t="inlineStr">
        <is>
          <t>Yes</t>
        </is>
      </c>
      <c r="P10" s="24" t="inlineStr">
        <is>
          <t>https://prc.springeropen.com/articles/10.1186/s41155-025-00365-y</t>
        </is>
      </c>
      <c r="Q10" s="24" t="inlineStr"/>
      <c r="R10" s="24" t="inlineStr">
        <is>
          <t>Behavioural wording suits task initiation goals; originally validated with students so interpret adult scores descriptively.</t>
        </is>
      </c>
      <c r="S10" s="24" t="inlineStr"/>
      <c r="T10" s="24" t="inlineStr">
        <is>
          <t>https://prc.springeropen.com/articles/10.1186/s41155-025-00365-y</t>
        </is>
      </c>
      <c r="U10" s="24" t="inlineStr">
        <is>
          <t>Candidate, licence to confirm</t>
        </is>
      </c>
      <c r="V10" s="24" t="inlineStr"/>
      <c r="W10" s="24" t="inlineStr"/>
      <c r="X10" s="24" t="inlineStr"/>
    </row>
    <row r="11">
      <c r="A11" s="24" t="n">
        <v>10</v>
      </c>
      <c r="B11" s="24" t="inlineStr">
        <is>
          <t>Executive functioning, attention and time</t>
        </is>
      </c>
      <c r="C11" s="24" t="inlineStr">
        <is>
          <t>General Procrastination Scale</t>
        </is>
      </c>
      <c r="D11" s="24" t="inlineStr">
        <is>
          <t>GPS</t>
        </is>
      </c>
      <c r="E11" s="24" t="inlineStr">
        <is>
          <t>Lay</t>
        </is>
      </c>
      <c r="F11" s="24" t="n">
        <v>1986</v>
      </c>
      <c r="G11" s="24" t="inlineStr">
        <is>
          <t>Trait procrastination across everyday tasks such as bills, appointments, shopping and correspondence.</t>
        </is>
      </c>
      <c r="H11" s="24" t="n">
        <v>20</v>
      </c>
      <c r="I11" s="24" t="inlineStr">
        <is>
          <t>5 point scale from 1 extremely uncharacteristic to 5 extremely characteristic.</t>
        </is>
      </c>
      <c r="J11" s="24" t="inlineStr"/>
      <c r="K11" s="24" t="inlineStr">
        <is>
          <t>Reverse score 10 items and sum (20 to 100); higher scores indicate greater procrastination. No clinical cut offs.</t>
        </is>
      </c>
      <c r="L11" s="24" t="inlineStr">
        <is>
          <t>free with attribution (CC or stated)</t>
        </is>
      </c>
      <c r="M11" s="24" t="inlineStr">
        <is>
          <t>Salford PsyTech questionnaire battery lists restrictions as "No restrictions." No author licence text located.</t>
        </is>
      </c>
      <c r="N11" s="24" t="inlineStr">
        <is>
          <t>https://hub.salford.ac.uk/psytech/equipment-resources/questionnaire-battery/procrastination-scale/</t>
        </is>
      </c>
      <c r="O11" s="24" t="inlineStr">
        <is>
          <t>Yes</t>
        </is>
      </c>
      <c r="P11" s="24" t="inlineStr">
        <is>
          <t>https://www.yorku.ca/rokada/psyctest/procrast.pdf</t>
        </is>
      </c>
      <c r="Q11" s="24" t="inlineStr"/>
      <c r="R11" s="24" t="inlineStr">
        <is>
          <t>Everyday life content rather than academic, so it fits working adults well and gives concrete targets for routine design.</t>
        </is>
      </c>
      <c r="S11" s="24" t="inlineStr"/>
      <c r="T11" s="24" t="inlineStr">
        <is>
          <t>https://hub.salford.ac.uk/psytech/equipment-resources/questionnaire-battery/procrastination-scale/</t>
        </is>
      </c>
      <c r="U11" s="24" t="inlineStr">
        <is>
          <t>Candidate, client facing possible</t>
        </is>
      </c>
      <c r="V11" s="24" t="inlineStr"/>
      <c r="W11" s="24" t="inlineStr"/>
      <c r="X11" s="24" t="inlineStr">
        <is>
          <t>Added (yes, review)</t>
        </is>
      </c>
    </row>
    <row r="12">
      <c r="A12" s="24" t="n">
        <v>11</v>
      </c>
      <c r="B12" s="24" t="inlineStr">
        <is>
          <t>Executive functioning, attention and time</t>
        </is>
      </c>
      <c r="C12" s="24" t="inlineStr">
        <is>
          <t>Pure Procrastination Scale</t>
        </is>
      </c>
      <c r="D12" s="24" t="inlineStr">
        <is>
          <t>PPS</t>
        </is>
      </c>
      <c r="E12" s="24" t="inlineStr">
        <is>
          <t>Steel</t>
        </is>
      </c>
      <c r="F12" s="24" t="n">
        <v>2010</v>
      </c>
      <c r="G12" s="24" t="inlineStr">
        <is>
          <t>Core procrastination as irrational delay, drawn from the strongest items of the GPS, AIP and Decisional Procrastination Scale.</t>
        </is>
      </c>
      <c r="H12" s="24" t="n">
        <v>12</v>
      </c>
      <c r="I12" s="24" t="inlineStr">
        <is>
          <t>5 point scale from 1 very seldom or not true of me to 5 very often true or true of me.</t>
        </is>
      </c>
      <c r="J12" s="24" t="inlineStr">
        <is>
          <t>Decisional delay (items 1 to 3), Implemental delay (items 4 to 8), Timeliness or lateness (items 9 to 12)</t>
        </is>
      </c>
      <c r="K12" s="24" t="inlineStr">
        <is>
          <t>No reverse scoring; sum or average, higher indicates more procrastination. European sample means about 2.3 to 2.8 per item. A 5 item implemental short form (items 4 to 8) is recommended. No cut offs.</t>
        </is>
      </c>
      <c r="L12" s="24" t="inlineStr">
        <is>
          <t>free with attribution (CC or stated)</t>
        </is>
      </c>
      <c r="M12" s="24" t="inlineStr">
        <is>
          <t>Items published in full in CC BY articles in Frontiers in Psychology. No separate author licence statement; Steel's scales are widely reproduced in open access validation papers.</t>
        </is>
      </c>
      <c r="N12" s="24" t="inlineStr">
        <is>
          <t>https://www.frontiersin.org/articles/10.3389/fpsyg.2017.01927/full</t>
        </is>
      </c>
      <c r="O12" s="24" t="inlineStr">
        <is>
          <t>Yes</t>
        </is>
      </c>
      <c r="P12" s="24" t="inlineStr">
        <is>
          <t>https://www.frontiersin.org/articles/10.3389/fpsyg.2017.01927/full</t>
        </is>
      </c>
      <c r="Q12" s="24" t="inlineStr"/>
      <c r="R12" s="24" t="inlineStr">
        <is>
          <t>Separates deciding, starting and finishing late, which helps locate where a client's delay actually happens.</t>
        </is>
      </c>
      <c r="S12" s="24" t="inlineStr"/>
      <c r="T12" s="24" t="inlineStr">
        <is>
          <t>https://www.frontiersin.org/journals/psychology/articles/10.3389/fpsyg.2016.01307/full</t>
        </is>
      </c>
      <c r="U12" s="24" t="inlineStr">
        <is>
          <t>Candidate, client facing possible</t>
        </is>
      </c>
      <c r="V12" s="24" t="inlineStr"/>
      <c r="W12" s="24" t="inlineStr"/>
      <c r="X12" s="24" t="inlineStr">
        <is>
          <t>Already in codebook</t>
        </is>
      </c>
    </row>
    <row r="13">
      <c r="A13" s="24" t="n">
        <v>12</v>
      </c>
      <c r="B13" s="24" t="inlineStr">
        <is>
          <t>Executive functioning, attention and time</t>
        </is>
      </c>
      <c r="C13" s="24" t="inlineStr">
        <is>
          <t>Irrational Procrastination Scale</t>
        </is>
      </c>
      <c r="D13" s="24" t="inlineStr">
        <is>
          <t>IPS</t>
        </is>
      </c>
      <c r="E13" s="24" t="inlineStr">
        <is>
          <t>Steel</t>
        </is>
      </c>
      <c r="F13" s="24" t="n">
        <v>2010</v>
      </c>
      <c r="G13" s="24" t="inlineStr">
        <is>
          <t>Voluntary delay of intended action despite expecting to be worse off for the delay.</t>
        </is>
      </c>
      <c r="H13" s="24" t="n">
        <v>9</v>
      </c>
      <c r="I13" s="24" t="inlineStr">
        <is>
          <t>5 point scale from 1 very seldom or not true of me to 5 very often true or true of me.</t>
        </is>
      </c>
      <c r="J13" s="24" t="inlineStr"/>
      <c r="K13" s="24" t="inlineStr">
        <is>
          <t>Reverse score items 2, 6 and 9, then sum or average; higher indicates more irrational procrastination. Norwegian sample mean 3.62 per item. Authors note the reversed items can be dropped. No cut offs.</t>
        </is>
      </c>
      <c r="L13" s="24" t="inlineStr">
        <is>
          <t>free with attribution (CC or stated)</t>
        </is>
      </c>
      <c r="M13" s="24" t="inlineStr">
        <is>
          <t>Items published in full in a CC BY article: "This is an open-access article distributed under the terms of the Creative Commons Attribution License (CC BY)."</t>
        </is>
      </c>
      <c r="N13" s="24" t="inlineStr">
        <is>
          <t>https://www.frontiersin.org/articles/10.3389/fpsyg.2017.01927/full</t>
        </is>
      </c>
      <c r="O13" s="24" t="inlineStr">
        <is>
          <t>Yes</t>
        </is>
      </c>
      <c r="P13" s="24" t="inlineStr">
        <is>
          <t>https://www.frontiersin.org/articles/10.3389/fpsyg.2017.01927/full</t>
        </is>
      </c>
      <c r="Q13" s="24" t="inlineStr"/>
      <c r="R13" s="24" t="inlineStr">
        <is>
          <t>Short, adult oriented and reliable; a good default procrastination outcome measure for coaching.</t>
        </is>
      </c>
      <c r="S13" s="24" t="inlineStr"/>
      <c r="T13" s="24" t="inlineStr">
        <is>
          <t>https://www.frontiersin.org/articles/10.3389/fpsyg.2017.01927/full</t>
        </is>
      </c>
      <c r="U13" s="24" t="inlineStr">
        <is>
          <t>Candidate, client facing possible</t>
        </is>
      </c>
      <c r="V13" s="24" t="inlineStr"/>
      <c r="W13" s="24" t="inlineStr"/>
      <c r="X13" s="24" t="inlineStr">
        <is>
          <t>Already in codebook</t>
        </is>
      </c>
    </row>
    <row r="14">
      <c r="A14" s="24" t="n">
        <v>13</v>
      </c>
      <c r="B14" s="24" t="inlineStr">
        <is>
          <t>Executive functioning, attention and time</t>
        </is>
      </c>
      <c r="C14" s="24" t="inlineStr">
        <is>
          <t>Time Management Behavior Scale</t>
        </is>
      </c>
      <c r="D14" s="24" t="inlineStr">
        <is>
          <t>TMBS</t>
        </is>
      </c>
      <c r="E14" s="24" t="inlineStr">
        <is>
          <t>Macan, Shahani, Dipboye and Phillips</t>
        </is>
      </c>
      <c r="F14" s="24" t="n">
        <v>1990</v>
      </c>
      <c r="G14" s="24" t="inlineStr">
        <is>
          <t>Frequency of time management behaviours and the resulting sense of control over time.</t>
        </is>
      </c>
      <c r="H14" s="24" t="n">
        <v>34</v>
      </c>
      <c r="I14" s="24" t="inlineStr">
        <is>
          <t>5 point frequency scale from seldom true to very often true (original 1990 pool had 46 items; the 1994 revision uses 34).</t>
        </is>
      </c>
      <c r="J14" s="24" t="inlineStr">
        <is>
          <t>Setting Goals and Priorities, Mechanics: Planning and Scheduling, Perceived Control of Time, Preference for Organisation</t>
        </is>
      </c>
      <c r="K14" s="24" t="inlineStr">
        <is>
          <t>Reverse score negatively worded items and average or sum within subscales; higher scores indicate more frequent time management behaviour and greater perceived control. No cut offs.</t>
        </is>
      </c>
      <c r="L14" s="24" t="inlineStr">
        <is>
          <t>not stated</t>
        </is>
      </c>
      <c r="M14" s="24" t="inlineStr">
        <is>
          <t>No permission or licence statement located. Published in Journal of Educational Psychology (APA copyright); items appear in the original article.</t>
        </is>
      </c>
      <c r="N14" s="24" t="inlineStr">
        <is>
          <t>https://en.wikiversity.org/wiki/Time_management/Questionnaires</t>
        </is>
      </c>
      <c r="O14" s="24" t="inlineStr">
        <is>
          <t>No</t>
        </is>
      </c>
      <c r="P14" s="24" t="inlineStr">
        <is>
          <t>https://doi.org/10.1037/0022-0663.82.4.760</t>
        </is>
      </c>
      <c r="Q14" s="24" t="inlineStr"/>
      <c r="R14" s="24" t="inlineStr">
        <is>
          <t>Subscales distinguish planning mechanics from perceived control, which is useful for diagnosing whether skills or confidence are the gap.</t>
        </is>
      </c>
      <c r="S14" s="24" t="inlineStr"/>
      <c r="T14" s="24" t="inlineStr">
        <is>
          <t>https://edinstruments.org/node/1575</t>
        </is>
      </c>
      <c r="U14" s="24" t="inlineStr">
        <is>
          <t>Candidate, licence to confirm</t>
        </is>
      </c>
      <c r="V14" s="24" t="inlineStr"/>
      <c r="W14" s="24" t="inlineStr"/>
      <c r="X14" s="24" t="inlineStr"/>
    </row>
    <row r="15">
      <c r="A15" s="24" t="n">
        <v>14</v>
      </c>
      <c r="B15" s="24" t="inlineStr">
        <is>
          <t>Executive functioning, attention and time; Clinical practice in New Zealand</t>
        </is>
      </c>
      <c r="C15" s="24" t="inlineStr">
        <is>
          <t>Time Structure Questionnaire</t>
        </is>
      </c>
      <c r="D15" s="24" t="inlineStr">
        <is>
          <t>TSQ</t>
        </is>
      </c>
      <c r="E15" s="24" t="inlineStr">
        <is>
          <t>Bond and Feather (Flinders University)</t>
        </is>
      </c>
      <c r="F15" s="24" t="n">
        <v>1988</v>
      </c>
      <c r="G15" s="24" t="inlineStr">
        <is>
          <t>Degree to which people perceive their use of time as structured and purposive.</t>
        </is>
      </c>
      <c r="H15" s="24" t="n">
        <v>26</v>
      </c>
      <c r="I15" s="24" t="inlineStr">
        <is>
          <t>7 point scale from yes, always to no, never.</t>
        </is>
      </c>
      <c r="J15" s="24" t="inlineStr">
        <is>
          <t>Sense of Purpose, Structured Routine, Present Orientation, Effective Organisation, Persistence</t>
        </is>
      </c>
      <c r="K15" s="24" t="inlineStr">
        <is>
          <t>Reverse score negatively keyed items and sum for a total and 5 factor scores; higher scores indicate more time structure. Mudrack (1997) found 4 of 5 subscales robust in working adults and advised interpreting subscales. No cut offs.</t>
        </is>
      </c>
      <c r="L15" s="24" t="inlineStr">
        <is>
          <t>not stated</t>
        </is>
      </c>
      <c r="M15" s="24" t="inlineStr">
        <is>
          <t>No permission or licence statement located. Published in Journal of Personality and Social Psychology (APA copyright); items appear in the article.</t>
        </is>
      </c>
      <c r="N15" s="24" t="inlineStr">
        <is>
          <t>https://en.wikiversity.org/wiki/Time_management/Questionnaires</t>
        </is>
      </c>
      <c r="O15" s="24" t="inlineStr">
        <is>
          <t>No</t>
        </is>
      </c>
      <c r="P15" s="24" t="inlineStr">
        <is>
          <t>https://doi.org/10.1037/0022-3514.55.2.321</t>
        </is>
      </c>
      <c r="Q15" s="24" t="inlineStr"/>
      <c r="R15" s="24" t="inlineStr">
        <is>
          <t>Routine and purpose subscales speak directly to structure building work with ADHD clients; verify item wording from the original article.</t>
        </is>
      </c>
      <c r="S15" s="24" t="inlineStr"/>
      <c r="T15" s="24" t="inlineStr">
        <is>
          <t>https://synapsesocial.com/papers/W2064140380</t>
        </is>
      </c>
      <c r="U15" s="24" t="inlineStr">
        <is>
          <t>Candidate, licence to confirm</t>
        </is>
      </c>
      <c r="V15" s="24" t="inlineStr"/>
      <c r="W15" s="24" t="inlineStr"/>
      <c r="X15" s="24" t="inlineStr"/>
    </row>
    <row r="16">
      <c r="A16" s="24" t="n">
        <v>15</v>
      </c>
      <c r="B16" s="24" t="inlineStr">
        <is>
          <t>Executive functioning, attention and time</t>
        </is>
      </c>
      <c r="C16" s="24" t="inlineStr">
        <is>
          <t>Melbourne Decision Making Questionnaire, Procrastination subscale (Decisional Procrastination Scale)</t>
        </is>
      </c>
      <c r="D16" s="24" t="inlineStr">
        <is>
          <t>MDMQ-P / DPS</t>
        </is>
      </c>
      <c r="E16" s="24" t="inlineStr">
        <is>
          <t>Mann (1982); Mann, Burnett, Radford and Ford (1997)</t>
        </is>
      </c>
      <c r="F16" s="24" t="n">
        <v>1997</v>
      </c>
      <c r="G16" s="24" t="inlineStr">
        <is>
          <t>Tendency to delay and avoid making decisions, one of 4 decision coping patterns in the conflict theory of decision making.</t>
        </is>
      </c>
      <c r="H16" s="24" t="n">
        <v>5</v>
      </c>
      <c r="I16" s="24" t="inlineStr">
        <is>
          <t>MDMQ uses a 3 point scale (not true for me, sometimes true, true for me); the original 1982 DPS used a 5 point agreement scale.</t>
        </is>
      </c>
      <c r="J16" s="24" t="inlineStr">
        <is>
          <t>Vigilance, Hypervigilance, Procrastination, Buck Passing (full MDMQ, 22 items)</t>
        </is>
      </c>
      <c r="K16" s="24" t="inlineStr">
        <is>
          <t>Sum the 5 procrastination items; higher scores indicate more decisional procrastination. No cut offs.</t>
        </is>
      </c>
      <c r="L16" s="24" t="inlineStr">
        <is>
          <t>not stated</t>
        </is>
      </c>
      <c r="M16" s="24" t="inlineStr">
        <is>
          <t>No permission or licence statement located on the DMIDI inventory page or in the 1997 Journal of Behavioral Decision Making article (Wiley copyright).</t>
        </is>
      </c>
      <c r="N16" s="24" t="inlineStr">
        <is>
          <t>https://dlab.sauder.ubc.ca/sjdm/dmidi/Melbourne_Decision_Making_Questionnaire.html</t>
        </is>
      </c>
      <c r="O16" s="24" t="inlineStr">
        <is>
          <t>No</t>
        </is>
      </c>
      <c r="P16" s="24" t="inlineStr">
        <is>
          <t>https://dlab.sauder.ubc.ca/sjdm/dmidi/Melbourne_Decision_Making_Questionnaire.html</t>
        </is>
      </c>
      <c r="Q16" s="24" t="inlineStr"/>
      <c r="R16" s="24" t="inlineStr">
        <is>
          <t>Isolates decision avoidance from task avoidance; 3 of its items also sit inside the open access PPS.</t>
        </is>
      </c>
      <c r="S16" s="24" t="inlineStr"/>
      <c r="T16" s="24" t="inlineStr">
        <is>
          <t>https://dlab.sauder.ubc.ca/sjdm/dmidi/Melbourne_Decision_Making_Questionnaire.html</t>
        </is>
      </c>
      <c r="U16" s="24" t="inlineStr">
        <is>
          <t>Candidate, licence to confirm</t>
        </is>
      </c>
      <c r="V16" s="24" t="inlineStr"/>
      <c r="W16" s="24" t="inlineStr"/>
      <c r="X16" s="24" t="inlineStr"/>
    </row>
    <row r="17">
      <c r="A17" s="24" t="n">
        <v>16</v>
      </c>
      <c r="B17" s="24" t="inlineStr">
        <is>
          <t>Executive functioning, attention and time</t>
        </is>
      </c>
      <c r="C17" s="24" t="inlineStr">
        <is>
          <t>Barratt Impulsiveness Scale, version 11</t>
        </is>
      </c>
      <c r="D17" s="24" t="inlineStr">
        <is>
          <t>BIS-11</t>
        </is>
      </c>
      <c r="E17" s="24" t="inlineStr">
        <is>
          <t>Patton, Stanford and Barratt</t>
        </is>
      </c>
      <c r="F17" s="24" t="n">
        <v>1995</v>
      </c>
      <c r="G17" s="24" t="inlineStr">
        <is>
          <t>Trait impulsiveness across attentional, motor and non planning domains.</t>
        </is>
      </c>
      <c r="H17" s="24" t="n">
        <v>30</v>
      </c>
      <c r="I17" s="24" t="inlineStr">
        <is>
          <t>4 point frequency scale from 1 rarely or never to 4 almost always or always.</t>
        </is>
      </c>
      <c r="J17" s="24" t="inlineStr">
        <is>
          <t>Attentional (8 items), Motor (11 items), Non planning (11 items)</t>
        </is>
      </c>
      <c r="K17" s="24" t="inlineStr">
        <is>
          <t>Reverse score 11 items and sum (30 to 120); higher indicates greater impulsiveness. Stanford et al (2009): 72 and above highly impulsive, 52 to 71 within normal limits, below 52 over controlled or possibly invalid responding.</t>
        </is>
      </c>
      <c r="L17" s="24" t="inlineStr">
        <is>
          <t>free with attribution (CC or stated)</t>
        </is>
      </c>
      <c r="M17" s="24" t="inlineStr">
        <is>
          <t>Secondary sources state: "The BIS-11 is distributed free of charge for research and clinical use with proper attribution to the original authors." Shirley Ryan AbilityLab lists cost as free. No publisher licence applies.</t>
        </is>
      </c>
      <c r="N17" s="24" t="inlineStr">
        <is>
          <t>https://www.testable.org/scale/bis-11-barratt-impulsiveness-scale</t>
        </is>
      </c>
      <c r="O17" s="24" t="inlineStr">
        <is>
          <t>Yes</t>
        </is>
      </c>
      <c r="P17" s="24" t="inlineStr">
        <is>
          <t>https://datashare.nida.nih.gov/node/32</t>
        </is>
      </c>
      <c r="Q17" s="24" t="inlineStr"/>
      <c r="R17" s="24" t="inlineStr">
        <is>
          <t>Established norms and cut offs make it a solid baseline for impulsivity, though item tone is clinical rather than coaching oriented.</t>
        </is>
      </c>
      <c r="S17" s="24" t="inlineStr"/>
      <c r="T17" s="24" t="inlineStr">
        <is>
          <t>https://www.sralab.org/rehabilitation-measures/barratt-impulsiveness-scale</t>
        </is>
      </c>
      <c r="U17" s="24" t="inlineStr">
        <is>
          <t>Candidate, client facing possible</t>
        </is>
      </c>
      <c r="V17" s="24" t="inlineStr"/>
      <c r="W17" s="24" t="inlineStr"/>
      <c r="X17" s="24" t="inlineStr">
        <is>
          <t>Added (yes, review)</t>
        </is>
      </c>
    </row>
    <row r="18">
      <c r="A18" s="24" t="n">
        <v>17</v>
      </c>
      <c r="B18" s="24" t="inlineStr">
        <is>
          <t>Executive functioning, attention and time</t>
        </is>
      </c>
      <c r="C18" s="24" t="inlineStr">
        <is>
          <t>Barratt Impulsiveness Scale, Brief</t>
        </is>
      </c>
      <c r="D18" s="24" t="inlineStr">
        <is>
          <t>BIS-Brief</t>
        </is>
      </c>
      <c r="E18" s="24" t="inlineStr">
        <is>
          <t>Steinberg, Sharp, Stanford and Tharp</t>
        </is>
      </c>
      <c r="F18" s="24" t="n">
        <v>2013</v>
      </c>
      <c r="G18" s="24" t="inlineStr">
        <is>
          <t>General impulsiveness, an 8 item unidimensional short form of the BIS-11 derived by item response theory.</t>
        </is>
      </c>
      <c r="H18" s="24" t="n">
        <v>8</v>
      </c>
      <c r="I18" s="24" t="inlineStr">
        <is>
          <t>4 point frequency scale from rarely or never to almost always or always.</t>
        </is>
      </c>
      <c r="J18" s="24" t="inlineStr"/>
      <c r="K18" s="24" t="inlineStr">
        <is>
          <t>Reverse score the planning and concentration items as in the BIS-11, then sum (8 to 32); higher indicates greater impulsiveness. No published cut offs.</t>
        </is>
      </c>
      <c r="L18" s="24" t="inlineStr">
        <is>
          <t>free with attribution (CC or stated)</t>
        </is>
      </c>
      <c r="M18" s="24" t="inlineStr">
        <is>
          <t>Article (Psychological Assessment, APA) makes no availability statement; the items are a subset of the freely distributed BIS-11 and are listed in the article tables.</t>
        </is>
      </c>
      <c r="N18" s="24" t="inlineStr">
        <is>
          <t>https://www.uh.edu/class/psychology/clinical-psych/research/dpl/_files/publications/steinberg-sharp-stanford-tharp-2013.pdf</t>
        </is>
      </c>
      <c r="O18" s="24" t="inlineStr">
        <is>
          <t>Yes</t>
        </is>
      </c>
      <c r="P18" s="24" t="inlineStr">
        <is>
          <t>https://www.uh.edu/class/psychology/clinical-psych/research/dpl/_files/publications/steinberg-sharp-stanford-tharp-2013.pdf</t>
        </is>
      </c>
      <c r="Q18" s="24" t="inlineStr"/>
      <c r="R18" s="24" t="inlineStr">
        <is>
          <t>Quick repeatable impulsivity marker when the full BIS-11 is too long for session by session tracking.</t>
        </is>
      </c>
      <c r="S18" s="24" t="inlineStr"/>
      <c r="T18" s="24" t="inlineStr">
        <is>
          <t>https://www.uh.edu/class/psychology/clinical-psych/research/dpl/_files/publications/steinberg-sharp-stanford-tharp-2013.pdf</t>
        </is>
      </c>
      <c r="U18" s="24" t="inlineStr">
        <is>
          <t>Candidate, client facing possible</t>
        </is>
      </c>
      <c r="V18" s="24" t="inlineStr"/>
      <c r="W18" s="24" t="inlineStr"/>
      <c r="X18" s="24" t="inlineStr">
        <is>
          <t>Added (yes, review)</t>
        </is>
      </c>
    </row>
    <row r="19">
      <c r="A19" s="24" t="n">
        <v>18</v>
      </c>
      <c r="B19" s="24" t="inlineStr">
        <is>
          <t>Executive functioning, attention and time</t>
        </is>
      </c>
      <c r="C19" s="24" t="inlineStr">
        <is>
          <t>Self-Report Habit Index</t>
        </is>
      </c>
      <c r="D19" s="24" t="inlineStr">
        <is>
          <t>SRHI</t>
        </is>
      </c>
      <c r="E19" s="24" t="inlineStr">
        <is>
          <t>Verplanken and Orbell</t>
        </is>
      </c>
      <c r="F19" s="24" t="n">
        <v>2003</v>
      </c>
      <c r="G19" s="24" t="inlineStr">
        <is>
          <t>Strength of a specified habit, covering history of repetition, automaticity (lack of control and awareness, efficiency) and self identity.</t>
        </is>
      </c>
      <c r="H19" s="24" t="n">
        <v>12</v>
      </c>
      <c r="I19" s="24" t="inlineStr">
        <is>
          <t>Agreement scale (7 point in the original; 5 point versions are common) applied to a target behaviour named in the stem.</t>
        </is>
      </c>
      <c r="J19" s="24" t="inlineStr"/>
      <c r="K19" s="24" t="inlineStr">
        <is>
          <t>Average or sum the 12 items; higher scores indicate a stronger habit. No cut offs. A 4 item automaticity subset (SRBAI) is used as a short form.</t>
        </is>
      </c>
      <c r="L19" s="24" t="inlineStr">
        <is>
          <t>not stated</t>
        </is>
      </c>
      <c r="M19" s="24" t="inlineStr">
        <is>
          <t>No author licence located. Distributing page states: "Please contact the author of the questionnaire for use permissions." Published in Journal of Applied Social Psychology (Wiley copyright).</t>
        </is>
      </c>
      <c r="N19" s="24" t="inlineStr">
        <is>
          <t>https://www.coresta.org/crom/psychometric/self-reported-habits-index</t>
        </is>
      </c>
      <c r="O19" s="24" t="inlineStr">
        <is>
          <t>No</t>
        </is>
      </c>
      <c r="P19" s="24" t="inlineStr">
        <is>
          <t>https://doi.org/10.1111/j.1559-1816.2003.tb01951.x</t>
        </is>
      </c>
      <c r="Q19" s="24" t="inlineStr"/>
      <c r="R19" s="24" t="inlineStr">
        <is>
          <t>Behaviour specific, so it can be repeated for each routine a client is trying to build and shows automaticity gains over time.</t>
        </is>
      </c>
      <c r="S19" s="24" t="inlineStr"/>
      <c r="T19" s="24" t="inlineStr">
        <is>
          <t>https://researchportal.bath.ac.uk/en/publications/reflections-on-past-behavior-a-self-report-index-of-habit-strengt/</t>
        </is>
      </c>
      <c r="U19" s="24" t="inlineStr">
        <is>
          <t>Candidate, licence to confirm</t>
        </is>
      </c>
      <c r="V19" s="24" t="inlineStr"/>
      <c r="W19" s="24" t="inlineStr"/>
      <c r="X19" s="24" t="inlineStr"/>
    </row>
    <row r="20">
      <c r="A20" s="24" t="n">
        <v>19</v>
      </c>
      <c r="B20" s="24" t="inlineStr">
        <is>
          <t>Executive functioning, attention and time</t>
        </is>
      </c>
      <c r="C20" s="24" t="inlineStr">
        <is>
          <t>Creature of Habit Scale</t>
        </is>
      </c>
      <c r="D20" s="24" t="inlineStr">
        <is>
          <t>COHS</t>
        </is>
      </c>
      <c r="E20" s="24" t="inlineStr">
        <is>
          <t>Ersche, Lim, Ward, Robbins and Stochl (University of Cambridge)</t>
        </is>
      </c>
      <c r="F20" s="24" t="n">
        <v>2017</v>
      </c>
      <c r="G20" s="24" t="inlineStr">
        <is>
          <t>Individual differences in habitual tendencies in daily life: preference for routine and automatic, cue driven responding.</t>
        </is>
      </c>
      <c r="H20" s="24" t="n">
        <v>27</v>
      </c>
      <c r="I20" s="24" t="inlineStr">
        <is>
          <t>5 point agreement scale from strongly disagree to strongly agree.</t>
        </is>
      </c>
      <c r="J20" s="24" t="inlineStr">
        <is>
          <t>Routine (16 items), Automaticity (11 items)</t>
        </is>
      </c>
      <c r="K20" s="24" t="inlineStr">
        <is>
          <t>Sum items within each subscale; higher scores indicate stronger routine preference or greater automaticity. No cut offs; subscales are interpreted separately.</t>
        </is>
      </c>
      <c r="L20" s="24" t="inlineStr">
        <is>
          <t>free with attribution (CC or stated)</t>
        </is>
      </c>
      <c r="M20" s="24" t="inlineStr">
        <is>
          <t>Published in Personality and Individual Differences; the Cambridge repository copy is listed as "Attribution-NonCommercial-NoDerivatives 4.0 International". Items are printed in the article.</t>
        </is>
      </c>
      <c r="N20" s="24" t="inlineStr">
        <is>
          <t>https://www.repository.cam.ac.uk/handle/1810/266049</t>
        </is>
      </c>
      <c r="O20" s="24" t="inlineStr">
        <is>
          <t>Yes</t>
        </is>
      </c>
      <c r="P20" s="24" t="inlineStr">
        <is>
          <t>https://pmc.ncbi.nlm.nih.gov/articles/PMC5473478/</t>
        </is>
      </c>
      <c r="Q20" s="24" t="inlineStr"/>
      <c r="R20" s="24" t="inlineStr">
        <is>
          <t>Distinguishes clients who thrive on routine from those who act on autopilot; informs whether to build structure or interrupt cues.</t>
        </is>
      </c>
      <c r="S20" s="24" t="inlineStr"/>
      <c r="T20" s="24" t="inlineStr">
        <is>
          <t>https://www.repository.cam.ac.uk/handle/1810/266049</t>
        </is>
      </c>
      <c r="U20" s="24" t="inlineStr">
        <is>
          <t>Candidate, client facing possible</t>
        </is>
      </c>
      <c r="V20" s="24" t="inlineStr"/>
      <c r="W20" s="24" t="inlineStr"/>
      <c r="X20" s="24" t="inlineStr">
        <is>
          <t>Added (yes, cleared)</t>
        </is>
      </c>
    </row>
    <row r="21">
      <c r="A21" s="24" t="n">
        <v>20</v>
      </c>
      <c r="B21" s="24" t="inlineStr">
        <is>
          <t>Executive functioning, attention and time</t>
        </is>
      </c>
      <c r="C21" s="24" t="inlineStr">
        <is>
          <t>Pittsburgh Sleep Quality Index</t>
        </is>
      </c>
      <c r="D21" s="24" t="inlineStr">
        <is>
          <t>PSQI</t>
        </is>
      </c>
      <c r="E21" s="24" t="inlineStr">
        <is>
          <t>Buysse, Reynolds, Monk, Berman and Kupfer (University of Pittsburgh)</t>
        </is>
      </c>
      <c r="F21" s="24" t="n">
        <v>1989</v>
      </c>
      <c r="G21" s="24" t="inlineStr">
        <is>
          <t>Subjective sleep quality and disturbance over the past month.</t>
        </is>
      </c>
      <c r="H21" s="24" t="n">
        <v>19</v>
      </c>
      <c r="I21" s="24" t="inlineStr">
        <is>
          <t>Mixed: open ended times and durations plus 4 point frequency and quality ratings (not during the past month to 3 or more times a week; very good to very bad). 5 optional bed partner items are not scored.</t>
        </is>
      </c>
      <c r="J21" s="24" t="inlineStr">
        <is>
          <t>Subjective sleep quality, Sleep latency, Sleep duration, Habitual sleep efficiency, Sleep disturbances, Use of sleeping medication, Daytime dysfunction</t>
        </is>
      </c>
      <c r="K21" s="24" t="inlineStr">
        <is>
          <t>Each component scored 0 to 3 by algorithm and summed to a global score of 0 to 21; higher is worse. Global score above 5 indicates significant sleep difficulty.</t>
        </is>
      </c>
      <c r="L21" s="24" t="inlineStr">
        <is>
          <t>free for non commercial or research only</t>
        </is>
      </c>
      <c r="M21" s="24" t="inlineStr">
        <is>
          <t>"This copyright in this form is owned by the University of Pittsburgh and may be reprinted without charge only for non-commercial research and educational purposes." Modifications need written permission; commercial use and clinical use require a request (clinical use listed with a per use fee).</t>
        </is>
      </c>
      <c r="N21" s="24" t="inlineStr">
        <is>
          <t>https://www.sleep.pitt.edu/psqi</t>
        </is>
      </c>
      <c r="O21" s="24" t="inlineStr">
        <is>
          <t>Yes</t>
        </is>
      </c>
      <c r="P21" s="24" t="inlineStr">
        <is>
          <t>https://www.sleep.pitt.edu/psqi</t>
        </is>
      </c>
      <c r="Q21" s="24" t="inlineStr"/>
      <c r="R21" s="24" t="inlineStr">
        <is>
          <t>Gold standard sleep screen, but a paid coaching practice should request permission for clinical use before adopting it.</t>
        </is>
      </c>
      <c r="S21" s="24" t="inlineStr"/>
      <c r="T21" s="24" t="inlineStr">
        <is>
          <t>https://www.sleep.pitt.edu/psqi</t>
        </is>
      </c>
      <c r="U21" s="24" t="inlineStr">
        <is>
          <t>Candidate, licence to confirm</t>
        </is>
      </c>
      <c r="V21" s="24" t="inlineStr"/>
      <c r="W21" s="24" t="inlineStr"/>
      <c r="X21" s="24" t="inlineStr"/>
    </row>
    <row r="22">
      <c r="A22" s="24" t="n">
        <v>21</v>
      </c>
      <c r="B22" s="24" t="inlineStr">
        <is>
          <t>Executive functioning, attention and time; Clinical practice in New Zealand</t>
        </is>
      </c>
      <c r="C22" s="24" t="inlineStr">
        <is>
          <t>Epworth Sleepiness Scale</t>
        </is>
      </c>
      <c r="D22" s="24" t="inlineStr">
        <is>
          <t>ESS</t>
        </is>
      </c>
      <c r="E22" s="24" t="inlineStr">
        <is>
          <t>Johns (Epworth Hospital, Melbourne)</t>
        </is>
      </c>
      <c r="F22" s="24" t="n">
        <v>1991</v>
      </c>
      <c r="G22" s="24" t="inlineStr">
        <is>
          <t>Average daytime sleep propensity, the likelihood of dozing in 8 everyday situations.</t>
        </is>
      </c>
      <c r="H22" s="24" t="n">
        <v>8</v>
      </c>
      <c r="I22" s="24" t="inlineStr">
        <is>
          <t>4 point scale from 0 would never doze to 3 high chance of dozing.</t>
        </is>
      </c>
      <c r="J22" s="24" t="inlineStr"/>
      <c r="K22" s="24" t="inlineStr">
        <is>
          <t>Sum items (0 to 24); higher is sleepier. 0 to 10 normal; 11 to 12 mild, 13 to 15 moderate and 16 to 24 severe excessive daytime sleepiness.</t>
        </is>
      </c>
      <c r="L22" s="24" t="inlineStr">
        <is>
          <t>permission required</t>
        </is>
      </c>
      <c r="M22" s="24" t="inlineStr">
        <is>
          <t>"The ESS and the ESS-CHAD are both subject to copyright. A license is required to use the ESS or the ESS-CHAD, whether or not a license fee is payable." ATS summary: "Free of charge to individual clinicians and researchers. Organizations require a license." Licensing via Mapi Research Trust.</t>
        </is>
      </c>
      <c r="N22" s="24" t="inlineStr">
        <is>
          <t>https://epworthsleepinessscale.com/?p=58</t>
        </is>
      </c>
      <c r="O22" s="24" t="inlineStr">
        <is>
          <t>Yes</t>
        </is>
      </c>
      <c r="P22" s="24" t="inlineStr">
        <is>
          <t>https://site.thoracic.org/assemblies/srn/sleep-related-questionnaires/ess</t>
        </is>
      </c>
      <c r="Q22" s="24" t="inlineStr"/>
      <c r="R22" s="24" t="inlineStr">
        <is>
          <t>Quick energy and alertness screen; an individual practitioner can obtain a no fee licence, but one must still be requested through ePROVIDE.</t>
        </is>
      </c>
      <c r="S22" s="24" t="inlineStr"/>
      <c r="T22" s="24" t="inlineStr">
        <is>
          <t>https://site.thoracic.org/assemblies/srn/sleep-related-questionnaires/ess</t>
        </is>
      </c>
      <c r="U22" s="24" t="inlineStr">
        <is>
          <t>Candidate, licence to confirm</t>
        </is>
      </c>
      <c r="V22" s="24" t="inlineStr">
        <is>
          <t>Check: digital or platform use may need its own licence</t>
        </is>
      </c>
      <c r="W22" s="24" t="inlineStr"/>
      <c r="X22" s="24" t="inlineStr"/>
    </row>
    <row r="23">
      <c r="A23" s="24" t="n">
        <v>22</v>
      </c>
      <c r="B23" s="24" t="inlineStr">
        <is>
          <t>Executive functioning, attention and time</t>
        </is>
      </c>
      <c r="C23" s="24" t="inlineStr">
        <is>
          <t>Sleep Condition Indicator</t>
        </is>
      </c>
      <c r="D23" s="24" t="inlineStr">
        <is>
          <t>SCI</t>
        </is>
      </c>
      <c r="E23" s="24" t="inlineStr">
        <is>
          <t>Espie, Kyle, Hames, Gardani, Fleming and Cape</t>
        </is>
      </c>
      <c r="F23" s="24" t="n">
        <v>2014</v>
      </c>
      <c r="G23" s="24" t="inlineStr">
        <is>
          <t>Insomnia disorder screening against DSM-5 criteria, covering sleep pattern and daytime impact.</t>
        </is>
      </c>
      <c r="H23" s="24" t="n">
        <v>8</v>
      </c>
      <c r="I23" s="24" t="inlineStr">
        <is>
          <t>5 point scale, each item scored 0 to 4.</t>
        </is>
      </c>
      <c r="J23" s="24" t="inlineStr">
        <is>
          <t>Sleep pattern (onset, maintenance, quality, duration, nights per week), Sleep related impact (daytime functioning, performance)</t>
        </is>
      </c>
      <c r="K23" s="24" t="inlineStr">
        <is>
          <t>Sum items (0 to 32); higher indicates better sleep. Total of 16 or less meets minimum criteria for probable insomnia disorder. Divide by 3.2 for a 0 to 10 scale. 2 item SCI-02 short form correlates 0.90 with the total.</t>
        </is>
      </c>
      <c r="L23" s="24" t="inlineStr">
        <is>
          <t>free for non commercial or research only</t>
        </is>
      </c>
      <c r="M23" s="24" t="inlineStr">
        <is>
          <t>Article is CC BY-NC 3.0. The SCI copyright belongs to Sleepio Limited and the instrument is free for non commercial use under a Creative Commons Attribution Non Commercial 4.0 licence.</t>
        </is>
      </c>
      <c r="N23" s="24" t="inlineStr">
        <is>
          <t>https://bmjopen.bmj.com/content/4/3/e004183</t>
        </is>
      </c>
      <c r="O23" s="24" t="inlineStr">
        <is>
          <t>Yes</t>
        </is>
      </c>
      <c r="P23" s="24" t="inlineStr">
        <is>
          <t>https://bmjopen.bmj.com/content/4/3/e004183</t>
        </is>
      </c>
      <c r="Q23" s="24" t="inlineStr"/>
      <c r="R23" s="24" t="inlineStr">
        <is>
          <t>Modern, brief and positively scored; check whether a fee paying coaching practice falls within the non commercial licence before use.</t>
        </is>
      </c>
      <c r="S23" s="24" t="inlineStr"/>
      <c r="T23" s="24" t="inlineStr">
        <is>
          <t>https://bmjopen.bmj.com/content/4/3/e004183</t>
        </is>
      </c>
      <c r="U23" s="24" t="inlineStr">
        <is>
          <t>Candidate, licence to confirm</t>
        </is>
      </c>
      <c r="V23" s="24" t="inlineStr"/>
      <c r="W23" s="24" t="inlineStr"/>
      <c r="X23" s="24" t="inlineStr"/>
    </row>
    <row r="24">
      <c r="A24" s="24" t="n">
        <v>23</v>
      </c>
      <c r="B24" s="24" t="inlineStr">
        <is>
          <t>Executive functioning, attention and time; Clinical practice in New Zealand</t>
        </is>
      </c>
      <c r="C24" s="24" t="inlineStr">
        <is>
          <t>Adult ADHD Self-Report Screening Scale for DSM-5</t>
        </is>
      </c>
      <c r="D24" s="24" t="inlineStr">
        <is>
          <t>ASRS-5</t>
        </is>
      </c>
      <c r="E24" s="24" t="inlineStr">
        <is>
          <t>Ustun, Adler, Rudin, Faraone, Spencer, Berglund, Gruber and Kessler (WHO, Harvard Medical School, NYU)</t>
        </is>
      </c>
      <c r="F24" s="24" t="n">
        <v>2017</v>
      </c>
      <c r="G24" s="24" t="inlineStr">
        <is>
          <t>Screening for adult ADHD under DSM-5 criteria using 4 core symptom items and 2 executive dysfunction items.</t>
        </is>
      </c>
      <c r="H24" s="24" t="n">
        <v>6</v>
      </c>
      <c r="I24" s="24" t="inlineStr">
        <is>
          <t>5 point frequency scale from 0 never to 4 very often.</t>
        </is>
      </c>
      <c r="J24" s="24" t="inlineStr"/>
      <c r="K24" s="24" t="inlineStr">
        <is>
          <t>Items carry unequal weights; weighted total of 14 or more out of 24 is a positive screen. Reported sensitivity 91.4 percent and specificity 96.0 percent in the general population sample.</t>
        </is>
      </c>
      <c r="L24" s="24" t="inlineStr">
        <is>
          <t>permission required</t>
        </is>
      </c>
      <c r="M24" s="24" t="inlineStr">
        <is>
          <t>Copyright New York University and President and Fellows of Harvard College. Harvard NCS site: "Please visit this site to request permission to use the ASRS-5 6-question Screener." The ASRS v1.1 is free; the DSM-5 version requires a permission request.</t>
        </is>
      </c>
      <c r="N24" s="24" t="inlineStr">
        <is>
          <t>https://www.hcp.med.harvard.edu/ncs/asrs.php</t>
        </is>
      </c>
      <c r="O24" s="24" t="inlineStr">
        <is>
          <t>No</t>
        </is>
      </c>
      <c r="P24" s="24" t="inlineStr">
        <is>
          <t>https://www.hcp.med.harvard.edu/ncs/asrs.php</t>
        </is>
      </c>
      <c r="Q24" s="24" t="inlineStr"/>
      <c r="R24" s="24" t="inlineStr">
        <is>
          <t>Best used to prompt referral for formal assessment rather than as a coaching outcome; note that the older ASRS v1.1 is already on NovoPsych.</t>
        </is>
      </c>
      <c r="S24" s="24" t="inlineStr"/>
      <c r="T24" s="24" t="inlineStr">
        <is>
          <t>https://adhdinadults.com/adhd-screener/</t>
        </is>
      </c>
      <c r="U24" s="24" t="inlineStr">
        <is>
          <t>Candidate, licence to confirm</t>
        </is>
      </c>
      <c r="V24" s="24" t="inlineStr"/>
      <c r="W24" s="24" t="inlineStr"/>
      <c r="X24" s="24" t="inlineStr"/>
    </row>
    <row r="25">
      <c r="A25" s="24" t="n">
        <v>24</v>
      </c>
      <c r="B25" s="24" t="inlineStr">
        <is>
          <t>Executive functioning, attention and time</t>
        </is>
      </c>
      <c r="C25" s="24" t="inlineStr">
        <is>
          <t>Weiss Functional Impairment Rating Scale, Self Report</t>
        </is>
      </c>
      <c r="D25" s="24" t="inlineStr">
        <is>
          <t>WFIRS-S</t>
        </is>
      </c>
      <c r="E25" s="24" t="inlineStr">
        <is>
          <t>Weiss</t>
        </is>
      </c>
      <c r="F25" s="24" t="n">
        <v>2000</v>
      </c>
      <c r="G25" s="24" t="inlineStr">
        <is>
          <t>Functional impairment attributable to ADHD across 7 life domains over the past month.</t>
        </is>
      </c>
      <c r="H25" s="24" t="n">
        <v>69</v>
      </c>
      <c r="I25" s="24" t="inlineStr">
        <is>
          <t>4 point scale from 0 never or not at all to 3 very often or very much, with a not applicable option.</t>
        </is>
      </c>
      <c r="J25" s="24" t="inlineStr">
        <is>
          <t>Family (8), Work (11), School (10), Life Skills (12), Self Concept (5), Social (9), Risk (14)</t>
        </is>
      </c>
      <c r="K25" s="24" t="inlineStr">
        <is>
          <t>Mean item score per domain and overall (excluding not applicable); count items scored 2 or 3. Commonly used thresholds: domain mean of 1.5 or above, or 2 items scored 2 or 1 item scored 3, indicates clinically significant impairment.</t>
        </is>
      </c>
      <c r="L25" s="24" t="inlineStr">
        <is>
          <t>free with attribution (CC or stated)</t>
        </is>
      </c>
      <c r="M25" s="24" t="inlineStr">
        <is>
          <t>"This scale is copyrighted by Margaret Danielle Weiss, MD PhD. The scale can be used by clinicians and researchers free of charge and can be posted on the Internet or replicated as needed." Contact Dr Weiss before posting online.</t>
        </is>
      </c>
      <c r="N25" s="24" t="inlineStr">
        <is>
          <t>https://www.ucc.ie/en/media/support/studenthealthservice/docs/ADHD-WeissFunctionalImpairmentScale.pdf</t>
        </is>
      </c>
      <c r="O25" s="24" t="inlineStr">
        <is>
          <t>Yes</t>
        </is>
      </c>
      <c r="P25" s="24" t="inlineStr">
        <is>
          <t>https://www.ucc.ie/en/media/support/studenthealthservice/docs/ADHD-WeissFunctionalImpairmentScale.pdf</t>
        </is>
      </c>
      <c r="Q25" s="24" t="inlineStr"/>
      <c r="R25" s="24" t="inlineStr">
        <is>
          <t>Impairment rather than symptom focused, so it shows where ADHD actually costs the client and tracks real life change across coaching.</t>
        </is>
      </c>
      <c r="S25" s="24" t="inlineStr"/>
      <c r="T25" s="24" t="inlineStr">
        <is>
          <t>https://www.ucc.ie/en/media/support/studenthealthservice/docs/ADHD-WeissFunctionalImpairmentScale.pdf</t>
        </is>
      </c>
      <c r="U25" s="24" t="inlineStr">
        <is>
          <t>Candidate, client facing possible</t>
        </is>
      </c>
      <c r="V25" s="24" t="inlineStr">
        <is>
          <t>Check: digital or platform use may need its own licence</t>
        </is>
      </c>
      <c r="W25" s="24" t="inlineStr"/>
      <c r="X25" s="24" t="inlineStr">
        <is>
          <t>Added to codebook, not built (see Hub Library note)</t>
        </is>
      </c>
    </row>
    <row r="26">
      <c r="A26" s="24" t="n">
        <v>25</v>
      </c>
      <c r="B26" s="24" t="inlineStr">
        <is>
          <t>Work and motivation</t>
        </is>
      </c>
      <c r="C26" s="24" t="inlineStr">
        <is>
          <t>Utrecht Work Engagement Scale, 9 item version</t>
        </is>
      </c>
      <c r="D26" s="24" t="inlineStr">
        <is>
          <t>UWES-9</t>
        </is>
      </c>
      <c r="E26" s="24" t="inlineStr">
        <is>
          <t>Wilmar Schaufeli and Arnold Bakker, Utrecht University</t>
        </is>
      </c>
      <c r="F26" s="24" t="n">
        <v>2003</v>
      </c>
      <c r="G26" s="24" t="inlineStr">
        <is>
          <t>Work engagement as a positive, fulfilling work related state of mind characterised by vigour, dedication and absorption.</t>
        </is>
      </c>
      <c r="H26" s="24" t="n">
        <v>9</v>
      </c>
      <c r="I26" s="24" t="inlineStr">
        <is>
          <t>7 point frequency scale from 0 (never) to 6 (always, every day).</t>
        </is>
      </c>
      <c r="J26" s="24" t="inlineStr">
        <is>
          <t>Vigour (3 items), Dedication (3 items), Absorption (3 items)</t>
        </is>
      </c>
      <c r="K26" s="24" t="inlineStr">
        <is>
          <t>Subscale and total scores are item means (0 to 6); higher means greater engagement. Manual norm bands for the total: very low to 1.77, low 1.78 to 2.88, average 2.89 to 4.66, high 4.67 to 5.50, very high 5.51 and above.</t>
        </is>
      </c>
      <c r="L26" s="24" t="inlineStr">
        <is>
          <t>free for non commercial or research only</t>
        </is>
      </c>
      <c r="M26" s="24" t="inlineStr">
        <is>
          <t>Downloads page: "The use is free for academic purposes only, such as PhD theses and scientific papers. For all other purposes, a contract should be drafted." Users also agree to share data with the authors. Contact info@3ihc.nl.</t>
        </is>
      </c>
      <c r="N26" s="24" t="inlineStr">
        <is>
          <t>https://www.wilmarschaufeli.nl/downloads/</t>
        </is>
      </c>
      <c r="O26" s="24" t="inlineStr">
        <is>
          <t>Yes</t>
        </is>
      </c>
      <c r="P26" s="24" t="inlineStr">
        <is>
          <t>https://www.wilmarschaufeli.nl/publications/Schaufeli/Test%20Manuals/Test_manual_UWES_English.pdf</t>
        </is>
      </c>
      <c r="Q26" s="24" t="inlineStr"/>
      <c r="R26" s="24" t="inlineStr">
        <is>
          <t>Brief, well normed engagement snapshot; commercial coaching use needs a contract with the authors.</t>
        </is>
      </c>
      <c r="S26" s="24" t="inlineStr"/>
      <c r="T26" s="24" t="inlineStr">
        <is>
          <t>https://www.wilmarschaufeli.nl/tests/</t>
        </is>
      </c>
      <c r="U26" s="24" t="inlineStr">
        <is>
          <t>Candidate, licence to confirm</t>
        </is>
      </c>
      <c r="V26" s="24" t="inlineStr"/>
      <c r="W26" s="24" t="inlineStr"/>
      <c r="X26" s="24" t="inlineStr"/>
    </row>
    <row r="27">
      <c r="A27" s="24" t="n">
        <v>26</v>
      </c>
      <c r="B27" s="24" t="inlineStr">
        <is>
          <t>Work and motivation</t>
        </is>
      </c>
      <c r="C27" s="24" t="inlineStr">
        <is>
          <t>Utrecht Work Engagement Scale, 3 item ultra short version</t>
        </is>
      </c>
      <c r="D27" s="24" t="inlineStr">
        <is>
          <t>UWES-3</t>
        </is>
      </c>
      <c r="E27" s="24" t="inlineStr">
        <is>
          <t>Wilmar Schaufeli, Akihito Shimazu, Jari Hakanen, Marisa Salanova and Hans De Witte</t>
        </is>
      </c>
      <c r="F27" s="24" t="n">
        <v>2019</v>
      </c>
      <c r="G27" s="24" t="inlineStr">
        <is>
          <t>Overall work engagement using one item each for vigour, dedication and absorption drawn from the UWES-9.</t>
        </is>
      </c>
      <c r="H27" s="24" t="n">
        <v>3</v>
      </c>
      <c r="I27" s="24" t="inlineStr">
        <is>
          <t>7 point frequency scale from 0 (never) to 6 (always), as for the UWES-9.</t>
        </is>
      </c>
      <c r="J27" s="24" t="inlineStr">
        <is>
          <t>Single total score (one vigour, one dedication and one absorption item)</t>
        </is>
      </c>
      <c r="K27" s="24" t="inlineStr">
        <is>
          <t>Mean of the 3 items (0 to 6); higher is more engaged. Shares 86 to 92 percent of variance with the UWES-9 across five national samples; no separate cut offs published.</t>
        </is>
      </c>
      <c r="L27" s="24" t="inlineStr">
        <is>
          <t>free for non commercial or research only</t>
        </is>
      </c>
      <c r="M27" s="24" t="inlineStr">
        <is>
          <t>No separate statement; falls under the UWES conditions on the author site: free for academic purposes, contract required for all other purposes.</t>
        </is>
      </c>
      <c r="N27" s="24" t="inlineStr">
        <is>
          <t>https://www.wilmarschaufeli.nl/downloads/</t>
        </is>
      </c>
      <c r="O27" s="24" t="inlineStr">
        <is>
          <t>Yes</t>
        </is>
      </c>
      <c r="P27" s="24" t="inlineStr">
        <is>
          <t>https://lirias.kuleuven.be/bitstream/123456789/613630/4/uwes3.pdf</t>
        </is>
      </c>
      <c r="Q27" s="24" t="inlineStr"/>
      <c r="R27" s="24" t="inlineStr">
        <is>
          <t>Useful as a repeated pulse measure between sessions; too short for subscale feedback.</t>
        </is>
      </c>
      <c r="S27" s="24" t="inlineStr"/>
      <c r="T27" s="24" t="inlineStr">
        <is>
          <t>https://lirias.kuleuven.be/bitstream/123456789/613630/4/uwes3.pdf</t>
        </is>
      </c>
      <c r="U27" s="24" t="inlineStr">
        <is>
          <t>Candidate, licence to confirm</t>
        </is>
      </c>
      <c r="V27" s="24" t="inlineStr"/>
      <c r="W27" s="24" t="inlineStr"/>
      <c r="X27" s="24" t="inlineStr"/>
    </row>
    <row r="28">
      <c r="A28" s="24" t="n">
        <v>27</v>
      </c>
      <c r="B28" s="24" t="inlineStr">
        <is>
          <t>Work and motivation</t>
        </is>
      </c>
      <c r="C28" s="24" t="inlineStr">
        <is>
          <t>Copenhagen Burnout Inventory</t>
        </is>
      </c>
      <c r="D28" s="24" t="inlineStr">
        <is>
          <t>CBI</t>
        </is>
      </c>
      <c r="E28" s="24" t="inlineStr">
        <is>
          <t>Tage Kristensen, Marianne Borritz, Ebbe Villadsen and Karl Christensen, National Research Centre for the Working Environment, Denmark</t>
        </is>
      </c>
      <c r="F28" s="24" t="n">
        <v>2005</v>
      </c>
      <c r="G28" s="24" t="inlineStr">
        <is>
          <t>Burnout as fatigue and exhaustion attributed to three domains: life in general, work, and work with clients.</t>
        </is>
      </c>
      <c r="H28" s="24" t="n">
        <v>19</v>
      </c>
      <c r="I28" s="24" t="inlineStr">
        <is>
          <t>5 point frequency scale (always, often, sometimes, seldom, never or almost never) or 5 point degree scale (to a very high degree to a very low degree) depending on item.</t>
        </is>
      </c>
      <c r="J28" s="24" t="inlineStr">
        <is>
          <t>Personal burnout (6 items), Work related burnout (7 items), Client related burnout (6 items)</t>
        </is>
      </c>
      <c r="K28" s="24" t="inlineStr">
        <is>
          <t>Responses scored 100, 75, 50, 25, 0; subscale score is the item mean (0 to 100), one work item reversed. Higher is more burnout. NFA gives no formal cut off; PUMA reported 50 or more as high, and later studies use 50 moderate, 75 high, 100 severe.</t>
        </is>
      </c>
      <c r="L28" s="24" t="inlineStr">
        <is>
          <t>free with attribution (CC or stated)</t>
        </is>
      </c>
      <c r="M28" s="24" t="inlineStr">
        <is>
          <t>NFA: the CBI "may be used freely for non-commercial and commercial purposes, provided that the following source is clearly cited" (Borritz et al., 2006, Scandinavian Journal of Public Health).</t>
        </is>
      </c>
      <c r="N28" s="24" t="inlineStr">
        <is>
          <t>https://www.nfa.dk/vaerktoejer/spoergeskemaer/spoergeskema-til-maaling-af-udbraendthed-cbi/copenhagen-burnout-inventory-cbi</t>
        </is>
      </c>
      <c r="O28" s="24" t="inlineStr">
        <is>
          <t>Yes</t>
        </is>
      </c>
      <c r="P28" s="24" t="inlineStr">
        <is>
          <t>https://nfa.dk/media/hl5nbers/cbi-first-edition.pdf</t>
        </is>
      </c>
      <c r="Q28" s="24" t="inlineStr"/>
      <c r="R28" s="24" t="inlineStr">
        <is>
          <t>Strong choice for coaching: free for commercial use with citation, and the personal versus work split helps locate the source of exhaustion.</t>
        </is>
      </c>
      <c r="S28" s="24" t="inlineStr"/>
      <c r="T28" s="24" t="inlineStr">
        <is>
          <t>https://nfa.dk/media/hl5nbers/cbi-first-edition.pdf</t>
        </is>
      </c>
      <c r="U28" s="24" t="inlineStr">
        <is>
          <t>Candidate, client facing possible</t>
        </is>
      </c>
      <c r="V28" s="24" t="inlineStr"/>
      <c r="W28" s="24" t="inlineStr"/>
      <c r="X28" s="24" t="inlineStr">
        <is>
          <t>Added (yes, cleared)</t>
        </is>
      </c>
    </row>
    <row r="29">
      <c r="A29" s="24" t="n">
        <v>28</v>
      </c>
      <c r="B29" s="24" t="inlineStr">
        <is>
          <t>Work and motivation</t>
        </is>
      </c>
      <c r="C29" s="24" t="inlineStr">
        <is>
          <t>Burnout Assessment Tool (BAT-23 and BAT-12)</t>
        </is>
      </c>
      <c r="D29" s="24" t="inlineStr">
        <is>
          <t>BAT</t>
        </is>
      </c>
      <c r="E29" s="24" t="inlineStr">
        <is>
          <t>Wilmar Schaufeli, Hans De Witte and Steffie Desart, KU Leuven</t>
        </is>
      </c>
      <c r="F29" s="24" t="n">
        <v>2020</v>
      </c>
      <c r="G29" s="24" t="inlineStr">
        <is>
          <t>Burnout as a work related syndrome of exhaustion, mental distance, emotional impairment and cognitive impairment, plus secondary psychological and psychosomatic complaints.</t>
        </is>
      </c>
      <c r="H29" s="24" t="n">
        <v>23</v>
      </c>
      <c r="I29" s="24" t="inlineStr">
        <is>
          <t>5 point frequency scale from 1 (never) to 5 (always).</t>
        </is>
      </c>
      <c r="J29" s="24" t="inlineStr">
        <is>
          <t>Exhaustion, Mental distance, Cognitive impairment, Emotional impairment, Secondary symptoms (psychological distress and psychosomatic complaints, combined)</t>
        </is>
      </c>
      <c r="K29" s="24" t="inlineStr">
        <is>
          <t>Scale and total scores are item means (1 to 5); higher is worse. Core total cut offs (Flemish norms): BAT-23 green to 2.58, orange 2.59 to 3.01, red 3.02 and above; BAT-12 green to 2.53, orange 2.54 to 2.95, red 2.96 and above. Manual recommends the BAT-12 total for individual use.</t>
        </is>
      </c>
      <c r="L29" s="24" t="inlineStr">
        <is>
          <t>free for non commercial or research only</t>
        </is>
      </c>
      <c r="M29" s="24" t="inlineStr">
        <is>
          <t>Manual: "All rights reserved. No part of this publication may be reproduced ... without prior written permission of the authors." Author site describes the BAT as a "freely available instrument"; the BAT website states it is free for non commercial use and that commercial use requires permission.</t>
        </is>
      </c>
      <c r="N29" s="24" t="inlineStr">
        <is>
          <t>https://www.anzsom.org.au/static/uploads/files/journal-club-2022-user-manual-bat-version-2-0-wfyrofkargol.pdf</t>
        </is>
      </c>
      <c r="O29" s="24" t="inlineStr">
        <is>
          <t>Yes</t>
        </is>
      </c>
      <c r="P29" s="24" t="inlineStr">
        <is>
          <t>https://www.utwente.nl/en/p-nut/events/PhD-EngDDays/PhD-EngDDay2020/Program/bat-english.pdf</t>
        </is>
      </c>
      <c r="Q29" s="24" t="inlineStr"/>
      <c r="R29" s="24" t="inlineStr">
        <is>
          <t>Modern burnout measure with traffic light cut offs; confirm commercial permission via burnoutassessmenttool.be before fee based coaching use.</t>
        </is>
      </c>
      <c r="S29" s="24" t="inlineStr"/>
      <c r="T29" s="24" t="inlineStr">
        <is>
          <t>https://www.wilmarschaufeli.nl/?p=2551</t>
        </is>
      </c>
      <c r="U29" s="24" t="inlineStr">
        <is>
          <t>Candidate, licence to confirm</t>
        </is>
      </c>
      <c r="V29" s="24" t="inlineStr"/>
      <c r="W29" s="24" t="inlineStr"/>
      <c r="X29" s="24" t="inlineStr"/>
    </row>
    <row r="30">
      <c r="A30" s="24" t="n">
        <v>29</v>
      </c>
      <c r="B30" s="24" t="inlineStr">
        <is>
          <t>Work and motivation</t>
        </is>
      </c>
      <c r="C30" s="24" t="inlineStr">
        <is>
          <t>Brayfield Rothe Index of Job Satisfaction (with 5 item abridged form)</t>
        </is>
      </c>
      <c r="D30" s="24" t="inlineStr">
        <is>
          <t>BRJSI</t>
        </is>
      </c>
      <c r="E30" s="24" t="inlineStr">
        <is>
          <t>Arthur Brayfield and Harold Rothe; 5 item abridgement by Judge, Locke, Durham and Kluger</t>
        </is>
      </c>
      <c r="F30" s="24" t="n">
        <v>1951</v>
      </c>
      <c r="G30" s="24" t="inlineStr">
        <is>
          <t>Overall affective job satisfaction.</t>
        </is>
      </c>
      <c r="H30" s="24" t="n">
        <v>18</v>
      </c>
      <c r="I30" s="24" t="inlineStr">
        <is>
          <t>5 point agreement scale from strongly disagree to strongly agree (original used 5 options per statement); the 5 item abridged form uses the same agreement format.</t>
        </is>
      </c>
      <c r="J30" s="24" t="inlineStr">
        <is>
          <t>Single overall job satisfaction score</t>
        </is>
      </c>
      <c r="K30" s="24" t="inlineStr">
        <is>
          <t>Sum or mean after reversing negatively worded items; higher is more satisfied. No clinical cut offs; interpret against sample norms.</t>
        </is>
      </c>
      <c r="L30" s="24" t="inlineStr">
        <is>
          <t>not stated</t>
        </is>
      </c>
      <c r="M30" s="24" t="inlineStr">
        <is>
          <t>No licence or permission statement found; published in Journal of Applied Psychology 1951 and conventionally reproduced freely in research.</t>
        </is>
      </c>
      <c r="N30" s="24" t="inlineStr">
        <is>
          <t>https://verdi.cs.ucl.ac.uk/constructDB/publications/brayfield-index-1951.html</t>
        </is>
      </c>
      <c r="O30" s="24" t="inlineStr">
        <is>
          <t>No</t>
        </is>
      </c>
      <c r="P30" s="24" t="inlineStr">
        <is>
          <t>https://verdi.cs.ucl.ac.uk/constructDB/publications/brayfield-index-1951.html</t>
        </is>
      </c>
      <c r="Q30" s="24" t="inlineStr"/>
      <c r="R30" s="24" t="inlineStr">
        <is>
          <t>Quick global satisfaction check; the 5 item version is practical for intake, though the item text sits in paywalled journals.</t>
        </is>
      </c>
      <c r="S30" s="24" t="inlineStr"/>
      <c r="T30" s="24" t="inlineStr">
        <is>
          <t>https://verdi.cs.ucl.ac.uk/constructDB/publications/brayfield-index-1951.html</t>
        </is>
      </c>
      <c r="U30" s="24" t="inlineStr">
        <is>
          <t>Candidate, licence to confirm</t>
        </is>
      </c>
      <c r="V30" s="24" t="inlineStr"/>
      <c r="W30" s="24" t="inlineStr"/>
      <c r="X30" s="24" t="inlineStr"/>
    </row>
    <row r="31">
      <c r="A31" s="24" t="n">
        <v>30</v>
      </c>
      <c r="B31" s="24" t="inlineStr">
        <is>
          <t>Work and motivation</t>
        </is>
      </c>
      <c r="C31" s="24" t="inlineStr">
        <is>
          <t>Brief Index of Affective Job Satisfaction</t>
        </is>
      </c>
      <c r="D31" s="24" t="inlineStr">
        <is>
          <t>BIAJS</t>
        </is>
      </c>
      <c r="E31" s="24" t="inlineStr">
        <is>
          <t>Edmund Thompson and Florence Phua</t>
        </is>
      </c>
      <c r="F31" s="24" t="n">
        <v>2012</v>
      </c>
      <c r="G31" s="24" t="inlineStr">
        <is>
          <t>Purely affective (feeling based) overall job satisfaction, free of cognitive or facet content.</t>
        </is>
      </c>
      <c r="H31" s="24" t="n">
        <v>7</v>
      </c>
      <c r="I31" s="24" t="inlineStr">
        <is>
          <t>5 point agreement scale from 1 (strongly disagree) to 5 (strongly agree).</t>
        </is>
      </c>
      <c r="J31" s="24" t="inlineStr">
        <is>
          <t>Affective job satisfaction (4 scored items; 3 distracter items not scored)</t>
        </is>
      </c>
      <c r="K31" s="24" t="inlineStr">
        <is>
          <t>Mean of the 4 core items (1 to 5); higher is more satisfied. No published cut offs.</t>
        </is>
      </c>
      <c r="L31" s="24" t="inlineStr">
        <is>
          <t>not stated</t>
        </is>
      </c>
      <c r="M31" s="24" t="inlineStr">
        <is>
          <t>No licence statement for the instrument itself; the English items are reproduced in an open access Frontiers in Psychology article "distributed under the terms of the Creative Commons Attribution License (CC BY)".</t>
        </is>
      </c>
      <c r="N31" s="24" t="inlineStr">
        <is>
          <t>https://www.frontiersin.org/articles/10.3389/fpsyg.2018.00930/full</t>
        </is>
      </c>
      <c r="O31" s="24" t="inlineStr">
        <is>
          <t>Yes</t>
        </is>
      </c>
      <c r="P31" s="24" t="inlineStr">
        <is>
          <t>https://www.frontiersin.org/articles/10.3389/fpsyg.2018.00930/full</t>
        </is>
      </c>
      <c r="Q31" s="24" t="inlineStr"/>
      <c r="R31" s="24" t="inlineStr">
        <is>
          <t>Shortest validated satisfaction index; good for tracking mood about work across a coaching engagement.</t>
        </is>
      </c>
      <c r="S31" s="24" t="inlineStr"/>
      <c r="T31" s="24" t="inlineStr">
        <is>
          <t>https://centaur.reading.ac.uk/26022/</t>
        </is>
      </c>
      <c r="U31" s="24" t="inlineStr">
        <is>
          <t>Candidate, licence to confirm</t>
        </is>
      </c>
      <c r="V31" s="24" t="inlineStr"/>
      <c r="W31" s="24" t="inlineStr"/>
      <c r="X31" s="24" t="inlineStr"/>
    </row>
    <row r="32">
      <c r="A32" s="24" t="n">
        <v>31</v>
      </c>
      <c r="B32" s="24" t="inlineStr">
        <is>
          <t>Work and motivation</t>
        </is>
      </c>
      <c r="C32" s="24" t="inlineStr">
        <is>
          <t>Work Design Questionnaire</t>
        </is>
      </c>
      <c r="D32" s="24" t="inlineStr">
        <is>
          <t>WDQ</t>
        </is>
      </c>
      <c r="E32" s="24" t="inlineStr">
        <is>
          <t>Frederick Morgeson and Stephen Humphrey</t>
        </is>
      </c>
      <c r="F32" s="24" t="n">
        <v>2006</v>
      </c>
      <c r="G32" s="24" t="inlineStr">
        <is>
          <t>Comprehensive work characteristics: task, knowledge, social and work context characteristics of a job.</t>
        </is>
      </c>
      <c r="H32" s="24" t="n">
        <v>77</v>
      </c>
      <c r="I32" s="24" t="inlineStr">
        <is>
          <t>5 point agreement scale from 1 (strongly disagree) to 5 (strongly agree).</t>
        </is>
      </c>
      <c r="J32" s="24" t="inlineStr">
        <is>
          <t>Task characteristics (autonomy, task variety, significance, identity, feedback from job), Knowledge characteristics (complexity, information processing, problem solving, skill variety, specialisation), Social characteristics (social support, interdependence, interaction outside organisation, feedback from others), Work context (ergonomics, physical demands, work conditions, equipment use)</t>
        </is>
      </c>
      <c r="K32" s="24" t="inlineStr">
        <is>
          <t>21 scale scores as item means (1 to 5); no total score and no cut offs. Profiles are interpreted scale by scale.</t>
        </is>
      </c>
      <c r="L32" s="24" t="inlineStr">
        <is>
          <t>not stated</t>
        </is>
      </c>
      <c r="M32" s="24" t="inlineStr">
        <is>
          <t>No licence statement found on the international WDQ site; items are in the appendix of the 2006 Journal of Applied Psychology article and the author site offers the WDQ for research use. A German adaptation is sold by Hogrefe.</t>
        </is>
      </c>
      <c r="N32" s="24" t="inlineStr">
        <is>
          <t>https://www.socialpsychology.uni-frankfurt.de/57622667/WDQ_Homepage</t>
        </is>
      </c>
      <c r="O32" s="24" t="inlineStr">
        <is>
          <t>No</t>
        </is>
      </c>
      <c r="P32" s="24" t="inlineStr">
        <is>
          <t>https://www.socialpsychology.uni-frankfurt.de/57622667/WDQ_Homepage</t>
        </is>
      </c>
      <c r="Q32" s="24" t="inlineStr"/>
      <c r="R32" s="24" t="inlineStr">
        <is>
          <t>Excellent for job redesign conversations; long, and commercial use should be cleared with Morgeson.</t>
        </is>
      </c>
      <c r="S32" s="24" t="inlineStr"/>
      <c r="T32" s="24" t="inlineStr">
        <is>
          <t>https://link.springer.com/article/10.1186/s40359-022-00922-5</t>
        </is>
      </c>
      <c r="U32" s="24" t="inlineStr">
        <is>
          <t>Candidate, licence to confirm</t>
        </is>
      </c>
      <c r="V32" s="24" t="inlineStr"/>
      <c r="W32" s="24" t="inlineStr"/>
      <c r="X32" s="24" t="inlineStr"/>
    </row>
    <row r="33">
      <c r="A33" s="24" t="n">
        <v>32</v>
      </c>
      <c r="B33" s="24" t="inlineStr">
        <is>
          <t>Work and motivation</t>
        </is>
      </c>
      <c r="C33" s="24" t="inlineStr">
        <is>
          <t>Job Diagnostic Survey (revised 15 item core job characteristics form)</t>
        </is>
      </c>
      <c r="D33" s="24" t="inlineStr">
        <is>
          <t>JDS</t>
        </is>
      </c>
      <c r="E33" s="24" t="inlineStr">
        <is>
          <t>J. Richard Hackman and Greg Oldham; revision by Idaszak and Drasgow</t>
        </is>
      </c>
      <c r="F33" s="24" t="n">
        <v>1974</v>
      </c>
      <c r="G33" s="24" t="inlineStr">
        <is>
          <t>Core job characteristics from the Job Characteristics Model: skill variety, task identity, task significance, autonomy and feedback.</t>
        </is>
      </c>
      <c r="H33" s="24" t="n">
        <v>15</v>
      </c>
      <c r="I33" s="24" t="inlineStr">
        <is>
          <t>7 point scales; the original mixes a 1 to 7 descriptive format with 1 (very inaccurate) to 7 (very accurate) agreement items.</t>
        </is>
      </c>
      <c r="J33" s="24" t="inlineStr">
        <is>
          <t>Skill variety, Task identity, Task significance, Autonomy, Feedback from the job</t>
        </is>
      </c>
      <c r="K33" s="24" t="inlineStr">
        <is>
          <t>Scale means (1 to 7). Motivating Potential Score = mean of variety, identity and significance, multiplied by autonomy and by feedback (range 1 to 343). Full JDS adds psychological states, satisfaction and growth need strength scales.</t>
        </is>
      </c>
      <c r="L33" s="24" t="inlineStr">
        <is>
          <t>public domain</t>
        </is>
      </c>
      <c r="M33" s="24" t="inlineStr">
        <is>
          <t>Developed under US Office of Naval Research funding; DTIC technical report AD0779828 is marked "Approved For Public Release; Distribution Is Unlimited."</t>
        </is>
      </c>
      <c r="N33" s="24" t="inlineStr">
        <is>
          <t>https://apps.dtic.mil/sti/html/tr/AD0779828/index.html</t>
        </is>
      </c>
      <c r="O33" s="24" t="inlineStr">
        <is>
          <t>Yes</t>
        </is>
      </c>
      <c r="P33" s="24" t="inlineStr">
        <is>
          <t>https://apps.dtic.mil/sti/tr/pdf/AD0779828.pdf</t>
        </is>
      </c>
      <c r="Q33" s="24" t="inlineStr"/>
      <c r="R33" s="24" t="inlineStr">
        <is>
          <t>Classic, freely reproducible diagnostic of how motivating a role is; dated wording but still useful for role shaping conversations.</t>
        </is>
      </c>
      <c r="S33" s="24" t="inlineStr"/>
      <c r="T33" s="24" t="inlineStr">
        <is>
          <t>https://paulspector.com/assessments/assessment-archive/job-environment/job-diagnostic-survey-jds/</t>
        </is>
      </c>
      <c r="U33" s="24" t="inlineStr">
        <is>
          <t>Candidate, client facing possible</t>
        </is>
      </c>
      <c r="V33" s="24" t="inlineStr"/>
      <c r="W33" s="24" t="inlineStr"/>
      <c r="X33" s="24" t="inlineStr">
        <is>
          <t>Added (yes, cleared)</t>
        </is>
      </c>
    </row>
    <row r="34">
      <c r="A34" s="24" t="n">
        <v>33</v>
      </c>
      <c r="B34" s="24" t="inlineStr">
        <is>
          <t>Work and motivation</t>
        </is>
      </c>
      <c r="C34" s="24" t="inlineStr">
        <is>
          <t>Compound PsyCap Scale</t>
        </is>
      </c>
      <c r="D34" s="24" t="inlineStr">
        <is>
          <t>CPC-12</t>
        </is>
      </c>
      <c r="E34" s="24" t="inlineStr">
        <is>
          <t>Timo Lorenz, Clemens Beer, Jan Pütz and Kathrin Heinitz, Freie Universität Berlin</t>
        </is>
      </c>
      <c r="F34" s="24" t="n">
        <v>2016</v>
      </c>
      <c r="G34" s="24" t="inlineStr">
        <is>
          <t>Psychological capital: hope, optimism, resilience and self efficacy, as a free alternative to the commercial PCQ.</t>
        </is>
      </c>
      <c r="H34" s="24" t="n">
        <v>12</v>
      </c>
      <c r="I34" s="24" t="inlineStr">
        <is>
          <t>6 point agreement scale from 1 (strongly disagree) to 6 (strongly agree).</t>
        </is>
      </c>
      <c r="J34" s="24" t="inlineStr">
        <is>
          <t>Hope (3 items), Optimism (3 items), Resilience (3 items), Self efficacy (3 items)</t>
        </is>
      </c>
      <c r="K34" s="24" t="inlineStr">
        <is>
          <t>Subscale and total means (1 to 6); higher is more PsyCap. Authors note norms have not been established; no cut offs.</t>
        </is>
      </c>
      <c r="L34" s="24" t="inlineStr">
        <is>
          <t>free with attribution (CC or stated)</t>
        </is>
      </c>
      <c r="M34" s="24" t="inlineStr">
        <is>
          <t>PLOS ONE: "This is an open access article distributed under the terms of the Creative Commons Attribution License, which permits unrestricted use, distribution, and reproduction in any medium, provided the original author and source are credited."</t>
        </is>
      </c>
      <c r="N34" s="24" t="inlineStr">
        <is>
          <t>https://journals.plos.org/plosone/article?id=10.1371/journal.pone.0152892</t>
        </is>
      </c>
      <c r="O34" s="24" t="inlineStr">
        <is>
          <t>Yes</t>
        </is>
      </c>
      <c r="P34" s="24" t="inlineStr">
        <is>
          <t>https://journals.plos.org/plosone/article?id=10.1371/journal.pone.0152892</t>
        </is>
      </c>
      <c r="Q34" s="24" t="inlineStr"/>
      <c r="R34" s="24" t="inlineStr">
        <is>
          <t>Explicitly built as an open PsyCap measure; items appear in Figure 1 and in the open access CPC-12R revision (Dudasova et al., 2021).</t>
        </is>
      </c>
      <c r="S34" s="24" t="inlineStr"/>
      <c r="T34" s="24" t="inlineStr">
        <is>
          <t>https://journals.plos.org/plosone/article?id=10.1371/journal.pone.0152892</t>
        </is>
      </c>
      <c r="U34" s="24" t="inlineStr">
        <is>
          <t>Candidate, client facing possible</t>
        </is>
      </c>
      <c r="V34" s="24" t="inlineStr"/>
      <c r="W34" s="24" t="inlineStr"/>
      <c r="X34" s="24" t="inlineStr">
        <is>
          <t>Added (yes, cleared)</t>
        </is>
      </c>
    </row>
    <row r="35">
      <c r="A35" s="24" t="n">
        <v>34</v>
      </c>
      <c r="B35" s="24" t="inlineStr">
        <is>
          <t>Work and motivation</t>
        </is>
      </c>
      <c r="C35" s="24" t="inlineStr">
        <is>
          <t>Clance Impostor Phenomenon Scale</t>
        </is>
      </c>
      <c r="D35" s="24" t="inlineStr">
        <is>
          <t>CIPS</t>
        </is>
      </c>
      <c r="E35" s="24" t="inlineStr">
        <is>
          <t>Pauline Rose Clance</t>
        </is>
      </c>
      <c r="F35" s="24" t="n">
        <v>1985</v>
      </c>
      <c r="G35" s="24" t="inlineStr">
        <is>
          <t>Impostor phenomenon: fear of evaluation, fear of not repeating success, and feeling less capable than others believe.</t>
        </is>
      </c>
      <c r="H35" s="24" t="n">
        <v>20</v>
      </c>
      <c r="I35" s="24" t="inlineStr">
        <is>
          <t>5 point scale from 1 (not at all true) to 5 (very true).</t>
        </is>
      </c>
      <c r="J35" s="24" t="inlineStr">
        <is>
          <t>Single total score (factor studies suggest fake, discount and luck facets)</t>
        </is>
      </c>
      <c r="K35" s="24" t="inlineStr">
        <is>
          <t>Sum of 20 items (20 to 100). Bands: 40 or less few impostor characteristics; 41 to 60 moderate; 61 to 80 frequent; above 80 intense. Research cut off commonly 62.</t>
        </is>
      </c>
      <c r="L35" s="24" t="inlineStr">
        <is>
          <t>permission required</t>
        </is>
      </c>
      <c r="M35" s="24" t="inlineStr">
        <is>
          <t>"Copyright 1985 by Pauline Rose Clance, Ph.D., ABPP." "Do not reproduce without permission from Pauline Rose Clance" (drpaulinerose@comcast.net). Her site asks users to request permission and allows free use for research and non profit purposes.</t>
        </is>
      </c>
      <c r="N35" s="24" t="inlineStr">
        <is>
          <t>https://paulineroseclance.com/impostor_phenomenon.html</t>
        </is>
      </c>
      <c r="O35" s="24" t="inlineStr">
        <is>
          <t>Yes</t>
        </is>
      </c>
      <c r="P35" s="24" t="inlineStr">
        <is>
          <t>https://paulineroseclance.com/pdf/IPTestandscoring.pdf</t>
        </is>
      </c>
      <c r="Q35" s="24" t="inlineStr"/>
      <c r="R35" s="24" t="inlineStr">
        <is>
          <t>The reference impostor measure with clear feedback bands; write to Dr Clance for permission before fee based coaching use.</t>
        </is>
      </c>
      <c r="S35" s="24" t="inlineStr"/>
      <c r="T35" s="24" t="inlineStr">
        <is>
          <t>https://pressbooks.umn.edu/app/uploads/sites/64/2020/06/Imposter-Syndrome-evaluation.pdf</t>
        </is>
      </c>
      <c r="U35" s="24" t="inlineStr">
        <is>
          <t>Sarah only if used (screener; never summarised to the client)</t>
        </is>
      </c>
      <c r="V35" s="24" t="inlineStr"/>
      <c r="W35" s="24" t="inlineStr"/>
      <c r="X35" s="24" t="inlineStr"/>
    </row>
    <row r="36">
      <c r="A36" s="24" t="n">
        <v>35</v>
      </c>
      <c r="B36" s="24" t="inlineStr">
        <is>
          <t>Work and motivation</t>
        </is>
      </c>
      <c r="C36" s="24" t="inlineStr">
        <is>
          <t>Leary Impostorism Scale</t>
        </is>
      </c>
      <c r="D36" s="24" t="inlineStr">
        <is>
          <t>LIS</t>
        </is>
      </c>
      <c r="E36" s="24" t="inlineStr">
        <is>
          <t>Mark Leary, Katharine Patton, Amy Orlando and Wendy Wagoner Funk</t>
        </is>
      </c>
      <c r="F36" s="24" t="n">
        <v>2000</v>
      </c>
      <c r="G36" s="24" t="inlineStr">
        <is>
          <t>Impostorism as the belief that others overestimate one's abilities and that one is a fraud.</t>
        </is>
      </c>
      <c r="H36" s="24" t="n">
        <v>7</v>
      </c>
      <c r="I36" s="24" t="inlineStr">
        <is>
          <t>5 point scale from 1 (not at all characteristic of me) to 5 (extremely characteristic of me).</t>
        </is>
      </c>
      <c r="J36" s="24" t="inlineStr">
        <is>
          <t>Single total score</t>
        </is>
      </c>
      <c r="K36" s="24" t="inlineStr">
        <is>
          <t>Sum (7 to 35) or mean; higher is more impostorism. No published cut offs.</t>
        </is>
      </c>
      <c r="L36" s="24" t="inlineStr">
        <is>
          <t>not stated</t>
        </is>
      </c>
      <c r="M36" s="24" t="inlineStr">
        <is>
          <t>No permission or copyright statement on the author's lab page or in the Journal of Personality article; the items are posted on Mark Leary's Duke University lab site.</t>
        </is>
      </c>
      <c r="N36" s="24" t="inlineStr">
        <is>
          <t>https://sites.duke.edu/leary/files/2019/05/Impostorism.pdf</t>
        </is>
      </c>
      <c r="O36" s="24" t="inlineStr">
        <is>
          <t>Yes</t>
        </is>
      </c>
      <c r="P36" s="24" t="inlineStr">
        <is>
          <t>https://sites.duke.edu/leary/files/2019/05/Impostorism.pdf</t>
        </is>
      </c>
      <c r="Q36" s="24" t="inlineStr"/>
      <c r="R36" s="24" t="inlineStr">
        <is>
          <t>Shortest impostor measure and freely posted by the author; good when the CIPS feels too long.</t>
        </is>
      </c>
      <c r="S36" s="24" t="inlineStr"/>
      <c r="T36" s="24" t="inlineStr">
        <is>
          <t>https://sites.duke.edu/leary/files/2019/05/Impostorism.pdf</t>
        </is>
      </c>
      <c r="U36" s="24" t="inlineStr">
        <is>
          <t>Candidate, licence to confirm</t>
        </is>
      </c>
      <c r="V36" s="24" t="inlineStr"/>
      <c r="W36" s="24" t="inlineStr"/>
      <c r="X36" s="24" t="inlineStr"/>
    </row>
    <row r="37">
      <c r="A37" s="24" t="n">
        <v>36</v>
      </c>
      <c r="B37" s="24" t="inlineStr">
        <is>
          <t>Work and motivation</t>
        </is>
      </c>
      <c r="C37" s="24" t="inlineStr">
        <is>
          <t>Short Grit Scale</t>
        </is>
      </c>
      <c r="D37" s="24" t="inlineStr">
        <is>
          <t>Grit-S</t>
        </is>
      </c>
      <c r="E37" s="24" t="inlineStr">
        <is>
          <t>Angela Duckworth and Patrick Quinn</t>
        </is>
      </c>
      <c r="F37" s="24" t="n">
        <v>2009</v>
      </c>
      <c r="G37" s="24" t="inlineStr">
        <is>
          <t>Grit: perseverance and passion for long term goals.</t>
        </is>
      </c>
      <c r="H37" s="24" t="n">
        <v>8</v>
      </c>
      <c r="I37" s="24" t="inlineStr">
        <is>
          <t>5 point scale from 1 (not like me at all) to 5 (very much like me).</t>
        </is>
      </c>
      <c r="J37" s="24" t="inlineStr">
        <is>
          <t>Consistency of interest (4 items, reverse scored), Perseverance of effort (4 items)</t>
        </is>
      </c>
      <c r="K37" s="24" t="inlineStr">
        <is>
          <t>Reverse the consistency items, sum all 8 and divide by 8; score 1 (not gritty) to 5 (extremely gritty). No cut offs; norms by age in Duckworth's publications.</t>
        </is>
      </c>
      <c r="L37" s="24" t="inlineStr">
        <is>
          <t>free for non commercial or research only</t>
        </is>
      </c>
      <c r="M37" s="24" t="inlineStr">
        <is>
          <t>angeladuckworth.com: "Researchers and educators are welcome to use the scales developed by Angela's lab for non-commercial purposes." "They cannot be published or used for commercial purposes or wide public distribution."</t>
        </is>
      </c>
      <c r="N37" s="24" t="inlineStr">
        <is>
          <t>https://www.angeladuckworth.com/measures</t>
        </is>
      </c>
      <c r="O37" s="24" t="inlineStr">
        <is>
          <t>Yes</t>
        </is>
      </c>
      <c r="P37" s="24" t="inlineStr">
        <is>
          <t>https://dlab.sauder.ubc.ca/sjdm/dmidi/files/Grit-8-item.pdf</t>
        </is>
      </c>
      <c r="Q37" s="24" t="inlineStr"/>
      <c r="R37" s="24" t="inlineStr">
        <is>
          <t>Popular and quick, but the stated terms exclude commercial use, so paid coaching would need Duckworth's permission.</t>
        </is>
      </c>
      <c r="S37" s="24" t="inlineStr"/>
      <c r="T37" s="24" t="inlineStr">
        <is>
          <t>https://www.angeladuckworth.com/measures</t>
        </is>
      </c>
      <c r="U37" s="24" t="inlineStr">
        <is>
          <t>Candidate, licence to confirm</t>
        </is>
      </c>
      <c r="V37" s="24" t="inlineStr"/>
      <c r="W37" s="24" t="inlineStr"/>
      <c r="X37" s="24" t="inlineStr"/>
    </row>
    <row r="38">
      <c r="A38" s="24" t="n">
        <v>37</v>
      </c>
      <c r="B38" s="24" t="inlineStr">
        <is>
          <t>Work and motivation</t>
        </is>
      </c>
      <c r="C38" s="24" t="inlineStr">
        <is>
          <t>Implicit Theories Scale (Theories of Intelligence and Kind of Person versions)</t>
        </is>
      </c>
      <c r="D38" s="24" t="inlineStr">
        <is>
          <t>ITIS</t>
        </is>
      </c>
      <c r="E38" s="24" t="inlineStr">
        <is>
          <t>Carol Dweck (with Chiu and Hong)</t>
        </is>
      </c>
      <c r="F38" s="24" t="n">
        <v>1999</v>
      </c>
      <c r="G38" s="24" t="inlineStr">
        <is>
          <t>Fixed versus growth mindset: beliefs about whether intelligence or personal character is malleable.</t>
        </is>
      </c>
      <c r="H38" s="24" t="n">
        <v>8</v>
      </c>
      <c r="I38" s="24" t="inlineStr">
        <is>
          <t>6 point agreement scale from 1 (strongly agree) to 6 (strongly disagree).</t>
        </is>
      </c>
      <c r="J38" s="24" t="inlineStr">
        <is>
          <t>Entity (fixed) beliefs (4 items), Incremental (growth) beliefs (4 items, reverse scored)</t>
        </is>
      </c>
      <c r="K38" s="24" t="inlineStr">
        <is>
          <t>Reverse the growth items and average all items; higher means a stronger growth mindset. Dweck's 3 item entity only form is also used. No cut offs.</t>
        </is>
      </c>
      <c r="L38" s="24" t="inlineStr">
        <is>
          <t>not stated</t>
        </is>
      </c>
      <c r="M38" s="24" t="inlineStr">
        <is>
          <t>No licence statement found; published in Dweck (1999) Self-Theories and Dweck, Chiu and Hong (1995), and reproduced on practitioner toolkits such as SPARQtools without stated terms.</t>
        </is>
      </c>
      <c r="N38" s="24" t="inlineStr">
        <is>
          <t>https://sparqtools.org/wp-content/uploads/2022/10/Kind-of-Person-Implicit-Theory-Scale.pdf</t>
        </is>
      </c>
      <c r="O38" s="24" t="inlineStr">
        <is>
          <t>Yes</t>
        </is>
      </c>
      <c r="P38" s="24" t="inlineStr">
        <is>
          <t>https://sparqtools.org/wp-content/uploads/2022/10/Kind-of-Person-Implicit-Theory-Scale.pdf</t>
        </is>
      </c>
      <c r="Q38" s="24" t="inlineStr"/>
      <c r="R38" s="24" t="inlineStr">
        <is>
          <t>Useful opener for development conversations; scores are face valid and easy to discuss.</t>
        </is>
      </c>
      <c r="S38" s="24" t="inlineStr"/>
      <c r="T38" s="24" t="inlineStr">
        <is>
          <t>https://sparqtools.org/wp-content/uploads/2022/10/Kind-of-Person-Implicit-Theory-Scale.pdf</t>
        </is>
      </c>
      <c r="U38" s="24" t="inlineStr">
        <is>
          <t>Candidate, licence to confirm</t>
        </is>
      </c>
      <c r="V38" s="24" t="inlineStr"/>
      <c r="W38" s="24" t="inlineStr"/>
      <c r="X38" s="24" t="inlineStr"/>
    </row>
    <row r="39">
      <c r="A39" s="24" t="n">
        <v>38</v>
      </c>
      <c r="B39" s="24" t="inlineStr">
        <is>
          <t>Work and motivation</t>
        </is>
      </c>
      <c r="C39" s="24" t="inlineStr">
        <is>
          <t>Work Extrinsic and Intrinsic Motivation Scale</t>
        </is>
      </c>
      <c r="D39" s="24" t="inlineStr">
        <is>
          <t>WEIMS</t>
        </is>
      </c>
      <c r="E39" s="24" t="inlineStr">
        <is>
          <t>Maxime Tremblay, Céline Blanchard, Sara Taylor, Luc Pelletier and Martin Villeneuve</t>
        </is>
      </c>
      <c r="F39" s="24" t="n">
        <v>2009</v>
      </c>
      <c r="G39" s="24" t="inlineStr">
        <is>
          <t>Work motivation along the self determination continuum, from intrinsic motivation to amotivation.</t>
        </is>
      </c>
      <c r="H39" s="24" t="n">
        <v>18</v>
      </c>
      <c r="I39" s="24" t="inlineStr">
        <is>
          <t>7 point scale from 1 (does not correspond at all) to 7 (corresponds exactly).</t>
        </is>
      </c>
      <c r="J39" s="24" t="inlineStr">
        <is>
          <t>Intrinsic motivation, Integrated regulation, Identified regulation, Introjected regulation, External regulation, Amotivation (3 items each)</t>
        </is>
      </c>
      <c r="K39" s="24" t="inlineStr">
        <is>
          <t>Subscale means (1 to 7). Work Self Determination Index: weight intrinsic +3, integrated +2, identified +1, introjected minus 1, external minus 2, amotivation minus 3 and sum (range minus 36 to +36). No cut offs.</t>
        </is>
      </c>
      <c r="L39" s="24" t="inlineStr">
        <is>
          <t>free for non commercial or research only</t>
        </is>
      </c>
      <c r="M39" s="24" t="inlineStr">
        <is>
          <t>CSDT: "To download the copyrighted questionnaires on the CSDT web site, you must agree to our terms and conditions." "All academic use is permitted" and "you must obtain permission from the Center for Self-Determination Theory for commercial use".</t>
        </is>
      </c>
      <c r="N39" s="24" t="inlineStr">
        <is>
          <t>https://selfdeterminationtheory.org/work-extrinsic-and-intrinsic-motivation-scale/</t>
        </is>
      </c>
      <c r="O39" s="24" t="inlineStr">
        <is>
          <t>Yes</t>
        </is>
      </c>
      <c r="P39" s="24" t="inlineStr">
        <is>
          <t>https://selfdeterminationtheory.org/work-extrinsic-and-intrinsic-motivation-scale/</t>
        </is>
      </c>
      <c r="Q39" s="24" t="inlineStr"/>
      <c r="R39" s="24" t="inlineStr">
        <is>
          <t>Gives a motivation profile that maps directly onto coaching conversations about why work matters; commercial licence via CSDT.</t>
        </is>
      </c>
      <c r="S39" s="24" t="inlineStr"/>
      <c r="T39" s="24" t="inlineStr">
        <is>
          <t>https://selfdeterminationtheory.org/work-extrinsic-and-intrinsic-motivation-scale/</t>
        </is>
      </c>
      <c r="U39" s="24" t="inlineStr">
        <is>
          <t>Candidate, licence to confirm</t>
        </is>
      </c>
      <c r="V39" s="24" t="inlineStr"/>
      <c r="W39" s="24" t="inlineStr"/>
      <c r="X39" s="24" t="inlineStr"/>
    </row>
    <row r="40">
      <c r="A40" s="24" t="n">
        <v>39</v>
      </c>
      <c r="B40" s="24" t="inlineStr">
        <is>
          <t>Work and motivation; Open repositories</t>
        </is>
      </c>
      <c r="C40" s="24" t="inlineStr">
        <is>
          <t>Multidimensional Work Motivation Scale</t>
        </is>
      </c>
      <c r="D40" s="24" t="inlineStr">
        <is>
          <t>MWMS</t>
        </is>
      </c>
      <c r="E40" s="24" t="inlineStr">
        <is>
          <t>Marylène Gagné, Jacques Forest, Maarten Vansteenkiste and colleagues</t>
        </is>
      </c>
      <c r="F40" s="24" t="n">
        <v>2015</v>
      </c>
      <c r="G40" s="24" t="inlineStr">
        <is>
          <t>Work motivation types from self determination theory, validated in seven languages and nine countries.</t>
        </is>
      </c>
      <c r="H40" s="24" t="n">
        <v>19</v>
      </c>
      <c r="I40" s="24" t="inlineStr">
        <is>
          <t>7 point scale from 1 (not at all) to 7 (completely), rating reasons for putting effort into one's job.</t>
        </is>
      </c>
      <c r="J40" s="24" t="inlineStr">
        <is>
          <t>Amotivation (3 items), Extrinsic regulation, social (3 items), Extrinsic regulation, material (3 items), Introjected regulation (4 items), Identified regulation (3 items), Intrinsic motivation (3 items)</t>
        </is>
      </c>
      <c r="K40" s="24" t="inlineStr">
        <is>
          <t>Subscale means (1 to 7); authors recommend reporting subscales rather than a single index. No cut offs.</t>
        </is>
      </c>
      <c r="L40" s="24" t="inlineStr">
        <is>
          <t>free for non commercial or research only</t>
        </is>
      </c>
      <c r="M40" s="24" t="inlineStr">
        <is>
          <t>CSDT terms: "All academic use is permitted" and "you must obtain permission from the Center for Self-Determination Theory for commercial use". Download requires agreeing to terms and giving an email address.</t>
        </is>
      </c>
      <c r="N40" s="24" t="inlineStr">
        <is>
          <t>https://selfdeterminationtheory.org/multidimensional-work-motivation-scale/</t>
        </is>
      </c>
      <c r="O40" s="24" t="inlineStr">
        <is>
          <t>Yes</t>
        </is>
      </c>
      <c r="P40" s="24" t="inlineStr">
        <is>
          <t>https://selfdeterminationtheory.org/multidimensional-work-motivation-scale/</t>
        </is>
      </c>
      <c r="Q40" s="24" t="inlineStr"/>
      <c r="R40" s="24" t="inlineStr">
        <is>
          <t>Stronger cross cultural evidence than the WEIMS and separates social from material extrinsic drivers; same CSDT licence.</t>
        </is>
      </c>
      <c r="S40" s="24" t="inlineStr"/>
      <c r="T40" s="24" t="inlineStr">
        <is>
          <t>https://selfdeterminationtheory.org/multidimensional-work-motivation-scale/</t>
        </is>
      </c>
      <c r="U40" s="24" t="inlineStr">
        <is>
          <t>Candidate, licence to confirm</t>
        </is>
      </c>
      <c r="V40" s="24" t="inlineStr"/>
      <c r="W40" s="24" t="inlineStr"/>
      <c r="X40" s="24" t="inlineStr"/>
    </row>
    <row r="41">
      <c r="A41" s="24" t="n">
        <v>40</v>
      </c>
      <c r="B41" s="24" t="inlineStr">
        <is>
          <t>Work and motivation</t>
        </is>
      </c>
      <c r="C41" s="24" t="inlineStr">
        <is>
          <t>Academic Motivation Scale (College version, AMS-C 28)</t>
        </is>
      </c>
      <c r="D41" s="24" t="inlineStr">
        <is>
          <t>AMS</t>
        </is>
      </c>
      <c r="E41" s="24" t="inlineStr">
        <is>
          <t>Robert Vallerand, Luc Pelletier, Marc Blais, Nathalie Brière, Caroline Senécal and Évelyne Vallières</t>
        </is>
      </c>
      <c r="F41" s="24" t="n">
        <v>1992</v>
      </c>
      <c r="G41" s="24" t="inlineStr">
        <is>
          <t>Motivation for study along the self determination continuum.</t>
        </is>
      </c>
      <c r="H41" s="24" t="n">
        <v>28</v>
      </c>
      <c r="I41" s="24" t="inlineStr">
        <is>
          <t>7 point scale from 1 (does not correspond at all) to 7 (corresponds exactly).</t>
        </is>
      </c>
      <c r="J41" s="24" t="inlineStr">
        <is>
          <t>Intrinsic motivation to know, Intrinsic motivation toward accomplishment, Intrinsic motivation to experience stimulation, Identified regulation, Introjected regulation, External regulation, Amotivation (4 items each)</t>
        </is>
      </c>
      <c r="K41" s="24" t="inlineStr">
        <is>
          <t>Subscale means (1 to 7); a self determination index can be computed by weighting subscales. No cut offs.</t>
        </is>
      </c>
      <c r="L41" s="24" t="inlineStr">
        <is>
          <t>free with attribution (CC or stated)</t>
        </is>
      </c>
      <c r="M41" s="24" t="inlineStr">
        <is>
          <t>Form footer: "Note: To use this scale you require only to mention the complete reference data." Copyright Vallerand et al., 1992.</t>
        </is>
      </c>
      <c r="N41" s="24" t="inlineStr">
        <is>
          <t>https://www.lrcs.uqam.ca/wp-content/uploads/2017/08/HS-emes_en.pdf</t>
        </is>
      </c>
      <c r="O41" s="24" t="inlineStr">
        <is>
          <t>Yes</t>
        </is>
      </c>
      <c r="P41" s="24" t="inlineStr">
        <is>
          <t>https://www.lrcs.uqam.ca/wp-content/uploads/2017/08/HS-emes_en.pdf</t>
        </is>
      </c>
      <c r="Q41" s="24" t="inlineStr"/>
      <c r="R41" s="24" t="inlineStr">
        <is>
          <t>Suited to student and early career coaching clients; use the college version for adults in tertiary study.</t>
        </is>
      </c>
      <c r="S41" s="24" t="inlineStr"/>
      <c r="T41" s="24" t="inlineStr">
        <is>
          <t>https://edinstruments.org/instruments/academic-motivation-scale-ams</t>
        </is>
      </c>
      <c r="U41" s="24" t="inlineStr">
        <is>
          <t>Candidate, client facing possible</t>
        </is>
      </c>
      <c r="V41" s="24" t="inlineStr"/>
      <c r="W41" s="24" t="inlineStr"/>
      <c r="X41" s="24" t="inlineStr">
        <is>
          <t>Added (decide, cleared)</t>
        </is>
      </c>
    </row>
    <row r="42">
      <c r="A42" s="24" t="n">
        <v>41</v>
      </c>
      <c r="B42" s="24" t="inlineStr">
        <is>
          <t>Work and motivation</t>
        </is>
      </c>
      <c r="C42" s="24" t="inlineStr">
        <is>
          <t>Basic Psychological Need Satisfaction at Work Scale</t>
        </is>
      </c>
      <c r="D42" s="24" t="inlineStr">
        <is>
          <t>BPNS-W</t>
        </is>
      </c>
      <c r="E42" s="24" t="inlineStr">
        <is>
          <t>Edward Deci, Richard Ryan and colleagues (Deci et al., 2001; Ilardi et al., 1993)</t>
        </is>
      </c>
      <c r="F42" s="24" t="n">
        <v>2001</v>
      </c>
      <c r="G42" s="24" t="inlineStr">
        <is>
          <t>Satisfaction of the needs for autonomy, competence and relatedness in the workplace.</t>
        </is>
      </c>
      <c r="H42" s="24" t="n">
        <v>21</v>
      </c>
      <c r="I42" s="24" t="inlineStr">
        <is>
          <t>7 point scale from 1 (not at all true) to 7 (very true).</t>
        </is>
      </c>
      <c r="J42" s="24" t="inlineStr">
        <is>
          <t>Autonomy (7 items), Competence (6 items), Relatedness (8 items)</t>
        </is>
      </c>
      <c r="K42" s="24" t="inlineStr">
        <is>
          <t>Reverse negatively worded items and average within each need (1 to 7); higher is greater satisfaction. No cut offs.</t>
        </is>
      </c>
      <c r="L42" s="24" t="inlineStr">
        <is>
          <t>free for non commercial or research only</t>
        </is>
      </c>
      <c r="M42" s="24" t="inlineStr">
        <is>
          <t>CSDT terms: "All academic use is permitted" and permission must be obtained "from the Center for Self-Determination Theory for commercial use".</t>
        </is>
      </c>
      <c r="N42" s="24" t="inlineStr">
        <is>
          <t>https://selfdeterminationtheory.org/basic-psychological-need-satisfaction-scales/</t>
        </is>
      </c>
      <c r="O42" s="24" t="inlineStr">
        <is>
          <t>Yes</t>
        </is>
      </c>
      <c r="P42" s="24" t="inlineStr">
        <is>
          <t>https://selfdeterminationtheory.org/basic-psychological-need-satisfaction-scales/</t>
        </is>
      </c>
      <c r="Q42" s="24" t="inlineStr"/>
      <c r="R42" s="24" t="inlineStr">
        <is>
          <t>Diagnoses which core need a role is failing to meet; a natural bridge to job crafting goals. The 18 item Van den Broeck 2010 version is an alternative.</t>
        </is>
      </c>
      <c r="S42" s="24" t="inlineStr"/>
      <c r="T42" s="24" t="inlineStr">
        <is>
          <t>https://selfdeterminationtheory.org/basic-psychological-need-satisfaction-scales/</t>
        </is>
      </c>
      <c r="U42" s="24" t="inlineStr">
        <is>
          <t>Candidate, licence to confirm</t>
        </is>
      </c>
      <c r="V42" s="24" t="inlineStr"/>
      <c r="W42" s="24" t="inlineStr"/>
      <c r="X42" s="24" t="inlineStr"/>
    </row>
    <row r="43">
      <c r="A43" s="24" t="n">
        <v>42</v>
      </c>
      <c r="B43" s="24" t="inlineStr">
        <is>
          <t>Work and motivation</t>
        </is>
      </c>
      <c r="C43" s="24" t="inlineStr">
        <is>
          <t>Valued Living Questionnaire</t>
        </is>
      </c>
      <c r="D43" s="24" t="inlineStr">
        <is>
          <t>VLQ</t>
        </is>
      </c>
      <c r="E43" s="24" t="inlineStr">
        <is>
          <t>Kelly Wilson, Emily Sandoz, Jennifer Kitchens and Miguel Roberts</t>
        </is>
      </c>
      <c r="F43" s="24" t="n">
        <v>2010</v>
      </c>
      <c r="G43" s="24" t="inlineStr">
        <is>
          <t>Importance of, and consistency of living in line with, values across 10 life domains (ACT framework).</t>
        </is>
      </c>
      <c r="H43" s="24" t="n">
        <v>20</v>
      </c>
      <c r="I43" s="24" t="inlineStr">
        <is>
          <t>Each of 10 domains rated twice on 1 to 10 scales, first for importance and then for consistency of action over the past week.</t>
        </is>
      </c>
      <c r="J43" s="24" t="inlineStr">
        <is>
          <t>Importance (10 domains), Consistency (10 domains), Valued living composite</t>
        </is>
      </c>
      <c r="K43" s="24" t="inlineStr">
        <is>
          <t>Composite is the mean of importance multiplied by consistency across domains (1 to 100); discrepancies between importance and consistency identify targets. No cut offs.</t>
        </is>
      </c>
      <c r="L43" s="24" t="inlineStr">
        <is>
          <t>not stated</t>
        </is>
      </c>
      <c r="M43" s="24" t="inlineStr">
        <is>
          <t>No permission statement; the questionnaire and working guide are offered as free downloads by the Association for Contextual Behavioral Science.</t>
        </is>
      </c>
      <c r="N43" s="24" t="inlineStr">
        <is>
          <t>https://contextualscience.org/wilson_etal_vlq</t>
        </is>
      </c>
      <c r="O43" s="24" t="inlineStr">
        <is>
          <t>Yes</t>
        </is>
      </c>
      <c r="P43" s="24" t="inlineStr">
        <is>
          <t>https://contextualscience.org/wilson_etal_vlq</t>
        </is>
      </c>
      <c r="Q43" s="24" t="inlineStr"/>
      <c r="R43" s="24" t="inlineStr">
        <is>
          <t>Ideal values clarification exercise for career and life balance coaching; designed as a conversation tool rather than a norm referenced test.</t>
        </is>
      </c>
      <c r="S43" s="24" t="inlineStr"/>
      <c r="T43" s="24" t="inlineStr">
        <is>
          <t>https://contextualscience.org/wilson_etal_vlq</t>
        </is>
      </c>
      <c r="U43" s="24" t="inlineStr">
        <is>
          <t>Candidate, licence to confirm</t>
        </is>
      </c>
      <c r="V43" s="24" t="inlineStr"/>
      <c r="W43" s="24" t="inlineStr"/>
      <c r="X43" s="24" t="inlineStr"/>
    </row>
    <row r="44">
      <c r="A44" s="24" t="n">
        <v>43</v>
      </c>
      <c r="B44" s="24" t="inlineStr">
        <is>
          <t>Work and motivation</t>
        </is>
      </c>
      <c r="C44" s="24" t="inlineStr">
        <is>
          <t>Personal Growth Initiative Scale II</t>
        </is>
      </c>
      <c r="D44" s="24" t="inlineStr">
        <is>
          <t>PGIS-II</t>
        </is>
      </c>
      <c r="E44" s="24" t="inlineStr">
        <is>
          <t>Christine Robitschek and colleagues, Texas Tech University</t>
        </is>
      </c>
      <c r="F44" s="24" t="n">
        <v>2012</v>
      </c>
      <c r="G44" s="24" t="inlineStr">
        <is>
          <t>Active and intentional engagement in one's own growth: readiness, planning, resource use and action.</t>
        </is>
      </c>
      <c r="H44" s="24" t="n">
        <v>16</v>
      </c>
      <c r="I44" s="24" t="inlineStr">
        <is>
          <t>6 point agreement scale from 0 (disagree strongly) to 5 (agree strongly).</t>
        </is>
      </c>
      <c r="J44" s="24" t="inlineStr">
        <is>
          <t>Readiness for change (4 items), Planfulness (5 items), Using resources (3 items), Intentional behaviour (4 items)</t>
        </is>
      </c>
      <c r="K44" s="24" t="inlineStr">
        <is>
          <t>Subscale and total means or sums (total 0 to 80); higher is greater growth initiative. No cut offs.</t>
        </is>
      </c>
      <c r="L44" s="24" t="inlineStr">
        <is>
          <t>not stated</t>
        </is>
      </c>
      <c r="M44" s="24" t="inlineStr">
        <is>
          <t>No published licence statement found; the 2012 Journal of Counseling Psychology article is not open access and the author lists her email for permissions on the UPenn Positive Psychology Center page.</t>
        </is>
      </c>
      <c r="N44" s="24" t="inlineStr">
        <is>
          <t>https://ppc.sas.upenn.edu/node/216</t>
        </is>
      </c>
      <c r="O44" s="24" t="inlineStr">
        <is>
          <t>No</t>
        </is>
      </c>
      <c r="P44" s="24" t="inlineStr">
        <is>
          <t>https://www.redalyc.org/journal/3054/305458408031/</t>
        </is>
      </c>
      <c r="Q44" s="24" t="inlineStr"/>
      <c r="R44" s="24" t="inlineStr">
        <is>
          <t>Directly measures coaching readiness and self directed development; request the scale and terms from Robitschek.</t>
        </is>
      </c>
      <c r="S44" s="24" t="inlineStr"/>
      <c r="T44" s="24" t="inlineStr">
        <is>
          <t>https://www.redalyc.org/journal/3054/305458408031/</t>
        </is>
      </c>
      <c r="U44" s="24" t="inlineStr">
        <is>
          <t>Candidate, licence to confirm</t>
        </is>
      </c>
      <c r="V44" s="24" t="inlineStr"/>
      <c r="W44" s="24" t="inlineStr"/>
      <c r="X44" s="24" t="inlineStr"/>
    </row>
    <row r="45">
      <c r="A45" s="24" t="n">
        <v>44</v>
      </c>
      <c r="B45" s="24" t="inlineStr">
        <is>
          <t>Work and motivation</t>
        </is>
      </c>
      <c r="C45" s="24" t="inlineStr">
        <is>
          <t>Adult Hope Scale (Trait Hope Scale)</t>
        </is>
      </c>
      <c r="D45" s="24" t="inlineStr">
        <is>
          <t>AHS</t>
        </is>
      </c>
      <c r="E45" s="24" t="inlineStr">
        <is>
          <t>C. R. Snyder and colleagues, University of Kansas</t>
        </is>
      </c>
      <c r="F45" s="24" t="n">
        <v>1991</v>
      </c>
      <c r="G45" s="24" t="inlineStr">
        <is>
          <t>Dispositional hope: agency (goal directed energy) and pathways (planning to meet goals).</t>
        </is>
      </c>
      <c r="H45" s="24" t="n">
        <v>12</v>
      </c>
      <c r="I45" s="24" t="inlineStr">
        <is>
          <t>8 point scale from 1 (definitely false) to 8 (definitely true).</t>
        </is>
      </c>
      <c r="J45" s="24" t="inlineStr">
        <is>
          <t>Agency (4 items), Pathways (4 items), 4 filler items not scored</t>
        </is>
      </c>
      <c r="K45" s="24" t="inlineStr">
        <is>
          <t>Agency items 2, 9, 10, 12 and pathways items 1, 4, 6, 8 summed; total 8 to 64, subscales 4 to 32. Higher is more hopeful. No cut offs; often administered as The Future Scale.</t>
        </is>
      </c>
      <c r="L45" s="24" t="inlineStr">
        <is>
          <t>not stated</t>
        </is>
      </c>
      <c r="M45" s="24" t="inlineStr">
        <is>
          <t>No copyright or permission statement on the UPenn Positive Psychology Center or Council of Independent Colleges copies; the scale is published in full in Snyder et al. (1991) and widely reproduced without stated restriction.</t>
        </is>
      </c>
      <c r="N45" s="24" t="inlineStr">
        <is>
          <t>https://ppc.sas.upenn.edu/node/211</t>
        </is>
      </c>
      <c r="O45" s="24" t="inlineStr">
        <is>
          <t>Yes</t>
        </is>
      </c>
      <c r="P45" s="24" t="inlineStr">
        <is>
          <t>https://cic.edu/wp-content/uploads/2025/08/Hope-Scale.pdf</t>
        </is>
      </c>
      <c r="Q45" s="24" t="inlineStr"/>
      <c r="R45" s="24" t="inlineStr">
        <is>
          <t>Pairs well with goal setting work; the agency and pathways split tells you whether to coach on will or on ways.</t>
        </is>
      </c>
      <c r="S45" s="24" t="inlineStr"/>
      <c r="T45" s="24" t="inlineStr">
        <is>
          <t>https://ppc.sas.upenn.edu/node/211</t>
        </is>
      </c>
      <c r="U45" s="24" t="inlineStr">
        <is>
          <t>Candidate, licence to confirm</t>
        </is>
      </c>
      <c r="V45" s="24" t="inlineStr"/>
      <c r="W45" s="24" t="inlineStr"/>
      <c r="X45" s="24" t="inlineStr"/>
    </row>
    <row r="46">
      <c r="A46" s="24" t="n">
        <v>45</v>
      </c>
      <c r="B46" s="24" t="inlineStr">
        <is>
          <t>Work and motivation</t>
        </is>
      </c>
      <c r="C46" s="24" t="inlineStr">
        <is>
          <t>Strengths Use Scale</t>
        </is>
      </c>
      <c r="D46" s="24" t="inlineStr">
        <is>
          <t>SUS</t>
        </is>
      </c>
      <c r="E46" s="24" t="inlineStr">
        <is>
          <t>Reena Govindji and P. Alex Linley, Centre for Applied Positive Psychology</t>
        </is>
      </c>
      <c r="F46" s="24" t="n">
        <v>2007</v>
      </c>
      <c r="G46" s="24" t="inlineStr">
        <is>
          <t>The extent to which a person uses their strengths in daily life and work.</t>
        </is>
      </c>
      <c r="H46" s="24" t="n">
        <v>14</v>
      </c>
      <c r="I46" s="24" t="inlineStr">
        <is>
          <t>7 point agreement scale from 1 (strongly disagree) to 7 (strongly agree).</t>
        </is>
      </c>
      <c r="J46" s="24" t="inlineStr">
        <is>
          <t>Single strengths use score (a companion 8 item Strengths Knowledge Scale exists)</t>
        </is>
      </c>
      <c r="K46" s="24" t="inlineStr">
        <is>
          <t>Sum (14 to 98) or mean; higher is greater strengths use. No cut offs.</t>
        </is>
      </c>
      <c r="L46" s="24" t="inlineStr">
        <is>
          <t>not stated</t>
        </is>
      </c>
      <c r="M46" s="24" t="inlineStr">
        <is>
          <t>No licence statement found in the open access validation literature; original items in Govindji and Linley (2007) International Coaching Psychology Review, with CAPP as the originating organisation.</t>
        </is>
      </c>
      <c r="N46" s="24" t="inlineStr">
        <is>
          <t>https://www.frontiersin.org/articles/10.3389/fpsyg.2021.676153/full</t>
        </is>
      </c>
      <c r="O46" s="24" t="inlineStr">
        <is>
          <t>No</t>
        </is>
      </c>
      <c r="P46" s="24" t="inlineStr">
        <is>
          <t>https://www.frontiersin.org/articles/10.3389/fpsyg.2021.676153/full</t>
        </is>
      </c>
      <c r="Q46" s="24" t="inlineStr"/>
      <c r="R46" s="24" t="inlineStr">
        <is>
          <t>A free way to track strengths application after any strengths exercise, avoiding the commercial VIA; confirm terms with the authors.</t>
        </is>
      </c>
      <c r="S46" s="24" t="inlineStr"/>
      <c r="T46" s="24" t="inlineStr">
        <is>
          <t>https://www.frontiersin.org/articles/10.3389/fpsyg.2021.676153/full</t>
        </is>
      </c>
      <c r="U46" s="24" t="inlineStr">
        <is>
          <t>Candidate, licence to confirm</t>
        </is>
      </c>
      <c r="V46" s="24" t="inlineStr">
        <is>
          <t>Check: digital or platform use may need its own licence</t>
        </is>
      </c>
      <c r="W46" s="24" t="inlineStr"/>
      <c r="X46" s="24" t="inlineStr"/>
    </row>
    <row r="47">
      <c r="A47" s="24" t="n">
        <v>46</v>
      </c>
      <c r="B47" s="24" t="inlineStr">
        <is>
          <t>Work and motivation</t>
        </is>
      </c>
      <c r="C47" s="24" t="inlineStr">
        <is>
          <t>Occupational Self Efficacy Scale, short form</t>
        </is>
      </c>
      <c r="D47" s="24" t="inlineStr">
        <is>
          <t>OSS-SF</t>
        </is>
      </c>
      <c r="E47" s="24" t="inlineStr">
        <is>
          <t>Thomas Rigotti, Birgit Schyns and Gisela Mohr</t>
        </is>
      </c>
      <c r="F47" s="24" t="n">
        <v>2008</v>
      </c>
      <c r="G47" s="24" t="inlineStr">
        <is>
          <t>Confidence in one's ability to meet the demands of one's job.</t>
        </is>
      </c>
      <c r="H47" s="24" t="n">
        <v>6</v>
      </c>
      <c r="I47" s="24" t="inlineStr">
        <is>
          <t>6 point agreement scale from 1 (not at all true) to 6 (completely true).</t>
        </is>
      </c>
      <c r="J47" s="24" t="inlineStr">
        <is>
          <t>Single occupational self efficacy score</t>
        </is>
      </c>
      <c r="K47" s="24" t="inlineStr">
        <is>
          <t>Mean of 6 items (1 to 6); higher is more efficacious. Validated across five countries; no cut offs.</t>
        </is>
      </c>
      <c r="L47" s="24" t="inlineStr">
        <is>
          <t>not stated</t>
        </is>
      </c>
      <c r="M47" s="24" t="inlineStr">
        <is>
          <t>No permission statement found; the short form appears in Rigotti, Schyns and Mohr (2008) Journal of Career Assessment and in open access validation studies (CC BY).</t>
        </is>
      </c>
      <c r="N47" s="24" t="inlineStr">
        <is>
          <t>https://new.scielo.br/j/ptp/a/gZsnH6vLkcrnZyzG3tDqMwH/?ilang=es</t>
        </is>
      </c>
      <c r="O47" s="24" t="inlineStr">
        <is>
          <t>No</t>
        </is>
      </c>
      <c r="P47" s="24" t="inlineStr">
        <is>
          <t>https://psytests.org/life/osssfen.html</t>
        </is>
      </c>
      <c r="Q47" s="24" t="inlineStr"/>
      <c r="R47" s="24" t="inlineStr">
        <is>
          <t>Six items make it a convenient pre and post measure for confidence building coaching.</t>
        </is>
      </c>
      <c r="S47" s="24" t="inlineStr"/>
      <c r="T47" s="24" t="inlineStr">
        <is>
          <t>https://durham-repository.worktribe.com/output/1513264</t>
        </is>
      </c>
      <c r="U47" s="24" t="inlineStr">
        <is>
          <t>Candidate, licence to confirm</t>
        </is>
      </c>
      <c r="V47" s="24" t="inlineStr"/>
      <c r="W47" s="24" t="inlineStr"/>
      <c r="X47" s="24" t="inlineStr"/>
    </row>
    <row r="48">
      <c r="A48" s="24" t="n">
        <v>47</v>
      </c>
      <c r="B48" s="24" t="inlineStr">
        <is>
          <t>Work and motivation</t>
        </is>
      </c>
      <c r="C48" s="24" t="inlineStr">
        <is>
          <t>New General Self Efficacy Scale</t>
        </is>
      </c>
      <c r="D48" s="24" t="inlineStr">
        <is>
          <t>NGSE</t>
        </is>
      </c>
      <c r="E48" s="24" t="inlineStr">
        <is>
          <t>Gilad Chen, Stanley Gully and Dov Eden</t>
        </is>
      </c>
      <c r="F48" s="24" t="n">
        <v>2001</v>
      </c>
      <c r="G48" s="24" t="inlineStr">
        <is>
          <t>General self efficacy: belief in one's overall capability to perform across situations.</t>
        </is>
      </c>
      <c r="H48" s="24" t="n">
        <v>8</v>
      </c>
      <c r="I48" s="24" t="inlineStr">
        <is>
          <t>5 point agreement scale from 1 (strongly disagree) to 5 (strongly agree).</t>
        </is>
      </c>
      <c r="J48" s="24" t="inlineStr">
        <is>
          <t>Single general self efficacy score</t>
        </is>
      </c>
      <c r="K48" s="24" t="inlineStr">
        <is>
          <t>Mean of 8 items (1 to 5); no reverse items, higher is more efficacious. No cut offs.</t>
        </is>
      </c>
      <c r="L48" s="24" t="inlineStr">
        <is>
          <t>not stated</t>
        </is>
      </c>
      <c r="M48" s="24" t="inlineStr">
        <is>
          <t>No permission statement for the measure; published in Organizational Research Methods (2001) and reproduced in full on the Stanford SPARQtools toolkit without stated restrictions.</t>
        </is>
      </c>
      <c r="N48" s="24" t="inlineStr">
        <is>
          <t>https://sparqtools.org/mobility-measure/new-general-self-efficacy-scale/</t>
        </is>
      </c>
      <c r="O48" s="24" t="inlineStr">
        <is>
          <t>Yes</t>
        </is>
      </c>
      <c r="P48" s="24" t="inlineStr">
        <is>
          <t>https://sparqtools.org/wp-content/uploads/2022/10/New-General-Self-Efficacy-Scale.pdf</t>
        </is>
      </c>
      <c r="Q48" s="24" t="inlineStr"/>
      <c r="R48" s="24" t="inlineStr">
        <is>
          <t>Cleaner psychometrics than the older Sherer scale; useful baseline for confidence or transition coaching.</t>
        </is>
      </c>
      <c r="S48" s="24" t="inlineStr"/>
      <c r="T48" s="24" t="inlineStr">
        <is>
          <t>https://sparqtools.org/mobility-measure/new-general-self-efficacy-scale/</t>
        </is>
      </c>
      <c r="U48" s="24" t="inlineStr">
        <is>
          <t>Candidate, licence to confirm</t>
        </is>
      </c>
      <c r="V48" s="24" t="inlineStr"/>
      <c r="W48" s="24" t="inlineStr"/>
      <c r="X48" s="24" t="inlineStr"/>
    </row>
    <row r="49">
      <c r="A49" s="24" t="n">
        <v>48</v>
      </c>
      <c r="B49" s="24" t="inlineStr">
        <is>
          <t>Work and motivation</t>
        </is>
      </c>
      <c r="C49" s="24" t="inlineStr">
        <is>
          <t>Recovery Experience Questionnaire</t>
        </is>
      </c>
      <c r="D49" s="24" t="inlineStr">
        <is>
          <t>REQ</t>
        </is>
      </c>
      <c r="E49" s="24" t="inlineStr">
        <is>
          <t>Sabine Sonnentag and Charlotte Fritz</t>
        </is>
      </c>
      <c r="F49" s="24" t="n">
        <v>2007</v>
      </c>
      <c r="G49" s="24" t="inlineStr">
        <is>
          <t>How people recover from work during off job time: detachment, relaxation, mastery and control.</t>
        </is>
      </c>
      <c r="H49" s="24" t="n">
        <v>16</v>
      </c>
      <c r="I49" s="24" t="inlineStr">
        <is>
          <t>5 point agreement scale from 1 (strongly disagree) to 5 (strongly agree).</t>
        </is>
      </c>
      <c r="J49" s="24" t="inlineStr">
        <is>
          <t>Psychological detachment (4 items), Relaxation (4 items), Mastery experiences (4 items), Control during leisure time (4 items)</t>
        </is>
      </c>
      <c r="K49" s="24" t="inlineStr">
        <is>
          <t>Subscale means (1 to 5); higher is better recovery. No cut offs.</t>
        </is>
      </c>
      <c r="L49" s="24" t="inlineStr">
        <is>
          <t>not stated</t>
        </is>
      </c>
      <c r="M49" s="24" t="inlineStr">
        <is>
          <t>No permission statement found; items are published in the Journal of Occupational Health Psychology (2007) and reproduced in full in an open access Frontiers in Psychology article (CC BY).</t>
        </is>
      </c>
      <c r="N49" s="24" t="inlineStr">
        <is>
          <t>https://www.frontiersin.org/journals/psychology/articles/10.3389/fpsyg.2024.1466905/full</t>
        </is>
      </c>
      <c r="O49" s="24" t="inlineStr">
        <is>
          <t>Yes</t>
        </is>
      </c>
      <c r="P49" s="24" t="inlineStr">
        <is>
          <t>https://www.frontiersin.org/journals/psychology/articles/10.3389/fpsyg.2024.1466905/full</t>
        </is>
      </c>
      <c r="Q49" s="24" t="inlineStr"/>
      <c r="R49" s="24" t="inlineStr">
        <is>
          <t>The standard work life boundary and recovery measure; detachment scores give concrete targets for after hours habits.</t>
        </is>
      </c>
      <c r="S49" s="24" t="inlineStr"/>
      <c r="T49" s="24" t="inlineStr">
        <is>
          <t>https://www.frontiersin.org/journals/psychology/articles/10.3389/fpsyg.2024.1466905/full</t>
        </is>
      </c>
      <c r="U49" s="24" t="inlineStr">
        <is>
          <t>Candidate, licence to confirm</t>
        </is>
      </c>
      <c r="V49" s="24" t="inlineStr"/>
      <c r="W49" s="24" t="inlineStr"/>
      <c r="X49" s="24" t="inlineStr"/>
    </row>
    <row r="50">
      <c r="A50" s="24" t="n">
        <v>49</v>
      </c>
      <c r="B50" s="24" t="inlineStr">
        <is>
          <t>Work and motivation</t>
        </is>
      </c>
      <c r="C50" s="24" t="inlineStr">
        <is>
          <t>Survey of Perceived Organizational Support, 8 item short form</t>
        </is>
      </c>
      <c r="D50" s="24" t="inlineStr">
        <is>
          <t>SPOS-8</t>
        </is>
      </c>
      <c r="E50" s="24" t="inlineStr">
        <is>
          <t>Robert Eisenberger, Robin Huntington, Steven Hutchison and Debora Sowa</t>
        </is>
      </c>
      <c r="F50" s="24" t="n">
        <v>1986</v>
      </c>
      <c r="G50" s="24" t="inlineStr">
        <is>
          <t>Employees' belief that their organisation values their contributions and cares about their wellbeing.</t>
        </is>
      </c>
      <c r="H50" s="24" t="n">
        <v>8</v>
      </c>
      <c r="I50" s="24" t="inlineStr">
        <is>
          <t>7 point agreement scale from 0 or 1 (strongly disagree) to 6 or 7 (strongly agree).</t>
        </is>
      </c>
      <c r="J50" s="24" t="inlineStr">
        <is>
          <t>Single perceived organisational support score</t>
        </is>
      </c>
      <c r="K50" s="24" t="inlineStr">
        <is>
          <t>Reverse negatively worded items and average; higher is more support. 8 and 16 item forms perform as well as the 36 item original. No cut offs.</t>
        </is>
      </c>
      <c r="L50" s="24" t="inlineStr">
        <is>
          <t>not stated</t>
        </is>
      </c>
      <c r="M50" s="24" t="inlineStr">
        <is>
          <t>No permission statement located; the original items are in Journal of Applied Psychology (1986) and Eisenberger's former University of Houston POS website distributed the short forms for research. The 2009 SA Journal of Industrial Psychology review is CC BY.</t>
        </is>
      </c>
      <c r="N50" s="24" t="inlineStr">
        <is>
          <t>https://sajip.co.za/index.php/sajip/article/view/754</t>
        </is>
      </c>
      <c r="O50" s="24" t="inlineStr">
        <is>
          <t>No</t>
        </is>
      </c>
      <c r="P50" s="24" t="inlineStr">
        <is>
          <t>https://sajip.co.za/index.php/sajip/article/view/754</t>
        </is>
      </c>
      <c r="Q50" s="24" t="inlineStr"/>
      <c r="R50" s="24" t="inlineStr">
        <is>
          <t>Helps separate personal from organisational contributors to disengagement; brief enough to add to any intake battery.</t>
        </is>
      </c>
      <c r="S50" s="24" t="inlineStr"/>
      <c r="T50" s="24" t="inlineStr">
        <is>
          <t>https://sajip.co.za/index.php/sajip/article/view/754</t>
        </is>
      </c>
      <c r="U50" s="24" t="inlineStr">
        <is>
          <t>Candidate, licence to confirm</t>
        </is>
      </c>
      <c r="V50" s="24" t="inlineStr"/>
      <c r="W50" s="24" t="inlineStr"/>
      <c r="X50" s="24" t="inlineStr"/>
    </row>
    <row r="51">
      <c r="A51" s="24" t="n">
        <v>50</v>
      </c>
      <c r="B51" s="24" t="inlineStr">
        <is>
          <t>Wellbeing, stress, self talk and personality; Clinical practice in New Zealand</t>
        </is>
      </c>
      <c r="C51" s="24" t="inlineStr">
        <is>
          <t>WHO-5 Well-Being Index</t>
        </is>
      </c>
      <c r="D51" s="24" t="inlineStr">
        <is>
          <t>WHO-5</t>
        </is>
      </c>
      <c r="E51" s="24" t="inlineStr">
        <is>
          <t>WHO Regional Office for Europe (Bech, Psychiatric Research Unit, Hillerød)</t>
        </is>
      </c>
      <c r="F51" s="24" t="inlineStr">
        <is>
          <t>1998</t>
        </is>
      </c>
      <c r="G51" s="24" t="inlineStr">
        <is>
          <t>Subjective psychological wellbeing (positive mood, vitality, interest) over the past 2 weeks</t>
        </is>
      </c>
      <c r="H51" s="24" t="n">
        <v>5</v>
      </c>
      <c r="I51" s="24" t="inlineStr">
        <is>
          <t>6 point frequency scale from 0 (at no time) to 5 (all of the time), past 2 weeks</t>
        </is>
      </c>
      <c r="J51" s="24" t="inlineStr"/>
      <c r="K51" s="24" t="inlineStr">
        <is>
          <t>Sum raw 0 to 25 then multiply by 4 for 0 to 100; higher is better wellbeing. Screening cut off 50 or below suggests poor wellbeing; change of 10 points is clinically relevant.</t>
        </is>
      </c>
      <c r="L51" s="24" t="inlineStr">
        <is>
          <t>public domain</t>
        </is>
      </c>
      <c r="M51" s="24" t="inlineStr">
        <is>
          <t>CORC: The WHO-5 is free of charge and does not require permission to use. WHO hosts the questionnaire and 30 plus translations.</t>
        </is>
      </c>
      <c r="N51" s="24" t="inlineStr">
        <is>
          <t>https://www.corc.uk.net/outcome-experience-measures/the-world-health-organisation-five-well-being-index-who-5</t>
        </is>
      </c>
      <c r="O51" s="24" t="inlineStr">
        <is>
          <t>Yes</t>
        </is>
      </c>
      <c r="P51" s="24" t="inlineStr">
        <is>
          <t>https://www.psytoolkit.org/survey-library/who5.html</t>
        </is>
      </c>
      <c r="Q51" s="24" t="inlineStr"/>
      <c r="R51" s="24" t="inlineStr">
        <is>
          <t>Ideal 2 minute session opener or repeated progress measure; already used by Statistics NZ so NZ comparisons exist.</t>
        </is>
      </c>
      <c r="S51" s="24" t="inlineStr"/>
      <c r="T51" s="24" t="inlineStr">
        <is>
          <t>https://www.tepou.co.nz/wellbeing-measures</t>
        </is>
      </c>
      <c r="U51" s="24" t="inlineStr">
        <is>
          <t>Candidate, client facing possible</t>
        </is>
      </c>
      <c r="V51" s="24" t="inlineStr"/>
      <c r="W51" s="24" t="inlineStr"/>
      <c r="X51" s="24" t="inlineStr">
        <is>
          <t>Added (yes, cleared)</t>
        </is>
      </c>
    </row>
    <row r="52">
      <c r="A52" s="24" t="n">
        <v>51</v>
      </c>
      <c r="B52" s="24" t="inlineStr">
        <is>
          <t>Wellbeing, stress, self talk and personality; Open repositories</t>
        </is>
      </c>
      <c r="C52" s="24" t="inlineStr">
        <is>
          <t>Warwick Edinburgh Mental Wellbeing Scale</t>
        </is>
      </c>
      <c r="D52" s="24" t="inlineStr">
        <is>
          <t>WEMWBS</t>
        </is>
      </c>
      <c r="E52" s="24" t="inlineStr">
        <is>
          <t>Tennant, Stewart-Brown and colleagues, University of Warwick and University of Edinburgh</t>
        </is>
      </c>
      <c r="F52" s="24" t="inlineStr">
        <is>
          <t>2007</t>
        </is>
      </c>
      <c r="G52" s="24" t="inlineStr">
        <is>
          <t>Positive mental wellbeing covering hedonic feelings and eudaimonic psychological functioning over the past 2 weeks</t>
        </is>
      </c>
      <c r="H52" s="24" t="n">
        <v>14</v>
      </c>
      <c r="I52" s="24" t="inlineStr">
        <is>
          <t>5 point frequency scale from 1 (none of the time) to 5 (all of the time), past 2 weeks</t>
        </is>
      </c>
      <c r="J52" s="24" t="inlineStr"/>
      <c r="K52" s="24" t="inlineStr">
        <is>
          <t>Sum 14 to 70; higher is better. No official cut offs; UK population mean about 51; bands often set at plus or minus 1 SD; 3 point change is meaningful at individual level.</t>
        </is>
      </c>
      <c r="L52" s="24" t="inlineStr">
        <is>
          <t>permission required</t>
        </is>
      </c>
      <c r="M52" s="24" t="inlineStr">
        <is>
          <t>Free non commercial licence only for organisations whose main purpose is not directed towards commercial advantage; self employed individuals do not qualify even if they do not charge. Others need a paid commercial licence. Copyright line University of Warwick 2006 must be reproduced.</t>
        </is>
      </c>
      <c r="N52" s="24" t="inlineStr">
        <is>
          <t>https://warwick.ac.uk/services/innovations/wemwbs/faq/</t>
        </is>
      </c>
      <c r="O52" s="24" t="inlineStr">
        <is>
          <t>No</t>
        </is>
      </c>
      <c r="P52" s="24" t="inlineStr">
        <is>
          <t>https://warwick.ac.uk/services/innovations/wemwbs/</t>
        </is>
      </c>
      <c r="Q52" s="24" t="inlineStr"/>
      <c r="R52" s="24" t="inlineStr">
        <is>
          <t>Strong measure but a sole trader coaching practice falls outside the free licence, so budget for the Warwick commercial licence or choose WHO-5.</t>
        </is>
      </c>
      <c r="S52" s="24" t="inlineStr"/>
      <c r="T52" s="24" t="inlineStr">
        <is>
          <t>https://warwick.ac.uk/fac/sci/med/research/platform/wemwbs/about/</t>
        </is>
      </c>
      <c r="U52" s="24" t="inlineStr">
        <is>
          <t>Candidate, licence to confirm</t>
        </is>
      </c>
      <c r="V52" s="24" t="inlineStr"/>
      <c r="W52" s="24" t="inlineStr"/>
      <c r="X52" s="24" t="inlineStr"/>
    </row>
    <row r="53">
      <c r="A53" s="24" t="n">
        <v>52</v>
      </c>
      <c r="B53" s="24" t="inlineStr">
        <is>
          <t>Wellbeing, stress, self talk and personality</t>
        </is>
      </c>
      <c r="C53" s="24" t="inlineStr">
        <is>
          <t>Short Warwick Edinburgh Mental Wellbeing Scale</t>
        </is>
      </c>
      <c r="D53" s="24" t="inlineStr">
        <is>
          <t>SWEMWBS</t>
        </is>
      </c>
      <c r="E53" s="24" t="inlineStr">
        <is>
          <t>Stewart-Brown and colleagues, University of Warwick</t>
        </is>
      </c>
      <c r="F53" s="24" t="inlineStr">
        <is>
          <t>2009</t>
        </is>
      </c>
      <c r="G53" s="24" t="inlineStr">
        <is>
          <t>Mental wellbeing with emphasis on psychological functioning, past 2 weeks</t>
        </is>
      </c>
      <c r="H53" s="24" t="n">
        <v>7</v>
      </c>
      <c r="I53" s="24" t="inlineStr">
        <is>
          <t>5 point frequency scale from 1 (none of the time) to 5 (all of the time)</t>
        </is>
      </c>
      <c r="J53" s="24" t="inlineStr"/>
      <c r="K53" s="24" t="inlineStr">
        <is>
          <t>Sum 7 to 35 then convert raw total to a metric score using the Warwick conversion table; higher is better. UK norm mean about 23.6 metric; no official cut offs.</t>
        </is>
      </c>
      <c r="L53" s="24" t="inlineStr">
        <is>
          <t>permission required</t>
        </is>
      </c>
      <c r="M53" s="24" t="inlineStr">
        <is>
          <t>Same licence regime as WEMWBS: free only for non commercial organisations after registration; self employed practitioners need a commercial licence; copyright statement must be included.</t>
        </is>
      </c>
      <c r="N53" s="24" t="inlineStr">
        <is>
          <t>https://warwick.ac.uk/services/innovations/wemwbs/faq/</t>
        </is>
      </c>
      <c r="O53" s="24" t="inlineStr">
        <is>
          <t>No</t>
        </is>
      </c>
      <c r="P53" s="24" t="inlineStr">
        <is>
          <t>https://warwick.ac.uk/services/innovations/wemwbs/</t>
        </is>
      </c>
      <c r="Q53" s="24" t="inlineStr"/>
      <c r="R53" s="24" t="inlineStr">
        <is>
          <t>Brief and Rasch validated, but the licence position is the same as WEMWBS, so a commercial licence is needed for a coaching business.</t>
        </is>
      </c>
      <c r="S53" s="24" t="inlineStr"/>
      <c r="T53" s="24" t="inlineStr">
        <is>
          <t>https://warwick.ac.uk/services/innovations/wemwbs/faq/</t>
        </is>
      </c>
      <c r="U53" s="24" t="inlineStr">
        <is>
          <t>Candidate, licence to confirm</t>
        </is>
      </c>
      <c r="V53" s="24" t="inlineStr"/>
      <c r="W53" s="24" t="inlineStr"/>
      <c r="X53" s="24" t="inlineStr"/>
    </row>
    <row r="54">
      <c r="A54" s="24" t="n">
        <v>53</v>
      </c>
      <c r="B54" s="24" t="inlineStr">
        <is>
          <t>Wellbeing, stress, self talk and personality</t>
        </is>
      </c>
      <c r="C54" s="24" t="inlineStr">
        <is>
          <t>PERMA Profiler</t>
        </is>
      </c>
      <c r="D54" s="24" t="inlineStr">
        <is>
          <t>PERMA</t>
        </is>
      </c>
      <c r="E54" s="24" t="inlineStr">
        <is>
          <t>Julie Butler and Margaret L. Kern, University of Melbourne</t>
        </is>
      </c>
      <c r="F54" s="24" t="inlineStr">
        <is>
          <t>2016</t>
        </is>
      </c>
      <c r="G54" s="24" t="inlineStr">
        <is>
          <t>Flourishing across Seligman's five PERMA pillars plus overall wellbeing, negative emotion, loneliness and physical health</t>
        </is>
      </c>
      <c r="H54" s="24" t="n">
        <v>23</v>
      </c>
      <c r="I54" s="24" t="inlineStr">
        <is>
          <t>11 point scale from 0 to 10 with anchors varying by item (never to always, not at all to completely, terrible to excellent)</t>
        </is>
      </c>
      <c r="J54" s="24" t="inlineStr">
        <is>
          <t>Positive emotion, Engagement, Relationships, Meaning, Accomplishment, Negative emotion, Health, Loneliness, Overall wellbeing</t>
        </is>
      </c>
      <c r="K54" s="24" t="inlineStr">
        <is>
          <t>Mean of 3 items per PERMA domain; overall wellbeing is the mean of the 15 PERMA items plus the happiness item. Author bands: 9 and above very high functioning, below 5 languishing, but cautions against diagnostic use.</t>
        </is>
      </c>
      <c r="L54" s="24" t="inlineStr">
        <is>
          <t>free for non commercial or research only</t>
        </is>
      </c>
      <c r="M54" s="24" t="inlineStr">
        <is>
          <t>You are welcome to use these measures for research or non-commercial purposes, giving credit as noted in the measures. Commercial use: contact the Wellbeing Lab.</t>
        </is>
      </c>
      <c r="N54" s="24" t="inlineStr">
        <is>
          <t>https://www.peggykern.org/questionnaires.html</t>
        </is>
      </c>
      <c r="O54" s="24" t="inlineStr">
        <is>
          <t>Yes</t>
        </is>
      </c>
      <c r="P54" s="24" t="inlineStr">
        <is>
          <t>https://internationaljournalofwellbeing.org/index.php/ijow/article/view/526</t>
        </is>
      </c>
      <c r="Q54" s="24" t="inlineStr"/>
      <c r="R54" s="24" t="inlineStr">
        <is>
          <t>Visual profile across domains suits strengths based coaching conversations; confirm whether paid coaching counts as commercial with Kern before use.</t>
        </is>
      </c>
      <c r="S54" s="24" t="inlineStr"/>
      <c r="T54" s="24" t="inlineStr">
        <is>
          <t>https://internationaljournalofwellbeing.org/index.php/ijow/article/view/526</t>
        </is>
      </c>
      <c r="U54" s="24" t="inlineStr">
        <is>
          <t>Candidate, licence to confirm</t>
        </is>
      </c>
      <c r="V54" s="24" t="inlineStr"/>
      <c r="W54" s="24" t="inlineStr"/>
      <c r="X54" s="24" t="inlineStr"/>
    </row>
    <row r="55">
      <c r="A55" s="24" t="n">
        <v>54</v>
      </c>
      <c r="B55" s="24" t="inlineStr">
        <is>
          <t>Wellbeing, stress, self talk and personality</t>
        </is>
      </c>
      <c r="C55" s="24" t="inlineStr">
        <is>
          <t>Subjective Happiness Scale</t>
        </is>
      </c>
      <c r="D55" s="24" t="inlineStr">
        <is>
          <t>SHS</t>
        </is>
      </c>
      <c r="E55" s="24" t="inlineStr">
        <is>
          <t>Sonja Lyubomirsky and Heidi Lepper</t>
        </is>
      </c>
      <c r="F55" s="24" t="inlineStr">
        <is>
          <t>1999</t>
        </is>
      </c>
      <c r="G55" s="24" t="inlineStr">
        <is>
          <t>Global subjective happiness rated in absolute terms and relative to peers</t>
        </is>
      </c>
      <c r="H55" s="24" t="n">
        <v>4</v>
      </c>
      <c r="I55" s="24" t="inlineStr">
        <is>
          <t>7 point scale with item specific anchors (for example 1 not a very happy person to 7 a very happy person)</t>
        </is>
      </c>
      <c r="J55" s="24" t="inlineStr"/>
      <c r="K55" s="24" t="inlineStr">
        <is>
          <t>Reverse item 4 then take the mean of the 4 items, range 1 to 7; higher is happier. Adult samples typically average about 4.5 to 5.5.</t>
        </is>
      </c>
      <c r="L55" s="24" t="inlineStr">
        <is>
          <t>free for non commercial or research only</t>
        </is>
      </c>
      <c r="M55" s="24" t="inlineStr">
        <is>
          <t>Permission is granted for all non-commercial use. Fee: free. Developer site should be consulted for commercial use.</t>
        </is>
      </c>
      <c r="N55" s="24" t="inlineStr">
        <is>
          <t>https://m3ewb.research.uconn.edu/measure/subjective-happiness-scale-shs/</t>
        </is>
      </c>
      <c r="O55" s="24" t="inlineStr">
        <is>
          <t>Yes</t>
        </is>
      </c>
      <c r="P55" s="24" t="inlineStr">
        <is>
          <t>https://m3ewb.research.uconn.edu/measure/subjective-happiness-scale-shs/</t>
        </is>
      </c>
      <c r="Q55" s="24" t="inlineStr"/>
      <c r="R55" s="24" t="inlineStr">
        <is>
          <t>Very brief global anchor for wellbeing; useful alongside WHO-5 but too short to guide specific coaching targets.</t>
        </is>
      </c>
      <c r="S55" s="24" t="inlineStr"/>
      <c r="T55" s="24" t="inlineStr">
        <is>
          <t>https://m3ewb.research.uconn.edu/measure/subjective-happiness-scale-shs/</t>
        </is>
      </c>
      <c r="U55" s="24" t="inlineStr">
        <is>
          <t>Candidate, licence to confirm</t>
        </is>
      </c>
      <c r="V55" s="24" t="inlineStr"/>
      <c r="W55" s="24" t="inlineStr"/>
      <c r="X55" s="24" t="inlineStr"/>
    </row>
    <row r="56">
      <c r="A56" s="24" t="n">
        <v>55</v>
      </c>
      <c r="B56" s="24" t="inlineStr">
        <is>
          <t>Wellbeing, stress, self talk and personality; Open repositories</t>
        </is>
      </c>
      <c r="C56" s="24" t="inlineStr">
        <is>
          <t>Meaning in Life Questionnaire</t>
        </is>
      </c>
      <c r="D56" s="24" t="inlineStr">
        <is>
          <t>MLQ</t>
        </is>
      </c>
      <c r="E56" s="24" t="inlineStr">
        <is>
          <t>Michael F. Steger, Patricia Frazier, Shigehiro Oishi and Matthew Kaler</t>
        </is>
      </c>
      <c r="F56" s="24" t="inlineStr">
        <is>
          <t>2006</t>
        </is>
      </c>
      <c r="G56" s="24" t="inlineStr">
        <is>
          <t>Presence of meaning in life and active search for meaning</t>
        </is>
      </c>
      <c r="H56" s="24" t="n">
        <v>10</v>
      </c>
      <c r="I56" s="24" t="inlineStr">
        <is>
          <t>7 point scale from 1 (absolutely untrue) to 7 (absolutely true)</t>
        </is>
      </c>
      <c r="J56" s="24" t="inlineStr">
        <is>
          <t>Presence of Meaning, Search for Meaning</t>
        </is>
      </c>
      <c r="K56" s="24" t="inlineStr">
        <is>
          <t>Sum 5 items per subscale after reversing item 9; each subscale 5 to 35. Steger treats Presence above 24 as high and below 24 as low; Search is interpreted alongside Presence rather than as good or bad.</t>
        </is>
      </c>
      <c r="L56" s="24" t="inlineStr">
        <is>
          <t>free for non commercial or research only</t>
        </is>
      </c>
      <c r="M56" s="24" t="inlineStr">
        <is>
          <t>Provided free of charge for educational, therapeutic, and academic research purposes. Commercial use requires prior written permission.</t>
        </is>
      </c>
      <c r="N56" s="24" t="inlineStr">
        <is>
          <t>http://www.michaelfsteger.com/?page_id=13</t>
        </is>
      </c>
      <c r="O56" s="24" t="inlineStr">
        <is>
          <t>Yes</t>
        </is>
      </c>
      <c r="P56" s="24" t="inlineStr">
        <is>
          <t>https://ppc.sas.upenn.edu/node/213</t>
        </is>
      </c>
      <c r="Q56" s="24" t="inlineStr"/>
      <c r="R56" s="24" t="inlineStr">
        <is>
          <t>Well suited to career and purpose coaching; the Presence versus Search profile opens a structured values conversation.</t>
        </is>
      </c>
      <c r="S56" s="24" t="inlineStr"/>
      <c r="T56" s="24" t="inlineStr">
        <is>
          <t>https://m3ewb.research.uconn.edu/measure/meaning-in-life-questionnaire-mlq</t>
        </is>
      </c>
      <c r="U56" s="24" t="inlineStr">
        <is>
          <t>Candidate, licence to confirm</t>
        </is>
      </c>
      <c r="V56" s="24" t="inlineStr"/>
      <c r="W56" s="24" t="inlineStr"/>
      <c r="X56" s="24" t="inlineStr"/>
    </row>
    <row r="57">
      <c r="A57" s="24" t="n">
        <v>56</v>
      </c>
      <c r="B57" s="24" t="inlineStr">
        <is>
          <t>Wellbeing, stress, self talk and personality</t>
        </is>
      </c>
      <c r="C57" s="24" t="inlineStr">
        <is>
          <t>Scales of Psychological Well-Being, 18 item version</t>
        </is>
      </c>
      <c r="D57" s="24" t="inlineStr">
        <is>
          <t>PWB-18</t>
        </is>
      </c>
      <c r="E57" s="24" t="inlineStr">
        <is>
          <t>Carol D. Ryff, University of Wisconsin Madison</t>
        </is>
      </c>
      <c r="F57" s="24" t="inlineStr">
        <is>
          <t>1989 original; 18 item form 1995 onward</t>
        </is>
      </c>
      <c r="G57" s="24" t="inlineStr">
        <is>
          <t>Eudaimonic wellbeing across six theory based dimensions</t>
        </is>
      </c>
      <c r="H57" s="24" t="n">
        <v>18</v>
      </c>
      <c r="I57" s="24" t="inlineStr">
        <is>
          <t>6 or 7 point agreement scale depending on version (1 strongly disagree to 6 or 7 strongly agree)</t>
        </is>
      </c>
      <c r="J57" s="24" t="inlineStr">
        <is>
          <t>Autonomy, Environmental Mastery, Personal Growth, Positive Relations with Others, Purpose in Life, Self Acceptance</t>
        </is>
      </c>
      <c r="K57" s="24" t="inlineStr">
        <is>
          <t>3 items per dimension, about half reverse keyed; sum per dimension (3 to 18 or 21); higher indicates greater wellbeing on that dimension. No clinical cut offs; the 18 item form has modest subscale reliability.</t>
        </is>
      </c>
      <c r="L57" s="24" t="inlineStr">
        <is>
          <t>permission required</t>
        </is>
      </c>
      <c r="M57" s="24" t="inlineStr">
        <is>
          <t>No public licence statement. Ryff supplies the scales on request for research use; secondary sites state they cannot grant permission and direct users to the author.</t>
        </is>
      </c>
      <c r="N57" s="24" t="inlineStr">
        <is>
          <t>https://ppc.sas.upenn.edu/node/217</t>
        </is>
      </c>
      <c r="O57" s="24" t="inlineStr">
        <is>
          <t>No</t>
        </is>
      </c>
      <c r="P57" s="24" t="inlineStr">
        <is>
          <t>https://ppc.sas.upenn.edu/node/217</t>
        </is>
      </c>
      <c r="Q57" s="24" t="inlineStr"/>
      <c r="R57" s="24" t="inlineStr">
        <is>
          <t>The six dimensions map neatly onto coaching goals, but written permission from Ryff should be obtained before use in a paid practice.</t>
        </is>
      </c>
      <c r="S57" s="24" t="inlineStr"/>
      <c r="T57" s="24" t="inlineStr">
        <is>
          <t>https://arc.psych.wisc.edu/self-report/psychological-well-being-scales-wbs/</t>
        </is>
      </c>
      <c r="U57" s="24" t="inlineStr">
        <is>
          <t>Candidate, licence to confirm</t>
        </is>
      </c>
      <c r="V57" s="24" t="inlineStr"/>
      <c r="W57" s="24" t="inlineStr"/>
      <c r="X57" s="24" t="inlineStr"/>
    </row>
    <row r="58">
      <c r="A58" s="24" t="n">
        <v>57</v>
      </c>
      <c r="B58" s="24" t="inlineStr">
        <is>
          <t>Wellbeing, stress, self talk and personality</t>
        </is>
      </c>
      <c r="C58" s="24" t="inlineStr">
        <is>
          <t>Perceived Stress Scale, 4 item</t>
        </is>
      </c>
      <c r="D58" s="24" t="inlineStr">
        <is>
          <t>PSS-4</t>
        </is>
      </c>
      <c r="E58" s="24" t="inlineStr">
        <is>
          <t>Sheldon Cohen, Tom Kamarck and Robin Mermelstein (PSS); 4 item form Cohen and Williamson</t>
        </is>
      </c>
      <c r="F58" s="24" t="inlineStr">
        <is>
          <t>1983; PSS-4 1988</t>
        </is>
      </c>
      <c r="G58" s="24" t="inlineStr">
        <is>
          <t>Degree to which situations in the past month are appraised as unpredictable, uncontrollable and overloaded</t>
        </is>
      </c>
      <c r="H58" s="24" t="n">
        <v>4</v>
      </c>
      <c r="I58" s="24" t="inlineStr">
        <is>
          <t>5 point frequency scale from 0 (never) to 4 (very often), past month</t>
        </is>
      </c>
      <c r="J58" s="24" t="inlineStr"/>
      <c r="K58" s="24" t="inlineStr">
        <is>
          <t>Reverse items 2 and 3 then sum 0 to 16; higher is more stress. No clinical cut offs; US and British normative means about 4.5 to 6.1.</t>
        </is>
      </c>
      <c r="L58" s="24" t="inlineStr">
        <is>
          <t>permission required</t>
        </is>
      </c>
      <c r="M58" s="24" t="inlineStr">
        <is>
          <t>Please submit permission requests to use the Perceived Stress Scale (PSS) through the ePROVIDE platform of MAPI Research Trust. Submitting a request for permission is completely free of charge. Mapi distributes academic use free and licenses commercial use.</t>
        </is>
      </c>
      <c r="N58" s="24" t="inlineStr">
        <is>
          <t>https://www.cmu.edu/dietrich/psychology/stress-immunity-disease-lab/scales</t>
        </is>
      </c>
      <c r="O58" s="24" t="inlineStr">
        <is>
          <t>Yes</t>
        </is>
      </c>
      <c r="P58" s="24" t="inlineStr">
        <is>
          <t>https://www.cmu.edu/dietrich/psychology/stress-immunity-disease-lab/scales</t>
        </is>
      </c>
      <c r="Q58" s="24" t="inlineStr"/>
      <c r="R58" s="24" t="inlineStr">
        <is>
          <t>Ultra brief stress check for repeated use; register with Mapi ePROVIDE first. NovoPsych already carries the PSS-10, so this adds only the 4 item form.</t>
        </is>
      </c>
      <c r="S58" s="24" t="inlineStr"/>
      <c r="T58" s="24" t="inlineStr">
        <is>
          <t>https://www.cmu.edu/common-cold-project/measures-by-study/psychological-and-social-constructs/stress-measures/perceived-stress.html</t>
        </is>
      </c>
      <c r="U58" s="24" t="inlineStr">
        <is>
          <t>Candidate, licence to confirm</t>
        </is>
      </c>
      <c r="V58" s="24" t="inlineStr">
        <is>
          <t>Check: digital or platform use may need its own licence</t>
        </is>
      </c>
      <c r="W58" s="24" t="inlineStr"/>
      <c r="X58" s="24" t="inlineStr"/>
    </row>
    <row r="59">
      <c r="A59" s="24" t="n">
        <v>58</v>
      </c>
      <c r="B59" s="24" t="inlineStr">
        <is>
          <t>Wellbeing, stress, self talk and personality</t>
        </is>
      </c>
      <c r="C59" s="24" t="inlineStr">
        <is>
          <t>Ego Resiliency Scale</t>
        </is>
      </c>
      <c r="D59" s="24" t="inlineStr">
        <is>
          <t>ER89</t>
        </is>
      </c>
      <c r="E59" s="24" t="inlineStr">
        <is>
          <t>Jack Block and Adam M. Kremen</t>
        </is>
      </c>
      <c r="F59" s="24" t="inlineStr">
        <is>
          <t>1996</t>
        </is>
      </c>
      <c r="G59" s="24" t="inlineStr">
        <is>
          <t>Trait ego resiliency: capacity to adapt flexibly to changing demands and recover from stress</t>
        </is>
      </c>
      <c r="H59" s="24" t="n">
        <v>14</v>
      </c>
      <c r="I59" s="24" t="inlineStr">
        <is>
          <t>4 point scale from 1 (does not apply at all) to 4 (applies very strongly)</t>
        </is>
      </c>
      <c r="J59" s="24" t="inlineStr">
        <is>
          <t>Optimal Regulation (ER89-R), Openness to Life Experiences (ER89-R)</t>
        </is>
      </c>
      <c r="K59" s="24" t="inlineStr">
        <is>
          <t>Sum 14 to 56 for the original; higher is more resilient. The 10 item ER89-R (Alessandri 2008) is scored by its two factors separately. No published cut offs.</t>
        </is>
      </c>
      <c r="L59" s="24" t="inlineStr">
        <is>
          <t>not stated</t>
        </is>
      </c>
      <c r="M59" s="24" t="inlineStr">
        <is>
          <t>No licence or permission statement located on an authoritative page; original items appear in the 1996 JPSP article, which is not open access.</t>
        </is>
      </c>
      <c r="N59" s="24" t="inlineStr">
        <is>
          <t>https://e-space.mmu.ac.uk/630343/8/Ego_Resiliency_AAM.pdf</t>
        </is>
      </c>
      <c r="O59" s="24" t="inlineStr">
        <is>
          <t>No</t>
        </is>
      </c>
      <c r="P59" s="24" t="inlineStr">
        <is>
          <t>https://e-space.mmu.ac.uk/630343/8/Ego_Resiliency_AAM.pdf</t>
        </is>
      </c>
      <c r="Q59" s="24" t="inlineStr"/>
      <c r="R59" s="24" t="inlineStr">
        <is>
          <t>A free alternative to the commercial Connor Davidson scale, but licence status is unclear so cite Block and Kremen and check with the publisher APA before commercial use.</t>
        </is>
      </c>
      <c r="S59" s="24" t="inlineStr"/>
      <c r="T59" s="24" t="inlineStr">
        <is>
          <t>https://e-space.mmu.ac.uk/630343/8/Ego_Resiliency_AAM.pdf</t>
        </is>
      </c>
      <c r="U59" s="24" t="inlineStr">
        <is>
          <t>Candidate, licence to confirm</t>
        </is>
      </c>
      <c r="V59" s="24" t="inlineStr"/>
      <c r="W59" s="24" t="inlineStr"/>
      <c r="X59" s="24" t="inlineStr"/>
    </row>
    <row r="60">
      <c r="A60" s="24" t="n">
        <v>59</v>
      </c>
      <c r="B60" s="24" t="inlineStr">
        <is>
          <t>Wellbeing, stress, self talk and personality</t>
        </is>
      </c>
      <c r="C60" s="24" t="inlineStr">
        <is>
          <t>Self-Compassion Scale, long form</t>
        </is>
      </c>
      <c r="D60" s="24" t="inlineStr">
        <is>
          <t>SCS</t>
        </is>
      </c>
      <c r="E60" s="24" t="inlineStr">
        <is>
          <t>Kristin D. Neff, University of Texas at Austin</t>
        </is>
      </c>
      <c r="F60" s="24" t="inlineStr">
        <is>
          <t>2003</t>
        </is>
      </c>
      <c r="G60" s="24" t="inlineStr">
        <is>
          <t>Self compassion: self kindness, common humanity and mindfulness versus self judgement, isolation and over identification</t>
        </is>
      </c>
      <c r="H60" s="24" t="n">
        <v>26</v>
      </c>
      <c r="I60" s="24" t="inlineStr">
        <is>
          <t>5 point scale from 1 (almost never) to 5 (almost always)</t>
        </is>
      </c>
      <c r="J60" s="24" t="inlineStr">
        <is>
          <t>Self Kindness, Self Judgement, Common Humanity, Isolation, Mindfulness, Over Identification</t>
        </is>
      </c>
      <c r="K60" s="24" t="inlineStr">
        <is>
          <t>Reverse the 3 negative subscales, compute 6 subscale means, total is the mean of subscale means (1 to 5). Neff rubric: 1.0 to 2.49 low, 2.5 to 3.5 moderate, 3.51 to 5.0 high.</t>
        </is>
      </c>
      <c r="L60" s="24" t="inlineStr">
        <is>
          <t>free with attribution (CC or stated)</t>
        </is>
      </c>
      <c r="M60" s="24" t="inlineStr">
        <is>
          <t>Neff grants permission to use the Self-Compassion Scale (Neff, 2003) for any purpose whatsoever. Permission is also given to translate the Self-Compassion Scale.</t>
        </is>
      </c>
      <c r="N60" s="24" t="inlineStr">
        <is>
          <t>https://self-compassion.org/wp-content/uploads/2021/03/SCS-information.pdf</t>
        </is>
      </c>
      <c r="O60" s="24" t="inlineStr">
        <is>
          <t>Yes</t>
        </is>
      </c>
      <c r="P60" s="24" t="inlineStr">
        <is>
          <t>https://self-compassion.org/wptest/wp-content/uploads/Self_Compassion_Scale_for_researchers.pdf</t>
        </is>
      </c>
      <c r="Q60" s="24" t="inlineStr"/>
      <c r="R60" s="24" t="inlineStr">
        <is>
          <t>Excellent for self talk and perfectionism coaching; the six subscale profile gives concrete practice targets. NovoPsych has only the 12 item short form.</t>
        </is>
      </c>
      <c r="S60" s="24" t="inlineStr"/>
      <c r="T60" s="24" t="inlineStr">
        <is>
          <t>https://self-compassion.org/wp-content/uploads/2021/03/SCS-information.pdf</t>
        </is>
      </c>
      <c r="U60" s="24" t="inlineStr">
        <is>
          <t>Candidate, client facing possible</t>
        </is>
      </c>
      <c r="V60" s="24" t="inlineStr"/>
      <c r="W60" s="24" t="inlineStr"/>
      <c r="X60" s="24" t="inlineStr">
        <is>
          <t>Added (yes, cleared)</t>
        </is>
      </c>
    </row>
    <row r="61">
      <c r="A61" s="24" t="n">
        <v>60</v>
      </c>
      <c r="B61" s="24" t="inlineStr">
        <is>
          <t>Wellbeing, stress, self talk and personality</t>
        </is>
      </c>
      <c r="C61" s="24" t="inlineStr">
        <is>
          <t>Dysfunctional Attitude Scale Short Forms 1 and 2</t>
        </is>
      </c>
      <c r="D61" s="24" t="inlineStr">
        <is>
          <t>DAS-SF1 / DAS-SF2</t>
        </is>
      </c>
      <c r="E61" s="24" t="inlineStr">
        <is>
          <t>Christopher G. Beevers, Strong, Meyer, Pilkonis and Miller</t>
        </is>
      </c>
      <c r="F61" s="24" t="inlineStr">
        <is>
          <t>2007</t>
        </is>
      </c>
      <c r="G61" s="24" t="inlineStr">
        <is>
          <t>Depressogenic dysfunctional attitudes (perfectionism and need for approval) derived from the 40 item DAS Form A</t>
        </is>
      </c>
      <c r="H61" s="24" t="n">
        <v>9</v>
      </c>
      <c r="I61" s="24" t="inlineStr">
        <is>
          <t>4 point agreement scale from totally disagree to totally agree</t>
        </is>
      </c>
      <c r="J61" s="24" t="inlineStr"/>
      <c r="K61" s="24" t="inlineStr">
        <is>
          <t>Sum of 9 items, 9 to 36 per form; higher is more dysfunctional attitudes. Two parallel 9 item forms allow pre and post use. No published cut offs.</t>
        </is>
      </c>
      <c r="L61" s="24" t="inlineStr">
        <is>
          <t>free for non commercial or research only</t>
        </is>
      </c>
      <c r="M61" s="24" t="inlineStr">
        <is>
          <t>These scales may be used for research purposes. It is not necessary to request permission to use the DAS-SF for research purposes.</t>
        </is>
      </c>
      <c r="N61" s="24" t="inlineStr">
        <is>
          <t>https://labs.la.utexas.edu/beevers/?p=298</t>
        </is>
      </c>
      <c r="O61" s="24" t="inlineStr">
        <is>
          <t>Yes</t>
        </is>
      </c>
      <c r="P61" s="24" t="inlineStr">
        <is>
          <t>https://repositories.lib.utexas.edu/items/6545f731-902a-4f03-9726-9d929151b5d4</t>
        </is>
      </c>
      <c r="Q61" s="24" t="inlineStr"/>
      <c r="R61" s="24" t="inlineStr">
        <is>
          <t>Compact cognitive schema measure for thinking pattern work; permission statement covers research only, so confirm with Beevers for coaching use.</t>
        </is>
      </c>
      <c r="S61" s="24" t="inlineStr"/>
      <c r="T61" s="24" t="inlineStr">
        <is>
          <t>https://labs.la.utexas.edu/beevers/?p=298</t>
        </is>
      </c>
      <c r="U61" s="24" t="inlineStr">
        <is>
          <t>Sarah only if used (screener; never summarised to the client)</t>
        </is>
      </c>
      <c r="V61" s="24" t="inlineStr"/>
      <c r="W61" s="24" t="inlineStr"/>
      <c r="X61" s="24" t="inlineStr"/>
    </row>
    <row r="62">
      <c r="A62" s="24" t="n">
        <v>61</v>
      </c>
      <c r="B62" s="24" t="inlineStr">
        <is>
          <t>Wellbeing, stress, self talk and personality</t>
        </is>
      </c>
      <c r="C62" s="24" t="inlineStr">
        <is>
          <t>Intolerance of Uncertainty Scale, short form</t>
        </is>
      </c>
      <c r="D62" s="24" t="inlineStr">
        <is>
          <t>IUS-12</t>
        </is>
      </c>
      <c r="E62" s="24" t="inlineStr">
        <is>
          <t>R. Nicholas Carleton, Peter J. Norton and Gordon J. G. Asmundson</t>
        </is>
      </c>
      <c r="F62" s="24" t="inlineStr">
        <is>
          <t>2007</t>
        </is>
      </c>
      <c r="G62" s="24" t="inlineStr">
        <is>
          <t>Dispositional difficulty tolerating uncertainty, with prospective and inhibitory anxiety components</t>
        </is>
      </c>
      <c r="H62" s="24" t="n">
        <v>12</v>
      </c>
      <c r="I62" s="24" t="inlineStr">
        <is>
          <t>5 point scale from 1 (not at all characteristic of me) to 5 (entirely characteristic of me)</t>
        </is>
      </c>
      <c r="J62" s="24" t="inlineStr">
        <is>
          <t>Prospective Anxiety (7 items), Inhibitory Anxiety (5 items)</t>
        </is>
      </c>
      <c r="K62" s="24" t="inlineStr">
        <is>
          <t>Sum 12 to 60; higher is less tolerance of uncertainty. Bifactor work (Hale 2015) recommends the total score over subscales. No clinical cut offs; community means around 25 to 30.</t>
        </is>
      </c>
      <c r="L62" s="24" t="inlineStr">
        <is>
          <t>not stated</t>
        </is>
      </c>
      <c r="M62" s="24" t="inlineStr">
        <is>
          <t>No formal licence statement located; the scale is published in Journal of Anxiety Disorders and is routinely reproduced and used without fee in research.</t>
        </is>
      </c>
      <c r="N62" s="24" t="inlineStr">
        <is>
          <t>https://pmc.ncbi.nlm.nih.gov/articles/PMC4809643</t>
        </is>
      </c>
      <c r="O62" s="24" t="inlineStr">
        <is>
          <t>Yes</t>
        </is>
      </c>
      <c r="P62" s="24" t="inlineStr">
        <is>
          <t>https://pmc.ncbi.nlm.nih.gov/articles/PMC4809643</t>
        </is>
      </c>
      <c r="Q62" s="24" t="inlineStr"/>
      <c r="R62" s="24" t="inlineStr">
        <is>
          <t>Useful for clients who procrastinate or over plan under ambiguity; items are listed in abbreviated form in the open access Hale 2015 paper.</t>
        </is>
      </c>
      <c r="S62" s="24" t="inlineStr"/>
      <c r="T62" s="24" t="inlineStr">
        <is>
          <t>https://pmc.ncbi.nlm.nih.gov/articles/PMC4809643</t>
        </is>
      </c>
      <c r="U62" s="24" t="inlineStr">
        <is>
          <t>Candidate, licence to confirm</t>
        </is>
      </c>
      <c r="V62" s="24" t="inlineStr"/>
      <c r="W62" s="24" t="inlineStr"/>
      <c r="X62" s="24" t="inlineStr"/>
    </row>
    <row r="63">
      <c r="A63" s="24" t="n">
        <v>62</v>
      </c>
      <c r="B63" s="24" t="inlineStr">
        <is>
          <t>Wellbeing, stress, self talk and personality</t>
        </is>
      </c>
      <c r="C63" s="24" t="inlineStr">
        <is>
          <t>Cognitive Emotion Regulation Questionnaire, short</t>
        </is>
      </c>
      <c r="D63" s="24" t="inlineStr">
        <is>
          <t>CERQ-short</t>
        </is>
      </c>
      <c r="E63" s="24" t="inlineStr">
        <is>
          <t>Nadia Garnefski and Vivian Kraaij, Leiden University</t>
        </is>
      </c>
      <c r="F63" s="24" t="inlineStr">
        <is>
          <t>2006</t>
        </is>
      </c>
      <c r="G63" s="24" t="inlineStr">
        <is>
          <t>Nine cognitive strategies used to regulate emotion after negative events</t>
        </is>
      </c>
      <c r="H63" s="24" t="n">
        <v>18</v>
      </c>
      <c r="I63" s="24" t="inlineStr">
        <is>
          <t>5 point frequency scale from 1 (almost never) to 5 (almost always)</t>
        </is>
      </c>
      <c r="J63" s="24" t="inlineStr">
        <is>
          <t>Self Blame, Acceptance, Rumination, Positive Refocusing, Refocus on Planning, Positive Reappraisal, Putting into Perspective, Catastrophising, Other Blame</t>
        </is>
      </c>
      <c r="K63" s="24" t="inlineStr">
        <is>
          <t>2 items per strategy summed, each 2 to 10; higher means more use of that strategy. Adaptive versus maladaptive composites are sometimes formed. No cut offs.</t>
        </is>
      </c>
      <c r="L63" s="24" t="inlineStr">
        <is>
          <t>permission required</t>
        </is>
      </c>
      <c r="M63" s="24" t="inlineStr">
        <is>
          <t>The 2006 article is open access via Leiden University, but the CERQ manual and norms are distributed by the authors (DATEC) and the authors ask to be contacted before use.</t>
        </is>
      </c>
      <c r="N63" s="24" t="inlineStr">
        <is>
          <t>https://openaccess.leidenuniv.nl/handle/1887/14233</t>
        </is>
      </c>
      <c r="O63" s="24" t="inlineStr">
        <is>
          <t>Yes</t>
        </is>
      </c>
      <c r="P63" s="24" t="inlineStr">
        <is>
          <t>https://scholarlypublications.universiteitleiden.nl/access/item%3A2873257/view</t>
        </is>
      </c>
      <c r="Q63" s="24" t="inlineStr"/>
      <c r="R63" s="24" t="inlineStr">
        <is>
          <t>Rich profile of coping thoughts for emotion regulation coaching; request permission from Garnefski and Kraaij for applied use.</t>
        </is>
      </c>
      <c r="S63" s="24" t="inlineStr"/>
      <c r="T63" s="24" t="inlineStr">
        <is>
          <t>https://scholarlypublications.universiteitleiden.nl/access/item%3A2873257/view</t>
        </is>
      </c>
      <c r="U63" s="24" t="inlineStr">
        <is>
          <t>Candidate, licence to confirm</t>
        </is>
      </c>
      <c r="V63" s="24" t="inlineStr"/>
      <c r="W63" s="24" t="inlineStr"/>
      <c r="X63" s="24" t="inlineStr"/>
    </row>
    <row r="64">
      <c r="A64" s="24" t="n">
        <v>63</v>
      </c>
      <c r="B64" s="24" t="inlineStr">
        <is>
          <t>Wellbeing, stress, self talk and personality</t>
        </is>
      </c>
      <c r="C64" s="24" t="inlineStr">
        <is>
          <t>Brief Fear of Negative Evaluation Scale</t>
        </is>
      </c>
      <c r="D64" s="24" t="inlineStr">
        <is>
          <t>BFNE</t>
        </is>
      </c>
      <c r="E64" s="24" t="inlineStr">
        <is>
          <t>Mark R. Leary</t>
        </is>
      </c>
      <c r="F64" s="24" t="inlineStr">
        <is>
          <t>1983</t>
        </is>
      </c>
      <c r="G64" s="24" t="inlineStr">
        <is>
          <t>Apprehension about being evaluated negatively by others</t>
        </is>
      </c>
      <c r="H64" s="24" t="n">
        <v>12</v>
      </c>
      <c r="I64" s="24" t="inlineStr">
        <is>
          <t>5 point scale from 1 (not at all characteristic of me) to 5 (extremely characteristic of me)</t>
        </is>
      </c>
      <c r="J64" s="24" t="inlineStr"/>
      <c r="K64" s="24" t="inlineStr">
        <is>
          <t>Reverse items 2, 4, 7 and 10 then sum 12 to 60; higher is greater fear of negative evaluation. Some authors use only the 8 straightforward items (BFNE-S). No formal cut offs.</t>
        </is>
      </c>
      <c r="L64" s="24" t="inlineStr">
        <is>
          <t>not stated</t>
        </is>
      </c>
      <c r="M64" s="24" t="inlineStr">
        <is>
          <t>No permission statement; the scale is posted openly on Leary's Duke University lab site with citation only.</t>
        </is>
      </c>
      <c r="N64" s="24" t="inlineStr">
        <is>
          <t>https://sites.duke.edu/leary/files/2019/05/Brief-FNE.pdf</t>
        </is>
      </c>
      <c r="O64" s="24" t="inlineStr">
        <is>
          <t>Yes</t>
        </is>
      </c>
      <c r="P64" s="24" t="inlineStr">
        <is>
          <t>https://sites.duke.edu/leary/files/2019/05/Brief-FNE.pdf</t>
        </is>
      </c>
      <c r="Q64" s="24" t="inlineStr"/>
      <c r="R64" s="24" t="inlineStr">
        <is>
          <t>Good for imposter feelings, feedback avoidance and presentation anxiety in workplace coaching.</t>
        </is>
      </c>
      <c r="S64" s="24" t="inlineStr"/>
      <c r="T64" s="24" t="inlineStr">
        <is>
          <t>https://sites.duke.edu/leary/files/2019/05/Brief-FNE.pdf</t>
        </is>
      </c>
      <c r="U64" s="24" t="inlineStr">
        <is>
          <t>Candidate, licence to confirm</t>
        </is>
      </c>
      <c r="V64" s="24" t="inlineStr"/>
      <c r="W64" s="24" t="inlineStr"/>
      <c r="X64" s="24" t="inlineStr"/>
    </row>
    <row r="65">
      <c r="A65" s="24" t="n">
        <v>64</v>
      </c>
      <c r="B65" s="24" t="inlineStr">
        <is>
          <t>Wellbeing, stress, self talk and personality</t>
        </is>
      </c>
      <c r="C65" s="24" t="inlineStr">
        <is>
          <t>Frost Multidimensional Perfectionism Scale, Brief</t>
        </is>
      </c>
      <c r="D65" s="24" t="inlineStr">
        <is>
          <t>FMPS-B</t>
        </is>
      </c>
      <c r="E65" s="24" t="inlineStr">
        <is>
          <t>Alexandra M. Burgess, Randy O. Frost and Patricia M. DiBartolo</t>
        </is>
      </c>
      <c r="F65" s="24" t="inlineStr">
        <is>
          <t>2016</t>
        </is>
      </c>
      <c r="G65" s="24" t="inlineStr">
        <is>
          <t>Perfectionism as evaluative concerns and perfectionistic strivings</t>
        </is>
      </c>
      <c r="H65" s="24" t="n">
        <v>8</v>
      </c>
      <c r="I65" s="24" t="inlineStr">
        <is>
          <t>5 point agreement scale from 1 (strongly disagree) to 5 (strongly agree)</t>
        </is>
      </c>
      <c r="J65" s="24" t="inlineStr">
        <is>
          <t>Evaluative Concerns (4 items), Strivings (4 items)</t>
        </is>
      </c>
      <c r="K65" s="24" t="inlineStr">
        <is>
          <t>Sum per subscale 4 to 20 and total 8 to 40; higher is more perfectionistic. No cut offs published.</t>
        </is>
      </c>
      <c r="L65" s="24" t="inlineStr">
        <is>
          <t>free with attribution (CC or stated)</t>
        </is>
      </c>
      <c r="M65" s="24" t="inlineStr">
        <is>
          <t>Validation article is open access under the Creative Commons Attribution License (CC BY) and reproduces all 8 items; the parent FMPS is used freely in research with citation.</t>
        </is>
      </c>
      <c r="N65" s="24" t="inlineStr">
        <is>
          <t>https://www.frontiersin.org/journals/psychology/articles/10.3389/fpsyg.2020.01860/full</t>
        </is>
      </c>
      <c r="O65" s="24" t="inlineStr">
        <is>
          <t>Yes</t>
        </is>
      </c>
      <c r="P65" s="24" t="inlineStr">
        <is>
          <t>https://www.frontiersin.org/journals/psychology/articles/10.3389/fpsyg.2020.01860/full</t>
        </is>
      </c>
      <c r="Q65" s="24" t="inlineStr"/>
      <c r="R65" s="24" t="inlineStr">
        <is>
          <t>Quick screen separating healthy striving from self critical concern; NovoPsych carries the full 35 item FMPS, not this brief form.</t>
        </is>
      </c>
      <c r="S65" s="24" t="inlineStr"/>
      <c r="T65" s="24" t="inlineStr">
        <is>
          <t>https://www.frontiersin.org/journals/psychology/articles/10.3389/fpsyg.2020.01860/full</t>
        </is>
      </c>
      <c r="U65" s="24" t="inlineStr">
        <is>
          <t>Candidate, client facing possible</t>
        </is>
      </c>
      <c r="V65" s="24" t="inlineStr"/>
      <c r="W65" s="24" t="inlineStr"/>
      <c r="X65" s="24" t="inlineStr">
        <is>
          <t>Added (yes, cleared)</t>
        </is>
      </c>
    </row>
    <row r="66">
      <c r="A66" s="24" t="n">
        <v>65</v>
      </c>
      <c r="B66" s="24" t="inlineStr">
        <is>
          <t>Wellbeing, stress, self talk and personality</t>
        </is>
      </c>
      <c r="C66" s="24" t="inlineStr">
        <is>
          <t>Almost Perfect Scale Revised</t>
        </is>
      </c>
      <c r="D66" s="24" t="inlineStr">
        <is>
          <t>APS-R</t>
        </is>
      </c>
      <c r="E66" s="24" t="inlineStr">
        <is>
          <t>Robert B. Slaney, Kenneth G. Rice, Michael Mobley, Joseph Trippi and Jeffrey S. Ashby</t>
        </is>
      </c>
      <c r="F66" s="24" t="inlineStr">
        <is>
          <t>2001</t>
        </is>
      </c>
      <c r="G66" s="24" t="inlineStr">
        <is>
          <t>Perfectionism as high standards, order and discrepancy between standards and performance</t>
        </is>
      </c>
      <c r="H66" s="24" t="n">
        <v>23</v>
      </c>
      <c r="I66" s="24" t="inlineStr">
        <is>
          <t>7 point agreement scale from 1 (strongly disagree) to 7 (strongly agree)</t>
        </is>
      </c>
      <c r="J66" s="24" t="inlineStr">
        <is>
          <t>High Standards (7 items), Order (4 items), Discrepancy (12 items)</t>
        </is>
      </c>
      <c r="K66" s="24" t="inlineStr">
        <is>
          <t>Sum or average within subscale. Rice and Ashby 2007 rule: Standards below 42 non perfectionist; Standards 42 or more with Discrepancy below 42 adaptive, 42 or more maladaptive.</t>
        </is>
      </c>
      <c r="L66" s="24" t="inlineStr">
        <is>
          <t>free with attribution (CC or stated)</t>
        </is>
      </c>
      <c r="M66" s="24" t="inlineStr">
        <is>
          <t>There is no permission needed to use or translate the scale. The scale should be cited properly.</t>
        </is>
      </c>
      <c r="N66" s="24" t="inlineStr">
        <is>
          <t>https://sites.gsu.edu/cpyricelab/?p=264</t>
        </is>
      </c>
      <c r="O66" s="24" t="inlineStr">
        <is>
          <t>Yes</t>
        </is>
      </c>
      <c r="P66" s="24" t="inlineStr">
        <is>
          <t>https://www.kennethwang.com/apsr/scales/APSR-English.pdf</t>
        </is>
      </c>
      <c r="Q66" s="24" t="inlineStr"/>
      <c r="R66" s="24" t="inlineStr">
        <is>
          <t>Distinguishes adaptive from maladaptive perfectionists with published cut offs, which works well for high achieving coaching clients.</t>
        </is>
      </c>
      <c r="S66" s="24" t="inlineStr"/>
      <c r="T66" s="24" t="inlineStr">
        <is>
          <t>https://sites.gsu.edu/cpyricelab/?p=264</t>
        </is>
      </c>
      <c r="U66" s="24" t="inlineStr">
        <is>
          <t>Candidate, client facing possible</t>
        </is>
      </c>
      <c r="V66" s="24" t="inlineStr"/>
      <c r="W66" s="24" t="inlineStr"/>
      <c r="X66" s="24" t="inlineStr">
        <is>
          <t>Added (yes, cleared)</t>
        </is>
      </c>
    </row>
    <row r="67">
      <c r="A67" s="24" t="n">
        <v>66</v>
      </c>
      <c r="B67" s="24" t="inlineStr">
        <is>
          <t>Wellbeing, stress, self talk and personality</t>
        </is>
      </c>
      <c r="C67" s="24" t="inlineStr">
        <is>
          <t>Short Almost Perfect Scale</t>
        </is>
      </c>
      <c r="D67" s="24" t="inlineStr">
        <is>
          <t>SAPS</t>
        </is>
      </c>
      <c r="E67" s="24" t="inlineStr">
        <is>
          <t>Kenneth G. Rice, Clarissa M. E. Richardson and Stephen Tueller</t>
        </is>
      </c>
      <c r="F67" s="24" t="inlineStr">
        <is>
          <t>2014</t>
        </is>
      </c>
      <c r="G67" s="24" t="inlineStr">
        <is>
          <t>Perfectionistic standards and discrepancy</t>
        </is>
      </c>
      <c r="H67" s="24" t="n">
        <v>8</v>
      </c>
      <c r="I67" s="24" t="inlineStr">
        <is>
          <t>7 point agreement scale from 1 (strongly disagree) to 7 (strongly agree)</t>
        </is>
      </c>
      <c r="J67" s="24" t="inlineStr">
        <is>
          <t>Standards (4 items), Discrepancy (4 items)</t>
        </is>
      </c>
      <c r="K67" s="24" t="inlineStr">
        <is>
          <t>Sum or average each subscale (4 to 28 summed); higher Discrepancy indicates maladaptive perfectionism. No separate SAPS cut offs published.</t>
        </is>
      </c>
      <c r="L67" s="24" t="inlineStr">
        <is>
          <t>free with attribution (CC or stated)</t>
        </is>
      </c>
      <c r="M67" s="24" t="inlineStr">
        <is>
          <t>No permission is required to use or translate the SAPS because it is a subset of the APS-R; cite properly.</t>
        </is>
      </c>
      <c r="N67" s="24" t="inlineStr">
        <is>
          <t>https://sites.gsu.edu/cpyricelab/?p=264</t>
        </is>
      </c>
      <c r="O67" s="24" t="inlineStr">
        <is>
          <t>Yes</t>
        </is>
      </c>
      <c r="P67" s="24" t="inlineStr">
        <is>
          <t>https://kennethwang.com/apsr/scales/SAPS-English.pdf</t>
        </is>
      </c>
      <c r="Q67" s="24" t="inlineStr"/>
      <c r="R67" s="24" t="inlineStr">
        <is>
          <t>8 item perfectionism check for intake batteries where time is short.</t>
        </is>
      </c>
      <c r="S67" s="24" t="inlineStr"/>
      <c r="T67" s="24" t="inlineStr">
        <is>
          <t>https://sites.gsu.edu/cpyricelab/?p=264</t>
        </is>
      </c>
      <c r="U67" s="24" t="inlineStr">
        <is>
          <t>Candidate, client facing possible</t>
        </is>
      </c>
      <c r="V67" s="24" t="inlineStr"/>
      <c r="W67" s="24" t="inlineStr"/>
      <c r="X67" s="24" t="inlineStr">
        <is>
          <t>Added (yes, cleared)</t>
        </is>
      </c>
    </row>
    <row r="68">
      <c r="A68" s="24" t="n">
        <v>67</v>
      </c>
      <c r="B68" s="24" t="inlineStr">
        <is>
          <t>Wellbeing, stress, self talk and personality; Open repositories</t>
        </is>
      </c>
      <c r="C68" s="24" t="inlineStr">
        <is>
          <t>Mindful Attention Awareness Scale</t>
        </is>
      </c>
      <c r="D68" s="24" t="inlineStr">
        <is>
          <t>MAAS</t>
        </is>
      </c>
      <c r="E68" s="24" t="inlineStr">
        <is>
          <t>Kirk Warren Brown and Richard M. Ryan</t>
        </is>
      </c>
      <c r="F68" s="24" t="inlineStr">
        <is>
          <t>2003</t>
        </is>
      </c>
      <c r="G68" s="24" t="inlineStr">
        <is>
          <t>Dispositional mindfulness as present moment attention and awareness in daily life</t>
        </is>
      </c>
      <c r="H68" s="24" t="n">
        <v>15</v>
      </c>
      <c r="I68" s="24" t="inlineStr">
        <is>
          <t>6 point frequency scale from 1 (almost always) to 6 (almost never)</t>
        </is>
      </c>
      <c r="J68" s="24" t="inlineStr"/>
      <c r="K68" s="24" t="inlineStr">
        <is>
          <t>Mean of 15 items, range 1 to 6; higher is more mindful. No cut offs; community means about 3.8 to 4.2.</t>
        </is>
      </c>
      <c r="L68" s="24" t="inlineStr">
        <is>
          <t>free for non commercial or research only</t>
        </is>
      </c>
      <c r="M68" s="24" t="inlineStr">
        <is>
          <t>All academic use is permitted. You must obtain permission from the Center for Self-Determination Theory for commercial use. Download requires agreeing to terms and conditions.</t>
        </is>
      </c>
      <c r="N68" s="24" t="inlineStr">
        <is>
          <t>https://selfdeterminationtheory.org/mindfulness-attention-awareness/</t>
        </is>
      </c>
      <c r="O68" s="24" t="inlineStr">
        <is>
          <t>Yes</t>
        </is>
      </c>
      <c r="P68" s="24" t="inlineStr">
        <is>
          <t>https://ppc.sas.upenn.edu/node/214</t>
        </is>
      </c>
      <c r="Q68" s="24" t="inlineStr"/>
      <c r="R68" s="24" t="inlineStr">
        <is>
          <t>Simple attention baseline for mindfulness based coaching; a paid practice should request the CSDT commercial licence.</t>
        </is>
      </c>
      <c r="S68" s="24" t="inlineStr"/>
      <c r="T68" s="24" t="inlineStr">
        <is>
          <t>https://selfdeterminationtheory.org/mindfulness-attention-awareness/</t>
        </is>
      </c>
      <c r="U68" s="24" t="inlineStr">
        <is>
          <t>Candidate, licence to confirm</t>
        </is>
      </c>
      <c r="V68" s="24" t="inlineStr"/>
      <c r="W68" s="24" t="inlineStr"/>
      <c r="X68" s="24" t="inlineStr"/>
    </row>
    <row r="69">
      <c r="A69" s="24" t="n">
        <v>68</v>
      </c>
      <c r="B69" s="24" t="inlineStr">
        <is>
          <t>Wellbeing, stress, self talk and personality</t>
        </is>
      </c>
      <c r="C69" s="24" t="inlineStr">
        <is>
          <t>Cognitive Fusion Questionnaire</t>
        </is>
      </c>
      <c r="D69" s="24" t="inlineStr">
        <is>
          <t>CFQ-7</t>
        </is>
      </c>
      <c r="E69" s="24" t="inlineStr">
        <is>
          <t>David T. Gillanders, Helen Bolderston, Frank W. Bond and colleagues</t>
        </is>
      </c>
      <c r="F69" s="24" t="inlineStr">
        <is>
          <t>2014</t>
        </is>
      </c>
      <c r="G69" s="24" t="inlineStr">
        <is>
          <t>Cognitive fusion: being entangled with and dominated by thoughts</t>
        </is>
      </c>
      <c r="H69" s="24" t="n">
        <v>7</v>
      </c>
      <c r="I69" s="24" t="inlineStr">
        <is>
          <t>7 point frequency scale from 1 (never true) to 7 (always true)</t>
        </is>
      </c>
      <c r="J69" s="24" t="inlineStr"/>
      <c r="K69" s="24" t="inlineStr">
        <is>
          <t>Sum 7 to 49; higher is more fusion. Non clinical means about 20 to 25, clinical samples about 30 plus; no formal cut off.</t>
        </is>
      </c>
      <c r="L69" s="24" t="inlineStr">
        <is>
          <t>free with attribution (CC or stated)</t>
        </is>
      </c>
      <c r="M69" s="24" t="inlineStr">
        <is>
          <t>The CFQ is free to use for clinical and research purposes, permission is not needed.</t>
        </is>
      </c>
      <c r="N69" s="24" t="inlineStr">
        <is>
          <t>https://contextualscience.org/cognitive_fusion_questionnaire_cfq</t>
        </is>
      </c>
      <c r="O69" s="24" t="inlineStr">
        <is>
          <t>No</t>
        </is>
      </c>
      <c r="P69" s="24" t="inlineStr">
        <is>
          <t>https://contextualscience.org/cognitive_fusion_questionnaire_cfq</t>
        </is>
      </c>
      <c r="Q69" s="24" t="inlineStr"/>
      <c r="R69" s="24" t="inlineStr">
        <is>
          <t>Core ACT process measure for defusion work; item PDF is behind ACBS membership but the 2014 Behavior Therapy article reproduces the items.</t>
        </is>
      </c>
      <c r="S69" s="24" t="inlineStr"/>
      <c r="T69" s="24" t="inlineStr">
        <is>
          <t>https://contextualscience.org/CFQ</t>
        </is>
      </c>
      <c r="U69" s="24" t="inlineStr">
        <is>
          <t>Candidate, client facing possible</t>
        </is>
      </c>
      <c r="V69" s="24" t="inlineStr"/>
      <c r="W69" s="24" t="inlineStr"/>
      <c r="X69" s="24" t="inlineStr"/>
    </row>
    <row r="70">
      <c r="A70" s="24" t="n">
        <v>69</v>
      </c>
      <c r="B70" s="24" t="inlineStr">
        <is>
          <t>Wellbeing, stress, self talk and personality</t>
        </is>
      </c>
      <c r="C70" s="24" t="inlineStr">
        <is>
          <t>Comprehensive assessment of Acceptance and Commitment Therapy processes</t>
        </is>
      </c>
      <c r="D70" s="24" t="inlineStr">
        <is>
          <t>CompACT</t>
        </is>
      </c>
      <c r="E70" s="24" t="inlineStr">
        <is>
          <t>Alison W. Francis, David L. Dawson and Nima Golijani-Moghaddam, University of Lincoln</t>
        </is>
      </c>
      <c r="F70" s="24" t="inlineStr">
        <is>
          <t>2016</t>
        </is>
      </c>
      <c r="G70" s="24" t="inlineStr">
        <is>
          <t>Psychological flexibility across the six ACT processes grouped as three dyads</t>
        </is>
      </c>
      <c r="H70" s="24" t="n">
        <v>23</v>
      </c>
      <c r="I70" s="24" t="inlineStr">
        <is>
          <t>7 point agreement scale from 0 (strongly disagree) to 6 (strongly agree)</t>
        </is>
      </c>
      <c r="J70" s="24" t="inlineStr">
        <is>
          <t>Openness to Experience (10 items), Behavioural Awareness (5 items), Valued Action (8 items)</t>
        </is>
      </c>
      <c r="K70" s="24" t="inlineStr">
        <is>
          <t>Reverse negatively worded items then sum; total 0 to 138 and three subscale scores; higher is more flexible. Scoring key and calculator supplied with the licence; no cut offs.</t>
        </is>
      </c>
      <c r="L70" s="24" t="inlineStr">
        <is>
          <t>permission required</t>
        </is>
      </c>
      <c r="M70" s="24" t="inlineStr">
        <is>
          <t>Free Licence (Restricted), Term: Perpetual, Free of charge, obtained through the University of Lincoln IP store after accepting its terms.</t>
        </is>
      </c>
      <c r="N70" s="24" t="inlineStr">
        <is>
          <t>https://ipstore.lincoln.ac.uk/product/the-compact-a-tool-for-measuring-psychological-flexibility</t>
        </is>
      </c>
      <c r="O70" s="24" t="inlineStr">
        <is>
          <t>Yes</t>
        </is>
      </c>
      <c r="P70" s="24" t="inlineStr">
        <is>
          <t>https://contextualscience.org/sites/default/files/CompACT%20manuscript%20%28for%20archiving%29.pdf</t>
        </is>
      </c>
      <c r="Q70" s="24" t="inlineStr"/>
      <c r="R70" s="24" t="inlineStr">
        <is>
          <t>Strength based flexibility measure that fits ACT informed coaching; register through the Lincoln IP store and read the restricted terms before client use.</t>
        </is>
      </c>
      <c r="S70" s="24" t="inlineStr"/>
      <c r="T70" s="24" t="inlineStr">
        <is>
          <t>https://contextualscience.org/publications/development_validation_comprehensive_assessment_acceptance_commitment_therapy</t>
        </is>
      </c>
      <c r="U70" s="24" t="inlineStr">
        <is>
          <t>Candidate, licence to confirm</t>
        </is>
      </c>
      <c r="V70" s="24" t="inlineStr"/>
      <c r="W70" s="24" t="inlineStr"/>
      <c r="X70" s="24" t="inlineStr"/>
    </row>
    <row r="71">
      <c r="A71" s="24" t="n">
        <v>70</v>
      </c>
      <c r="B71" s="24" t="inlineStr">
        <is>
          <t>Wellbeing, stress, self talk and personality</t>
        </is>
      </c>
      <c r="C71" s="24" t="inlineStr">
        <is>
          <t>Big Five Inventory 2</t>
        </is>
      </c>
      <c r="D71" s="24" t="inlineStr">
        <is>
          <t>BFI-2</t>
        </is>
      </c>
      <c r="E71" s="24" t="inlineStr">
        <is>
          <t>Christopher J. Soto and Oliver P. John</t>
        </is>
      </c>
      <c r="F71" s="24" t="inlineStr">
        <is>
          <t>2017</t>
        </is>
      </c>
      <c r="G71" s="24" t="inlineStr">
        <is>
          <t>Big Five personality domains and 15 facets</t>
        </is>
      </c>
      <c r="H71" s="24" t="n">
        <v>60</v>
      </c>
      <c r="I71" s="24" t="inlineStr">
        <is>
          <t>5 point agreement scale from 1 (disagree strongly) to 5 (agree strongly)</t>
        </is>
      </c>
      <c r="J71" s="24" t="inlineStr">
        <is>
          <t>Extraversion, Agreeableness, Conscientiousness, Negative Emotionality, Open-Mindedness, 15 facets (3 per domain)</t>
        </is>
      </c>
      <c r="K71" s="24" t="inlineStr">
        <is>
          <t>Average item responses per domain (12 items) and facet (4 items) after reverse keying; range 1 to 5. Normative means published in Soto and John 2017; no cut offs.</t>
        </is>
      </c>
      <c r="L71" s="24" t="inlineStr">
        <is>
          <t>free for non commercial or research only</t>
        </is>
      </c>
      <c r="M71" s="24" t="inlineStr">
        <is>
          <t>The BFI-2 is not in the public domain but is freely available for researchers to use for non-commercial research purposes. Commercial use requires a request to the UC Berkeley Personality Lab.</t>
        </is>
      </c>
      <c r="N71" s="24" t="inlineStr">
        <is>
          <t>https://www.ocf.berkeley.edu/~johnlab/bfi.html</t>
        </is>
      </c>
      <c r="O71" s="24" t="inlineStr">
        <is>
          <t>Yes</t>
        </is>
      </c>
      <c r="P71" s="24" t="inlineStr">
        <is>
          <t>https://www.colby.edu/academics/departments-and-programs/psychology/research-opportunities/personality-lab/the-bfi-2/</t>
        </is>
      </c>
      <c r="Q71" s="24" t="inlineStr"/>
      <c r="R71" s="24" t="inlineStr">
        <is>
          <t>Best free modern Big Five with facets for self awareness work; email the Berkeley lab for a commercial permission before using in paid coaching.</t>
        </is>
      </c>
      <c r="S71" s="24" t="inlineStr"/>
      <c r="T71" s="24" t="inlineStr">
        <is>
          <t>https://www.colby.edu/academics/departments-and-programs/psychology/research-opportunities/personality-lab/the-bfi-2/</t>
        </is>
      </c>
      <c r="U71" s="24" t="inlineStr">
        <is>
          <t>Candidate, licence to confirm</t>
        </is>
      </c>
      <c r="V71" s="24" t="inlineStr"/>
      <c r="W71" s="24" t="inlineStr"/>
      <c r="X71" s="24" t="inlineStr"/>
    </row>
    <row r="72">
      <c r="A72" s="24" t="n">
        <v>71</v>
      </c>
      <c r="B72" s="24" t="inlineStr">
        <is>
          <t>Wellbeing, stress, self talk and personality</t>
        </is>
      </c>
      <c r="C72" s="24" t="inlineStr">
        <is>
          <t>Big Five Inventory 2 Short Form</t>
        </is>
      </c>
      <c r="D72" s="24" t="inlineStr">
        <is>
          <t>BFI-2-S</t>
        </is>
      </c>
      <c r="E72" s="24" t="inlineStr">
        <is>
          <t>Christopher J. Soto and Oliver P. John</t>
        </is>
      </c>
      <c r="F72" s="24" t="inlineStr">
        <is>
          <t>2017</t>
        </is>
      </c>
      <c r="G72" s="24" t="inlineStr">
        <is>
          <t>Big Five personality domains with reduced facet coverage</t>
        </is>
      </c>
      <c r="H72" s="24" t="n">
        <v>30</v>
      </c>
      <c r="I72" s="24" t="inlineStr">
        <is>
          <t>5 point agreement scale from 1 (disagree strongly) to 5 (agree strongly)</t>
        </is>
      </c>
      <c r="J72" s="24" t="inlineStr">
        <is>
          <t>Extraversion, Agreeableness, Conscientiousness, Negative Emotionality, Open-Mindedness</t>
        </is>
      </c>
      <c r="K72" s="24" t="inlineStr">
        <is>
          <t>Average 6 items per domain after reverse keying; 2 item facets are available but authors advise caution below about 400 observations.</t>
        </is>
      </c>
      <c r="L72" s="24" t="inlineStr">
        <is>
          <t>free for non commercial or research only</t>
        </is>
      </c>
      <c r="M72" s="24" t="inlineStr">
        <is>
          <t>BFI-2 items copyright 2015 by Oliver P. John and Christopher J. Soto; same terms as BFI-2, free for non commercial research with commercial use by request.</t>
        </is>
      </c>
      <c r="N72" s="24" t="inlineStr">
        <is>
          <t>https://www.ocf.berkeley.edu/~johnlab/bfi.html</t>
        </is>
      </c>
      <c r="O72" s="24" t="inlineStr">
        <is>
          <t>Yes</t>
        </is>
      </c>
      <c r="P72" s="24" t="inlineStr">
        <is>
          <t>https://ocf.berkeley.edu/~johnlab/bfis.pdf</t>
        </is>
      </c>
      <c r="Q72" s="24" t="inlineStr"/>
      <c r="R72" s="24" t="inlineStr">
        <is>
          <t>Half length Big Five for intake packs; same commercial permission caveat as the BFI-2.</t>
        </is>
      </c>
      <c r="S72" s="24" t="inlineStr"/>
      <c r="T72" s="24" t="inlineStr">
        <is>
          <t>https://ocf.berkeley.edu/~johnlab/bfis.pdf</t>
        </is>
      </c>
      <c r="U72" s="24" t="inlineStr">
        <is>
          <t>Candidate, licence to confirm</t>
        </is>
      </c>
      <c r="V72" s="24" t="inlineStr"/>
      <c r="W72" s="24" t="inlineStr"/>
      <c r="X72" s="24" t="inlineStr"/>
    </row>
    <row r="73">
      <c r="A73" s="24" t="n">
        <v>72</v>
      </c>
      <c r="B73" s="24" t="inlineStr">
        <is>
          <t>Wellbeing, stress, self talk and personality; Open repositories</t>
        </is>
      </c>
      <c r="C73" s="24" t="inlineStr">
        <is>
          <t>Mini International Personality Item Pool</t>
        </is>
      </c>
      <c r="D73" s="24" t="inlineStr">
        <is>
          <t>Mini-IPIP</t>
        </is>
      </c>
      <c r="E73" s="24" t="inlineStr">
        <is>
          <t>M. Brent Donnellan, Frederick L. Oswald, Brendan M. Baird and Richard E. Lucas</t>
        </is>
      </c>
      <c r="F73" s="24" t="inlineStr">
        <is>
          <t>2006</t>
        </is>
      </c>
      <c r="G73" s="24" t="inlineStr">
        <is>
          <t>Big Five personality factors using public domain IPIP items</t>
        </is>
      </c>
      <c r="H73" s="24" t="n">
        <v>20</v>
      </c>
      <c r="I73" s="24" t="inlineStr">
        <is>
          <t>5 point accuracy scale from 1 (very inaccurate) to 5 (very accurate)</t>
        </is>
      </c>
      <c r="J73" s="24" t="inlineStr">
        <is>
          <t>Extraversion, Agreeableness, Conscientiousness, Neuroticism, Intellect or Imagination</t>
        </is>
      </c>
      <c r="K73" s="24" t="inlineStr">
        <is>
          <t>Reverse keyed items then sum 4 items per factor, range 4 to 20; higher is more of the trait. No cut offs.</t>
        </is>
      </c>
      <c r="L73" s="24" t="inlineStr">
        <is>
          <t>public domain</t>
        </is>
      </c>
      <c r="M73" s="24" t="inlineStr">
        <is>
          <t>Because the IPIP has been placed in the public domain, permission has already been automatically granted for any person to use IPIP items, scales, and inventories for any purpose, commercial or non-commercial.</t>
        </is>
      </c>
      <c r="N73" s="24" t="inlineStr">
        <is>
          <t>https://ipip.ori.org/newPermission.htm</t>
        </is>
      </c>
      <c r="O73" s="24" t="inlineStr">
        <is>
          <t>Yes</t>
        </is>
      </c>
      <c r="P73" s="24" t="inlineStr">
        <is>
          <t>https://ipip.ori.org/MiniIPIPKey.htm</t>
        </is>
      </c>
      <c r="Q73" s="24" t="inlineStr"/>
      <c r="R73" s="24" t="inlineStr">
        <is>
          <t>The only fully public domain Big Five option, so safest for a commercial coaching practice; coarse but adequate for conversation starters.</t>
        </is>
      </c>
      <c r="S73" s="24" t="inlineStr"/>
      <c r="T73" s="24" t="inlineStr">
        <is>
          <t>https://www.millisecond.com/download/library/v7/mini_ipip/mini_ipip.manual</t>
        </is>
      </c>
      <c r="U73" s="24" t="inlineStr">
        <is>
          <t>Candidate, client facing possible</t>
        </is>
      </c>
      <c r="V73" s="24" t="inlineStr"/>
      <c r="W73" s="24" t="inlineStr"/>
      <c r="X73" s="24" t="inlineStr">
        <is>
          <t>Added (yes, cleared)</t>
        </is>
      </c>
    </row>
    <row r="74">
      <c r="A74" s="24" t="n">
        <v>73</v>
      </c>
      <c r="B74" s="24" t="inlineStr">
        <is>
          <t>Wellbeing, stress, self talk and personality</t>
        </is>
      </c>
      <c r="C74" s="24" t="inlineStr">
        <is>
          <t>HEXACO Personality Inventory Revised, 60 item</t>
        </is>
      </c>
      <c r="D74" s="24" t="inlineStr">
        <is>
          <t>HEXACO-60</t>
        </is>
      </c>
      <c r="E74" s="24" t="inlineStr">
        <is>
          <t>Michael C. Ashton and Kibeom Lee</t>
        </is>
      </c>
      <c r="F74" s="24" t="inlineStr">
        <is>
          <t>2009</t>
        </is>
      </c>
      <c r="G74" s="24" t="inlineStr">
        <is>
          <t>Six personality factors including Honesty Humility and Emotionality</t>
        </is>
      </c>
      <c r="H74" s="24" t="n">
        <v>60</v>
      </c>
      <c r="I74" s="24" t="inlineStr">
        <is>
          <t>5 point agreement scale from 1 (strongly disagree) to 5 (strongly agree)</t>
        </is>
      </c>
      <c r="J74" s="24" t="inlineStr">
        <is>
          <t>Honesty-Humility, Emotionality, Extraversion, Agreeableness, Conscientiousness, Openness to Experience</t>
        </is>
      </c>
      <c r="K74" s="24" t="inlineStr">
        <is>
          <t>Mean of 10 items per factor after reverse keying, range 1 to 5; norms on hexaco.org. No cut offs.</t>
        </is>
      </c>
      <c r="L74" s="24" t="inlineStr">
        <is>
          <t>commercial</t>
        </is>
      </c>
      <c r="M74" s="24" t="inlineStr">
        <is>
          <t>Free for non profit research or teaching. For non academic purposes (including counselling and personnel development) users must purchase a licence at C$2 per administration, minimum 50 administrations (C$100), and hold graduate training in psychological testing.</t>
        </is>
      </c>
      <c r="N74" s="24" t="inlineStr">
        <is>
          <t>https://hexaco.org/nonacademicuse.htm</t>
        </is>
      </c>
      <c r="O74" s="24" t="inlineStr">
        <is>
          <t>Yes</t>
        </is>
      </c>
      <c r="P74" s="24" t="inlineStr">
        <is>
          <t>https://hexaco.org/hexaco-inventory</t>
        </is>
      </c>
      <c r="Q74" s="24" t="inlineStr"/>
      <c r="R74" s="24" t="inlineStr">
        <is>
          <t>Honesty Humility adds value in leadership coaching, but applied use is paid at C$2 per client so treat as a low cost commercial tool.</t>
        </is>
      </c>
      <c r="S74" s="24" t="inlineStr"/>
      <c r="T74" s="24" t="inlineStr">
        <is>
          <t>https://hexaco.org/hexaco-inventory</t>
        </is>
      </c>
      <c r="U74" s="24" t="inlineStr">
        <is>
          <t>Exclude (commercial)</t>
        </is>
      </c>
      <c r="V74" s="24" t="inlineStr"/>
      <c r="W74" s="24" t="inlineStr"/>
      <c r="X74" s="24" t="inlineStr"/>
    </row>
    <row r="75">
      <c r="A75" s="24" t="n">
        <v>74</v>
      </c>
      <c r="B75" s="24" t="inlineStr">
        <is>
          <t>Wellbeing, stress, self talk and personality</t>
        </is>
      </c>
      <c r="C75" s="24" t="inlineStr">
        <is>
          <t>Need for Cognition Scale, 6 item</t>
        </is>
      </c>
      <c r="D75" s="24" t="inlineStr">
        <is>
          <t>NCS-6</t>
        </is>
      </c>
      <c r="E75" s="24" t="inlineStr">
        <is>
          <t>Gabriel Lins de Holanda Coelho, Paul H. P. Hanel and Lukas J. Wolf</t>
        </is>
      </c>
      <c r="F75" s="24" t="inlineStr">
        <is>
          <t>2020</t>
        </is>
      </c>
      <c r="G75" s="24" t="inlineStr">
        <is>
          <t>Tendency to engage in and enjoy effortful thinking</t>
        </is>
      </c>
      <c r="H75" s="24" t="n">
        <v>6</v>
      </c>
      <c r="I75" s="24" t="inlineStr">
        <is>
          <t>5 point scale from 1 (extremely uncharacteristic) to 5 (extremely characteristic)</t>
        </is>
      </c>
      <c r="J75" s="24" t="inlineStr"/>
      <c r="K75" s="24" t="inlineStr">
        <is>
          <t>Reverse items 3 and 4 then mean of 6 items, range 1 to 5; higher is greater need for cognition. Reported means about 3.6 in UK and US samples.</t>
        </is>
      </c>
      <c r="L75" s="24" t="inlineStr">
        <is>
          <t>free with attribution (CC or stated)</t>
        </is>
      </c>
      <c r="M75" s="24" t="inlineStr">
        <is>
          <t>Development paper in Assessment is open access via PubMed Central; authors ask for acknowledgement. Parent 18 item scale by Cacioppo, Petty and Kao is used freely with citation.</t>
        </is>
      </c>
      <c r="N75" s="24" t="inlineStr">
        <is>
          <t>https://www.ncbi.nlm.nih.gov/pmc/articles/PMC7545655/</t>
        </is>
      </c>
      <c r="O75" s="24" t="inlineStr">
        <is>
          <t>Yes</t>
        </is>
      </c>
      <c r="P75" s="24" t="inlineStr">
        <is>
          <t>https://www.psytoolkit.org/survey-library/need-for-cognition-ncs6.html</t>
        </is>
      </c>
      <c r="Q75" s="24" t="inlineStr"/>
      <c r="R75" s="24" t="inlineStr">
        <is>
          <t>Quick indicator of how a client prefers to process information, useful for tailoring coaching homework.</t>
        </is>
      </c>
      <c r="S75" s="24" t="inlineStr"/>
      <c r="T75" s="24" t="inlineStr">
        <is>
          <t>https://www.ncbi.nlm.nih.gov/pmc/articles/PMC7545655/</t>
        </is>
      </c>
      <c r="U75" s="24" t="inlineStr">
        <is>
          <t>Candidate, client facing possible</t>
        </is>
      </c>
      <c r="V75" s="24" t="inlineStr"/>
      <c r="W75" s="24" t="inlineStr"/>
      <c r="X75" s="24" t="inlineStr">
        <is>
          <t>Added (yes, cleared)</t>
        </is>
      </c>
    </row>
    <row r="76">
      <c r="A76" s="24" t="n">
        <v>75</v>
      </c>
      <c r="B76" s="24" t="inlineStr">
        <is>
          <t>Wellbeing, stress, self talk and personality</t>
        </is>
      </c>
      <c r="C76" s="24" t="inlineStr">
        <is>
          <t>Highly Sensitive Person Scale</t>
        </is>
      </c>
      <c r="D76" s="24" t="inlineStr">
        <is>
          <t>HSPS</t>
        </is>
      </c>
      <c r="E76" s="24" t="inlineStr">
        <is>
          <t>Elaine N. Aron and Arthur Aron</t>
        </is>
      </c>
      <c r="F76" s="24" t="inlineStr">
        <is>
          <t>1997</t>
        </is>
      </c>
      <c r="G76" s="24" t="inlineStr">
        <is>
          <t>Sensory processing sensitivity: depth of processing, overstimulation, emotional reactivity and sensory sensitivity</t>
        </is>
      </c>
      <c r="H76" s="24" t="n">
        <v>27</v>
      </c>
      <c r="I76" s="24" t="inlineStr">
        <is>
          <t>7 point scale from 1 (not at all) to 7 (extremely)</t>
        </is>
      </c>
      <c r="J76" s="24" t="inlineStr">
        <is>
          <t>Ease of Excitation, Low Sensory Threshold, Aesthetic Sensitivity (proposed by Smolewska 2006; authors treat factor structure as unsettled)</t>
        </is>
      </c>
      <c r="K76" s="24" t="inlineStr">
        <is>
          <t>Mean or sum of 27 items, no reverse keying; higher is more sensitive. No fixed cut off; authors suggest the top 15 to 30 percent of a sample as highly sensitive. Student mean about 4.1.</t>
        </is>
      </c>
      <c r="L76" s="24" t="inlineStr">
        <is>
          <t>not stated</t>
        </is>
      </c>
      <c r="M76" s="24" t="inlineStr">
        <is>
          <t>Site copyright Elaine N. Aron, all rights reserved; research version distributed by the author for research use, the online self test is not intended for research.</t>
        </is>
      </c>
      <c r="N76" s="24" t="inlineStr">
        <is>
          <t>https://hsperson.com/test/highly-sensitive-test/</t>
        </is>
      </c>
      <c r="O76" s="24" t="inlineStr">
        <is>
          <t>Yes</t>
        </is>
      </c>
      <c r="P76" s="24" t="inlineStr">
        <is>
          <t>https://www.goodmedicine.org.uk/sites/default/files/assessment%2C%20hsps%20background.pdf</t>
        </is>
      </c>
      <c r="Q76" s="24" t="inlineStr"/>
      <c r="R76" s="24" t="inlineStr">
        <is>
          <t>Popular with neurodivergent and burnout prone clients; contact Aron for permission before using in a paid service.</t>
        </is>
      </c>
      <c r="S76" s="24" t="inlineStr"/>
      <c r="T76" s="24" t="inlineStr">
        <is>
          <t>https://www.goodmedicine.org.uk/sites/default/files/assessment%2C%20hsps%20background.pdf</t>
        </is>
      </c>
      <c r="U76" s="24" t="inlineStr">
        <is>
          <t>Candidate, licence to confirm</t>
        </is>
      </c>
      <c r="V76" s="24" t="inlineStr">
        <is>
          <t>Check: digital or platform use may need its own licence</t>
        </is>
      </c>
      <c r="W76" s="24" t="inlineStr"/>
      <c r="X76" s="24" t="inlineStr"/>
    </row>
    <row r="77">
      <c r="A77" s="24" t="n">
        <v>76</v>
      </c>
      <c r="B77" s="24" t="inlineStr">
        <is>
          <t>Wellbeing, stress, self talk and personality</t>
        </is>
      </c>
      <c r="C77" s="24" t="inlineStr">
        <is>
          <t>Three Item Loneliness Scale</t>
        </is>
      </c>
      <c r="D77" s="24" t="inlineStr">
        <is>
          <t>UCLA-3</t>
        </is>
      </c>
      <c r="E77" s="24" t="inlineStr">
        <is>
          <t>Mary Elizabeth Hughes, Linda J. Waite, Louise C. Hawkley and John T. Cacioppo</t>
        </is>
      </c>
      <c r="F77" s="24" t="inlineStr">
        <is>
          <t>2004</t>
        </is>
      </c>
      <c r="G77" s="24" t="inlineStr">
        <is>
          <t>Subjective loneliness: lack of companionship, feeling left out, feeling isolated</t>
        </is>
      </c>
      <c r="H77" s="24" t="n">
        <v>3</v>
      </c>
      <c r="I77" s="24" t="inlineStr">
        <is>
          <t>3 point frequency scale: hardly ever or never (1), some of the time (2), often (3)</t>
        </is>
      </c>
      <c r="J77" s="24" t="inlineStr"/>
      <c r="K77" s="24" t="inlineStr">
        <is>
          <t>Sum 3 to 9; higher is lonelier. Scores of 6 or more are often classed as lonely in UK and NZ surveys.</t>
        </is>
      </c>
      <c r="L77" s="24" t="inlineStr">
        <is>
          <t>not stated</t>
        </is>
      </c>
      <c r="M77" s="24" t="inlineStr">
        <is>
          <t>No licence statement from the authors; the ONS recommends it as a national indicator and its guidance is published under the Open Government Licence v3.0.</t>
        </is>
      </c>
      <c r="N77" s="24" t="inlineStr">
        <is>
          <t>https://www.ons.gov.uk/peoplepopulationandcommunity/wellbeing/compendium/nationalmeasurementofloneliness/2018/recommendednationalindicatorsofloneliness</t>
        </is>
      </c>
      <c r="O77" s="24" t="inlineStr">
        <is>
          <t>Yes</t>
        </is>
      </c>
      <c r="P77" s="24" t="inlineStr">
        <is>
          <t>https://www.ons.gov.uk/peoplepopulationandcommunity/wellbeing/compendium/nationalmeasurementofloneliness/2018/recommendednationalindicatorsofloneliness</t>
        </is>
      </c>
      <c r="Q77" s="24" t="inlineStr"/>
      <c r="R77" s="24" t="inlineStr">
        <is>
          <t>Non stigmatising way to raise social connection; widely used in population surveys without fee.</t>
        </is>
      </c>
      <c r="S77" s="24" t="inlineStr"/>
      <c r="T77" s="24" t="inlineStr">
        <is>
          <t>https://www.ons.gov.uk/peoplepopulationandcommunity/wellbeing/compendium/nationalmeasurementofloneliness/2018/recommendednationalindicatorsofloneliness</t>
        </is>
      </c>
      <c r="U77" s="24" t="inlineStr">
        <is>
          <t>Candidate, licence to confirm</t>
        </is>
      </c>
      <c r="V77" s="24" t="inlineStr"/>
      <c r="W77" s="24" t="inlineStr"/>
      <c r="X77" s="24" t="inlineStr"/>
    </row>
    <row r="78">
      <c r="A78" s="24" t="n">
        <v>77</v>
      </c>
      <c r="B78" s="24" t="inlineStr">
        <is>
          <t>Wellbeing, stress, self talk and personality</t>
        </is>
      </c>
      <c r="C78" s="24" t="inlineStr">
        <is>
          <t>Multidimensional Scale of Perceived Social Support</t>
        </is>
      </c>
      <c r="D78" s="24" t="inlineStr">
        <is>
          <t>MSPSS</t>
        </is>
      </c>
      <c r="E78" s="24" t="inlineStr">
        <is>
          <t>Gregory D. Zimet, Nancy W. Dahlem, Sara G. Zimet and Gordon K. Farley</t>
        </is>
      </c>
      <c r="F78" s="24" t="inlineStr">
        <is>
          <t>1988</t>
        </is>
      </c>
      <c r="G78" s="24" t="inlineStr">
        <is>
          <t>Perceived adequacy of social support from family, friends and a significant other</t>
        </is>
      </c>
      <c r="H78" s="24" t="n">
        <v>12</v>
      </c>
      <c r="I78" s="24" t="inlineStr">
        <is>
          <t>7 point agreement scale from 1 (very strongly disagree) to 7 (very strongly agree)</t>
        </is>
      </c>
      <c r="J78" s="24" t="inlineStr">
        <is>
          <t>Significant Other, Family, Friends</t>
        </is>
      </c>
      <c r="K78" s="24" t="inlineStr">
        <is>
          <t>Mean of 4 items per subscale and of all 12 for total, range 1 to 7. Zimet bands: 1 to 2.9 low, 3 to 5 moderate, 5.1 to 7 high.</t>
        </is>
      </c>
      <c r="L78" s="24" t="inlineStr">
        <is>
          <t>not stated</t>
        </is>
      </c>
      <c r="M78" s="24" t="inlineStr">
        <is>
          <t>No permission statement in the scoring document; it refers users to Zimet's site (gzimet.wix.com/mspss), which states the scale may be used freely with citation. Secondary hosts say to contact the author.</t>
        </is>
      </c>
      <c r="N78" s="24" t="inlineStr">
        <is>
          <t>https://gzimet.wixsite.com/mspss</t>
        </is>
      </c>
      <c r="O78" s="24" t="inlineStr">
        <is>
          <t>Yes</t>
        </is>
      </c>
      <c r="P78" s="24" t="inlineStr">
        <is>
          <t>https://www.bristol.ac.uk/media-library/sites/sps/documents/c-change/mspss.pdf</t>
        </is>
      </c>
      <c r="Q78" s="24" t="inlineStr"/>
      <c r="R78" s="24" t="inlineStr">
        <is>
          <t>Maps support sources quickly for resilience and transition coaching; confirm free use on Zimet's site before adding.</t>
        </is>
      </c>
      <c r="S78" s="24" t="inlineStr"/>
      <c r="T78" s="24" t="inlineStr">
        <is>
          <t>https://arc.psych.wisc.edu/self-report/multidimensional-scale-of-perceived-social-support-mspss/</t>
        </is>
      </c>
      <c r="U78" s="24" t="inlineStr">
        <is>
          <t>Candidate, licence to confirm</t>
        </is>
      </c>
      <c r="V78" s="24" t="inlineStr"/>
      <c r="W78" s="24" t="inlineStr"/>
      <c r="X78" s="24" t="inlineStr"/>
    </row>
    <row r="79">
      <c r="A79" s="24" t="n">
        <v>78</v>
      </c>
      <c r="B79" s="24" t="inlineStr">
        <is>
          <t>Wellbeing, stress, self talk and personality; Clinical practice in New Zealand</t>
        </is>
      </c>
      <c r="C79" s="24" t="inlineStr">
        <is>
          <t>Hua Oranga</t>
        </is>
      </c>
      <c r="D79" s="24" t="inlineStr">
        <is>
          <t>Hua Oranga</t>
        </is>
      </c>
      <c r="E79" s="24" t="inlineStr">
        <is>
          <t>Te Kani Kingi and Mason Durie, Massey University, for the Ministry of Health; revised by Andre McLachlan (Te Rau Ora)</t>
        </is>
      </c>
      <c r="F79" s="24" t="inlineStr">
        <is>
          <t>2000</t>
        </is>
      </c>
      <c r="G79" s="24" t="inlineStr">
        <is>
          <t>Māori wellbeing outcome across the four taha of Te Whare Tapa Whā (wairua, hinengaro, tinana, whānau), with a later Te Taha Taiao extension</t>
        </is>
      </c>
      <c r="H79" s="24" t="n">
        <v>16</v>
      </c>
      <c r="I79" s="24" t="inlineStr">
        <is>
          <t>5 point scale per item rating current wellbeing or change in each domain</t>
        </is>
      </c>
      <c r="J79" s="24" t="inlineStr">
        <is>
          <t>Taha Wairua, Taha Hinengaro, Taha Tinana, Taha Whānau</t>
        </is>
      </c>
      <c r="K79" s="24" t="inlineStr">
        <is>
          <t>Sum items within each taha and overall; parallel tangata whaiora, whānau and practitioner forms are compared to build a shared picture. No clinical cut offs; change over time is the focus.</t>
        </is>
      </c>
      <c r="L79" s="24" t="inlineStr">
        <is>
          <t>free with attribution (CC or stated)</t>
        </is>
      </c>
      <c r="M79" s="24" t="inlineStr">
        <is>
          <t>Te Rau Ora: the outcome measure tool is available and free to use. Access, manual and appendices are through the ORA database site; practitioner training workshops are offered.</t>
        </is>
      </c>
      <c r="N79" s="24" t="inlineStr">
        <is>
          <t>https://terauora.com/hua-oranga/</t>
        </is>
      </c>
      <c r="O79" s="24" t="inlineStr">
        <is>
          <t>Yes</t>
        </is>
      </c>
      <c r="P79" s="24" t="inlineStr">
        <is>
          <t>https://www.oradatabase.co.nz/</t>
        </is>
      </c>
      <c r="Q79" s="24" t="inlineStr"/>
      <c r="R79" s="24" t="inlineStr">
        <is>
          <t>The leading kaupapa Māori outcome measure; appropriate for Māori clients when used with cultural supervision and ideally after Te Rau Ora training.</t>
        </is>
      </c>
      <c r="S79" s="24" t="inlineStr"/>
      <c r="T79" s="24" t="inlineStr">
        <is>
          <t>https://www.hqsc.govt.nz/assets/Our-work/Mental-health-and-addiction/Resources/Maori-advisory-group-tools-Jan-2019.docx</t>
        </is>
      </c>
      <c r="U79" s="24" t="inlineStr">
        <is>
          <t>Candidate, client facing possible</t>
        </is>
      </c>
      <c r="V79" s="24" t="inlineStr"/>
      <c r="W79" s="24" t="inlineStr"/>
      <c r="X79" s="24" t="inlineStr">
        <is>
          <t>Added (yes, review)</t>
        </is>
      </c>
    </row>
    <row r="80">
      <c r="A80" s="24" t="n">
        <v>79</v>
      </c>
      <c r="B80" s="24" t="inlineStr">
        <is>
          <t>Wellbeing, stress, self talk and personality</t>
        </is>
      </c>
      <c r="C80" s="24" t="inlineStr">
        <is>
          <t>Gratitude Questionnaire</t>
        </is>
      </c>
      <c r="D80" s="24" t="inlineStr">
        <is>
          <t>GQ-6</t>
        </is>
      </c>
      <c r="E80" s="24" t="inlineStr">
        <is>
          <t>Michael E. McCullough, Robert A. Emmons and Jo-Ann Tsang</t>
        </is>
      </c>
      <c r="F80" s="24" t="inlineStr">
        <is>
          <t>2002</t>
        </is>
      </c>
      <c r="G80" s="24" t="inlineStr">
        <is>
          <t>Dispositional gratitude</t>
        </is>
      </c>
      <c r="H80" s="24" t="n">
        <v>6</v>
      </c>
      <c r="I80" s="24" t="inlineStr">
        <is>
          <t>7 point agreement scale from 1 (strongly disagree) to 7 (strongly agree)</t>
        </is>
      </c>
      <c r="J80" s="24" t="inlineStr"/>
      <c r="K80" s="24" t="inlineStr">
        <is>
          <t>Reverse items 3 and 6 then sum 6 to 42; higher is more grateful. Web sample percentiles: 35 is 25th, 38 is 50th, 41 is 75th.</t>
        </is>
      </c>
      <c r="L80" s="24" t="inlineStr">
        <is>
          <t>free for non commercial or research only</t>
        </is>
      </c>
      <c r="M80" s="24" t="inlineStr">
        <is>
          <t>The scale was published in a scientific journal for use in the public domain. You do not need to contact any of the authors for permission to use these scales in non-commercial research. You may not use the scales for commercial purposes without permission.</t>
        </is>
      </c>
      <c r="N80" s="24" t="inlineStr">
        <is>
          <t>https://pages.ucsd.edu/~memccullough/gratitude/GQ-6-scoring-interp.pdf</t>
        </is>
      </c>
      <c r="O80" s="24" t="inlineStr">
        <is>
          <t>Yes</t>
        </is>
      </c>
      <c r="P80" s="24" t="inlineStr">
        <is>
          <t>https://pages.ucsd.edu/~memccullough/gratitude/GQ-6-scoring-interp.pdf</t>
        </is>
      </c>
      <c r="Q80" s="24" t="inlineStr"/>
      <c r="R80" s="24" t="inlineStr">
        <is>
          <t>Pairs well with gratitude interventions in positive psychology coaching; commercial use needs McCullough's permission.</t>
        </is>
      </c>
      <c r="S80" s="24" t="inlineStr"/>
      <c r="T80" s="24" t="inlineStr">
        <is>
          <t>https://pages.ucsd.edu/~memccullough/gratitude/GQ-6-scoring-interp.pdf</t>
        </is>
      </c>
      <c r="U80" s="24" t="inlineStr">
        <is>
          <t>Candidate, licence to confirm</t>
        </is>
      </c>
      <c r="V80" s="24" t="inlineStr"/>
      <c r="W80" s="24" t="inlineStr"/>
      <c r="X80" s="24" t="inlineStr"/>
    </row>
    <row r="81">
      <c r="A81" s="24" t="n">
        <v>80</v>
      </c>
      <c r="B81" s="24" t="inlineStr">
        <is>
          <t>Open repositories</t>
        </is>
      </c>
      <c r="C81" s="24" t="inlineStr">
        <is>
          <t>DSM-5-TR Self-Rated Level 1 Cross-Cutting Symptom Measure, Adult</t>
        </is>
      </c>
      <c r="D81" s="24" t="inlineStr">
        <is>
          <t>DSM-5-TR L1 Adult</t>
        </is>
      </c>
      <c r="E81" s="24" t="inlineStr">
        <is>
          <t>American Psychiatric Association</t>
        </is>
      </c>
      <c r="F81" s="24" t="inlineStr">
        <is>
          <t>2013, updated 2022</t>
        </is>
      </c>
      <c r="G81" s="24" t="inlineStr">
        <is>
          <t>Broad screen of 13 psychiatric symptom domains over the past 2 weeks, including depression, anger, mania, anxiety, somatic symptoms, suicidal ideation, psychosis, sleep, memory, repetitive thoughts, dissociation, personality functioning and substance use</t>
        </is>
      </c>
      <c r="H81" s="24" t="n">
        <v>23</v>
      </c>
      <c r="I81" s="24" t="inlineStr">
        <is>
          <t>5 point, 0 (none or not at all) to 4 (severe or nearly every day)</t>
        </is>
      </c>
      <c r="J81" s="24" t="inlineStr">
        <is>
          <t>Depression, Anger, Mania, Anxiety, Somatic symptoms, Suicidal ideation, Psychosis, Sleep problems, Memory, Repetitive thoughts and behaviours, Dissociation, Personality functioning, Substance use</t>
        </is>
      </c>
      <c r="K81" s="24" t="inlineStr">
        <is>
          <t>Highest item score per domain; a rating of 2 or more (1 for suicidal ideation, psychosis and substance use) flags the domain for Level 2 follow up</t>
        </is>
      </c>
      <c r="L81" s="24" t="inlineStr">
        <is>
          <t>free for non commercial or research only</t>
        </is>
      </c>
      <c r="M81" s="24" t="inlineStr">
        <is>
          <t>APA measure PDFs state: "This material can be reproduced without permission by researchers and by clinicians for use with their patients." Site footer: "(c) 2026 American Psychiatric Association. All Rights Reserved."</t>
        </is>
      </c>
      <c r="N81" s="24" t="inlineStr">
        <is>
          <t>https://www.psychiatry.org/psychiatrists/practice/dsm/educational-resources/assessment-measures</t>
        </is>
      </c>
      <c r="O81" s="24" t="inlineStr">
        <is>
          <t>Yes</t>
        </is>
      </c>
      <c r="P81" s="24" t="inlineStr">
        <is>
          <t>https://www.psychiatry.org/File%20Library/Psychiatrists/Practice/DSM/APA_DSM5_Level-1-Measure-Adult.pdf</t>
        </is>
      </c>
      <c r="Q81" s="24" t="inlineStr"/>
      <c r="R81" s="24" t="inlineStr">
        <is>
          <t>Useful as an intake triage tool to decide whether a coaching client should be referred for clinical assessment; the APA permission is written for researchers and clinicians, so a coach should treat it as a screening and referral aid, not a diagnostic measure.</t>
        </is>
      </c>
      <c r="S81" s="24" t="inlineStr">
        <is>
          <t>APA DSM-5-TR Online Assessment Measures</t>
        </is>
      </c>
      <c r="T81" s="24" t="inlineStr">
        <is>
          <t>https://www.psychiatry.org/psychiatrists/practice/dsm/educational-resources/assessment-measures</t>
        </is>
      </c>
      <c r="U81" s="24" t="inlineStr">
        <is>
          <t>Risk measure: Sarah to decide; never unattended in the hub</t>
        </is>
      </c>
      <c r="V81" s="24" t="inlineStr"/>
      <c r="W81" s="24" t="inlineStr"/>
      <c r="X81" s="24" t="inlineStr"/>
    </row>
    <row r="82">
      <c r="A82" s="24" t="n">
        <v>81</v>
      </c>
      <c r="B82" s="24" t="inlineStr">
        <is>
          <t>Open repositories</t>
        </is>
      </c>
      <c r="C82" s="24" t="inlineStr">
        <is>
          <t>LEVEL 2 Depression, Adult (PROMIS Emotional Distress Depression Short Form)</t>
        </is>
      </c>
      <c r="D82" s="24" t="inlineStr">
        <is>
          <t>DSM-5-TR L2 Depression / PROMIS Depression 8a</t>
        </is>
      </c>
      <c r="E82" s="24" t="inlineStr">
        <is>
          <t>American Psychiatric Association using PROMIS (Pilkonis et al.)</t>
        </is>
      </c>
      <c r="F82" s="24" t="inlineStr">
        <is>
          <t>2011 PROMIS; 2013 APA</t>
        </is>
      </c>
      <c r="G82" s="24" t="inlineStr">
        <is>
          <t>Depressive symptoms (negative mood, anhedonia, negative self view) over the past 7 days</t>
        </is>
      </c>
      <c r="H82" s="24" t="n">
        <v>8</v>
      </c>
      <c r="I82" s="24" t="inlineStr">
        <is>
          <t>5 point frequency, 1 (never) to 5 (always)</t>
        </is>
      </c>
      <c r="J82" s="24" t="inlineStr"/>
      <c r="K82" s="24" t="inlineStr">
        <is>
          <t>Sum 8 to 40, converted to a PROMIS T score via the APA conversion table (mean 50, SD 10); severity bands none, mild, moderate, severe</t>
        </is>
      </c>
      <c r="L82" s="24" t="inlineStr">
        <is>
          <t>free for non commercial or research only</t>
        </is>
      </c>
      <c r="M82"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2" s="24" t="inlineStr">
        <is>
          <t>https://www.psychiatry.org/psychiatrists/practice/dsm/educational-resources/assessment-measures</t>
        </is>
      </c>
      <c r="O82" s="24" t="inlineStr">
        <is>
          <t>Yes</t>
        </is>
      </c>
      <c r="P82" s="24" t="inlineStr">
        <is>
          <t>https://www.psychiatry.org/File%20Library/Psychiatrists/Practice/DSM/APA_DSM5_Level-2-Depression-Adult.pdf</t>
        </is>
      </c>
      <c r="Q82" s="24" t="inlineStr"/>
      <c r="R82" s="24" t="inlineStr">
        <is>
          <t>Follow up measure when the Level 1 depression domain is flagged; T scores above 60 suggest a referral conversation rather than coaching alone.</t>
        </is>
      </c>
      <c r="S82" s="24" t="inlineStr">
        <is>
          <t>APA DSM-5-TR Online Assessment Measures</t>
        </is>
      </c>
      <c r="T82" s="24" t="inlineStr">
        <is>
          <t>https://www.psychiatry.org/psychiatrists/practice/dsm/educational-resources/assessment-measures</t>
        </is>
      </c>
      <c r="U82" s="24" t="inlineStr">
        <is>
          <t>Sarah only if used (screener; never summarised to the client)</t>
        </is>
      </c>
      <c r="V82" s="24" t="inlineStr"/>
      <c r="W82" s="24" t="inlineStr"/>
      <c r="X82" s="24" t="inlineStr"/>
    </row>
    <row r="83">
      <c r="A83" s="24" t="n">
        <v>82</v>
      </c>
      <c r="B83" s="24" t="inlineStr">
        <is>
          <t>Open repositories</t>
        </is>
      </c>
      <c r="C83" s="24" t="inlineStr">
        <is>
          <t>LEVEL 2 Anxiety, Adult (PROMIS Emotional Distress Anxiety Short Form)</t>
        </is>
      </c>
      <c r="D83" s="24" t="inlineStr">
        <is>
          <t>DSM-5-TR L2 Anxiety / PROMIS Anxiety 7a</t>
        </is>
      </c>
      <c r="E83" s="24" t="inlineStr">
        <is>
          <t>American Psychiatric Association using PROMIS (Pilkonis et al.)</t>
        </is>
      </c>
      <c r="F83" s="24" t="inlineStr">
        <is>
          <t>2011 PROMIS; 2013 APA</t>
        </is>
      </c>
      <c r="G83" s="24" t="inlineStr">
        <is>
          <t>Anxiety symptoms (fear, worry, hyperarousal) over the past 7 days</t>
        </is>
      </c>
      <c r="H83" s="24" t="n">
        <v>7</v>
      </c>
      <c r="I83" s="24" t="inlineStr">
        <is>
          <t>5 point frequency, 1 (never) to 5 (always)</t>
        </is>
      </c>
      <c r="J83" s="24" t="inlineStr"/>
      <c r="K83" s="24" t="inlineStr">
        <is>
          <t>Sum 7 to 35 converted to a T score (mean 50, SD 10); bands none, mild, moderate, severe</t>
        </is>
      </c>
      <c r="L83" s="24" t="inlineStr">
        <is>
          <t>free for non commercial or research only</t>
        </is>
      </c>
      <c r="M83"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3" s="24" t="inlineStr">
        <is>
          <t>https://www.psychiatry.org/psychiatrists/practice/dsm/educational-resources/assessment-measures</t>
        </is>
      </c>
      <c r="O83" s="24" t="inlineStr">
        <is>
          <t>Yes</t>
        </is>
      </c>
      <c r="P83" s="24" t="inlineStr">
        <is>
          <t>https://www.psychiatry.org/File%20Library/Psychiatrists/Practice/DSM/APA_DSM5_Level-2-Anxiety-Adult.pdf</t>
        </is>
      </c>
      <c r="Q83" s="24" t="inlineStr"/>
      <c r="R83" s="24" t="inlineStr">
        <is>
          <t>Brief check of anxiety load for clients presenting with avoidance, procrastination or overwork; pair with a functioning measure such as WSAS or WHODAS.</t>
        </is>
      </c>
      <c r="S83" s="24" t="inlineStr">
        <is>
          <t>APA DSM-5-TR Online Assessment Measures</t>
        </is>
      </c>
      <c r="T83" s="24" t="inlineStr">
        <is>
          <t>https://www.psychiatry.org/psychiatrists/practice/dsm/educational-resources/assessment-measures</t>
        </is>
      </c>
      <c r="U83" s="24" t="inlineStr">
        <is>
          <t>Candidate, licence to confirm</t>
        </is>
      </c>
      <c r="V83" s="24" t="inlineStr"/>
      <c r="W83" s="24" t="inlineStr"/>
      <c r="X83" s="24" t="inlineStr"/>
    </row>
    <row r="84">
      <c r="A84" s="24" t="n">
        <v>83</v>
      </c>
      <c r="B84" s="24" t="inlineStr">
        <is>
          <t>Open repositories</t>
        </is>
      </c>
      <c r="C84" s="24" t="inlineStr">
        <is>
          <t>LEVEL 2 Anger, Adult (PROMIS Emotional Distress Anger Short Form)</t>
        </is>
      </c>
      <c r="D84" s="24" t="inlineStr">
        <is>
          <t>DSM-5-TR L2 Anger / PROMIS Anger 5a</t>
        </is>
      </c>
      <c r="E84" s="24" t="inlineStr">
        <is>
          <t>American Psychiatric Association using PROMIS (Pilkonis et al.)</t>
        </is>
      </c>
      <c r="F84" s="24" t="inlineStr">
        <is>
          <t>2011 PROMIS; 2013 APA</t>
        </is>
      </c>
      <c r="G84" s="24" t="inlineStr">
        <is>
          <t>Angry mood, irritability and verbal aggression over the past 7 days</t>
        </is>
      </c>
      <c r="H84" s="24" t="n">
        <v>5</v>
      </c>
      <c r="I84" s="24" t="inlineStr">
        <is>
          <t>5 point frequency, 1 (never) to 5 (always)</t>
        </is>
      </c>
      <c r="J84" s="24" t="inlineStr"/>
      <c r="K84" s="24" t="inlineStr">
        <is>
          <t>Sum 5 to 25 converted to a T score (mean 50, SD 10)</t>
        </is>
      </c>
      <c r="L84" s="24" t="inlineStr">
        <is>
          <t>free for non commercial or research only</t>
        </is>
      </c>
      <c r="M84"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4" s="24" t="inlineStr">
        <is>
          <t>https://www.psychiatry.org/psychiatrists/practice/dsm/educational-resources/assessment-measures</t>
        </is>
      </c>
      <c r="O84" s="24" t="inlineStr">
        <is>
          <t>Yes</t>
        </is>
      </c>
      <c r="P84" s="24" t="inlineStr">
        <is>
          <t>https://www.psychiatry.org/File%20Library/Psychiatrists/Practice/DSM/APA_DSM5_Level-2-Anger-Adult.pdf</t>
        </is>
      </c>
      <c r="Q84" s="24" t="inlineStr"/>
      <c r="R84" s="24" t="inlineStr">
        <is>
          <t>Relevant where emotional dysregulation or irritability is a workplace theme, including in adult ADHD; short enough for repeated use.</t>
        </is>
      </c>
      <c r="S84" s="24" t="inlineStr">
        <is>
          <t>APA DSM-5-TR Online Assessment Measures</t>
        </is>
      </c>
      <c r="T84" s="24" t="inlineStr">
        <is>
          <t>https://www.psychiatry.org/psychiatrists/practice/dsm/educational-resources/assessment-measures</t>
        </is>
      </c>
      <c r="U84" s="24" t="inlineStr">
        <is>
          <t>Candidate, licence to confirm</t>
        </is>
      </c>
      <c r="V84" s="24" t="inlineStr"/>
      <c r="W84" s="24" t="inlineStr"/>
      <c r="X84" s="24" t="inlineStr"/>
    </row>
    <row r="85">
      <c r="A85" s="24" t="n">
        <v>84</v>
      </c>
      <c r="B85" s="24" t="inlineStr">
        <is>
          <t>Open repositories</t>
        </is>
      </c>
      <c r="C85" s="24" t="inlineStr">
        <is>
          <t>LEVEL 2 Sleep Disturbance, Adult (PROMIS Sleep Disturbance Short Form)</t>
        </is>
      </c>
      <c r="D85" s="24" t="inlineStr">
        <is>
          <t>DSM-5-TR L2 Sleep / PROMIS Sleep Disturbance 8b</t>
        </is>
      </c>
      <c r="E85" s="24" t="inlineStr">
        <is>
          <t>American Psychiatric Association using PROMIS (Buysse et al.)</t>
        </is>
      </c>
      <c r="F85" s="24" t="inlineStr">
        <is>
          <t>2010 PROMIS; 2013 APA</t>
        </is>
      </c>
      <c r="G85" s="24" t="inlineStr">
        <is>
          <t>Perceived sleep quality, difficulty falling and staying asleep, and satisfaction with sleep over the past 7 days</t>
        </is>
      </c>
      <c r="H85" s="24" t="n">
        <v>8</v>
      </c>
      <c r="I85" s="24" t="inlineStr">
        <is>
          <t>5 point, mix of frequency and quality anchors, scored 1 to 5</t>
        </is>
      </c>
      <c r="J85" s="24" t="inlineStr"/>
      <c r="K85" s="24" t="inlineStr">
        <is>
          <t>Sum 8 to 40 converted to a T score (mean 50, SD 10)</t>
        </is>
      </c>
      <c r="L85" s="24" t="inlineStr">
        <is>
          <t>free for non commercial or research only</t>
        </is>
      </c>
      <c r="M85" s="24" t="inlineStr">
        <is>
          <t>APA measure PDFs state: "This material can be reproduced without permission by researchers and by clinicians for use with their patients." Site footer: "(c) 2026 American Psychiatric Association. All Rights Reserved." PROMIS items are governed by HealthMeasures terms.</t>
        </is>
      </c>
      <c r="N85" s="24" t="inlineStr">
        <is>
          <t>https://www.psychiatry.org/psychiatrists/practice/dsm/educational-resources/assessment-measures</t>
        </is>
      </c>
      <c r="O85" s="24" t="inlineStr">
        <is>
          <t>Yes</t>
        </is>
      </c>
      <c r="P85" s="24" t="inlineStr">
        <is>
          <t>https://www.psychiatry.org/File%20Library/Psychiatrists/Practice/DSM/APA_DSM5_Level-2-Sleep-Disturbance-Adult.pdf</t>
        </is>
      </c>
      <c r="Q85" s="24" t="inlineStr"/>
      <c r="R85" s="24" t="inlineStr">
        <is>
          <t>Sleep is a common upstream driver of executive functioning complaints; this form gives a quick baseline before coaching on routines.</t>
        </is>
      </c>
      <c r="S85" s="24" t="inlineStr">
        <is>
          <t>APA DSM-5-TR Online Assessment Measures</t>
        </is>
      </c>
      <c r="T85" s="24" t="inlineStr">
        <is>
          <t>https://www.psychiatry.org/psychiatrists/practice/dsm/educational-resources/assessment-measures</t>
        </is>
      </c>
      <c r="U85" s="24" t="inlineStr">
        <is>
          <t>Candidate, licence to confirm</t>
        </is>
      </c>
      <c r="V85" s="24" t="inlineStr"/>
      <c r="W85" s="24" t="inlineStr"/>
      <c r="X85" s="24" t="inlineStr"/>
    </row>
    <row r="86">
      <c r="A86" s="24" t="n">
        <v>85</v>
      </c>
      <c r="B86" s="24" t="inlineStr">
        <is>
          <t>Open repositories</t>
        </is>
      </c>
      <c r="C86" s="24" t="inlineStr">
        <is>
          <t>WHO Disability Assessment Schedule 2.0, 36 item self administered</t>
        </is>
      </c>
      <c r="D86" s="24" t="inlineStr">
        <is>
          <t>WHODAS 2.0 (36 item, self)</t>
        </is>
      </c>
      <c r="E86" s="24" t="inlineStr">
        <is>
          <t>World Health Organization (Ustun et al.)</t>
        </is>
      </c>
      <c r="F86" s="24" t="inlineStr">
        <is>
          <t>2010</t>
        </is>
      </c>
      <c r="G86" s="24" t="inlineStr">
        <is>
          <t>Functioning and disability across 6 life domains over the past 30 days, aligned with the ICF</t>
        </is>
      </c>
      <c r="H86" s="24" t="n">
        <v>36</v>
      </c>
      <c r="I86" s="24" t="inlineStr">
        <is>
          <t>5 point, 1 (none) to 5 (extreme or cannot do)</t>
        </is>
      </c>
      <c r="J86" s="24" t="inlineStr">
        <is>
          <t>Understanding and communicating, Getting around, Self care, Getting along with people, Life activities (household and work or school), Participation in society</t>
        </is>
      </c>
      <c r="K86" s="24" t="inlineStr">
        <is>
          <t>Simple scoring sums items (36 to 180); complex item response theory scoring converts to 0 to 100 via WHO syntax; domain averages reported in the APA version</t>
        </is>
      </c>
      <c r="L86" s="24" t="inlineStr">
        <is>
          <t>free with attribution (CC or stated)</t>
        </is>
      </c>
      <c r="M86" s="24" t="inlineStr">
        <is>
          <t>WHO copyright. WHO makes WHODAS 2.0 freely available for use; translation or adaptation requires WHO permission. Reproduced on the APA site under the APA researcher and clinician permission.</t>
        </is>
      </c>
      <c r="N86" s="24" t="inlineStr">
        <is>
          <t>https://www.who.int/standards/classifications/international-classification-of-functioning-disability-and-health/who-disability-assessment-schedule</t>
        </is>
      </c>
      <c r="O86" s="24" t="inlineStr">
        <is>
          <t>Yes</t>
        </is>
      </c>
      <c r="P86" s="24" t="inlineStr">
        <is>
          <t>https://www.psychiatry.org/File%20Library/Psychiatrists/Practice/DSM/APA_DSM5_WHODAS.pdf</t>
        </is>
      </c>
      <c r="Q86" s="24" t="inlineStr"/>
      <c r="R86" s="24" t="inlineStr">
        <is>
          <t>Strong outcome measure for coaching because it indexes day to day functioning rather than symptoms; the Life activities and Getting along domains map directly onto work goals. The 12 item version exists if burden matters.</t>
        </is>
      </c>
      <c r="S86" s="24" t="inlineStr">
        <is>
          <t>APA DSM-5-TR Online Assessment Measures</t>
        </is>
      </c>
      <c r="T86" s="24" t="inlineStr">
        <is>
          <t>https://www.psychiatry.org/psychiatrists/practice/dsm/educational-resources/assessment-measures</t>
        </is>
      </c>
      <c r="U86" s="24" t="inlineStr">
        <is>
          <t>Candidate, client facing possible</t>
        </is>
      </c>
      <c r="V86" s="24" t="inlineStr"/>
      <c r="W86" s="24" t="inlineStr"/>
      <c r="X86" s="24" t="inlineStr">
        <is>
          <t>Added (yes, review)</t>
        </is>
      </c>
    </row>
    <row r="87">
      <c r="A87" s="24" t="n">
        <v>86</v>
      </c>
      <c r="B87" s="24" t="inlineStr">
        <is>
          <t>Open repositories</t>
        </is>
      </c>
      <c r="C87" s="24" t="inlineStr">
        <is>
          <t>Personality Inventory for DSM-5, Brief Form, Adult</t>
        </is>
      </c>
      <c r="D87" s="24" t="inlineStr">
        <is>
          <t>PID-5-BF</t>
        </is>
      </c>
      <c r="E87" s="24" t="inlineStr">
        <is>
          <t>Krueger, Derringer, Markon, Watson and Skodol for the APA</t>
        </is>
      </c>
      <c r="F87" s="24" t="inlineStr">
        <is>
          <t>2013</t>
        </is>
      </c>
      <c r="G87" s="24" t="inlineStr">
        <is>
          <t>Maladaptive personality trait domains of the DSM-5 alternative model</t>
        </is>
      </c>
      <c r="H87" s="24" t="n">
        <v>25</v>
      </c>
      <c r="I87" s="24" t="inlineStr">
        <is>
          <t>4 point, 0 (very false or often false) to 3 (very true or often true)</t>
        </is>
      </c>
      <c r="J87" s="24" t="inlineStr">
        <is>
          <t>Negative affect, Detachment, Antagonism, Disinhibition, Psychoticism</t>
        </is>
      </c>
      <c r="K87" s="24" t="inlineStr">
        <is>
          <t>Domain scores are the sum of 5 items each (0 to 15); total 0 to 75; average item scores can be compared across domains</t>
        </is>
      </c>
      <c r="L87" s="24" t="inlineStr">
        <is>
          <t>free for non commercial or research only</t>
        </is>
      </c>
      <c r="M87" s="24" t="inlineStr">
        <is>
          <t>APA measure PDFs state: "This material can be reproduced without permission by researchers and by clinicians for use with their patients." Site footer: "(c) 2026 American Psychiatric Association. All Rights Reserved."</t>
        </is>
      </c>
      <c r="N87" s="24" t="inlineStr">
        <is>
          <t>https://www.psychiatry.org/psychiatrists/practice/dsm/educational-resources/assessment-measures</t>
        </is>
      </c>
      <c r="O87" s="24" t="inlineStr">
        <is>
          <t>Yes</t>
        </is>
      </c>
      <c r="P87" s="24" t="inlineStr">
        <is>
          <t>https://www.psychiatry.org/File%20Library/Psychiatrists/Practice/DSM/APA_DSM5_The-Personality-Inventory-For-DSM-5-Brief-Form-Adult.pdf</t>
        </is>
      </c>
      <c r="Q87" s="24" t="inlineStr"/>
      <c r="R87" s="24" t="inlineStr">
        <is>
          <t>Clinical trait measure; in coaching the Disinhibition and Negative affect domains can prompt discussion of impulsivity and stress reactivity, but interpretation should be cautious and non diagnostic.</t>
        </is>
      </c>
      <c r="S87" s="24" t="inlineStr">
        <is>
          <t>APA DSM-5-TR Online Assessment Measures</t>
        </is>
      </c>
      <c r="T87" s="24" t="inlineStr">
        <is>
          <t>https://www.psychiatry.org/psychiatrists/practice/dsm/educational-resources/assessment-measures</t>
        </is>
      </c>
      <c r="U87" s="24" t="inlineStr">
        <is>
          <t>Candidate, licence to confirm</t>
        </is>
      </c>
      <c r="V87" s="24" t="inlineStr"/>
      <c r="W87" s="24" t="inlineStr"/>
      <c r="X87" s="24" t="inlineStr"/>
    </row>
    <row r="88">
      <c r="A88" s="24" t="n">
        <v>87</v>
      </c>
      <c r="B88" s="24" t="inlineStr">
        <is>
          <t>Open repositories</t>
        </is>
      </c>
      <c r="C88" s="24" t="inlineStr">
        <is>
          <t>PROMIS Cognitive Function Short Form 8a</t>
        </is>
      </c>
      <c r="D88" s="24" t="inlineStr">
        <is>
          <t>PROMIS Cog Function v2.0 8a</t>
        </is>
      </c>
      <c r="E88" s="24" t="inlineStr">
        <is>
          <t>PROMIS Health Organization / HealthMeasures (NIH funded, Northwestern University)</t>
        </is>
      </c>
      <c r="F88" s="24" t="inlineStr">
        <is>
          <t>2012 (v2.0 2017)</t>
        </is>
      </c>
      <c r="G88" s="24" t="inlineStr">
        <is>
          <t>Perceived everyday cognitive difficulties (concentration, memory, mental slowing, multitasking) over the past 7 days</t>
        </is>
      </c>
      <c r="H88" s="24" t="n">
        <v>8</v>
      </c>
      <c r="I88" s="24" t="inlineStr">
        <is>
          <t>5 point frequency, 1 (very often, several times a day) to 5 (never)</t>
        </is>
      </c>
      <c r="J88" s="24" t="inlineStr"/>
      <c r="K88" s="24" t="inlineStr">
        <is>
          <t>Sum of items converted to a T score (mean 50, SD 10) using the HealthMeasures scoring manual; higher means better cognitive function</t>
        </is>
      </c>
      <c r="L88" s="24" t="inlineStr">
        <is>
          <t>free with attribution (CC or stated)</t>
        </is>
      </c>
      <c r="M88"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88" s="24" t="inlineStr">
        <is>
          <t>https://healthmeasures.net/implement/steps-to-license/</t>
        </is>
      </c>
      <c r="O88" s="24" t="inlineStr">
        <is>
          <t>Yes</t>
        </is>
      </c>
      <c r="P88" s="24" t="inlineStr">
        <is>
          <t>https://www.healthmeasures.net/search-view-measures</t>
        </is>
      </c>
      <c r="Q88" s="24" t="inlineStr"/>
      <c r="R88" s="24" t="inlineStr">
        <is>
          <t>Core self report proxy for executive functioning in coaching; sensitive to sleep, stress and mood, so interpret alongside those measures. 4a and 6a forms exist.</t>
        </is>
      </c>
      <c r="S88" s="24" t="inlineStr">
        <is>
          <t>HealthMeasures PROMIS</t>
        </is>
      </c>
      <c r="T88" s="24" t="inlineStr">
        <is>
          <t>https://www.healthmeasures.net/explore-measurement-systems/promis</t>
        </is>
      </c>
      <c r="U88" s="24" t="inlineStr">
        <is>
          <t>Candidate, client facing possible</t>
        </is>
      </c>
      <c r="V88" s="24" t="inlineStr">
        <is>
          <t>Check: digital or platform use may need its own licence</t>
        </is>
      </c>
      <c r="W88" s="24" t="inlineStr"/>
      <c r="X88" s="24" t="inlineStr">
        <is>
          <t>Added (yes, review)</t>
        </is>
      </c>
    </row>
    <row r="89">
      <c r="A89" s="24" t="n">
        <v>88</v>
      </c>
      <c r="B89" s="24" t="inlineStr">
        <is>
          <t>Open repositories</t>
        </is>
      </c>
      <c r="C89" s="24" t="inlineStr">
        <is>
          <t>PROMIS Cognitive Function Abilities Short Form 8a</t>
        </is>
      </c>
      <c r="D89" s="24" t="inlineStr">
        <is>
          <t>PROMIS Cog Abilities v2.0 8a</t>
        </is>
      </c>
      <c r="E89" s="24" t="inlineStr">
        <is>
          <t>PROMIS Health Organization / HealthMeasures (NIH funded, Northwestern University)</t>
        </is>
      </c>
      <c r="F89" s="24" t="inlineStr">
        <is>
          <t>2012 (v2.0 2017)</t>
        </is>
      </c>
      <c r="G89" s="24" t="inlineStr">
        <is>
          <t>Self rated cognitive abilities (ability to concentrate, remember, plan, keep track of tasks) over the past 7 days</t>
        </is>
      </c>
      <c r="H89" s="24" t="n">
        <v>8</v>
      </c>
      <c r="I89" s="24" t="inlineStr">
        <is>
          <t>5 point, 1 (not at all) to 5 (very much)</t>
        </is>
      </c>
      <c r="J89" s="24" t="inlineStr"/>
      <c r="K89" s="24" t="inlineStr">
        <is>
          <t>Sum converted to a T score (mean 50, SD 10); higher means greater perceived ability</t>
        </is>
      </c>
      <c r="L89" s="24" t="inlineStr">
        <is>
          <t>free with attribution (CC or stated)</t>
        </is>
      </c>
      <c r="M89"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89" s="24" t="inlineStr">
        <is>
          <t>https://healthmeasures.net/implement/steps-to-license/</t>
        </is>
      </c>
      <c r="O89" s="24" t="inlineStr">
        <is>
          <t>Yes</t>
        </is>
      </c>
      <c r="P89" s="24" t="inlineStr">
        <is>
          <t>https://www.healthmeasures.net/search-view-measures</t>
        </is>
      </c>
      <c r="Q89" s="24" t="inlineStr"/>
      <c r="R89" s="24" t="inlineStr">
        <is>
          <t>Positively framed partner to the Cognitive Function form; suits strengths based coaching conversations and repeated measurement across a programme.</t>
        </is>
      </c>
      <c r="S89" s="24" t="inlineStr">
        <is>
          <t>HealthMeasures PROMIS</t>
        </is>
      </c>
      <c r="T89" s="24" t="inlineStr">
        <is>
          <t>https://www.healthmeasures.net/explore-measurement-systems/promis</t>
        </is>
      </c>
      <c r="U89" s="24" t="inlineStr">
        <is>
          <t>Candidate, client facing possible</t>
        </is>
      </c>
      <c r="V89" s="24" t="inlineStr">
        <is>
          <t>Check: digital or platform use may need its own licence</t>
        </is>
      </c>
      <c r="W89" s="24" t="inlineStr"/>
      <c r="X89" s="24" t="inlineStr">
        <is>
          <t>Added (yes, review)</t>
        </is>
      </c>
    </row>
    <row r="90">
      <c r="A90" s="24" t="n">
        <v>89</v>
      </c>
      <c r="B90" s="24" t="inlineStr">
        <is>
          <t>Open repositories</t>
        </is>
      </c>
      <c r="C90" s="24" t="inlineStr">
        <is>
          <t>PROMIS Sleep Disturbance Short Form 8a</t>
        </is>
      </c>
      <c r="D90" s="24" t="inlineStr">
        <is>
          <t>PROMIS Sleep Disturbance v1.0 8a</t>
        </is>
      </c>
      <c r="E90" s="24" t="inlineStr">
        <is>
          <t>PROMIS Health Organization / HealthMeasures (NIH funded, Northwestern University)</t>
        </is>
      </c>
      <c r="F90" s="24" t="inlineStr">
        <is>
          <t>2010</t>
        </is>
      </c>
      <c r="G90" s="24" t="inlineStr">
        <is>
          <t>Sleep quality, depth and restoration, and difficulty initiating or maintaining sleep over the past 7 days</t>
        </is>
      </c>
      <c r="H90" s="24" t="n">
        <v>8</v>
      </c>
      <c r="I90" s="24" t="inlineStr">
        <is>
          <t>5 point, 1 to 5 with frequency and quality anchors</t>
        </is>
      </c>
      <c r="J90" s="24" t="inlineStr"/>
      <c r="K90" s="24" t="inlineStr">
        <is>
          <t>Sum converted to a T score (mean 50, SD 10); higher means more disturbance</t>
        </is>
      </c>
      <c r="L90" s="24" t="inlineStr">
        <is>
          <t>free with attribution (CC or stated)</t>
        </is>
      </c>
      <c r="M90"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0" s="24" t="inlineStr">
        <is>
          <t>https://healthmeasures.net/implement/steps-to-license/</t>
        </is>
      </c>
      <c r="O90" s="24" t="inlineStr">
        <is>
          <t>Yes</t>
        </is>
      </c>
      <c r="P90" s="24" t="inlineStr">
        <is>
          <t>https://www.healthmeasures.net/search-view-measures</t>
        </is>
      </c>
      <c r="Q90" s="24" t="inlineStr"/>
      <c r="R90" s="24" t="inlineStr">
        <is>
          <t>Baseline and progress measure for sleep routine goals; 4a and 6a forms are available.</t>
        </is>
      </c>
      <c r="S90" s="24" t="inlineStr">
        <is>
          <t>HealthMeasures PROMIS</t>
        </is>
      </c>
      <c r="T90" s="24" t="inlineStr">
        <is>
          <t>https://www.healthmeasures.net/explore-measurement-systems/promis</t>
        </is>
      </c>
      <c r="U90" s="24" t="inlineStr">
        <is>
          <t>Candidate, client facing possible</t>
        </is>
      </c>
      <c r="V90" s="24" t="inlineStr">
        <is>
          <t>Check: digital or platform use may need its own licence</t>
        </is>
      </c>
      <c r="W90" s="24" t="inlineStr"/>
      <c r="X90" s="24" t="inlineStr">
        <is>
          <t>Added (yes, review)</t>
        </is>
      </c>
    </row>
    <row r="91">
      <c r="A91" s="24" t="n">
        <v>90</v>
      </c>
      <c r="B91" s="24" t="inlineStr">
        <is>
          <t>Open repositories</t>
        </is>
      </c>
      <c r="C91" s="24" t="inlineStr">
        <is>
          <t>PROMIS Sleep-Related Impairment Short Form 8a</t>
        </is>
      </c>
      <c r="D91" s="24" t="inlineStr">
        <is>
          <t>PROMIS Sleep-Related Impairment v1.0 8a</t>
        </is>
      </c>
      <c r="E91" s="24" t="inlineStr">
        <is>
          <t>PROMIS Health Organization / HealthMeasures (NIH funded, Northwestern University)</t>
        </is>
      </c>
      <c r="F91" s="24" t="inlineStr">
        <is>
          <t>2010</t>
        </is>
      </c>
      <c r="G91" s="24" t="inlineStr">
        <is>
          <t>Daytime consequences of poor sleep, including alertness, sleepiness and tiredness, over the past 7 days</t>
        </is>
      </c>
      <c r="H91" s="24" t="n">
        <v>8</v>
      </c>
      <c r="I91" s="24" t="inlineStr">
        <is>
          <t>5 point, 1 (not at all) to 5 (very much)</t>
        </is>
      </c>
      <c r="J91" s="24" t="inlineStr"/>
      <c r="K91" s="24" t="inlineStr">
        <is>
          <t>Sum converted to a T score (mean 50, SD 10); higher means more impairment</t>
        </is>
      </c>
      <c r="L91" s="24" t="inlineStr">
        <is>
          <t>free with attribution (CC or stated)</t>
        </is>
      </c>
      <c r="M91"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1" s="24" t="inlineStr">
        <is>
          <t>https://healthmeasures.net/implement/steps-to-license/</t>
        </is>
      </c>
      <c r="O91" s="24" t="inlineStr">
        <is>
          <t>Yes</t>
        </is>
      </c>
      <c r="P91" s="24" t="inlineStr">
        <is>
          <t>https://www.healthmeasures.net/search-view-measures</t>
        </is>
      </c>
      <c r="Q91" s="24" t="inlineStr"/>
      <c r="R91" s="24" t="inlineStr">
        <is>
          <t>Complements Sleep Disturbance by capturing daytime functioning, which is the dimension most relevant to work performance.</t>
        </is>
      </c>
      <c r="S91" s="24" t="inlineStr">
        <is>
          <t>HealthMeasures PROMIS</t>
        </is>
      </c>
      <c r="T91" s="24" t="inlineStr">
        <is>
          <t>https://www.healthmeasures.net/explore-measurement-systems/promis</t>
        </is>
      </c>
      <c r="U91" s="24" t="inlineStr">
        <is>
          <t>Candidate, client facing possible</t>
        </is>
      </c>
      <c r="V91" s="24" t="inlineStr">
        <is>
          <t>Check: digital or platform use may need its own licence</t>
        </is>
      </c>
      <c r="W91" s="24" t="inlineStr"/>
      <c r="X91" s="24" t="inlineStr">
        <is>
          <t>Added (yes, review)</t>
        </is>
      </c>
    </row>
    <row r="92">
      <c r="A92" s="24" t="n">
        <v>91</v>
      </c>
      <c r="B92" s="24" t="inlineStr">
        <is>
          <t>Open repositories</t>
        </is>
      </c>
      <c r="C92" s="24" t="inlineStr">
        <is>
          <t>PROMIS Fatigue Short Form 8a</t>
        </is>
      </c>
      <c r="D92" s="24" t="inlineStr">
        <is>
          <t>PROMIS Fatigue v1.0 8a</t>
        </is>
      </c>
      <c r="E92" s="24" t="inlineStr">
        <is>
          <t>PROMIS Health Organization / HealthMeasures (NIH funded, Northwestern University)</t>
        </is>
      </c>
      <c r="F92" s="24" t="inlineStr">
        <is>
          <t>2010</t>
        </is>
      </c>
      <c r="G92" s="24" t="inlineStr">
        <is>
          <t>Experience of fatigue and its interference with daily activities over the past 7 days</t>
        </is>
      </c>
      <c r="H92" s="24" t="n">
        <v>8</v>
      </c>
      <c r="I92" s="24" t="inlineStr">
        <is>
          <t>5 point frequency or intensity, 1 to 5</t>
        </is>
      </c>
      <c r="J92" s="24" t="inlineStr"/>
      <c r="K92" s="24" t="inlineStr">
        <is>
          <t>Sum converted to a T score (mean 50, SD 10); higher means more fatigue</t>
        </is>
      </c>
      <c r="L92" s="24" t="inlineStr">
        <is>
          <t>free with attribution (CC or stated)</t>
        </is>
      </c>
      <c r="M92"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2" s="24" t="inlineStr">
        <is>
          <t>https://healthmeasures.net/implement/steps-to-license/</t>
        </is>
      </c>
      <c r="O92" s="24" t="inlineStr">
        <is>
          <t>Yes</t>
        </is>
      </c>
      <c r="P92" s="24" t="inlineStr">
        <is>
          <t>https://www.healthmeasures.net/search-view-measures</t>
        </is>
      </c>
      <c r="Q92" s="24" t="inlineStr"/>
      <c r="R92" s="24" t="inlineStr">
        <is>
          <t>Useful for burnout and energy management coaching; shorter 4a, 6a and 7a forms exist.</t>
        </is>
      </c>
      <c r="S92" s="24" t="inlineStr">
        <is>
          <t>HealthMeasures PROMIS</t>
        </is>
      </c>
      <c r="T92" s="24" t="inlineStr">
        <is>
          <t>https://www.healthmeasures.net/explore-measurement-systems/promis</t>
        </is>
      </c>
      <c r="U92" s="24" t="inlineStr">
        <is>
          <t>Candidate, client facing possible</t>
        </is>
      </c>
      <c r="V92" s="24" t="inlineStr">
        <is>
          <t>Check: digital or platform use may need its own licence</t>
        </is>
      </c>
      <c r="W92" s="24" t="inlineStr"/>
      <c r="X92" s="24" t="inlineStr">
        <is>
          <t>Added (yes, review)</t>
        </is>
      </c>
    </row>
    <row r="93">
      <c r="A93" s="24" t="n">
        <v>92</v>
      </c>
      <c r="B93" s="24" t="inlineStr">
        <is>
          <t>Open repositories</t>
        </is>
      </c>
      <c r="C93" s="24" t="inlineStr">
        <is>
          <t>PROMIS General Self-Efficacy Short Form 4a</t>
        </is>
      </c>
      <c r="D93" s="24" t="inlineStr">
        <is>
          <t>PROMIS General Self-Efficacy v1.0 4a</t>
        </is>
      </c>
      <c r="E93" s="24" t="inlineStr">
        <is>
          <t>PROMIS Health Organization / HealthMeasures (NIH funded, Northwestern University)</t>
        </is>
      </c>
      <c r="F93" s="24" t="inlineStr">
        <is>
          <t>2015</t>
        </is>
      </c>
      <c r="G93" s="24" t="inlineStr">
        <is>
          <t>Confidence in one's ability to handle problems and reach goals</t>
        </is>
      </c>
      <c r="H93" s="24" t="n">
        <v>4</v>
      </c>
      <c r="I93" s="24" t="inlineStr">
        <is>
          <t>5 point, 1 (I am not at all confident) to 5 (I am very confident)</t>
        </is>
      </c>
      <c r="J93" s="24" t="inlineStr"/>
      <c r="K93" s="24" t="inlineStr">
        <is>
          <t>Sum 4 to 20 converted to a T score (mean 50, SD 10)</t>
        </is>
      </c>
      <c r="L93" s="24" t="inlineStr">
        <is>
          <t>free with attribution (CC or stated)</t>
        </is>
      </c>
      <c r="M9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3" s="24" t="inlineStr">
        <is>
          <t>https://healthmeasures.net/implement/steps-to-license/</t>
        </is>
      </c>
      <c r="O93" s="24" t="inlineStr">
        <is>
          <t>Yes</t>
        </is>
      </c>
      <c r="P93" s="24" t="inlineStr">
        <is>
          <t>https://www.healthmeasures.net/search-view-measures</t>
        </is>
      </c>
      <c r="Q93" s="24" t="inlineStr"/>
      <c r="R93" s="24" t="inlineStr">
        <is>
          <t>Very brief pre and post measure for goal pursuit and confidence building; derived from the Self-Efficacy for Managing Chronic Conditions item banks.</t>
        </is>
      </c>
      <c r="S93" s="24" t="inlineStr">
        <is>
          <t>HealthMeasures PROMIS</t>
        </is>
      </c>
      <c r="T93" s="24" t="inlineStr">
        <is>
          <t>https://www.healthmeasures.net/explore-measurement-systems/promis</t>
        </is>
      </c>
      <c r="U93" s="24" t="inlineStr">
        <is>
          <t>Candidate, client facing possible</t>
        </is>
      </c>
      <c r="V93" s="24" t="inlineStr">
        <is>
          <t>Check: digital or platform use may need its own licence</t>
        </is>
      </c>
      <c r="W93" s="24" t="inlineStr"/>
      <c r="X93" s="24" t="inlineStr">
        <is>
          <t>Added (yes, review)</t>
        </is>
      </c>
    </row>
    <row r="94">
      <c r="A94" s="24" t="n">
        <v>93</v>
      </c>
      <c r="B94" s="24" t="inlineStr">
        <is>
          <t>Open repositories</t>
        </is>
      </c>
      <c r="C94" s="24" t="inlineStr">
        <is>
          <t>PROMIS Ability to Participate in Social Roles and Activities Short Form 8a</t>
        </is>
      </c>
      <c r="D94" s="24" t="inlineStr">
        <is>
          <t>PROMIS Ability to Participate v2.0 8a</t>
        </is>
      </c>
      <c r="E94" s="24" t="inlineStr">
        <is>
          <t>PROMIS Health Organization / HealthMeasures (NIH funded, Northwestern University)</t>
        </is>
      </c>
      <c r="F94" s="24" t="inlineStr">
        <is>
          <t>2012</t>
        </is>
      </c>
      <c r="G94" s="24" t="inlineStr">
        <is>
          <t>Perceived ability to carry out usual social roles and activities, including work and family responsibilities</t>
        </is>
      </c>
      <c r="H94" s="24" t="n">
        <v>8</v>
      </c>
      <c r="I94" s="24" t="inlineStr">
        <is>
          <t>5 point, 1 (always) to 5 (never) on trouble doing activities</t>
        </is>
      </c>
      <c r="J94" s="24" t="inlineStr"/>
      <c r="K94" s="24" t="inlineStr">
        <is>
          <t>Sum converted to a T score (mean 50, SD 10); higher means better participation</t>
        </is>
      </c>
      <c r="L94" s="24" t="inlineStr">
        <is>
          <t>free with attribution (CC or stated)</t>
        </is>
      </c>
      <c r="M94"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4" s="24" t="inlineStr">
        <is>
          <t>https://healthmeasures.net/implement/steps-to-license/</t>
        </is>
      </c>
      <c r="O94" s="24" t="inlineStr">
        <is>
          <t>Yes</t>
        </is>
      </c>
      <c r="P94" s="24" t="inlineStr">
        <is>
          <t>https://www.healthmeasures.net/search-view-measures</t>
        </is>
      </c>
      <c r="Q94" s="24" t="inlineStr"/>
      <c r="R94" s="24" t="inlineStr">
        <is>
          <t>Functional outcome measure that captures whether coaching translates into fuller participation in work and life roles.</t>
        </is>
      </c>
      <c r="S94" s="24" t="inlineStr">
        <is>
          <t>HealthMeasures PROMIS</t>
        </is>
      </c>
      <c r="T94" s="24" t="inlineStr">
        <is>
          <t>https://www.healthmeasures.net/explore-measurement-systems/promis</t>
        </is>
      </c>
      <c r="U94" s="24" t="inlineStr">
        <is>
          <t>Candidate, client facing possible</t>
        </is>
      </c>
      <c r="V94" s="24" t="inlineStr">
        <is>
          <t>Check: digital or platform use may need its own licence</t>
        </is>
      </c>
      <c r="W94" s="24" t="inlineStr"/>
      <c r="X94" s="24" t="inlineStr">
        <is>
          <t>Added (yes, review)</t>
        </is>
      </c>
    </row>
    <row r="95">
      <c r="A95" s="24" t="n">
        <v>94</v>
      </c>
      <c r="B95" s="24" t="inlineStr">
        <is>
          <t>Open repositories</t>
        </is>
      </c>
      <c r="C95" s="24" t="inlineStr">
        <is>
          <t>PROMIS Satisfaction with Social Roles and Activities Short Form 8a</t>
        </is>
      </c>
      <c r="D95" s="24" t="inlineStr">
        <is>
          <t>PROMIS Satisfaction with Social Roles v2.0 8a</t>
        </is>
      </c>
      <c r="E95" s="24" t="inlineStr">
        <is>
          <t>PROMIS Health Organization / HealthMeasures (NIH funded, Northwestern University)</t>
        </is>
      </c>
      <c r="F95" s="24" t="inlineStr">
        <is>
          <t>2012</t>
        </is>
      </c>
      <c r="G95" s="24" t="inlineStr">
        <is>
          <t>Satisfaction with performance of usual social roles, including work and household responsibilities</t>
        </is>
      </c>
      <c r="H95" s="24" t="n">
        <v>8</v>
      </c>
      <c r="I95" s="24" t="inlineStr">
        <is>
          <t>5 point, 1 (not at all) to 5 (very much)</t>
        </is>
      </c>
      <c r="J95" s="24" t="inlineStr"/>
      <c r="K95" s="24" t="inlineStr">
        <is>
          <t>Sum converted to a T score (mean 50, SD 10); higher means greater satisfaction</t>
        </is>
      </c>
      <c r="L95" s="24" t="inlineStr">
        <is>
          <t>free with attribution (CC or stated)</t>
        </is>
      </c>
      <c r="M95"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5" s="24" t="inlineStr">
        <is>
          <t>https://healthmeasures.net/implement/steps-to-license/</t>
        </is>
      </c>
      <c r="O95" s="24" t="inlineStr">
        <is>
          <t>Yes</t>
        </is>
      </c>
      <c r="P95" s="24" t="inlineStr">
        <is>
          <t>https://www.healthmeasures.net/search-view-measures</t>
        </is>
      </c>
      <c r="Q95" s="24" t="inlineStr"/>
      <c r="R95" s="24" t="inlineStr">
        <is>
          <t>Pairs with the Ability form to separate capacity from satisfaction, a distinction that often drives career and work life coaching goals.</t>
        </is>
      </c>
      <c r="S95" s="24" t="inlineStr">
        <is>
          <t>HealthMeasures PROMIS</t>
        </is>
      </c>
      <c r="T95" s="24" t="inlineStr">
        <is>
          <t>https://www.healthmeasures.net/explore-measurement-systems/promis</t>
        </is>
      </c>
      <c r="U95" s="24" t="inlineStr">
        <is>
          <t>Candidate, client facing possible</t>
        </is>
      </c>
      <c r="V95" s="24" t="inlineStr">
        <is>
          <t>Check: digital or platform use may need its own licence</t>
        </is>
      </c>
      <c r="W95" s="24" t="inlineStr"/>
      <c r="X95" s="24" t="inlineStr">
        <is>
          <t>Added (yes, review)</t>
        </is>
      </c>
    </row>
    <row r="96">
      <c r="A96" s="24" t="n">
        <v>95</v>
      </c>
      <c r="B96" s="24" t="inlineStr">
        <is>
          <t>Open repositories</t>
        </is>
      </c>
      <c r="C96" s="24" t="inlineStr">
        <is>
          <t>PROMIS Scale v1.2 Global Health</t>
        </is>
      </c>
      <c r="D96" s="24" t="inlineStr">
        <is>
          <t>PROMIS-10 Global Health</t>
        </is>
      </c>
      <c r="E96" s="24" t="inlineStr">
        <is>
          <t>PROMIS Health Organization / HealthMeasures (NIH funded, Northwestern University)</t>
        </is>
      </c>
      <c r="F96" s="24" t="inlineStr">
        <is>
          <t>2009 (v1.2 2017)</t>
        </is>
      </c>
      <c r="G96" s="24" t="inlineStr">
        <is>
          <t>Global physical and mental health, including quality of life, physical function, pain, fatigue, emotional distress and social satisfaction</t>
        </is>
      </c>
      <c r="H96" s="24" t="n">
        <v>10</v>
      </c>
      <c r="I96" s="24" t="inlineStr">
        <is>
          <t>Mostly 5 point rating scales plus a 0 to 10 pain item</t>
        </is>
      </c>
      <c r="J96" s="24" t="inlineStr">
        <is>
          <t>Global Physical Health, Global Mental Health</t>
        </is>
      </c>
      <c r="K96" s="24" t="inlineStr">
        <is>
          <t>Two 4 item component raw scores converted to T scores (mean 50, SD 10); 2 items are not in either component</t>
        </is>
      </c>
      <c r="L96" s="24" t="inlineStr">
        <is>
          <t>free with attribution (CC or stated)</t>
        </is>
      </c>
      <c r="M9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6" s="24" t="inlineStr">
        <is>
          <t>https://healthmeasures.net/implement/steps-to-license/</t>
        </is>
      </c>
      <c r="O96" s="24" t="inlineStr">
        <is>
          <t>Yes</t>
        </is>
      </c>
      <c r="P96" s="24" t="inlineStr">
        <is>
          <t>https://www.healthmeasures.net/search-view-measures</t>
        </is>
      </c>
      <c r="Q96" s="24" t="inlineStr"/>
      <c r="R96" s="24" t="inlineStr">
        <is>
          <t>A compact whole person baseline for coaching intake; the Global Mental Health component is a serviceable wellbeing tracker.</t>
        </is>
      </c>
      <c r="S96" s="24" t="inlineStr">
        <is>
          <t>HealthMeasures PROMIS</t>
        </is>
      </c>
      <c r="T96" s="24" t="inlineStr">
        <is>
          <t>https://www.healthmeasures.net/explore-measurement-systems/promis</t>
        </is>
      </c>
      <c r="U96" s="24" t="inlineStr">
        <is>
          <t>Candidate, client facing possible</t>
        </is>
      </c>
      <c r="V96" s="24" t="inlineStr">
        <is>
          <t>Check: digital or platform use may need its own licence</t>
        </is>
      </c>
      <c r="W96" s="24" t="inlineStr"/>
      <c r="X96" s="24" t="inlineStr">
        <is>
          <t>Added (yes, review)</t>
        </is>
      </c>
    </row>
    <row r="97">
      <c r="A97" s="24" t="n">
        <v>96</v>
      </c>
      <c r="B97" s="24" t="inlineStr">
        <is>
          <t>Open repositories</t>
        </is>
      </c>
      <c r="C97" s="24" t="inlineStr">
        <is>
          <t>PROMIS Meaning and Purpose Short Form 8a</t>
        </is>
      </c>
      <c r="D97" s="24" t="inlineStr">
        <is>
          <t>PROMIS Meaning and Purpose v1.0 8a</t>
        </is>
      </c>
      <c r="E97" s="24" t="inlineStr">
        <is>
          <t>PROMIS Health Organization / HealthMeasures (NIH funded, Northwestern University)</t>
        </is>
      </c>
      <c r="F97" s="24" t="inlineStr">
        <is>
          <t>2018</t>
        </is>
      </c>
      <c r="G97" s="24" t="inlineStr">
        <is>
          <t>Sense that life has meaning, direction and purpose</t>
        </is>
      </c>
      <c r="H97" s="24" t="n">
        <v>8</v>
      </c>
      <c r="I97" s="24" t="inlineStr">
        <is>
          <t>5 point agreement, 1 (strongly disagree) to 5 (strongly agree)</t>
        </is>
      </c>
      <c r="J97" s="24" t="inlineStr"/>
      <c r="K97" s="24" t="inlineStr">
        <is>
          <t>Sum converted to a T score (mean 50, SD 10); higher means stronger sense of meaning</t>
        </is>
      </c>
      <c r="L97" s="24" t="inlineStr">
        <is>
          <t>free with attribution (CC or stated)</t>
        </is>
      </c>
      <c r="M97"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t>
        </is>
      </c>
      <c r="N97" s="24" t="inlineStr">
        <is>
          <t>https://healthmeasures.net/implement/steps-to-license/</t>
        </is>
      </c>
      <c r="O97" s="24" t="inlineStr">
        <is>
          <t>Yes</t>
        </is>
      </c>
      <c r="P97" s="24" t="inlineStr">
        <is>
          <t>https://www.healthmeasures.net/search-view-measures</t>
        </is>
      </c>
      <c r="Q97" s="24" t="inlineStr"/>
      <c r="R97" s="24" t="inlineStr">
        <is>
          <t>Fits values and purpose based coaching; developed within the PROMIS psychological wellbeing item banks alongside Positive Affect and Life Satisfaction.</t>
        </is>
      </c>
      <c r="S97" s="24" t="inlineStr">
        <is>
          <t>HealthMeasures PROMIS</t>
        </is>
      </c>
      <c r="T97" s="24" t="inlineStr">
        <is>
          <t>https://www.healthmeasures.net/explore-measurement-systems/promis</t>
        </is>
      </c>
      <c r="U97" s="24" t="inlineStr">
        <is>
          <t>Candidate, client facing possible</t>
        </is>
      </c>
      <c r="V97" s="24" t="inlineStr">
        <is>
          <t>Check: digital or platform use may need its own licence</t>
        </is>
      </c>
      <c r="W97" s="24" t="inlineStr"/>
      <c r="X97" s="24" t="inlineStr">
        <is>
          <t>Added (yes, review)</t>
        </is>
      </c>
    </row>
    <row r="98">
      <c r="A98" s="24" t="n">
        <v>97</v>
      </c>
      <c r="B98" s="24" t="inlineStr">
        <is>
          <t>Open repositories</t>
        </is>
      </c>
      <c r="C98" s="24" t="inlineStr">
        <is>
          <t>Adult ADHD Self-Report Scale v1.1 Symptom Checklist (PhenX Attention Deficit Hyperactivity Disorder Symptoms, Adult)</t>
        </is>
      </c>
      <c r="D98" s="24" t="inlineStr">
        <is>
          <t>ASRS-v1.1 / PhenX 121501</t>
        </is>
      </c>
      <c r="E98" s="24" t="inlineStr">
        <is>
          <t>World Health Organization with Kessler, Adler et al.; selected by PhenX Mental Health Research Working Group</t>
        </is>
      </c>
      <c r="F98" s="24" t="inlineStr">
        <is>
          <t>2005</t>
        </is>
      </c>
      <c r="G98" s="24" t="inlineStr">
        <is>
          <t>Frequency of DSM-IV adult ADHD symptoms of inattention and hyperactivity impulsivity over the past 6 months</t>
        </is>
      </c>
      <c r="H98" s="24" t="n">
        <v>18</v>
      </c>
      <c r="I98" s="24" t="inlineStr">
        <is>
          <t>5 point frequency, never to very often</t>
        </is>
      </c>
      <c r="J98" s="24" t="inlineStr">
        <is>
          <t>Part A screener (6 items), Part B (12 items), Inattention, Hyperactivity impulsivity</t>
        </is>
      </c>
      <c r="K98" s="24" t="inlineStr">
        <is>
          <t>Part A: 4 or more shaded responses indicates symptoms highly consistent with adult ADHD and warrants further assessment; Part B items inform clinical follow up. Alternative 0 to 4 sum scoring is also used in research</t>
        </is>
      </c>
      <c r="L98" s="24" t="inlineStr">
        <is>
          <t>free with attribution (CC or stated)</t>
        </is>
      </c>
      <c r="M98" s="24" t="inlineStr">
        <is>
          <t>ASRS v1.1 is WHO copyright and distributed free of charge via Harvard Medical School and the PhenX Toolkit. PhenX documentation is CC BY 4.0.</t>
        </is>
      </c>
      <c r="N98" s="24" t="inlineStr">
        <is>
          <t>https://www.phenxtoolkit.org/help/guidance</t>
        </is>
      </c>
      <c r="O98" s="24" t="inlineStr">
        <is>
          <t>Yes</t>
        </is>
      </c>
      <c r="P98" s="24" t="inlineStr">
        <is>
          <t>https://www.phenxtoolkit.org/protocols/view/121501</t>
        </is>
      </c>
      <c r="Q98" s="24" t="inlineStr"/>
      <c r="R98" s="24" t="inlineStr">
        <is>
          <t>Standard screener for adult ADHD; appropriate for coaching intake to prompt referral for diagnostic assessment, not to confirm ADHD. The 6 item Part A can be used alone.</t>
        </is>
      </c>
      <c r="S98" s="24" t="inlineStr">
        <is>
          <t>PhenX Toolkit (RTI International, NIH funded)</t>
        </is>
      </c>
      <c r="T98" s="24" t="inlineStr">
        <is>
          <t>https://www.phenxtoolkit.org/protocols/view/121501</t>
        </is>
      </c>
      <c r="U98" s="24" t="inlineStr">
        <is>
          <t>Candidate, client facing possible</t>
        </is>
      </c>
      <c r="V98" s="24" t="inlineStr"/>
      <c r="W98" s="24" t="inlineStr"/>
      <c r="X98" s="24" t="inlineStr">
        <is>
          <t>Already in codebook</t>
        </is>
      </c>
    </row>
    <row r="99">
      <c r="A99" s="24" t="n">
        <v>98</v>
      </c>
      <c r="B99" s="24" t="inlineStr">
        <is>
          <t>Open repositories</t>
        </is>
      </c>
      <c r="C99" s="24" t="inlineStr">
        <is>
          <t>Perceived Stress Scale, 10 item (PhenX Perceived Stress)</t>
        </is>
      </c>
      <c r="D99" s="24" t="inlineStr">
        <is>
          <t>PSS-10 / PhenX 180801</t>
        </is>
      </c>
      <c r="E99" s="24" t="inlineStr">
        <is>
          <t>Sheldon Cohen (Cohen and Williamson)</t>
        </is>
      </c>
      <c r="F99" s="24" t="inlineStr">
        <is>
          <t>1983; 10 item 1988</t>
        </is>
      </c>
      <c r="G99" s="24" t="inlineStr">
        <is>
          <t>Degree to which situations in the past month are appraised as unpredictable, uncontrollable and overloaded</t>
        </is>
      </c>
      <c r="H99" s="24" t="n">
        <v>10</v>
      </c>
      <c r="I99" s="24" t="inlineStr">
        <is>
          <t>5 point frequency, 0 (never) to 4 (very often)</t>
        </is>
      </c>
      <c r="J99" s="24" t="inlineStr">
        <is>
          <t>Perceived helplessness, Perceived self efficacy (positively worded items)</t>
        </is>
      </c>
      <c r="K99" s="24" t="inlineStr">
        <is>
          <t>Reverse 4 positive items and sum, 0 to 40; higher means more perceived stress; no clinical cut off, bands of 0 to 13, 14 to 26, 27 to 40 are commonly used</t>
        </is>
      </c>
      <c r="L99" s="24" t="inlineStr">
        <is>
          <t>free for non commercial or research only</t>
        </is>
      </c>
      <c r="M99" s="24" t="inlineStr">
        <is>
          <t>PhenX lists the protocol as freely available. Cohen's laboratory states permission is not required for nonprofit academic research or educational use; other uses should contact the author.</t>
        </is>
      </c>
      <c r="N99" s="24" t="inlineStr">
        <is>
          <t>https://www.cmu.edu/dietrich/psychology/stress-immunity-disease-lab/scales/</t>
        </is>
      </c>
      <c r="O99" s="24" t="inlineStr">
        <is>
          <t>Yes</t>
        </is>
      </c>
      <c r="P99" s="24" t="inlineStr">
        <is>
          <t>https://www.phenxtoolkit.org/protocols/view/180801</t>
        </is>
      </c>
      <c r="Q99" s="24" t="inlineStr"/>
      <c r="R99" s="24" t="inlineStr">
        <is>
          <t>The most widely used generic stress measure; good for tracking stress across a coaching engagement. A coaching business is not nonprofit research, so note the author's permission wording.</t>
        </is>
      </c>
      <c r="S99" s="24" t="inlineStr">
        <is>
          <t>PhenX Toolkit (RTI International, NIH funded)</t>
        </is>
      </c>
      <c r="T99" s="24" t="inlineStr">
        <is>
          <t>https://www.phenxtoolkit.org/protocols/view/180801</t>
        </is>
      </c>
      <c r="U99" s="24" t="inlineStr">
        <is>
          <t>Candidate, licence to confirm</t>
        </is>
      </c>
      <c r="V99" s="24" t="inlineStr"/>
      <c r="W99" s="24" t="inlineStr"/>
      <c r="X99" s="24" t="inlineStr"/>
    </row>
    <row r="100">
      <c r="A100" s="24" t="n">
        <v>99</v>
      </c>
      <c r="B100" s="24" t="inlineStr">
        <is>
          <t>Open repositories</t>
        </is>
      </c>
      <c r="C100" s="24" t="inlineStr">
        <is>
          <t>UCLA Loneliness Scale, Version 3 (PhenX Social Isolation)</t>
        </is>
      </c>
      <c r="D100" s="24" t="inlineStr">
        <is>
          <t>UCLA-LS v3 / PhenX 181001</t>
        </is>
      </c>
      <c r="E100" s="24" t="inlineStr">
        <is>
          <t>Daniel Russell</t>
        </is>
      </c>
      <c r="F100" s="24" t="inlineStr">
        <is>
          <t>1996</t>
        </is>
      </c>
      <c r="G100" s="24" t="inlineStr">
        <is>
          <t>Subjective feelings of loneliness and social isolation</t>
        </is>
      </c>
      <c r="H100" s="24" t="n">
        <v>20</v>
      </c>
      <c r="I100" s="24" t="inlineStr">
        <is>
          <t>4 point frequency, 1 (never) to 4 (always)</t>
        </is>
      </c>
      <c r="J100" s="24" t="inlineStr"/>
      <c r="K100" s="24" t="inlineStr">
        <is>
          <t>Reverse positively worded items and sum, 20 to 80; higher means greater loneliness; 3 item and 8 item short forms exist</t>
        </is>
      </c>
      <c r="L100" s="24" t="inlineStr">
        <is>
          <t>free with attribution (CC or stated)</t>
        </is>
      </c>
      <c r="M100" s="24" t="inlineStr">
        <is>
          <t>PhenX documentation CC BY 4.0. The scale is reproduced in the published article and is generally used freely in research with citation; the author holds copyright.</t>
        </is>
      </c>
      <c r="N100" s="24" t="inlineStr">
        <is>
          <t>https://www.phenxtoolkit.org/help/guidance</t>
        </is>
      </c>
      <c r="O100" s="24" t="inlineStr">
        <is>
          <t>Yes</t>
        </is>
      </c>
      <c r="P100" s="24" t="inlineStr">
        <is>
          <t>https://www.phenxtoolkit.org/protocols/view/181001</t>
        </is>
      </c>
      <c r="Q100" s="24" t="inlineStr"/>
      <c r="R100" s="24" t="inlineStr">
        <is>
          <t>Relevant to remote workers, new leaders and career transition clients; the 3 item version is adequate for a brief check in.</t>
        </is>
      </c>
      <c r="S100" s="24" t="inlineStr">
        <is>
          <t>PhenX Toolkit (RTI International, NIH funded)</t>
        </is>
      </c>
      <c r="T100" s="24" t="inlineStr">
        <is>
          <t>https://www.phenxtoolkit.org/protocols/view/181001</t>
        </is>
      </c>
      <c r="U100" s="24" t="inlineStr">
        <is>
          <t>Candidate, client facing possible</t>
        </is>
      </c>
      <c r="V100" s="24" t="inlineStr"/>
      <c r="W100" s="24" t="inlineStr"/>
      <c r="X100" s="24" t="inlineStr">
        <is>
          <t>Added (yes, cleared)</t>
        </is>
      </c>
    </row>
    <row r="101">
      <c r="A101" s="24" t="n">
        <v>100</v>
      </c>
      <c r="B101" s="24" t="inlineStr">
        <is>
          <t>Open repositories</t>
        </is>
      </c>
      <c r="C101" s="24" t="inlineStr">
        <is>
          <t>General Self-Efficacy Scale (PhenX General Self-Efficacy, Adult)</t>
        </is>
      </c>
      <c r="D101" s="24" t="inlineStr">
        <is>
          <t>GSE</t>
        </is>
      </c>
      <c r="E101" s="24" t="inlineStr">
        <is>
          <t>Ralf Schwarzer and Matthias Jerusalem</t>
        </is>
      </c>
      <c r="F101" s="24" t="inlineStr">
        <is>
          <t>1995</t>
        </is>
      </c>
      <c r="G101" s="24" t="inlineStr">
        <is>
          <t>Optimistic self belief in one's competence to cope with demands and novel or difficult situations</t>
        </is>
      </c>
      <c r="H101" s="24" t="n">
        <v>10</v>
      </c>
      <c r="I101" s="24" t="inlineStr">
        <is>
          <t>4 point, 1 (not at all true) to 4 (exactly true)</t>
        </is>
      </c>
      <c r="J101" s="24" t="inlineStr"/>
      <c r="K101" s="24" t="inlineStr">
        <is>
          <t>Sum 10 to 40; higher means stronger general self efficacy; no formal cut offs</t>
        </is>
      </c>
      <c r="L101" s="24" t="inlineStr">
        <is>
          <t>free for non commercial or research only</t>
        </is>
      </c>
      <c r="M101" s="24" t="inlineStr">
        <is>
          <t>PhenX documentation CC BY 4.0. Schwarzer's site states the scale may be used free of charge for non commercial research and development purposes with citation.</t>
        </is>
      </c>
      <c r="N101" s="24" t="inlineStr">
        <is>
          <t>https://userpage.fu-berlin.de/~health/selfscal.htm</t>
        </is>
      </c>
      <c r="O101" s="24" t="inlineStr">
        <is>
          <t>Yes</t>
        </is>
      </c>
      <c r="P101" s="24" t="inlineStr">
        <is>
          <t>https://userpage.fu-berlin.de/~health/engscal.htm</t>
        </is>
      </c>
      <c r="Q101" s="24" t="inlineStr"/>
      <c r="R101" s="24" t="inlineStr">
        <is>
          <t>Standard choice for confidence and goal pursuit coaching; many translations are available from the author's site.</t>
        </is>
      </c>
      <c r="S101" s="24" t="inlineStr">
        <is>
          <t>PhenX Toolkit (RTI International, NIH funded)</t>
        </is>
      </c>
      <c r="T101" s="24" t="inlineStr">
        <is>
          <t>https://www.phenxtoolkit.org/domains/view/180000</t>
        </is>
      </c>
      <c r="U101" s="24" t="inlineStr">
        <is>
          <t>Candidate, licence to confirm</t>
        </is>
      </c>
      <c r="V101" s="24" t="inlineStr"/>
      <c r="W101" s="24" t="inlineStr"/>
      <c r="X101" s="24" t="inlineStr"/>
    </row>
    <row r="102">
      <c r="A102" s="24" t="n">
        <v>101</v>
      </c>
      <c r="B102" s="24" t="inlineStr">
        <is>
          <t>Open repositories</t>
        </is>
      </c>
      <c r="C102" s="24" t="inlineStr">
        <is>
          <t>UPPS-P Impulsive Behavior Scale (PhenX Disinhibiting Behaviors / Impulsivity, Adult)</t>
        </is>
      </c>
      <c r="D102" s="24" t="inlineStr">
        <is>
          <t>UPPS-P</t>
        </is>
      </c>
      <c r="E102" s="24" t="inlineStr">
        <is>
          <t>Whiteside and Lynam; Lynam, Smith, Whiteside and Cyders</t>
        </is>
      </c>
      <c r="F102" s="24" t="inlineStr">
        <is>
          <t>2001; UPPS-P 2006</t>
        </is>
      </c>
      <c r="G102" s="24" t="inlineStr">
        <is>
          <t>Five pathways to impulsive behaviour</t>
        </is>
      </c>
      <c r="H102" s="24" t="n">
        <v>59</v>
      </c>
      <c r="I102" s="24" t="inlineStr">
        <is>
          <t>4 point agreement, 1 (agree strongly) to 4 (disagree strongly)</t>
        </is>
      </c>
      <c r="J102" s="24" t="inlineStr">
        <is>
          <t>Negative urgency, Lack of premeditation, Lack of perseverance, Sensation seeking, Positive urgency</t>
        </is>
      </c>
      <c r="K102" s="24" t="inlineStr">
        <is>
          <t>Subscale means after reverse scoring; higher means more impulsive; a 20 item short form (SUPPS-P) is available</t>
        </is>
      </c>
      <c r="L102" s="24" t="inlineStr">
        <is>
          <t>free for non commercial or research only</t>
        </is>
      </c>
      <c r="M102" s="24" t="inlineStr">
        <is>
          <t>PhenX documentation CC BY 4.0. The UPPS-P is distributed by its authors for research use without charge; commercial use requires author permission.</t>
        </is>
      </c>
      <c r="N102" s="24" t="inlineStr">
        <is>
          <t>https://www.phenxtoolkit.org/help/guidance</t>
        </is>
      </c>
      <c r="O102" s="24" t="inlineStr">
        <is>
          <t>Yes</t>
        </is>
      </c>
      <c r="P102" s="24" t="inlineStr">
        <is>
          <t>https://www.phenxtoolkit.org/domains/view/180000</t>
        </is>
      </c>
      <c r="Q102" s="24" t="inlineStr"/>
      <c r="R102" s="24" t="inlineStr">
        <is>
          <t>Lack of perseverance and Negative urgency are directly relevant to executive functioning and ADHD coaching; the 20 item short form keeps burden low.</t>
        </is>
      </c>
      <c r="S102" s="24" t="inlineStr">
        <is>
          <t>PhenX Toolkit (RTI International, NIH funded)</t>
        </is>
      </c>
      <c r="T102" s="24" t="inlineStr">
        <is>
          <t>https://www.phenxtoolkit.org/domains/view/180000</t>
        </is>
      </c>
      <c r="U102" s="24" t="inlineStr">
        <is>
          <t>Candidate, licence to confirm</t>
        </is>
      </c>
      <c r="V102" s="24" t="inlineStr"/>
      <c r="W102" s="24" t="inlineStr"/>
      <c r="X102" s="24" t="inlineStr"/>
    </row>
    <row r="103">
      <c r="A103" s="24" t="n">
        <v>102</v>
      </c>
      <c r="B103" s="24" t="inlineStr">
        <is>
          <t>Open repositories</t>
        </is>
      </c>
      <c r="C103" s="24" t="inlineStr">
        <is>
          <t>Emotion Regulation Questionnaire</t>
        </is>
      </c>
      <c r="D103" s="24" t="inlineStr">
        <is>
          <t>ERQ</t>
        </is>
      </c>
      <c r="E103" s="24" t="inlineStr">
        <is>
          <t>James Gross and Oliver John</t>
        </is>
      </c>
      <c r="F103" s="24" t="inlineStr">
        <is>
          <t>2003</t>
        </is>
      </c>
      <c r="G103" s="24" t="inlineStr">
        <is>
          <t>Habitual use of two emotion regulation strategies</t>
        </is>
      </c>
      <c r="H103" s="24" t="n">
        <v>10</v>
      </c>
      <c r="I103" s="24" t="inlineStr">
        <is>
          <t>7 point agreement, 1 (strongly disagree) to 7 (strongly agree)</t>
        </is>
      </c>
      <c r="J103" s="24" t="inlineStr">
        <is>
          <t>Cognitive reappraisal (6 items), Expressive suppression (4 items)</t>
        </is>
      </c>
      <c r="K103" s="24" t="inlineStr">
        <is>
          <t>Subscale means; higher reappraisal is generally adaptive, higher suppression is associated with poorer wellbeing</t>
        </is>
      </c>
      <c r="L103" s="24" t="inlineStr">
        <is>
          <t>free for non commercial or research only</t>
        </is>
      </c>
      <c r="M103" s="24" t="inlineStr">
        <is>
          <t>No blanket licence. The NIH SOBC repository catalogues measures with metadata and links to the source; copyright stays with the original authors and their terms apply. Gross's Stanford laboratory makes the ERQ available for non commercial research and clinical use with citation.</t>
        </is>
      </c>
      <c r="N103" s="24" t="inlineStr">
        <is>
          <t>https://spl.stanford.edu/resources</t>
        </is>
      </c>
      <c r="O103" s="24" t="inlineStr">
        <is>
          <t>Yes</t>
        </is>
      </c>
      <c r="P103" s="24" t="inlineStr">
        <is>
          <t>https://spl.stanford.edu/resources</t>
        </is>
      </c>
      <c r="Q103" s="24" t="inlineStr"/>
      <c r="R103" s="24" t="inlineStr">
        <is>
          <t>Useful for leaders and ADHD clients working on emotional regulation at work; distinguishes a reframing style from a bottling up style.</t>
        </is>
      </c>
      <c r="S103" s="24" t="inlineStr">
        <is>
          <t>NIH Science of Behavior Change (SOBC) Measures Repository</t>
        </is>
      </c>
      <c r="T103" s="24" t="inlineStr">
        <is>
          <t>https://scienceofbehaviorchange.org/measures/</t>
        </is>
      </c>
      <c r="U103" s="24" t="inlineStr">
        <is>
          <t>Candidate, licence to confirm</t>
        </is>
      </c>
      <c r="V103" s="24" t="inlineStr"/>
      <c r="W103" s="24" t="inlineStr"/>
      <c r="X103" s="24" t="inlineStr"/>
    </row>
    <row r="104">
      <c r="A104" s="24" t="n">
        <v>103</v>
      </c>
      <c r="B104" s="24" t="inlineStr">
        <is>
          <t>Open repositories</t>
        </is>
      </c>
      <c r="C104" s="24" t="inlineStr">
        <is>
          <t>Consideration of Future Consequences Scale, 14 item</t>
        </is>
      </c>
      <c r="D104" s="24" t="inlineStr">
        <is>
          <t>CFC-14</t>
        </is>
      </c>
      <c r="E104" s="24" t="inlineStr">
        <is>
          <t>Alan Strathman et al.; 14 item revision by Joireman et al.</t>
        </is>
      </c>
      <c r="F104" s="24" t="inlineStr">
        <is>
          <t>1994; 2012</t>
        </is>
      </c>
      <c r="G104" s="24" t="inlineStr">
        <is>
          <t>Extent to which people consider distant versus immediate consequences of their behaviour</t>
        </is>
      </c>
      <c r="H104" s="24" t="n">
        <v>14</v>
      </c>
      <c r="I104" s="24" t="inlineStr">
        <is>
          <t>7 point, 1 (extremely uncharacteristic) to 7 (extremely characteristic)</t>
        </is>
      </c>
      <c r="J104" s="24" t="inlineStr">
        <is>
          <t>CFC Future, CFC Immediate</t>
        </is>
      </c>
      <c r="K104" s="24" t="inlineStr">
        <is>
          <t>Subscale means or total after reverse scoring the Immediate items; higher total means greater future orientation</t>
        </is>
      </c>
      <c r="L104" s="24" t="inlineStr">
        <is>
          <t>free with attribution (CC or stated)</t>
        </is>
      </c>
      <c r="M104" s="24" t="inlineStr">
        <is>
          <t>No blanket licence. The NIH SOBC repository catalogues measures with metadata and links to the source; copyright stays with the original authors and their terms apply. Items are published in the source articles and used freely in research with citation.</t>
        </is>
      </c>
      <c r="N104" s="24" t="inlineStr">
        <is>
          <t>https://scienceofbehaviorchange.org/measures/</t>
        </is>
      </c>
      <c r="O104" s="24" t="inlineStr">
        <is>
          <t>Yes</t>
        </is>
      </c>
      <c r="P104" s="24" t="inlineStr">
        <is>
          <t>https://scienceofbehaviorchange.org/measures/</t>
        </is>
      </c>
      <c r="Q104" s="24" t="inlineStr"/>
      <c r="R104" s="24" t="inlineStr">
        <is>
          <t>Links to procrastination and planning difficulties; a conversation starter about time horizons in goal setting.</t>
        </is>
      </c>
      <c r="S104" s="24" t="inlineStr">
        <is>
          <t>NIH Science of Behavior Change (SOBC) Measures Repository</t>
        </is>
      </c>
      <c r="T104" s="24" t="inlineStr">
        <is>
          <t>https://scienceofbehaviorchange.org/measures/</t>
        </is>
      </c>
      <c r="U104" s="24" t="inlineStr">
        <is>
          <t>Candidate, client facing possible</t>
        </is>
      </c>
      <c r="V104" s="24" t="inlineStr"/>
      <c r="W104" s="24" t="inlineStr"/>
      <c r="X104" s="24" t="inlineStr">
        <is>
          <t>Added (yes, review)</t>
        </is>
      </c>
    </row>
    <row r="105">
      <c r="A105" s="24" t="n">
        <v>104</v>
      </c>
      <c r="B105" s="24" t="inlineStr">
        <is>
          <t>Open repositories</t>
        </is>
      </c>
      <c r="C105" s="24" t="inlineStr">
        <is>
          <t>IPIP-NEO-120</t>
        </is>
      </c>
      <c r="D105" s="24" t="inlineStr">
        <is>
          <t>IPIP-NEO-120</t>
        </is>
      </c>
      <c r="E105" s="24" t="inlineStr">
        <is>
          <t>John A. Johnson (items from Lewis Goldberg's IPIP)</t>
        </is>
      </c>
      <c r="F105" s="24" t="inlineStr">
        <is>
          <t>2014</t>
        </is>
      </c>
      <c r="G105" s="24" t="inlineStr">
        <is>
          <t>Big Five personality domains and 30 facets, a public domain analogue of the NEO-PI-R</t>
        </is>
      </c>
      <c r="H105" s="24" t="n">
        <v>120</v>
      </c>
      <c r="I105" s="24" t="inlineStr">
        <is>
          <t>5 point, very inaccurate to very accurate</t>
        </is>
      </c>
      <c r="J105" s="24" t="inlineStr">
        <is>
          <t>Neuroticism, Extraversion, Openness, Agreeableness, Conscientiousness, 30 facets (4 items each)</t>
        </is>
      </c>
      <c r="K105" s="24" t="inlineStr">
        <is>
          <t>Sum per facet and domain after reverse keying; Johnson provides norms by age and sex and a free online report</t>
        </is>
      </c>
      <c r="L105" s="24" t="inlineStr">
        <is>
          <t>public domain</t>
        </is>
      </c>
      <c r="M105" s="24" t="inlineStr">
        <is>
          <t>IPIP states: "The items and scales are in the public domain, which means that one can copy, edit, translate, or use them for any purpose".</t>
        </is>
      </c>
      <c r="N105" s="24" t="inlineStr">
        <is>
          <t>https://ipip.ori.org/</t>
        </is>
      </c>
      <c r="O105" s="24" t="inlineStr">
        <is>
          <t>Yes</t>
        </is>
      </c>
      <c r="P105" s="24" t="inlineStr">
        <is>
          <t>https://ipip.ori.org/newNEOKey.htm</t>
        </is>
      </c>
      <c r="Q105" s="24" t="inlineStr"/>
      <c r="R105" s="24" t="inlineStr">
        <is>
          <t>Best free facet level personality profile for coaching; the Conscientiousness facets (self discipline, orderliness, achievement striving) speak directly to executive functioning. Fully modifiable and brandable.</t>
        </is>
      </c>
      <c r="S105" s="24" t="inlineStr">
        <is>
          <t>International Personality Item Pool (IPIP)</t>
        </is>
      </c>
      <c r="T105" s="24" t="inlineStr">
        <is>
          <t>https://ipip.ori.org/newMultipleconstructs.htm</t>
        </is>
      </c>
      <c r="U105" s="24" t="inlineStr">
        <is>
          <t>Candidate, client facing possible</t>
        </is>
      </c>
      <c r="V105" s="24" t="inlineStr"/>
      <c r="W105" s="24" t="inlineStr"/>
      <c r="X105" s="24" t="inlineStr">
        <is>
          <t>Held back for Sarah to decide</t>
        </is>
      </c>
    </row>
    <row r="106">
      <c r="A106" s="24" t="n">
        <v>105</v>
      </c>
      <c r="B106" s="24" t="inlineStr">
        <is>
          <t>Open repositories</t>
        </is>
      </c>
      <c r="C106" s="24" t="inlineStr">
        <is>
          <t>Big Five Aspect Scales</t>
        </is>
      </c>
      <c r="D106" s="24" t="inlineStr">
        <is>
          <t>BFAS</t>
        </is>
      </c>
      <c r="E106" s="24" t="inlineStr">
        <is>
          <t>Colin DeYoung, Lena Quilty and Jordan Peterson</t>
        </is>
      </c>
      <c r="F106" s="24" t="inlineStr">
        <is>
          <t>2007</t>
        </is>
      </c>
      <c r="G106" s="24" t="inlineStr">
        <is>
          <t>Big Five domains split into 10 aspects, an intermediate level between domains and facets</t>
        </is>
      </c>
      <c r="H106" s="24" t="n">
        <v>100</v>
      </c>
      <c r="I106" s="24" t="inlineStr">
        <is>
          <t>5 point agreement or accuracy</t>
        </is>
      </c>
      <c r="J106" s="24" t="inlineStr">
        <is>
          <t>Volatility, Withdrawal, Compassion, Politeness, Industriousness, Orderliness, Enthusiasm, Assertiveness, Intellect, Openness</t>
        </is>
      </c>
      <c r="K106" s="24" t="inlineStr">
        <is>
          <t>Mean of 10 items per aspect after reverse keying; domain scores average the 2 aspects</t>
        </is>
      </c>
      <c r="L106" s="24" t="inlineStr">
        <is>
          <t>public domain</t>
        </is>
      </c>
      <c r="M106" s="24" t="inlineStr">
        <is>
          <t>IPIP states: "The items and scales are in the public domain, which means that one can copy, edit, translate, or use them for any purpose".</t>
        </is>
      </c>
      <c r="N106" s="24" t="inlineStr">
        <is>
          <t>https://ipip.ori.org/</t>
        </is>
      </c>
      <c r="O106" s="24" t="inlineStr">
        <is>
          <t>Yes</t>
        </is>
      </c>
      <c r="P106" s="24" t="inlineStr">
        <is>
          <t>https://ipip.ori.org/BFASKeys.htm</t>
        </is>
      </c>
      <c r="Q106" s="24" t="inlineStr"/>
      <c r="R106" s="24" t="inlineStr">
        <is>
          <t>Industriousness and Orderliness separate two conscientiousness pathways that matter in ADHD coaching; Withdrawal and Volatility separate anxious from irritable neuroticism.</t>
        </is>
      </c>
      <c r="S106" s="24" t="inlineStr">
        <is>
          <t>International Personality Item Pool (IPIP)</t>
        </is>
      </c>
      <c r="T106" s="24" t="inlineStr">
        <is>
          <t>https://ipip.ori.org/newMultipleconstructs.htm</t>
        </is>
      </c>
      <c r="U106" s="24" t="inlineStr">
        <is>
          <t>Candidate, client facing possible</t>
        </is>
      </c>
      <c r="V106" s="24" t="inlineStr"/>
      <c r="W106" s="24" t="inlineStr"/>
      <c r="X106" s="24" t="inlineStr">
        <is>
          <t>Held back for Sarah to decide</t>
        </is>
      </c>
    </row>
    <row r="107">
      <c r="A107" s="24" t="n">
        <v>106</v>
      </c>
      <c r="B107" s="24" t="inlineStr">
        <is>
          <t>Open repositories</t>
        </is>
      </c>
      <c r="C107" s="24" t="inlineStr">
        <is>
          <t>PERMA Profiler</t>
        </is>
      </c>
      <c r="D107" s="24" t="inlineStr">
        <is>
          <t>PERMA-Profiler</t>
        </is>
      </c>
      <c r="E107" s="24" t="inlineStr">
        <is>
          <t>Julie Butler and Margaret Kern</t>
        </is>
      </c>
      <c r="F107" s="24" t="inlineStr">
        <is>
          <t>2016</t>
        </is>
      </c>
      <c r="G107" s="24" t="inlineStr">
        <is>
          <t>Flourishing across Seligman's PERMA pillars plus negative emotion, loneliness and physical health</t>
        </is>
      </c>
      <c r="H107" s="24" t="n">
        <v>23</v>
      </c>
      <c r="I107" s="24" t="inlineStr">
        <is>
          <t>11 point, 0 to 10, with anchors varying by block</t>
        </is>
      </c>
      <c r="J107" s="24" t="inlineStr">
        <is>
          <t>Positive emotion, Engagement, Relationships, Meaning, Accomplishment, Negative emotion, Health, Loneliness, Overall wellbeing</t>
        </is>
      </c>
      <c r="K107" s="24" t="inlineStr">
        <is>
          <t>Mean of 3 items per pillar (0 to 10); overall wellbeing averages the 15 pillar items plus the happiness item; a Workplace PERMA Profiler reframes items to work</t>
        </is>
      </c>
      <c r="L107" s="24" t="inlineStr">
        <is>
          <t>free for non commercial or research only</t>
        </is>
      </c>
      <c r="M107" s="24" t="inlineStr">
        <is>
          <t>Site footer: "(c)2026, The Trustees of the University of Pennsylvania. All Rights Reserved." Tests are taken online after free registration; no item download or reuse licence is offered on the site. The authors publish the measure in the International Journal of Wellbeing and state it may be used freely for non commercial purposes with citation.</t>
        </is>
      </c>
      <c r="N107" s="24" t="inlineStr">
        <is>
          <t>https://www.peggykern.org/questionnaires.html</t>
        </is>
      </c>
      <c r="O107" s="24" t="inlineStr">
        <is>
          <t>Yes</t>
        </is>
      </c>
      <c r="P107" s="24" t="inlineStr">
        <is>
          <t>https://www.peggykern.org/questionnaires.html</t>
        </is>
      </c>
      <c r="Q107" s="24" t="inlineStr"/>
      <c r="R107" s="24" t="inlineStr">
        <is>
          <t>Well suited to positive psychology coaching and workplace wellbeing programmes; the Workplace version is available from Kern's site.</t>
        </is>
      </c>
      <c r="S107" s="24" t="inlineStr">
        <is>
          <t>Authentic Happiness (Positive Psychology Center, University of Pennsylvania)</t>
        </is>
      </c>
      <c r="T107" s="24" t="inlineStr">
        <is>
          <t>https://www.authentichappiness.sas.upenn.edu/testcenter</t>
        </is>
      </c>
      <c r="U107" s="24" t="inlineStr">
        <is>
          <t>Candidate, licence to confirm</t>
        </is>
      </c>
      <c r="V107" s="24" t="inlineStr">
        <is>
          <t>Check: digital or platform use may need its own licence</t>
        </is>
      </c>
      <c r="W107" s="24" t="inlineStr"/>
      <c r="X107" s="24" t="inlineStr"/>
    </row>
    <row r="108">
      <c r="A108" s="24" t="n">
        <v>107</v>
      </c>
      <c r="B108" s="24" t="inlineStr">
        <is>
          <t>Open repositories</t>
        </is>
      </c>
      <c r="C108" s="24" t="inlineStr">
        <is>
          <t>Satisfaction with Life Scale</t>
        </is>
      </c>
      <c r="D108" s="24" t="inlineStr">
        <is>
          <t>SWLS</t>
        </is>
      </c>
      <c r="E108" s="24" t="inlineStr">
        <is>
          <t>Ed Diener, Robert Emmons, Randy Larsen and Sharon Griffin</t>
        </is>
      </c>
      <c r="F108" s="24" t="inlineStr">
        <is>
          <t>1985</t>
        </is>
      </c>
      <c r="G108" s="24" t="inlineStr">
        <is>
          <t>Global cognitive judgement of satisfaction with one's life</t>
        </is>
      </c>
      <c r="H108" s="24" t="n">
        <v>5</v>
      </c>
      <c r="I108" s="24" t="inlineStr">
        <is>
          <t>7 point agreement, 1 (strongly disagree) to 7 (strongly agree)</t>
        </is>
      </c>
      <c r="J108" s="24" t="inlineStr"/>
      <c r="K108" s="24" t="inlineStr">
        <is>
          <t>Sum 5 to 35; bands from extremely dissatisfied (5 to 9) to extremely satisfied (31 to 35)</t>
        </is>
      </c>
      <c r="L108" s="24" t="inlineStr">
        <is>
          <t>public domain</t>
        </is>
      </c>
      <c r="M108" s="24" t="inlineStr">
        <is>
          <t>Site footer: "(c)2026, The Trustees of the University of Pennsylvania. All Rights Reserved." Tests are taken online after free registration; no item download or reuse licence is offered on the site. Diener states the SWLS is in the public domain and may be used without permission or charge with citation.</t>
        </is>
      </c>
      <c r="N108" s="24" t="inlineStr">
        <is>
          <t>https://eddiener.com/scales/7</t>
        </is>
      </c>
      <c r="O108" s="24" t="inlineStr">
        <is>
          <t>Yes</t>
        </is>
      </c>
      <c r="P108" s="24" t="inlineStr">
        <is>
          <t>https://eddiener.com/scales/7</t>
        </is>
      </c>
      <c r="Q108" s="24" t="inlineStr"/>
      <c r="R108" s="24" t="inlineStr">
        <is>
          <t>The simplest global wellbeing outcome measure; suitable for every session or quarterly tracking.</t>
        </is>
      </c>
      <c r="S108" s="24" t="inlineStr">
        <is>
          <t>Authentic Happiness (Positive Psychology Center, University of Pennsylvania)</t>
        </is>
      </c>
      <c r="T108" s="24" t="inlineStr">
        <is>
          <t>https://www.authentichappiness.sas.upenn.edu/testcenter</t>
        </is>
      </c>
      <c r="U108" s="24" t="inlineStr">
        <is>
          <t>Candidate, client facing possible</t>
        </is>
      </c>
      <c r="V108" s="24" t="inlineStr">
        <is>
          <t>Check: digital or platform use may need its own licence</t>
        </is>
      </c>
      <c r="W108" s="24" t="inlineStr"/>
      <c r="X108" s="24" t="inlineStr">
        <is>
          <t>Added (yes, review)</t>
        </is>
      </c>
    </row>
    <row r="109">
      <c r="A109" s="24" t="n">
        <v>108</v>
      </c>
      <c r="B109" s="24" t="inlineStr">
        <is>
          <t>Open repositories</t>
        </is>
      </c>
      <c r="C109" s="24" t="inlineStr">
        <is>
          <t>Grit Scale (12 item) and Short Grit Scale</t>
        </is>
      </c>
      <c r="D109" s="24" t="inlineStr">
        <is>
          <t>Grit-O / Grit-S</t>
        </is>
      </c>
      <c r="E109" s="24" t="inlineStr">
        <is>
          <t>Angela Duckworth and colleagues</t>
        </is>
      </c>
      <c r="F109" s="24" t="inlineStr">
        <is>
          <t>2007; Grit-S 2009</t>
        </is>
      </c>
      <c r="G109" s="24" t="inlineStr">
        <is>
          <t>Perseverance and passion for long term goals</t>
        </is>
      </c>
      <c r="H109" s="24" t="n">
        <v>12</v>
      </c>
      <c r="I109" s="24" t="inlineStr">
        <is>
          <t>5 point, 1 (not like me at all) to 5 (very much like me)</t>
        </is>
      </c>
      <c r="J109" s="24" t="inlineStr">
        <is>
          <t>Consistency of interest, Perseverance of effort</t>
        </is>
      </c>
      <c r="K109" s="24" t="inlineStr">
        <is>
          <t>Mean after reverse scoring, 1 to 5; Grit-S uses 8 items</t>
        </is>
      </c>
      <c r="L109" s="24" t="inlineStr">
        <is>
          <t>free for non commercial or research only</t>
        </is>
      </c>
      <c r="M109" s="24" t="inlineStr">
        <is>
          <t>Site footer: "(c)2026, The Trustees of the University of Pennsylvania. All Rights Reserved." Tests are taken online after free registration; no item download or reuse licence is offered on the site. Duckworth's laboratory provides the scales for non commercial research and educational use with citation; commercial use requires permission.</t>
        </is>
      </c>
      <c r="N109" s="24" t="inlineStr">
        <is>
          <t>https://angeladuckworth.com/grit-scale/</t>
        </is>
      </c>
      <c r="O109" s="24" t="inlineStr">
        <is>
          <t>Yes</t>
        </is>
      </c>
      <c r="P109" s="24" t="inlineStr">
        <is>
          <t>https://angeladuckworth.com/grit-scale/</t>
        </is>
      </c>
      <c r="Q109" s="24" t="inlineStr"/>
      <c r="R109" s="24" t="inlineStr">
        <is>
          <t>Perseverance of effort relates to task completion themes in coaching; interpret with care because grit overlaps substantially with conscientiousness.</t>
        </is>
      </c>
      <c r="S109" s="24" t="inlineStr">
        <is>
          <t>Authentic Happiness (Positive Psychology Center, University of Pennsylvania)</t>
        </is>
      </c>
      <c r="T109" s="24" t="inlineStr">
        <is>
          <t>https://www.authentichappiness.sas.upenn.edu/testcenter</t>
        </is>
      </c>
      <c r="U109" s="24" t="inlineStr">
        <is>
          <t>Candidate, licence to confirm</t>
        </is>
      </c>
      <c r="V109" s="24" t="inlineStr">
        <is>
          <t>Check: digital or platform use may need its own licence</t>
        </is>
      </c>
      <c r="W109" s="24" t="inlineStr"/>
      <c r="X109" s="24" t="inlineStr"/>
    </row>
    <row r="110">
      <c r="A110" s="24" t="n">
        <v>109</v>
      </c>
      <c r="B110" s="24" t="inlineStr">
        <is>
          <t>Open repositories</t>
        </is>
      </c>
      <c r="C110" s="24" t="inlineStr">
        <is>
          <t>Work-Life Questionnaire (Job, Career, Calling orientations)</t>
        </is>
      </c>
      <c r="D110" s="24" t="inlineStr">
        <is>
          <t>WLQ</t>
        </is>
      </c>
      <c r="E110" s="24" t="inlineStr">
        <is>
          <t>Amy Wrzesniewski, Clark McCauley, Paul Rozin and Barry Schwartz</t>
        </is>
      </c>
      <c r="F110" s="24" t="inlineStr">
        <is>
          <t>1997</t>
        </is>
      </c>
      <c r="G110" s="24" t="inlineStr">
        <is>
          <t>Orientation to work as a job, a career or a calling</t>
        </is>
      </c>
      <c r="H110" s="24" t="n">
        <v>21</v>
      </c>
      <c r="I110" s="24" t="inlineStr">
        <is>
          <t>3 paragraph descriptions rated for similarity plus 18 true or false items</t>
        </is>
      </c>
      <c r="J110" s="24" t="inlineStr">
        <is>
          <t>Job, Career, Calling</t>
        </is>
      </c>
      <c r="K110" s="24" t="inlineStr">
        <is>
          <t>Paragraph ratings and item endorsements combined to classify dominant orientation</t>
        </is>
      </c>
      <c r="L110" s="24" t="inlineStr">
        <is>
          <t>not stated</t>
        </is>
      </c>
      <c r="M110" s="24" t="inlineStr">
        <is>
          <t>Site footer: "(c)2026, The Trustees of the University of Pennsylvania. All Rights Reserved." Tests are taken online after free registration; no item download or reuse licence is offered on the site. The paragraphs and items are published in the Journal of Research in Personality and are used in research with citation; no formal licence is stated.</t>
        </is>
      </c>
      <c r="N110" s="24" t="inlineStr">
        <is>
          <t>https://www.authentichappiness.sas.upenn.edu/testcenter</t>
        </is>
      </c>
      <c r="O110" s="24" t="inlineStr">
        <is>
          <t>Yes</t>
        </is>
      </c>
      <c r="P110" s="24" t="inlineStr">
        <is>
          <t>https://doi.org/10.1006/jrpe.1997.2162</t>
        </is>
      </c>
      <c r="Q110" s="24" t="inlineStr"/>
      <c r="R110" s="24" t="inlineStr">
        <is>
          <t>A reflective tool for career coaching conversations rather than a psychometric outcome measure.</t>
        </is>
      </c>
      <c r="S110" s="24" t="inlineStr">
        <is>
          <t>Authentic Happiness (Positive Psychology Center, University of Pennsylvania)</t>
        </is>
      </c>
      <c r="T110" s="24" t="inlineStr">
        <is>
          <t>https://www.authentichappiness.sas.upenn.edu/testcenter</t>
        </is>
      </c>
      <c r="U110" s="24" t="inlineStr">
        <is>
          <t>Candidate, licence to confirm</t>
        </is>
      </c>
      <c r="V110" s="24" t="inlineStr">
        <is>
          <t>Check: digital or platform use may need its own licence</t>
        </is>
      </c>
      <c r="W110" s="24" t="inlineStr"/>
      <c r="X110" s="24" t="inlineStr"/>
    </row>
    <row r="111">
      <c r="A111" s="24" t="n">
        <v>110</v>
      </c>
      <c r="B111" s="24" t="inlineStr">
        <is>
          <t>Open repositories</t>
        </is>
      </c>
      <c r="C111" s="24" t="inlineStr">
        <is>
          <t>VIA Survey of Character Strengths</t>
        </is>
      </c>
      <c r="D111" s="24" t="inlineStr">
        <is>
          <t>VIA-IS (VIA-120 and VIA-240)</t>
        </is>
      </c>
      <c r="E111" s="24" t="inlineStr">
        <is>
          <t>Christopher Peterson and Martin Seligman; VIA Institute on Character</t>
        </is>
      </c>
      <c r="F111" s="24" t="inlineStr">
        <is>
          <t>2004</t>
        </is>
      </c>
      <c r="G111" s="24" t="inlineStr">
        <is>
          <t>24 character strengths organised under 6 virtues</t>
        </is>
      </c>
      <c r="H111" s="24" t="n">
        <v>120</v>
      </c>
      <c r="I111" s="24" t="inlineStr">
        <is>
          <t>5 point, very much unlike me to very much like me</t>
        </is>
      </c>
      <c r="J111" s="24" t="inlineStr">
        <is>
          <t>24 character strengths, Wisdom, Courage, Humanity, Justice, Temperance, Transcendence</t>
        </is>
      </c>
      <c r="K111" s="24" t="inlineStr">
        <is>
          <t>Strength means ranked to produce a signature strengths profile; VIA Institute reports and norms</t>
        </is>
      </c>
      <c r="L111" s="24" t="inlineStr">
        <is>
          <t>permission required</t>
        </is>
      </c>
      <c r="M111" s="24" t="inlineStr">
        <is>
          <t>Site footer: "(c)2026, The Trustees of the University of Pennsylvania. All Rights Reserved." Tests are taken online after free registration; no item download or reuse licence is offered on the site. The VIA Survey is copyright VIA Institute on Character; it is completed online free of charge but items are not released for independent administration.</t>
        </is>
      </c>
      <c r="N111" s="24" t="inlineStr">
        <is>
          <t>https://www.viacharacter.org/</t>
        </is>
      </c>
      <c r="O111" s="24" t="inlineStr">
        <is>
          <t>No</t>
        </is>
      </c>
      <c r="P111" s="24" t="inlineStr"/>
      <c r="Q111" s="24" t="inlineStr"/>
      <c r="R111" s="24" t="inlineStr">
        <is>
          <t>Popular in strengths based coaching; use the free online survey or the IPIP-VIA-R public domain analogue if verbatim items are needed in your own forms.</t>
        </is>
      </c>
      <c r="S111" s="24" t="inlineStr">
        <is>
          <t>Authentic Happiness (Positive Psychology Center, University of Pennsylvania)</t>
        </is>
      </c>
      <c r="T111" s="24" t="inlineStr">
        <is>
          <t>https://www.authentichappiness.sas.upenn.edu/testcenter</t>
        </is>
      </c>
      <c r="U111" s="24" t="inlineStr">
        <is>
          <t>Candidate, licence to confirm</t>
        </is>
      </c>
      <c r="V111" s="24" t="inlineStr">
        <is>
          <t>Check: digital or platform use may need its own licence</t>
        </is>
      </c>
      <c r="W111" s="24" t="inlineStr"/>
      <c r="X111" s="24" t="inlineStr"/>
    </row>
    <row r="112">
      <c r="A112" s="24" t="n">
        <v>111</v>
      </c>
      <c r="B112" s="24" t="inlineStr">
        <is>
          <t>Open repositories</t>
        </is>
      </c>
      <c r="C112" s="24" t="inlineStr">
        <is>
          <t>Basic Psychological Need Satisfaction and Frustration Scale</t>
        </is>
      </c>
      <c r="D112" s="24" t="inlineStr">
        <is>
          <t>BPNSFS</t>
        </is>
      </c>
      <c r="E112" s="24" t="inlineStr">
        <is>
          <t>Beiwen Chen, Maarten Vansteenkiste et al.</t>
        </is>
      </c>
      <c r="F112" s="24" t="inlineStr">
        <is>
          <t>2015</t>
        </is>
      </c>
      <c r="G112" s="24" t="inlineStr">
        <is>
          <t>Satisfaction and frustration of the needs for autonomy, competence and relatedness</t>
        </is>
      </c>
      <c r="H112" s="24" t="n">
        <v>24</v>
      </c>
      <c r="I112" s="24" t="inlineStr">
        <is>
          <t>5 point, 1 (not true at all) to 5 (completely true)</t>
        </is>
      </c>
      <c r="J112" s="24" t="inlineStr">
        <is>
          <t>Autonomy satisfaction, Autonomy frustration, Competence satisfaction, Competence frustration, Relatedness satisfaction, Relatedness frustration</t>
        </is>
      </c>
      <c r="K112" s="24" t="inlineStr">
        <is>
          <t>Mean of 4 items per subscale; satisfaction and frustration composites can be formed</t>
        </is>
      </c>
      <c r="L112" s="24" t="inlineStr">
        <is>
          <t>free for non commercial or research only</t>
        </is>
      </c>
      <c r="M112"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2" s="24" t="inlineStr">
        <is>
          <t>https://selfdeterminationtheory.org/questionnaires/</t>
        </is>
      </c>
      <c r="O112" s="24" t="inlineStr">
        <is>
          <t>Yes</t>
        </is>
      </c>
      <c r="P112" s="24" t="inlineStr">
        <is>
          <t>https://selfdeterminationtheory.org/questionnaires/</t>
        </is>
      </c>
      <c r="Q112" s="24" t="inlineStr"/>
      <c r="R112" s="24" t="inlineStr">
        <is>
          <t>Core SDT diagnostic for motivation coaching; a work specific version is available. Download requires agreeing to the research use terms, and commercial use needs Center permission.</t>
        </is>
      </c>
      <c r="S112" s="24" t="inlineStr">
        <is>
          <t>Center for Self-Determination Theory questionnaires</t>
        </is>
      </c>
      <c r="T112" s="24" t="inlineStr">
        <is>
          <t>https://selfdeterminationtheory.org/questionnaires/</t>
        </is>
      </c>
      <c r="U112" s="24" t="inlineStr">
        <is>
          <t>Candidate, licence to confirm</t>
        </is>
      </c>
      <c r="V112" s="24" t="inlineStr"/>
      <c r="W112" s="24" t="inlineStr"/>
      <c r="X112" s="24" t="inlineStr"/>
    </row>
    <row r="113">
      <c r="A113" s="24" t="n">
        <v>112</v>
      </c>
      <c r="B113" s="24" t="inlineStr">
        <is>
          <t>Open repositories</t>
        </is>
      </c>
      <c r="C113" s="24" t="inlineStr">
        <is>
          <t>Work-related Basic Need Satisfaction Scale</t>
        </is>
      </c>
      <c r="D113" s="24" t="inlineStr">
        <is>
          <t>W-BNS</t>
        </is>
      </c>
      <c r="E113" s="24" t="inlineStr">
        <is>
          <t>Anja Van den Broeck, Maarten Vansteenkiste, Hans De Witte, Bart Soenens and Willy Lens</t>
        </is>
      </c>
      <c r="F113" s="24" t="inlineStr">
        <is>
          <t>2010</t>
        </is>
      </c>
      <c r="G113" s="24" t="inlineStr">
        <is>
          <t>Satisfaction of autonomy, competence and relatedness needs at work</t>
        </is>
      </c>
      <c r="H113" s="24" t="n">
        <v>18</v>
      </c>
      <c r="I113" s="24" t="inlineStr">
        <is>
          <t>5 point agreement, 1 (totally disagree) to 5 (totally agree)</t>
        </is>
      </c>
      <c r="J113" s="24" t="inlineStr">
        <is>
          <t>Autonomy, Competence, Relatedness</t>
        </is>
      </c>
      <c r="K113" s="24" t="inlineStr">
        <is>
          <t>Mean of 6 items per need after reverse scoring</t>
        </is>
      </c>
      <c r="L113" s="24" t="inlineStr">
        <is>
          <t>free for non commercial or research only</t>
        </is>
      </c>
      <c r="M113"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3" s="24" t="inlineStr">
        <is>
          <t>https://selfdeterminationtheory.org/questionnaires/</t>
        </is>
      </c>
      <c r="O113" s="24" t="inlineStr">
        <is>
          <t>Yes</t>
        </is>
      </c>
      <c r="P113" s="24" t="inlineStr">
        <is>
          <t>https://selfdeterminationtheory.org/questionnaires/</t>
        </is>
      </c>
      <c r="Q113" s="24" t="inlineStr"/>
      <c r="R113" s="24" t="inlineStr">
        <is>
          <t>Useful for diagnosing why a role feels depleting; pairs with the MWMS to link need satisfaction to motivation quality.</t>
        </is>
      </c>
      <c r="S113" s="24" t="inlineStr">
        <is>
          <t>Center for Self-Determination Theory questionnaires</t>
        </is>
      </c>
      <c r="T113" s="24" t="inlineStr">
        <is>
          <t>https://selfdeterminationtheory.org/questionnaires/</t>
        </is>
      </c>
      <c r="U113" s="24" t="inlineStr">
        <is>
          <t>Candidate, licence to confirm</t>
        </is>
      </c>
      <c r="V113" s="24" t="inlineStr"/>
      <c r="W113" s="24" t="inlineStr"/>
      <c r="X113" s="24" t="inlineStr"/>
    </row>
    <row r="114">
      <c r="A114" s="24" t="n">
        <v>113</v>
      </c>
      <c r="B114" s="24" t="inlineStr">
        <is>
          <t>Open repositories</t>
        </is>
      </c>
      <c r="C114" s="24" t="inlineStr">
        <is>
          <t>Work Climate Questionnaire</t>
        </is>
      </c>
      <c r="D114" s="24" t="inlineStr">
        <is>
          <t>WCQ</t>
        </is>
      </c>
      <c r="E114" s="24" t="inlineStr">
        <is>
          <t>Geoffrey Williams and Edward Deci (adapted from the Health Care Climate Questionnaire)</t>
        </is>
      </c>
      <c r="F114" s="24" t="inlineStr">
        <is>
          <t>1996</t>
        </is>
      </c>
      <c r="G114" s="24" t="inlineStr">
        <is>
          <t>Perceived autonomy support from one's manager or supervisor</t>
        </is>
      </c>
      <c r="H114" s="24" t="n">
        <v>15</v>
      </c>
      <c r="I114" s="24" t="inlineStr">
        <is>
          <t>7 point agreement, 1 (strongly disagree) to 7 (strongly agree)</t>
        </is>
      </c>
      <c r="J114" s="24" t="inlineStr"/>
      <c r="K114" s="24" t="inlineStr">
        <is>
          <t>Mean of items after reverse scoring 1 item; a 6 item short form exists; higher means more autonomy supportive climate</t>
        </is>
      </c>
      <c r="L114" s="24" t="inlineStr">
        <is>
          <t>free for non commercial or research only</t>
        </is>
      </c>
      <c r="M114" s="24" t="inlineStr">
        <is>
          <t>Center for Self-Determination Theory: "All academic use is permitted, but you must obtain permission from the Center for Self-Determination Theory" for commercial use. "To download the copyrighted questionnaires on the CSDT web site, you must agree to our terms and conditions." Download requires stating licensing status and an email.</t>
        </is>
      </c>
      <c r="N114" s="24" t="inlineStr">
        <is>
          <t>https://selfdeterminationtheory.org/questionnaires/</t>
        </is>
      </c>
      <c r="O114" s="24" t="inlineStr">
        <is>
          <t>Yes</t>
        </is>
      </c>
      <c r="P114" s="24" t="inlineStr">
        <is>
          <t>https://selfdeterminationtheory.org/questionnaires/</t>
        </is>
      </c>
      <c r="Q114" s="24" t="inlineStr"/>
      <c r="R114" s="24" t="inlineStr">
        <is>
          <t>Gives leaders feedback on how autonomy supportive their reports experience them to be; can be used upward in 360 style coaching.</t>
        </is>
      </c>
      <c r="S114" s="24" t="inlineStr">
        <is>
          <t>Center for Self-Determination Theory questionnaires</t>
        </is>
      </c>
      <c r="T114" s="24" t="inlineStr">
        <is>
          <t>https://selfdeterminationtheory.org/questionnaires/</t>
        </is>
      </c>
      <c r="U114" s="24" t="inlineStr">
        <is>
          <t>Candidate, licence to confirm</t>
        </is>
      </c>
      <c r="V114" s="24" t="inlineStr"/>
      <c r="W114" s="24" t="inlineStr"/>
      <c r="X114" s="24" t="inlineStr"/>
    </row>
    <row r="115">
      <c r="A115" s="24" t="n">
        <v>114</v>
      </c>
      <c r="B115" s="24" t="inlineStr">
        <is>
          <t>Open repositories</t>
        </is>
      </c>
      <c r="C115" s="24" t="inlineStr">
        <is>
          <t>Self-Compassion quiz (adapted from the Self-Compassion Scale)</t>
        </is>
      </c>
      <c r="D115" s="24" t="inlineStr">
        <is>
          <t>GGSC Self-Compassion / SCS</t>
        </is>
      </c>
      <c r="E115" s="24" t="inlineStr">
        <is>
          <t>Greater Good Science Center, adapting Kristin Neff's Self-Compassion Scale</t>
        </is>
      </c>
      <c r="F115" s="24" t="inlineStr">
        <is>
          <t>SCS 2003; quiz 2014</t>
        </is>
      </c>
      <c r="G115" s="24" t="inlineStr">
        <is>
          <t>Kindness toward oneself, sense of common humanity and mindfulness in the face of difficulty</t>
        </is>
      </c>
      <c r="H115" s="24" t="n">
        <v>26</v>
      </c>
      <c r="I115" s="24" t="inlineStr">
        <is>
          <t>5 point frequency, almost never to almost always (SCS); quiz uses a comparable scale</t>
        </is>
      </c>
      <c r="J115" s="24" t="inlineStr">
        <is>
          <t>Self kindness, Self judgement, Common humanity, Isolation, Mindfulness, Over identification</t>
        </is>
      </c>
      <c r="K115" s="24" t="inlineStr">
        <is>
          <t>Quiz returns a banded score with feedback; the SCS itself uses subscale means and a total after reversing negative subscales, with a 12 item short form</t>
        </is>
      </c>
      <c r="L115" s="24" t="inlineStr">
        <is>
          <t>free for non commercial or research only</t>
        </is>
      </c>
      <c r="M115" s="24" t="inlineStr">
        <is>
          <t>Site footer only: "(c) 2026 The Greater Good Science Center at the University of California, Berkeley". No reuse licence is stated and quiz items are not offered for download. Neff makes the SCS freely available for research and clinical use with citation on self-compassion.org.</t>
        </is>
      </c>
      <c r="N115" s="24" t="inlineStr">
        <is>
          <t>https://self-compassion.org/self-compassion-scales-for-researchers/</t>
        </is>
      </c>
      <c r="O115" s="24" t="inlineStr">
        <is>
          <t>Yes</t>
        </is>
      </c>
      <c r="P115" s="24" t="inlineStr">
        <is>
          <t>https://self-compassion.org/self-compassion-scales-for-researchers/</t>
        </is>
      </c>
      <c r="Q115" s="24" t="inlineStr"/>
      <c r="R115" s="24" t="inlineStr">
        <is>
          <t>Use Neff's original SCS or SCS-SF rather than the quiz for a codebook; the quiz is a client facing reflection tool only.</t>
        </is>
      </c>
      <c r="S115" s="24" t="inlineStr">
        <is>
          <t>Greater Good Science Center quizzes (UC Berkeley)</t>
        </is>
      </c>
      <c r="T115" s="24" t="inlineStr">
        <is>
          <t>https://greatergood.berkeley.edu/quizzes/take_quiz/self_compassion</t>
        </is>
      </c>
      <c r="U115" s="24" t="inlineStr">
        <is>
          <t>Candidate, licence to confirm</t>
        </is>
      </c>
      <c r="V115" s="24" t="inlineStr"/>
      <c r="W115" s="24" t="inlineStr"/>
      <c r="X115" s="24" t="inlineStr"/>
    </row>
    <row r="116">
      <c r="A116" s="24" t="n">
        <v>115</v>
      </c>
      <c r="B116" s="24" t="inlineStr">
        <is>
          <t>Open repositories</t>
        </is>
      </c>
      <c r="C116" s="24" t="inlineStr">
        <is>
          <t>Happiness at Work quiz</t>
        </is>
      </c>
      <c r="D116" s="24" t="inlineStr">
        <is>
          <t>GGSC Happiness at Work</t>
        </is>
      </c>
      <c r="E116" s="24" t="inlineStr">
        <is>
          <t>Greater Good Science Center</t>
        </is>
      </c>
      <c r="F116" s="24" t="inlineStr">
        <is>
          <t>2016</t>
        </is>
      </c>
      <c r="G116" s="24" t="inlineStr">
        <is>
          <t>Workplace wellbeing including engagement, meaning, relationships, autonomy and recognition at work</t>
        </is>
      </c>
      <c r="H116" s="24" t="n">
        <v>34</v>
      </c>
      <c r="I116" s="24" t="inlineStr">
        <is>
          <t>5 point agreement or frequency</t>
        </is>
      </c>
      <c r="J116" s="24" t="inlineStr">
        <is>
          <t>Engagement, Meaning, Relationships, Autonomy, Growth and recognition</t>
        </is>
      </c>
      <c r="K116" s="24" t="inlineStr">
        <is>
          <t>Online banded score with feedback and suggested practices; no published psychometric scoring manual</t>
        </is>
      </c>
      <c r="L116" s="24" t="inlineStr">
        <is>
          <t>permission required</t>
        </is>
      </c>
      <c r="M116" s="24" t="inlineStr">
        <is>
          <t>Site footer only: "(c) 2026 The Greater Good Science Center at the University of California, Berkeley". No reuse licence is stated and quiz items are not offered for download.</t>
        </is>
      </c>
      <c r="N116" s="24" t="inlineStr">
        <is>
          <t>https://greatergood.berkeley.edu/quizzes</t>
        </is>
      </c>
      <c r="O116" s="24" t="inlineStr">
        <is>
          <t>No</t>
        </is>
      </c>
      <c r="P116" s="24" t="inlineStr"/>
      <c r="Q116" s="24" t="inlineStr"/>
      <c r="R116" s="24" t="inlineStr">
        <is>
          <t>Engaging client homework before a workplace wellbeing session, but not a validated outcome measure; prefer the Workplace PERMA Profiler or MWMS for the codebook.</t>
        </is>
      </c>
      <c r="S116" s="24" t="inlineStr">
        <is>
          <t>Greater Good Science Center quizzes (UC Berkeley)</t>
        </is>
      </c>
      <c r="T116" s="24" t="inlineStr">
        <is>
          <t>https://greatergood.berkeley.edu/quizzes/take_quiz/happiness_at_work</t>
        </is>
      </c>
      <c r="U116" s="24" t="inlineStr">
        <is>
          <t>Candidate, licence to confirm</t>
        </is>
      </c>
      <c r="V116" s="24" t="inlineStr"/>
      <c r="W116" s="24" t="inlineStr"/>
      <c r="X116" s="24" t="inlineStr"/>
    </row>
    <row r="117">
      <c r="A117" s="24" t="n">
        <v>116</v>
      </c>
      <c r="B117" s="24" t="inlineStr">
        <is>
          <t>Open repositories</t>
        </is>
      </c>
      <c r="C117" s="24" t="inlineStr">
        <is>
          <t>Patient Health Questionnaire 9</t>
        </is>
      </c>
      <c r="D117" s="24" t="inlineStr">
        <is>
          <t>PHQ-9</t>
        </is>
      </c>
      <c r="E117" s="24" t="inlineStr">
        <is>
          <t>Robert Spitzer, Kurt Kroenke and Janet Williams (Pfizer funded)</t>
        </is>
      </c>
      <c r="F117" s="24" t="inlineStr">
        <is>
          <t>1999</t>
        </is>
      </c>
      <c r="G117" s="24" t="inlineStr">
        <is>
          <t>Frequency of the 9 DSM depression symptoms over the past 2 weeks plus a functional impairment item</t>
        </is>
      </c>
      <c r="H117" s="24" t="n">
        <v>9</v>
      </c>
      <c r="I117" s="24" t="inlineStr">
        <is>
          <t>4 point frequency, 0 (not at all) to 3 (nearly every day)</t>
        </is>
      </c>
      <c r="J117" s="24" t="inlineStr"/>
      <c r="K117" s="24" t="inlineStr">
        <is>
          <t>Sum 0 to 27; bands 5 mild, 10 moderate, 15 moderately severe, 20 severe; 10 is the usual case threshold in NHS Talking Therapies</t>
        </is>
      </c>
      <c r="L117" s="24" t="inlineStr">
        <is>
          <t>public domain</t>
        </is>
      </c>
      <c r="M117" s="24" t="inlineStr">
        <is>
          <t>Pfizer statement on PHQ screeners: no permission is required to reproduce, translate, display or distribute the PHQ instruments. Also reproduced on the APA DSM-5-TR site.</t>
        </is>
      </c>
      <c r="N117" s="24" t="inlineStr">
        <is>
          <t>https://www.phqscreeners.com/</t>
        </is>
      </c>
      <c r="O117" s="24" t="inlineStr">
        <is>
          <t>Yes</t>
        </is>
      </c>
      <c r="P117" s="24" t="inlineStr">
        <is>
          <t>https://www.phqscreeners.com/select-screener</t>
        </is>
      </c>
      <c r="Q117" s="24" t="inlineStr"/>
      <c r="R117" s="24" t="inlineStr">
        <is>
          <t>Screening and referral tool; item 9 asks about self harm, so a coaching practice needs a response protocol before using it.</t>
        </is>
      </c>
      <c r="S117" s="24" t="inlineStr">
        <is>
          <t>UK open access outcome measures (Mind toolkit and NHS Talking Therapies minimum data set)</t>
        </is>
      </c>
      <c r="T117" s="24" t="inlineStr">
        <is>
          <t>https://www.mind.org.uk/media/9007/tools-for-measuring-changes-in-mental-health.pdf</t>
        </is>
      </c>
      <c r="U117" s="24" t="inlineStr">
        <is>
          <t>Sarah only if used (screener; never summarised to the client)</t>
        </is>
      </c>
      <c r="V117" s="24" t="inlineStr"/>
      <c r="W117" s="24" t="inlineStr"/>
      <c r="X117" s="24" t="inlineStr">
        <is>
          <t>Added (yes, cleared)</t>
        </is>
      </c>
    </row>
    <row r="118">
      <c r="A118" s="24" t="n">
        <v>117</v>
      </c>
      <c r="B118" s="24" t="inlineStr">
        <is>
          <t>Open repositories</t>
        </is>
      </c>
      <c r="C118" s="24" t="inlineStr">
        <is>
          <t>Generalized Anxiety Disorder 7</t>
        </is>
      </c>
      <c r="D118" s="24" t="inlineStr">
        <is>
          <t>GAD-7</t>
        </is>
      </c>
      <c r="E118" s="24" t="inlineStr">
        <is>
          <t>Robert Spitzer, Kurt Kroenke, Janet Williams and Bernd Lowe (Pfizer funded)</t>
        </is>
      </c>
      <c r="F118" s="24" t="inlineStr">
        <is>
          <t>2006</t>
        </is>
      </c>
      <c r="G118" s="24" t="inlineStr">
        <is>
          <t>Frequency of core anxiety symptoms over the past 2 weeks</t>
        </is>
      </c>
      <c r="H118" s="24" t="n">
        <v>7</v>
      </c>
      <c r="I118" s="24" t="inlineStr">
        <is>
          <t>4 point frequency, 0 (not at all) to 3 (nearly every day)</t>
        </is>
      </c>
      <c r="J118" s="24" t="inlineStr"/>
      <c r="K118" s="24" t="inlineStr">
        <is>
          <t>Sum 0 to 21; bands 5 mild, 10 moderate, 15 severe; 8 is the NHS Talking Therapies case threshold</t>
        </is>
      </c>
      <c r="L118" s="24" t="inlineStr">
        <is>
          <t>public domain</t>
        </is>
      </c>
      <c r="M118" s="24" t="inlineStr">
        <is>
          <t>Pfizer statement on PHQ screeners: no permission is required to reproduce, translate, display or distribute the PHQ instruments, which include the GAD-7.</t>
        </is>
      </c>
      <c r="N118" s="24" t="inlineStr">
        <is>
          <t>https://www.phqscreeners.com/</t>
        </is>
      </c>
      <c r="O118" s="24" t="inlineStr">
        <is>
          <t>Yes</t>
        </is>
      </c>
      <c r="P118" s="24" t="inlineStr">
        <is>
          <t>https://www.phqscreeners.com/select-screener</t>
        </is>
      </c>
      <c r="Q118" s="24" t="inlineStr"/>
      <c r="R118" s="24" t="inlineStr">
        <is>
          <t>Brief anxiety screen suitable for intake and for monitoring stress focused coaching; genuinely free for any use.</t>
        </is>
      </c>
      <c r="S118" s="24" t="inlineStr">
        <is>
          <t>UK open access outcome measures (Mind toolkit and NHS Talking Therapies minimum data set)</t>
        </is>
      </c>
      <c r="T118" s="24" t="inlineStr">
        <is>
          <t>https://www.mind.org.uk/media/9007/tools-for-measuring-changes-in-mental-health.pdf</t>
        </is>
      </c>
      <c r="U118" s="24" t="inlineStr">
        <is>
          <t>Candidate, client facing possible</t>
        </is>
      </c>
      <c r="V118" s="24" t="inlineStr"/>
      <c r="W118" s="24" t="inlineStr"/>
      <c r="X118" s="24" t="inlineStr">
        <is>
          <t>Added (yes, cleared)</t>
        </is>
      </c>
    </row>
    <row r="119">
      <c r="A119" s="24" t="n">
        <v>118</v>
      </c>
      <c r="B119" s="24" t="inlineStr">
        <is>
          <t>Open repositories</t>
        </is>
      </c>
      <c r="C119" s="24" t="inlineStr">
        <is>
          <t>Work and Social Adjustment Scale</t>
        </is>
      </c>
      <c r="D119" s="24" t="inlineStr">
        <is>
          <t>WSAS</t>
        </is>
      </c>
      <c r="E119" s="24" t="inlineStr">
        <is>
          <t>Isaac Marks; validated by James Mundt et al.</t>
        </is>
      </c>
      <c r="F119" s="24" t="inlineStr">
        <is>
          <t>1986; 2002</t>
        </is>
      </c>
      <c r="G119" s="24" t="inlineStr">
        <is>
          <t>Functional impairment attributable to a problem across work, home management, social leisure, private leisure and relationships</t>
        </is>
      </c>
      <c r="H119" s="24" t="n">
        <v>5</v>
      </c>
      <c r="I119" s="24" t="inlineStr">
        <is>
          <t>9 point, 0 (not at all impaired) to 8 (very severely impaired)</t>
        </is>
      </c>
      <c r="J119" s="24" t="inlineStr"/>
      <c r="K119" s="24" t="inlineStr">
        <is>
          <t>Sum 0 to 40; under 10 subclinical, 10 to 20 significant impairment, over 20 moderately severe or worse</t>
        </is>
      </c>
      <c r="L119" s="24" t="inlineStr">
        <is>
          <t>free with attribution (CC or stated)</t>
        </is>
      </c>
      <c r="M119" s="24" t="inlineStr">
        <is>
          <t>Copyright Isaac Marks; the NHS Talking Therapies manual lists the WSAS as a required free outcome measure and it is reproduced in the Mundt et al. 2002 article. Permission requested for commercial products.</t>
        </is>
      </c>
      <c r="N119" s="24" t="inlineStr">
        <is>
          <t>https://www.england.nhs.uk/publication/the-improving-access-to-psychological-therapies-manual/</t>
        </is>
      </c>
      <c r="O119" s="24" t="inlineStr">
        <is>
          <t>Yes</t>
        </is>
      </c>
      <c r="P119" s="24" t="inlineStr">
        <is>
          <t>https://doi.org/10.1192/bjp.180.5.461</t>
        </is>
      </c>
      <c r="Q119" s="24" t="inlineStr"/>
      <c r="R119" s="24" t="inlineStr">
        <is>
          <t>Arguably the most coaching friendly brief functioning measure, since the work item isolates occupational impact; adaptable by naming the client's presenting issue in the stem.</t>
        </is>
      </c>
      <c r="S119" s="24" t="inlineStr">
        <is>
          <t>UK open access outcome measures (Mind toolkit and NHS Talking Therapies minimum data set)</t>
        </is>
      </c>
      <c r="T119" s="24" t="inlineStr">
        <is>
          <t>https://www.mind.org.uk/media/9007/tools-for-measuring-changes-in-mental-health.pdf</t>
        </is>
      </c>
      <c r="U119" s="24" t="inlineStr">
        <is>
          <t>Candidate, client facing possible</t>
        </is>
      </c>
      <c r="V119" s="24" t="inlineStr"/>
      <c r="W119" s="24" t="inlineStr"/>
      <c r="X119" s="24" t="inlineStr">
        <is>
          <t>Added (yes, review)</t>
        </is>
      </c>
    </row>
    <row r="120">
      <c r="A120" s="24" t="n">
        <v>119</v>
      </c>
      <c r="B120" s="24" t="inlineStr">
        <is>
          <t>Clinical practice in New Zealand</t>
        </is>
      </c>
      <c r="C120" s="24" t="inlineStr">
        <is>
          <t>Center for Epidemiologic Studies Depression Scale</t>
        </is>
      </c>
      <c r="D120" s="24" t="inlineStr">
        <is>
          <t>CES-D</t>
        </is>
      </c>
      <c r="E120" s="24" t="inlineStr">
        <is>
          <t>Lenore Radloff (NIMH); revised CESD-R by Eaton et al.</t>
        </is>
      </c>
      <c r="F120" s="24" t="inlineStr">
        <is>
          <t>1977 (CESD-R 2004)</t>
        </is>
      </c>
      <c r="G120" s="24" t="inlineStr">
        <is>
          <t>Depressive symptoms in the general population over the past week</t>
        </is>
      </c>
      <c r="H120" s="24" t="n">
        <v>20</v>
      </c>
      <c r="I120" s="24" t="inlineStr">
        <is>
          <t>4 point frequency scale, 0 (rarely or none of the time, under 1 day) to 3 (most or all of the time, 5 to 7 days); 4 positively worded items reverse scored</t>
        </is>
      </c>
      <c r="J120" s="24" t="inlineStr">
        <is>
          <t>Depressed affect, Positive affect, Somatic and retarded activity, Interpersonal</t>
        </is>
      </c>
      <c r="K120" s="24" t="inlineStr">
        <is>
          <t>Sum 0 to 60; higher is more depressed. Conventional cut off 16 or more indicates clinically significant symptoms; some use 20 or more to reduce false positives</t>
        </is>
      </c>
      <c r="L120" s="24" t="inlineStr">
        <is>
          <t>public domain</t>
        </is>
      </c>
      <c r="M120" s="24" t="inlineStr">
        <is>
          <t>CES-D: "This scale is free to use without permission" (NIMH). CESD-R: "The CESD-R is in the public domain so it is free to use in your research."</t>
        </is>
      </c>
      <c r="N120" s="24" t="inlineStr">
        <is>
          <t>https://camcops.readthedocs.io/en/latest/tasks/cesd.html</t>
        </is>
      </c>
      <c r="O120" s="24" t="inlineStr">
        <is>
          <t>Yes</t>
        </is>
      </c>
      <c r="P120" s="24" t="inlineStr">
        <is>
          <t>https://cesd-r.com/cesdr/</t>
        </is>
      </c>
      <c r="Q120" s="24" t="inlineStr">
        <is>
          <t>Te Pou lists it among screening measures but notes it is not used in NZ population surveys; no NZ norms located</t>
        </is>
      </c>
      <c r="R120" s="24" t="inlineStr">
        <is>
          <t>Good free alternative to the PHQ-9 for symptom monitoring; screening only, not diagnostic</t>
        </is>
      </c>
      <c r="S120" s="24" t="inlineStr"/>
      <c r="T120" s="24" t="inlineStr">
        <is>
          <t>https://camcops.readthedocs.io/en/latest/tasks/cesd.html</t>
        </is>
      </c>
      <c r="U120" s="24" t="inlineStr">
        <is>
          <t>Sarah only if used (screener; never summarised to the client)</t>
        </is>
      </c>
      <c r="V120" s="24" t="inlineStr"/>
      <c r="W120" s="24" t="inlineStr"/>
      <c r="X120" s="24" t="inlineStr">
        <is>
          <t>Added (yes, cleared)</t>
        </is>
      </c>
    </row>
    <row r="121">
      <c r="A121" s="24" t="n">
        <v>120</v>
      </c>
      <c r="B121" s="24" t="inlineStr">
        <is>
          <t>Clinical practice in New Zealand</t>
        </is>
      </c>
      <c r="C121" s="24" t="inlineStr">
        <is>
          <t>Patient Health Questionnaire 2</t>
        </is>
      </c>
      <c r="D121" s="24" t="inlineStr">
        <is>
          <t>PHQ-2</t>
        </is>
      </c>
      <c r="E121" s="24" t="inlineStr">
        <is>
          <t>Kroenke, Spitzer and Williams (Pfizer educational grant)</t>
        </is>
      </c>
      <c r="F121" s="24" t="inlineStr">
        <is>
          <t>2003</t>
        </is>
      </c>
      <c r="G121" s="24" t="inlineStr">
        <is>
          <t>Ultra brief depression screen: depressed mood and anhedonia over the past 2 weeks</t>
        </is>
      </c>
      <c r="H121" s="24" t="n">
        <v>2</v>
      </c>
      <c r="I121" s="24" t="inlineStr">
        <is>
          <t>4 point frequency scale, 0 (not at all) to 3 (nearly every day)</t>
        </is>
      </c>
      <c r="J121" s="24" t="inlineStr"/>
      <c r="K121" s="24" t="inlineStr">
        <is>
          <t>Sum 0 to 6. Cut off 3 or more is a positive screen; 2 or more increases sensitivity. Positive screens should be followed with the PHQ-9</t>
        </is>
      </c>
      <c r="L121" s="24" t="inlineStr">
        <is>
          <t>public domain</t>
        </is>
      </c>
      <c r="M121" s="24" t="inlineStr">
        <is>
          <t>"No permission required to reproduce, translate, display or distribute."</t>
        </is>
      </c>
      <c r="N121" s="24" t="inlineStr">
        <is>
          <t>https://cde.nida.nih.gov/node/22</t>
        </is>
      </c>
      <c r="O121" s="24" t="inlineStr">
        <is>
          <t>Yes</t>
        </is>
      </c>
      <c r="P121" s="24" t="inlineStr">
        <is>
          <t>https://www.phqscreeners.com/</t>
        </is>
      </c>
      <c r="Q121" s="24" t="inlineStr">
        <is>
          <t>First 2 PHQ-9 items; the PHQ-9 was used in the NZ Health Survey mental health module and NZ primary care</t>
        </is>
      </c>
      <c r="R121" s="24" t="inlineStr">
        <is>
          <t>Use as a first stage gate before the PHQ-9 at intake or in brief check ins</t>
        </is>
      </c>
      <c r="S121" s="24" t="inlineStr"/>
      <c r="T121" s="24" t="inlineStr">
        <is>
          <t>https://cde.nida.nih.gov/node/22</t>
        </is>
      </c>
      <c r="U121" s="24" t="inlineStr">
        <is>
          <t>Sarah only if used (screener; never summarised to the client)</t>
        </is>
      </c>
      <c r="V121" s="24" t="inlineStr"/>
      <c r="W121" s="24" t="inlineStr"/>
      <c r="X121" s="24" t="inlineStr">
        <is>
          <t>Added (yes, cleared)</t>
        </is>
      </c>
    </row>
    <row r="122">
      <c r="A122" s="24" t="n">
        <v>121</v>
      </c>
      <c r="B122" s="24" t="inlineStr">
        <is>
          <t>Clinical practice in New Zealand</t>
        </is>
      </c>
      <c r="C122" s="24" t="inlineStr">
        <is>
          <t>Panic Disorder Severity Scale, Self Report</t>
        </is>
      </c>
      <c r="D122" s="24" t="inlineStr">
        <is>
          <t>PDSS-SR</t>
        </is>
      </c>
      <c r="E122" s="24" t="inlineStr">
        <is>
          <t>Shear et al. (clinician version 1997); self report Houck, Spiegel, Shear and Rucci</t>
        </is>
      </c>
      <c r="F122" s="24" t="inlineStr">
        <is>
          <t>2002</t>
        </is>
      </c>
      <c r="G122" s="24" t="inlineStr">
        <is>
          <t>Severity of panic disorder over the past week: frequency, distress, anticipatory anxiety, agoraphobic avoidance, interoceptive avoidance, work and social impairment</t>
        </is>
      </c>
      <c r="H122" s="24" t="n">
        <v>7</v>
      </c>
      <c r="I122" s="24" t="inlineStr">
        <is>
          <t>5 point severity scale, 0 to 4, with item specific anchors</t>
        </is>
      </c>
      <c r="J122" s="24" t="inlineStr"/>
      <c r="K122" s="24" t="inlineStr">
        <is>
          <t>Sum 0 to 28; higher is more severe. Suggested bands 0 to 1 normal, 2 to 5 borderline, 6 to 9 slightly ill, 10 to 13 moderately ill, 14 or more markedly ill; cut off 9 (or 8 with agoraphobia) for likely panic disorder; change of 3 points is clinically meaningful</t>
        </is>
      </c>
      <c r="L122" s="24" t="inlineStr">
        <is>
          <t>free for non commercial or research only</t>
        </is>
      </c>
      <c r="M122" s="24" t="inlineStr">
        <is>
          <t>"Copyrighted to Dr Katherine Shear"; Shear permits clinicians to use the scale in practice and researchers in non industry settings; other uses require contacting Dr Shear. CamCOPS treats reproduction as not clearly permitted</t>
        </is>
      </c>
      <c r="N122" s="24" t="inlineStr">
        <is>
          <t>https://www.goodmedicine.org.uk/goodknowledge/panic-ocd-depersonalization-information-assessment/</t>
        </is>
      </c>
      <c r="O122" s="24" t="inlineStr">
        <is>
          <t>Yes</t>
        </is>
      </c>
      <c r="P122" s="24" t="inlineStr">
        <is>
          <t>https://www.goodmedicine.org.uk/goodknowledge/panic-ocd-depersonalization-information-assessment/</t>
        </is>
      </c>
      <c r="Q122" s="24" t="inlineStr">
        <is>
          <t>No NZ norms located; already hosted on NovoPsych</t>
        </is>
      </c>
      <c r="R122" s="24" t="inlineStr">
        <is>
          <t>Already on NovoPsych; include only if a free paper version is wanted. Avoid embedding in commercial software without written permission</t>
        </is>
      </c>
      <c r="S122" s="24" t="inlineStr"/>
      <c r="T122" s="24" t="inlineStr">
        <is>
          <t>https://camcops.readthedocs.io/en/latest/tasks/pdss.html</t>
        </is>
      </c>
      <c r="U122" s="24" t="inlineStr">
        <is>
          <t>Sarah only if used (screener; never summarised to the client)</t>
        </is>
      </c>
      <c r="V122" s="24" t="inlineStr"/>
      <c r="W122" s="24" t="inlineStr"/>
      <c r="X122" s="24" t="inlineStr"/>
    </row>
    <row r="123">
      <c r="A123" s="24" t="n">
        <v>122</v>
      </c>
      <c r="B123" s="24" t="inlineStr">
        <is>
          <t>Clinical practice in New Zealand</t>
        </is>
      </c>
      <c r="C123" s="24" t="inlineStr">
        <is>
          <t>Severity Measure for Panic Disorder, Adult (DSM-5-TR)</t>
        </is>
      </c>
      <c r="D123" s="24" t="inlineStr">
        <is>
          <t>SMPD</t>
        </is>
      </c>
      <c r="E123" s="24" t="inlineStr">
        <is>
          <t>Craske, Wittchen, Bogels, Stein, Andrews and Lebeu for the American Psychiatric Association</t>
        </is>
      </c>
      <c r="F123" s="24" t="inlineStr">
        <is>
          <t>2013</t>
        </is>
      </c>
      <c r="G123" s="24" t="inlineStr">
        <is>
          <t>Severity of panic symptoms over the past 7 days</t>
        </is>
      </c>
      <c r="H123" s="24" t="n">
        <v>10</v>
      </c>
      <c r="I123" s="24" t="inlineStr">
        <is>
          <t>5 point frequency scale, 0 (never) to 4 (all of the time)</t>
        </is>
      </c>
      <c r="J123" s="24" t="inlineStr"/>
      <c r="K123" s="24" t="inlineStr">
        <is>
          <t>Sum 0 to 40; prorate if 1 or 2 items missing. Average total (sum divided by 10) maps to 0 none, 1 mild, 2 moderate, 3 severe, 4 extreme</t>
        </is>
      </c>
      <c r="L123" s="24" t="inlineStr">
        <is>
          <t>free for non commercial or research only</t>
        </is>
      </c>
      <c r="M123" s="24" t="inlineStr">
        <is>
          <t>"Copyright 2013 American Psychiatric Association. All Rights Reserved. This material can be reproduced without permission by researchers and by clinicians for use with their patients."</t>
        </is>
      </c>
      <c r="N123" s="24" t="inlineStr">
        <is>
          <t>https://www.psychiatry.org/File%20Library/Psychiatrists/Practice/DSM/DSM-5-TR/APA-DSM5TR-SeverityMeasureForPanicDisorderAdult.pdf</t>
        </is>
      </c>
      <c r="O123" s="24" t="inlineStr">
        <is>
          <t>Yes</t>
        </is>
      </c>
      <c r="P123" s="24" t="inlineStr">
        <is>
          <t>https://psychiatry.org/Psychiatrists/Practice/DSM/Educational-Resources/DSM-5-Assessment-Measures</t>
        </is>
      </c>
      <c r="Q123" s="24" t="inlineStr">
        <is>
          <t>No NZ norms; the APA DSM-5 emerging measures set also covers social anxiety, agoraphobia, GAD, specific phobia, PTSD and dissociation on the same licence</t>
        </is>
      </c>
      <c r="R123" s="24" t="inlineStr">
        <is>
          <t>Clean free alternative to the PDSS; the same APA licence makes the whole DSM-5 severity set usable in a clinical codebook</t>
        </is>
      </c>
      <c r="S123" s="24" t="inlineStr"/>
      <c r="T123" s="24" t="inlineStr">
        <is>
          <t>https://psychiatry.org/Psychiatrists/Practice/DSM/Educational-Resources/DSM-5-Assessment-Measures</t>
        </is>
      </c>
      <c r="U123" s="24" t="inlineStr">
        <is>
          <t>Sarah only if used (screener; never summarised to the client)</t>
        </is>
      </c>
      <c r="V123" s="24" t="inlineStr"/>
      <c r="W123" s="24" t="inlineStr"/>
      <c r="X123" s="24" t="inlineStr"/>
    </row>
    <row r="124">
      <c r="A124" s="24" t="n">
        <v>123</v>
      </c>
      <c r="B124" s="24" t="inlineStr">
        <is>
          <t>Clinical practice in New Zealand</t>
        </is>
      </c>
      <c r="C124" s="24" t="inlineStr">
        <is>
          <t>Social Phobia Inventory</t>
        </is>
      </c>
      <c r="D124" s="24" t="inlineStr">
        <is>
          <t>SPIN</t>
        </is>
      </c>
      <c r="E124" s="24" t="inlineStr">
        <is>
          <t>Connor, Davidson, Churchill, Sherwood, Foa and Weisler, Duke University</t>
        </is>
      </c>
      <c r="F124" s="24" t="inlineStr">
        <is>
          <t>2000</t>
        </is>
      </c>
      <c r="G124" s="24" t="inlineStr">
        <is>
          <t>Social anxiety: fear, avoidance and physiological symptoms over the past week</t>
        </is>
      </c>
      <c r="H124" s="24" t="n">
        <v>17</v>
      </c>
      <c r="I124" s="24" t="inlineStr">
        <is>
          <t>5 point scale, 0 (not at all) to 4 (extremely)</t>
        </is>
      </c>
      <c r="J124" s="24" t="inlineStr">
        <is>
          <t>Fear, Avoidance, Physiological arousal</t>
        </is>
      </c>
      <c r="K124" s="24" t="inlineStr">
        <is>
          <t>Sum 0 to 68; cut off 19 or more distinguishes social anxiety disorder from controls. Commonly cited bands (21 to 30 mild, 31 to 40 moderate, 41 to 50 severe, 51 or more very severe) are not from the original paper</t>
        </is>
      </c>
      <c r="L124" s="24" t="inlineStr">
        <is>
          <t>not stated</t>
        </is>
      </c>
      <c r="M124" s="24" t="inlineStr">
        <is>
          <t>"Copyright is held by the authors and Duke University"; widely reproduced for clinical and research use, but no public licence text located; confirm before commercial or digital deployment</t>
        </is>
      </c>
      <c r="N124" s="24" t="inlineStr">
        <is>
          <t>https://www.tacklit.com/assessments/social-phobia-inventory-spin</t>
        </is>
      </c>
      <c r="O124" s="24" t="inlineStr">
        <is>
          <t>Yes</t>
        </is>
      </c>
      <c r="P124" s="24" t="inlineStr">
        <is>
          <t>https://www.cambridge.org/core/journals/the-british-journal-of-psychiatry/article/psychometric-properties-of-the-social-phobia-inventory-spin/9E4A3EE20D2B1A6C222CDB5807AC086A</t>
        </is>
      </c>
      <c r="Q124" s="24" t="inlineStr">
        <is>
          <t>No NZ norms located</t>
        </is>
      </c>
      <c r="R124" s="24" t="inlineStr">
        <is>
          <t>Standard social anxiety outcome measure; pair with the Mini-SPIN for screening</t>
        </is>
      </c>
      <c r="S124" s="24" t="inlineStr"/>
      <c r="T124" s="24" t="inlineStr">
        <is>
          <t>https://www.cambridge.org/core/journals/the-british-journal-of-psychiatry/article/psychometric-properties-of-the-social-phobia-inventory-spin/9E4A3EE20D2B1A6C222CDB5807AC086A</t>
        </is>
      </c>
      <c r="U124" s="24" t="inlineStr">
        <is>
          <t>Sarah only if used (screener; never summarised to the client)</t>
        </is>
      </c>
      <c r="V124" s="24" t="inlineStr">
        <is>
          <t>Check: digital or platform use may need its own licence</t>
        </is>
      </c>
      <c r="W124" s="24" t="inlineStr"/>
      <c r="X124" s="24" t="inlineStr"/>
    </row>
    <row r="125">
      <c r="A125" s="24" t="n">
        <v>124</v>
      </c>
      <c r="B125" s="24" t="inlineStr">
        <is>
          <t>Clinical practice in New Zealand</t>
        </is>
      </c>
      <c r="C125" s="24" t="inlineStr">
        <is>
          <t>Mini Social Phobia Inventory</t>
        </is>
      </c>
      <c r="D125" s="24" t="inlineStr">
        <is>
          <t>Mini-SPIN</t>
        </is>
      </c>
      <c r="E125" s="24" t="inlineStr">
        <is>
          <t>Connor, Kobak, Churchill, Katzelnick and Davidson</t>
        </is>
      </c>
      <c r="F125" s="24" t="inlineStr">
        <is>
          <t>2001</t>
        </is>
      </c>
      <c r="G125" s="24" t="inlineStr">
        <is>
          <t>3 item screen for generalised social anxiety disorder (fear of embarrassment and avoidance)</t>
        </is>
      </c>
      <c r="H125" s="24" t="n">
        <v>3</v>
      </c>
      <c r="I125" s="24" t="inlineStr">
        <is>
          <t>5 point scale, 0 (not at all) to 4 (extremely)</t>
        </is>
      </c>
      <c r="J125" s="24" t="inlineStr"/>
      <c r="K125" s="24" t="inlineStr">
        <is>
          <t>Sum 0 to 12; cut off 6 or more is a positive screen (sensitivity about 89 percent, specificity about 90 percent in Connor 2001; replicated by Seeley-Wait et al. 2009)</t>
        </is>
      </c>
      <c r="L125" s="24" t="inlineStr">
        <is>
          <t>not stated</t>
        </is>
      </c>
      <c r="M125" s="24" t="inlineStr">
        <is>
          <t>Same rights holders as the SPIN (authors and Duke University); no public licence statement located</t>
        </is>
      </c>
      <c r="N125" s="24" t="inlineStr">
        <is>
          <t>https://www.psychiatrist.com/pcc/assessment/diagnostic-tools/psychometric-properties-mini-social-phobia-inventory</t>
        </is>
      </c>
      <c r="O125" s="24" t="inlineStr">
        <is>
          <t>Yes</t>
        </is>
      </c>
      <c r="P125" s="24" t="inlineStr">
        <is>
          <t>https://www.psychiatrist.com/pcc/assessment/diagnostic-tools/psychometric-properties-mini-social-phobia-inventory</t>
        </is>
      </c>
      <c r="Q125" s="24" t="inlineStr">
        <is>
          <t>No NZ norms located</t>
        </is>
      </c>
      <c r="R125" s="24" t="inlineStr">
        <is>
          <t>Fast intake screen; a positive result should lead to the full SPIN or LSAS-SR</t>
        </is>
      </c>
      <c r="S125" s="24" t="inlineStr"/>
      <c r="T125" s="24" t="inlineStr">
        <is>
          <t>https://www.psychiatrist.com/pcc/assessment/diagnostic-tools/psychometric-properties-mini-social-phobia-inventory</t>
        </is>
      </c>
      <c r="U125" s="24" t="inlineStr">
        <is>
          <t>Sarah only if used (screener; never summarised to the client)</t>
        </is>
      </c>
      <c r="V125" s="24" t="inlineStr"/>
      <c r="W125" s="24" t="inlineStr"/>
      <c r="X125" s="24" t="inlineStr"/>
    </row>
    <row r="126">
      <c r="A126" s="24" t="n">
        <v>125</v>
      </c>
      <c r="B126" s="24" t="inlineStr">
        <is>
          <t>Clinical practice in New Zealand</t>
        </is>
      </c>
      <c r="C126" s="24" t="inlineStr">
        <is>
          <t>Liebowitz Social Anxiety Scale, Self Report</t>
        </is>
      </c>
      <c r="D126" s="24" t="inlineStr">
        <is>
          <t>LSAS-SR</t>
        </is>
      </c>
      <c r="E126" s="24" t="inlineStr">
        <is>
          <t>Michael Liebowitz (clinician version 1987); self report validated by Fresco et al. and Baker et al.</t>
        </is>
      </c>
      <c r="F126" s="24" t="inlineStr">
        <is>
          <t>1987 (self report 2001 to 2002)</t>
        </is>
      </c>
      <c r="G126" s="24" t="inlineStr">
        <is>
          <t>Fear and avoidance across 24 social interaction and performance situations over the past week</t>
        </is>
      </c>
      <c r="H126" s="24" t="n">
        <v>24</v>
      </c>
      <c r="I126" s="24" t="inlineStr">
        <is>
          <t>Each situation rated twice: fear 0 (none) to 3 (severe) and avoidance 0 (never) to 3 (usually)</t>
        </is>
      </c>
      <c r="J126" s="24" t="inlineStr">
        <is>
          <t>Fear, Avoidance, Social interaction, Performance</t>
        </is>
      </c>
      <c r="K126" s="24" t="inlineStr">
        <is>
          <t>Total 0 to 144 (fear plus avoidance). Below 30 social anxiety disorder unlikely; 30 to 60 probable; 60 to 90 very probable, generalised type; above 90 highly probable</t>
        </is>
      </c>
      <c r="L126" s="24" t="inlineStr">
        <is>
          <t>not stated</t>
        </is>
      </c>
      <c r="M126" s="24" t="inlineStr">
        <is>
          <t>Copyright held by Michael Liebowitz; reproduced in many clinical resources and treated as free for clinical use, but no explicit public licence statement located. Mapi Research Trust lists the LSAS-SR in its catalogue</t>
        </is>
      </c>
      <c r="N126" s="24" t="inlineStr">
        <is>
          <t>https://fairdata.mapi-trust.org/dataset/liebowitz-social-anxiety-scale-self-report</t>
        </is>
      </c>
      <c r="O126" s="24" t="inlineStr">
        <is>
          <t>Yes</t>
        </is>
      </c>
      <c r="P126" s="24" t="inlineStr">
        <is>
          <t>https://en.wikipedia.org/wiki/Liebowitz_Social_Anxiety_Scale</t>
        </is>
      </c>
      <c r="Q126" s="24" t="inlineStr">
        <is>
          <t>No NZ norms located</t>
        </is>
      </c>
      <c r="R126" s="24" t="inlineStr">
        <is>
          <t>Best for detailed situational profiling and treatment planning; longer than the SPIN</t>
        </is>
      </c>
      <c r="S126" s="24" t="inlineStr"/>
      <c r="T126" s="24" t="inlineStr">
        <is>
          <t>https://en.wikipedia.org/wiki/Liebowitz_Social_Anxiety_Scale</t>
        </is>
      </c>
      <c r="U126" s="24" t="inlineStr">
        <is>
          <t>Sarah only if used (screener; never summarised to the client)</t>
        </is>
      </c>
      <c r="V126" s="24" t="inlineStr">
        <is>
          <t>Check: digital or platform use may need its own licence</t>
        </is>
      </c>
      <c r="W126" s="24" t="inlineStr"/>
      <c r="X126" s="24" t="inlineStr"/>
    </row>
    <row r="127">
      <c r="A127" s="24" t="n">
        <v>126</v>
      </c>
      <c r="B127" s="24" t="inlineStr">
        <is>
          <t>Clinical practice in New Zealand</t>
        </is>
      </c>
      <c r="C127" s="24" t="inlineStr">
        <is>
          <t>Penn State Worry Questionnaire</t>
        </is>
      </c>
      <c r="D127" s="24" t="inlineStr">
        <is>
          <t>PSWQ</t>
        </is>
      </c>
      <c r="E127" s="24" t="inlineStr">
        <is>
          <t>Meyer, Miller, Metzger and Borkovec, Pennsylvania State University</t>
        </is>
      </c>
      <c r="F127" s="24" t="inlineStr">
        <is>
          <t>1990</t>
        </is>
      </c>
      <c r="G127" s="24" t="inlineStr">
        <is>
          <t>Trait pathological worry (excessiveness, generality, uncontrollability)</t>
        </is>
      </c>
      <c r="H127" s="24" t="n">
        <v>16</v>
      </c>
      <c r="I127" s="24" t="inlineStr">
        <is>
          <t>5 point scale, 1 (not at all typical of me) to 5 (very typical of me); 5 items reverse scored</t>
        </is>
      </c>
      <c r="J127" s="24" t="inlineStr"/>
      <c r="K127" s="24" t="inlineStr">
        <is>
          <t>Sum 16 to 80; higher is more worry. Bands often used: 16 to 39 low, 40 to 59 moderate, 60 to 80 high; cut off about 45 for GAD screening in treatment seekers, 62 to 65 in community samples</t>
        </is>
      </c>
      <c r="L127" s="24" t="inlineStr">
        <is>
          <t>public domain</t>
        </is>
      </c>
      <c r="M127" s="24" t="inlineStr">
        <is>
          <t>"In the public domain" (public domain status confirmed with explicit permission by Thomas Borkovec, personal communication to CamCOPS, 2015)</t>
        </is>
      </c>
      <c r="N127" s="24" t="inlineStr">
        <is>
          <t>https://camcops.readthedocs.io/en/latest/tasks/pswq.html</t>
        </is>
      </c>
      <c r="O127" s="24" t="inlineStr">
        <is>
          <t>Yes</t>
        </is>
      </c>
      <c r="P127" s="24" t="inlineStr">
        <is>
          <t>https://arc.psych.wisc.edu/self-report/penn-state-worry-questionnaire-pswq/</t>
        </is>
      </c>
      <c r="Q127" s="24" t="inlineStr">
        <is>
          <t>No NZ norms located</t>
        </is>
      </c>
      <c r="R127" s="24" t="inlineStr">
        <is>
          <t>Gold standard worry measure; complements the GAD-7 by capturing the worry process rather than symptoms</t>
        </is>
      </c>
      <c r="S127" s="24" t="inlineStr"/>
      <c r="T127" s="24" t="inlineStr">
        <is>
          <t>https://camcops.readthedocs.io/en/latest/tasks/pswq.html</t>
        </is>
      </c>
      <c r="U127" s="24" t="inlineStr">
        <is>
          <t>Sarah only if used (screener; never summarised to the client)</t>
        </is>
      </c>
      <c r="V127" s="24" t="inlineStr"/>
      <c r="W127" s="24" t="inlineStr"/>
      <c r="X127" s="24" t="inlineStr">
        <is>
          <t>Added (yes, cleared)</t>
        </is>
      </c>
    </row>
    <row r="128">
      <c r="A128" s="24" t="n">
        <v>127</v>
      </c>
      <c r="B128" s="24" t="inlineStr">
        <is>
          <t>Clinical practice in New Zealand</t>
        </is>
      </c>
      <c r="C128" s="24" t="inlineStr">
        <is>
          <t>Whiteley Index</t>
        </is>
      </c>
      <c r="D128" s="24" t="inlineStr">
        <is>
          <t>WI (WI-14, WI-7)</t>
        </is>
      </c>
      <c r="E128" s="24" t="inlineStr">
        <is>
          <t>Issy Pilowsky (14 item); 7 item version Fink et al.</t>
        </is>
      </c>
      <c r="F128" s="24" t="inlineStr">
        <is>
          <t>1967 (WI-7 1999)</t>
        </is>
      </c>
      <c r="G128" s="24" t="inlineStr">
        <is>
          <t>Health anxiety and hypochondriacal attitudes: disease fear, disease conviction, bodily preoccupation</t>
        </is>
      </c>
      <c r="H128" s="24" t="n">
        <v>14</v>
      </c>
      <c r="I128" s="24" t="inlineStr">
        <is>
          <t>Original 14 items yes or no; later versions use a 5 point scale (1 not at all to 5 a great deal); WI-7 uses 7 items</t>
        </is>
      </c>
      <c r="J128" s="24" t="inlineStr">
        <is>
          <t>Disease fear, Disease conviction, Bodily preoccupation</t>
        </is>
      </c>
      <c r="K128" s="24" t="inlineStr">
        <is>
          <t>Yes or no version sum 0 to 14; a cut off of 5 best identified severe health anxiety (Hedman et al. 2015, PLoS ONE). WI-7 on 5 point scale ranges 7 to 35, with 21 or more commonly used</t>
        </is>
      </c>
      <c r="L128" s="24" t="inlineStr">
        <is>
          <t>not stated</t>
        </is>
      </c>
      <c r="M128" s="24" t="inlineStr">
        <is>
          <t>No copyright or licence statement located; the 1967 scale is freely reproduced in open access research and treated as public domain</t>
        </is>
      </c>
      <c r="N128" s="24" t="inlineStr">
        <is>
          <t>https://doaj.org/article/77378a44c9ec41c7bef985f7b2207213</t>
        </is>
      </c>
      <c r="O128" s="24" t="inlineStr">
        <is>
          <t>Yes</t>
        </is>
      </c>
      <c r="P128" s="24" t="inlineStr">
        <is>
          <t>https://doaj.org/article/77378a44c9ec41c7bef985f7b2207213</t>
        </is>
      </c>
      <c r="Q128" s="24" t="inlineStr">
        <is>
          <t>No NZ norms located</t>
        </is>
      </c>
      <c r="R128" s="24" t="inlineStr">
        <is>
          <t>Brief health anxiety screen; the Short Health Anxiety Inventory is the longer alternative but is copyrighted</t>
        </is>
      </c>
      <c r="S128" s="24" t="inlineStr"/>
      <c r="T128" s="24" t="inlineStr">
        <is>
          <t>https://doaj.org/article/77378a44c9ec41c7bef985f7b2207213</t>
        </is>
      </c>
      <c r="U128" s="24" t="inlineStr">
        <is>
          <t>Sarah only if used (screener; never summarised to the client)</t>
        </is>
      </c>
      <c r="V128" s="24" t="inlineStr"/>
      <c r="W128" s="24" t="inlineStr"/>
      <c r="X128" s="24" t="inlineStr"/>
    </row>
    <row r="129">
      <c r="A129" s="24" t="n">
        <v>128</v>
      </c>
      <c r="B129" s="24" t="inlineStr">
        <is>
          <t>Clinical practice in New Zealand</t>
        </is>
      </c>
      <c r="C129" s="24" t="inlineStr">
        <is>
          <t>Brief Trauma Questionnaire</t>
        </is>
      </c>
      <c r="D129" s="24" t="inlineStr">
        <is>
          <t>BTQ</t>
        </is>
      </c>
      <c r="E129" s="24" t="inlineStr">
        <is>
          <t>Schnurr, Vielhauer, Weathers and Findler, US National Center for PTSD</t>
        </is>
      </c>
      <c r="F129" s="24" t="inlineStr">
        <is>
          <t>1999 (from Brief Trauma Interview 1995)</t>
        </is>
      </c>
      <c r="G129" s="24" t="inlineStr">
        <is>
          <t>Lifetime exposure to 10 categories of potentially traumatic events and whether they met DSM Criterion A (life threat or serious injury)</t>
        </is>
      </c>
      <c r="H129" s="24" t="n">
        <v>10</v>
      </c>
      <c r="I129" s="24" t="inlineStr">
        <is>
          <t>Yes or no for each event type, with follow up yes or no on life threat and serious injury</t>
        </is>
      </c>
      <c r="J129" s="24" t="inlineStr"/>
      <c r="K129" s="24" t="inlineStr">
        <is>
          <t>No total score; an event counts as Criterion A exposure if the relevant life threat or injury follow up is endorsed. Used to establish trauma exposure before the PCL-5</t>
        </is>
      </c>
      <c r="L129" s="24" t="inlineStr">
        <is>
          <t>public domain</t>
        </is>
      </c>
      <c r="M129" s="24" t="inlineStr">
        <is>
          <t>Created by National Center for PTSD staff; available as a direct download for qualified mental health professionals and researchers; no fee or permission step</t>
        </is>
      </c>
      <c r="N129" s="24" t="inlineStr">
        <is>
          <t>https://ptsd.va.gov/PTSD/professional/assessment/te-measures/brief_trauma_questionnaire_btq.asp</t>
        </is>
      </c>
      <c r="O129" s="24" t="inlineStr">
        <is>
          <t>Yes</t>
        </is>
      </c>
      <c r="P129" s="24" t="inlineStr">
        <is>
          <t>https://www.ptsd.va.gov/professional/assessment/documents/BTQ.pdf</t>
        </is>
      </c>
      <c r="Q129" s="24" t="inlineStr">
        <is>
          <t>No NZ norms; US government work</t>
        </is>
      </c>
      <c r="R129" s="24" t="inlineStr">
        <is>
          <t>Natural companion to the PCL-5 to document index trauma; review distressing disclosures in session</t>
        </is>
      </c>
      <c r="S129" s="24" t="inlineStr"/>
      <c r="T129" s="24" t="inlineStr">
        <is>
          <t>https://ptsd.va.gov/PTSD/professional/assessment/te-measures/brief_trauma_questionnaire_btq.asp</t>
        </is>
      </c>
      <c r="U129" s="24" t="inlineStr">
        <is>
          <t>Sarah only if used (screener; never summarised to the client)</t>
        </is>
      </c>
      <c r="V129" s="24" t="inlineStr"/>
      <c r="W129" s="24" t="inlineStr"/>
      <c r="X129" s="24" t="inlineStr">
        <is>
          <t>Added to codebook, not built (see Hub Library note)</t>
        </is>
      </c>
    </row>
    <row r="130">
      <c r="A130" s="24" t="n">
        <v>129</v>
      </c>
      <c r="B130" s="24" t="inlineStr">
        <is>
          <t>Clinical practice in New Zealand</t>
        </is>
      </c>
      <c r="C130" s="24" t="inlineStr">
        <is>
          <t>Dissociative Experiences Scale II</t>
        </is>
      </c>
      <c r="D130" s="24" t="inlineStr">
        <is>
          <t>DES-II</t>
        </is>
      </c>
      <c r="E130" s="24" t="inlineStr">
        <is>
          <t>Eve Bernstein Carlson and Frank Putnam (original Bernstein and Putnam 1986)</t>
        </is>
      </c>
      <c r="F130" s="24" t="inlineStr">
        <is>
          <t>1993</t>
        </is>
      </c>
      <c r="G130" s="24" t="inlineStr">
        <is>
          <t>Frequency of dissociative experiences: amnesia, depersonalisation and derealisation, absorption</t>
        </is>
      </c>
      <c r="H130" s="24" t="n">
        <v>28</v>
      </c>
      <c r="I130" s="24" t="inlineStr">
        <is>
          <t>Percentage of time, 0 to 100 in 10 point steps</t>
        </is>
      </c>
      <c r="J130" s="24" t="inlineStr">
        <is>
          <t>Amnesia, Depersonalisation and derealisation, Absorption, DES-Taxon (8 items)</t>
        </is>
      </c>
      <c r="K130" s="24" t="inlineStr">
        <is>
          <t>Mean of 28 item percentages, 0 to 100; 30 or more suggests possible dissociative disorder warranting further assessment; DES-Taxon flags pathological dissociation</t>
        </is>
      </c>
      <c r="L130" s="24" t="inlineStr">
        <is>
          <t>public domain</t>
        </is>
      </c>
      <c r="M130" s="24" t="inlineStr">
        <is>
          <t>"Free for clinical and research use" (Tacklit summary); authors have stated the scale is in the public domain and may be freely copied</t>
        </is>
      </c>
      <c r="N130" s="24" t="inlineStr">
        <is>
          <t>https://www.tacklit.com/assessments/dissociative-experiences-scale-des-ii</t>
        </is>
      </c>
      <c r="O130" s="24" t="inlineStr">
        <is>
          <t>Yes</t>
        </is>
      </c>
      <c r="P130" s="24" t="inlineStr">
        <is>
          <t>https://www.uc.pt/fpce/cineicc/assessment-tools/des-ii</t>
        </is>
      </c>
      <c r="Q130" s="24" t="inlineStr">
        <is>
          <t>No NZ norms located; already hosted on NovoPsych</t>
        </is>
      </c>
      <c r="R130" s="24" t="inlineStr">
        <is>
          <t>Already on NovoPsych; screening only, discuss high scores in session rather than report automatically</t>
        </is>
      </c>
      <c r="S130" s="24" t="inlineStr"/>
      <c r="T130" s="24" t="inlineStr">
        <is>
          <t>https://www.tacklit.com/assessments/dissociative-experiences-scale-des-ii</t>
        </is>
      </c>
      <c r="U130" s="24" t="inlineStr">
        <is>
          <t>Sarah only if used (screener; never summarised to the client)</t>
        </is>
      </c>
      <c r="V130" s="24" t="inlineStr"/>
      <c r="W130" s="24" t="inlineStr"/>
      <c r="X130" s="24" t="inlineStr">
        <is>
          <t>Added (yes, cleared)</t>
        </is>
      </c>
    </row>
    <row r="131">
      <c r="A131" s="24" t="n">
        <v>130</v>
      </c>
      <c r="B131" s="24" t="inlineStr">
        <is>
          <t>Clinical practice in New Zealand</t>
        </is>
      </c>
      <c r="C131" s="24" t="inlineStr">
        <is>
          <t>Alcohol Use Disorders Identification Test</t>
        </is>
      </c>
      <c r="D131" s="24" t="inlineStr">
        <is>
          <t>AUDIT</t>
        </is>
      </c>
      <c r="E131" s="24" t="inlineStr">
        <is>
          <t>World Health Organization (Saunders, Babor et al.)</t>
        </is>
      </c>
      <c r="F131" s="24" t="inlineStr">
        <is>
          <t>1993 (manual 2001)</t>
        </is>
      </c>
      <c r="G131" s="24" t="inlineStr">
        <is>
          <t>Hazardous and harmful alcohol use and possible dependence over the past 12 months</t>
        </is>
      </c>
      <c r="H131" s="24" t="n">
        <v>10</v>
      </c>
      <c r="I131" s="24" t="inlineStr">
        <is>
          <t>Items 1 to 8 on 5 point frequency scales scored 0 to 4; items 9 and 10 scored 0, 2 or 4</t>
        </is>
      </c>
      <c r="J131" s="24" t="inlineStr">
        <is>
          <t>Consumption (1 to 3), Dependence (4 to 6), Harm (7 to 10)</t>
        </is>
      </c>
      <c r="K131" s="24" t="inlineStr">
        <is>
          <t>Sum 0 to 40. WHO zones: 0 to 7 low risk, 8 to 15 hazardous (brief advice), 16 to 19 harmful (brief counselling), 20 or more possible dependence (specialist referral)</t>
        </is>
      </c>
      <c r="L131" s="24" t="inlineStr">
        <is>
          <t>free for non commercial or research only</t>
        </is>
      </c>
      <c r="M131" s="24" t="inlineStr">
        <is>
          <t>WHO 2001 manual: may be freely reviewed, abstracted, reproduced and translated "but not for sale or for use in conjunction with commercial purposes"</t>
        </is>
      </c>
      <c r="N131" s="24" t="inlineStr">
        <is>
          <t>https://camcops.readthedocs.io/en/latest/tasks/audit.html</t>
        </is>
      </c>
      <c r="O131" s="24" t="inlineStr">
        <is>
          <t>Yes</t>
        </is>
      </c>
      <c r="P131" s="24" t="inlineStr">
        <is>
          <t>https://www.who.int/publications/i/item/WHO-MSD-MSB-01.6a</t>
        </is>
      </c>
      <c r="Q131" s="24" t="inlineStr">
        <is>
          <t>Core alcohol measure in the NZ Health Survey (8 or more hazardous); used by Te Whatu Ora, Health NZ alcohol resources and NZ primary care</t>
        </is>
      </c>
      <c r="R131" s="24" t="inlineStr">
        <is>
          <t>The NZ standard alcohol screen; a commercial platform should check the WHO non commercial clause</t>
        </is>
      </c>
      <c r="S131" s="24" t="inlineStr"/>
      <c r="T131" s="24" t="inlineStr">
        <is>
          <t>https://camcops.readthedocs.io/en/latest/tasks/audit.html</t>
        </is>
      </c>
      <c r="U131" s="24" t="inlineStr">
        <is>
          <t>Sarah only if used (screener; never summarised to the client)</t>
        </is>
      </c>
      <c r="V131" s="24" t="inlineStr"/>
      <c r="W131" s="24" t="inlineStr"/>
      <c r="X131" s="24" t="inlineStr"/>
    </row>
    <row r="132">
      <c r="A132" s="24" t="n">
        <v>131</v>
      </c>
      <c r="B132" s="24" t="inlineStr">
        <is>
          <t>Clinical practice in New Zealand</t>
        </is>
      </c>
      <c r="C132" s="24" t="inlineStr">
        <is>
          <t>AUDIT Consumption</t>
        </is>
      </c>
      <c r="D132" s="24" t="inlineStr">
        <is>
          <t>AUDIT-C</t>
        </is>
      </c>
      <c r="E132" s="24" t="inlineStr">
        <is>
          <t>Bush, Kivlahan, McDonell, Fihn and Bradley (VA ACQUIP)</t>
        </is>
      </c>
      <c r="F132" s="24" t="inlineStr">
        <is>
          <t>1998</t>
        </is>
      </c>
      <c r="G132" s="24" t="inlineStr">
        <is>
          <t>Brief screen for hazardous drinking using the 3 AUDIT consumption items</t>
        </is>
      </c>
      <c r="H132" s="24" t="n">
        <v>3</v>
      </c>
      <c r="I132" s="24" t="inlineStr">
        <is>
          <t>5 point frequency and quantity scales scored 0 to 4</t>
        </is>
      </c>
      <c r="J132" s="24" t="inlineStr"/>
      <c r="K132" s="24" t="inlineStr">
        <is>
          <t>Sum 0 to 12; positive screen at 4 or more for men and 3 or more for women in US primary care; 5 or more often used in NZ and UK settings</t>
        </is>
      </c>
      <c r="L132" s="24" t="inlineStr">
        <is>
          <t>public domain</t>
        </is>
      </c>
      <c r="M132" s="24" t="inlineStr">
        <is>
          <t>"AUDIT-C is available for use in the public domain." (SAMHSA tool sheet quoted by CamCOPS)</t>
        </is>
      </c>
      <c r="N132" s="24" t="inlineStr">
        <is>
          <t>https://camcops.readthedocs.io/en/latest/tasks/audit.html</t>
        </is>
      </c>
      <c r="O132" s="24" t="inlineStr">
        <is>
          <t>Yes</t>
        </is>
      </c>
      <c r="P132" s="24" t="inlineStr">
        <is>
          <t>https://www.who.int/publications/i/item/WHO-MSD-MSB-01.6a</t>
        </is>
      </c>
      <c r="Q132" s="24" t="inlineStr">
        <is>
          <t>Widely used in NZ primary care and ACC provider intake; same items as the NZ Health Survey AUDIT</t>
        </is>
      </c>
      <c r="R132" s="24" t="inlineStr">
        <is>
          <t>Ideal intake screen; positive screens proceed to the full AUDIT</t>
        </is>
      </c>
      <c r="S132" s="24" t="inlineStr"/>
      <c r="T132" s="24" t="inlineStr">
        <is>
          <t>https://camcops.readthedocs.io/en/latest/tasks/audit.html</t>
        </is>
      </c>
      <c r="U132" s="24" t="inlineStr">
        <is>
          <t>Sarah only if used (screener; never summarised to the client)</t>
        </is>
      </c>
      <c r="V132" s="24" t="inlineStr"/>
      <c r="W132" s="24" t="inlineStr"/>
      <c r="X132" s="24" t="inlineStr">
        <is>
          <t>Added (yes, cleared)</t>
        </is>
      </c>
    </row>
    <row r="133">
      <c r="A133" s="24" t="n">
        <v>132</v>
      </c>
      <c r="B133" s="24" t="inlineStr">
        <is>
          <t>Clinical practice in New Zealand</t>
        </is>
      </c>
      <c r="C133" s="24" t="inlineStr">
        <is>
          <t>CAGE Questionnaire</t>
        </is>
      </c>
      <c r="D133" s="24" t="inlineStr">
        <is>
          <t>CAGE</t>
        </is>
      </c>
      <c r="E133" s="24" t="inlineStr">
        <is>
          <t>John Ewing (Ewing and Rouse 1970; published 1984)</t>
        </is>
      </c>
      <c r="F133" s="24" t="inlineStr">
        <is>
          <t>1984</t>
        </is>
      </c>
      <c r="G133" s="24" t="inlineStr">
        <is>
          <t>Lifetime screen for problem drinking: cut down, annoyed, guilty, eye opener</t>
        </is>
      </c>
      <c r="H133" s="24" t="n">
        <v>4</v>
      </c>
      <c r="I133" s="24" t="inlineStr">
        <is>
          <t>Yes or no</t>
        </is>
      </c>
      <c r="J133" s="24" t="inlineStr"/>
      <c r="K133" s="24" t="inlineStr">
        <is>
          <t>Count of yes responses 0 to 4; 2 or more is clinically significant (1 or more in some settings). CAGE-AID adapts the items for drugs</t>
        </is>
      </c>
      <c r="L133" s="24" t="inlineStr">
        <is>
          <t>public domain</t>
        </is>
      </c>
      <c r="M133" s="24" t="inlineStr">
        <is>
          <t>"Believed to be in the public domain" (CamCOPS, citing Ewing 1984 encouraging widespread use)</t>
        </is>
      </c>
      <c r="N133" s="24" t="inlineStr">
        <is>
          <t>https://camcops.readthedocs.io/en/latest/tasks/cage.html</t>
        </is>
      </c>
      <c r="O133" s="24" t="inlineStr">
        <is>
          <t>Yes</t>
        </is>
      </c>
      <c r="P133" s="24" t="inlineStr">
        <is>
          <t>https://camcops.readthedocs.io/en/latest/tasks/cage.html</t>
        </is>
      </c>
      <c r="Q133" s="24" t="inlineStr">
        <is>
          <t>Historically used in NZ general practice; largely superseded by AUDIT-C</t>
        </is>
      </c>
      <c r="R133" s="24" t="inlineStr">
        <is>
          <t>Very quick but insensitive to hazardous non dependent drinking; prefer AUDIT-C where possible</t>
        </is>
      </c>
      <c r="S133" s="24" t="inlineStr"/>
      <c r="T133" s="24" t="inlineStr">
        <is>
          <t>https://camcops.readthedocs.io/en/latest/tasks/cage.html</t>
        </is>
      </c>
      <c r="U133" s="24" t="inlineStr">
        <is>
          <t>Sarah only if used (screener; never summarised to the client)</t>
        </is>
      </c>
      <c r="V133" s="24" t="inlineStr"/>
      <c r="W133" s="24" t="inlineStr"/>
      <c r="X133" s="24" t="inlineStr">
        <is>
          <t>Added (yes, cleared)</t>
        </is>
      </c>
    </row>
    <row r="134">
      <c r="A134" s="24" t="n">
        <v>133</v>
      </c>
      <c r="B134" s="24" t="inlineStr">
        <is>
          <t>Clinical practice in New Zealand</t>
        </is>
      </c>
      <c r="C134" s="24" t="inlineStr">
        <is>
          <t>Severity of Dependence Scale</t>
        </is>
      </c>
      <c r="D134" s="24" t="inlineStr">
        <is>
          <t>SDS</t>
        </is>
      </c>
      <c r="E134" s="24" t="inlineStr">
        <is>
          <t>Gossop, Darke, Griffiths, Hando, Powis, Hall and Strang</t>
        </is>
      </c>
      <c r="F134" s="24" t="inlineStr">
        <is>
          <t>1995</t>
        </is>
      </c>
      <c r="G134" s="24" t="inlineStr">
        <is>
          <t>Psychological dependence on a nominated substance over the past 12 months (impaired control, preoccupation, anxiety about use)</t>
        </is>
      </c>
      <c r="H134" s="24" t="n">
        <v>5</v>
      </c>
      <c r="I134" s="24" t="inlineStr">
        <is>
          <t>4 point scales scored 0 to 3 (never or almost never to always or nearly always; item 5 not difficult to impossible)</t>
        </is>
      </c>
      <c r="J134" s="24" t="inlineStr"/>
      <c r="K134" s="24" t="inlineStr">
        <is>
          <t>Sum 0 to 15; higher is more dependent. Cut offs vary by substance: about 3 or more for cannabis and heroin, 4 for amphetamine, 6 or 7 for benzodiazepines</t>
        </is>
      </c>
      <c r="L134" s="24" t="inlineStr">
        <is>
          <t>not stated</t>
        </is>
      </c>
      <c r="M134" s="24" t="inlineStr">
        <is>
          <t>Listed by the WHO and EUDA as an open access research tool; no copyright or permission statement located</t>
        </is>
      </c>
      <c r="N134" s="24" t="inlineStr">
        <is>
          <t>https://www.euda.europa.eu/drugs-library/severity-dependence-scale_en</t>
        </is>
      </c>
      <c r="O134" s="24" t="inlineStr">
        <is>
          <t>Yes</t>
        </is>
      </c>
      <c r="P134" s="24" t="inlineStr">
        <is>
          <t>https://adai.uw.edu/instruments/pdf/Severity_of_Dependence_Scale_397.pdf</t>
        </is>
      </c>
      <c r="Q134" s="24" t="inlineStr">
        <is>
          <t>Used in NZ addiction services and research; no NZ norms located</t>
        </is>
      </c>
      <c r="R134" s="24" t="inlineStr">
        <is>
          <t>Useful substance specific companion to the AUDIT or CUDIT-R for dependence severity</t>
        </is>
      </c>
      <c r="S134" s="24" t="inlineStr"/>
      <c r="T134" s="24" t="inlineStr">
        <is>
          <t>https://www.euda.europa.eu/drugs-library/severity-dependence-scale_en</t>
        </is>
      </c>
      <c r="U134" s="24" t="inlineStr">
        <is>
          <t>Sarah only if used (screener; never summarised to the client)</t>
        </is>
      </c>
      <c r="V134" s="24" t="inlineStr"/>
      <c r="W134" s="24" t="inlineStr"/>
      <c r="X134" s="24" t="inlineStr"/>
    </row>
    <row r="135">
      <c r="A135" s="24" t="n">
        <v>134</v>
      </c>
      <c r="B135" s="24" t="inlineStr">
        <is>
          <t>Clinical practice in New Zealand</t>
        </is>
      </c>
      <c r="C135" s="24" t="inlineStr">
        <is>
          <t>Cannabis Use Disorders Identification Test, Revised</t>
        </is>
      </c>
      <c r="D135" s="24" t="inlineStr">
        <is>
          <t>CUDIT-R</t>
        </is>
      </c>
      <c r="E135" s="24" t="inlineStr">
        <is>
          <t>Adamson, Kay-Lambkin, Baker, Lewin, Thornton, Kelly and Sellman (National Addiction Centre, University of Otago, Christchurch)</t>
        </is>
      </c>
      <c r="F135" s="24" t="inlineStr">
        <is>
          <t>2010</t>
        </is>
      </c>
      <c r="G135" s="24" t="inlineStr">
        <is>
          <t>Hazardous cannabis use and possible cannabis use disorder over the past 6 months</t>
        </is>
      </c>
      <c r="H135" s="24" t="n">
        <v>8</v>
      </c>
      <c r="I135" s="24" t="inlineStr">
        <is>
          <t>Items 1 to 7 on 5 point scales scored 0 to 4; item 8 scored 0, 2 or 4</t>
        </is>
      </c>
      <c r="J135" s="24" t="inlineStr">
        <is>
          <t>Consumption, Cannabis problems, Dependence, Psychological features</t>
        </is>
      </c>
      <c r="K135" s="24" t="inlineStr">
        <is>
          <t>Sum 0 to 32; 8 or more hazardous cannabis use, 12 or more possible cannabis use disorder warranting further assessment</t>
        </is>
      </c>
      <c r="L135" s="24" t="inlineStr">
        <is>
          <t>free with attribution (CC or stated)</t>
        </is>
      </c>
      <c r="M135" s="24" t="inlineStr">
        <is>
          <t>"This protocol is freely available; permission not required for use." (PhenX Toolkit)</t>
        </is>
      </c>
      <c r="N135" s="24" t="inlineStr">
        <is>
          <t>https://phenxtoolkit.org/protocols/view/510310</t>
        </is>
      </c>
      <c r="O135" s="24" t="inlineStr">
        <is>
          <t>Yes</t>
        </is>
      </c>
      <c r="P135" s="24" t="inlineStr">
        <is>
          <t>https://phenxtoolkit.org/protocols/view/510310</t>
        </is>
      </c>
      <c r="Q135" s="24" t="inlineStr">
        <is>
          <t>Developed and validated in New Zealand (Christchurch); widely used by NZ addiction services</t>
        </is>
      </c>
      <c r="R135" s="24" t="inlineStr">
        <is>
          <t>The NZ developed cannabis screen; the obvious choice for this codebook</t>
        </is>
      </c>
      <c r="S135" s="24" t="inlineStr"/>
      <c r="T135" s="24" t="inlineStr">
        <is>
          <t>https://ourarchive.otago.ac.nz/esploro/outputs/journalArticle/An-improved-brief-measure-of-cannabis/9926517104601891</t>
        </is>
      </c>
      <c r="U135" s="24" t="inlineStr">
        <is>
          <t>Sarah only if used (screener; never summarised to the client)</t>
        </is>
      </c>
      <c r="V135" s="24" t="inlineStr"/>
      <c r="W135" s="24" t="inlineStr"/>
      <c r="X135" s="24" t="inlineStr">
        <is>
          <t>Added (yes, cleared)</t>
        </is>
      </c>
    </row>
    <row r="136">
      <c r="A136" s="24" t="n">
        <v>135</v>
      </c>
      <c r="B136" s="24" t="inlineStr">
        <is>
          <t>Clinical practice in New Zealand</t>
        </is>
      </c>
      <c r="C136" s="24" t="inlineStr">
        <is>
          <t>Insomnia Severity Index</t>
        </is>
      </c>
      <c r="D136" s="24" t="inlineStr">
        <is>
          <t>ISI</t>
        </is>
      </c>
      <c r="E136" s="24" t="inlineStr">
        <is>
          <t>Charles Morin, Universite Laval</t>
        </is>
      </c>
      <c r="F136" s="24" t="inlineStr">
        <is>
          <t>1993 (validated Bastien et al. 2001; Morin et al. 2011)</t>
        </is>
      </c>
      <c r="G136" s="24" t="inlineStr">
        <is>
          <t>Perceived severity of insomnia over the past 2 weeks: sleep onset, maintenance, early waking, satisfaction, interference, noticeability, distress</t>
        </is>
      </c>
      <c r="H136" s="24" t="n">
        <v>7</v>
      </c>
      <c r="I136" s="24" t="inlineStr">
        <is>
          <t>5 point scale, 0 to 4</t>
        </is>
      </c>
      <c r="J136" s="24" t="inlineStr"/>
      <c r="K136" s="24" t="inlineStr">
        <is>
          <t>Sum 0 to 28: 0 to 7 no clinically significant insomnia, 8 to 14 subthreshold, 15 to 21 moderate, 22 to 28 severe; case finding cut off 10 community, 11 clinical</t>
        </is>
      </c>
      <c r="L136" s="24" t="inlineStr">
        <is>
          <t>permission required</t>
        </is>
      </c>
      <c r="M136" s="24" t="inlineStr">
        <is>
          <t>Copyright Charles Morin, distributed by Mapi Research Trust. Individual clinicians and non funded academics register for direct free access; funded research, healthcare organisations, commercial and IT users need a licence agreement and fees may apply; embedding in software needs separate permission</t>
        </is>
      </c>
      <c r="N136" s="24" t="inlineStr">
        <is>
          <t>https://eprovide.mapi-trust.org/isi-insomnia-severity-index/</t>
        </is>
      </c>
      <c r="O136" s="24" t="inlineStr">
        <is>
          <t>No</t>
        </is>
      </c>
      <c r="P136" s="24" t="inlineStr">
        <is>
          <t>https://eprovide.mapi-trust.org/isi-insomnia-severity-index/</t>
        </is>
      </c>
      <c r="Q136" s="24" t="inlineStr">
        <is>
          <t>No NZ norms located; used in NZ sleep clinics</t>
        </is>
      </c>
      <c r="R136" s="24" t="inlineStr">
        <is>
          <t>Free for an individual clinician on paper via Mapi registration; a platform build requires a licence</t>
        </is>
      </c>
      <c r="S136" s="24" t="inlineStr"/>
      <c r="T136" s="24" t="inlineStr">
        <is>
          <t>https://eprovide.mapi-trust.org/isi-insomnia-severity-index/</t>
        </is>
      </c>
      <c r="U136" s="24" t="inlineStr">
        <is>
          <t>Sarah only if used (screener; never summarised to the client)</t>
        </is>
      </c>
      <c r="V136" s="24" t="inlineStr">
        <is>
          <t>Check: digital or platform use may need its own licence</t>
        </is>
      </c>
      <c r="W136" s="24" t="inlineStr"/>
      <c r="X136" s="24" t="inlineStr"/>
    </row>
    <row r="137">
      <c r="A137" s="24" t="n">
        <v>136</v>
      </c>
      <c r="B137" s="24" t="inlineStr">
        <is>
          <t>Clinical practice in New Zealand</t>
        </is>
      </c>
      <c r="C137" s="24" t="inlineStr">
        <is>
          <t>Eating Disorder Examination Questionnaire 6.0</t>
        </is>
      </c>
      <c r="D137" s="24" t="inlineStr">
        <is>
          <t>EDE-Q</t>
        </is>
      </c>
      <c r="E137" s="24" t="inlineStr">
        <is>
          <t>Christopher Fairburn and Sarah Beglin, CREDO Oxford</t>
        </is>
      </c>
      <c r="F137" s="24" t="inlineStr">
        <is>
          <t>1994 (version 6.0, 2008)</t>
        </is>
      </c>
      <c r="G137" s="24" t="inlineStr">
        <is>
          <t>Eating disorder psychopathology over the past 28 days plus frequency of key behaviours</t>
        </is>
      </c>
      <c r="H137" s="24" t="n">
        <v>28</v>
      </c>
      <c r="I137" s="24" t="inlineStr">
        <is>
          <t>22 attitudinal items on 7 point scales 0 to 6 (no days to every day, or not at all to markedly); 6 items record frequency counts</t>
        </is>
      </c>
      <c r="J137" s="24" t="inlineStr">
        <is>
          <t>Restraint, Eating concern, Shape concern, Weight concern</t>
        </is>
      </c>
      <c r="K137" s="24" t="inlineStr">
        <is>
          <t>Subscale means and a global mean of the 4 subscales, 0 to 6; global 2.3 to 2.8 is often used as a community cut off (about 4.0 in clinical samples); behaviour frequencies reported separately</t>
        </is>
      </c>
      <c r="L137" s="24" t="inlineStr">
        <is>
          <t>free for non commercial or research only</t>
        </is>
      </c>
      <c r="M137" s="24" t="inlineStr">
        <is>
          <t>"The EDE-Q (and its items) is under copyright. It is freely available for non-commercial research use only and no permission need to be sought. For commercial use of the EDE-Q contact: credo@medsci.ox.ac.uk"</t>
        </is>
      </c>
      <c r="N137" s="24" t="inlineStr">
        <is>
          <t>https://camcops.readthedocs.io/en/latest/tasks/edeq.html</t>
        </is>
      </c>
      <c r="O137" s="24" t="inlineStr">
        <is>
          <t>Yes</t>
        </is>
      </c>
      <c r="P137" s="24" t="inlineStr">
        <is>
          <t>https://www.corc.uk.net/media/1273/ede-q_quesionnaire.pdf</t>
        </is>
      </c>
      <c r="Q137" s="24" t="inlineStr">
        <is>
          <t>Used in NZ eating disorder services; no NZ norms located; Australian community norms (Mond et al.) commonly applied</t>
        </is>
      </c>
      <c r="R137" s="24" t="inlineStr">
        <is>
          <t>Clinical use on paper is widely accepted; a paid platform should seek CREDO permission</t>
        </is>
      </c>
      <c r="S137" s="24" t="inlineStr"/>
      <c r="T137" s="24" t="inlineStr">
        <is>
          <t>https://camcops.readthedocs.io/en/latest/tasks/edeq.html</t>
        </is>
      </c>
      <c r="U137" s="24" t="inlineStr">
        <is>
          <t>Sarah only if used (screener; never summarised to the client)</t>
        </is>
      </c>
      <c r="V137" s="24" t="inlineStr"/>
      <c r="W137" s="24" t="inlineStr"/>
      <c r="X137" s="24" t="inlineStr"/>
    </row>
    <row r="138">
      <c r="A138" s="24" t="n">
        <v>137</v>
      </c>
      <c r="B138" s="24" t="inlineStr">
        <is>
          <t>Clinical practice in New Zealand</t>
        </is>
      </c>
      <c r="C138" s="24" t="inlineStr">
        <is>
          <t>SCOFF Questionnaire</t>
        </is>
      </c>
      <c r="D138" s="24" t="inlineStr">
        <is>
          <t>SCOFF</t>
        </is>
      </c>
      <c r="E138" s="24" t="inlineStr">
        <is>
          <t>Morgan, Reid and Lacey, St George's Hospital Medical School</t>
        </is>
      </c>
      <c r="F138" s="24" t="inlineStr">
        <is>
          <t>1999</t>
        </is>
      </c>
      <c r="G138" s="24" t="inlineStr">
        <is>
          <t>Brief screen for anorexia nervosa and bulimia nervosa</t>
        </is>
      </c>
      <c r="H138" s="24" t="n">
        <v>5</v>
      </c>
      <c r="I138" s="24" t="inlineStr">
        <is>
          <t>Yes or no</t>
        </is>
      </c>
      <c r="J138" s="24" t="inlineStr"/>
      <c r="K138" s="24" t="inlineStr">
        <is>
          <t>1 point per yes; 2 or more indicates a likely eating disorder and the need for fuller assessment</t>
        </is>
      </c>
      <c r="L138" s="24" t="inlineStr">
        <is>
          <t>not stated</t>
        </is>
      </c>
      <c r="M138" s="24" t="inlineStr">
        <is>
          <t>No copyright or permission statement located; the full questionnaire was published in the BMJ and is reproduced freely by NHS services</t>
        </is>
      </c>
      <c r="N138" s="24" t="inlineStr">
        <is>
          <t>https://www.bmj.com/content/319/7223/1467</t>
        </is>
      </c>
      <c r="O138" s="24" t="inlineStr">
        <is>
          <t>Yes</t>
        </is>
      </c>
      <c r="P138" s="24" t="inlineStr">
        <is>
          <t>https://www.bmj.com/content/319/7223/1467</t>
        </is>
      </c>
      <c r="Q138" s="24" t="inlineStr">
        <is>
          <t>No NZ validation located</t>
        </is>
      </c>
      <c r="R138" s="24" t="inlineStr">
        <is>
          <t>Intake screen only; follow positives with the EDE-Q and a clinical interview</t>
        </is>
      </c>
      <c r="S138" s="24" t="inlineStr"/>
      <c r="T138" s="24" t="inlineStr">
        <is>
          <t>https://rightdecisions.scot.nhs.uk/media/go5jp0zr/scoff-questionnaire.pdf</t>
        </is>
      </c>
      <c r="U138" s="24" t="inlineStr">
        <is>
          <t>Sarah only if used (screener; never summarised to the client)</t>
        </is>
      </c>
      <c r="V138" s="24" t="inlineStr"/>
      <c r="W138" s="24" t="inlineStr"/>
      <c r="X138" s="24" t="inlineStr"/>
    </row>
    <row r="139">
      <c r="A139" s="24" t="n">
        <v>138</v>
      </c>
      <c r="B139" s="24" t="inlineStr">
        <is>
          <t>Clinical practice in New Zealand</t>
        </is>
      </c>
      <c r="C139" s="24" t="inlineStr">
        <is>
          <t>Hypomania Checklist 32</t>
        </is>
      </c>
      <c r="D139" s="24" t="inlineStr">
        <is>
          <t>HCL-32</t>
        </is>
      </c>
      <c r="E139" s="24" t="inlineStr">
        <is>
          <t>Jules Angst and colleagues, University of Zurich</t>
        </is>
      </c>
      <c r="F139" s="24" t="inlineStr">
        <is>
          <t>2005</t>
        </is>
      </c>
      <c r="G139" s="24" t="inlineStr">
        <is>
          <t>Lifetime hypomanic symptoms to screen for bipolar spectrum in people presenting with depression</t>
        </is>
      </c>
      <c r="H139" s="24" t="n">
        <v>32</v>
      </c>
      <c r="I139" s="24" t="inlineStr">
        <is>
          <t>Yes or no for each symptom (typical of me or not), plus items on duration, impact and others' reactions</t>
        </is>
      </c>
      <c r="J139" s="24" t="inlineStr">
        <is>
          <t>Active or elated, Risk taking or irritable</t>
        </is>
      </c>
      <c r="K139" s="24" t="inlineStr">
        <is>
          <t>Count of yes responses 0 to 32; Angst et al. 2005 proposed 14 or more as a positive screen (sensitivity about 80 percent, specificity about 51 percent); Wikipedia notes a cut off of 8 has also been reported</t>
        </is>
      </c>
      <c r="L139" s="24" t="inlineStr">
        <is>
          <t>free for non commercial or research only</t>
        </is>
      </c>
      <c r="M139" s="24" t="inlineStr">
        <is>
          <t>"The University of Zurich holds the copyright. The HCL-32 is available for use at no charge."</t>
        </is>
      </c>
      <c r="N139" s="24" t="inlineStr">
        <is>
          <t>https://en.wikipedia.org/wiki/Hypomania_Checklist</t>
        </is>
      </c>
      <c r="O139" s="24" t="inlineStr">
        <is>
          <t>Yes</t>
        </is>
      </c>
      <c r="P139" s="24" t="inlineStr">
        <is>
          <t>https://en.wikiversity.org/wiki/Evidence_based_assessment/Instruments/Hypomania_Checklist</t>
        </is>
      </c>
      <c r="Q139" s="24" t="inlineStr">
        <is>
          <t>No NZ norms located</t>
        </is>
      </c>
      <c r="R139" s="24" t="inlineStr">
        <is>
          <t>Free alternative to the MDQ; low specificity means positives need clinical interview</t>
        </is>
      </c>
      <c r="S139" s="24" t="inlineStr"/>
      <c r="T139" s="24" t="inlineStr">
        <is>
          <t>https://en.wikipedia.org/wiki/Hypomania_Checklist</t>
        </is>
      </c>
      <c r="U139" s="24" t="inlineStr">
        <is>
          <t>Sarah only if used (screener; never summarised to the client)</t>
        </is>
      </c>
      <c r="V139" s="24" t="inlineStr"/>
      <c r="W139" s="24" t="inlineStr"/>
      <c r="X139" s="24" t="inlineStr"/>
    </row>
    <row r="140">
      <c r="A140" s="24" t="n">
        <v>139</v>
      </c>
      <c r="B140" s="24" t="inlineStr">
        <is>
          <t>Clinical practice in New Zealand</t>
        </is>
      </c>
      <c r="C140" s="24" t="inlineStr">
        <is>
          <t>Prodromal Questionnaire 16</t>
        </is>
      </c>
      <c r="D140" s="24" t="inlineStr">
        <is>
          <t>PQ-16</t>
        </is>
      </c>
      <c r="E140" s="24" t="inlineStr">
        <is>
          <t>Ising, Veling, Loewy et al. (short form of Loewy's PQ)</t>
        </is>
      </c>
      <c r="F140" s="24" t="inlineStr">
        <is>
          <t>2012</t>
        </is>
      </c>
      <c r="G140" s="24" t="inlineStr">
        <is>
          <t>Screen for psychosis risk: perceptual aberrations, unusual thought content, negative symptoms</t>
        </is>
      </c>
      <c r="H140" s="24" t="n">
        <v>16</v>
      </c>
      <c r="I140" s="24" t="inlineStr">
        <is>
          <t>True or false for each experience; endorsed items rated for distress 0 (none) to 3 (severe)</t>
        </is>
      </c>
      <c r="J140" s="24" t="inlineStr">
        <is>
          <t>Perceptual abnormalities and hallucinations, Unusual thought content and paranoia, Negative symptoms</t>
        </is>
      </c>
      <c r="K140" s="24" t="inlineStr">
        <is>
          <t>Count of true responses 0 to 16; 6 or more indicates need for specialised ultra high risk assessment (CAARMS or SIPS). Distress total 0 to 48 reported separately</t>
        </is>
      </c>
      <c r="L140" s="24" t="inlineStr">
        <is>
          <t>not stated</t>
        </is>
      </c>
      <c r="M140" s="24" t="inlineStr">
        <is>
          <t>No licence statement located; items are published in the open access validation article and the measure is distributed freely by early intervention services</t>
        </is>
      </c>
      <c r="N140" s="24" t="inlineStr">
        <is>
          <t>https://research.vu.nl/ws/files/3068060/Ising%202012%20_2.pdf</t>
        </is>
      </c>
      <c r="O140" s="24" t="inlineStr">
        <is>
          <t>Yes</t>
        </is>
      </c>
      <c r="P140" s="24" t="inlineStr">
        <is>
          <t>https://research.vu.nl/ws/files/3068060/Ising%202012%20_2.pdf</t>
        </is>
      </c>
      <c r="Q140" s="24" t="inlineStr">
        <is>
          <t>No NZ norms; used in some NZ early intervention in psychosis services</t>
        </is>
      </c>
      <c r="R140" s="24" t="inlineStr">
        <is>
          <t>Screening only; positives must be reviewed by the clinician before any feedback</t>
        </is>
      </c>
      <c r="S140" s="24" t="inlineStr"/>
      <c r="T140" s="24" t="inlineStr">
        <is>
          <t>https://research.vu.nl/en/publications/the-validity-of-the-16-item-version-of-the-prodromal-questionnair/</t>
        </is>
      </c>
      <c r="U140" s="24" t="inlineStr">
        <is>
          <t>Risk measure: Sarah to decide; never unattended in the hub</t>
        </is>
      </c>
      <c r="V140" s="24" t="inlineStr"/>
      <c r="W140" s="24" t="inlineStr"/>
      <c r="X140" s="24" t="inlineStr"/>
    </row>
    <row r="141">
      <c r="A141" s="24" t="n">
        <v>140</v>
      </c>
      <c r="B141" s="24" t="inlineStr">
        <is>
          <t>Clinical practice in New Zealand</t>
        </is>
      </c>
      <c r="C141" s="24" t="inlineStr">
        <is>
          <t>Community Assessment of Psychic Experiences</t>
        </is>
      </c>
      <c r="D141" s="24" t="inlineStr">
        <is>
          <t>CAPE-42 (CAPE-P15)</t>
        </is>
      </c>
      <c r="E141" s="24" t="inlineStr">
        <is>
          <t>Stefanis, Hanssen, Smirnis et al. with Jim van Os</t>
        </is>
      </c>
      <c r="F141" s="24" t="inlineStr">
        <is>
          <t>2002</t>
        </is>
      </c>
      <c r="G141" s="24" t="inlineStr">
        <is>
          <t>Lifetime frequency of and distress from psychotic like experiences in the community: positive, negative and depressive dimensions</t>
        </is>
      </c>
      <c r="H141" s="24" t="n">
        <v>42</v>
      </c>
      <c r="I141" s="24" t="inlineStr">
        <is>
          <t>Frequency 1 (never) to 4 (nearly always); each endorsed item rated for distress 1 (not distressed) to 4 (very distressed)</t>
        </is>
      </c>
      <c r="J141" s="24" t="inlineStr">
        <is>
          <t>Positive (20 items), Negative (14 items), Depressive (8 items)</t>
        </is>
      </c>
      <c r="K141" s="24" t="inlineStr">
        <is>
          <t>Dimension frequency and distress sums, usually reported as weighted means (total divided by items answered); no diagnostic cut off; CAPE-P15 positive short form uses 1.47 mean as a risk threshold in some studies</t>
        </is>
      </c>
      <c r="L141" s="24" t="inlineStr">
        <is>
          <t>public domain</t>
        </is>
      </c>
      <c r="M141" s="24" t="inlineStr">
        <is>
          <t>"Public domain/freeware"; Jim van Os described the instrument as "totally freeware" (personal communication to CamCOPS, 2014)</t>
        </is>
      </c>
      <c r="N141" s="24" t="inlineStr">
        <is>
          <t>https://camcops.readthedocs.io/en/latest/tasks/cape.html</t>
        </is>
      </c>
      <c r="O141" s="24" t="inlineStr">
        <is>
          <t>Yes</t>
        </is>
      </c>
      <c r="P141" s="24" t="inlineStr">
        <is>
          <t>http://cape42.homestead.com/</t>
        </is>
      </c>
      <c r="Q141" s="24" t="inlineStr">
        <is>
          <t>No NZ norms located</t>
        </is>
      </c>
      <c r="R141" s="24" t="inlineStr">
        <is>
          <t>Dimensional measure for research and formulation rather than quick screening; the PQ-16 is shorter</t>
        </is>
      </c>
      <c r="S141" s="24" t="inlineStr"/>
      <c r="T141" s="24" t="inlineStr">
        <is>
          <t>https://camcops.readthedocs.io/en/latest/tasks/cape.html</t>
        </is>
      </c>
      <c r="U141" s="24" t="inlineStr">
        <is>
          <t>Sarah only if used (screener; never summarised to the client)</t>
        </is>
      </c>
      <c r="V141" s="24" t="inlineStr"/>
      <c r="W141" s="24" t="inlineStr"/>
      <c r="X141" s="24" t="inlineStr">
        <is>
          <t>Added (decide, cleared)</t>
        </is>
      </c>
    </row>
    <row r="142">
      <c r="A142" s="24" t="n">
        <v>141</v>
      </c>
      <c r="B142" s="24" t="inlineStr">
        <is>
          <t>Clinical practice in New Zealand</t>
        </is>
      </c>
      <c r="C142" s="24" t="inlineStr">
        <is>
          <t>Dimensions of Anger Reactions 5</t>
        </is>
      </c>
      <c r="D142" s="24" t="inlineStr">
        <is>
          <t>DAR-5</t>
        </is>
      </c>
      <c r="E142" s="24" t="inlineStr">
        <is>
          <t>Forbes, Alkemade, Mitchell et al. (from Novaco's 7 item DAR)</t>
        </is>
      </c>
      <c r="F142" s="24" t="inlineStr">
        <is>
          <t>2014</t>
        </is>
      </c>
      <c r="G142" s="24" t="inlineStr">
        <is>
          <t>Anger frequency, intensity, duration, aggression and interference over the past 4 weeks</t>
        </is>
      </c>
      <c r="H142" s="24" t="n">
        <v>5</v>
      </c>
      <c r="I142" s="24" t="inlineStr">
        <is>
          <t>5 point scale, 1 (none or almost none of the time) to 5 (all or almost all of the time)</t>
        </is>
      </c>
      <c r="J142" s="24" t="inlineStr"/>
      <c r="K142" s="24" t="inlineStr">
        <is>
          <t>Sum 5 to 25; 12 or more indicates clinically significant anger (Forbes et al. 2014)</t>
        </is>
      </c>
      <c r="L142" s="24" t="inlineStr">
        <is>
          <t>not stated</t>
        </is>
      </c>
      <c r="M142" s="24" t="inlineStr">
        <is>
          <t>No licence or copyright statement located; published in full in peer reviewed articles and hosted free by NovoPsych and others</t>
        </is>
      </c>
      <c r="N142" s="24" t="inlineStr">
        <is>
          <t>https://novopsych.com/assessments/trauma/dar-5/</t>
        </is>
      </c>
      <c r="O142" s="24" t="inlineStr">
        <is>
          <t>Yes</t>
        </is>
      </c>
      <c r="P142" s="24" t="inlineStr">
        <is>
          <t>https://pmc.ncbi.nlm.nih.gov/articles/PMC7067169</t>
        </is>
      </c>
      <c r="Q142" s="24" t="inlineStr">
        <is>
          <t>Australian developed (Phoenix Australia); no NZ norms located; already hosted on NovoPsych</t>
        </is>
      </c>
      <c r="R142" s="24" t="inlineStr">
        <is>
          <t>Already on NovoPsych; brief anger screen well suited to trauma presentations</t>
        </is>
      </c>
      <c r="S142" s="24" t="inlineStr"/>
      <c r="T142" s="24" t="inlineStr">
        <is>
          <t>https://novopsych.com/assessments/trauma/dar-5/</t>
        </is>
      </c>
      <c r="U142" s="24" t="inlineStr">
        <is>
          <t>Sarah only if used (screener; never summarised to the client)</t>
        </is>
      </c>
      <c r="V142" s="24" t="inlineStr"/>
      <c r="W142" s="24" t="inlineStr"/>
      <c r="X142" s="24" t="inlineStr"/>
    </row>
    <row r="143">
      <c r="A143" s="24" t="n">
        <v>142</v>
      </c>
      <c r="B143" s="24" t="inlineStr">
        <is>
          <t>Clinical practice in New Zealand</t>
        </is>
      </c>
      <c r="C143" s="24" t="inlineStr">
        <is>
          <t>Prolonged Grief 13, Revised</t>
        </is>
      </c>
      <c r="D143" s="24" t="inlineStr">
        <is>
          <t>PG-13-R</t>
        </is>
      </c>
      <c r="E143" s="24" t="inlineStr">
        <is>
          <t>Holly Prigerson and Paul Maciejewski, Weill Cornell Medicine</t>
        </is>
      </c>
      <c r="F143" s="24" t="inlineStr">
        <is>
          <t>2021 (PG-13 2009)</t>
        </is>
      </c>
      <c r="G143" s="24" t="inlineStr">
        <is>
          <t>Prolonged grief disorder symptoms aligned with DSM-5-TR and ICD-11 criteria</t>
        </is>
      </c>
      <c r="H143" s="24" t="n">
        <v>13</v>
      </c>
      <c r="I143" s="24" t="inlineStr">
        <is>
          <t>10 symptom items on 5 point frequency or intensity scales 1 to 5, plus items on time since loss, duration and functional impairment</t>
        </is>
      </c>
      <c r="J143" s="24" t="inlineStr"/>
      <c r="K143" s="24" t="inlineStr">
        <is>
          <t>Symptom sum 10 to 50; 30 or more with impairment and at least 12 months since loss suggests prolonged grief disorder (diagnostic algorithm also available)</t>
        </is>
      </c>
      <c r="L143" s="24" t="inlineStr">
        <is>
          <t>permission required</t>
        </is>
      </c>
      <c r="M143" s="24" t="inlineStr">
        <is>
          <t>"Free of charge to use PG-13 in clinical diagnosis and bereavement-related studies"; copyright protected and "should not be reproduced without the permission of the authors"; request via online form</t>
        </is>
      </c>
      <c r="N143" s="24" t="inlineStr">
        <is>
          <t>https://endoflife.weill.cornell.edu/pg-13</t>
        </is>
      </c>
      <c r="O143" s="24" t="inlineStr">
        <is>
          <t>Yes</t>
        </is>
      </c>
      <c r="P143" s="24" t="inlineStr">
        <is>
          <t>https://endoflife.weill.cornell.edu/sites/default/files/file_uploads/prigerson.pdf</t>
        </is>
      </c>
      <c r="Q143" s="24" t="inlineStr">
        <is>
          <t>No NZ norms located</t>
        </is>
      </c>
      <c r="R143" s="24" t="inlineStr">
        <is>
          <t>Submit the Weill Cornell request form before use; the form has a clinical practitioner option</t>
        </is>
      </c>
      <c r="S143" s="24" t="inlineStr"/>
      <c r="T143" s="24" t="inlineStr">
        <is>
          <t>https://endoflife.weill.cornell.edu/pg-13</t>
        </is>
      </c>
      <c r="U143" s="24" t="inlineStr">
        <is>
          <t>Sarah only if used (screener; never summarised to the client)</t>
        </is>
      </c>
      <c r="V143" s="24" t="inlineStr">
        <is>
          <t>Check: digital or platform use may need its own licence</t>
        </is>
      </c>
      <c r="W143" s="24" t="inlineStr"/>
      <c r="X143" s="24" t="inlineStr"/>
    </row>
    <row r="144">
      <c r="A144" s="24" t="n">
        <v>143</v>
      </c>
      <c r="B144" s="24" t="inlineStr">
        <is>
          <t>Clinical practice in New Zealand</t>
        </is>
      </c>
      <c r="C144" s="24" t="inlineStr">
        <is>
          <t>Inventory of Complicated Grief</t>
        </is>
      </c>
      <c r="D144" s="24" t="inlineStr">
        <is>
          <t>ICG</t>
        </is>
      </c>
      <c r="E144" s="24" t="inlineStr">
        <is>
          <t>Prigerson, Maciejewski, Reynolds et al.</t>
        </is>
      </c>
      <c r="F144" s="24" t="inlineStr">
        <is>
          <t>1995</t>
        </is>
      </c>
      <c r="G144" s="24" t="inlineStr">
        <is>
          <t>Maladaptive grief symptoms (yearning, disbelief, anger, avoidance) after bereavement</t>
        </is>
      </c>
      <c r="H144" s="24" t="n">
        <v>19</v>
      </c>
      <c r="I144" s="24" t="inlineStr">
        <is>
          <t>5 point frequency scale, 0 (never) to 4 (always)</t>
        </is>
      </c>
      <c r="J144" s="24" t="inlineStr"/>
      <c r="K144" s="24" t="inlineStr">
        <is>
          <t>Sum 0 to 76; scores above 25 indicate complicated grief with significant impairment</t>
        </is>
      </c>
      <c r="L144" s="24" t="inlineStr">
        <is>
          <t>not stated</t>
        </is>
      </c>
      <c r="M144" s="24" t="inlineStr">
        <is>
          <t>No licence statement located; the full scale is published in the 1995 Psychiatry Research article posted by Weill Cornell; the group now directs users to the PG-13-R request process</t>
        </is>
      </c>
      <c r="N144" s="24" t="inlineStr">
        <is>
          <t>https://endoflife.weill.cornell.edu/sites/default/files/icg_publication.pdf</t>
        </is>
      </c>
      <c r="O144" s="24" t="inlineStr">
        <is>
          <t>Yes</t>
        </is>
      </c>
      <c r="P144" s="24" t="inlineStr">
        <is>
          <t>https://endoflife.weill.cornell.edu/sites/default/files/icg_publication.pdf</t>
        </is>
      </c>
      <c r="Q144" s="24" t="inlineStr">
        <is>
          <t>No NZ norms located</t>
        </is>
      </c>
      <c r="R144" s="24" t="inlineStr">
        <is>
          <t>Older but widely used; PG-13-R is the current preferred measure</t>
        </is>
      </c>
      <c r="S144" s="24" t="inlineStr"/>
      <c r="T144" s="24" t="inlineStr">
        <is>
          <t>https://www.apa.org/pi/about/publications/caregivers/practice-settings/assessment/tools/complicated-grief</t>
        </is>
      </c>
      <c r="U144" s="24" t="inlineStr">
        <is>
          <t>Sarah only if used (screener; never summarised to the client)</t>
        </is>
      </c>
      <c r="V144" s="24" t="inlineStr"/>
      <c r="W144" s="24" t="inlineStr"/>
      <c r="X144" s="24" t="inlineStr"/>
    </row>
    <row r="145">
      <c r="A145" s="24" t="n">
        <v>144</v>
      </c>
      <c r="B145" s="24" t="inlineStr">
        <is>
          <t>Clinical practice in New Zealand</t>
        </is>
      </c>
      <c r="C145" s="24" t="inlineStr">
        <is>
          <t>Edinburgh Postnatal Depression Scale</t>
        </is>
      </c>
      <c r="D145" s="24" t="inlineStr">
        <is>
          <t>EPDS</t>
        </is>
      </c>
      <c r="E145" s="24" t="inlineStr">
        <is>
          <t>Cox, Holden and Sagovsky</t>
        </is>
      </c>
      <c r="F145" s="24" t="inlineStr">
        <is>
          <t>1987</t>
        </is>
      </c>
      <c r="G145" s="24" t="inlineStr">
        <is>
          <t>Depressive and anxious symptoms in the past 7 days during pregnancy and the postnatal period</t>
        </is>
      </c>
      <c r="H145" s="24" t="n">
        <v>10</v>
      </c>
      <c r="I145" s="24" t="inlineStr">
        <is>
          <t>4 point scales scored 0 to 3 (items 3 and 5 to 10 reverse scored)</t>
        </is>
      </c>
      <c r="J145" s="24" t="inlineStr">
        <is>
          <t>Anxiety (items 3 to 5)</t>
        </is>
      </c>
      <c r="K145" s="24" t="inlineStr">
        <is>
          <t>Sum 0 to 30; 13 or more indicates probable depression (10 or more for a sensitive screen); item 10 flags self harm thoughts and always requires follow up</t>
        </is>
      </c>
      <c r="L145" s="24" t="inlineStr">
        <is>
          <t>permission required</t>
        </is>
      </c>
      <c r="M145" s="24" t="inlineStr">
        <is>
          <t>Copyright Royal College of Psychiatrists: the scale "may be photocopied by individual researchers or clinicians for their own use" with acknowledgement of Cox, Holden and Sagovsky (1987); written permission required for distribution to others or republication; RCPsych refused embedding in CamCOPS</t>
        </is>
      </c>
      <c r="N145" s="24" t="inlineStr">
        <is>
          <t>https://camcops.readthedocs.io/en/latest/tasks/epds.html</t>
        </is>
      </c>
      <c r="O145" s="24" t="inlineStr">
        <is>
          <t>Yes</t>
        </is>
      </c>
      <c r="P145" s="24" t="inlineStr">
        <is>
          <t>https://camcops.readthedocs.io/en/latest/tasks/epds.html</t>
        </is>
      </c>
      <c r="Q145" s="24" t="inlineStr">
        <is>
          <t>Standard NZ Well Child Tamariki Ora and maternity screen; validated in NZ Samoan and Tongan women (Ekeroma et al. 2012); translations on Healthify NZ</t>
        </is>
      </c>
      <c r="R145" s="24" t="inlineStr">
        <is>
          <t>Fine for an individual clinician on paper; electronic embedding needs RCPsych permission; item 10 must be practitioner reviewed</t>
        </is>
      </c>
      <c r="S145" s="24" t="inlineStr"/>
      <c r="T145" s="24" t="inlineStr">
        <is>
          <t>https://camcops.readthedocs.io/en/latest/tasks/epds.html</t>
        </is>
      </c>
      <c r="U145" s="24" t="inlineStr">
        <is>
          <t>Sarah only if used (screener; never summarised to the client)</t>
        </is>
      </c>
      <c r="V145" s="24" t="inlineStr"/>
      <c r="W145" s="24" t="inlineStr"/>
      <c r="X145" s="24" t="inlineStr"/>
    </row>
    <row r="146">
      <c r="A146" s="24" t="n">
        <v>145</v>
      </c>
      <c r="B146" s="24" t="inlineStr">
        <is>
          <t>Clinical practice in New Zealand</t>
        </is>
      </c>
      <c r="C146" s="24" t="inlineStr">
        <is>
          <t>Columbia Suicide Severity Rating Scale, Screener</t>
        </is>
      </c>
      <c r="D146" s="24" t="inlineStr">
        <is>
          <t>C-SSRS Screener</t>
        </is>
      </c>
      <c r="E146" s="24" t="inlineStr">
        <is>
          <t>Kelly Posner and colleagues, Columbia University, with the University of Pennsylvania and University of Pittsburgh (NIMH)</t>
        </is>
      </c>
      <c r="F146" s="24" t="inlineStr">
        <is>
          <t>2007 (published 2011)</t>
        </is>
      </c>
      <c r="G146" s="24" t="inlineStr">
        <is>
          <t>Suicidal ideation (5 severity levels) and suicidal behaviour (recent and lifetime) for triage</t>
        </is>
      </c>
      <c r="H146" s="24" t="n">
        <v>6</v>
      </c>
      <c r="I146" s="24" t="inlineStr">
        <is>
          <t>Yes or no; ideation questions 1 to 5 refer to the past month, behaviour question 6 lifetime and past 3 months</t>
        </is>
      </c>
      <c r="J146" s="24" t="inlineStr">
        <is>
          <t>Ideation severity, Behaviour</t>
        </is>
      </c>
      <c r="K146" s="24" t="inlineStr">
        <is>
          <t>No total; yes to questions 4, 5 or 6 (recent) indicates high risk, yes to 3 moderate, yes to 1 or 2 only low risk. Triage thresholds set locally</t>
        </is>
      </c>
      <c r="L146" s="24" t="inlineStr">
        <is>
          <t>free with attribution (CC or stated)</t>
        </is>
      </c>
      <c r="M146" s="24" t="inlineStr">
        <is>
          <t>"You do not need special permission from us to take the Columbia Protocol tools and use them in your setting"; free, including embedding in EHRs, for community, healthcare and non profit or federally funded research; free training</t>
        </is>
      </c>
      <c r="N146" s="24" t="inlineStr">
        <is>
          <t>https://cssrs.columbia.edu/the-columbia-scale-c-ssrs/cssrs-for-communities-and-healthcare/</t>
        </is>
      </c>
      <c r="O146" s="24" t="inlineStr">
        <is>
          <t>Yes</t>
        </is>
      </c>
      <c r="P146" s="24" t="inlineStr">
        <is>
          <t>https://cssrs.columbia.edu/the-columbia-scale-c-ssrs/cssrs-for-communities-and-healthcare/</t>
        </is>
      </c>
      <c r="Q146" s="24" t="inlineStr">
        <is>
          <t>Used in some Te Whatu Ora emergency and crisis services; no NZ norms</t>
        </is>
      </c>
      <c r="R146" s="24" t="inlineStr">
        <is>
          <t>Any self report risk screen must be practitioner reviewed the same day with a clear escalation pathway</t>
        </is>
      </c>
      <c r="S146" s="24" t="inlineStr"/>
      <c r="T146" s="24" t="inlineStr">
        <is>
          <t>https://cssrs.columbia.edu/the-columbia-scale-c-ssrs/about-the-scale/</t>
        </is>
      </c>
      <c r="U146" s="24" t="inlineStr">
        <is>
          <t>Risk measure: Sarah to decide; never unattended in the hub</t>
        </is>
      </c>
      <c r="V146" s="24" t="inlineStr"/>
      <c r="W146" s="24" t="inlineStr"/>
      <c r="X146" s="24" t="inlineStr">
        <is>
          <t>Held back for Sarah to decide</t>
        </is>
      </c>
    </row>
    <row r="147">
      <c r="A147" s="24" t="n">
        <v>146</v>
      </c>
      <c r="B147" s="24" t="inlineStr">
        <is>
          <t>Clinical practice in New Zealand</t>
        </is>
      </c>
      <c r="C147" s="24" t="inlineStr">
        <is>
          <t>EuroQol 5 Dimension 5 Level</t>
        </is>
      </c>
      <c r="D147" s="24" t="inlineStr">
        <is>
          <t>EQ-5D-5L</t>
        </is>
      </c>
      <c r="E147" s="24" t="inlineStr">
        <is>
          <t>EuroQol Research Foundation (Herdman et al.)</t>
        </is>
      </c>
      <c r="F147" s="24" t="inlineStr">
        <is>
          <t>2011 (EQ-5D 1990)</t>
        </is>
      </c>
      <c r="G147" s="24" t="inlineStr">
        <is>
          <t>Generic health related quality of life today: mobility, self care, usual activities, pain or discomfort, anxiety or depression, plus a health VAS</t>
        </is>
      </c>
      <c r="H147" s="24" t="n">
        <v>6</v>
      </c>
      <c r="I147" s="24" t="inlineStr">
        <is>
          <t>5 levels per dimension (no, slight, moderate, severe, extreme problems) plus a 0 to 100 visual analogue scale</t>
        </is>
      </c>
      <c r="J147" s="24" t="inlineStr">
        <is>
          <t>Descriptive profile, EQ VAS</t>
        </is>
      </c>
      <c r="K147" s="24" t="inlineStr">
        <is>
          <t>5 digit health state profile (11111 to 55555) converted to a utility index using a country value set (NZ has a published 5L value set); VAS reported directly</t>
        </is>
      </c>
      <c r="L147" s="24" t="inlineStr">
        <is>
          <t>permission required</t>
        </is>
      </c>
      <c r="M147" s="24" t="inlineStr">
        <is>
          <t>Copyright EuroQol Research Foundation; prior written consent required to use, reproduce or translate; registration via euroqol.org is free for non commercial use, other digital formats and commercial use require a licence and fee</t>
        </is>
      </c>
      <c r="N147" s="24" t="inlineStr">
        <is>
          <t>https://euroqol.org/support/how-to-obtain-eq-5d/</t>
        </is>
      </c>
      <c r="O147" s="24" t="inlineStr">
        <is>
          <t>No</t>
        </is>
      </c>
      <c r="P147" s="24" t="inlineStr">
        <is>
          <t>https://euroqol.org/information-and-support/euroqol-instruments/eq-5d-5l/</t>
        </is>
      </c>
      <c r="Q147" s="24" t="inlineStr">
        <is>
          <t>Compulsory primary outcome measure in the ACC Sensitive Claims Service for all kiritaki aged 4 and over (5L for adults); used by PHARMAC and NZ health economics</t>
        </is>
      </c>
      <c r="R147" s="24" t="inlineStr">
        <is>
          <t>Register the clinic with EuroQol before use; required anyway for ACC sensitive claims work</t>
        </is>
      </c>
      <c r="S147" s="24" t="inlineStr"/>
      <c r="T147" s="24" t="inlineStr">
        <is>
          <t>https://www.acc.co.nz/assets/provider/Sensitive-Claims-Service-Outcome-Measure-Score-Sheets.pdf</t>
        </is>
      </c>
      <c r="U147" s="24" t="inlineStr">
        <is>
          <t>Sarah only if used (screener; never summarised to the client)</t>
        </is>
      </c>
      <c r="V147" s="24" t="inlineStr">
        <is>
          <t>Check: digital or platform use may need its own licence</t>
        </is>
      </c>
      <c r="W147" s="24" t="inlineStr"/>
      <c r="X147" s="24" t="inlineStr"/>
    </row>
    <row r="148">
      <c r="A148" s="24" t="n">
        <v>147</v>
      </c>
      <c r="B148" s="24" t="inlineStr">
        <is>
          <t>Clinical practice in New Zealand</t>
        </is>
      </c>
      <c r="C148" s="24" t="inlineStr">
        <is>
          <t>12 Item Short Form Health Survey</t>
        </is>
      </c>
      <c r="D148" s="24" t="inlineStr">
        <is>
          <t>SF-12 (SF-12v2)</t>
        </is>
      </c>
      <c r="E148" s="24" t="inlineStr">
        <is>
          <t>Ware, Kosinski and Keller; rights held by QualityMetric (formerly Optum)</t>
        </is>
      </c>
      <c r="F148" s="24" t="inlineStr">
        <is>
          <t>1996 (v2 2002)</t>
        </is>
      </c>
      <c r="G148" s="24" t="inlineStr">
        <is>
          <t>Generic physical and mental health status over the past 4 weeks</t>
        </is>
      </c>
      <c r="H148" s="24" t="n">
        <v>12</v>
      </c>
      <c r="I148" s="24" t="inlineStr">
        <is>
          <t>Mixed 3 and 5 point scales</t>
        </is>
      </c>
      <c r="J148" s="24" t="inlineStr">
        <is>
          <t>Physical Component Summary, Mental Component Summary, 8 health domains</t>
        </is>
      </c>
      <c r="K148" s="24" t="inlineStr">
        <is>
          <t>Norm based T scores (mean 50, SD 10) via proprietary algorithm; lower scores indicate poorer health</t>
        </is>
      </c>
      <c r="L148" s="24" t="inlineStr">
        <is>
          <t>commercial</t>
        </is>
      </c>
      <c r="M148" s="24" t="inlineStr">
        <is>
          <t>Use "is governed by QualityMetric"; a licence agreement and royalty fees apply for most uses, with limited free access for unfunded student research; RAND notes the SF-12 is not public domain unlike the SF-36 v1</t>
        </is>
      </c>
      <c r="N148" s="24" t="inlineStr">
        <is>
          <t>https://www.rand.org/health/surveys/mos/12-item-short-form.html</t>
        </is>
      </c>
      <c r="O148" s="24" t="inlineStr">
        <is>
          <t>No</t>
        </is>
      </c>
      <c r="P148" s="24" t="inlineStr">
        <is>
          <t>https://www.qualitymetric.com/health-surveys/the-sf-12v2-pro-health-survey/</t>
        </is>
      </c>
      <c r="Q148" s="24" t="inlineStr">
        <is>
          <t>Used in the NZ Health Survey until removed in 2023/24 as not cost effective; NZ population norms exist from earlier survey waves</t>
        </is>
      </c>
      <c r="R148" s="24" t="inlineStr">
        <is>
          <t>Not suitable for a free codebook; the EQ-5D-5L or WHO-5 covers the same need</t>
        </is>
      </c>
      <c r="S148" s="24" t="inlineStr"/>
      <c r="T148" s="24" t="inlineStr">
        <is>
          <t>https://www.health.govt.nz/system/files/2025-11/content-guide-2024-25.pdf</t>
        </is>
      </c>
      <c r="U148" s="24" t="inlineStr">
        <is>
          <t>Sarah only if used (screener; never summarised to the client)</t>
        </is>
      </c>
      <c r="V148" s="24" t="inlineStr"/>
      <c r="W148" s="24" t="inlineStr"/>
      <c r="X148" s="24" t="inlineStr"/>
    </row>
    <row r="149">
      <c r="A149" s="24" t="n">
        <v>148</v>
      </c>
      <c r="B149" s="24" t="inlineStr">
        <is>
          <t>Clinical practice in New Zealand</t>
        </is>
      </c>
      <c r="C149" s="24" t="inlineStr">
        <is>
          <t>Recovery Assessment Scale, 24 item (RAS-R)</t>
        </is>
      </c>
      <c r="D149" s="24" t="inlineStr">
        <is>
          <t>RAS-24</t>
        </is>
      </c>
      <c r="E149" s="24" t="inlineStr">
        <is>
          <t>Giffort, Schmook, Woody, Vollendorf and Germain (Illinois Office of Mental Health); shortened by Corrigan et al. 2004</t>
        </is>
      </c>
      <c r="F149" s="24" t="inlineStr">
        <is>
          <t>1995 (RAS-24 2004)</t>
        </is>
      </c>
      <c r="G149" s="24" t="inlineStr">
        <is>
          <t>Personal recovery in mental health: hope, goals, self reliance, help seeking, symptom management</t>
        </is>
      </c>
      <c r="H149" s="24" t="n">
        <v>24</v>
      </c>
      <c r="I149" s="24" t="inlineStr">
        <is>
          <t>5 point agreement scale, 1 (strongly disagree) to 5 (strongly agree)</t>
        </is>
      </c>
      <c r="J149" s="24" t="inlineStr">
        <is>
          <t>Personal confidence and hope, Willingness to ask for help, Goal and success orientation, Reliance on others, Not dominated by symptoms</t>
        </is>
      </c>
      <c r="K149" s="24" t="inlineStr">
        <is>
          <t>Total 24 to 120 or mean item score 1 to 5; higher indicates greater recovery; no clinical cut off</t>
        </is>
      </c>
      <c r="L149" s="24" t="inlineStr">
        <is>
          <t>not stated</t>
        </is>
      </c>
      <c r="M149" s="24" t="inlineStr">
        <is>
          <t>No copyright or licence statement located; the scale is reproduced freely in US state and vendor guides and in open access validation studies. The Australian RAS-DS variant (Hancock et al.) is marked all rights reserved but distributed free by the University of Sydney</t>
        </is>
      </c>
      <c r="N149" s="24" t="inlineStr">
        <is>
          <t>https://valant.helpjuice.com/recovery-assessment-scale-24-item-ras-r</t>
        </is>
      </c>
      <c r="O149" s="24" t="inlineStr">
        <is>
          <t>Yes</t>
        </is>
      </c>
      <c r="P149" s="24" t="inlineStr">
        <is>
          <t>https://valant.helpjuice.com/recovery-assessment-scale-24-item-ras-r</t>
        </is>
      </c>
      <c r="Q149" s="24" t="inlineStr">
        <is>
          <t>Cited in NZ recovery literature; no NZ norms located</t>
        </is>
      </c>
      <c r="R149" s="24" t="inlineStr">
        <is>
          <t>Recovery oriented outcome measure for longer term work; pairs well with Hua Oranga</t>
        </is>
      </c>
      <c r="S149" s="24" t="inlineStr"/>
      <c r="T149" s="24" t="inlineStr">
        <is>
          <t>https://hqlo.biomedcentral.com/articles/10.1186/s12955-018-0849-3</t>
        </is>
      </c>
      <c r="U149" s="24" t="inlineStr">
        <is>
          <t>Sarah only if used (screener; never summarised to the client)</t>
        </is>
      </c>
      <c r="V149" s="24" t="inlineStr"/>
      <c r="W149" s="24" t="inlineStr"/>
      <c r="X149" s="24" t="inlineStr"/>
    </row>
    <row r="150">
      <c r="A150" s="24" t="n">
        <v>149</v>
      </c>
      <c r="B150" s="24" t="inlineStr">
        <is>
          <t>Clinical practice in New Zealand</t>
        </is>
      </c>
      <c r="C150" s="24" t="inlineStr">
        <is>
          <t>Outcome Rating Scale and Session Rating Scale</t>
        </is>
      </c>
      <c r="D150" s="24" t="inlineStr">
        <is>
          <t>ORS and SRS</t>
        </is>
      </c>
      <c r="E150" s="24" t="inlineStr">
        <is>
          <t>Scott Miller and Barry Duncan (ICCE)</t>
        </is>
      </c>
      <c r="F150" s="24" t="inlineStr">
        <is>
          <t>2000 (ORS), 2002 (SRS v3)</t>
        </is>
      </c>
      <c r="G150" s="24" t="inlineStr">
        <is>
          <t>ORS: global distress and functioning (individual, interpersonal, social, overall). SRS: therapeutic alliance for the session</t>
        </is>
      </c>
      <c r="H150" s="24" t="n">
        <v>4</v>
      </c>
      <c r="I150" s="24" t="inlineStr">
        <is>
          <t>4 visual analogue lines of 10 cm, each scored 0 to 10 by measuring the mark</t>
        </is>
      </c>
      <c r="J150" s="24" t="inlineStr">
        <is>
          <t>Individual, Interpersonal, Social, Overall</t>
        </is>
      </c>
      <c r="K150" s="24" t="inlineStr">
        <is>
          <t>Sum 0 to 40 each. ORS clinical cut off 25 (adults); reliable change 5 points. SRS below 36 signals alliance concerns to discuss</t>
        </is>
      </c>
      <c r="L150" s="24" t="inlineStr">
        <is>
          <t>free for non commercial or research only</t>
        </is>
      </c>
      <c r="M150" s="24" t="inlineStr">
        <is>
          <t>Free for individual practitioners in paper and pencil form; group and agency licences from USD 0 (1 provider) to 2,000 (250 providers); "NO ELECTRONIC OR DIGITAL USE OF THE SCALES IS PERMITTED" except via authorised vendors</t>
        </is>
      </c>
      <c r="N150" s="24" t="inlineStr">
        <is>
          <t>https://www.scottdmiller.com/downloadmeasures</t>
        </is>
      </c>
      <c r="O150" s="24" t="inlineStr">
        <is>
          <t>Yes</t>
        </is>
      </c>
      <c r="P150" s="24" t="inlineStr">
        <is>
          <t>https://www.scottdmiller.com/downloadmeasures</t>
        </is>
      </c>
      <c r="Q150" s="24" t="inlineStr">
        <is>
          <t>Used in NZ NGO and youth services (feedback informed treatment); no NZ norms</t>
        </is>
      </c>
      <c r="R150" s="24" t="inlineStr">
        <is>
          <t>Paper only for a solo practitioner; do not build into any digital platform</t>
        </is>
      </c>
      <c r="S150" s="24" t="inlineStr"/>
      <c r="T150" s="24" t="inlineStr">
        <is>
          <t>https://www.scottdmiller.com/downloadmeasures</t>
        </is>
      </c>
      <c r="U150" s="24" t="inlineStr">
        <is>
          <t>Sarah only if used (screener; never summarised to the client)</t>
        </is>
      </c>
      <c r="V150" s="24" t="inlineStr">
        <is>
          <t>Check: digital or platform use may need its own licence</t>
        </is>
      </c>
      <c r="W150" s="24" t="inlineStr"/>
      <c r="X150" s="24" t="inlineStr"/>
    </row>
    <row r="151">
      <c r="A151" s="24" t="n">
        <v>150</v>
      </c>
      <c r="B151" s="24" t="inlineStr">
        <is>
          <t>Clinical practice in New Zealand</t>
        </is>
      </c>
      <c r="C151" s="24" t="inlineStr">
        <is>
          <t>Autism Spectrum Quotient 10</t>
        </is>
      </c>
      <c r="D151" s="24" t="inlineStr">
        <is>
          <t>AQ-10</t>
        </is>
      </c>
      <c r="E151" s="24" t="inlineStr">
        <is>
          <t>Allison, Auyeung and Baron-Cohen, Autism Research Centre, Cambridge</t>
        </is>
      </c>
      <c r="F151" s="24" t="inlineStr">
        <is>
          <t>2012</t>
        </is>
      </c>
      <c r="G151" s="24" t="inlineStr">
        <is>
          <t>Brief screen for autistic traits in adults with normal intelligence</t>
        </is>
      </c>
      <c r="H151" s="24" t="n">
        <v>10</v>
      </c>
      <c r="I151" s="24" t="inlineStr">
        <is>
          <t>4 point agreement scale (definitely agree to definitely disagree), scored 1 or 0 per item in the keyed direction</t>
        </is>
      </c>
      <c r="J151" s="24" t="inlineStr"/>
      <c r="K151" s="24" t="inlineStr">
        <is>
          <t>Sum 0 to 10; 6 or more indicates referral for a full autism assessment (NICE CG142)</t>
        </is>
      </c>
      <c r="L151" s="24" t="inlineStr">
        <is>
          <t>free for non commercial or research only</t>
        </is>
      </c>
      <c r="M151" s="24" t="inlineStr">
        <is>
          <t>ARC makes tests "freely available to the research community or for clinicians" provided they are used for research and not commercial purposes, with acknowledgement of ARC; tests may not be adapted without permission</t>
        </is>
      </c>
      <c r="N151" s="24" t="inlineStr">
        <is>
          <t>https://www.autismresearchcentre.com/tests/</t>
        </is>
      </c>
      <c r="O151" s="24" t="inlineStr">
        <is>
          <t>Yes</t>
        </is>
      </c>
      <c r="P151" s="24" t="inlineStr">
        <is>
          <t>https://docs.autismresearchcentre.com/tests/AQ10.pdf</t>
        </is>
      </c>
      <c r="Q151" s="24" t="inlineStr">
        <is>
          <t>Recommended in the NZ Autism Spectrum Disorder Guideline supplementary papers for adult screening; no NZ norms</t>
        </is>
      </c>
      <c r="R151" s="24" t="inlineStr">
        <is>
          <t>Screening only; known to miss many autistic women and adults who mask</t>
        </is>
      </c>
      <c r="S151" s="24" t="inlineStr"/>
      <c r="T151" s="24" t="inlineStr">
        <is>
          <t>https://www.autismresearchcentre.com/tests/</t>
        </is>
      </c>
      <c r="U151" s="24" t="inlineStr">
        <is>
          <t>Sarah only if used (screener; never summarised to the client)</t>
        </is>
      </c>
      <c r="V151" s="24" t="inlineStr"/>
      <c r="W151" s="24" t="inlineStr"/>
      <c r="X151" s="24" t="inlineStr"/>
    </row>
    <row r="152">
      <c r="A152" s="24" t="n">
        <v>151</v>
      </c>
      <c r="B152" s="24" t="inlineStr">
        <is>
          <t>Clinical practice in New Zealand</t>
        </is>
      </c>
      <c r="C152" s="24" t="inlineStr">
        <is>
          <t>Ritvo Autism Asperger Diagnostic Scale, 14 item Screen</t>
        </is>
      </c>
      <c r="D152" s="24" t="inlineStr">
        <is>
          <t>RAADS-14</t>
        </is>
      </c>
      <c r="E152" s="24" t="inlineStr">
        <is>
          <t>Eriksson, Andersen and Bejerot, Karolinska Institutet (from the RAADS-R)</t>
        </is>
      </c>
      <c r="F152" s="24" t="inlineStr">
        <is>
          <t>2013</t>
        </is>
      </c>
      <c r="G152" s="24" t="inlineStr">
        <is>
          <t>Autistic traits in adult psychiatric populations: mentalising, sensory reactivity, social anxiety</t>
        </is>
      </c>
      <c r="H152" s="24" t="n">
        <v>14</v>
      </c>
      <c r="I152" s="24" t="inlineStr">
        <is>
          <t>4 point scale, 0 (never true) to 3 (true now and when I was young)</t>
        </is>
      </c>
      <c r="J152" s="24" t="inlineStr">
        <is>
          <t>Mentalising deficits, Sensory reactivity, Social anxiety</t>
        </is>
      </c>
      <c r="K152" s="24" t="inlineStr">
        <is>
          <t>Sum 0 to 42; 14 or more is a positive screen (sensitivity 97 percent; specificity 46 percent against ADHD, 64 percent other psychiatric, 95 percent controls)</t>
        </is>
      </c>
      <c r="L152" s="24" t="inlineStr">
        <is>
          <t>free with attribution (CC or stated)</t>
        </is>
      </c>
      <c r="M152" s="24" t="inlineStr">
        <is>
          <t>Published open access in Molecular Autism under the Creative Commons Attribution Licence (CC BY 2.0), with the printable version in Additional file 1</t>
        </is>
      </c>
      <c r="N152" s="24" t="inlineStr">
        <is>
          <t>https://molecularautism.biomedcentral.com/articles/10.1186/2040-2392-4-49</t>
        </is>
      </c>
      <c r="O152" s="24" t="inlineStr">
        <is>
          <t>Yes</t>
        </is>
      </c>
      <c r="P152" s="24" t="inlineStr">
        <is>
          <t>https://molecularautism.biomedcentral.com/articles/10.1186/2040-2392-4-49</t>
        </is>
      </c>
      <c r="Q152" s="24" t="inlineStr">
        <is>
          <t>No NZ norms located</t>
        </is>
      </c>
      <c r="R152" s="24" t="inlineStr">
        <is>
          <t>Good second screen alongside the AQ-10 because it probes developmental history; low specificity in ADHD</t>
        </is>
      </c>
      <c r="S152" s="24" t="inlineStr"/>
      <c r="T152" s="24" t="inlineStr">
        <is>
          <t>https://molecularautism.biomedcentral.com/articles/10.1186/2040-2392-4-49</t>
        </is>
      </c>
      <c r="U152" s="24" t="inlineStr">
        <is>
          <t>Sarah only if used (screener; never summarised to the client)</t>
        </is>
      </c>
      <c r="V152" s="24" t="inlineStr"/>
      <c r="W152" s="24" t="inlineStr"/>
      <c r="X152" s="24" t="inlineStr">
        <is>
          <t>Added (yes, cleared)</t>
        </is>
      </c>
    </row>
    <row r="153">
      <c r="A153" s="24" t="n">
        <v>152</v>
      </c>
      <c r="B153" s="24" t="inlineStr">
        <is>
          <t>Clinical practice in New Zealand</t>
        </is>
      </c>
      <c r="C153" s="24" t="inlineStr">
        <is>
          <t>Alcohol and Drug Outcome Measure</t>
        </is>
      </c>
      <c r="D153" s="24" t="inlineStr">
        <is>
          <t>ADOM</t>
        </is>
      </c>
      <c r="E153" s="24" t="inlineStr">
        <is>
          <t>Te Pou with Waitemata DHB and the University of Otago (Pulford, Deering, Galea and others)</t>
        </is>
      </c>
      <c r="F153" s="24" t="inlineStr">
        <is>
          <t>2010 to 2015</t>
        </is>
      </c>
      <c r="G153" s="24" t="inlineStr">
        <is>
          <t>Substance use amount and frequency, lifestyle and wellbeing impacts, and recovery satisfaction for people in NZ addiction services</t>
        </is>
      </c>
      <c r="H153" s="24" t="n">
        <v>20</v>
      </c>
      <c r="I153" s="24" t="inlineStr">
        <is>
          <t>Section 1 days of use in the past 4 weeks and typical amount; section 2 problem items on 5 point scales; section 3 recovery items on 10 and 5 point scales</t>
        </is>
      </c>
      <c r="J153" s="24" t="inlineStr">
        <is>
          <t>Substance use, Lifestyle and wellbeing, Recovery</t>
        </is>
      </c>
      <c r="K153" s="24" t="inlineStr">
        <is>
          <t>No total; items tracked across admission, 6 weekly, 12 weekly and discharge collections; recovery items validated for change over 6 weeks (NZ Journal of Psychology)</t>
        </is>
      </c>
      <c r="L153" s="24" t="inlineStr">
        <is>
          <t>not stated</t>
        </is>
      </c>
      <c r="M153" s="24" t="inlineStr">
        <is>
          <t>Te Pou resource; ADOM Guide for Practitioners downloadable free; no permission statement; designed for collaborative completion by practitioner and tāngata whai ora</t>
        </is>
      </c>
      <c r="N153" s="24" t="inlineStr">
        <is>
          <t>https://www.tepou.co.nz/stories/adom-a-decade-of-measuring-alcohol-and-drug-outcomes</t>
        </is>
      </c>
      <c r="O153" s="24" t="inlineStr">
        <is>
          <t>Yes</t>
        </is>
      </c>
      <c r="P153" s="24" t="inlineStr">
        <is>
          <t>https://www.tepou.co.nz/resources/adom-guide-for-practitioners</t>
        </is>
      </c>
      <c r="Q153" s="24" t="inlineStr">
        <is>
          <t>NZ developed; mandated national outcome measure for community addiction services, collected in PRIMHD since 2015, with Māori making up about a third of the validation sample</t>
        </is>
      </c>
      <c r="R153" s="24" t="inlineStr">
        <is>
          <t>Clinician assisted rather than pure self report; relevant if the practice sees funded AOD clients</t>
        </is>
      </c>
      <c r="S153" s="24" t="inlineStr"/>
      <c r="T153" s="24" t="inlineStr">
        <is>
          <t>https://www.psychology.org.nz/journal-archive/Measuring-Recovery.pdf</t>
        </is>
      </c>
      <c r="U153" s="24" t="inlineStr">
        <is>
          <t>Sarah only if used (screener; never summarised to the client)</t>
        </is>
      </c>
      <c r="V153" s="24" t="inlineStr"/>
      <c r="W153" s="24" t="inlineStr"/>
      <c r="X153" s="24" t="inlineStr"/>
    </row>
    <row r="154">
      <c r="A154" s="24" t="n">
        <v>153</v>
      </c>
      <c r="B154" s="24" t="inlineStr">
        <is>
          <t>Clinical practice in New Zealand</t>
        </is>
      </c>
      <c r="C154" s="24" t="inlineStr">
        <is>
          <t>Health of the Nation Outcome Scales</t>
        </is>
      </c>
      <c r="D154" s="24" t="inlineStr">
        <is>
          <t>HoNOS</t>
        </is>
      </c>
      <c r="E154" s="24" t="inlineStr">
        <is>
          <t>Wing, Curtis and Beevor, Royal College of Psychiatrists Research Unit</t>
        </is>
      </c>
      <c r="F154" s="24" t="inlineStr">
        <is>
          <t>1996</t>
        </is>
      </c>
      <c r="G154" s="24" t="inlineStr">
        <is>
          <t>Clinician rated severity across 12 behavioural, impairment, symptom and social problem domains (HoNOS 65+, HoNOSCA and HoNOS-LD variants)</t>
        </is>
      </c>
      <c r="H154" s="24" t="n">
        <v>12</v>
      </c>
      <c r="I154" s="24" t="inlineStr">
        <is>
          <t>Each item rated by the clinician 0 (no problem) to 4 (severe to very severe problem)</t>
        </is>
      </c>
      <c r="J154" s="24" t="inlineStr">
        <is>
          <t>Behaviour, Impairment, Symptoms, Social</t>
        </is>
      </c>
      <c r="K154" s="24" t="inlineStr">
        <is>
          <t>Total 0 to 48 and item profiles; a rating of 2 or more on an item is clinically significant; no self report version</t>
        </is>
      </c>
      <c r="L154" s="24" t="inlineStr">
        <is>
          <t>permission required</t>
        </is>
      </c>
      <c r="M154" s="24" t="inlineStr">
        <is>
          <t>Copyright Royal College of Psychiatrists; NZ use is through Te Pou national training, with ratings required for PRIMHD reporting</t>
        </is>
      </c>
      <c r="N154" s="24" t="inlineStr">
        <is>
          <t>https://www.tepou.co.nz/resources/using-honos-honos-65-honosca-to-enhance-outcomes-for-tangata-whaiora-motuhake-and-their-whanau-principles-to-guide-practice</t>
        </is>
      </c>
      <c r="O154" s="24" t="inlineStr">
        <is>
          <t>No</t>
        </is>
      </c>
      <c r="P154" s="24" t="inlineStr">
        <is>
          <t>https://www.rcpsych.ac.uk/events/in-house-training/health-of-the-nation-outcome-scales</t>
        </is>
      </c>
      <c r="Q154" s="24" t="inlineStr">
        <is>
          <t>Mandatory clinician rated outcome measure in NZ specialist mental health services (PRIMHD) and an approved secondary measure in the ACC Sensitive Claims Service; Te Pou provides NZ training</t>
        </is>
      </c>
      <c r="R154" s="24" t="inlineStr">
        <is>
          <t>Clinician rated, so it does not belong in a self report codebook; listed for completeness because ACC and Te Whatu Ora require it</t>
        </is>
      </c>
      <c r="S154" s="24" t="inlineStr"/>
      <c r="T154" s="24" t="inlineStr">
        <is>
          <t>https://www.acc.co.nz/assets/provider/Sensitive-Claims-Service-Outcome-Measure-Score-Sheets.pdf</t>
        </is>
      </c>
      <c r="U154" s="24" t="inlineStr">
        <is>
          <t>Sarah only if used (screener; never summarised to the client)</t>
        </is>
      </c>
      <c r="V154" s="24" t="inlineStr"/>
      <c r="W154" s="24" t="inlineStr"/>
      <c r="X154" s="24" t="inlineStr"/>
    </row>
  </sheetData>
  <autoFilter ref="A1:X154"/>
  <pageMargins left="0.75" right="0.75" top="1" bottom="1" header="0.5" footer="0.5"/>
</worksheet>
</file>

<file path=xl/worksheets/sheet6.xml><?xml version="1.0" encoding="utf-8"?>
<worksheet xmlns="http://schemas.openxmlformats.org/spreadsheetml/2006/main">
  <sheetPr filterMode="0">
    <outlinePr summaryBelow="1" summaryRight="1"/>
    <pageSetUpPr fitToPage="0"/>
  </sheetPr>
  <dimension ref="A1:I3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16" min="1" max="1"/>
    <col width="24" customWidth="1" style="16" min="2" max="2"/>
    <col width="20" customWidth="1" style="16" min="3" max="3"/>
    <col width="44" customWidth="1" style="16" min="4" max="4"/>
    <col width="11" customWidth="1" style="16" min="5" max="5"/>
    <col width="40" customWidth="1" style="16" min="6" max="6"/>
    <col width="26" customWidth="1" style="16" min="7" max="7"/>
    <col width="60" customWidth="1" style="16" min="8" max="9"/>
  </cols>
  <sheetData>
    <row r="1" ht="30" customHeight="1" s="17">
      <c r="A1" s="25" t="inlineStr">
        <is>
          <t>Battery (form name)</t>
        </is>
      </c>
      <c r="B1" s="25" t="inlineStr">
        <is>
          <t>Notion tag</t>
        </is>
      </c>
      <c r="C1" s="25" t="inlineStr">
        <is>
          <t>Instrument codes</t>
        </is>
      </c>
      <c r="D1" s="25" t="inlineStr">
        <is>
          <t>Instruments</t>
        </is>
      </c>
      <c r="E1" s="25" t="inlineStr">
        <is>
          <t>Items in battery</t>
        </is>
      </c>
      <c r="F1" s="25" t="inlineStr">
        <is>
          <t>Administration time by instrument</t>
        </is>
      </c>
      <c r="G1" s="25" t="inlineStr">
        <is>
          <t>Report skill</t>
        </is>
      </c>
      <c r="H1" s="25" t="inlineStr">
        <is>
          <t>What it assesses</t>
        </is>
      </c>
      <c r="I1" s="25" t="inlineStr">
        <is>
          <t>Scoring and interpretation notes</t>
        </is>
      </c>
    </row>
    <row r="2" ht="94.5" customHeight="1" s="17">
      <c r="A2" s="26" t="inlineStr">
        <is>
          <t>Executive Function Measures</t>
        </is>
      </c>
      <c r="B2" s="27" t="inlineStr">
        <is>
          <t>Executive Function (NT)</t>
        </is>
      </c>
      <c r="C2" s="27" t="inlineStr">
        <is>
          <t>ESQ-R</t>
        </is>
      </c>
      <c r="D2" s="27" t="inlineStr">
        <is>
          <t>Executive Skills Questionnaire - Revised (ESQ-R)</t>
        </is>
      </c>
      <c r="E2" s="28">
        <f>COUNTIF('Master Item List'!$A:$A,"ESQ-R")</f>
        <v/>
      </c>
      <c r="F2" s="27" t="inlineStr">
        <is>
          <t>ESQ-R: 5 minutes</t>
        </is>
      </c>
      <c r="G2" s="27" t="inlineStr">
        <is>
          <t>ef-measures-report-nt</t>
        </is>
      </c>
      <c r="H2" s="27" t="inlineStr">
        <is>
          <t>Executive skills profile for clients without an ADHD diagnosis, locating difficulty across plan management, time management, organisation, emotional regulation and behavioural regulation.</t>
        </is>
      </c>
      <c r="I2" s="27" t="inlineStr">
        <is>
          <t>Single instrument battery. Higher ESQ-R scores mean more difficulty. The CFI was removed from this battery on 26 September 2026; check the report skill no longer expects it.</t>
        </is>
      </c>
    </row>
    <row r="3" ht="94.5" customHeight="1" s="17">
      <c r="A3" s="26" t="inlineStr">
        <is>
          <t>Executive Function Measures (ADHD)</t>
        </is>
      </c>
      <c r="B3" s="27" t="inlineStr">
        <is>
          <t>Executive Function (ADHD)</t>
        </is>
      </c>
      <c r="C3" s="27" t="inlineStr">
        <is>
          <t>ASRS, ESQ-R</t>
        </is>
      </c>
      <c r="D3" s="27" t="inlineStr">
        <is>
          <t>Adult ADHD Self-Report Scale (ASRS v1.1)
Executive Skills Questionnaire - Revised (ESQ-R)</t>
        </is>
      </c>
      <c r="E3" s="28">
        <f>COUNTIF('Master Item List'!$A:$A,"ASRS")+COUNTIF('Master Item List'!$A:$A,"ESQ-R")</f>
        <v/>
      </c>
      <c r="F3" s="27" t="inlineStr">
        <is>
          <t>ASRS: 3 minutes
ESQ-R: 5 minutes</t>
        </is>
      </c>
      <c r="G3" s="27" t="inlineStr">
        <is>
          <t>ef-measures-report-adhd</t>
        </is>
      </c>
      <c r="H3" s="27" t="inlineStr">
        <is>
          <t>The executive skills profile with current adult ADHD symptom screening added. Use for clients with a diagnosis or where ADHD is a live question.</t>
        </is>
      </c>
      <c r="I3" s="27" t="inlineStr">
        <is>
          <t>ASRS Part A of 14 or more is a positive screen, not a diagnosis. The CFI was removed from this battery on 26 September 2026. The report skill description still names the CFI and the ACOS-Self, neither of which is in this battery now; check the skill matches the form.</t>
        </is>
      </c>
    </row>
    <row r="4" ht="94.5" customHeight="1" s="17">
      <c r="A4" s="26" t="inlineStr">
        <is>
          <t>Strengths Assessment</t>
        </is>
      </c>
      <c r="B4" s="27" t="inlineStr">
        <is>
          <t>Strengths</t>
        </is>
      </c>
      <c r="C4" s="27" t="inlineStr">
        <is>
          <t>SKS, SUS, SSES</t>
        </is>
      </c>
      <c r="D4" s="27" t="inlineStr">
        <is>
          <t>Strengths Knowledge Scale
Strengths Use Scale
Strengths Self-Efficacy Scale</t>
        </is>
      </c>
      <c r="E4" s="28">
        <f>COUNTIF('Master Item List'!$A:$A,"SKS")+COUNTIF('Master Item List'!$A:$A,"SUS")+COUNTIF('Master Item List'!$A:$A,"SSES")</f>
        <v/>
      </c>
      <c r="F4" s="27" t="inlineStr">
        <is>
          <t>SKS: 2-3 minutes
SUS: 3-5 minutes
SSES: 3-5 minutes</t>
        </is>
      </c>
      <c r="G4" s="27" t="inlineStr">
        <is>
          <t>strengths-report</t>
        </is>
      </c>
      <c r="H4" s="27" t="inlineStr">
        <is>
          <t>Whether a client knows their strengths, uses them, and feels confident applying them. Suited to repeat administration to show change across a coaching engagement.</t>
        </is>
      </c>
      <c r="I4" s="27" t="inlineStr">
        <is>
          <t>No population norms; read against the client’s own baseline.</t>
        </is>
      </c>
    </row>
    <row r="5" ht="94.5" customHeight="1" s="17">
      <c r="A5" s="26" t="inlineStr">
        <is>
          <t>Work Mindset Assessment</t>
        </is>
      </c>
      <c r="B5" s="27" t="inlineStr">
        <is>
          <t>Work Mindset</t>
        </is>
      </c>
      <c r="C5" s="27" t="inlineStr">
        <is>
          <t>CSES, PES</t>
        </is>
      </c>
      <c r="D5" s="27" t="inlineStr">
        <is>
          <t>Core Self-Evaluations Scale
Psychological Empowerment Scale</t>
        </is>
      </c>
      <c r="E5" s="28">
        <f>COUNTIF('Master Item List'!$A:$A,"CSES")+COUNTIF('Master Item List'!$A:$A,"PES")</f>
        <v/>
      </c>
      <c r="F5" s="27" t="inlineStr">
        <is>
          <t>CSES: 2-3 minutes
PES: 3-5 minutes</t>
        </is>
      </c>
      <c r="G5" s="27" t="inlineStr">
        <is>
          <t>work-mindset-report</t>
        </is>
      </c>
      <c r="H5" s="27" t="inlineStr">
        <is>
          <t>General positive self appraisal alongside felt empowerment in a work or study role.</t>
        </is>
      </c>
      <c r="I5" s="27" t="inlineStr">
        <is>
          <t>The PES assumes a defined work role, so it suits employed and placement clients better than full time students.</t>
        </is>
      </c>
    </row>
    <row r="6" ht="94.5" customHeight="1" s="17">
      <c r="A6" s="26" t="inlineStr">
        <is>
          <t>DASS-21</t>
        </is>
      </c>
      <c r="B6" s="27" t="inlineStr">
        <is>
          <t>Single Measure</t>
        </is>
      </c>
      <c r="C6" s="27" t="inlineStr">
        <is>
          <t>DASS-21</t>
        </is>
      </c>
      <c r="D6" s="27" t="inlineStr">
        <is>
          <t>Depression Anxiety Stress Scales, 21 item version (DASS-21)</t>
        </is>
      </c>
      <c r="E6" s="28">
        <f>COUNTIF('Master Item List'!$A:$A,"DASS-21")</f>
        <v/>
      </c>
      <c r="F6" s="27" t="inlineStr">
        <is>
          <t>DASS-21: 4 minutes</t>
        </is>
      </c>
      <c r="G6" s="27" t="inlineStr">
        <is>
          <t>dass21-report</t>
        </is>
      </c>
      <c r="H6" s="27" t="inlineStr">
        <is>
          <t>Distress screening over the past week, to establish whether coaching can safely proceed and whether clinical input is needed.</t>
        </is>
      </c>
      <c r="I6" s="27" t="inlineStr">
        <is>
          <t>Screening only. Contains no suicide item and does not assess risk; items 10, 17 and 21 are followed up directly when endorsed at 2 or 3.</t>
        </is>
      </c>
    </row>
    <row r="7" ht="94.5" customHeight="1" s="17">
      <c r="A7" s="26" t="inlineStr">
        <is>
          <t>Thinking Patterns</t>
        </is>
      </c>
      <c r="B7" s="27" t="inlineStr">
        <is>
          <t>Thinking Patterns</t>
        </is>
      </c>
      <c r="C7" s="27" t="inlineStr">
        <is>
          <t>PTQ, RRS</t>
        </is>
      </c>
      <c r="D7" s="27" t="inlineStr">
        <is>
          <t>Perseverative Thinking Questionnaire
Ruminative Responses Scale</t>
        </is>
      </c>
      <c r="E7" s="28">
        <f>COUNTIF('Master Item List'!$A:$A,"PTQ")+COUNTIF('Master Item List'!$A:$A,"RRS")</f>
        <v/>
      </c>
      <c r="F7" s="27" t="inlineStr">
        <is>
          <t>PTQ: Not stated in the source. A brief 15-item self-report measure, typically completed in a few minutes.
RRS: Approximately 2 minutes (per NovoPsych).</t>
        </is>
      </c>
      <c r="G7" s="27" t="inlineStr">
        <is>
          <t>thinking-patterns-report</t>
        </is>
      </c>
      <c r="H7" s="27" t="inlineStr">
        <is>
          <t>The process of repetitive negative thinking rather than the resulting mood: overall perseverative thinking, and brooding versus reflective rumination.</t>
        </is>
      </c>
      <c r="I7" s="27" t="inlineStr">
        <is>
          <t>Only the RRS Brooding and Reflection subscales are recommended for coaching interpretation.</t>
        </is>
      </c>
    </row>
    <row r="8" ht="94.5" customHeight="1" s="17">
      <c r="A8" s="26" t="inlineStr">
        <is>
          <t>Perfectionism</t>
        </is>
      </c>
      <c r="B8" s="27" t="inlineStr">
        <is>
          <t>Perfectionism</t>
        </is>
      </c>
      <c r="C8" s="27" t="inlineStr">
        <is>
          <t>CFI, PCI</t>
        </is>
      </c>
      <c r="D8" s="27" t="inlineStr">
        <is>
          <t>Cognitive Flexibility Inventory (CFI)
Perfectionism Cognitions Inventory</t>
        </is>
      </c>
      <c r="E8" s="28">
        <f>COUNTIF('Master Item List'!$A:$A,"CFI")+COUNTIF('Master Item List'!$A:$A,"PCI")</f>
        <v/>
      </c>
      <c r="F8" s="27" t="inlineStr">
        <is>
          <t>CFI: 3 minutes
PCI: Approximately 4 minutes (per NovoPsych).</t>
        </is>
      </c>
      <c r="G8" s="27" t="inlineStr">
        <is>
          <t>perfectionism-report</t>
        </is>
      </c>
      <c r="H8" s="27" t="inlineStr">
        <is>
          <t>Frequency of perfectionistic self talk, paired with cognitive flexibility as the capacity that loosens it.</t>
        </is>
      </c>
      <c r="I8" s="27" t="inlineStr">
        <is>
          <t>PCI higher means more perfectionistic thinking; CFI higher means more flexibility.</t>
        </is>
      </c>
    </row>
    <row r="9" ht="94.5" customHeight="1" s="17">
      <c r="A9" s="26" t="inlineStr">
        <is>
          <t>Self-Appraisal Assessment</t>
        </is>
      </c>
      <c r="B9" s="27" t="inlineStr">
        <is>
          <t>Self-Appraisal</t>
        </is>
      </c>
      <c r="C9" s="27" t="inlineStr">
        <is>
          <t>FSCRS, SCS-SF</t>
        </is>
      </c>
      <c r="D9" s="27" t="inlineStr">
        <is>
          <t>Forms of Self-Criticising/Attacking and Self-Reassuring Scale
Self-Compassion Scale – Short Form</t>
        </is>
      </c>
      <c r="E9" s="28">
        <f>COUNTIF('Master Item List'!$A:$A,"FSCRS")+COUNTIF('Master Item List'!$A:$A,"SCS-SF")</f>
        <v/>
      </c>
      <c r="F9" s="27" t="inlineStr">
        <is>
          <t>FSCRS: Not stated in the source. A brief 22-item self-report measure, typically completed in a few minutes.
SCS-SF: Approximately 2 minutes (per NovoPsych).</t>
        </is>
      </c>
      <c r="G9" s="27" t="inlineStr">
        <is>
          <t>self-appraisal-report</t>
        </is>
      </c>
      <c r="H9" s="27" t="inlineStr">
        <is>
          <t>How a client talks to themselves when things go wrong: self critical and self reassuring forms from the FSCRS, and self compassion from the SCS-SF.</t>
        </is>
      </c>
      <c r="I9" s="27" t="inlineStr">
        <is>
          <t>FSCRS item 9 sits close to self harm content; frame with care. SCS-SF higher means more self compassion, the opposite direction to the FSCRS Inadequate and Hated Self subscales.</t>
        </is>
      </c>
    </row>
    <row r="10" ht="94.5" customHeight="1" s="17">
      <c r="A10" s="26" t="inlineStr">
        <is>
          <t>Procrastination</t>
        </is>
      </c>
      <c r="B10" s="27" t="inlineStr">
        <is>
          <t>Procrastination</t>
        </is>
      </c>
      <c r="C10" s="27" t="inlineStr">
        <is>
          <t>PPS, IPS</t>
        </is>
      </c>
      <c r="D10" s="27" t="inlineStr">
        <is>
          <t>Pure Procrastination Scale
Irrational Procrastination Scale</t>
        </is>
      </c>
      <c r="E10" s="28">
        <f>COUNTIF('Master Item List'!$A:$A,"PPS")+COUNTIF('Master Item List'!$A:$A,"IPS")</f>
        <v/>
      </c>
      <c r="F10" s="27" t="inlineStr">
        <is>
          <t>PPS: 2-3 minutes
IPS: 1-2 minutes</t>
        </is>
      </c>
      <c r="G10" s="27" t="inlineStr">
        <is>
          <t>procrastination-report</t>
        </is>
      </c>
      <c r="H10" s="27" t="inlineStr">
        <is>
          <t>General delay across decisions and tasks (PPS) and delay that the client recognises as harmful to them (IPS).</t>
        </is>
      </c>
      <c r="I10" s="27" t="inlineStr">
        <is>
          <t>IPS items 2, 6 and 9 are reverse scored.</t>
        </is>
      </c>
    </row>
    <row r="11" ht="94.5" customHeight="1" s="17">
      <c r="A11" s="26" t="inlineStr">
        <is>
          <t>Goal Pursuit</t>
        </is>
      </c>
      <c r="B11" s="27" t="inlineStr">
        <is>
          <t>Goal Pursuit</t>
        </is>
      </c>
      <c r="C11" s="27" t="inlineStr">
        <is>
          <t>GSE, GCS, GADJ</t>
        </is>
      </c>
      <c r="D11" s="27" t="inlineStr">
        <is>
          <t>General Self-Efficacy Scale
Goal Commitment Scale (5-item unidimensional version)
Goal Adjustment Scale</t>
        </is>
      </c>
      <c r="E11" s="28">
        <f>COUNTIF('Master Item List'!$A:$A,"GSE")+COUNTIF('Master Item List'!$A:$A,"GCS")+COUNTIF('Master Item List'!$A:$A,"GADJ")</f>
        <v/>
      </c>
      <c r="F11" s="27" t="inlineStr">
        <is>
          <t>GSE: 4 minutes average (per the official FU Berlin documentation)
GCS: Not stated on source
GADJ: Not stated on source</t>
        </is>
      </c>
      <c r="G11" s="29" t="inlineStr">
        <is>
          <t>No report skill yet</t>
        </is>
      </c>
      <c r="H11" s="27" t="inlineStr">
        <is>
          <t>General confidence in managing difficulty (GSE), commitment to a specific goal the client names (GCS), and the capacity to let go of unattainable goals and take up new ones (GADJ).</t>
        </is>
      </c>
      <c r="I11" s="27" t="inlineStr">
        <is>
          <t>GCS items refer to a goal the client names, so the form must ask for the goal first; GCS items 1, 2 and 4 are reverse scored. Score the 2 GADJ subscales separately; GADJ items 2 and 3 are reverse scored. Both the GCS and GADJ need author permission for paid use.</t>
        </is>
      </c>
    </row>
    <row r="12" ht="94.5" customHeight="1" s="17">
      <c r="A12" s="26" t="inlineStr">
        <is>
          <t>Self-Determination</t>
        </is>
      </c>
      <c r="B12" s="27" t="inlineStr">
        <is>
          <t>Self Determination</t>
        </is>
      </c>
      <c r="C12" s="27" t="inlineStr">
        <is>
          <t>BPNSFS</t>
        </is>
      </c>
      <c r="D12" s="27" t="inlineStr">
        <is>
          <t>Basic Psychological Need Satisfaction and Frustration Scale (BPNSFS)</t>
        </is>
      </c>
      <c r="E12" s="28">
        <f>COUNTIF('Master Item List'!$A:$A,"BPNSFS")</f>
        <v/>
      </c>
      <c r="F12" s="27" t="inlineStr">
        <is>
          <t>BPNSFS: Not stated on source</t>
        </is>
      </c>
      <c r="G12" s="27" t="inlineStr">
        <is>
          <t>self-determination-report</t>
        </is>
      </c>
      <c r="H12" s="27" t="inlineStr">
        <is>
          <t>Satisfaction and frustration of the needs for autonomy, competence and relatedness, to locate whether low motivation reflects unmet needs or actively thwarted ones.</t>
        </is>
      </c>
      <c r="I12" s="27" t="inlineStr">
        <is>
          <t>Keep the 6 subscales separate. Commercial use needs written permission from the Center for Self-Determination Theory.</t>
        </is>
      </c>
    </row>
    <row r="13"/>
    <row r="14" ht="15" customHeight="1" s="17">
      <c r="A14" s="30" t="inlineStr">
        <is>
          <t>Instrument to battery map</t>
        </is>
      </c>
    </row>
    <row r="15" ht="15" customHeight="1" s="17">
      <c r="A15" s="25" t="inlineStr">
        <is>
          <t>Instrument code</t>
        </is>
      </c>
      <c r="B15" s="25" t="inlineStr">
        <is>
          <t>Instrument</t>
        </is>
      </c>
      <c r="C15" s="25" t="inlineStr">
        <is>
          <t>Batteries using it</t>
        </is>
      </c>
    </row>
    <row r="16" ht="46.25" customHeight="1" s="17">
      <c r="A16" s="26" t="inlineStr">
        <is>
          <t>ESQ-R</t>
        </is>
      </c>
      <c r="B16" s="27" t="inlineStr">
        <is>
          <t>Executive Skills Questionnaire - Revised (ESQ-R)</t>
        </is>
      </c>
      <c r="C16" s="27" t="inlineStr">
        <is>
          <t>Executive Function Measures
Executive Function Measures (ADHD)</t>
        </is>
      </c>
    </row>
    <row r="17" ht="23.85" customHeight="1" s="17">
      <c r="A17" s="26" t="inlineStr">
        <is>
          <t>CFI</t>
        </is>
      </c>
      <c r="B17" s="27" t="inlineStr">
        <is>
          <t>Cognitive Flexibility Inventory (CFI)</t>
        </is>
      </c>
      <c r="C17" s="27" t="inlineStr">
        <is>
          <t>Perfectionism</t>
        </is>
      </c>
    </row>
    <row r="18" ht="23.85" customHeight="1" s="17">
      <c r="A18" s="26" t="inlineStr">
        <is>
          <t>ASRS</t>
        </is>
      </c>
      <c r="B18" s="27" t="inlineStr">
        <is>
          <t>Adult ADHD Self-Report Scale (ASRS v1.1)</t>
        </is>
      </c>
      <c r="C18" s="27" t="inlineStr">
        <is>
          <t>Executive Function Measures (ADHD)</t>
        </is>
      </c>
    </row>
    <row r="19" ht="15" customHeight="1" s="17">
      <c r="A19" s="26" t="inlineStr">
        <is>
          <t>SKS</t>
        </is>
      </c>
      <c r="B19" s="27" t="inlineStr">
        <is>
          <t>Strengths Knowledge Scale</t>
        </is>
      </c>
      <c r="C19" s="27" t="inlineStr">
        <is>
          <t>Strengths Assessment</t>
        </is>
      </c>
    </row>
    <row r="20" ht="15" customHeight="1" s="17">
      <c r="A20" s="26" t="inlineStr">
        <is>
          <t>SUS</t>
        </is>
      </c>
      <c r="B20" s="27" t="inlineStr">
        <is>
          <t>Strengths Use Scale</t>
        </is>
      </c>
      <c r="C20" s="27" t="inlineStr">
        <is>
          <t>Strengths Assessment</t>
        </is>
      </c>
    </row>
    <row r="21" ht="15" customHeight="1" s="17">
      <c r="A21" s="26" t="inlineStr">
        <is>
          <t>SSES</t>
        </is>
      </c>
      <c r="B21" s="27" t="inlineStr">
        <is>
          <t>Strengths Self-Efficacy Scale</t>
        </is>
      </c>
      <c r="C21" s="27" t="inlineStr">
        <is>
          <t>Strengths Assessment</t>
        </is>
      </c>
    </row>
    <row r="22" ht="23.85" customHeight="1" s="17">
      <c r="A22" s="26" t="inlineStr">
        <is>
          <t>CSES</t>
        </is>
      </c>
      <c r="B22" s="27" t="inlineStr">
        <is>
          <t>Core Self-Evaluations Scale</t>
        </is>
      </c>
      <c r="C22" s="27" t="inlineStr">
        <is>
          <t>Work Mindset Assessment</t>
        </is>
      </c>
    </row>
    <row r="23" ht="23.85" customHeight="1" s="17">
      <c r="A23" s="26" t="inlineStr">
        <is>
          <t>PES</t>
        </is>
      </c>
      <c r="B23" s="27" t="inlineStr">
        <is>
          <t>Psychological Empowerment Scale</t>
        </is>
      </c>
      <c r="C23" s="27" t="inlineStr">
        <is>
          <t>Work Mindset Assessment</t>
        </is>
      </c>
    </row>
    <row r="24" ht="35.05" customHeight="1" s="17">
      <c r="A24" s="26" t="inlineStr">
        <is>
          <t>DASS-21</t>
        </is>
      </c>
      <c r="B24" s="27" t="inlineStr">
        <is>
          <t>Depression Anxiety Stress Scales, 21 item version (DASS-21)</t>
        </is>
      </c>
      <c r="C24" s="27" t="inlineStr">
        <is>
          <t>DASS-21</t>
        </is>
      </c>
    </row>
    <row r="25" ht="23.85" customHeight="1" s="17">
      <c r="A25" s="26" t="inlineStr">
        <is>
          <t>PTQ</t>
        </is>
      </c>
      <c r="B25" s="27" t="inlineStr">
        <is>
          <t>Perseverative Thinking Questionnaire</t>
        </is>
      </c>
      <c r="C25" s="27" t="inlineStr">
        <is>
          <t>Thinking Patterns</t>
        </is>
      </c>
    </row>
    <row r="26" ht="23.85" customHeight="1" s="17">
      <c r="A26" s="26" t="inlineStr">
        <is>
          <t>RRS</t>
        </is>
      </c>
      <c r="B26" s="27" t="inlineStr">
        <is>
          <t>Ruminative Responses Scale</t>
        </is>
      </c>
      <c r="C26" s="27" t="inlineStr">
        <is>
          <t>Thinking Patterns</t>
        </is>
      </c>
    </row>
    <row r="27" ht="35.05" customHeight="1" s="17">
      <c r="A27" s="26" t="inlineStr">
        <is>
          <t>FSCRS</t>
        </is>
      </c>
      <c r="B27" s="27" t="inlineStr">
        <is>
          <t>Forms of Self-Criticising/Attacking and Self-Reassuring Scale</t>
        </is>
      </c>
      <c r="C27" s="27" t="inlineStr">
        <is>
          <t>Self-Appraisal Assessment</t>
        </is>
      </c>
    </row>
    <row r="28" ht="23.85" customHeight="1" s="17">
      <c r="A28" s="26" t="inlineStr">
        <is>
          <t>PCI</t>
        </is>
      </c>
      <c r="B28" s="27" t="inlineStr">
        <is>
          <t>Perfectionism Cognitions Inventory</t>
        </is>
      </c>
      <c r="C28" s="27" t="inlineStr">
        <is>
          <t>Perfectionism</t>
        </is>
      </c>
    </row>
    <row r="29" ht="23.85" customHeight="1" s="17">
      <c r="A29" s="26" t="inlineStr">
        <is>
          <t>SCS-SF</t>
        </is>
      </c>
      <c r="B29" s="27" t="inlineStr">
        <is>
          <t>Self-Compassion Scale – Short Form</t>
        </is>
      </c>
      <c r="C29" s="27" t="inlineStr">
        <is>
          <t>Self-Appraisal Assessment</t>
        </is>
      </c>
    </row>
    <row r="30" ht="35.05" customHeight="1" s="17">
      <c r="A30" s="26" t="inlineStr">
        <is>
          <t>BPNSFS</t>
        </is>
      </c>
      <c r="B30" s="27" t="inlineStr">
        <is>
          <t>Basic Psychological Need Satisfaction and Frustration Scale (BPNSFS)</t>
        </is>
      </c>
      <c r="C30" s="27" t="inlineStr">
        <is>
          <t>Self-Determination</t>
        </is>
      </c>
    </row>
    <row r="31" ht="15" customHeight="1" s="17">
      <c r="A31" s="26" t="inlineStr">
        <is>
          <t>PPS</t>
        </is>
      </c>
      <c r="B31" s="27" t="inlineStr">
        <is>
          <t>Pure Procrastination Scale</t>
        </is>
      </c>
      <c r="C31" s="27" t="inlineStr">
        <is>
          <t>Procrastination</t>
        </is>
      </c>
    </row>
    <row r="32" ht="23.85" customHeight="1" s="17">
      <c r="A32" s="26" t="inlineStr">
        <is>
          <t>IPS</t>
        </is>
      </c>
      <c r="B32" s="27" t="inlineStr">
        <is>
          <t>Irrational Procrastination Scale</t>
        </is>
      </c>
      <c r="C32" s="27" t="inlineStr">
        <is>
          <t>Procrastination</t>
        </is>
      </c>
    </row>
    <row r="33" ht="15" customHeight="1" s="17">
      <c r="A33" s="26" t="inlineStr">
        <is>
          <t>GSE</t>
        </is>
      </c>
      <c r="B33" s="27" t="inlineStr">
        <is>
          <t>General Self-Efficacy Scale</t>
        </is>
      </c>
      <c r="C33" s="27" t="inlineStr">
        <is>
          <t>Goal Pursuit</t>
        </is>
      </c>
    </row>
    <row r="34" ht="23.85" customHeight="1" s="17">
      <c r="A34" s="26" t="inlineStr">
        <is>
          <t>GCS</t>
        </is>
      </c>
      <c r="B34" s="27" t="inlineStr">
        <is>
          <t>Goal Commitment Scale (5-item unidimensional version)</t>
        </is>
      </c>
      <c r="C34" s="27" t="inlineStr">
        <is>
          <t>Goal Pursuit</t>
        </is>
      </c>
    </row>
    <row r="35" ht="15" customHeight="1" s="17">
      <c r="A35" s="26" t="inlineStr">
        <is>
          <t>GADJ</t>
        </is>
      </c>
      <c r="B35" s="27" t="inlineStr">
        <is>
          <t>Goal Adjustment Scale</t>
        </is>
      </c>
      <c r="C35" s="27" t="inlineStr">
        <is>
          <t>Goal Pursuit</t>
        </is>
      </c>
    </row>
  </sheetData>
  <autoFilter ref="A1:I1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1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6" min="1" max="1"/>
  </cols>
  <sheetData>
    <row r="1" ht="17.35" customHeight="1" s="17">
      <c r="A1" s="31" t="inlineStr">
        <is>
          <t>Tally form conversion prompt</t>
        </is>
      </c>
    </row>
    <row r="2" ht="75" customHeight="1" s="17">
      <c r="A2" s="19" t="inlineStr">
        <is>
          <t>Use this prompt in Tally when converting an existing assessment form to a different battery. Copy the prompt from the single cell in row 5 (select the cell, copy, paste into Tally), then replace the final placeholder with the rows for each instrument in the battery. The Batteries tab lists which instruments belong to each form. For each instrument, paste from the Instrument Summary: Instrument Name and Code, Instructions / prompt, Response options, Reverse-scored items, Filler items, Subscales / structure and Total scoring; and from the Master Item List, all Item Text rows for that code in item number order.</t>
        </is>
      </c>
    </row>
    <row r="3"/>
    <row r="4" ht="15" customHeight="1" s="17">
      <c r="A4" s="30" t="inlineStr">
        <is>
          <t>Prompt</t>
        </is>
      </c>
    </row>
    <row r="5" ht="408.75" customHeight="1" s="17">
      <c r="A5" s="32" t="inlineStr">
        <is>
          <t>I want to convert this form to a different psychometric assessment. Keep the existing layout, branding and client details section exactly as they are, and make the following changes.
1. Title
Change the form title to name the construct being measured, for example "Thinking Patterns Assessment". Use the plain construct name rather than instrument acronyms.
2. Introduction
Keep the introductory paragraph, but rewrite its closing sentence so it explains why this assessment is being used and what it will help us understand. Keep the tone warm and plain, avoid clinical or diagnostic language, and write in UK English.
3. Client details
Keep this section, its fields and its position unchanged.
4. Psychometric pages
Delete the existing psychometric questions and replace them with the instruments below, one page per instrument. On each page:
- Use the instrument's full name as the page heading.
- Add the respondent instructions exactly as given.
- Add every item exactly as worded and in the order given. Do not paraphrase, shorten or correct any item, including American spelling.
- Number the items and make every item required.
- Use the same question type for every item within an instrument.
5. Response scales
Use the response scale given for each instrument, with the exact anchor labels and numeric values. Check that the scale fits the wording of the instructions (for example, a "how often" instruction needs a frequency scale, and a "how true" instruction needs an agreement or truth scale). Directly under the instructions on each page, add one sentence explaining how to use the scale and naming its anchors, for example: "Choose 1 if the statement is not at all true of you, through to 5 if it is completely true."
6. Scoring
Add calculated fields that score each instrument according to the scoring information below.
- Reverse score the listed items before adding them up. A reversed score is (scale maximum plus scale minimum) minus the response.
- Record filler items but leave them out of every score.
- Create one calculated field per subscale, plus a total only where the scoring information says a total is used. Where it says subscales are kept separate, do not create a total.
- Name each calculated field with the instrument code and subscale, for example PTQ_Total or RRS_Brooding.
- Keep every calculated field hidden from the respondent, so that no scores appear on the form or the thank you page.
7. Check back
When you have finished, list back to me each page heading, the number of items per instrument, the response scale used, the reverse scored items, and each calculated field with its formula, so that I can check them against my codebook.
Psychometric information:
[Paste the codebook rows for each instrument here: name and code, instructions, response options, items, reverse scored items, filler items, subscales with item numbers, and total scoring.]</t>
        </is>
      </c>
    </row>
    <row r="6"/>
    <row r="7" ht="15" customHeight="1" s="17">
      <c r="A7" s="30" t="inlineStr">
        <is>
          <t>Checks after Tally has built the form</t>
        </is>
      </c>
    </row>
    <row r="8" ht="15" customHeight="1" s="17">
      <c r="A8" s="19" t="inlineStr">
        <is>
          <t>Item count on each page matches the Items in instrument column of the Instrument Summary.</t>
        </is>
      </c>
    </row>
    <row r="9" ht="15" customHeight="1" s="17">
      <c r="A9" s="19" t="inlineStr">
        <is>
          <t>Item wording matches the Master Item List exactly, including spelling.</t>
        </is>
      </c>
    </row>
    <row r="10" ht="15" customHeight="1" s="17">
      <c r="A10" s="19" t="inlineStr">
        <is>
          <t>Reverse scored items are reversed in the calculated fields, and filler items are excluded.</t>
        </is>
      </c>
    </row>
    <row r="11" ht="15" customHeight="1" s="17">
      <c r="A11" s="19" t="inlineStr">
        <is>
          <t>The BPNSFS and RRS have subscale fields only, with no combined total.</t>
        </is>
      </c>
    </row>
    <row r="12" ht="15" customHeight="1" s="17">
      <c r="A12" s="19" t="inlineStr">
        <is>
          <t>Calculated fields are hidden, so no scores appear on the form or the thank you page.</t>
        </is>
      </c>
    </row>
    <row r="13" ht="15" customHeight="1" s="17">
      <c r="A13" s="19" t="inlineStr">
        <is>
          <t>Submit a test response and check each calculated field by hand against the scoring rules before sending the form to a client.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Z71"/>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16" min="1" max="1"/>
    <col width="36" customWidth="1" style="16" min="2" max="2"/>
    <col width="34" customWidth="1" style="16" min="3" max="3"/>
    <col width="26" customWidth="1" style="16" min="4" max="4"/>
    <col width="13" customWidth="1" style="16" min="5" max="6"/>
    <col width="40" customWidth="1" style="16" min="7" max="7"/>
    <col width="26" customWidth="1" style="16" min="8" max="8"/>
    <col width="16" customWidth="1" style="16" min="9" max="10"/>
    <col width="60" customWidth="1" style="16" min="11" max="12"/>
    <col width="58" customWidth="1" style="16" min="13" max="13"/>
    <col width="56" customWidth="1" style="16" min="14" max="14"/>
    <col width="46" customWidth="1" style="16" min="15" max="15"/>
    <col width="14" customWidth="1" style="16" min="16" max="17"/>
    <col width="58" customWidth="1" style="16" min="18" max="20"/>
    <col width="52" customWidth="1" style="16" min="21" max="21"/>
    <col width="58" customWidth="1" style="16" min="22" max="22"/>
    <col width="60" customWidth="1" style="16" min="23" max="23"/>
    <col width="58" customWidth="1" style="16" min="24" max="24"/>
    <col width="56" customWidth="1" style="16" min="25" max="25"/>
    <col width="52" customWidth="1" style="16" min="26" max="26"/>
  </cols>
  <sheetData>
    <row r="1" ht="30" customHeight="1" s="17">
      <c r="A1" s="25" t="inlineStr">
        <is>
          <t>Code</t>
        </is>
      </c>
      <c r="B1" s="25" t="inlineStr">
        <is>
          <t>Instrument Name</t>
        </is>
      </c>
      <c r="C1" s="25" t="inlineStr">
        <is>
          <t>Domain</t>
        </is>
      </c>
      <c r="D1" s="25" t="inlineStr">
        <is>
          <t>Availability</t>
        </is>
      </c>
      <c r="E1" s="25" t="inlineStr">
        <is>
          <t>Items in instrument</t>
        </is>
      </c>
      <c r="F1" s="25" t="inlineStr">
        <is>
          <t>Items in this codebook</t>
        </is>
      </c>
      <c r="G1" s="25" t="inlineStr">
        <is>
          <t>Construct measured</t>
        </is>
      </c>
      <c r="H1" s="25" t="inlineStr">
        <is>
          <t>Respondent</t>
        </is>
      </c>
      <c r="I1" s="25" t="inlineStr">
        <is>
          <t>Age range</t>
        </is>
      </c>
      <c r="J1" s="25" t="inlineStr">
        <is>
          <t>Administration time</t>
        </is>
      </c>
      <c r="K1" s="25" t="inlineStr">
        <is>
          <t>Cost and access</t>
        </is>
      </c>
      <c r="L1" s="25" t="inlineStr">
        <is>
          <t>Coaching application</t>
        </is>
      </c>
      <c r="M1" s="25" t="inlineStr">
        <is>
          <t>Purpose</t>
        </is>
      </c>
      <c r="N1" s="25" t="inlineStr">
        <is>
          <t>Instructions / prompt</t>
        </is>
      </c>
      <c r="O1" s="25" t="inlineStr">
        <is>
          <t>Response options</t>
        </is>
      </c>
      <c r="P1" s="25" t="inlineStr">
        <is>
          <t>Reverse-scored items</t>
        </is>
      </c>
      <c r="Q1" s="25" t="inlineStr">
        <is>
          <t>Filler items (not scored)</t>
        </is>
      </c>
      <c r="R1" s="25" t="inlineStr">
        <is>
          <t>Subscales / structure</t>
        </is>
      </c>
      <c r="S1" s="25" t="inlineStr">
        <is>
          <t>Total scoring</t>
        </is>
      </c>
      <c r="T1" s="25" t="inlineStr">
        <is>
          <t>Interpretation bands</t>
        </is>
      </c>
      <c r="U1" s="25" t="inlineStr">
        <is>
          <t>Cut-offs</t>
        </is>
      </c>
      <c r="V1" s="25" t="inlineStr">
        <is>
          <t>Normative data</t>
        </is>
      </c>
      <c r="W1" s="25" t="inlineStr">
        <is>
          <t>Psychometric properties</t>
        </is>
      </c>
      <c r="X1" s="25" t="inlineStr">
        <is>
          <t>Developer citation</t>
        </is>
      </c>
      <c r="Y1" s="25" t="inlineStr">
        <is>
          <t>Copyright and licensing</t>
        </is>
      </c>
      <c r="Z1" s="25" t="inlineStr">
        <is>
          <t>Source URL</t>
        </is>
      </c>
    </row>
    <row r="2" ht="169.5" customHeight="1" s="17">
      <c r="A2" s="26" t="inlineStr">
        <is>
          <t>ESQ-R</t>
        </is>
      </c>
      <c r="B2" s="27" t="inlineStr">
        <is>
          <t>Executive Skills Questionnaire - Revised (ESQ-R)</t>
        </is>
      </c>
      <c r="C2" s="27" t="inlineStr">
        <is>
          <t>1. Executive functioning and ADHD</t>
        </is>
      </c>
      <c r="D2" s="27" t="inlineStr">
        <is>
          <t>Free / open access</t>
        </is>
      </c>
      <c r="E2" s="28" t="n">
        <v>25</v>
      </c>
      <c r="F2" s="28">
        <f>COUNTIF('Master Item List'!$A:$A,$A2)</f>
        <v/>
      </c>
      <c r="G2" s="27" t="inlineStr">
        <is>
          <t>Executive functioning skills, including plan and time management, organization, and emotional and behavioral regulation</t>
        </is>
      </c>
      <c r="H2" s="27" t="inlineStr">
        <is>
          <t>Self-report</t>
        </is>
      </c>
      <c r="I2" s="27" t="inlineStr">
        <is>
          <t>14+</t>
        </is>
      </c>
      <c r="J2" s="27" t="inlineStr">
        <is>
          <t>5 minutes</t>
        </is>
      </c>
      <c r="K2" s="27" t="inlineStr">
        <is>
          <t>Included on NovoPsych with the permission of Dr Peg Dawson; blank form hosted free. Scoring and percentiles need a NovoPsych account.</t>
        </is>
      </c>
      <c r="L2" s="27" t="inlineStr">
        <is>
          <t>The core executive skills profile for coaching; the five subscales map directly onto coaching targets. Measures higher order skills rather than core executive functions.</t>
        </is>
      </c>
      <c r="M2"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c r="N2" s="27" t="inlineStr">
        <is>
          <t>Read each item and decide how often it's a problem for you.</t>
        </is>
      </c>
      <c r="O2" s="27" t="inlineStr">
        <is>
          <t>Never or rarely = 0 | Sometimes = 1 | Often = 2 | Very often = 3</t>
        </is>
      </c>
      <c r="P2" s="27" t="inlineStr">
        <is>
          <t>None</t>
        </is>
      </c>
      <c r="Q2" s="27" t="inlineStr">
        <is>
          <t>None</t>
        </is>
      </c>
      <c r="R2" s="27" t="inlineStr">
        <is>
          <t>Plan Management (items 6-7, 12-14, 16-18, 22-24; n=11; range 0-33)
Time Management (items 10-11, 15, 20; n=4; range 0-12)
Organization (items 3, 8-9; n=3; range 0-9)
Emotional Regulation (items 4-5, 21; n=3; range 0-9)
Behavioral Regulation (items 1-2, 19, 25; n=4; range 0-12)</t>
        </is>
      </c>
      <c r="S2"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c r="T2"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c r="U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c r="V2"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c r="W2"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c r="X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c r="Y2" s="27" t="inlineStr">
        <is>
          <t>© 2026 Copyright – NovoPsych – All rights reserved. The ESQ-R was developed and published by Strait et al. (2020) and is included on NovoPsych with permission from Dr. Peg Dawson.</t>
        </is>
      </c>
      <c r="Z2" s="27" t="inlineStr">
        <is>
          <t>https://novopsych.com/assessments/formulation/executive-skills-questionnaire-revised-esq-r/</t>
        </is>
      </c>
    </row>
    <row r="3" ht="169.5" customHeight="1" s="17">
      <c r="A3" s="26" t="inlineStr">
        <is>
          <t>CFI</t>
        </is>
      </c>
      <c r="B3" s="27" t="inlineStr">
        <is>
          <t>Cognitive Flexibility Inventory (CFI)</t>
        </is>
      </c>
      <c r="C3" s="27" t="inlineStr">
        <is>
          <t>1. Executive functioning and ADHD</t>
        </is>
      </c>
      <c r="D3" s="27" t="inlineStr">
        <is>
          <t>Free / open access</t>
        </is>
      </c>
      <c r="E3" s="28" t="n">
        <v>20</v>
      </c>
      <c r="F3" s="28">
        <f>COUNTIF('Master Item List'!$A:$A,$A3)</f>
        <v/>
      </c>
      <c r="G3" s="27" t="inlineStr">
        <is>
          <t>Cognitive flexibility - the ability to perceive multiple alternative explanations for life occurrences and human behaviour, generate multiple alternative solutions to difficult situations, and perceive difficult situations as controllable</t>
        </is>
      </c>
      <c r="H3" s="27" t="inlineStr">
        <is>
          <t>Self-report</t>
        </is>
      </c>
      <c r="I3" s="27" t="inlineStr">
        <is>
          <t>18+</t>
        </is>
      </c>
      <c r="J3" s="27" t="inlineStr">
        <is>
          <t>3 minutes</t>
        </is>
      </c>
      <c r="K3" s="27" t="inlineStr">
        <is>
          <t>Published in Dennis and Vander Wal (2010); blank form hosted free on NovoPsych.</t>
        </is>
      </c>
      <c r="L3" s="27" t="inlineStr">
        <is>
          <t>Measures cognitive flexibility, useful for tracking response to reframing and problem solving work. Scored in the opposite direction to the ESQ-R.</t>
        </is>
      </c>
      <c r="M3"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c r="N3" s="27" t="inlineStr">
        <is>
          <t>Please use the scale below to indicate the extent to which you agree or disagree with the following statements.</t>
        </is>
      </c>
      <c r="O3" s="27" t="inlineStr">
        <is>
          <t>Strongly disagree = 1 | Disagree = 2 | Somewhat disagree = 3 | Neutral = 4 | Somewhat agree = 5 | Agree = 6 | Strongly agree = 7</t>
        </is>
      </c>
      <c r="P3" s="27" t="inlineStr">
        <is>
          <t>2, 4, 7, 9, 11, 17</t>
        </is>
      </c>
      <c r="Q3" s="27" t="inlineStr">
        <is>
          <t>None</t>
        </is>
      </c>
      <c r="R3" s="27" t="inlineStr">
        <is>
          <t>Alternatives (items 1, 3, 5-6, 8, 10, 12-14, 16, 18-20; n=13; range 13-91)
Control (items 2, 4, 7, 9, 11, 15, 17; n=7; range 7-49)</t>
        </is>
      </c>
      <c r="S3"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c r="T3"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c r="U3" s="27" t="inlineStr">
        <is>
          <t>No formal diagnostic cut-off. Percentiles below approximately 25 represent clinically significant cognitive inflexibility, which would be important to target within cognitive behavioural therapy.</t>
        </is>
      </c>
      <c r="V3" s="27" t="inlineStr">
        <is>
          <t>Sample of 196 university students (Dennis &amp; Vander Wal, 2010): CFI total M = 102.98 (SD = 13.91); Alternatives M = 67.59 (SD = 9.41); Control M = 35.35 (SD = 7.02).</t>
        </is>
      </c>
      <c r="W3"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c r="X3" s="27" t="inlineStr">
        <is>
          <t>Dennis, J. P., &amp; Vander Wal, J. S. (2010). The cognitive flexibility inventory: Instrument development and estimates of reliability and validity. Cognitive Therapy and Research, 34(3), 241-253. https://doi.org/10.1007/s10608-009-9276-4</t>
        </is>
      </c>
      <c r="Y3" s="27" t="inlineStr">
        <is>
          <t>© 2026 Copyright – NovoPsych – All rights reserved. Sample report footer: Copyright 2022 NovoPsych Pty Ltd.</t>
        </is>
      </c>
      <c r="Z3" s="27" t="inlineStr">
        <is>
          <t>https://novopsych.com/assessments/formulation/cognitive-flexibility-inventory-cfi/</t>
        </is>
      </c>
    </row>
    <row r="4" ht="169.5" customHeight="1" s="17">
      <c r="A4" s="26" t="inlineStr">
        <is>
          <t>ASRS</t>
        </is>
      </c>
      <c r="B4" s="27" t="inlineStr">
        <is>
          <t>Adult ADHD Self-Report Scale (ASRS v1.1)</t>
        </is>
      </c>
      <c r="C4" s="27" t="inlineStr">
        <is>
          <t>1. Executive functioning and ADHD</t>
        </is>
      </c>
      <c r="D4" s="27" t="inlineStr">
        <is>
          <t>Free / open access</t>
        </is>
      </c>
      <c r="E4" s="28" t="n">
        <v>18</v>
      </c>
      <c r="F4" s="28">
        <f>COUNTIF('Master Item List'!$A:$A,$A4)</f>
        <v/>
      </c>
      <c r="G4" s="27" t="inlineStr">
        <is>
          <t>Attention Deficit Hyperactivity Disorder (ADHD) symptoms in adults, spanning inattentiveness and hyperactivity/impulsivity (including motor and verbal components)</t>
        </is>
      </c>
      <c r="H4" s="27" t="inlineStr">
        <is>
          <t>self-report</t>
        </is>
      </c>
      <c r="I4" s="27" t="inlineStr">
        <is>
          <t>18+</t>
        </is>
      </c>
      <c r="J4" s="27" t="inlineStr">
        <is>
          <t>3 minutes</t>
        </is>
      </c>
      <c r="K4" s="27" t="inlineStr">
        <is>
          <t>Public domain WHO instrument. Blank form hosted free on NovoPsych; scoring and reports need a NovoPsych account.</t>
        </is>
      </c>
      <c r="L4" s="27" t="inlineStr">
        <is>
          <t>Screening and severity measure for current adult ADHD symptoms; pairs with the WURS-25 for childhood history. Not a diagnostic instrument on its own.</t>
        </is>
      </c>
      <c r="M4"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c r="N4" s="27" t="inlineStr">
        <is>
          <t>Please answer the questions below, rating yourself on each of the criteria shown. As you answer each question, select the box that best describes how you have felt and conducted yourself over the past 6 months.</t>
        </is>
      </c>
      <c r="O4" s="27" t="inlineStr">
        <is>
          <t>Never = 0 | Rarely = 1 | Sometimes = 2 | Often = 3 | Very Often = 4</t>
        </is>
      </c>
      <c r="P4" s="27" t="inlineStr">
        <is>
          <t>None</t>
        </is>
      </c>
      <c r="Q4" s="27" t="inlineStr">
        <is>
          <t>None</t>
        </is>
      </c>
      <c r="R4" s="27" t="inlineStr">
        <is>
          <t>Part A (Criterion / Screener) (items 1-6; n=6; range 0-24)
Part B (Additional Symptoms) (items 7-18; n=12; range 0-48)
Inattentiveness (items 1-4, 7-11; n=9; range 0-9 (dichotomous symptom count))
Hyperactivity/Impulsivity - Motor (items 5-6, 12-14; n=5; range 0-5 (dichotomous symptom count))
Hyperactivity/Impulsivity - Verbal (items 15-18; n=4; range 0-4 (dichotomous symptom count))</t>
        </is>
      </c>
      <c r="S4"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c r="T4"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c r="U4"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c r="V4"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c r="W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c r="X4"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c r="Y4" s="27" t="inlineStr">
        <is>
          <t>Public-domain WHO instrument (ASRS v1.1 Symptom Checklist). Freely reproducible for clinical and research use; NovoPsych hosts the blank form as a public PDF.</t>
        </is>
      </c>
      <c r="Z4" s="27" t="inlineStr">
        <is>
          <t>https://novopsych.com/assessments/diagnosis/adult-adhd-self-report-scale-asrs/</t>
        </is>
      </c>
    </row>
    <row r="5" ht="169.5" customHeight="1" s="17">
      <c r="A5" s="26" t="inlineStr">
        <is>
          <t>SKS</t>
        </is>
      </c>
      <c r="B5" s="27" t="inlineStr">
        <is>
          <t>Strengths Knowledge Scale</t>
        </is>
      </c>
      <c r="C5" s="27" t="inlineStr">
        <is>
          <t>2. Strengths knowledge, use and support at work</t>
        </is>
      </c>
      <c r="D5" s="27" t="inlineStr">
        <is>
          <t>Free / open access</t>
        </is>
      </c>
      <c r="E5" s="28" t="n">
        <v>8</v>
      </c>
      <c r="F5" s="28">
        <f>COUNTIF('Master Item List'!$A:$A,$A5)</f>
        <v/>
      </c>
      <c r="G5" s="27" t="inlineStr">
        <is>
          <t>Perceived self-knowledge of one's own personal strengths, i.e. the extent to which a person is aware of what they do best.</t>
        </is>
      </c>
      <c r="H5" s="27" t="inlineStr">
        <is>
          <t>Self-report</t>
        </is>
      </c>
      <c r="I5" s="27" t="inlineStr">
        <is>
          <t>Adults and university students; used in adolescent samples (secondary school age) in later validations, but the original 2007 development sample was working adults</t>
        </is>
      </c>
      <c r="J5" s="27" t="inlineStr">
        <is>
          <t>2-3 minutes</t>
        </is>
      </c>
      <c r="K5"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5"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c r="M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c r="N5" s="27" t="inlineStr">
        <is>
          <t>Not stated on source</t>
        </is>
      </c>
      <c r="O5" s="27" t="inlineStr">
        <is>
          <t>Strongly disagree = 1 | 2 = 2 | 3 = 3 | 4 = 4 | 5 = 5 | 6 = 6 | Strongly agree = 7</t>
        </is>
      </c>
      <c r="P5" s="27" t="inlineStr">
        <is>
          <t>None</t>
        </is>
      </c>
      <c r="Q5" s="27" t="inlineStr">
        <is>
          <t>None</t>
        </is>
      </c>
      <c r="R5" s="27" t="inlineStr">
        <is>
          <t>Strengths Knowledge (total scale) (items 1-8; n=8; range 8-56)</t>
        </is>
      </c>
      <c r="S5" s="27" t="inlineStr">
        <is>
          <t>Sum (or mean) of the 8 item ratings. Higher total scores indicate greater self-perceived knowledge of one's own strengths. No published reverse-scored items were identified for this scale in the sources reviewed.</t>
        </is>
      </c>
      <c r="T5" s="27" t="inlineStr">
        <is>
          <t>Not stated on source</t>
        </is>
      </c>
      <c r="U5" s="27" t="inlineStr">
        <is>
          <t>No clinical or normative cut-off scores have been published for the SKS. It is used as a continuous research/coaching variable, typically compared against a client's own baseline over time rather than against population norms.</t>
        </is>
      </c>
      <c r="V5"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5"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c r="X5" s="27" t="inlineStr">
        <is>
          <t>Govindji, R., &amp; Linley, P. A. (2007). Strengths use, self-concordance and well-being: Implications for strengths coaching and coaching psychologists. International Coaching Psychology Review, 2(2), 143-153.</t>
        </is>
      </c>
      <c r="Y5"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5" s="27" t="inlineStr">
        <is>
          <t>https://www.frontiersin.org/journals/psychology/articles/10.3389/fpsyg.2023.1086510/full</t>
        </is>
      </c>
    </row>
    <row r="6" ht="169.5" customHeight="1" s="17">
      <c r="A6" s="26" t="inlineStr">
        <is>
          <t>SUS</t>
        </is>
      </c>
      <c r="B6" s="27" t="inlineStr">
        <is>
          <t>Strengths Use Scale</t>
        </is>
      </c>
      <c r="C6" s="27" t="inlineStr">
        <is>
          <t>2. Strengths knowledge, use and support at work</t>
        </is>
      </c>
      <c r="D6" s="27" t="inlineStr">
        <is>
          <t>Free / open access</t>
        </is>
      </c>
      <c r="E6" s="28" t="n">
        <v>14</v>
      </c>
      <c r="F6" s="28">
        <f>COUNTIF('Master Item List'!$A:$A,$A6)</f>
        <v/>
      </c>
      <c r="G6" s="27" t="inlineStr">
        <is>
          <t>Perceived deployment of one's own personal strengths in daily life, i.e. the extent to which a person actively uses what they do best across situations.</t>
        </is>
      </c>
      <c r="H6" s="27" t="inlineStr">
        <is>
          <t>Self-report</t>
        </is>
      </c>
      <c r="I6" s="27" t="inlineStr">
        <is>
          <t>Adults and university students; used in adolescent samples (secondary school age) in later validations, but the original 2007 development sample was working adults</t>
        </is>
      </c>
      <c r="J6" s="27" t="inlineStr">
        <is>
          <t>3-5 minutes</t>
        </is>
      </c>
      <c r="K6"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c r="L6"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c r="M6"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c r="N6" s="27" t="inlineStr">
        <is>
          <t>The following 14 questions ask about your strengths, that is, the things that you can do well or do best.</t>
        </is>
      </c>
      <c r="O6" s="27" t="inlineStr">
        <is>
          <t>Strongly disagree = 1 | 2 = 2 | 3 = 3 | 4 = 4 | 5 = 5 | 6 = 6 | Strongly agree = 7</t>
        </is>
      </c>
      <c r="P6" s="27" t="inlineStr">
        <is>
          <t>None</t>
        </is>
      </c>
      <c r="Q6" s="27" t="inlineStr">
        <is>
          <t>None</t>
        </is>
      </c>
      <c r="R6" s="27" t="inlineStr">
        <is>
          <t>Strengths Use (total scale) (items 1-14; n=14; range 14-98)</t>
        </is>
      </c>
      <c r="S6" s="27" t="inlineStr">
        <is>
          <t>Sum (or mean) of the 14 item ratings. Higher total scores indicate greater self-reported use of personal strengths in daily life. No reverse-scored items were identified for this scale in the sources reviewed.</t>
        </is>
      </c>
      <c r="T6" s="27" t="inlineStr">
        <is>
          <t>Not stated on source</t>
        </is>
      </c>
      <c r="U6" s="27" t="inlineStr">
        <is>
          <t>No clinical or normative cut-off scores have been published for the SUS. It is used as a continuous research/coaching variable, typically tracked against a client's own baseline over time rather than against population norms.</t>
        </is>
      </c>
      <c r="V6"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c r="W6"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c r="X6" s="27" t="inlineStr">
        <is>
          <t>Govindji, R., &amp; Linley, P. A. (2007). Strengths use, self-concordance and well-being: Implications for strengths coaching and coaching psychologists. International Coaching Psychology Review, 2(2), 143-153.</t>
        </is>
      </c>
      <c r="Y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c r="Z6" s="27" t="inlineStr">
        <is>
          <t>https://www.frontiersin.org/journals/psychology/articles/10.3389/fpsyg.2023.1086510/full</t>
        </is>
      </c>
    </row>
    <row r="7" ht="169.5" customHeight="1" s="17">
      <c r="A7" s="26" t="inlineStr">
        <is>
          <t>SSES</t>
        </is>
      </c>
      <c r="B7" s="27" t="inlineStr">
        <is>
          <t>Strengths Self-Efficacy Scale</t>
        </is>
      </c>
      <c r="C7" s="27" t="inlineStr">
        <is>
          <t>2. Strengths knowledge, use and support at work</t>
        </is>
      </c>
      <c r="D7" s="27" t="inlineStr">
        <is>
          <t>Free / open access</t>
        </is>
      </c>
      <c r="E7" s="28" t="n">
        <v>11</v>
      </c>
      <c r="F7" s="28">
        <f>COUNTIF('Master Item List'!$A:$A,$A7)</f>
        <v/>
      </c>
      <c r="G7" s="27" t="inlineStr">
        <is>
          <t>Perceived self-efficacy (confidence) in one's ability to identify, apply and use one's personal strengths across everyday situations, at work or study, and in pursuit of goals.</t>
        </is>
      </c>
      <c r="H7" s="27" t="inlineStr">
        <is>
          <t>Self-report</t>
        </is>
      </c>
      <c r="I7" s="27" t="inlineStr">
        <is>
          <t>Adults; validated with U.S. college students and working adults, applicable to late-secondary and university-age coaching clients</t>
        </is>
      </c>
      <c r="J7" s="27" t="inlineStr">
        <is>
          <t>3-5 minutes</t>
        </is>
      </c>
      <c r="K7"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c r="L7"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c r="M7"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c r="N7" s="27" t="inlineStr">
        <is>
          <t>First, please list your 5 signature strengths below: [space for 5 strengths]. How confident are you in your ability to ....</t>
        </is>
      </c>
      <c r="O7" s="27" t="inlineStr">
        <is>
          <t>Not confident at all = 1 | 2 = 2 | 3 = 3 | 4 = 4 | Moderately confident = 5 | 6 = 6 | 7 = 7 | 8 = 8 | 9 = 9 | Extremely confident = 10</t>
        </is>
      </c>
      <c r="P7" s="27" t="inlineStr">
        <is>
          <t>None</t>
        </is>
      </c>
      <c r="Q7" s="27" t="inlineStr">
        <is>
          <t>None</t>
        </is>
      </c>
      <c r="R7" s="27" t="inlineStr">
        <is>
          <t>Strengths Self-Efficacy (total scale) (items 1-11; n=11; range 11-110)</t>
        </is>
      </c>
      <c r="S7" s="27" t="inlineStr">
        <is>
          <t>Sum the 11 item scores for a total (range 11-110); a weighted/mean score can also be calculated by dividing the total by 11. Higher scores indicate greater confidence in using one's strengths. No items are reverse-scored.</t>
        </is>
      </c>
      <c r="T7" s="27" t="inlineStr">
        <is>
          <t>Not stated on source</t>
        </is>
      </c>
      <c r="U7" s="27" t="inlineStr">
        <is>
          <t>No clinical or normative cut-off scores have been published for the SSES. It is intended as a continuous measure for research and for tracking an individual's own change over time, not for categorical classification.</t>
        </is>
      </c>
      <c r="V7" s="27" t="inlineStr">
        <is>
          <t>No published normative tables were located. The original validation samples were U.S. adults: 275 in the exploratory factor analysis phase, 302 in the confirmatory phase, and 36 in a 3-week test-retest reliability subsample.</t>
        </is>
      </c>
      <c r="W7"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c r="X7" s="27" t="inlineStr">
        <is>
          <t>Tsai, C.-L., Chaichanasakul, A., Zhao, R., Flores, L. Y., &amp; Lopez, S. J. (2014). Development and validation of the Strengths Self-Efficacy Scale (SSES). Journal of Career Assessment, 22(2), 221-232. https://doi.org/10.1177/1069072713493761</t>
        </is>
      </c>
      <c r="Y7"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c r="Z7" s="27" t="inlineStr">
        <is>
          <t>https://positivepsychology.com/wp-content/uploads/The-Strengths-Self-efficacy-Scale.pdf</t>
        </is>
      </c>
    </row>
    <row r="8" ht="169.5" customHeight="1" s="17">
      <c r="A8" s="26" t="inlineStr">
        <is>
          <t>CSES</t>
        </is>
      </c>
      <c r="B8" s="27" t="inlineStr">
        <is>
          <t>Core Self-Evaluations Scale</t>
        </is>
      </c>
      <c r="C8" s="27" t="inlineStr">
        <is>
          <t>3. Adjacent occupational and wellbeing</t>
        </is>
      </c>
      <c r="D8" s="27" t="inlineStr">
        <is>
          <t>Free / open access</t>
        </is>
      </c>
      <c r="E8" s="28" t="n">
        <v>12</v>
      </c>
      <c r="F8" s="28">
        <f>COUNTIF('Master Item List'!$A:$A,$A8)</f>
        <v/>
      </c>
      <c r="G8" s="27" t="inlineStr">
        <is>
          <t>Core self-evaluations: a broad, fundamental positive self-appraisal trait combining self-esteem, generalised self-efficacy, internal locus of control and low neuroticism (emotional stability).</t>
        </is>
      </c>
      <c r="H8" s="27" t="inlineStr">
        <is>
          <t>Self-report</t>
        </is>
      </c>
      <c r="I8" s="27" t="inlineStr">
        <is>
          <t>Working adults (Samples 1-2 of the original validation); also validated with university undergraduates (Samples 3-4). Suitable for university-age and early-career coaching clients.</t>
        </is>
      </c>
      <c r="J8" s="27" t="inlineStr">
        <is>
          <t>2-3 minutes</t>
        </is>
      </c>
      <c r="K8" s="27" t="inlineStr">
        <is>
          <t>The scale is explicitly stated by the developers to be non-proprietary and free to use without permission. The full 12-item scale, with response format and scoring key, is reproduced in an open PDF of the original SIOP conference/journal materials.</t>
        </is>
      </c>
      <c r="L8"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c r="M8"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c r="N8" s="27" t="inlineStr">
        <is>
          <t>Not retrieved verbatim from a fetched source; the CSES PDF reproduces the item table and response scale but the source fetched did not include a printed respondent-facing preamble/instruction sentence.</t>
        </is>
      </c>
      <c r="O8" s="27" t="inlineStr">
        <is>
          <t>Strongly Disagree = 1 | Disagree = 2 | Neutral = 3 | Agree = 4 | Strongly Agree = 5</t>
        </is>
      </c>
      <c r="P8" s="27" t="inlineStr">
        <is>
          <t>2, 4, 6, 8, 10, 12</t>
        </is>
      </c>
      <c r="Q8" s="27" t="inlineStr">
        <is>
          <t>None</t>
        </is>
      </c>
      <c r="R8" s="27" t="inlineStr">
        <is>
          <t>Core Self-Evaluations (total scale, unidimensional) (items 1-12; n=12; range 12-60)</t>
        </is>
      </c>
      <c r="S8" s="27" t="inlineStr">
        <is>
          <t>Reverse-score items 2, 4, 6, 8, 10 and 12 (6 minus the raw response on the 1-5 scale), then sum or average all 12 items. Higher scores indicate more positive core self-evaluations.</t>
        </is>
      </c>
      <c r="T8" s="27" t="inlineStr">
        <is>
          <t>Not stated on source</t>
        </is>
      </c>
      <c r="U8" s="27" t="inlineStr">
        <is>
          <t>No published clinical or normative cut-off scores; intended as a continuous individual-differences measure for research and comparison, not categorical classification.</t>
        </is>
      </c>
      <c r="V8"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c r="W8"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c r="X8" s="27" t="inlineStr">
        <is>
          <t>Judge, T. A., Erez, A., Bono, J. E., &amp; Thoresen, C. J. (2003). The Core Self-Evaluations Scale: Development of a measure. Personnel Psychology, 56(2), 303-331. https://doi.org/10.1111/j.1744-6570.2003.tb00152.x</t>
        </is>
      </c>
      <c r="Y8" s="27" t="inlineStr">
        <is>
          <t>"This measure is non-proprietary (free) and may be used without permission," as stated in the source fetched.</t>
        </is>
      </c>
      <c r="Z8" s="27" t="inlineStr">
        <is>
          <t>http://ionilies.com/SIOP03/Files/CSES.pdf</t>
        </is>
      </c>
    </row>
    <row r="9" ht="169.5" customHeight="1" s="17">
      <c r="A9" s="26" t="inlineStr">
        <is>
          <t>PES</t>
        </is>
      </c>
      <c r="B9" s="27" t="inlineStr">
        <is>
          <t>Psychological Empowerment Scale</t>
        </is>
      </c>
      <c r="C9" s="27" t="inlineStr">
        <is>
          <t>3. Adjacent occupational and wellbeing</t>
        </is>
      </c>
      <c r="D9" s="27" t="inlineStr">
        <is>
          <t>Free / open access</t>
        </is>
      </c>
      <c r="E9" s="28" t="n">
        <v>12</v>
      </c>
      <c r="F9" s="28">
        <f>COUNTIF('Master Item List'!$A:$A,$A9)</f>
        <v/>
      </c>
      <c r="G9" s="27" t="inlineStr">
        <is>
          <t>Psychological empowerment at work, a motivational construct with four cognitive dimensions: meaning, competence, self-determination and impact.</t>
        </is>
      </c>
      <c r="H9" s="27" t="inlineStr">
        <is>
          <t>Self-report, employed adults</t>
        </is>
      </c>
      <c r="I9" s="27" t="inlineStr">
        <is>
          <t>Working adults; original validation used middle managers and industrial-firm employees. Applicable to early-career and internship-stage clients holding a defined work role.</t>
        </is>
      </c>
      <c r="J9" s="27" t="inlineStr">
        <is>
          <t>3-5 minutes</t>
        </is>
      </c>
      <c r="K9" s="27" t="inlineStr">
        <is>
          <t>The instrument is hosted freely by the developer, Gretchen Spreitzer, on her own university web page for research and practice use, with no stated fee or formal permission process.</t>
        </is>
      </c>
      <c r="L9"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c r="M9" s="27" t="inlineStr">
        <is>
          <t>Spreitzer (1995) developed this scale to operationalise and measure psychological empowerment as a multidimensional motivational construct in the workplace, validating it as an antecedent of managerial effectiveness and innovation.</t>
        </is>
      </c>
      <c r="N9" s="27" t="inlineStr">
        <is>
          <t>Listed below are a number of self-orientations that people may have with regard to their work role. Using the following scale, please indicate the extent to which you agree or disagree that each one describes your self-orientation.</t>
        </is>
      </c>
      <c r="O9" s="27" t="inlineStr">
        <is>
          <t>Very Strongly Disagree = 1 | Strongly Disagree = 2 | Disagree = 3 | Neutral = 4 | Agree = 5 | Strongly Agree = 6 | Very Strongly Agree = 7</t>
        </is>
      </c>
      <c r="P9" s="27" t="inlineStr">
        <is>
          <t>None</t>
        </is>
      </c>
      <c r="Q9" s="27" t="inlineStr">
        <is>
          <t>None</t>
        </is>
      </c>
      <c r="R9" s="27" t="inlineStr">
        <is>
          <t>Meaning (items 1-3; n=3; range 3-21 (mean 1-7))
Competence (items 4-6; n=3; range 3-21 (mean 1-7))
Self-Determination (items 7-9; n=3; range 3-21 (mean 1-7))
Impact (items 10-12; n=3; range 3-21 (mean 1-7))</t>
        </is>
      </c>
      <c r="S9"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c r="T9" s="27" t="inlineStr">
        <is>
          <t>Not stated on source</t>
        </is>
      </c>
      <c r="U9" s="27" t="inlineStr">
        <is>
          <t>No published clinical or normative cut-off scores; intended as a continuous research and diagnostic measure, not categorical classification.</t>
        </is>
      </c>
      <c r="V9"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c r="W9"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c r="X9" s="27" t="inlineStr">
        <is>
          <t>Spreitzer, G. M. (1995). Psychological empowerment in the workplace: Dimensions, measurement, and validation. Academy of Management Journal, 38(5), 1442-1465. https://doi.org/10.2307/256865</t>
        </is>
      </c>
      <c r="Y9" s="27" t="inlineStr">
        <is>
          <t>Hosted freely by the author for research and practice use; no explicit restriction or fee is stated on the page.</t>
        </is>
      </c>
      <c r="Z9" s="27" t="inlineStr">
        <is>
          <t>https://webuser.bus.umich.edu/spreitze/Pdfs/EmpowerInstrument.pdf</t>
        </is>
      </c>
    </row>
    <row r="10" ht="169.5" customHeight="1" s="17">
      <c r="A10" s="26" t="inlineStr">
        <is>
          <t>DASS-21</t>
        </is>
      </c>
      <c r="B10" s="27" t="inlineStr">
        <is>
          <t>Depression Anxiety Stress Scales, 21 item version (DASS-21)</t>
        </is>
      </c>
      <c r="C10" s="27" t="inlineStr">
        <is>
          <t>4. Clinical and distress screening</t>
        </is>
      </c>
      <c r="D10" s="27" t="inlineStr">
        <is>
          <t>Free / open access</t>
        </is>
      </c>
      <c r="E10" s="28" t="n">
        <v>21</v>
      </c>
      <c r="F10" s="28">
        <f>COUNTIF('Master Item List'!$A:$A,$A10)</f>
        <v/>
      </c>
      <c r="G10"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c r="H10" s="27" t="inlineStr">
        <is>
          <t>Self-report</t>
        </is>
      </c>
      <c r="I10" s="27" t="inlineStr">
        <is>
          <t>17+ (NovoPsych); adults and older adolescents</t>
        </is>
      </c>
      <c r="J10" s="27" t="inlineStr">
        <is>
          <t>4 minutes</t>
        </is>
      </c>
      <c r="K10"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c r="L10"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c r="M10"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c r="N10" s="27" t="inlineStr">
        <is>
          <t>Please read each statement and circle a number 0, 1, 2 or 3 which indicates how much the statement applied to you over the past week. There are no right or wrong answers. Do not spend too much time on any statement.</t>
        </is>
      </c>
      <c r="O10" s="27" t="inlineStr">
        <is>
          <t>Did not apply to me at all = 0 | Applied to me to some degree, or some of the time = 1 | Applied to me to a considerable degree, or a good part of time = 2 | Applied to me very much, or most of the time = 3</t>
        </is>
      </c>
      <c r="P10" s="27" t="inlineStr">
        <is>
          <t>None</t>
        </is>
      </c>
      <c r="Q10" s="27" t="inlineStr">
        <is>
          <t>None</t>
        </is>
      </c>
      <c r="R10" s="27" t="inlineStr">
        <is>
          <t>Depression (items 3, 5, 10, 13, 16-17, 21; n=7; range 0-21 raw; 0-42 after doubling)
Anxiety (items 2, 4, 7, 9, 15, 19-20; n=7; range 0-21 raw; 0-42 after doubling)
Stress (items 1, 6, 8, 11-12, 14, 18; n=7; range 0-21 raw; 0-42 after doubling)</t>
        </is>
      </c>
      <c r="S1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c r="T10"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c r="U10"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c r="V10"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c r="W10"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c r="X10" s="27" t="inlineStr">
        <is>
          <t>Lovibond, S. H., &amp; Lovibond, P. F. (1995). Manual for the Depression Anxiety Stress Scales (2nd ed.). Sydney: Psychology Foundation of Australia.</t>
        </is>
      </c>
      <c r="Y10"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c r="Z10" s="27" t="inlineStr">
        <is>
          <t>https://www2.psy.unsw.edu.au/dass/</t>
        </is>
      </c>
    </row>
    <row r="11" ht="169.5" customHeight="1" s="17">
      <c r="A11" s="26" t="inlineStr">
        <is>
          <t>PTQ</t>
        </is>
      </c>
      <c r="B11" s="27" t="inlineStr">
        <is>
          <t>Perseverative Thinking Questionnaire</t>
        </is>
      </c>
      <c r="C11" s="27" t="inlineStr">
        <is>
          <t>5. Self talk, thinking patterns and personality</t>
        </is>
      </c>
      <c r="D11" s="27" t="inlineStr">
        <is>
          <t>Free / open access</t>
        </is>
      </c>
      <c r="E11" s="28" t="n">
        <v>15</v>
      </c>
      <c r="F11" s="28">
        <f>COUNTIF('Master Item List'!$A:$A,$A11)</f>
        <v/>
      </c>
      <c r="G11" s="27" t="inlineStr">
        <is>
          <t>Repetitive negative thinking (RNT), measured as a content-independent process (applies equally to worry, rumination, or any other form of repetitive negative thought about problems), rather than a specific symptom or diagnostic construct.</t>
        </is>
      </c>
      <c r="H11" s="27" t="inlineStr">
        <is>
          <t>Adult self-report</t>
        </is>
      </c>
      <c r="I11" s="27" t="inlineStr">
        <is>
          <t>Not stated in the source article. Validation samples were adult (internet, non-clinical, clinical, and English-language) populations; no minimum/maximum age is specified in the text retrieved.</t>
        </is>
      </c>
      <c r="J11" s="27" t="inlineStr">
        <is>
          <t>Not stated in the source. A brief 15-item self-report measure, typically completed in a few minutes.</t>
        </is>
      </c>
      <c r="K11"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c r="L11"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c r="M11"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c r="N11" s="27" t="inlineStr">
        <is>
          <t>In this questionnaire, you will be asked to describe how you typically think about negative experiences or problems. Please read the following statements and rate the extent to which they apply to you when you think about negative experiences or problems.</t>
        </is>
      </c>
      <c r="O11" s="27" t="inlineStr">
        <is>
          <t>never = 0 | rarely = 1 | sometimes = 2 | often = 3 | almost always = 4</t>
        </is>
      </c>
      <c r="P11" s="27" t="inlineStr">
        <is>
          <t>None</t>
        </is>
      </c>
      <c r="Q11" s="27" t="inlineStr">
        <is>
          <t>None</t>
        </is>
      </c>
      <c r="R11" s="27" t="inlineStr">
        <is>
          <t>Core Characteristics of Repetitive Negative Thinking (items 1-3, 6-8, 11-13; n=9; range 0-36)
Unproductiveness (items 4, 9, 14; n=3; range 0-12)
Capturing Mental Capacity (items 5, 10, 15; n=3; range 0-12)</t>
        </is>
      </c>
      <c r="S11" s="27" t="inlineStr">
        <is>
          <t>Total PTQ score is the sum of all 15 items (range 0-60), computed as recommended in the source article. Each of the three subscale scores is the sum of its own items (each subscale range 0-36 for Core Characteristics, 0-12 for the other two).</t>
        </is>
      </c>
      <c r="T11" s="27" t="inlineStr">
        <is>
          <t>Not stated on source</t>
        </is>
      </c>
      <c r="U11" s="27" t="inlineStr">
        <is>
          <t>No clinical cutoff scores or interpretive bands were reported in the source article that was fetched.</t>
        </is>
      </c>
      <c r="V11"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c r="W11" s="27" t="inlineStr">
        <is>
          <t>Internal consistency: Cronbach's alpha = .95 (Study 1, internet sample), .94 (Study 1, non-clinical sample), .95 (Study 1, clinical sample), .95 (Study 2, English-language sample). Test-retest reliability over a 4-week interval: r = .69, p &lt; .001 (n = 186). (Ehring et al., 2011.)</t>
        </is>
      </c>
      <c r="X11"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c r="Y11" s="27" t="inlineStr">
        <is>
          <t>© 2010 Elsevier Ltd. All rights reserved. (Copyright notice appears on the hosted article/PDF; no separate explicit permission statement for reproduction, non-commercial use, or commercial/coaching administration was found in the fetched source.)</t>
        </is>
      </c>
      <c r="Z11" s="27" t="inlineStr">
        <is>
          <t>https://oxcadatresources.com/wp-content/uploads/2020/09/EhringetalRuminationQuestionnaire.2011.pdf</t>
        </is>
      </c>
    </row>
    <row r="12" ht="169.5" customHeight="1" s="17">
      <c r="A12" s="26" t="inlineStr">
        <is>
          <t>RRS</t>
        </is>
      </c>
      <c r="B12" s="27" t="inlineStr">
        <is>
          <t>Ruminative Responses Scale</t>
        </is>
      </c>
      <c r="C12" s="27" t="inlineStr">
        <is>
          <t>5. Self talk, thinking patterns and personality</t>
        </is>
      </c>
      <c r="D12" s="27" t="inlineStr">
        <is>
          <t>Free / open access</t>
        </is>
      </c>
      <c r="E12" s="28" t="n">
        <v>22</v>
      </c>
      <c r="F12" s="28">
        <f>COUNTIF('Master Item List'!$A:$A,$A12)</f>
        <v/>
      </c>
      <c r="G12"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c r="H12" s="27" t="inlineStr">
        <is>
          <t>Adult self-report</t>
        </is>
      </c>
      <c r="I12" s="27" t="inlineStr">
        <is>
          <t>NovoPsych lists 18 years and older. The original Nolen-Hoeksema &amp; Morrow (1991) and Treynor et al. (2003) sources do not themselves state an age range in the text retrieved.</t>
        </is>
      </c>
      <c r="J12" s="27" t="inlineStr">
        <is>
          <t>Approximately 2 minutes (per NovoPsych).</t>
        </is>
      </c>
      <c r="K12"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c r="L12"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c r="M12"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c r="N12" s="27" t="inlineStr">
        <is>
          <t>Please read each of the items below and indicate whether you almost never, sometimes, often, or almost always think or do each one when you feel down, sad, or depressed. Please indicate what you generally do, not what you think you should do.</t>
        </is>
      </c>
      <c r="O12" s="27" t="inlineStr">
        <is>
          <t>almost never = 1 | sometimes = 2 | often = 3 | almost always = 4</t>
        </is>
      </c>
      <c r="P12" s="27" t="inlineStr">
        <is>
          <t>None</t>
        </is>
      </c>
      <c r="Q12" s="27" t="inlineStr">
        <is>
          <t>None</t>
        </is>
      </c>
      <c r="R12" s="27" t="inlineStr">
        <is>
          <t>Brooding (items 5, 10, 13, 15-16; n=5; range 5-20)
Reflection (items 7, 11-12, 20-21; n=5; range 5-20)
Depression-related items (not scored as a subscale) (items 1-4, 6, 8-9, 14, 17-19, 22; n=12; range 12-48)</t>
        </is>
      </c>
      <c r="S12" s="27" t="inlineStr">
        <is>
          <t>Full-scale total: sum of all 22 items (range 22-88), per Nolen-Hoeksema's own scoring note ("simply sum the scores on the 22 items"). Brooding and Reflection subscale scores are each the sum of their 5 items (range 5-20 each), per Treynor et al. (2003).</t>
        </is>
      </c>
      <c r="T12" s="27" t="inlineStr">
        <is>
          <t>Not stated on source</t>
        </is>
      </c>
      <c r="U1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c r="V12"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c r="W12"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c r="X12" s="27" t="inlineStr">
        <is>
          <t>Nolen-Hoeksema, S., &amp; Morrow, J. (1991). A prospective study of depression and posttraumatic stress symptoms after a natural disaster: The 1989 Loma Prieta earthquake. Journal of Personality and Social Psychology, 61(1), 115–121. https://doi.org/10.1037/0022-3514.61.1.115</t>
        </is>
      </c>
      <c r="Y12"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c r="Z12" s="27" t="inlineStr">
        <is>
          <t>https://novopsych.com/assessments/formulation/ruminative-responses-scale-rrs/</t>
        </is>
      </c>
    </row>
    <row r="13" ht="169.5" customHeight="1" s="17">
      <c r="A13" s="26" t="inlineStr">
        <is>
          <t>FSCRS</t>
        </is>
      </c>
      <c r="B13" s="27" t="inlineStr">
        <is>
          <t>Forms of Self-Criticising/Attacking and Self-Reassuring Scale</t>
        </is>
      </c>
      <c r="C13" s="27" t="inlineStr">
        <is>
          <t>5. Self talk, thinking patterns and personality</t>
        </is>
      </c>
      <c r="D13" s="27" t="inlineStr">
        <is>
          <t>Free / open access</t>
        </is>
      </c>
      <c r="E13" s="28" t="n">
        <v>22</v>
      </c>
      <c r="F13" s="28">
        <f>COUNTIF('Master Item List'!$A:$A,$A13)</f>
        <v/>
      </c>
      <c r="G13"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c r="H13" s="27" t="inlineStr">
        <is>
          <t>Adult self-report</t>
        </is>
      </c>
      <c r="I13" s="27" t="inlineStr">
        <is>
          <t>Not stated on the source document. The original 2004 development sample was female university students; the scale has since been used across adult clinical and non-clinical populations, but no formal age range is specified in the fetched source.</t>
        </is>
      </c>
      <c r="J13" s="27" t="inlineStr">
        <is>
          <t>Not stated in the source. A brief 22-item self-report measure, typically completed in a few minutes.</t>
        </is>
      </c>
      <c r="K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c r="L13"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c r="M13"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c r="N13"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c r="O13" s="27" t="inlineStr">
        <is>
          <t>Not at all like me = 0 | A little bit like me = 1 | Moderately like me = 2 | Quite a bit like me = 3 | Extremely like me = 4</t>
        </is>
      </c>
      <c r="P13" s="27" t="inlineStr">
        <is>
          <t>None</t>
        </is>
      </c>
      <c r="Q13" s="27" t="inlineStr">
        <is>
          <t>None</t>
        </is>
      </c>
      <c r="R13" s="27" t="inlineStr">
        <is>
          <t>Inadequate Self (items 1-2, 4, 6-7, 14, 17-18, 20; n=9; range 0-36)
Hated Self (items 9-10, 12, 15, 22; n=5; range 0-20)
Reassured Self (items 3, 5, 8, 11, 13, 16, 19, 21; n=8; range 0-32)</t>
        </is>
      </c>
      <c r="S13" s="27" t="inlineStr">
        <is>
          <t>Each subscale is scored as the sum of its own items: Inadequate Self (9 items, range 0-36), Hated Self (5 items, range 0-20), Reassured Self (8 items, range 0-32). There is no single overall FSCRS total; the three subscales are interpreted separately (Gilbert et al., 2004).</t>
        </is>
      </c>
      <c r="T13" s="27" t="inlineStr">
        <is>
          <t>Not stated on source</t>
        </is>
      </c>
      <c r="U13" s="27" t="inlineStr">
        <is>
          <t>No clinical cutoff scores were reported in the fetched source.</t>
        </is>
      </c>
      <c r="V1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c r="W13" s="27" t="inlineStr">
        <is>
          <t>Cronbach's alpha = .90 (Inadequate Self), .86 (Hated Self), .86 (Reassured Self), as reported in the fetched source document (Gilbert et al., 2004).</t>
        </is>
      </c>
      <c r="X13" s="27" t="inlineStr">
        <is>
          <t>Gilbert, P., Clarke, M., Hempel, S., Miles, J. N. V., &amp; Irons, C. (2004). Criticizing and reassuring oneself: An exploration of forms, styles and reasons in female students. British Journal of Clinical Psychology, 43(1), 31–50. https://doi.org/10.1348/014466504772812959</t>
        </is>
      </c>
      <c r="Y13" s="27" t="inlineStr">
        <is>
          <t>© Gilbert et al., 2004 (notice appears on the source document). No explicit commercial-use grant or restriction was found beyond this author copyright notice.</t>
        </is>
      </c>
      <c r="Z13" s="27" t="inlineStr">
        <is>
          <t>https://d3n8a8pro7vhmx.cloudfront.net/portlandpsychotherapy/pages/21/attachments/original/1438799410/Forms_of_self-criticising_and_self_reassuring_scale.pdf</t>
        </is>
      </c>
    </row>
    <row r="14" ht="169.5" customHeight="1" s="17">
      <c r="A14" s="26" t="inlineStr">
        <is>
          <t>PCI</t>
        </is>
      </c>
      <c r="B14" s="27" t="inlineStr">
        <is>
          <t>Perfectionism Cognitions Inventory</t>
        </is>
      </c>
      <c r="C14" s="27" t="inlineStr">
        <is>
          <t>5. Self talk, thinking patterns and personality</t>
        </is>
      </c>
      <c r="D14" s="27" t="inlineStr">
        <is>
          <t>Free / open access</t>
        </is>
      </c>
      <c r="E14" s="28" t="n">
        <v>25</v>
      </c>
      <c r="F14" s="28">
        <f>COUNTIF('Master Item List'!$A:$A,$A14)</f>
        <v/>
      </c>
      <c r="G14" s="27" t="inlineStr">
        <is>
          <t>Frequency of perfectionism-related automatic thoughts (perfectionistic cognitions) over the preceding week, e.g. thoughts such as "Why can't I be perfect" or "My work should be flawless", as distinct from trait perfectionism itself.</t>
        </is>
      </c>
      <c r="H14" s="27" t="inlineStr">
        <is>
          <t>Self-report</t>
        </is>
      </c>
      <c r="I14" s="27" t="inlineStr">
        <is>
          <t>NovoPsych lists the PCI as suitable from age 15 and up. The original Flett, Hewitt, Blankstein &amp; Gray (1998) development/validation samples were adult (psychiatric patients, adults recovering from alcoholism, and university students).</t>
        </is>
      </c>
      <c r="J14" s="27" t="inlineStr">
        <is>
          <t>Approximately 4 minutes (per NovoPsych).</t>
        </is>
      </c>
      <c r="K14"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c r="L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c r="M14"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c r="N14" s="27" t="inlineStr">
        <is>
          <t>Listed below are a variety of thoughts about perfectionism that sometimes pop into people's heads. Please read each thought and indicate how frequently, if at all, the thoughts occurred to you over the last week.</t>
        </is>
      </c>
      <c r="O14" s="27" t="inlineStr">
        <is>
          <t>Not At All = 0 | Sometimes = 1 | Moderately Often = 2 | Often = 3 | All of the time = 4</t>
        </is>
      </c>
      <c r="P14" s="27" t="inlineStr">
        <is>
          <t>None</t>
        </is>
      </c>
      <c r="Q14" s="27" t="inlineStr">
        <is>
          <t>None</t>
        </is>
      </c>
      <c r="R14" s="27" t="inlineStr">
        <is>
          <t>Not stated on source</t>
        </is>
      </c>
      <c r="S14" s="27" t="inlineStr">
        <is>
          <t>Total score is the sum of all 25 items, converted/reported on a 0-100 scale, with higher scores indicating a greater frequency of perfectionistic cognitions (per NovoPsych's automatic scoring report). The instrument is unidimensional; no subscales are used.</t>
        </is>
      </c>
      <c r="T14"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c r="U14"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c r="V14"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c r="W1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c r="X14" s="27" t="inlineStr">
        <is>
          <t>Flett, G. L., Hewitt, P. L., Blankstein, K. R., &amp; Gray, L. (1998). Psychological distress and the frequency of perfectionistic thinking. Journal of Personality and Social Psychology, 75(5), 1363–1381. https://doi.org/10.1037/0022-3514.75.5.1363</t>
        </is>
      </c>
      <c r="Y14" s="27" t="inlineStr">
        <is>
          <t>No explicit copyright or commercial-use restriction was found on the fetched sources (Hewitt Lab-hosted document, db.arabpsychology.com scale database, or the NovoPsych sample scoring report).</t>
        </is>
      </c>
      <c r="Z14" s="27" t="inlineStr">
        <is>
          <t>https://novopsych.com/assessments/formulation/perfectionistic-cognitions-inventory-pci/</t>
        </is>
      </c>
    </row>
    <row r="15" ht="169.5" customHeight="1" s="17">
      <c r="A15" s="26" t="inlineStr">
        <is>
          <t>SCS-SF</t>
        </is>
      </c>
      <c r="B15" s="27" t="inlineStr">
        <is>
          <t>Self-Compassion Scale – Short Form</t>
        </is>
      </c>
      <c r="C15" s="27" t="inlineStr">
        <is>
          <t>5. Self talk, thinking patterns and personality</t>
        </is>
      </c>
      <c r="D15" s="27" t="inlineStr">
        <is>
          <t>Free / open access</t>
        </is>
      </c>
      <c r="E15" s="28" t="n">
        <v>12</v>
      </c>
      <c r="F15" s="28">
        <f>COUNTIF('Master Item List'!$A:$A,$A15)</f>
        <v/>
      </c>
      <c r="G15"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c r="H15" s="27" t="inlineStr">
        <is>
          <t>Self-report</t>
        </is>
      </c>
      <c r="I15" s="27" t="inlineStr">
        <is>
          <t>NovoPsych lists 18 years and over. The English validation sample was University of Texas at Austin students; construction samples were Dutch/Belgian adults.</t>
        </is>
      </c>
      <c r="J15" s="27" t="inlineStr">
        <is>
          <t>Approximately 2 minutes (per NovoPsych).</t>
        </is>
      </c>
      <c r="K15"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c r="L15"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c r="M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c r="N15" s="27" t="inlineStr">
        <is>
          <t>Please read each statement carefully before answering. Indicate how often you behave in the stated manner.</t>
        </is>
      </c>
      <c r="O15" s="27" t="inlineStr">
        <is>
          <t>Almost never = 1 | 2 = 2 | 3 = 3 | 4 = 4 | Almost always = 5</t>
        </is>
      </c>
      <c r="P15" s="27" t="inlineStr">
        <is>
          <t>1, 4, 8-9, 11-12</t>
        </is>
      </c>
      <c r="Q15" s="27" t="inlineStr">
        <is>
          <t>None</t>
        </is>
      </c>
      <c r="R15" s="27" t="inlineStr">
        <is>
          <t>Self-Kindness (items 2, 6; n=2; range 1-5 (mean of 2 items))
Self-Judgment (items 11-12; n=2; range 1-5 (mean of 2 items, reverse scored))
Common Humanity (items 5, 10; n=2; range 1-5 (mean of 2 items))
Isolation (items 4, 8; n=2; range 1-5 (mean of 2 items, reverse scored))
Mindfulness (items 3, 7; n=2; range 1-5 (mean of 2 items))
Over-Identification (items 1, 9; n=2; range 1-5 (mean of 2 items, reverse scored))</t>
        </is>
      </c>
      <c r="S15"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c r="T15" s="27" t="inlineStr">
        <is>
          <t>Average: around the 50th percentile - Level of self-compassion broadly typical of NovoPsych's comparison group (per NovoPsych's sample scoring report, which compares individual scores to a clinical/psychotherapy-client reference group).</t>
        </is>
      </c>
      <c r="U15"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c r="V15"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c r="W15"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c r="X15" s="27" t="inlineStr">
        <is>
          <t>Raes, F., Pommier, E., Neff, K. D., &amp; Van Gucht, D. (2011). Construction and factorial validation of a short form of the Self-Compassion Scale. Clinical Psychology &amp; Psychotherapy, 18(3), 250–255. https://doi.org/10.1002/cpp.702</t>
        </is>
      </c>
      <c r="Y15"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c r="Z15" s="27" t="inlineStr">
        <is>
          <t>https://self-compassion.org/wp-content/uploads/2015/02/ShortSCS.pdf</t>
        </is>
      </c>
    </row>
    <row r="16" ht="169.5" customHeight="1" s="17">
      <c r="A16" s="26" t="inlineStr">
        <is>
          <t>BPNSFS</t>
        </is>
      </c>
      <c r="B16" s="27" t="inlineStr">
        <is>
          <t>Basic Psychological Need Satisfaction and Frustration Scale (BPNSFS)</t>
        </is>
      </c>
      <c r="C16" s="27" t="inlineStr">
        <is>
          <t>6. Motivation, self determination and goal pursuit</t>
        </is>
      </c>
      <c r="D16" s="33" t="inlineStr">
        <is>
          <t>Free for research; permission needed for commercial use</t>
        </is>
      </c>
      <c r="E16" s="28" t="n">
        <v>24</v>
      </c>
      <c r="F16" s="28">
        <f>COUNTIF('Master Item List'!$A:$A,$A16)</f>
        <v/>
      </c>
      <c r="G16"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c r="H16"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c r="I16" s="27" t="inlineStr">
        <is>
          <t>Not stated precisely in the source; the general version is written for adults. Separate child and intellectual-disability versions exist but were not transcribed here.</t>
        </is>
      </c>
      <c r="J16" s="27" t="inlineStr">
        <is>
          <t>Not stated on source</t>
        </is>
      </c>
      <c r="K16"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c r="L16"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c r="M16"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c r="N16" s="27" t="inlineStr">
        <is>
          <t>Below, we ask you about the kind of experiences you actually have in your life. Please read each of the following items carefully. You can choose from 1 to 5 to indicate the degree to which the statement is true for you at this point in your life.</t>
        </is>
      </c>
      <c r="O16" s="27" t="inlineStr">
        <is>
          <t>Not true at all = 1 | 2 = 2 | 3 = 3 | 4 = 4 | Completely true = 5</t>
        </is>
      </c>
      <c r="P16" s="27" t="inlineStr">
        <is>
          <t>None</t>
        </is>
      </c>
      <c r="Q16" s="27" t="inlineStr">
        <is>
          <t>None</t>
        </is>
      </c>
      <c r="R16" s="27" t="inlineStr">
        <is>
          <t>Autonomy satisfaction (items 1, 7, 13, 19; n=4; range 4-20)
Autonomy frustration (items 2, 8, 14, 20; n=4; range 4-20)
Relatedness satisfaction (items 3, 9, 15, 21; n=4; range 4-20)
Relatedness frustration (items 4, 10, 16, 22; n=4; range 4-20)
Competence satisfaction (items 5, 11, 17, 23; n=4; range 4-20)
Competence frustration (items 6, 12, 18, 24; n=4; range 4-20)</t>
        </is>
      </c>
      <c r="S16"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c r="T16" s="27" t="inlineStr">
        <is>
          <t>Not stated on source</t>
        </is>
      </c>
      <c r="U16" s="27" t="inlineStr">
        <is>
          <t>Not stated on source</t>
        </is>
      </c>
      <c r="V16" s="27" t="inlineStr">
        <is>
          <t>Not stated on source</t>
        </is>
      </c>
      <c r="W16"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c r="X16"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c r="Y16" s="27" t="inlineStr">
        <is>
          <t>All questionnaires on selfdeterminationtheory.org, including the BPNSFS, are stated to be copyrighted. Free for academic, non-commercial research use. Written permission from the Center for Self-Determination Theory is required for any commercial use.</t>
        </is>
      </c>
      <c r="Z16" s="27" t="inlineStr">
        <is>
          <t>https://selfdeterminationtheory.org/basic-psychological-need-satisfaction-and-frustration-scale/</t>
        </is>
      </c>
    </row>
    <row r="17" ht="169.5" customHeight="1" s="17">
      <c r="A17" s="26" t="inlineStr">
        <is>
          <t>PPS</t>
        </is>
      </c>
      <c r="B17" s="27" t="inlineStr">
        <is>
          <t>Pure Procrastination Scale</t>
        </is>
      </c>
      <c r="C17" s="27" t="inlineStr">
        <is>
          <t>6. Motivation, self determination and goal pursuit</t>
        </is>
      </c>
      <c r="D17" s="27" t="inlineStr">
        <is>
          <t>Free / open access</t>
        </is>
      </c>
      <c r="E17" s="28" t="n">
        <v>12</v>
      </c>
      <c r="F17" s="28">
        <f>COUNTIF('Master Item List'!$A:$A,$A17)</f>
        <v/>
      </c>
      <c r="G1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c r="H17" s="27" t="inlineStr">
        <is>
          <t>Self-report</t>
        </is>
      </c>
      <c r="I17" s="27" t="inlineStr">
        <is>
          <t>Adults; validated in a global cross-national adult sample (used with university students and working adults)</t>
        </is>
      </c>
      <c r="J17" s="27" t="inlineStr">
        <is>
          <t>2-3 minutes</t>
        </is>
      </c>
      <c r="K17"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7"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c r="M17"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c r="N17" s="27" t="inlineStr">
        <is>
          <t>Not stated on source</t>
        </is>
      </c>
      <c r="O17" s="27" t="inlineStr">
        <is>
          <t>Very seldom or not true of me = 1 | 2 = 2 | 3 = 3 | 4 = 4 | Very often true, or true of me = 5</t>
        </is>
      </c>
      <c r="P17" s="27" t="inlineStr">
        <is>
          <t>None</t>
        </is>
      </c>
      <c r="Q17" s="27" t="inlineStr">
        <is>
          <t>None</t>
        </is>
      </c>
      <c r="R17" s="27" t="inlineStr">
        <is>
          <t>Pure Procrastination (total scale) (items 1-12; n=12; range 12-60)</t>
        </is>
      </c>
      <c r="S17" s="27" t="inlineStr">
        <is>
          <t>Sum (or mean) of the 12 item ratings. Higher total scores indicate greater trait procrastination. No reverse-scored items are indicated for the PPS in the source table (unlike the companion IPS, which has three reverse-scored items).</t>
        </is>
      </c>
      <c r="T17" s="27" t="inlineStr">
        <is>
          <t>Not stated on source</t>
        </is>
      </c>
      <c r="U17" s="27" t="inlineStr">
        <is>
          <t>No clinical or normative cut-off scores were given in the fetched source. It is used as a continuous research/coaching variable.</t>
        </is>
      </c>
      <c r="V17" s="27" t="inlineStr">
        <is>
          <t>No normative table was printed in the fetched excerpt of the source article. Piers Steel's own measure page invites direct contact for norms and scoring materials.</t>
        </is>
      </c>
      <c r="W17"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c r="X17" s="27" t="inlineStr">
        <is>
          <t>Svartdal, F., &amp; Steel, P. (2017). Irrational delay revisited: Examining five procrastination scales in a global sample. Frontiers in Psychology, 8, 1927. https://doi.org/10.3389/fpsyg.2017.01927</t>
        </is>
      </c>
      <c r="Y17"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7" s="27" t="inlineStr">
        <is>
          <t>https://www.frontiersin.org/articles/10.3389/fpsyg.2017.01927/full</t>
        </is>
      </c>
    </row>
    <row r="18" ht="169.5" customHeight="1" s="17">
      <c r="A18" s="26" t="inlineStr">
        <is>
          <t>IPS</t>
        </is>
      </c>
      <c r="B18" s="27" t="inlineStr">
        <is>
          <t>Irrational Procrastination Scale</t>
        </is>
      </c>
      <c r="C18" s="27" t="inlineStr">
        <is>
          <t>6. Motivation, self determination and goal pursuit</t>
        </is>
      </c>
      <c r="D18" s="27" t="inlineStr">
        <is>
          <t>Free / open access</t>
        </is>
      </c>
      <c r="E18" s="28" t="n">
        <v>9</v>
      </c>
      <c r="F18" s="28">
        <f>COUNTIF('Master Item List'!$A:$A,$A18)</f>
        <v/>
      </c>
      <c r="G18" s="27" t="inlineStr">
        <is>
          <t>Irrational procrastination, i.e. the tendency to delay in a way that is knowingly counterproductive to one's own well-being or efficiency, distinguishing procrastination proper from merely intentional or strategic delay.</t>
        </is>
      </c>
      <c r="H18" s="27" t="inlineStr">
        <is>
          <t>Self-report</t>
        </is>
      </c>
      <c r="I18" s="27" t="inlineStr">
        <is>
          <t>Adults; validated in a global cross-national adult sample (16,413 adults across multiple languages per Steel's own measure page)</t>
        </is>
      </c>
      <c r="J18" s="27" t="inlineStr">
        <is>
          <t>1-2 minutes</t>
        </is>
      </c>
      <c r="K18"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c r="L18"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c r="M18"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c r="N18" s="27" t="inlineStr">
        <is>
          <t>Not stated on source</t>
        </is>
      </c>
      <c r="O18" s="27" t="inlineStr">
        <is>
          <t>Very seldom or not true of me = 1 | 2 = 2 | 3 = 3 | 4 = 4 | Very often true, or true of me = 5</t>
        </is>
      </c>
      <c r="P18" s="27" t="inlineStr">
        <is>
          <t>2, 6, 9</t>
        </is>
      </c>
      <c r="Q18" s="27" t="inlineStr">
        <is>
          <t>None</t>
        </is>
      </c>
      <c r="R18" s="27" t="inlineStr">
        <is>
          <t>Irrational Procrastination (total scale) (items 1-9; n=9; range 9-45)</t>
        </is>
      </c>
      <c r="S18" s="27" t="inlineStr">
        <is>
          <t>Reverse-code items 2, 6 and 9, then sum (or mean) all 9 item ratings. Higher total scores indicate greater irrational procrastination.</t>
        </is>
      </c>
      <c r="T18" s="27" t="inlineStr">
        <is>
          <t>Not stated on source</t>
        </is>
      </c>
      <c r="U18" s="27" t="inlineStr">
        <is>
          <t>No clinical or normative cut-off scores were given in the fetched source. It is used as a continuous research/coaching variable.</t>
        </is>
      </c>
      <c r="V18" s="27" t="inlineStr">
        <is>
          <t>No normative table was printed in the fetched excerpt of the source article. Piers Steel's own measure page states the IPS has been validated across international samples totalling 16,413 adults and invites direct contact for norms and scoring materials.</t>
        </is>
      </c>
      <c r="W18" s="27" t="inlineStr">
        <is>
          <t>Svartdal and Steel (2017) report Cronbach's alpha = .91 for the 9-item IPS in their multi-country sample. The article states psychometric adequacy for the scale across the six European countries sampled, in a comparison of five procrastination scales.</t>
        </is>
      </c>
      <c r="X18" s="27" t="inlineStr">
        <is>
          <t>Svartdal, F., &amp; Steel, P. (2017). Irrational delay revisited: Examining five procrastination scales in a global sample. Frontiers in Psychology, 8, 1927. https://doi.org/10.3389/fpsyg.2017.01927</t>
        </is>
      </c>
      <c r="Y18"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c r="Z18" s="27" t="inlineStr">
        <is>
          <t>https://www.frontiersin.org/articles/10.3389/fpsyg.2017.01927/full</t>
        </is>
      </c>
    </row>
    <row r="19" ht="169.5" customHeight="1" s="17">
      <c r="A19" s="26" t="inlineStr">
        <is>
          <t>GSE</t>
        </is>
      </c>
      <c r="B19" s="27" t="inlineStr">
        <is>
          <t>General Self-Efficacy Scale</t>
        </is>
      </c>
      <c r="C19" s="27" t="inlineStr">
        <is>
          <t>6. Motivation, self determination and goal pursuit</t>
        </is>
      </c>
      <c r="D19" s="27" t="inlineStr">
        <is>
          <t>Free / open access</t>
        </is>
      </c>
      <c r="E19" s="28" t="n">
        <v>10</v>
      </c>
      <c r="F19" s="28">
        <f>COUNTIF('Master Item List'!$A:$A,$A19)</f>
        <v/>
      </c>
      <c r="G19" s="27" t="inlineStr">
        <is>
          <t>Generalized self-efficacy, i.e. a broad and stable sense of personal competence to deal effectively with a variety of stressful or difficult situations, treated as a unidimensional trait rather than task-specific self-efficacy.</t>
        </is>
      </c>
      <c r="H19" s="27" t="inlineStr">
        <is>
          <t>Self-report</t>
        </is>
      </c>
      <c r="I19" s="27" t="inlineStr">
        <is>
          <t>Adolescents through adults; validated across 23 nations in general population and student samples</t>
        </is>
      </c>
      <c r="J19" s="27" t="inlineStr">
        <is>
          <t>4 minutes average (per the official FU Berlin documentation)</t>
        </is>
      </c>
      <c r="K19"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c r="L19"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c r="M19"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c r="N19" s="27" t="inlineStr">
        <is>
          <t>Not stated on source</t>
        </is>
      </c>
      <c r="O19" s="27" t="inlineStr">
        <is>
          <t>Not at all true = 1 | Hardly true = 2 | Moderately true = 3 | Exactly true = 4</t>
        </is>
      </c>
      <c r="P19" s="27" t="inlineStr">
        <is>
          <t>None</t>
        </is>
      </c>
      <c r="Q19" s="27" t="inlineStr">
        <is>
          <t>None</t>
        </is>
      </c>
      <c r="R19" s="27" t="inlineStr">
        <is>
          <t>General Self-Efficacy (total scale) (items 1-10; n=10; range 10-40)</t>
        </is>
      </c>
      <c r="S19" s="27" t="inlineStr">
        <is>
          <t>Sum of the 10 item ratings, giving a total score ranging from 10 to 40. Higher scores indicate greater generalized self-efficacy. No items are reverse-scored.</t>
        </is>
      </c>
      <c r="T19" s="27" t="inlineStr">
        <is>
          <t>Not stated on source</t>
        </is>
      </c>
      <c r="U19" s="27" t="inlineStr">
        <is>
          <t>No clinical cut-off scores are given on the official page; it is used as a continuous variable.</t>
        </is>
      </c>
      <c r="V19" s="27" t="inlineStr">
        <is>
          <t>The official page states the scale has been validated in samples from 23 nations. No specific mean/SD norm tables were printed in the fetched page text, though the page indicates such information is discussed in the accompanying FAQ documentation.</t>
        </is>
      </c>
      <c r="W19" s="27" t="inlineStr">
        <is>
          <t>Cronbach's alpha coefficients ranged from .76 to .90 across the 23-nation samples, with the majority in the high .80s, per the official FU Berlin documentation.</t>
        </is>
      </c>
      <c r="X19" s="27" t="inlineStr">
        <is>
          <t>Schwarzer, R., &amp; Jerusalem, M. (1995). Generalized Self-Efficacy scale. In J. Weinman, S. Wright, &amp; M. Johnston, Measures in health psychology: A user's portfolio. Causal and control beliefs (pp. 35-37). NFER-NELSON.</t>
        </is>
      </c>
      <c r="Y19"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c r="Z19" s="27" t="inlineStr">
        <is>
          <t>https://userpage.fu-berlin.de/~health/engscal.htm</t>
        </is>
      </c>
    </row>
    <row r="20" ht="169.5" customHeight="1" s="17">
      <c r="A20" s="26" t="inlineStr">
        <is>
          <t>GCS</t>
        </is>
      </c>
      <c r="B20" s="27" t="inlineStr">
        <is>
          <t>Goal Commitment Scale (5-item unidimensional version)</t>
        </is>
      </c>
      <c r="C20" s="27" t="inlineStr">
        <is>
          <t>6. Motivation, self determination and goal pursuit</t>
        </is>
      </c>
      <c r="D20" s="33" t="inlineStr">
        <is>
          <t>Free for research; permission needed for commercial use</t>
        </is>
      </c>
      <c r="E20" s="28" t="n">
        <v>5</v>
      </c>
      <c r="F20" s="28">
        <f>COUNTIF('Master Item List'!$A:$A,$A20)</f>
        <v/>
      </c>
      <c r="G20" s="27" t="inlineStr">
        <is>
          <t>Unidimensional goal commitment, i.e. the degree of attachment to, and determination to reach, a specific goal the respondent has in mind, independent of the goal's difficulty or content.</t>
        </is>
      </c>
      <c r="H20" s="27" t="inlineStr">
        <is>
          <t>Self-report, completed with reference to a specific goal the respondent names or is given (items are worded around "this goal"); used with working adults and students across the many studies aggregated in the 2001 meta-analysis.</t>
        </is>
      </c>
      <c r="I20" s="27" t="inlineStr">
        <is>
          <t>Adult (18+) in the studies identified; no child or adolescent validation located in the sources fetched.</t>
        </is>
      </c>
      <c r="J20" s="27" t="inlineStr">
        <is>
          <t>Not stated on source</t>
        </is>
      </c>
      <c r="K20"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c r="L20"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c r="M20"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c r="N20"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c r="O20" s="27" t="inlineStr">
        <is>
          <t>Strongly Disagree = 1 | Moderately Disagree = 2 | Neutral = 3 | Moderately Agree = 4 | Strongly Agree = 5</t>
        </is>
      </c>
      <c r="P20" s="27" t="inlineStr">
        <is>
          <t>1-2, 4</t>
        </is>
      </c>
      <c r="Q20" s="27" t="inlineStr">
        <is>
          <t>None</t>
        </is>
      </c>
      <c r="R20" s="27" t="inlineStr">
        <is>
          <t>Goal Commitment (items 1-5; n=5; range 5-25 (sum) or 1-5 (mean) on a 5 point scale)</t>
        </is>
      </c>
      <c r="S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c r="T20" s="27" t="inlineStr">
        <is>
          <t>Not stated on source</t>
        </is>
      </c>
      <c r="U20" s="27" t="inlineStr">
        <is>
          <t>Not stated on source</t>
        </is>
      </c>
      <c r="V20" s="27" t="inlineStr">
        <is>
          <t>Not stated on source</t>
        </is>
      </c>
      <c r="W20"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c r="X20" s="27" t="inlineStr">
        <is>
          <t>Klein, H. J., Wesson, M. J., Hollenbeck, J. R., Wright, P. M., &amp; DeShon, R. P. (2001). The assessment of goal commitment: A measurement model meta-analysis. Organizational Behavior and Human Decision Processes, 85(1), 32-55.</t>
        </is>
      </c>
      <c r="Y20"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c r="Z20" s="27" t="inlineStr">
        <is>
          <t>https://bearworks.missouristate.edu/cgi/viewcontent.cgi?article=4229&amp;context=theses</t>
        </is>
      </c>
    </row>
    <row r="21" ht="169.5" customHeight="1" s="17">
      <c r="A21" s="26" t="inlineStr">
        <is>
          <t>GADJ</t>
        </is>
      </c>
      <c r="B21" s="27" t="inlineStr">
        <is>
          <t>Goal Adjustment Scale</t>
        </is>
      </c>
      <c r="C21" s="27" t="inlineStr">
        <is>
          <t>6. Motivation, self determination and goal pursuit</t>
        </is>
      </c>
      <c r="D21" s="33" t="inlineStr">
        <is>
          <t>Free for research; permission needed for commercial use</t>
        </is>
      </c>
      <c r="E21" s="28" t="n">
        <v>10</v>
      </c>
      <c r="F21" s="28">
        <f>COUNTIF('Master Item List'!$A:$A,$A21)</f>
        <v/>
      </c>
      <c r="G21"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c r="H21" s="27" t="inlineStr">
        <is>
          <t>Self-report, answered with respect to a general stem about an important, unattainable goal in the respondent's own life (not a goal supplied by an interviewer).</t>
        </is>
      </c>
      <c r="I21"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c r="J21" s="27" t="inlineStr">
        <is>
          <t>Not stated on source</t>
        </is>
      </c>
      <c r="K21"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c r="L21"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c r="M21"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c r="N21"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c r="O21" s="27" t="inlineStr">
        <is>
          <t>Almost never true = 1 | 2 = 2 | 3 = 3 | 4 = 4 | Almost always true = 5</t>
        </is>
      </c>
      <c r="P21" s="27" t="inlineStr">
        <is>
          <t>2-3</t>
        </is>
      </c>
      <c r="Q21" s="27" t="inlineStr">
        <is>
          <t>None</t>
        </is>
      </c>
      <c r="R21" s="27" t="inlineStr">
        <is>
          <t>Goal Disengagement (items 1-4; n=4; range 4-20 (sum) or 1-5 (mean))
Goal Reengagement (items 5-10; n=6; range 6-30 (sum) or 1-5 (mean))</t>
        </is>
      </c>
      <c r="S21"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c r="T21" s="27" t="inlineStr">
        <is>
          <t>Not stated on source</t>
        </is>
      </c>
      <c r="U21" s="27" t="inlineStr">
        <is>
          <t>Not stated on source</t>
        </is>
      </c>
      <c r="V21" s="27" t="inlineStr">
        <is>
          <t>Not stated on source</t>
        </is>
      </c>
      <c r="W21"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c r="X21" s="27" t="inlineStr">
        <is>
          <t>Wrosch, C., Scheier, M. F., Miller, G. E., Schulz, R., &amp; Carver, C. S. (2003). Adaptive self-regulation of unattainable goals: Goal disengagement, goal reengagement, and subjective well-being. Personality and Social Psychology Bulletin, 29(12), 1494-1508.</t>
        </is>
      </c>
      <c r="Y21"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c r="Z21" s="27" t="inlineStr">
        <is>
          <t>https://www.cmu.edu/dietrich/psychology/pdf/scales/GAS_article.pdf</t>
        </is>
      </c>
    </row>
    <row r="22">
      <c r="A22" t="inlineStr">
        <is>
          <t>ADEXI</t>
        </is>
      </c>
      <c r="B22" t="inlineStr">
        <is>
          <t>Adult Executive Functioning Inventory</t>
        </is>
      </c>
      <c r="C22" t="inlineStr">
        <is>
          <t>1. Executive functioning and ADHD</t>
        </is>
      </c>
      <c r="D22" t="inlineStr">
        <is>
          <t>Free / open access</t>
        </is>
      </c>
      <c r="E22" t="n">
        <v>14</v>
      </c>
      <c r="F22">
        <f>COUNTIF('Master Item List'!$A:$A,$A22)</f>
        <v/>
      </c>
      <c r="G22" t="inlineStr">
        <is>
          <t>Everyday executive functioning deficits in adults in the areas of working memory and inhibition, as the adult counterpart of the CHEXI.</t>
        </is>
      </c>
      <c r="H22" t="inlineStr">
        <is>
          <t>Self report</t>
        </is>
      </c>
      <c r="I22" t="inlineStr">
        <is>
          <t>18+</t>
        </is>
      </c>
      <c r="J22" t="inlineStr">
        <is>
          <t>3 minutes</t>
        </is>
      </c>
      <c r="K22" t="inlineStr">
        <is>
          <t>"All three instruments are freely available for both researchers and clinicians." "The CHEXI, ADEXI, and TEXI are freely available in several different languages." No formal licence text is given on the site or the PDF.</t>
        </is>
      </c>
      <c r="L22" t="inlineStr">
        <is>
          <t>Short, plain language and directly relevant to working memory and inhibition goals; well suited to intake and progress review.</t>
        </is>
      </c>
      <c r="M22" t="inlineStr">
        <is>
          <t>Everyday executive functioning deficits in adults in the areas of working memory and inhibition, as the adult counterpart of the CHEXI.</t>
        </is>
      </c>
      <c r="N22" t="inlineStr">
        <is>
          <t>Below you will find a number of statements. Please circle a number to the right of each statement to indicate how well that statement describes how you are as a person. People that you know might feel differently about you – we want to know what you think about yourself. Try to answer as honestly as possible.</t>
        </is>
      </c>
      <c r="O22" t="inlineStr">
        <is>
          <t>Definitely not true = 1 | Not true = 2 | Partially true = 3 | True = 4 | Definitely true = 5</t>
        </is>
      </c>
      <c r="P22" t="inlineStr">
        <is>
          <t>None</t>
        </is>
      </c>
      <c r="Q22" t="inlineStr">
        <is>
          <t>None</t>
        </is>
      </c>
      <c r="R22" t="inlineStr">
        <is>
          <t>Working Memory (items 1, 2, 5, 7, 8, 9, 11, 12, 13; n=9; range 1-5 (mean) or 9-45 (sum)); Inhibition (items 3, 4, 6, 10, 14; n=5; range 1-5 (mean) or 5-25 (sum)); Total (items 1-14; n=14; range 1-5 (mean) or 14-70 (sum))</t>
        </is>
      </c>
      <c r="S22" t="inlineStr">
        <is>
          <t>The author subscale sheet (https://chexi.se/onewebmedia/ADEXI%20subscales.pdf) gives each subscale as the mean of its items: Working Memory, mean of items 1, 2, 5, 7, 8, 9, 11, 12, 13; Inhibition, mean of items 3, 4, 6, 10 and 14. The self report form has a field for the total score for each factor and an ADEXI total score. Higher scores indicate greater executive difficulties. No cut offs are published; the site states that normative data for these instruments are not yet available.</t>
        </is>
      </c>
      <c r="T22" t="inlineStr">
        <is>
          <t>See Total scoring</t>
        </is>
      </c>
      <c r="U22" t="inlineStr">
        <is>
          <t>See Total scoring</t>
        </is>
      </c>
      <c r="V22" t="inlineStr">
        <is>
          <t>Not stated on source</t>
        </is>
      </c>
      <c r="W22" t="inlineStr">
        <is>
          <t>Not stated on source</t>
        </is>
      </c>
      <c r="X22" t="inlineStr">
        <is>
          <t>Holst, Y., &amp; Thorell, L. B. (2018). Adult executive functioning inventory (ADEXI): Validity, reliability, and relations to ADHD. International Journal of Methods in Psychiatric Research, 27(1), e1567. https://doi.org/10.1002/mpr.1567</t>
        </is>
      </c>
      <c r="Y22" t="inlineStr">
        <is>
          <t>"All three instruments are freely available for both researchers and clinicians." "The CHEXI, ADEXI, and TEXI are freely available in several different languages." No formal licence text is given on the site or the PDF. Source: https://chexi.se/</t>
        </is>
      </c>
      <c r="Z22" t="inlineStr">
        <is>
          <t>https://chexi.se/onewebmedia/English%20ADEXI%20self-report.pdf</t>
        </is>
      </c>
    </row>
    <row r="23">
      <c r="A23" t="inlineStr">
        <is>
          <t>AMS-C</t>
        </is>
      </c>
      <c r="B23" t="inlineStr">
        <is>
          <t>Academic Motivation Scale (College version, AMS-C 28)</t>
        </is>
      </c>
      <c r="C23" t="inlineStr">
        <is>
          <t>3. Adjacent occupational and wellbeing</t>
        </is>
      </c>
      <c r="D23" t="inlineStr">
        <is>
          <t>Free / open access</t>
        </is>
      </c>
      <c r="E23" t="n">
        <v>28</v>
      </c>
      <c r="F23">
        <f>COUNTIF('Master Item List'!$A:$A,$A23)</f>
        <v/>
      </c>
      <c r="G23" t="inlineStr">
        <is>
          <t>Motivation for study along the self determination continuum, from amotivation through 3 forms of extrinsic motivation to 3 forms of intrinsic motivation.</t>
        </is>
      </c>
      <c r="H23" t="inlineStr">
        <is>
          <t>Self report</t>
        </is>
      </c>
      <c r="I23" t="inlineStr">
        <is>
          <t>17+ (college and university students)</t>
        </is>
      </c>
      <c r="J23" t="inlineStr">
        <is>
          <t>7 minutes</t>
        </is>
      </c>
      <c r="K23" t="inlineStr">
        <is>
          <t>Form footer: "© Robert J. Vallerand, Luc G. Pelletier, Marc R. Blais, Nathalie M. Brière, Caroline B. Senécal, Évelyne F. Vallières, 1992" and "Note: To use this scale you require only to mention the complete reference data."</t>
        </is>
      </c>
      <c r="L23" t="inlineStr">
        <is>
          <t>Suited to student and early career coaching clients; use the college version for adults in tertiary study.</t>
        </is>
      </c>
      <c r="M23" t="inlineStr">
        <is>
          <t>Motivation for study along the self determination continuum, from amotivation through 3 forms of extrinsic motivation to 3 forms of intrinsic motivation.</t>
        </is>
      </c>
      <c r="N23" t="inlineStr">
        <is>
          <t>WHY DO YOU GO TO COLLEGE ? Using the scale below, indicate to what extent each of the following items presently corresponds to one of the reasons why you go to college.</t>
        </is>
      </c>
      <c r="O23" t="inlineStr">
        <is>
          <t>Does not correspond at all = 1 | Corresponds a little = 2 | Corresponds a little = 3 | Corresponds moderately = 4 | Corresponds a lot = 5 | Corresponds a lot = 6 | Corresponds exactly = 7</t>
        </is>
      </c>
      <c r="P23" t="inlineStr">
        <is>
          <t>None</t>
        </is>
      </c>
      <c r="Q23" t="inlineStr">
        <is>
          <t>None</t>
        </is>
      </c>
      <c r="R23" t="inlineStr">
        <is>
          <t>Intrinsic motivation - to know (items 2, 9, 16, 23; n=4; range 1-7 (mean) or 4-28 (sum)); Intrinsic motivation - toward accomplishment (items 6, 13, 20, 27; n=4; range 1-7 (mean) or 4-28 (sum)); Intrinsic motivation - to experience stimulation (items 4, 11, 18, 25; n=4; range 1-7 (mean) or 4-28 (sum)); Extrinsic motivation - identified (items 3, 10, 17, 24; n=4; range 1-7 (mean) or 4-28 (sum)); Extrinsic motivation - introjected (items 7, 14, 21, 28; n=4; range 1-7 (mean) or 4-28 (sum)); Extrinsic motivation - external regulation (items 1, 8, 15, 22; n=4; range 1-7 (mean) or 4-28 (sum)); Amotivation (items 5, 12, 19, 26; n=4; range 1-7 (mean) or 4-28 (sum))</t>
        </is>
      </c>
      <c r="S23" t="inlineStr">
        <is>
          <t>Compute each of the 7 subscales as the mean (1 to 7) or sum (4 to 28) of its 4 items; higher scores indicate stronger endorsement of that type of motivation. No items are reverse scored. A self determination index can be computed by weighting the subscales (commonly intrinsic +2, identified +1, introjected and external -1, amotivation -2), although the form itself does not give this formula. No cut offs are published.</t>
        </is>
      </c>
      <c r="T23" t="inlineStr">
        <is>
          <t>See Total scoring</t>
        </is>
      </c>
      <c r="U23" t="inlineStr">
        <is>
          <t>See Total scoring</t>
        </is>
      </c>
      <c r="V23" t="inlineStr">
        <is>
          <t>Not stated on source</t>
        </is>
      </c>
      <c r="W23" t="inlineStr">
        <is>
          <t>Not stated on source</t>
        </is>
      </c>
      <c r="X23" t="inlineStr">
        <is>
          <t>Vallerand, R. J., Pelletier, L. G., Blais, M. R., Brière, N. M., Senécal, C., &amp; Vallières, E. F. (1992). The Academic Motivation Scale: A measure of intrinsic, extrinsic, and amotivation in education. Educational and Psychological Measurement, 52(4), 1003–1017. https://doi.org/10.1177/0013164492052004025</t>
        </is>
      </c>
      <c r="Y23" t="inlineStr">
        <is>
          <t>Form footer: "© Robert J. Vallerand, Luc G. Pelletier, Marc R. Blais, Nathalie M. Brière, Caroline B. Senécal, Évelyne F. Vallières, 1992" and "Note: To use this scale you require only to mention the complete reference data." Source: https://www.lrcs.uqam.ca/wp-content/uploads/2017/08/emec_en.pdf</t>
        </is>
      </c>
      <c r="Z23" t="inlineStr">
        <is>
          <t>https://www.lrcs.uqam.ca/wp-content/uploads/2017/08/emec_en.pdf</t>
        </is>
      </c>
    </row>
    <row r="24">
      <c r="A24" t="inlineStr">
        <is>
          <t>APS-R</t>
        </is>
      </c>
      <c r="B24" t="inlineStr">
        <is>
          <t>Almost Perfect Scale Revised</t>
        </is>
      </c>
      <c r="C24" t="inlineStr">
        <is>
          <t>5. Self talk, thinking patterns and personality</t>
        </is>
      </c>
      <c r="D24" t="inlineStr">
        <is>
          <t>Free / open access</t>
        </is>
      </c>
      <c r="E24" t="n">
        <v>23</v>
      </c>
      <c r="F24">
        <f>COUNTIF('Master Item List'!$A:$A,$A24)</f>
        <v/>
      </c>
      <c r="G24" t="inlineStr">
        <is>
          <t>Perfectionism as high personal standards, a preference for order, and the discrepancy perceived between one's standards and one's performance.</t>
        </is>
      </c>
      <c r="H24" t="inlineStr">
        <is>
          <t>Self report</t>
        </is>
      </c>
      <c r="I24" t="inlineStr">
        <is>
          <t>18+</t>
        </is>
      </c>
      <c r="J24" t="inlineStr">
        <is>
          <t>5 minutes</t>
        </is>
      </c>
      <c r="K24"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t>
        </is>
      </c>
      <c r="L24" t="inlineStr">
        <is>
          <t>Distinguishes adaptive from maladaptive perfectionists with published cut offs, which works well for high achieving coaching clients.</t>
        </is>
      </c>
      <c r="M24" t="inlineStr">
        <is>
          <t>Perfectionism as high personal standards, a preference for order, and the discrepancy perceived between one's standards and one's performance.</t>
        </is>
      </c>
      <c r="N24" t="inlineStr">
        <is>
          <t>The following items are designed to measure attitudes people have toward themselves, their performance, and toward others. There are no right or wrong answers. Please respond to all of the items. Use your first impression and do not spend too much time on individual items in responding. Respond to each of the items using the scale below to describe your degree of agreement with each item. Circle the appropriate rating for each item.</t>
        </is>
      </c>
      <c r="O24" t="inlineStr">
        <is>
          <t>Strongly Disagree = 1 | Disagree = 2 | Slightly Disagree = 3 | Neutral = 4 | Slightly Agree = 5 | Agree = 6 | Strongly Agree = 7</t>
        </is>
      </c>
      <c r="P24" t="inlineStr">
        <is>
          <t>None</t>
        </is>
      </c>
      <c r="Q24" t="inlineStr">
        <is>
          <t>None</t>
        </is>
      </c>
      <c r="R24" t="inlineStr">
        <is>
          <t>Standards (items 1, 5, 8, 12, 14, 18, 22; n=7; range 7-49); Order (items 2, 4, 7, 10; n=4; range 4-28); Discrepancy (items 3, 6, 9, 11, 13, 15, 16, 17, 19, 20, 21, 23; n=12; range 12-84)</t>
        </is>
      </c>
      <c r="S24" t="inlineStr">
        <is>
          <t>Sum the item ratings within each subscale to obtain Standards, Order and Discrepancy scores; no items are reverse scored and no total score is used. Higher scores indicate more of each attribute. Classification rule (Rice and Ashby, 2007, as reproduced on the scale PDF): Standards below 42, non perfectionist; Standards 42 or above with Discrepancy 42 or above, maladaptive perfectionist; Standards 42 or above with Discrepancy below 42, adaptive perfectionist.</t>
        </is>
      </c>
      <c r="T24" t="inlineStr">
        <is>
          <t>See Total scoring</t>
        </is>
      </c>
      <c r="U24" t="inlineStr">
        <is>
          <t>See Total scoring</t>
        </is>
      </c>
      <c r="V24" t="inlineStr">
        <is>
          <t>Not stated on source</t>
        </is>
      </c>
      <c r="W24" t="inlineStr">
        <is>
          <t>Not stated on source</t>
        </is>
      </c>
      <c r="X24" t="inlineStr">
        <is>
          <t>Slaney, R. B., Rice, K. G., Mobley, M., Trippi, J., &amp; Ashby, J. S. (2001). The revised Almost Perfect Scale. Measurement and Evaluation in Counseling and Development, 34(3), 130–145. https://doi.org/10.1080/07481756.2002.12069030</t>
        </is>
      </c>
      <c r="Y24"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 Source: https://sites.gsu.edu/cpyricelab/?p=264</t>
        </is>
      </c>
      <c r="Z24" t="inlineStr">
        <is>
          <t>https://www.kennethwang.com/apsr/scales/APSR-English.pdf</t>
        </is>
      </c>
    </row>
    <row r="25">
      <c r="A25" t="inlineStr">
        <is>
          <t>AUDIT-C</t>
        </is>
      </c>
      <c r="B25" t="inlineStr">
        <is>
          <t>AUDIT Consumption</t>
        </is>
      </c>
      <c r="C25" t="inlineStr">
        <is>
          <t>4. Clinical and distress screening</t>
        </is>
      </c>
      <c r="D25" t="inlineStr">
        <is>
          <t>Public domain</t>
        </is>
      </c>
      <c r="E25" t="n">
        <v>3</v>
      </c>
      <c r="F25">
        <f>COUNTIF('Master Item List'!$A:$A,$A25)</f>
        <v/>
      </c>
      <c r="G25" t="inlineStr">
        <is>
          <t>Brief screen for hazardous drinking using the 3 AUDIT alcohol consumption items.</t>
        </is>
      </c>
      <c r="H25" t="inlineStr">
        <is>
          <t>Self report or clinician administered</t>
        </is>
      </c>
      <c r="I25" t="inlineStr">
        <is>
          <t>18+</t>
        </is>
      </c>
      <c r="J25" t="inlineStr">
        <is>
          <t>1 minutes</t>
        </is>
      </c>
      <c r="K25"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t>
        </is>
      </c>
      <c r="L25" t="inlineStr">
        <is>
          <t>Ideal intake screen; positive screens proceed to the full AUDIT</t>
        </is>
      </c>
      <c r="M25" t="inlineStr">
        <is>
          <t>Brief screen for hazardous drinking using the 3 AUDIT alcohol consumption items.</t>
        </is>
      </c>
      <c r="N25" t="inlineStr">
        <is>
          <t>Please circle the answer that is correct for you.</t>
        </is>
      </c>
      <c r="O25" t="inlineStr">
        <is>
          <t>Never = 0 | Monthly or less = 1 | 2 to 4 times a month = 2 | 2 to 3 times a week = 3 | 4 or more times a week = 4</t>
        </is>
      </c>
      <c r="P25" t="inlineStr">
        <is>
          <t>None</t>
        </is>
      </c>
      <c r="Q25" t="inlineStr">
        <is>
          <t>None</t>
        </is>
      </c>
      <c r="R25" t="inlineStr">
        <is>
          <t>Total (items 1-3; n=3; range 0-12)</t>
        </is>
      </c>
      <c r="S25" t="inlineStr">
        <is>
          <t>Sum the 3 item scores (0 to 12); higher scores indicate heavier consumption. Bush et al. (1998) and the AHRQ sheet: a score of 4 or more identifies 86 percent of men who report drinking above recommended levels or meet criteria for alcohol use disorders, and a score of 3 or more identifies 84 percent of women who report hazardous drinking or alcohol use disorders (US primary care). A threshold of 5 or more is commonly used in NZ and UK settings. In the full AUDIT a total of 0 on items 2 and 3 allows skipping to items 9 and 10. Positive screens proceed to the full 10 item AUDIT.</t>
        </is>
      </c>
      <c r="T25" t="inlineStr">
        <is>
          <t>See Total scoring</t>
        </is>
      </c>
      <c r="U25" t="inlineStr">
        <is>
          <t>See Total scoring</t>
        </is>
      </c>
      <c r="V25" t="inlineStr">
        <is>
          <t>Not stated on source</t>
        </is>
      </c>
      <c r="W25" t="inlineStr">
        <is>
          <t>Not stated on source</t>
        </is>
      </c>
      <c r="X25" t="inlineStr">
        <is>
          <t>Bush, K., Kivlahan, D. R., McDonell, M. B., Fihn, S. D., &amp; Bradley, K. A. (1998). The AUDIT alcohol consumption questions (AUDIT-C): An effective brief screening test for problem drinking. Archives of Internal Medicine, 158(16), 1789–1795. https://doi.org/10.1001/archinte.158.16.1789</t>
        </is>
      </c>
      <c r="Y25"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 Source: https://camcops.readthedocs.io/en/latest/tasks/audit.html</t>
        </is>
      </c>
      <c r="Z25" t="inlineStr">
        <is>
          <t>https://integrationacademy.ahrq.gov/sites/default/files/2020-07/AUDIT-C.pdf</t>
        </is>
      </c>
    </row>
    <row r="26">
      <c r="A26" t="inlineStr">
        <is>
          <t>BIS-11</t>
        </is>
      </c>
      <c r="B26" t="inlineStr">
        <is>
          <t>Barratt Impulsiveness Scale, version 11</t>
        </is>
      </c>
      <c r="C26" t="inlineStr">
        <is>
          <t>1. Executive functioning and ADHD</t>
        </is>
      </c>
      <c r="D26" t="inlineStr">
        <is>
          <t>Free / open access</t>
        </is>
      </c>
      <c r="E26" t="n">
        <v>30</v>
      </c>
      <c r="F26">
        <f>COUNTIF('Master Item List'!$A:$A,$A26)</f>
        <v/>
      </c>
      <c r="G26" t="inlineStr">
        <is>
          <t>Trait impulsiveness across attentional, motor and non planning domains.</t>
        </is>
      </c>
      <c r="H26" t="inlineStr">
        <is>
          <t>Self report</t>
        </is>
      </c>
      <c r="I26" t="inlineStr">
        <is>
          <t>18+</t>
        </is>
      </c>
      <c r="J26" t="inlineStr">
        <is>
          <t>10 minutes</t>
        </is>
      </c>
      <c r="K26"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t>
        </is>
      </c>
      <c r="L26" t="inlineStr">
        <is>
          <t>Established norms and cut offs make it a solid baseline for impulsivity, though item tone is clinical rather than coaching oriented.</t>
        </is>
      </c>
      <c r="M26" t="inlineStr">
        <is>
          <t>Trait impulsiveness across attentional, motor and non planning domains.</t>
        </is>
      </c>
      <c r="N26" t="inlineStr">
        <is>
          <t>People differ in the ways they act and think in different situations. This is a test to measure some of the ways in which you act and think. Read each statement and select how often this applies to you. Do not spend too much time on any statement. Answer quickly and honestly.</t>
        </is>
      </c>
      <c r="O26" t="inlineStr">
        <is>
          <t>Rarely/Never = 1 | Occasionally = 2 | Often = 3 | Almost Always/Always = 4</t>
        </is>
      </c>
      <c r="P26" t="inlineStr">
        <is>
          <t>1, 7, 8, 9, 10, 12, 13, 15, 20, 29, 30</t>
        </is>
      </c>
      <c r="Q26" t="inlineStr">
        <is>
          <t>None</t>
        </is>
      </c>
      <c r="R26" t="inlineStr">
        <is>
          <t>Attention (items 5, 9R, 11, 20R, 28; n=5; range 5-20); Cognitive Instability (items 6, 24, 26; n=3; range 3-12); Motor (items 2, 3, 4, 17, 19, 22, 25; n=7; range 7-28); Perseverance (items 16, 21, 23, 30R; n=4; range 4-16); Self-Control (items 1R, 7R, 8R, 12R, 13R, 14; n=6; range 6-24); Cognitive Complexity (items 10R, 15R, 18, 27, 29R; n=5; range 5-20); Attentional (items 5, 6, 9R, 11, 20R, 24, 26, 28; n=8; range 8-32); Motor (second order) (items 2, 3, 4, 16, 17, 19, 21, 22, 23, 25, 30R; n=11; range 11-44); Nonplanning (items 1R, 7R, 8R, 10R, 12R, 13R, 14, 15R, 18, 27, 29R; n=11; range 11-44); Total (items 1-30; n=30; range 30-120)</t>
        </is>
      </c>
      <c r="S26" t="inlineStr">
        <is>
          <t>Score each item 1 (Rarely/Never) to 4 (Almost Always/Always). Reverse score items 1, 7, 8, 9, 10, 12, 13, 15, 20, 29 and 30 (4 becomes 1, 3 becomes 2, 2 becomes 3, 1 becomes 4). Sum all items for a total of 30 to 120; sum the item sets above for the 6 first order and 3 second order factor scores. Higher scores indicate greater impulsiveness. Stanford et al. (2009) describe total scores of 72 and above as highly impulsive, 52 to 71 as within normal limits, and below 52 as over controlled or possibly invalid responding (the impulsivity.org page refers to Stanford et al. 2009 but does not itself print the cut offs).</t>
        </is>
      </c>
      <c r="T26" t="inlineStr">
        <is>
          <t>See Total scoring</t>
        </is>
      </c>
      <c r="U26" t="inlineStr">
        <is>
          <t>See Total scoring</t>
        </is>
      </c>
      <c r="V26" t="inlineStr">
        <is>
          <t>Not stated on source</t>
        </is>
      </c>
      <c r="W26" t="inlineStr">
        <is>
          <t>Not stated on source</t>
        </is>
      </c>
      <c r="X26" t="inlineStr">
        <is>
          <t>Patton, J. H., Stanford, M. S., &amp; Barratt, E. S. (1995). Factor structure of the Barratt Impulsiveness Scale. Journal of Clinical Psychology, 51(6), 768-774. https://doi.org/10.1002/1097-4679(199511)51:6&lt;768::AID-JCLP2270510607&gt;3.0.CO;2-1</t>
        </is>
      </c>
      <c r="Y26"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 Source: https://www.testable.org/scale/bis-11-barratt-impulsiveness-scale</t>
        </is>
      </c>
      <c r="Z26" t="inlineStr">
        <is>
          <t>https://psytoolkit.org/survey-library/impulsiveness-barratt.html</t>
        </is>
      </c>
    </row>
    <row r="27">
      <c r="A27" t="inlineStr">
        <is>
          <t>BIS-BRIEF</t>
        </is>
      </c>
      <c r="B27" t="inlineStr">
        <is>
          <t>Barratt Impulsiveness Scale, Brief</t>
        </is>
      </c>
      <c r="C27" t="inlineStr">
        <is>
          <t>1. Executive functioning and ADHD</t>
        </is>
      </c>
      <c r="D27" t="inlineStr">
        <is>
          <t>Free / open access</t>
        </is>
      </c>
      <c r="E27" t="n">
        <v>8</v>
      </c>
      <c r="F27">
        <f>COUNTIF('Master Item List'!$A:$A,$A27)</f>
        <v/>
      </c>
      <c r="G27" t="inlineStr">
        <is>
          <t>General trait impulsiveness measured as a unidimensional 8 item short form of the BIS-11 derived by item response theory.</t>
        </is>
      </c>
      <c r="H27" t="inlineStr">
        <is>
          <t>Self report</t>
        </is>
      </c>
      <c r="I27" t="inlineStr">
        <is>
          <t>18+</t>
        </is>
      </c>
      <c r="J27" t="inlineStr">
        <is>
          <t>2 minutes</t>
        </is>
      </c>
      <c r="K27" t="inlineStr">
        <is>
          <t>The article makes no availability or permission statement. The items are a subset of the freely distributed BIS-11 (Patton, Stanford and Barratt, 1995) and are listed in Table 3 of the article. The corresponding author is Lynne Steinberg (lsteinberg@uh.edu).</t>
        </is>
      </c>
      <c r="L27" t="inlineStr">
        <is>
          <t>Quick repeatable impulsivity marker when the full BIS-11 is too long for session by session tracking.</t>
        </is>
      </c>
      <c r="M27" t="inlineStr">
        <is>
          <t>General trait impulsiveness measured as a unidimensional 8 item short form of the BIS-11 derived by item response theory.</t>
        </is>
      </c>
      <c r="N27" t="inlineStr">
        <is>
          <t>Not stated on source</t>
        </is>
      </c>
      <c r="O27" t="inlineStr">
        <is>
          <t>Rarely/Never = 1 | Occasionally = 2 | Often = 3 | Almost Always/Always = 4</t>
        </is>
      </c>
      <c r="P27" t="inlineStr">
        <is>
          <t>1, 4, 5, 6</t>
        </is>
      </c>
      <c r="Q27" t="inlineStr">
        <is>
          <t>None</t>
        </is>
      </c>
      <c r="R27" t="inlineStr">
        <is>
          <t>Total (items 1-8; n=8; range 8-32)</t>
        </is>
      </c>
      <c r="S27" t="inlineStr">
        <is>
          <t>"The items are scored on a 4-point scale" and "total scores can be calculated by summing up the responses to the eight items" (range 8 to 32). Higher scores indicate greater impulsiveness. The article does not itself list reverse keyed items; the BIS-11 keying (impulsivity.org, Patton et al., 1995) reverse scores BIS-11 items 1, 7, 8, 9, 10, 12, 13, 15, 20, 29 and 30, which within the BIS-Brief are BIS-11 items 1, 8, 9 and 12 (BIS-Brief items 1, 4, 5 and 6 here). Items 5 and 9 (BIS-11 numbering) were treated as a testlet in the IRT analysis but both contribute to the summed score. No published cut offs.</t>
        </is>
      </c>
      <c r="T27" t="inlineStr">
        <is>
          <t>See Total scoring</t>
        </is>
      </c>
      <c r="U27" t="inlineStr">
        <is>
          <t>See Total scoring</t>
        </is>
      </c>
      <c r="V27" t="inlineStr">
        <is>
          <t>Not stated on source</t>
        </is>
      </c>
      <c r="W27" t="inlineStr">
        <is>
          <t>Not stated on source</t>
        </is>
      </c>
      <c r="X27" t="inlineStr">
        <is>
          <t>Steinberg, L., Sharp, C., Stanford, M. S., &amp; Tharp, A. T. (2013). New tricks for an old measure: The development of the Barratt Impulsiveness Scale–Brief (BIS-Brief). Psychological Assessment, 25(1), 216–226. https://doi.org/10.1037/a0030550</t>
        </is>
      </c>
      <c r="Y27" t="inlineStr">
        <is>
          <t>The article makes no availability or permission statement. The items are a subset of the freely distributed BIS-11 (Patton, Stanford and Barratt, 1995) and are listed in Table 3 of the article. The corresponding author is Lynne Steinberg (lsteinberg@uh.edu). Source: https://www.uh.edu/class/psychology/clinical-psych/research/dpl/_files/publications/steinberg-sharp-stanford-tharp-2013.pdf</t>
        </is>
      </c>
      <c r="Z27" t="inlineStr">
        <is>
          <t>https://www.uh.edu/class/psychology/clinical-psych/research/dpl/_files/publications/steinberg-sharp-stanford-tharp-2013.pdf</t>
        </is>
      </c>
    </row>
    <row r="28">
      <c r="A28" t="inlineStr">
        <is>
          <t>BTQ</t>
        </is>
      </c>
      <c r="B28" t="inlineStr">
        <is>
          <t>Brief Trauma Questionnaire</t>
        </is>
      </c>
      <c r="C28" t="inlineStr">
        <is>
          <t>4. Clinical and distress screening</t>
        </is>
      </c>
      <c r="D28" t="inlineStr">
        <is>
          <t>Public domain</t>
        </is>
      </c>
      <c r="E28" t="n">
        <v>10</v>
      </c>
      <c r="F28">
        <f>COUNTIF('Master Item List'!$A:$A,$A28)</f>
        <v/>
      </c>
      <c r="G28" t="inlineStr">
        <is>
          <t>Lifetime exposure to 10 categories of potentially traumatic events and whether each involved perceived life threat or serious injury (DSM-IV Criterion A).</t>
        </is>
      </c>
      <c r="H28" t="inlineStr">
        <is>
          <t>Self report</t>
        </is>
      </c>
      <c r="I28" t="inlineStr">
        <is>
          <t>18+</t>
        </is>
      </c>
      <c r="J28" t="inlineStr">
        <is>
          <t>5 minutes</t>
        </is>
      </c>
      <c r="K28"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t>
        </is>
      </c>
      <c r="L28" t="inlineStr">
        <is>
          <t>Natural companion to the PCL-5 to document index trauma; review distressing disclosures in session</t>
        </is>
      </c>
      <c r="M28" t="inlineStr">
        <is>
          <t>Lifetime exposure to 10 categories of potentially traumatic events and whether each involved perceived life threat or serious injury (DSM-IV Criterion A).</t>
        </is>
      </c>
      <c r="N28" t="inlineStr">
        <is>
          <t>The following questions ask about events that may be extraordinarily stressful or disturbing for almost everyone. Please circle "Yes" or "No" to report what has happened to you. If you answer "Yes" for an event, please answer any additional questions that are listed on the right side of the page to report: (1) whether you thought your life was in danger or you might be seriously injured; and (2) whether you were seriously injured. If you answer "No" for an event, go on to the next event.</t>
        </is>
      </c>
      <c r="O28" t="inlineStr">
        <is>
          <t>No = 0 | Yes = 1</t>
        </is>
      </c>
      <c r="P28" t="inlineStr">
        <is>
          <t>None</t>
        </is>
      </c>
      <c r="Q28" t="inlineStr">
        <is>
          <t>None</t>
        </is>
      </c>
      <c r="R28" t="inlineStr">
        <is>
          <t>Trauma exposure (items 1-10; n=10; range 0-10 events meeting Criterion A)</t>
        </is>
      </c>
      <c r="S28" t="inlineStr">
        <is>
          <t>No total score. From the BTQ scoring note: "exposure to an event should be scored as positive if a respondent says yes to either: life threat or serious injury for events 1-3 and 5-7; life threat for event 4; serious injury for event 8, or; 'Has this ever happened to you?' for events 9 and 10." The count of positive events can be reported; the instrument is typically used to establish an index trauma before administering the PCL-5.</t>
        </is>
      </c>
      <c r="T28" t="inlineStr">
        <is>
          <t>See Total scoring</t>
        </is>
      </c>
      <c r="U28" t="inlineStr">
        <is>
          <t>See Total scoring</t>
        </is>
      </c>
      <c r="V28" t="inlineStr">
        <is>
          <t>Not stated on source</t>
        </is>
      </c>
      <c r="W28" t="inlineStr">
        <is>
          <t>Not stated on source</t>
        </is>
      </c>
      <c r="X28" t="inlineStr">
        <is>
          <t>Schnurr, P. P., Vielhauer, M. J., Weathers, F. W., &amp; Findler, M. (1999). The Brief Trauma Questionnaire (BTQ) [Measurement instrument]. National Center for PTSD. https://www.ptsd.va.gov</t>
        </is>
      </c>
      <c r="Y28"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 Source: https://ptsd.va.gov/PTSD/professional/assessment/te-measures/brief_trauma_questionnaire_btq.asp</t>
        </is>
      </c>
      <c r="Z28" t="inlineStr">
        <is>
          <t>https://www.ptsd.va.gov/professional/assessment/documents/BTQ.pdf</t>
        </is>
      </c>
    </row>
    <row r="29">
      <c r="A29" t="inlineStr">
        <is>
          <t>CAGE</t>
        </is>
      </c>
      <c r="B29" t="inlineStr">
        <is>
          <t>CAGE Questionnaire</t>
        </is>
      </c>
      <c r="C29" t="inlineStr">
        <is>
          <t>4. Clinical and distress screening</t>
        </is>
      </c>
      <c r="D29" t="inlineStr">
        <is>
          <t>Public domain</t>
        </is>
      </c>
      <c r="E29" t="n">
        <v>4</v>
      </c>
      <c r="F29">
        <f>COUNTIF('Master Item List'!$A:$A,$A29)</f>
        <v/>
      </c>
      <c r="G29" t="inlineStr">
        <is>
          <t>Lifetime screen for problem drinking through 4 questions: cut down, annoyed, guilty, eye opener.</t>
        </is>
      </c>
      <c r="H29" t="inlineStr">
        <is>
          <t>Self report or clinician administered</t>
        </is>
      </c>
      <c r="I29" t="inlineStr">
        <is>
          <t>18+</t>
        </is>
      </c>
      <c r="J29" t="inlineStr">
        <is>
          <t>1 minutes</t>
        </is>
      </c>
      <c r="K29" t="inlineStr">
        <is>
          <t>"Believed to be in the public domain" (CamCOPS, citing Mayfield et al. 1974, Ewing 1984 and O'Brien 2008; Ewing 1984, the original author, encourages widespread use).</t>
        </is>
      </c>
      <c r="L29" t="inlineStr">
        <is>
          <t>Very quick but insensitive to hazardous non dependent drinking; prefer AUDIT-C where possible</t>
        </is>
      </c>
      <c r="M29" t="inlineStr">
        <is>
          <t>Lifetime screen for problem drinking through 4 questions: cut down, annoyed, guilty, eye opener.</t>
        </is>
      </c>
      <c r="N29" t="inlineStr">
        <is>
          <t>Ask your patients these four questions and use the scoring method described below to determine if substance abuse exists and needs to be addressed.</t>
        </is>
      </c>
      <c r="O29" t="inlineStr">
        <is>
          <t>No = 0 | Yes = 1</t>
        </is>
      </c>
      <c r="P29" t="inlineStr">
        <is>
          <t>None</t>
        </is>
      </c>
      <c r="Q29" t="inlineStr">
        <is>
          <t>None</t>
        </is>
      </c>
      <c r="R29" t="inlineStr">
        <is>
          <t>Total (items 1-4; n=4; range 0-4)</t>
        </is>
      </c>
      <c r="S29" t="inlineStr">
        <is>
          <t>Score each item 0 for no and 1 for yes and sum (0 to 4); higher scores indicate greater likelihood of alcohol problems. A total of 2 or more is considered clinically significant (Ewing, 1984); the SAMHSA Consensus Panel recommends primary care clinicians lower the threshold to 1 positive answer to identify more patients. The CAGE-AID adapts the items to include drug use.</t>
        </is>
      </c>
      <c r="T29" t="inlineStr">
        <is>
          <t>See Total scoring</t>
        </is>
      </c>
      <c r="U29" t="inlineStr">
        <is>
          <t>See Total scoring</t>
        </is>
      </c>
      <c r="V29" t="inlineStr">
        <is>
          <t>Not stated on source</t>
        </is>
      </c>
      <c r="W29" t="inlineStr">
        <is>
          <t>Not stated on source</t>
        </is>
      </c>
      <c r="X29" t="inlineStr">
        <is>
          <t>Ewing, J. A. (1984). Detecting alcoholism: The CAGE questionnaire. JAMA, 252(14), 1905-1907. https://doi.org/10.1001/jama.1984.03350140051025</t>
        </is>
      </c>
      <c r="Y29" t="inlineStr">
        <is>
          <t>"Believed to be in the public domain" (CamCOPS, citing Mayfield et al. 1974, Ewing 1984 and O'Brien 2008; Ewing 1984, the original author, encourages widespread use). Source: https://camcops.readthedocs.io/en/latest/tasks/cage.html</t>
        </is>
      </c>
      <c r="Z29" t="inlineStr">
        <is>
          <t>https://scireproject.com/wp-content/uploads/2022/04/CAGE-Substance-Screening-Tool.pdf</t>
        </is>
      </c>
    </row>
    <row r="30">
      <c r="A30" t="inlineStr">
        <is>
          <t>CAPE-42</t>
        </is>
      </c>
      <c r="B30" t="inlineStr">
        <is>
          <t>Community Assessment of Psychic Experiences</t>
        </is>
      </c>
      <c r="C30" t="inlineStr">
        <is>
          <t>4. Clinical and distress screening</t>
        </is>
      </c>
      <c r="D30" t="inlineStr">
        <is>
          <t>Public domain</t>
        </is>
      </c>
      <c r="E30" t="n">
        <v>42</v>
      </c>
      <c r="F30">
        <f>COUNTIF('Master Item List'!$A:$A,$A30)</f>
        <v/>
      </c>
      <c r="G30" t="inlineStr">
        <is>
          <t>Lifetime frequency of, and distress from, psychotic like experiences in the community across positive, negative and depressive dimensions.</t>
        </is>
      </c>
      <c r="H30" t="inlineStr">
        <is>
          <t>Self report</t>
        </is>
      </c>
      <c r="I30" t="inlineStr">
        <is>
          <t>16+</t>
        </is>
      </c>
      <c r="J30" t="inlineStr">
        <is>
          <t>15 minutes</t>
        </is>
      </c>
      <c r="K30" t="inlineStr">
        <is>
          <t>CamCOPS: Intellectual property "Public domain/freeware"; "totally freeware" (personal communication, Jim van Os to Rudolf Cardinal, 2014-10-16).</t>
        </is>
      </c>
      <c r="L30" t="inlineStr">
        <is>
          <t>Dimensional measure for research and formulation rather than quick screening; the PQ-16 is shorter</t>
        </is>
      </c>
      <c r="M30" t="inlineStr">
        <is>
          <t>Lifetime frequency of, and distress from, psychotic like experiences in the community across positive, negative and depressive dimensions.</t>
        </is>
      </c>
      <c r="N30" t="inlineStr">
        <is>
          <t>Not reproduced in the CamCOPS string file beyond the distress stem "Please indicate how distressed you are by this experience:". The printed CAPE-42 asks respondents to rate how often they have had each experience, then, if the experience occurs at least sometimes, how distressed they are by it.</t>
        </is>
      </c>
      <c r="O30" t="inlineStr">
        <is>
          <t>Never = 1 | Sometimes = 2 | Often = 3 | Nearly always = 4</t>
        </is>
      </c>
      <c r="P30" t="inlineStr">
        <is>
          <t>None</t>
        </is>
      </c>
      <c r="Q30" t="inlineStr">
        <is>
          <t>None</t>
        </is>
      </c>
      <c r="R30" t="inlineStr">
        <is>
          <t>Positive (items 2, 5, 6, 7, 10, 11, 13, 15, 17, 20, 22, 24, 26, 28, 30, 31, 33, 34, 41, 42; n=20; range 20-80 frequency; 20-80 distress; weighted mean 1-4); Negative (items 3, 4, 8, 16, 18, 21, 23, 25, 27, 29, 32, 35, 36, 37; n=14; range 14-56 (sum) or 1-4 (mean)); Depressive (items 1, 9, 12, 14, 19, 38, 39, 40; n=8; range 8-32 (sum) or 1-4 (mean))</t>
        </is>
      </c>
      <c r="S30" t="inlineStr">
        <is>
          <t>Each item is rated for frequency 1 (Never) to 4 (Nearly always); items rated Sometimes or higher are also rated for distress 1 (Not distressed) to 4 (Very distressed), with Never frequency recorded as Not distressed (1). For each dimension compute a frequency sum and a distress sum, usually reported as weighted means (sum divided by the number of items answered) so that scores range 1 to 4. A weighted severity score can also be computed by multiplying each item's frequency by its distress. Higher scores indicate more frequent or more distressing experiences. No diagnostic cut off; the CAPE-P15 positive short form uses a weighted mean of 1.47 as a risk threshold in some studies, and a weighted severity positive score above 1.75 has been proposed as a detector of at risk status.</t>
        </is>
      </c>
      <c r="T30" t="inlineStr">
        <is>
          <t>See Total scoring</t>
        </is>
      </c>
      <c r="U30" t="inlineStr">
        <is>
          <t>See Total scoring</t>
        </is>
      </c>
      <c r="V30" t="inlineStr">
        <is>
          <t>Not stated on source</t>
        </is>
      </c>
      <c r="W30" t="inlineStr">
        <is>
          <t>Not stated on source</t>
        </is>
      </c>
      <c r="X30" t="inlineStr">
        <is>
          <t>Stefanis, N. C., Hanssen, M., Smirnis, N. K., Avramopoulos, D. A., Evdokimidis, I. K., Stefanis, C. N., Verdoux, H., &amp; van Os, J. (2002). Evidence that three dimensions of psychosis have a distribution in the general population. Psychological Medicine, 32(2), 347–358. https://doi.org/10.1017/S0033291701005141</t>
        </is>
      </c>
      <c r="Y30" t="inlineStr">
        <is>
          <t>CamCOPS: Intellectual property "Public domain/freeware"; "totally freeware" (personal communication, Jim van Os to Rudolf Cardinal, 2014-10-16). Source: https://camcops.readthedocs.io/en/latest/tasks/cape.html</t>
        </is>
      </c>
      <c r="Z30" t="inlineStr">
        <is>
          <t>https://camcops.readthedocs.io/en/latest/autodoc/server/camcops_server/extra_strings/cape42.xml.html</t>
        </is>
      </c>
    </row>
    <row r="31">
      <c r="A31" t="inlineStr">
        <is>
          <t>CBI</t>
        </is>
      </c>
      <c r="B31" t="inlineStr">
        <is>
          <t>Copenhagen Burnout Inventory</t>
        </is>
      </c>
      <c r="C31" t="inlineStr">
        <is>
          <t>3. Adjacent occupational and wellbeing</t>
        </is>
      </c>
      <c r="D31" t="inlineStr">
        <is>
          <t>Free / open access</t>
        </is>
      </c>
      <c r="E31" t="n">
        <v>19</v>
      </c>
      <c r="F31">
        <f>COUNTIF('Master Item List'!$A:$A,$A31)</f>
        <v/>
      </c>
      <c r="G31" t="inlineStr">
        <is>
          <t>Burnout as fatigue and exhaustion attributed to three domains: life in general, work, and work with clients.</t>
        </is>
      </c>
      <c r="H31" t="inlineStr">
        <is>
          <t>Self report</t>
        </is>
      </c>
      <c r="I31" t="inlineStr">
        <is>
          <t>Working adults</t>
        </is>
      </c>
      <c r="J31" t="inlineStr">
        <is>
          <t>5 minutes</t>
        </is>
      </c>
      <c r="K31"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t>
        </is>
      </c>
      <c r="L31" t="inlineStr">
        <is>
          <t>Strong choice for coaching: free for commercial use with citation, and the personal versus work split helps locate the source of exhaustion.</t>
        </is>
      </c>
      <c r="M31" t="inlineStr">
        <is>
          <t>Burnout as fatigue and exhaustion attributed to three domains: life in general, work, and work with clients.</t>
        </is>
      </c>
      <c r="N31" t="inlineStr">
        <is>
          <t>Not stated on source</t>
        </is>
      </c>
      <c r="O31" t="inlineStr">
        <is>
          <t>Always = 100 | Often = 75 | Sometimes = 50 | Seldom = 25 | Never/almost never = 0</t>
        </is>
      </c>
      <c r="P31" t="inlineStr">
        <is>
          <t>13</t>
        </is>
      </c>
      <c r="Q31" t="inlineStr">
        <is>
          <t>None</t>
        </is>
      </c>
      <c r="R31" t="inlineStr">
        <is>
          <t>Personal burnout (items 1-6; n=6; range 0-100); Work related burnout (items 7-13; n=7; range 0-100); Client related burnout (items 14-19; n=6; range 0-100)</t>
        </is>
      </c>
      <c r="S31" t="inlineStr">
        <is>
          <t>Score each response Always or To a very high degree = 100, Often or To a high degree = 75, Sometimes or Somewhat = 50, Seldom or To a low degree = 25, Never/almost never or To a very low degree = 0, with item 13 reversed. Each subscale score is the mean of its items (0 to 100); higher scores indicate more burnout. A respondent is treated as a non responder on a scale if fewer than 3 personal items, fewer than 4 work items or fewer than 3 client items are answered. The NFA source gives no formal cut off; the PUMA study treated 50 or more as high burnout, and later studies commonly use 50 to 74 moderate, 75 to 99 high and 100 severe. The source recommends not presenting items in the order printed and mixing them with items on other topics.</t>
        </is>
      </c>
      <c r="T31" t="inlineStr">
        <is>
          <t>See Total scoring</t>
        </is>
      </c>
      <c r="U31" t="inlineStr">
        <is>
          <t>See Total scoring</t>
        </is>
      </c>
      <c r="V31" t="inlineStr">
        <is>
          <t>Not stated on source</t>
        </is>
      </c>
      <c r="W31" t="inlineStr">
        <is>
          <t>Not stated on source</t>
        </is>
      </c>
      <c r="X31" t="inlineStr">
        <is>
          <t>Kristensen, T. S., Borritz, M., Villadsen, E., &amp; Christensen, K. B. (2005). The Copenhagen Burnout Inventory: A new tool for the assessment of burnout. Work &amp; Stress, 19(3), 192–207. https://doi.org/10.1080/02678370500297720</t>
        </is>
      </c>
      <c r="Y31"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 Source: https://www.nfa.dk/vaerktoejer/spoergeskemaer/spoergeskema-til-maaling-af-udbraendthed-cbi/copenhagen-burnout-inventory-cbi</t>
        </is>
      </c>
      <c r="Z31" t="inlineStr">
        <is>
          <t>https://nfa.dk/media/hl5nbers/cbi-first-edition.pdf</t>
        </is>
      </c>
    </row>
    <row r="32">
      <c r="A32" t="inlineStr">
        <is>
          <t>CES-D</t>
        </is>
      </c>
      <c r="B32" t="inlineStr">
        <is>
          <t>Center for Epidemiologic Studies Depression Scale</t>
        </is>
      </c>
      <c r="C32" t="inlineStr">
        <is>
          <t>4. Clinical and distress screening</t>
        </is>
      </c>
      <c r="D32" t="inlineStr">
        <is>
          <t>Public domain</t>
        </is>
      </c>
      <c r="E32" t="n">
        <v>20</v>
      </c>
      <c r="F32">
        <f>COUNTIF('Master Item List'!$A:$A,$A32)</f>
        <v/>
      </c>
      <c r="G32" t="inlineStr">
        <is>
          <t>Frequency of depressive symptoms in the general population over the past week.</t>
        </is>
      </c>
      <c r="H32" t="inlineStr">
        <is>
          <t>Self report</t>
        </is>
      </c>
      <c r="I32" t="inlineStr">
        <is>
          <t>18+ (also used with adolescents)</t>
        </is>
      </c>
      <c r="J32" t="inlineStr">
        <is>
          <t>3 minutes</t>
        </is>
      </c>
      <c r="K32" t="inlineStr">
        <is>
          <t>CES-D: "This scale is free to use without permission" (as quoted by CamCOPS from bmedreport.com; the scale was developed at NIMH, a US federal agency, and is treated as public domain). CESD-R: "The CESD-R is in the public domain so it is free to use in your research." (cesd-r.com)</t>
        </is>
      </c>
      <c r="L32" t="inlineStr">
        <is>
          <t>Good free alternative to the PHQ-9 for symptom monitoring; screening only, not diagnostic</t>
        </is>
      </c>
      <c r="M32" t="inlineStr">
        <is>
          <t>Frequency of depressive symptoms in the general population over the past week.</t>
        </is>
      </c>
      <c r="N32" t="inlineStr">
        <is>
          <t>Below is a list of the ways you might have felt or behaved. Please tell me how often you have felt this way during the past week.</t>
        </is>
      </c>
      <c r="O32" t="inlineStr">
        <is>
          <t>Rarely or none of the time (less than 1 day) = 0 | Some or a little of the time (1-2 days) = 1 | Occasionally or a moderate amount of time (3-4 days) = 2 | Most or all of the time (5-7 days) = 3</t>
        </is>
      </c>
      <c r="P32" t="inlineStr">
        <is>
          <t>4, 8, 12, 16</t>
        </is>
      </c>
      <c r="Q32" t="inlineStr">
        <is>
          <t>None</t>
        </is>
      </c>
      <c r="R32" t="inlineStr">
        <is>
          <t>Total (items 1-20; n=20; range 0-60); Depressed affect (items 3, 6, 9, 10, 14, 17, 18; n=7; range 0-21); Positive affect (items 4, 8, 12, 16; n=4; range 0-12); Somatic and retarded activity (items 1, 2, 5, 7, 11, 13, 20; n=7; range 0-21); Interpersonal (items 15, 19; n=2; range 0-6)</t>
        </is>
      </c>
      <c r="S32" t="inlineStr">
        <is>
          <t>Score each item 0 to 3 by frequency, reversing the 4 positive items (4, 8, 12 and 16) so that 0 = Most or all of the time and 3 = Rarely or none of the time, then sum. "Possible range of scores is zero to 60, with the higher scores indicating the presence of more symptomatology." The conventional cut off of 16 or more indicates clinically significant depressive symptoms (Radloff, 1977; cited by CamCOPS via Lewinsohn et al., 1997); some studies use 20 or more to reduce false positives. Screening only, not diagnostic.</t>
        </is>
      </c>
      <c r="T32" t="inlineStr">
        <is>
          <t>See Total scoring</t>
        </is>
      </c>
      <c r="U32" t="inlineStr">
        <is>
          <t>See Total scoring</t>
        </is>
      </c>
      <c r="V32" t="inlineStr">
        <is>
          <t>Not stated on source</t>
        </is>
      </c>
      <c r="W32" t="inlineStr">
        <is>
          <t>Not stated on source</t>
        </is>
      </c>
      <c r="X32" t="inlineStr">
        <is>
          <t>Radloff, L. S. (1977). The CES-D Scale: A self-report depression scale for research in the general population. Applied Psychological Measurement, 1(3), 385–401. https://doi.org/10.1177/014662167700100306</t>
        </is>
      </c>
      <c r="Y32" t="inlineStr">
        <is>
          <t>CES-D: "This scale is free to use without permission" (as quoted by CamCOPS from bmedreport.com; the scale was developed at NIMH, a US federal agency, and is treated as public domain). CESD-R: "The CESD-R is in the public domain so it is free to use in your research." (cesd-r.com) Source: https://camcops.readthedocs.io/en/latest/tasks/cesd.html</t>
        </is>
      </c>
      <c r="Z32" t="inlineStr">
        <is>
          <t>https://www.apa.org/depression-guideline/epidemiologic-studies-scale.pdf</t>
        </is>
      </c>
    </row>
    <row r="33">
      <c r="A33" t="inlineStr">
        <is>
          <t>CFC-14</t>
        </is>
      </c>
      <c r="B33" t="inlineStr">
        <is>
          <t>Consideration of Future Consequences Scale, 14 item</t>
        </is>
      </c>
      <c r="C33" t="inlineStr">
        <is>
          <t>6. Motivation, self determination and goal pursuit</t>
        </is>
      </c>
      <c r="D33" t="inlineStr">
        <is>
          <t>Free / open access</t>
        </is>
      </c>
      <c r="E33" t="n">
        <v>14</v>
      </c>
      <c r="F33">
        <f>COUNTIF('Master Item List'!$A:$A,$A33)</f>
        <v/>
      </c>
      <c r="G33" t="inlineStr">
        <is>
          <t>Extent to which people consider distant versus immediate consequences of their behaviour and are influenced by them.</t>
        </is>
      </c>
      <c r="H33" t="inlineStr">
        <is>
          <t>Self report</t>
        </is>
      </c>
      <c r="I33" t="inlineStr">
        <is>
          <t>18+</t>
        </is>
      </c>
      <c r="J33" t="inlineStr">
        <is>
          <t>3 minutes</t>
        </is>
      </c>
      <c r="K33" t="inlineStr">
        <is>
          <t>No blanket licence. The NIH SOBC repository catalogues measures with metadata and links to the source; copyright stays with the original authors and their terms apply. Items are published in the source articles and used freely in research with citation.</t>
        </is>
      </c>
      <c r="L33" t="inlineStr">
        <is>
          <t>Links to procrastination and planning difficulties; a conversation starter about time horizons in goal setting.</t>
        </is>
      </c>
      <c r="M33" t="inlineStr">
        <is>
          <t>Extent to which people consider distant versus immediate consequences of their behaviour and are influenced by them.</t>
        </is>
      </c>
      <c r="N33" t="inlineStr">
        <is>
          <t>For each statement, indicate whether or not the statement is characteristic of you.</t>
        </is>
      </c>
      <c r="O33" t="inlineStr">
        <is>
          <t>extremely uncharacteristic = 1 | 2 = 2 | 3 = 3 | 4 = 4 | 5 = 5 | 6 = 6 | extremely characteristic = 7</t>
        </is>
      </c>
      <c r="P33" t="inlineStr">
        <is>
          <t>None</t>
        </is>
      </c>
      <c r="Q33" t="inlineStr">
        <is>
          <t>None</t>
        </is>
      </c>
      <c r="R33" t="inlineStr">
        <is>
          <t>CFC Future (items 1, 2, 6, 7, 8, 13, 14; n=7; range 7-49 (sum) or 1-7 (mean)); CFC Immediate (items 3, 4, 5, 9, 10, 11, 12; n=7; range 7-49 (sum) or 1-7 (mean)); Total (items 1-14; n=14; range 14-98 (sum on 7 point scale) or 1-7 (mean))</t>
        </is>
      </c>
      <c r="S33" t="inlineStr">
        <is>
          <t>Compute CFC-Future and CFC-Immediate as the sum or mean of their 7 items; for a total score reverse the 7 Immediate items and sum or average all 14 (McKay et al., 2018, describing Joireman et al., 2012). Higher total scores indicate greater consideration of future consequences. The two factor scoring is recommended by Joireman et al. (2012). No published cut offs. Note that the Macmillan source scores on a 5 point scale giving a 14 to 70 range; on the 7 point scale of Joireman et al. the total ranges 14 to 98.</t>
        </is>
      </c>
      <c r="T33" t="inlineStr">
        <is>
          <t>See Total scoring</t>
        </is>
      </c>
      <c r="U33" t="inlineStr">
        <is>
          <t>See Total scoring</t>
        </is>
      </c>
      <c r="V33" t="inlineStr">
        <is>
          <t>Not stated on source</t>
        </is>
      </c>
      <c r="W33" t="inlineStr">
        <is>
          <t>Not stated on source</t>
        </is>
      </c>
      <c r="X33" t="inlineStr">
        <is>
          <t>Joireman, J., Shaffer, M. J., Balliet, D., &amp; Strathman, A. (2012). Promotion orientation explains why future-oriented people exercise and eat healthy: Evidence from the two-factor consideration of future consequences-14 scale. Personality and Social Psychology Bulletin, 38(10), 1272–1287. https://doi.org/10.1177/0146167212449362</t>
        </is>
      </c>
      <c r="Y33" t="inlineStr">
        <is>
          <t>No blanket licence. The NIH SOBC repository catalogues measures with metadata and links to the source; copyright stays with the original authors and their terms apply. Items are published in the source articles and used freely in research with citation. Source: https://scienceofbehaviorchange.org/measures/</t>
        </is>
      </c>
      <c r="Z33" t="inlineStr">
        <is>
          <t>https://digfir-published.macmillanusa.com/myers_pel_assess_your_strengths2/myers_ays_ch6a.html</t>
        </is>
      </c>
    </row>
    <row r="34">
      <c r="A34" t="inlineStr">
        <is>
          <t>CFQ</t>
        </is>
      </c>
      <c r="B34" t="inlineStr">
        <is>
          <t>Cognitive Failures Questionnaire</t>
        </is>
      </c>
      <c r="C34" t="inlineStr">
        <is>
          <t>1. Executive functioning and ADHD</t>
        </is>
      </c>
      <c r="D34" t="inlineStr">
        <is>
          <t>Free / open access</t>
        </is>
      </c>
      <c r="E34" t="n">
        <v>25</v>
      </c>
      <c r="F34">
        <f>COUNTIF('Master Item List'!$A:$A,$A34)</f>
        <v/>
      </c>
      <c r="G34" t="inlineStr">
        <is>
          <t>Frequency of everyday slips and lapses in perception, memory and motor function over the past 6 months.</t>
        </is>
      </c>
      <c r="H34" t="inlineStr">
        <is>
          <t>Self report</t>
        </is>
      </c>
      <c r="I34" t="inlineStr">
        <is>
          <t>16+</t>
        </is>
      </c>
      <c r="J34" t="inlineStr">
        <is>
          <t>5 minutes</t>
        </is>
      </c>
      <c r="K34"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t>
        </is>
      </c>
      <c r="L34" t="inlineStr">
        <is>
          <t>Useful for naming the concrete everyday lapses clients want to reduce; items map easily onto environmental and routine based strategies.</t>
        </is>
      </c>
      <c r="M34" t="inlineStr">
        <is>
          <t>Frequency of everyday slips and lapses in perception, memory and motor function over the past 6 months.</t>
        </is>
      </c>
      <c r="N34" t="inlineStr">
        <is>
          <t>The following questions are about minor mistakes which everyone makes from time to time, but some of which happen more often than others. We want to know how often these things have happened to you in the last six months.</t>
        </is>
      </c>
      <c r="O34" t="inlineStr">
        <is>
          <t>Never = 0 | Very rarely = 1 | Occasionally = 2 | Quite often = 3 | Very often = 4</t>
        </is>
      </c>
      <c r="P34" t="inlineStr">
        <is>
          <t>None</t>
        </is>
      </c>
      <c r="Q34" t="inlineStr">
        <is>
          <t>None</t>
        </is>
      </c>
      <c r="R34" t="inlineStr">
        <is>
          <t>Total (items 1-25; n=25; range 0-100)</t>
        </is>
      </c>
      <c r="S34" t="inlineStr">
        <is>
          <t>Sum all 25 items (each scored 0 to 4) for a total of 0 to 100; higher scores indicate more cognitive failures. No formal clinical cut offs. Broadbent et al. (1982) sample means reported on the PsyToolkit page: 35.02 (car factory production workers), 36.65 (car factory skilled men), 52.48 (student nurses). Factor derived subscales (for example Forgetfulness, Distractibility and False triggering, Rast et al. 2009) are reported in the secondary literature but no item membership was available from the sources transcribed here.</t>
        </is>
      </c>
      <c r="T34" t="inlineStr">
        <is>
          <t>See Total scoring</t>
        </is>
      </c>
      <c r="U34" t="inlineStr">
        <is>
          <t>See Total scoring</t>
        </is>
      </c>
      <c r="V34" t="inlineStr">
        <is>
          <t>Not stated on source</t>
        </is>
      </c>
      <c r="W34" t="inlineStr">
        <is>
          <t>Not stated on source</t>
        </is>
      </c>
      <c r="X34" t="inlineStr">
        <is>
          <t>Broadbent, D. E., Cooper, P. F., FitzGerald, P., &amp; Parkes, K. R. (1982). The Cognitive Failures Questionnaire (CFQ) and its correlates. British Journal of Clinical Psychology, 21(1), 1–16. https://doi.org/10.1111/j.2044-8260.1982.tb01421.x</t>
        </is>
      </c>
      <c r="Y34"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 Source: https://hub.salford.ac.uk/psytech/equipment-resources/questionnaire-battery/the-cognitive-failures-questionnaire/</t>
        </is>
      </c>
      <c r="Z34" t="inlineStr">
        <is>
          <t>https://www.psytoolkit.org/survey-library/cognitive-failures-cfq.html</t>
        </is>
      </c>
    </row>
    <row r="35">
      <c r="A35" t="inlineStr">
        <is>
          <t>COHS</t>
        </is>
      </c>
      <c r="B35" t="inlineStr">
        <is>
          <t>Creature of Habit Scale</t>
        </is>
      </c>
      <c r="C35" t="inlineStr">
        <is>
          <t>6. Motivation, self determination and goal pursuit</t>
        </is>
      </c>
      <c r="D35" t="inlineStr">
        <is>
          <t>Free / open access</t>
        </is>
      </c>
      <c r="E35" t="n">
        <v>27</v>
      </c>
      <c r="F35">
        <f>COUNTIF('Master Item List'!$A:$A,$A35)</f>
        <v/>
      </c>
      <c r="G35" t="inlineStr">
        <is>
          <t>Individual differences in habitual tendencies in daily life: preference for routine and automatic, cue driven responding.</t>
        </is>
      </c>
      <c r="H35" t="inlineStr">
        <is>
          <t>Self report</t>
        </is>
      </c>
      <c r="I35" t="inlineStr">
        <is>
          <t>18+</t>
        </is>
      </c>
      <c r="J35" t="inlineStr">
        <is>
          <t>5 minutes</t>
        </is>
      </c>
      <c r="K35" t="inlineStr">
        <is>
          <t>Article statement: "This is an open access article under the CC BY license (http://creativecommons.org/licenses/by/4.0/)." The Cambridge repository copy is listed as Attribution-NonCommercial-NoDerivatives 4.0 International.</t>
        </is>
      </c>
      <c r="L35" t="inlineStr">
        <is>
          <t>Distinguishes clients who thrive on routine from those who act on autopilot; informs whether to build structure or interrupt cues.</t>
        </is>
      </c>
      <c r="M35" t="inlineStr">
        <is>
          <t>Individual differences in habitual tendencies in daily life: preference for routine and automatic, cue driven responding.</t>
        </is>
      </c>
      <c r="N35" t="inlineStr">
        <is>
          <t>Not available as respondent facing text. Methods (Section 2.1): "Participants were required to indicate for each statement their level of agreement on a 5-point Likert scale, ranging from strongly disagree (1) to strongly agree (5)." The administered form in Appendix B is image only.</t>
        </is>
      </c>
      <c r="O35" t="inlineStr">
        <is>
          <t>strongly disagree = 1 | 2 = 2 | 3 = 3 | 4 = 4 | strongly agree = 5</t>
        </is>
      </c>
      <c r="P35" t="inlineStr">
        <is>
          <t>None</t>
        </is>
      </c>
      <c r="Q35" t="inlineStr">
        <is>
          <t>None</t>
        </is>
      </c>
      <c r="R35" t="inlineStr">
        <is>
          <t>Routine (items 1-16; n=16; range 16-80); Automaticity (items 17-27; n=11; range 11-55)</t>
        </is>
      </c>
      <c r="S35" t="inlineStr">
        <is>
          <t>Score each subscale separately; higher scores indicate stronger routine preference or greater automaticity. The authors state that "individuals should be assessed on the basis of the score of each scale separately, rather than by an overall score of both scales" because the subscales correlate only weakly (r = 0.14). No reverse scored items remain in the final 27 item scale. No cut offs are published.</t>
        </is>
      </c>
      <c r="T35" t="inlineStr">
        <is>
          <t>See Total scoring</t>
        </is>
      </c>
      <c r="U35" t="inlineStr">
        <is>
          <t>See Total scoring</t>
        </is>
      </c>
      <c r="V35" t="inlineStr">
        <is>
          <t>Not stated on source</t>
        </is>
      </c>
      <c r="W35" t="inlineStr">
        <is>
          <t>Not stated on source</t>
        </is>
      </c>
      <c r="X35" t="inlineStr">
        <is>
          <t>Ersche, K. D., Lim, T.-V., Ward, L. H. E., Robbins, T. W., &amp; Stochl, J. (2017). Creature of Habit: A self-report measure of habitual routines and automatic tendencies in everyday life. Personality and Individual Differences, 116, 73–85. https://doi.org/10.1016/j.paid.2017.04.024</t>
        </is>
      </c>
      <c r="Y35" t="inlineStr">
        <is>
          <t>Article statement: "This is an open access article under the CC BY license (http://creativecommons.org/licenses/by/4.0/)." The Cambridge repository copy is listed as Attribution-NonCommercial-NoDerivatives 4.0 International. Source: https://www.repository.cam.ac.uk/handle/1810/266049</t>
        </is>
      </c>
      <c r="Z35" t="inlineStr">
        <is>
          <t>https://pmc.ncbi.nlm.nih.gov/articles/PMC5473478/</t>
        </is>
      </c>
    </row>
    <row r="36">
      <c r="A36" t="inlineStr">
        <is>
          <t>CPC-12</t>
        </is>
      </c>
      <c r="B36" t="inlineStr">
        <is>
          <t>Compound PsyCap Scale</t>
        </is>
      </c>
      <c r="C36" t="inlineStr">
        <is>
          <t>3. Adjacent occupational and wellbeing</t>
        </is>
      </c>
      <c r="D36" t="inlineStr">
        <is>
          <t>Free / open access</t>
        </is>
      </c>
      <c r="E36" t="n">
        <v>12</v>
      </c>
      <c r="F36">
        <f>COUNTIF('Master Item List'!$A:$A,$A36)</f>
        <v/>
      </c>
      <c r="G36" t="inlineStr">
        <is>
          <t>Psychological capital as a higher order construct composed of hope, optimism, resilience and self efficacy, built from open items as a free alternative to the commercial PCQ.</t>
        </is>
      </c>
      <c r="H36" t="inlineStr">
        <is>
          <t>Self report</t>
        </is>
      </c>
      <c r="I36" t="inlineStr">
        <is>
          <t>18+</t>
        </is>
      </c>
      <c r="J36" t="inlineStr">
        <is>
          <t>3 minutes</t>
        </is>
      </c>
      <c r="K36"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t>
        </is>
      </c>
      <c r="L36" t="inlineStr">
        <is>
          <t>Explicitly built as an open PsyCap measure; items appear in Figure 1 and in the open access CPC-12R revision (Dudasova et al., 2021).</t>
        </is>
      </c>
      <c r="M36" t="inlineStr">
        <is>
          <t>Psychological capital as a higher order construct composed of hope, optimism, resilience and self efficacy, built from open items as a free alternative to the commercial PCQ.</t>
        </is>
      </c>
      <c r="N36" t="inlineStr">
        <is>
          <t>Not stated on source</t>
        </is>
      </c>
      <c r="O36" t="inlineStr">
        <is>
          <t>strongly disagree = 1 | 2 = 2 | 3 = 3 | 4 = 4 | 5 = 5 | strongly agree = 6</t>
        </is>
      </c>
      <c r="P36" t="inlineStr">
        <is>
          <t>None</t>
        </is>
      </c>
      <c r="Q36" t="inlineStr">
        <is>
          <t>None</t>
        </is>
      </c>
      <c r="R36" t="inlineStr">
        <is>
          <t>Hope (items 1-3; n=3; range 1-6 (mean)); Optimism (items 4-6; n=3; range 1-6 (mean)); Resilience (items 7-9; n=3; range 1-6 (mean)); Self-efficacy (items 10-12; n=3; range 1-6 (mean)); Total (items 1-12; n=12; range 1-6 (mean))</t>
        </is>
      </c>
      <c r="S36" t="inlineStr">
        <is>
          <t>Items rated on a 6 point scale from 1 = strongly disagree to 6 = strongly agree. Subscale and total scores are means of the items (1 to 6); higher scores indicate more psychological capital. No reverse scored items are identified. The authors note that norms have not been established and give no cut offs.</t>
        </is>
      </c>
      <c r="T36" t="inlineStr">
        <is>
          <t>See Total scoring</t>
        </is>
      </c>
      <c r="U36" t="inlineStr">
        <is>
          <t>See Total scoring</t>
        </is>
      </c>
      <c r="V36" t="inlineStr">
        <is>
          <t>Not stated on source</t>
        </is>
      </c>
      <c r="W36" t="inlineStr">
        <is>
          <t>Not stated on source</t>
        </is>
      </c>
      <c r="X36" t="inlineStr">
        <is>
          <t>Lorenz, T., Beer, C., Pütz, J., &amp; Heinitz, K. (2016). Measuring psychological capital: Construction and validation of the Compound PsyCap Scale (CPC-12). PLOS ONE, 11(4), e0152892. https://doi.org/10.1371/journal.pone.0152892</t>
        </is>
      </c>
      <c r="Y36"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 Source: https://journals.plos.org/plosone/article?id=10.1371/journal.pone.0152892</t>
        </is>
      </c>
      <c r="Z36" t="inlineStr">
        <is>
          <t>https://pmc.ncbi.nlm.nih.gov/articles/PMC9896786/table/tab2 (hope, optimism and self efficacy items) and https://journals.plos.org/plosone/article?id=10.1371/journal.pone.0247114 (original resilience items 7 to 9)</t>
        </is>
      </c>
    </row>
    <row r="37">
      <c r="A37" t="inlineStr">
        <is>
          <t>CUDIT-R</t>
        </is>
      </c>
      <c r="B37" t="inlineStr">
        <is>
          <t>Cannabis Use Disorders Identification Test, Revised</t>
        </is>
      </c>
      <c r="C37" t="inlineStr">
        <is>
          <t>4. Clinical and distress screening</t>
        </is>
      </c>
      <c r="D37" t="inlineStr">
        <is>
          <t>Free / open access</t>
        </is>
      </c>
      <c r="E37" t="n">
        <v>8</v>
      </c>
      <c r="F37">
        <f>COUNTIF('Master Item List'!$A:$A,$A37)</f>
        <v/>
      </c>
      <c r="G37" t="inlineStr">
        <is>
          <t>Hazardous cannabis use and possible cannabis use disorder over the past 6 months.</t>
        </is>
      </c>
      <c r="H37" t="inlineStr">
        <is>
          <t>Self report</t>
        </is>
      </c>
      <c r="I37" t="inlineStr">
        <is>
          <t>16+</t>
        </is>
      </c>
      <c r="J37" t="inlineStr">
        <is>
          <t>2 minutes</t>
        </is>
      </c>
      <c r="K37" t="inlineStr">
        <is>
          <t>"This protocol is freely available; permission not required for use." (PhenX Toolkit)</t>
        </is>
      </c>
      <c r="L37" t="inlineStr">
        <is>
          <t>The NZ developed cannabis screen; the obvious choice for this codebook</t>
        </is>
      </c>
      <c r="M37" t="inlineStr">
        <is>
          <t>Hazardous cannabis use and possible cannabis use disorder over the past 6 months.</t>
        </is>
      </c>
      <c r="N37" t="inlineStr">
        <is>
          <t>Have you used any cannabis over the past six months? YES / NO. If YES, please answer the following questions about your cannabis use. Circle the response that is most correct for you in relation to your cannabis use over the past six months</t>
        </is>
      </c>
      <c r="O37" t="inlineStr">
        <is>
          <t>Never = 0 | Less than monthly = 1 | Monthly = 2 | Weekly = 3 | Daily or almost daily = 4</t>
        </is>
      </c>
      <c r="P37" t="inlineStr">
        <is>
          <t>None</t>
        </is>
      </c>
      <c r="Q37" t="inlineStr">
        <is>
          <t>None</t>
        </is>
      </c>
      <c r="R37" t="inlineStr">
        <is>
          <t>Total (items 1-8; n=8; range 0-32)</t>
        </is>
      </c>
      <c r="S37" t="inlineStr">
        <is>
          <t>"This questionnaire was designed for self-administration and is scored by adding each of the 8 items: Question 1-7 are scored on a 0-4 scale" and "Question 8 is scored 0, 2 or 4" (total 0 to 32). Higher scores indicate more problematic use. "Scores of 8 or more indicate hazardous cannabis use, while scores of 12 or more indicate a possible cannabis use disorder for which further intervention may be required."</t>
        </is>
      </c>
      <c r="T37" t="inlineStr">
        <is>
          <t>See Total scoring</t>
        </is>
      </c>
      <c r="U37" t="inlineStr">
        <is>
          <t>See Total scoring</t>
        </is>
      </c>
      <c r="V37" t="inlineStr">
        <is>
          <t>Not stated on source</t>
        </is>
      </c>
      <c r="W37" t="inlineStr">
        <is>
          <t>Not stated on source</t>
        </is>
      </c>
      <c r="X37" t="inlineStr">
        <is>
          <t>Adamson, S. J., Kay-Lambkin, F. J., Baker, A. L., Lewin, T. J., Thornton, L., Kelly, B. J., &amp; Sellman, J. D. (2010). An improved brief measure of cannabis misuse: The Cannabis Use Disorders Identification Test-Revised (CUDIT-R). Drug and Alcohol Dependence, 110(1–2), 137–143. https://doi.org/10.1016/j.drugalcdep.2010.02.017</t>
        </is>
      </c>
      <c r="Y37" t="inlineStr">
        <is>
          <t>"This protocol is freely available; permission not required for use." (PhenX Toolkit) Source: https://phenxtoolkit.org/protocols/view/510310</t>
        </is>
      </c>
      <c r="Z37" t="inlineStr">
        <is>
          <t>https://phenxtoolkit.org/protocols/view/510310</t>
        </is>
      </c>
    </row>
    <row r="38">
      <c r="A38" t="inlineStr">
        <is>
          <t>DES-II</t>
        </is>
      </c>
      <c r="B38" t="inlineStr">
        <is>
          <t>Dissociative Experiences Scale II</t>
        </is>
      </c>
      <c r="C38" t="inlineStr">
        <is>
          <t>4. Clinical and distress screening</t>
        </is>
      </c>
      <c r="D38" t="inlineStr">
        <is>
          <t>Public domain</t>
        </is>
      </c>
      <c r="E38" t="n">
        <v>28</v>
      </c>
      <c r="F38">
        <f>COUNTIF('Master Item List'!$A:$A,$A38)</f>
        <v/>
      </c>
      <c r="G38" t="inlineStr">
        <is>
          <t>Frequency of dissociative experiences in daily life, spanning amnesia, depersonalisation and derealisation, and absorption.</t>
        </is>
      </c>
      <c r="H38" t="inlineStr">
        <is>
          <t>Self report</t>
        </is>
      </c>
      <c r="I38" t="inlineStr">
        <is>
          <t>18+ (adolescents should use the A-DES)</t>
        </is>
      </c>
      <c r="J38" t="inlineStr">
        <is>
          <t>10 minutes</t>
        </is>
      </c>
      <c r="K38" t="inlineStr">
        <is>
          <t>Authors E.B. Carlson &amp; F.W. Putnam have given permission for the Dissociative Experiences Scale to be copied, distributed or reproduced for research or clinical use.</t>
        </is>
      </c>
      <c r="L38" t="inlineStr">
        <is>
          <t>Already on NovoPsych; screening only, discuss high scores in session rather than report automatically</t>
        </is>
      </c>
      <c r="M38" t="inlineStr">
        <is>
          <t>Frequency of dissociative experiences in daily life, spanning amnesia, depersonalisation and derealisation, and absorption.</t>
        </is>
      </c>
      <c r="N38" t="inlineStr">
        <is>
          <t>This questionnaire asks about experiences that you may have in your daily life. We are interested in how often you have these experiences. It is important, however, that your answers show how often these experiences happen to you when you are not under the influence of alcohol or drugs. To answer the questions, please determine to what degree each experience described in the question applies to you, and circle the number to show what percentage of the time you have the experience. For example: 0% (Never) 10 20 30 40 50 60 70 80 90 100% (Always)</t>
        </is>
      </c>
      <c r="O38" t="inlineStr">
        <is>
          <t>0% (Never) = 0 | 10 = 10 | 20 = 20 | 30 = 30 | 40 = 40 | 50 = 50 | 60 = 60 | 70 = 70 | 80 = 80 | 90 = 90 | 100% (Always) = 100</t>
        </is>
      </c>
      <c r="P38" t="inlineStr">
        <is>
          <t>None</t>
        </is>
      </c>
      <c r="Q38" t="inlineStr">
        <is>
          <t>None</t>
        </is>
      </c>
      <c r="R38" t="inlineStr">
        <is>
          <t>Total (items 1-28; n=28; range 0-100 (mean percentage)); Amnesia (items 3, 4, 5, 6, 8, 10, 25, 26; n=8; range 0-100 (mean)); Depersonalisation and derealisation (items 7, 11, 12, 13, 27, 28; n=6; range 0-100 (mean)); Absorption (items 2, 14, 15, 17, 18, 20, 22, 23; n=8; range 0-100 (mean)); DES-Taxon (items 3, 5, 7, 8, 12, 13, 22, 27; n=8; range 0-100 (mean))</t>
        </is>
      </c>
      <c r="S38" t="inlineStr">
        <is>
          <t>Add the percentage values for all 28 items and divide by 28 to obtain the DES score (0 to 100). Higher scores indicate more frequent dissociative experiences. The form states that scores of 30 or higher indicate high levels of dissociation and scores below 30 indicate low levels, and that a high score alone does not indicate a more severe disorder because the scale measures both normal and pathological dissociation; Carlson and Putnam (1993) recommend 30 as the screening threshold for possible dissociative disorder warranting further assessment. The DES-Taxon mean flags pathological dissociation. The University of Coimbra page reports a Portuguese four factor solution (depersonalisation-derealisation 7, 11, 12, 13, 16, 27, 28; absorption 14, 17, 18, 19, 20, 22, 23; distractibility 1, 2, 15, 21, 24, 25, 26; memory disturbances 3, 4, 5, 6, 8, 9) and confirms the cut off of 30.</t>
        </is>
      </c>
      <c r="T38" t="inlineStr">
        <is>
          <t>See Total scoring</t>
        </is>
      </c>
      <c r="U38" t="inlineStr">
        <is>
          <t>See Total scoring</t>
        </is>
      </c>
      <c r="V38" t="inlineStr">
        <is>
          <t>Not stated on source</t>
        </is>
      </c>
      <c r="W38" t="inlineStr">
        <is>
          <t>Not stated on source</t>
        </is>
      </c>
      <c r="X38" t="inlineStr">
        <is>
          <t>Carlson, E. B., &amp; Putnam, F. W. (1993). An update on the Dissociative Experiences Scale. Dissociation, 6(1), 16–27.</t>
        </is>
      </c>
      <c r="Y38" t="inlineStr">
        <is>
          <t>Authors E.B. Carlson &amp; F.W. Putnam have given permission for the Dissociative Experiences Scale to be copied, distributed or reproduced for research or clinical use. Source: https://www.psychdb.com/_media/dissociative-disorders/des-ii.pdf</t>
        </is>
      </c>
      <c r="Z38" t="inlineStr">
        <is>
          <t>https://www.psychdb.com/_media/dissociative-disorders/des-ii.pdf</t>
        </is>
      </c>
    </row>
    <row r="39">
      <c r="A39" t="inlineStr">
        <is>
          <t>FMPS-B</t>
        </is>
      </c>
      <c r="B39" t="inlineStr">
        <is>
          <t>Frost Multidimensional Perfectionism Scale, Brief</t>
        </is>
      </c>
      <c r="C39" t="inlineStr">
        <is>
          <t>5. Self talk, thinking patterns and personality</t>
        </is>
      </c>
      <c r="D39" t="inlineStr">
        <is>
          <t>Free / open access</t>
        </is>
      </c>
      <c r="E39" t="n">
        <v>8</v>
      </c>
      <c r="F39">
        <f>COUNTIF('Master Item List'!$A:$A,$A39)</f>
        <v/>
      </c>
      <c r="G39" t="inlineStr">
        <is>
          <t>Perfectionism as 2 dimensions, evaluative concerns and perfectionistic strivings.</t>
        </is>
      </c>
      <c r="H39" t="inlineStr">
        <is>
          <t>Self report</t>
        </is>
      </c>
      <c r="I39" t="inlineStr">
        <is>
          <t>18+</t>
        </is>
      </c>
      <c r="J39" t="inlineStr">
        <is>
          <t>2 minutes</t>
        </is>
      </c>
      <c r="K39" t="inlineStr">
        <is>
          <t>Validation article (Woodfin, Binder and Molde, 2020) is open access under the Creative Commons Attribution License (CC BY) and reproduces all 8 items; the parent FMPS is used freely in research with citation.</t>
        </is>
      </c>
      <c r="L39" t="inlineStr">
        <is>
          <t>Quick screen separating healthy striving from self critical concern; NovoPsych carries the full 35 item FMPS, not this brief form.</t>
        </is>
      </c>
      <c r="M39" t="inlineStr">
        <is>
          <t>Perfectionism as 2 dimensions, evaluative concerns and perfectionistic strivings.</t>
        </is>
      </c>
      <c r="N39" t="inlineStr">
        <is>
          <t>Not stated on source</t>
        </is>
      </c>
      <c r="O39" t="inlineStr">
        <is>
          <t>Strongly disagree = 1 | Disagree = 2 | Neither agree nor disagree = 3 | Agree = 4 | Strongly agree = 5</t>
        </is>
      </c>
      <c r="P39" t="inlineStr">
        <is>
          <t>None</t>
        </is>
      </c>
      <c r="Q39" t="inlineStr">
        <is>
          <t>None</t>
        </is>
      </c>
      <c r="R39" t="inlineStr">
        <is>
          <t>Evaluative Concerns (items 1, 3, 6, 8; n=4; range 4-20); Strivings (items 2, 4, 5, 7; n=4; range 4-20); Total (items 1-8; n=8; range 8-40)</t>
        </is>
      </c>
      <c r="S39" t="inlineStr">
        <is>
          <t>Sum each subscale (4 to 20) and the total (8 to 40). Higher scores indicate more perfectionistic tendencies. No cut offs are published. Woodfin et al. (2020) report Cronbach's alpha of 0.83 for the full scale.</t>
        </is>
      </c>
      <c r="T39" t="inlineStr">
        <is>
          <t>See Total scoring</t>
        </is>
      </c>
      <c r="U39" t="inlineStr">
        <is>
          <t>See Total scoring</t>
        </is>
      </c>
      <c r="V39" t="inlineStr">
        <is>
          <t>Not stated on source</t>
        </is>
      </c>
      <c r="W39" t="inlineStr">
        <is>
          <t>Not stated on source</t>
        </is>
      </c>
      <c r="X39" t="inlineStr">
        <is>
          <t>Burgess, A. M., Frost, R. O., &amp; DiBartolo, P. M. (2016). Development and validation of the Frost Multidimensional Perfectionism Scale-Brief. Journal of Psychoeducational Assessment, 34(7), 620-633. https://doi.org/10.1177/0734282916651359; Woodfin, V., Binder, P.-E., &amp; Molde, H. (2020). The psychometric properties of the Frost Multidimensional Perfectionism Scale - Brief. Frontiers in Psychology, 11, 1860. https://doi.org/10.3389/fpsyg.2020.01860</t>
        </is>
      </c>
      <c r="Y39" t="inlineStr">
        <is>
          <t>Validation article (Woodfin, Binder and Molde, 2020) is open access under the Creative Commons Attribution License (CC BY) and reproduces all 8 items; the parent FMPS is used freely in research with citation. Source: https://www.frontiersin.org/journals/psychology/articles/10.3389/fpsyg.2020.01860/full</t>
        </is>
      </c>
      <c r="Z39" t="inlineStr">
        <is>
          <t>https://www.frontiersin.org/journals/psychology/articles/10.3389/fpsyg.2020.01860/full</t>
        </is>
      </c>
    </row>
    <row r="40">
      <c r="A40" t="inlineStr">
        <is>
          <t>GAD-7</t>
        </is>
      </c>
      <c r="B40" t="inlineStr">
        <is>
          <t>Generalized Anxiety Disorder 7</t>
        </is>
      </c>
      <c r="C40" t="inlineStr">
        <is>
          <t>4. Clinical and distress screening</t>
        </is>
      </c>
      <c r="D40" t="inlineStr">
        <is>
          <t>Public domain</t>
        </is>
      </c>
      <c r="E40" t="n">
        <v>8</v>
      </c>
      <c r="F40">
        <f>COUNTIF('Master Item List'!$A:$A,$A40)</f>
        <v/>
      </c>
      <c r="G40" t="inlineStr">
        <is>
          <t>Frequency of core generalised anxiety symptoms over the past 2 weeks.</t>
        </is>
      </c>
      <c r="H40" t="inlineStr">
        <is>
          <t>Self report</t>
        </is>
      </c>
      <c r="I40" t="inlineStr">
        <is>
          <t>13+ (validated in adults 18+)</t>
        </is>
      </c>
      <c r="J40" t="inlineStr">
        <is>
          <t>2 minutes</t>
        </is>
      </c>
      <c r="K40"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t>
        </is>
      </c>
      <c r="L40" t="inlineStr">
        <is>
          <t>Brief anxiety screen suitable for intake and for monitoring stress focused coaching; genuinely free for any use.</t>
        </is>
      </c>
      <c r="M40" t="inlineStr">
        <is>
          <t>Frequency of core generalised anxiety symptoms over the past 2 weeks.</t>
        </is>
      </c>
      <c r="N40" t="inlineStr">
        <is>
          <t>Over the last 2 weeks, how often have you been bothered by the following problems?</t>
        </is>
      </c>
      <c r="O40" t="inlineStr">
        <is>
          <t>Not at all = 0 | Several days = 1 | More than half the days = 2 | Nearly every day = 3</t>
        </is>
      </c>
      <c r="P40" t="inlineStr">
        <is>
          <t>None</t>
        </is>
      </c>
      <c r="Q40" t="inlineStr">
        <is>
          <t>8</t>
        </is>
      </c>
      <c r="R40" t="inlineStr">
        <is>
          <t>Total (items 1-7; n=7; range 0-21)</t>
        </is>
      </c>
      <c r="S40" t="inlineStr">
        <is>
          <t>Sum items 1 to 7 (0 to 3 each) for a total of 0 to 21; higher scores indicate more severe anxiety. Severity bands from Spitzer et al. (2006): 0 to 4 minimal, 5 to 9 mild, 10 to 14 moderate, 15 to 21 severe; a score of 10 or more is the recommended screening threshold for generalised anxiety disorder (PsyToolkit page: "people with a score of 10 or greater might suffer from generlized [sic] anxiety disorder"). NHS Talking Therapies uses 8 or more as the clinical case threshold (NHS Talking Therapies Manual).</t>
        </is>
      </c>
      <c r="T40" t="inlineStr">
        <is>
          <t>See Total scoring</t>
        </is>
      </c>
      <c r="U40" t="inlineStr">
        <is>
          <t>See Total scoring</t>
        </is>
      </c>
      <c r="V40" t="inlineStr">
        <is>
          <t>Not stated on source</t>
        </is>
      </c>
      <c r="W40" t="inlineStr">
        <is>
          <t>Not stated on source</t>
        </is>
      </c>
      <c r="X40" t="inlineStr">
        <is>
          <t>Spitzer, R. L., Kroenke, K., Williams, J. B. W., &amp; Löwe, B. (2006). A brief measure for assessing generalized anxiety disorder: The GAD-7. Archives of Internal Medicine, 166(10), 1092–1097. https://doi.org/10.1001/archinte.166.10.1092</t>
        </is>
      </c>
      <c r="Y40"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 Source: https://www.phqscreeners.com/</t>
        </is>
      </c>
      <c r="Z40" t="inlineStr">
        <is>
          <t>https://psytoolkit.org/survey-library/anxiety-gad7.html</t>
        </is>
      </c>
    </row>
    <row r="41">
      <c r="A41" t="inlineStr">
        <is>
          <t>GPS</t>
        </is>
      </c>
      <c r="B41" t="inlineStr">
        <is>
          <t>General Procrastination Scale</t>
        </is>
      </c>
      <c r="C41" t="inlineStr">
        <is>
          <t>6. Motivation, self determination and goal pursuit</t>
        </is>
      </c>
      <c r="D41" t="inlineStr">
        <is>
          <t>Free / open access</t>
        </is>
      </c>
      <c r="E41" t="n">
        <v>20</v>
      </c>
      <c r="F41">
        <f>COUNTIF('Master Item List'!$A:$A,$A41)</f>
        <v/>
      </c>
      <c r="G41" t="inlineStr">
        <is>
          <t>Trait procrastination across everyday tasks such as bills, appointments, shopping and correspondence.</t>
        </is>
      </c>
      <c r="H41" t="inlineStr">
        <is>
          <t>Self report</t>
        </is>
      </c>
      <c r="I41" t="inlineStr">
        <is>
          <t>18+</t>
        </is>
      </c>
      <c r="J41" t="inlineStr">
        <is>
          <t>5 minutes</t>
        </is>
      </c>
      <c r="K41" t="inlineStr">
        <is>
          <t>Salford PsyTech questionnaire battery, Copyright restrictions field: "No restrictions." No author licence text appears on the York University PDF.</t>
        </is>
      </c>
      <c r="L41" t="inlineStr">
        <is>
          <t>Everyday life content rather than academic, so it fits working adults well and gives concrete targets for routine design.</t>
        </is>
      </c>
      <c r="M41" t="inlineStr">
        <is>
          <t>Trait procrastination across everyday tasks such as bills, appointments, shopping and correspondence.</t>
        </is>
      </c>
      <c r="N41" t="inlineStr">
        <is>
          <t>People may use the following statements to describe themselves. For each statement, decide whether the statement is uncharacteristic or characteristic of you using the following 5 point scale. Note that the 3 on the scale is Neutral – the statement is neither characteristic nor uncharacteristic of you. In the box to the right of each statement, fill in the number on the 5 point scale that best describes you.</t>
        </is>
      </c>
      <c r="O41" t="inlineStr">
        <is>
          <t>Extremely Uncharacteristic = 1 | Moderately Uncharacteristic = 2 | Neutral = 3 | Moderately Characteristic = 4 | Extremely Characteristic = 5</t>
        </is>
      </c>
      <c r="P41" t="inlineStr">
        <is>
          <t>3, 4, 6, 8, 11, 13, 14, 15, 18, 20</t>
        </is>
      </c>
      <c r="Q41" t="inlineStr">
        <is>
          <t>None</t>
        </is>
      </c>
      <c r="R41" t="inlineStr">
        <is>
          <t>Total (items 1-20; n=20; range 20-100)</t>
        </is>
      </c>
      <c r="S41" t="inlineStr">
        <is>
          <t>Reverse score items 3, 4, 6, 8, 11, 13, 14, 15, 18 and 20 (6 minus raw score) and sum all 20 items for a total of 20 to 100; higher scores indicate greater trait procrastination. Source footer: "Note: Reversed-keyed items: 3,4,6,8,11,13,14,15,18,20" and "Note: * indicates items that differ from student to non-student forms". No clinical cut offs are published.</t>
        </is>
      </c>
      <c r="T41" t="inlineStr">
        <is>
          <t>See Total scoring</t>
        </is>
      </c>
      <c r="U41" t="inlineStr">
        <is>
          <t>See Total scoring</t>
        </is>
      </c>
      <c r="V41" t="inlineStr">
        <is>
          <t>Not stated on source</t>
        </is>
      </c>
      <c r="W41" t="inlineStr">
        <is>
          <t>Not stated on source</t>
        </is>
      </c>
      <c r="X41" t="inlineStr">
        <is>
          <t>Lay, C. H. (1986). At last, my research article on procrastination. Journal of Research in Personality, 20(4), 474–495. https://doi.org/10.1016/0092-6566(86)90127-3</t>
        </is>
      </c>
      <c r="Y41" t="inlineStr">
        <is>
          <t>Salford PsyTech questionnaire battery, Copyright restrictions field: "No restrictions." No author licence text appears on the York University PDF. Source: https://hub.salford.ac.uk/psytech/equipment-resources/questionnaire-battery/procrastination-scale/</t>
        </is>
      </c>
      <c r="Z41" t="inlineStr">
        <is>
          <t>https://www.yorku.ca/rokada/psyctest/procrast.pdf</t>
        </is>
      </c>
    </row>
    <row r="42">
      <c r="A42" t="inlineStr">
        <is>
          <t>HUA-ORANGA</t>
        </is>
      </c>
      <c r="B42" t="inlineStr">
        <is>
          <t>Hua Oranga</t>
        </is>
      </c>
      <c r="C42" t="inlineStr">
        <is>
          <t>7. Wellbeing and life satisfaction</t>
        </is>
      </c>
      <c r="D42" t="inlineStr">
        <is>
          <t>Free / open access</t>
        </is>
      </c>
      <c r="E42" t="n">
        <v>16</v>
      </c>
      <c r="F42">
        <f>COUNTIF('Master Item List'!$A:$A,$A42)</f>
        <v/>
      </c>
      <c r="G42" t="inlineStr">
        <is>
          <t>Māori wellbeing outcome across the 4 taha of Te Whare Tapa Whā (tinana, wairua, whānau, hinengaro), rated at the present point in time.</t>
        </is>
      </c>
      <c r="H42" t="inlineStr">
        <is>
          <t>Self report (tangata whaiora form); parallel whānau and practitioner forms</t>
        </is>
      </c>
      <c r="I42" t="inlineStr">
        <is>
          <t>Adults and rangatahi</t>
        </is>
      </c>
      <c r="J42" t="inlineStr">
        <is>
          <t>5 minutes</t>
        </is>
      </c>
      <c r="K42"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t>
        </is>
      </c>
      <c r="L42" t="inlineStr">
        <is>
          <t>The leading kaupapa Māori outcome measure; appropriate for Māori clients when used with cultural supervision and ideally after Te Rau Ora training.</t>
        </is>
      </c>
      <c r="M42" t="inlineStr">
        <is>
          <t>Māori wellbeing outcome across the 4 taha of Te Whare Tapa Whā (tinana, wairua, whānau, hinengaro), rated at the present point in time.</t>
        </is>
      </c>
      <c r="N42" t="inlineStr">
        <is>
          <t>These questions are about taha tinana or your physical health. At this point in time do you feel: [items]. These questions are about taha wairua or your spiritual health. At this point in time do you feel: [items]. These questions are about taha whānau or your family health. At this point in time do you feel: [items]. These questions are about taha hinengaro or your mental health. At this point in time do you feel: [items].</t>
        </is>
      </c>
      <c r="O42" t="inlineStr">
        <is>
          <t>Strongly disagree = 1 | 2 = 2 | 3 = 3 | 4 = 4 | Strongly agree = 5</t>
        </is>
      </c>
      <c r="P42" t="inlineStr">
        <is>
          <t>None</t>
        </is>
      </c>
      <c r="Q42" t="inlineStr">
        <is>
          <t>None</t>
        </is>
      </c>
      <c r="R42" t="inlineStr">
        <is>
          <t>Taha Tinana (items 1-4; n=4; range 4-20); Taha Wairua (items 5-8; n=4; range 4-20); Taha Whānau (items 9-12; n=4; range 4-20); Taha Hinengaro (items 13-16; n=4; range 4-20); Total (items 1-16; n=16; range 16-80)</t>
        </is>
      </c>
      <c r="S42" t="inlineStr">
        <is>
          <t>Each item is rated 1 (strongly disagree) to 5 (strongly agree). Sum the 4 items in each taha (4 to 20) and sum the 4 taha for a total (16 to 80). Higher scores indicate better wellbeing. Manual bands per taha: very low 4-8, low 9-12, high 13-16, very high 17-20; overall: very low 16-32, low 33-48, high 49-64, very high 65-80 (labelled very poor, poor, good, very good). Compare taha and total scores across administrations and plot each taha; re-administer at first and last session for brief interventions or every 6 to 12 weeks for longer work. Where whaiora, whānau and practitioner forms are all completed within a week, average the 3 respondents' taha and total scores (sum and divide by 3). The 1997 original scored responses from -2 to +2 (range -32 to +32); the manual replaced this with the 1 to 5 scale. Source: McLachlan (2022) Hua Oranga manual.</t>
        </is>
      </c>
      <c r="T42" t="inlineStr">
        <is>
          <t>See Total scoring</t>
        </is>
      </c>
      <c r="U42" t="inlineStr">
        <is>
          <t>See Total scoring</t>
        </is>
      </c>
      <c r="V42" t="inlineStr">
        <is>
          <t>Not stated on source</t>
        </is>
      </c>
      <c r="W42" t="inlineStr">
        <is>
          <t>Not stated on source</t>
        </is>
      </c>
      <c r="X42" t="inlineStr">
        <is>
          <t>Kingi, T. K. R., &amp; Durie, M. H. (2000). "Hua Oranga": A Māori measure of mental health outcome (Research Report TPH 00/01). Te Pūmanawa Hauora, School of Māori Studies, Massey University; McLachlan, A. (2022). Whāngaihia te hua o oranga ki ō tātou whānui: Ko te tikanga o te whakamahinga o Hua Oranga [Hua Oranga manual]. Te Rau Ora.</t>
        </is>
      </c>
      <c r="Y42"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 Source: https://terauora.com/hua-oranga/</t>
        </is>
      </c>
      <c r="Z42" t="inlineStr">
        <is>
          <t>https://www.oradatabase.co.nz/files/appendix_1_tangata_whaiora_questionnaire.pdf</t>
        </is>
      </c>
    </row>
    <row r="43">
      <c r="A43" t="inlineStr">
        <is>
          <t>JDS</t>
        </is>
      </c>
      <c r="B43" t="inlineStr">
        <is>
          <t>Job Diagnostic Survey (revised 15 item core job characteristics form)</t>
        </is>
      </c>
      <c r="C43" t="inlineStr">
        <is>
          <t>3. Adjacent occupational and wellbeing</t>
        </is>
      </c>
      <c r="D43" t="inlineStr">
        <is>
          <t>Public domain</t>
        </is>
      </c>
      <c r="E43" t="n">
        <v>15</v>
      </c>
      <c r="F43">
        <f>COUNTIF('Master Item List'!$A:$A,$A43)</f>
        <v/>
      </c>
      <c r="G43" t="inlineStr">
        <is>
          <t>Core job characteristics from the Job Characteristics Model: skill variety, task identity, task significance, autonomy and feedback from the job.</t>
        </is>
      </c>
      <c r="H43" t="inlineStr">
        <is>
          <t>Self report</t>
        </is>
      </c>
      <c r="I43" t="inlineStr">
        <is>
          <t>Working adults</t>
        </is>
      </c>
      <c r="J43" t="inlineStr">
        <is>
          <t>5 minutes</t>
        </is>
      </c>
      <c r="K43" t="inlineStr">
        <is>
          <t>Developed under US Office of Naval Research funding; DTIC technical report AD0779828 is marked "Approved For Public Release; Distribution Is Unlimited."</t>
        </is>
      </c>
      <c r="L43" t="inlineStr">
        <is>
          <t>Classic, freely reproducible diagnostic of how motivating a role is; dated wording but still useful for role shaping conversations.</t>
        </is>
      </c>
      <c r="M43" t="inlineStr">
        <is>
          <t>Core job characteristics from the Job Characteristics Model: skill variety, task identity, task significance, autonomy and feedback from the job.</t>
        </is>
      </c>
      <c r="N43" t="inlineStr">
        <is>
          <t>Section One: This part of the questionnaire asks you to describe your job, as objectively as you can. Please do not use this part of the questionnaire to show how much you like or dislike your job. Section Two: Listed below are a number of statements which could be used to describe a job. You are to indicate whether each statement is an accurate or an inaccurate description of your job. How accurate is the statement in describing your job?</t>
        </is>
      </c>
      <c r="O43" t="inlineStr">
        <is>
          <t>Very Inaccurate = 1 | Mostly Inaccurate = 2 | Slightly Inaccurate = 3 | Uncertain = 4 | Slightly Accurate = 5 | Mostly Accurate = 6 | Very Accurate = 7</t>
        </is>
      </c>
      <c r="P43" t="inlineStr">
        <is>
          <t>7, 9, 11, 13, 15</t>
        </is>
      </c>
      <c r="Q43" t="inlineStr">
        <is>
          <t>None</t>
        </is>
      </c>
      <c r="R43" t="inlineStr">
        <is>
          <t>Skill variety (items 1, 6, 7R; n=3; range 1-7 (mean)); Task identity (items 2, 8, 9R; n=3; range 1-7 (mean)); Task significance (items 3, 10, 11R; n=3; range 1-7 (mean)); Autonomy (items 4, 12, 13R; n=3; range 1-7 (mean)); Feedback from the job (items 5, 14, 15R; n=3; range 1-7 (mean))</t>
        </is>
      </c>
      <c r="S43" t="inlineStr">
        <is>
          <t>Each core dimension score is the mean of its 3 items on the 1 to 7 scale. For reverse scored Section Two items (original form) subtract the rating from 8. Higher scores indicate more of the characteristic. Motivating Potential Score (MPS) = ((skill variety + task identity + task significance) / 3) x autonomy x feedback from the job, range 1 to 343. Hackman and Oldham (1974) advise against using the JDS for selection or placement or for diagnosing a single individual's job; no cut offs are published.</t>
        </is>
      </c>
      <c r="T43" t="inlineStr">
        <is>
          <t>See Total scoring</t>
        </is>
      </c>
      <c r="U43" t="inlineStr">
        <is>
          <t>See Total scoring</t>
        </is>
      </c>
      <c r="V43" t="inlineStr">
        <is>
          <t>Not stated on source</t>
        </is>
      </c>
      <c r="W43" t="inlineStr">
        <is>
          <t>Not stated on source</t>
        </is>
      </c>
      <c r="X43" t="inlineStr">
        <is>
          <t>Hackman, J. R., &amp; Oldham, G. R. (1975). Development of the Job Diagnostic Survey. Journal of Applied Psychology, 60(2), 159-170. https://doi.org/10.1037/h0076546; Idaszak, J. R., &amp; Drasgow, F. (1987). A revision of the Job Diagnostic Survey: Elimination of a measurement artifact. Journal of Applied Psychology, 72(1), 69-74. https://doi.org/10.1037/0021-9010.72.1.69</t>
        </is>
      </c>
      <c r="Y43" t="inlineStr">
        <is>
          <t>Developed under US Office of Naval Research funding; DTIC technical report AD0779828 is marked "Approved For Public Release; Distribution Is Unlimited." Source: https://apps.dtic.mil/sti/html/tr/AD0779828/index.html</t>
        </is>
      </c>
      <c r="Z43" t="inlineStr">
        <is>
          <t>https://paulspector.com/assessment-files/other/jds-report.pdf</t>
        </is>
      </c>
    </row>
    <row r="44">
      <c r="A44" t="inlineStr">
        <is>
          <t>MEWS</t>
        </is>
      </c>
      <c r="B44" t="inlineStr">
        <is>
          <t>Mind Excessively Wandering Scale</t>
        </is>
      </c>
      <c r="C44" t="inlineStr">
        <is>
          <t>1. Executive functioning and ADHD</t>
        </is>
      </c>
      <c r="D44" t="inlineStr">
        <is>
          <t>Free / open access</t>
        </is>
      </c>
      <c r="E44" t="n">
        <v>15</v>
      </c>
      <c r="F44">
        <f>COUNTIF('Master Item List'!$A:$A,$A44)</f>
        <v/>
      </c>
      <c r="G44" t="inlineStr">
        <is>
          <t>Excessive, uncontrolled and ceaseless mental activity characteristic of adult ADHD.</t>
        </is>
      </c>
      <c r="H44" t="inlineStr">
        <is>
          <t>Self report</t>
        </is>
      </c>
      <c r="I44" t="inlineStr">
        <is>
          <t>18+</t>
        </is>
      </c>
      <c r="J44" t="inlineStr">
        <is>
          <t>3 minutes</t>
        </is>
      </c>
      <c r="K44"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t>
        </is>
      </c>
      <c r="L44" t="inlineStr">
        <is>
          <t>Captures the racing, unfocused thinking many ADHD clients describe; strong fit for ADHD coaching intake and outcome tracking.</t>
        </is>
      </c>
      <c r="M44" t="inlineStr">
        <is>
          <t>Excessive, uncontrolled and ceaseless mental activity characteristic of adult ADHD.</t>
        </is>
      </c>
      <c r="N44" t="inlineStr">
        <is>
          <t>Not stated on source</t>
        </is>
      </c>
      <c r="O44" t="inlineStr">
        <is>
          <t>not at all or rarely = 0 | some of the time = 1 | most of the time = 2 | nearly all of the time or constantly = 3</t>
        </is>
      </c>
      <c r="P44" t="inlineStr">
        <is>
          <t>None</t>
        </is>
      </c>
      <c r="Q44" t="inlineStr">
        <is>
          <t>None</t>
        </is>
      </c>
      <c r="R44" t="inlineStr">
        <is>
          <t>Total (items 1-15; n=15; range 0-45); Total (12 item version) (items 1-5, 7-9, 11-13, 15; n=12; range 0-36)</t>
        </is>
      </c>
      <c r="S44" t="inlineStr">
        <is>
          <t>Sum the item ratings (0 to 45 for 15 items, 0 to 36 for 12 items); higher scores indicate more excessive mind wandering. In Mowlem et al. (2016) a total score of 15 or above gave the best balance of sensitivity and specificity for distinguishing adults with ADHD from controls (about .88 in Study 1 and .90 in Study 2); with the 12 item version sensitivity was .89 and specificity .90. The 2019 population study (Mowlem, Agnew-Blais, Pingault and Asherson) reports no cut off.</t>
        </is>
      </c>
      <c r="T44" t="inlineStr">
        <is>
          <t>See Total scoring</t>
        </is>
      </c>
      <c r="U44" t="inlineStr">
        <is>
          <t>See Total scoring</t>
        </is>
      </c>
      <c r="V44" t="inlineStr">
        <is>
          <t>Not stated on source</t>
        </is>
      </c>
      <c r="W44" t="inlineStr">
        <is>
          <t>Not stated on source</t>
        </is>
      </c>
      <c r="X44" t="inlineStr">
        <is>
          <t>Mowlem, F. D., Skirrow, C., Reid, P., Maltezos, S., Nijjar, S. K., Merwood, A., Barker, E., Cooper, R., Kuntsi, J., &amp; Asherson, P. (2019). Validation of the Mind Excessively Wandering Scale and the relationship of mind wandering to impairment in adult ADHD. Journal of Attention Disorders, 23(6), 624–634. https://doi.org/10.1177/1087054716651927</t>
        </is>
      </c>
      <c r="Y44"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 Source: https://discovery-pp.ucl.ac.uk/id/eprint/1513566/1/Journal%20of%20Attention%20Disorders-2016-Mowlem-1087054716651927.pdf</t>
        </is>
      </c>
      <c r="Z44" t="inlineStr">
        <is>
          <t>https://discovery-pp.ucl.ac.uk/id/eprint/1513566/1/Journal%20of%20Attention%20Disorders-2016-Mowlem-1087054716651927.pdf</t>
        </is>
      </c>
    </row>
    <row r="45">
      <c r="A45" t="inlineStr">
        <is>
          <t>MINI-IPIP</t>
        </is>
      </c>
      <c r="B45" t="inlineStr">
        <is>
          <t>Mini International Personality Item Pool</t>
        </is>
      </c>
      <c r="C45" t="inlineStr">
        <is>
          <t>5. Self talk, thinking patterns and personality</t>
        </is>
      </c>
      <c r="D45" t="inlineStr">
        <is>
          <t>Public domain</t>
        </is>
      </c>
      <c r="E45" t="n">
        <v>20</v>
      </c>
      <c r="F45">
        <f>COUNTIF('Master Item List'!$A:$A,$A45)</f>
        <v/>
      </c>
      <c r="G45" t="inlineStr">
        <is>
          <t>Big Five personality factors measured with 20 public domain IPIP items, 4 per factor.</t>
        </is>
      </c>
      <c r="H45" t="inlineStr">
        <is>
          <t>Self report</t>
        </is>
      </c>
      <c r="I45" t="inlineStr">
        <is>
          <t>18+</t>
        </is>
      </c>
      <c r="J45" t="inlineStr">
        <is>
          <t>3 minutes</t>
        </is>
      </c>
      <c r="K45" t="inlineStr">
        <is>
          <t>Because the IPIP has been placed in the public domain, permission has already been automatically granted for any person to use IPIP items, scales, and inventories for any purpose, commercial or non-commercial.</t>
        </is>
      </c>
      <c r="L45" t="inlineStr">
        <is>
          <t>The only fully public domain Big Five option, so safest for a commercial coaching practice; coarse but adequate for conversation starters.</t>
        </is>
      </c>
      <c r="M45" t="inlineStr">
        <is>
          <t>Big Five personality factors measured with 20 public domain IPIP items, 4 per factor.</t>
        </is>
      </c>
      <c r="N45" t="inlineStr">
        <is>
          <t>Below are phrases describing people's behaviors. Please use the rating scale below to describe how accurately each statement describes you. Describe yourself as you generally are now, not as you wish to be in the future. Describe yourself as you honestly see yourself, in relation to other people you know of the same sex as you are, and roughly your same age. Please read each statement carefully, and put a number from 1 to 5 next to it to describe how accurately the statement describes you.</t>
        </is>
      </c>
      <c r="O45" t="inlineStr">
        <is>
          <t>Very inaccurate = 1 | Moderately inaccurate = 2 | Neither inaccurate nor accurate = 3 | Moderately accurate = 4 | Very accurate = 5</t>
        </is>
      </c>
      <c r="P45" t="inlineStr">
        <is>
          <t>6, 7, 8, 9, 10, 15, 16, 17, 18, 19, 20</t>
        </is>
      </c>
      <c r="Q45" t="inlineStr">
        <is>
          <t>None</t>
        </is>
      </c>
      <c r="R45" t="inlineStr">
        <is>
          <t>Extraversion (items 1, 6, 11, 16; n=4; range 4-20); Agreeableness (items 2, 7, 12, 17; n=4; range 4-20); Conscientiousness (items 3, 8, 13, 18; n=4; range 4-20); Neuroticism (items 4, 9, 14, 19; n=4; range 4-20); Intellect or Imagination (items 5, 10, 15, 20; n=4; range 4-20)</t>
        </is>
      </c>
      <c r="S45" t="inlineStr">
        <is>
          <t>Reverse the minus keyed items (6, 7, 8, 9, 10, 15, 16, 17, 18, 19, 20) by subtracting the response from 6, then sum the 4 items for each factor, giving a range of 4 to 20 per factor. Higher scores indicate more of the trait; for Neuroticism a higher score indicates less emotional stability. No cut offs; the scales are normative trait measures.</t>
        </is>
      </c>
      <c r="T45" t="inlineStr">
        <is>
          <t>See Total scoring</t>
        </is>
      </c>
      <c r="U45" t="inlineStr">
        <is>
          <t>See Total scoring</t>
        </is>
      </c>
      <c r="V45" t="inlineStr">
        <is>
          <t>Not stated on source</t>
        </is>
      </c>
      <c r="W45" t="inlineStr">
        <is>
          <t>Not stated on source</t>
        </is>
      </c>
      <c r="X45" t="inlineStr">
        <is>
          <t>Donnellan, M. B., Oswald, F. L., Baird, B. M., &amp; Lucas, R. E. (2006). The Mini-IPIP scales: Tiny-yet-effective measures of the Big Five factors of personality. Psychological Assessment, 18(2), 192–203. https://doi.org/10.1037/1040-3590.18.2.192</t>
        </is>
      </c>
      <c r="Y45" t="inlineStr">
        <is>
          <t>Because the IPIP has been placed in the public domain, permission has already been automatically granted for any person to use IPIP items, scales, and inventories for any purpose, commercial or non-commercial. Source: https://ipip.ori.org/newPermission.htm</t>
        </is>
      </c>
      <c r="Z45" t="inlineStr">
        <is>
          <t>https://ipip.ori.org/MiniIPIPKey.htm</t>
        </is>
      </c>
    </row>
    <row r="46">
      <c r="A46" t="inlineStr">
        <is>
          <t>MWQ</t>
        </is>
      </c>
      <c r="B46" t="inlineStr">
        <is>
          <t>Mind Wandering Questionnaire</t>
        </is>
      </c>
      <c r="C46" t="inlineStr">
        <is>
          <t>1. Executive functioning and ADHD</t>
        </is>
      </c>
      <c r="D46" t="inlineStr">
        <is>
          <t>Free / open access</t>
        </is>
      </c>
      <c r="E46" t="n">
        <v>5</v>
      </c>
      <c r="F46">
        <f>COUNTIF('Master Item List'!$A:$A,$A46)</f>
        <v/>
      </c>
      <c r="G46" t="inlineStr">
        <is>
          <t>Trait level frequency of mind wandering during everyday tasks such as reading, listening and repetitive work.</t>
        </is>
      </c>
      <c r="H46" t="inlineStr">
        <is>
          <t>Self report</t>
        </is>
      </c>
      <c r="I46" t="inlineStr">
        <is>
          <t>Validated in adolescents (12 to 17) and adults (college sample)</t>
        </is>
      </c>
      <c r="J46" t="inlineStr">
        <is>
          <t>1 minutes</t>
        </is>
      </c>
      <c r="K46" t="inlineStr">
        <is>
          <t>This is an open-access article distributed under the terms of the Creative Commons Attribution License (CC BY). Copyright 2013 Mrazek, Phillips, Franklin, Broadway and Schooler.</t>
        </is>
      </c>
      <c r="L46" t="inlineStr">
        <is>
          <t>Very brief and non clinical; a quick anchor for attention regulation goals and for tracking change across sessions.</t>
        </is>
      </c>
      <c r="M46" t="inlineStr">
        <is>
          <t>Trait level frequency of mind wandering during everyday tasks such as reading, listening and repetitive work.</t>
        </is>
      </c>
      <c r="N46" t="inlineStr">
        <is>
          <t>Not stated on source</t>
        </is>
      </c>
      <c r="O46" t="inlineStr">
        <is>
          <t>almost never = 1 | very infrequently = 2 | somewhat infrequently = 3 | somewhat frequently = 4 | very frequently = 5 | almost always = 6</t>
        </is>
      </c>
      <c r="P46" t="inlineStr">
        <is>
          <t>None</t>
        </is>
      </c>
      <c r="Q46" t="inlineStr">
        <is>
          <t>None</t>
        </is>
      </c>
      <c r="R46" t="inlineStr">
        <is>
          <t>Total (items 1-5; n=5; range 5-30)</t>
        </is>
      </c>
      <c r="S46" t="inlineStr">
        <is>
          <t>Sum the 5 items (5 to 30) or take the item mean (1 to 6). No reverse scoring. Higher scores indicate more frequent mind wandering. The article reports no cut offs and reports only descriptive statistics; Cronbach's alpha 0.850 in the college sample (Mrazek et al., 2013).</t>
        </is>
      </c>
      <c r="T46" t="inlineStr">
        <is>
          <t>See Total scoring</t>
        </is>
      </c>
      <c r="U46" t="inlineStr">
        <is>
          <t>See Total scoring</t>
        </is>
      </c>
      <c r="V46" t="inlineStr">
        <is>
          <t>Not stated on source</t>
        </is>
      </c>
      <c r="W46" t="inlineStr">
        <is>
          <t>Not stated on source</t>
        </is>
      </c>
      <c r="X46" t="inlineStr">
        <is>
          <t>Mrazek, M. D., Phillips, D. T., Franklin, M. S., Broadway, J. M., &amp; Schooler, J. W. (2013). Young and restless: Validation of the Mind-Wandering Questionnaire (MWQ) reveals disruptive impact of mind-wandering for youth. Frontiers in Psychology, 4, 560. https://doi.org/10.3389/fpsyg.2013.00560</t>
        </is>
      </c>
      <c r="Y46" t="inlineStr">
        <is>
          <t>This is an open-access article distributed under the terms of the Creative Commons Attribution License (CC BY). Copyright 2013 Mrazek, Phillips, Franklin, Broadway and Schooler. Source: https://www.frontiersin.org/journals/psychology/articles/10.3389/fpsyg.2013.00560/full</t>
        </is>
      </c>
      <c r="Z46" t="inlineStr">
        <is>
          <t>https://www.frontiersin.org/journals/psychology/articles/10.3389/fpsyg.2013.00560/full</t>
        </is>
      </c>
    </row>
    <row r="47">
      <c r="A47" t="inlineStr">
        <is>
          <t>NCS-6</t>
        </is>
      </c>
      <c r="B47" t="inlineStr">
        <is>
          <t>Need for Cognition Scale, 6 item</t>
        </is>
      </c>
      <c r="C47" t="inlineStr">
        <is>
          <t>5. Self talk, thinking patterns and personality</t>
        </is>
      </c>
      <c r="D47" t="inlineStr">
        <is>
          <t>Free / open access</t>
        </is>
      </c>
      <c r="E47" t="n">
        <v>6</v>
      </c>
      <c r="F47">
        <f>COUNTIF('Master Item List'!$A:$A,$A47)</f>
        <v/>
      </c>
      <c r="G47" t="inlineStr">
        <is>
          <t>Tendency to engage in and enjoy effortful thinking.</t>
        </is>
      </c>
      <c r="H47" t="inlineStr">
        <is>
          <t>Self report</t>
        </is>
      </c>
      <c r="I47" t="inlineStr">
        <is>
          <t>18+</t>
        </is>
      </c>
      <c r="J47" t="inlineStr">
        <is>
          <t>1 minutes</t>
        </is>
      </c>
      <c r="K47"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t>
        </is>
      </c>
      <c r="L47" t="inlineStr">
        <is>
          <t>Quick indicator of how a client prefers to process information, useful for tailoring coaching homework.</t>
        </is>
      </c>
      <c r="M47" t="inlineStr">
        <is>
          <t>Tendency to engage in and enjoy effortful thinking.</t>
        </is>
      </c>
      <c r="N47" t="inlineStr">
        <is>
          <t>For each sentence below, please select how uncharacteristic or characteristic (5-point scale) this is for you personally.</t>
        </is>
      </c>
      <c r="O47" t="inlineStr">
        <is>
          <t>extremely uncharacteristic of me = 1 | 2 = 2 | 3 = 3 | 4 = 4 | extremely characteristic of me = 5</t>
        </is>
      </c>
      <c r="P47" t="inlineStr">
        <is>
          <t>3, 4</t>
        </is>
      </c>
      <c r="Q47" t="inlineStr">
        <is>
          <t>None</t>
        </is>
      </c>
      <c r="R47" t="inlineStr">
        <is>
          <t>Total (items 1-6; n=6; range 1-5 (mean))</t>
        </is>
      </c>
      <c r="S47" t="inlineStr">
        <is>
          <t>Reverse score items 3 and 4 (1 = 5, 2 = 4, 3 = 3, 4 = 2, 5 = 1), then take the mean of the 6 items (1 to 5); higher scores indicate a greater need for cognition. PsyToolkit: "The score can range from 1 (you do not like deep thinking) to 5 (you like effortful thinking)." Reported sample means around 3.6 in UK and US samples (Coelho et al., 2020). No cut offs.</t>
        </is>
      </c>
      <c r="T47" t="inlineStr">
        <is>
          <t>See Total scoring</t>
        </is>
      </c>
      <c r="U47" t="inlineStr">
        <is>
          <t>See Total scoring</t>
        </is>
      </c>
      <c r="V47" t="inlineStr">
        <is>
          <t>Not stated on source</t>
        </is>
      </c>
      <c r="W47" t="inlineStr">
        <is>
          <t>Not stated on source</t>
        </is>
      </c>
      <c r="X47" t="inlineStr">
        <is>
          <t>Coelho, G. L. de H., Hanel, P. H. P., &amp; Wolf, L. J. (2020). The very efficient assessment of need for cognition: Developing a six-item version. Assessment, 27(8), 1870–1885. https://doi.org/10.1177/1073191118793208</t>
        </is>
      </c>
      <c r="Y47"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 Source: https://journals.sagepub.com/doi/10.1177/1073191118793208</t>
        </is>
      </c>
      <c r="Z47" t="inlineStr">
        <is>
          <t>https://www.psytoolkit.org/survey-library/need-for-cognition-ncs6.html</t>
        </is>
      </c>
    </row>
    <row r="48">
      <c r="A48" t="inlineStr">
        <is>
          <t>PHQ-2</t>
        </is>
      </c>
      <c r="B48" t="inlineStr">
        <is>
          <t>Patient Health Questionnaire 2</t>
        </is>
      </c>
      <c r="C48" t="inlineStr">
        <is>
          <t>4. Clinical and distress screening</t>
        </is>
      </c>
      <c r="D48" t="inlineStr">
        <is>
          <t>Public domain</t>
        </is>
      </c>
      <c r="E48" t="n">
        <v>2</v>
      </c>
      <c r="F48">
        <f>COUNTIF('Master Item List'!$A:$A,$A48)</f>
        <v/>
      </c>
      <c r="G48" t="inlineStr">
        <is>
          <t>Ultra brief depression screen covering depressed mood and anhedonia over the past 2 weeks.</t>
        </is>
      </c>
      <c r="H48" t="inlineStr">
        <is>
          <t>Self report</t>
        </is>
      </c>
      <c r="I48" t="inlineStr">
        <is>
          <t>18+ (adolescent versions exist)</t>
        </is>
      </c>
      <c r="J48" t="inlineStr">
        <is>
          <t>1 minutes</t>
        </is>
      </c>
      <c r="K48" t="inlineStr">
        <is>
          <t>"No permission required to reproduce, translate, display or distribute." Developed by Drs Spitzer, Williams and Kroenke and colleagues with an educational grant from Pfizer Inc.</t>
        </is>
      </c>
      <c r="L48" t="inlineStr">
        <is>
          <t>Use as a first stage gate before the PHQ-9 at intake or in brief check ins</t>
        </is>
      </c>
      <c r="M48" t="inlineStr">
        <is>
          <t>Ultra brief depression screen covering depressed mood and anhedonia over the past 2 weeks.</t>
        </is>
      </c>
      <c r="N48" t="inlineStr">
        <is>
          <t>Over the last 2 weeks, how often have you been bothered by any of the following problems?</t>
        </is>
      </c>
      <c r="O48" t="inlineStr">
        <is>
          <t>Not at all = 0 | Several days = 1 | More than half the days = 2 | Nearly every day = 3</t>
        </is>
      </c>
      <c r="P48" t="inlineStr">
        <is>
          <t>None</t>
        </is>
      </c>
      <c r="Q48" t="inlineStr">
        <is>
          <t>None</t>
        </is>
      </c>
      <c r="R48" t="inlineStr">
        <is>
          <t>Total (items 1-2; n=2; range 0-6)</t>
        </is>
      </c>
      <c r="S48" t="inlineStr">
        <is>
          <t>Sum the 2 items for a total of 0 to 6; higher scores indicate more frequent depressive symptoms. Kroenke, Spitzer and Williams (2003) identify a cut off of 3 or more as the optimal positive screen; a cut point of 2 increases sensitivity. Positive screens should be followed with the PHQ-9 or clinical assessment. Source: NIDA CDE page and Kroenke et al. (2003).</t>
        </is>
      </c>
      <c r="T48" t="inlineStr">
        <is>
          <t>See Total scoring</t>
        </is>
      </c>
      <c r="U48" t="inlineStr">
        <is>
          <t>See Total scoring</t>
        </is>
      </c>
      <c r="V48" t="inlineStr">
        <is>
          <t>Not stated on source</t>
        </is>
      </c>
      <c r="W48" t="inlineStr">
        <is>
          <t>Not stated on source</t>
        </is>
      </c>
      <c r="X48" t="inlineStr">
        <is>
          <t>Kroenke, K., Spitzer, R. L., &amp; Williams, J. B. W. (2003). The Patient Health Questionnaire-2: Validity of a two-item depression screener. Medical Care, 41(11), 1284-1292. https://doi.org/10.1097/01.MLR.0000093487.78664.3C</t>
        </is>
      </c>
      <c r="Y48" t="inlineStr">
        <is>
          <t>"No permission required to reproduce, translate, display or distribute." Developed by Drs Spitzer, Williams and Kroenke and colleagues with an educational grant from Pfizer Inc. Source: https://cde.nida.nih.gov/node/22</t>
        </is>
      </c>
      <c r="Z48" t="inlineStr">
        <is>
          <t>https://psytoolkit.org/survey-library/depression-phq.html</t>
        </is>
      </c>
    </row>
    <row r="49">
      <c r="A49" t="inlineStr">
        <is>
          <t>PHQ-9</t>
        </is>
      </c>
      <c r="B49" t="inlineStr">
        <is>
          <t>Patient Health Questionnaire 9</t>
        </is>
      </c>
      <c r="C49" t="inlineStr">
        <is>
          <t>4. Clinical and distress screening</t>
        </is>
      </c>
      <c r="D49" t="inlineStr">
        <is>
          <t>Public domain</t>
        </is>
      </c>
      <c r="E49" t="n">
        <v>9</v>
      </c>
      <c r="F49">
        <f>COUNTIF('Master Item List'!$A:$A,$A49)</f>
        <v/>
      </c>
      <c r="G49" t="inlineStr">
        <is>
          <t>Frequency of the 9 DSM depression symptoms over the past 2 weeks, with a follow up item on functional difficulty.</t>
        </is>
      </c>
      <c r="H49" t="inlineStr">
        <is>
          <t>Self report</t>
        </is>
      </c>
      <c r="I49" t="inlineStr">
        <is>
          <t>18+ (also validated from 12 in adolescents)</t>
        </is>
      </c>
      <c r="J49" t="inlineStr">
        <is>
          <t>2 minutes</t>
        </is>
      </c>
      <c r="K49" t="inlineStr">
        <is>
          <t>"Developed by Drs. R.L. Spitzer, J.B. Williams, K. Kroenke and colleagues with an educational grant from Pfizer, Inc. No permission required to reproduce, translate, display or distribute."</t>
        </is>
      </c>
      <c r="L49" t="inlineStr">
        <is>
          <t>Screening and referral tool; item 9 asks about self harm, so a coaching practice needs a response protocol before using it.</t>
        </is>
      </c>
      <c r="M49" t="inlineStr">
        <is>
          <t>Frequency of the 9 DSM depression symptoms over the past 2 weeks, with a follow up item on functional difficulty.</t>
        </is>
      </c>
      <c r="N49" t="inlineStr">
        <is>
          <t>Over the last 2 weeks, how often have you been bothered by any of the following problems?</t>
        </is>
      </c>
      <c r="O49" t="inlineStr">
        <is>
          <t>Not at all = 0 | Several days = 1 | More than half the days = 2 | Nearly every day = 3</t>
        </is>
      </c>
      <c r="P49" t="inlineStr">
        <is>
          <t>None</t>
        </is>
      </c>
      <c r="Q49" t="inlineStr">
        <is>
          <t>None</t>
        </is>
      </c>
      <c r="R49" t="inlineStr">
        <is>
          <t>Total (items 1-9; n=9; range 0-27)</t>
        </is>
      </c>
      <c r="S49" t="inlineStr">
        <is>
          <t>Sum the 9 items (0 to 27); higher scores indicate more severe depressive symptoms. Severity bands (Kroenke, Spitzer and Williams, 2001): 0 to 4 minimal, 5 to 9 mild, 10 to 14 moderate, 15 to 19 moderately severe, 20 to 27 severe. A score of 10 or more is the usual case threshold (sensitivity and specificity 88 percent for major depression in the 2001 validation) and is the caseness threshold used in NHS Talking Therapies. The unscored follow up item ("If you checked off any problems, how difficult have these problems made it for you to do your work, take care of things at home, or get along with other people?" with options Not difficult at all, Somewhat difficult, Very difficult, Extremely difficult) indexes functional impairment and is not added to the total.</t>
        </is>
      </c>
      <c r="T49" t="inlineStr">
        <is>
          <t>See Total scoring</t>
        </is>
      </c>
      <c r="U49" t="inlineStr">
        <is>
          <t>See Total scoring</t>
        </is>
      </c>
      <c r="V49" t="inlineStr">
        <is>
          <t>Not stated on source</t>
        </is>
      </c>
      <c r="W49" t="inlineStr">
        <is>
          <t>Not stated on source</t>
        </is>
      </c>
      <c r="X49" t="inlineStr">
        <is>
          <t>Kroenke, K., Spitzer, R. L., &amp; Williams, J. B. W. (2001). The PHQ-9: Validity of a brief depression severity measure. Journal of General Internal Medicine, 16(9), 606–613. https://doi.org/10.1046/j.1525-1497.2001.016009606.x</t>
        </is>
      </c>
      <c r="Y49" t="inlineStr">
        <is>
          <t>"Developed by Drs. R.L. Spitzer, J.B. Williams, K. Kroenke and colleagues with an educational grant from Pfizer, Inc. No permission required to reproduce, translate, display or distribute." Source: https://www.phqscreeners.com/</t>
        </is>
      </c>
      <c r="Z49" t="inlineStr">
        <is>
          <t>https://cde.nida.nih.gov/system/files/PatientHealthQuestionnaire-9_2014Mar19.pdf</t>
        </is>
      </c>
    </row>
    <row r="50">
      <c r="A50" t="inlineStr">
        <is>
          <t>PROMIS-GH10</t>
        </is>
      </c>
      <c r="B50" t="inlineStr">
        <is>
          <t>PROMIS Scale v1.2 Global Health</t>
        </is>
      </c>
      <c r="C50" t="inlineStr">
        <is>
          <t>8. Functioning and health</t>
        </is>
      </c>
      <c r="D50" t="inlineStr">
        <is>
          <t>Free / open access</t>
        </is>
      </c>
      <c r="E50" t="n">
        <v>10</v>
      </c>
      <c r="F50">
        <f>COUNTIF('Master Item List'!$A:$A,$A50)</f>
        <v/>
      </c>
      <c r="G50" t="inlineStr">
        <is>
          <t>Global physical and mental health, including quality of life, physical function, pain, fatigue, emotional distress and social satisfaction.</t>
        </is>
      </c>
      <c r="H50" t="inlineStr">
        <is>
          <t>Self report</t>
        </is>
      </c>
      <c r="I50" t="inlineStr">
        <is>
          <t>18+</t>
        </is>
      </c>
      <c r="J50" t="inlineStr">
        <is>
          <t>3 minutes</t>
        </is>
      </c>
      <c r="K50"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t>
        </is>
      </c>
      <c r="L50" t="inlineStr">
        <is>
          <t>A compact whole person baseline for coaching intake; the Global Mental Health component is a serviceable wellbeing tracker.</t>
        </is>
      </c>
      <c r="M50" t="inlineStr">
        <is>
          <t>Global physical and mental health, including quality of life, physical function, pain, fatigue, emotional distress and social satisfaction.</t>
        </is>
      </c>
      <c r="N50" t="inlineStr">
        <is>
          <t>Please respond to each question or statement by marking one box per row.</t>
        </is>
      </c>
      <c r="O50" t="inlineStr">
        <is>
          <t>Excellent = 5 | Very good = 4 | Good = 3 | Fair = 2 | Poor = 1</t>
        </is>
      </c>
      <c r="P50" t="inlineStr">
        <is>
          <t>None</t>
        </is>
      </c>
      <c r="Q50" t="inlineStr">
        <is>
          <t>None</t>
        </is>
      </c>
      <c r="R50" t="inlineStr">
        <is>
          <t>Global Physical Health (items 3, 7, 9, 10; n=4; range 4-20 (raw)); Global Mental Health (items 2, 4, 5, 8; n=4; range 4-20 (raw))</t>
        </is>
      </c>
      <c r="S50" t="inlineStr">
        <is>
          <t>Each item is scored 1 to 5 with 5 the most favourable response (the 'r' coded items are printed with reversed values so that higher is always better; the 0 to 10 pain item is recoded 0 = 5, 1-3 = 4, 4-6 = 3, 7-9 = 2, 10 = 1). Sum the 4 Global Physical Health items (Global03, Global06, Global07r, Global08r) and the 4 Global Mental Health items (Global02, Global04, Global05, Global10r) for raw scores of 4 to 20 each, then convert each to a T score (mean 50, SD 10, US general population) with the HealthMeasures conversion tables. Global01 (general health) and Global09r (social roles) are scored individually and are not in either component. Higher T scores indicate better health. Component structure and pain recoding from the HealthMeasures PROMIS Global Health scoring manual (Hays et al., 2009), not from the form.</t>
        </is>
      </c>
      <c r="T50" t="inlineStr">
        <is>
          <t>See Total scoring</t>
        </is>
      </c>
      <c r="U50" t="inlineStr">
        <is>
          <t>See Total scoring</t>
        </is>
      </c>
      <c r="V50" t="inlineStr">
        <is>
          <t>Not stated on source</t>
        </is>
      </c>
      <c r="W50" t="inlineStr">
        <is>
          <t>Not stated on source</t>
        </is>
      </c>
      <c r="X50" t="inlineStr">
        <is>
          <t>Hays, R. D., Bjorner, J. B., Revicki, D. A., Spritzer, K. L., &amp; Cella, D. (2009). Development of physical and mental health summary scores from the Patient-Reported Outcomes Measurement Information System (PROMIS) global items. Quality of Life Research, 18(7), 873-880. https://doi.org/10.1007/s11136-009-9496-9</t>
        </is>
      </c>
      <c r="Y50"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 Source: https://healthmeasures.net/implement/steps-to-license/</t>
        </is>
      </c>
      <c r="Z50" t="inlineStr">
        <is>
          <t>https://curesicklecell.rti.org/Forms/Global_Health_Scale_v1.2_13Apr2018.pdf</t>
        </is>
      </c>
    </row>
    <row r="51">
      <c r="A51" t="inlineStr">
        <is>
          <t>PROMIS-APSRA-8A</t>
        </is>
      </c>
      <c r="B51" t="inlineStr">
        <is>
          <t>PROMIS Ability to Participate in Social Roles and Activities Short Form 8a</t>
        </is>
      </c>
      <c r="C51" t="inlineStr">
        <is>
          <t>8. Functioning and health</t>
        </is>
      </c>
      <c r="D51" t="inlineStr">
        <is>
          <t>Free / open access</t>
        </is>
      </c>
      <c r="E51" t="n">
        <v>8</v>
      </c>
      <c r="F51">
        <f>COUNTIF('Master Item List'!$A:$A,$A51)</f>
        <v/>
      </c>
      <c r="G51" t="inlineStr">
        <is>
          <t>Perceived ability to carry out usual social roles and activities, including work, family and leisure activities with others.</t>
        </is>
      </c>
      <c r="H51" t="inlineStr">
        <is>
          <t>Self report</t>
        </is>
      </c>
      <c r="I51" t="inlineStr">
        <is>
          <t>18+</t>
        </is>
      </c>
      <c r="J51" t="inlineStr">
        <is>
          <t>2 minutes</t>
        </is>
      </c>
      <c r="K51"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L51" t="inlineStr">
        <is>
          <t>Functional outcome measure that captures whether coaching translates into fuller participation in work and life roles.</t>
        </is>
      </c>
      <c r="M51" t="inlineStr">
        <is>
          <t>Perceived ability to carry out usual social roles and activities, including work, family and leisure activities with others.</t>
        </is>
      </c>
      <c r="N51" t="inlineStr">
        <is>
          <t>Not stated on source</t>
        </is>
      </c>
      <c r="O51" t="inlineStr">
        <is>
          <t>Never = 5 | Rarely = 4 | Sometimes = 3 | Usually = 2 | Always = 1</t>
        </is>
      </c>
      <c r="P51" t="inlineStr">
        <is>
          <t>None</t>
        </is>
      </c>
      <c r="Q51" t="inlineStr">
        <is>
          <t>None</t>
        </is>
      </c>
      <c r="R51" t="inlineStr">
        <is>
          <t>Total (items 1-8; n=8; range 8-40 raw; T score)</t>
        </is>
      </c>
      <c r="S51" t="inlineStr">
        <is>
          <t>Items are negatively worded and scored Never 5 to Always 1, so a higher raw score indicates better participation. Sum the 8 responses (raw 8 to 40) and convert to a T score (mean 50, SD 10, US general population reference) using the HealthMeasures scoring table for Ability to Participate in Social Roles and Activities Short Form 8a v2.0, or the HealthMeasures Scoring Service when items are missing. Higher T scores indicate greater ability to participate. No diagnostic cut offs are published by HealthMeasures. LOINC lists a raw score code (77814-2) and T score code (77854-8) but no conversion table.</t>
        </is>
      </c>
      <c r="T51" t="inlineStr">
        <is>
          <t>See Total scoring</t>
        </is>
      </c>
      <c r="U51" t="inlineStr">
        <is>
          <t>See Total scoring</t>
        </is>
      </c>
      <c r="V51" t="inlineStr">
        <is>
          <t>Not stated on source</t>
        </is>
      </c>
      <c r="W51" t="inlineStr">
        <is>
          <t>Not stated on source</t>
        </is>
      </c>
      <c r="X51" t="inlineStr">
        <is>
          <t>Hahn, E. A., DeVellis, R. F., Bode, R. K., Garcia, S. F., Castel, L. D., Eisen, S. V., Bosworth, H. B., Heinemann, A. W., Rothrock, N., Cella, D., &amp; PROMIS Cooperative Group. (2010). Measuring social health in the Patient-Reported Outcomes Measurement Information System (PROMIS): Item bank development and testing. Quality of Life Research, 19(7), 1035–1044. https://doi.org/10.1007/s11136-010-9654-0. Instrument: HealthMeasures. (2012). PROMIS Item Bank v2.0 – Ability to Participate in Social Roles and Activities – Short Form 8a. Northwestern University.</t>
        </is>
      </c>
      <c r="Y51"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Z51" t="inlineStr">
        <is>
          <t>https://loinc.org/76731-9/panel</t>
        </is>
      </c>
    </row>
    <row r="52">
      <c r="A52" t="inlineStr">
        <is>
          <t>PROMIS-COGA-8A</t>
        </is>
      </c>
      <c r="B52" t="inlineStr">
        <is>
          <t>PROMIS Cognitive Function Abilities Short Form 8a</t>
        </is>
      </c>
      <c r="C52" t="inlineStr">
        <is>
          <t>1. Executive functioning and ADHD</t>
        </is>
      </c>
      <c r="D52" t="inlineStr">
        <is>
          <t>Free / open access</t>
        </is>
      </c>
      <c r="E52" t="n">
        <v>8</v>
      </c>
      <c r="F52">
        <f>COUNTIF('Master Item List'!$A:$A,$A52)</f>
        <v/>
      </c>
      <c r="G52" t="inlineStr">
        <is>
          <t>Self rated cognitive abilities (concentration, memory, mental sharpness, keeping track of tasks) over the past 7 days.</t>
        </is>
      </c>
      <c r="H52" t="inlineStr">
        <is>
          <t>Self report</t>
        </is>
      </c>
      <c r="I52" t="inlineStr">
        <is>
          <t>18+</t>
        </is>
      </c>
      <c r="J52" t="inlineStr">
        <is>
          <t>2 minutes</t>
        </is>
      </c>
      <c r="K52"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L52" t="inlineStr">
        <is>
          <t>Positively framed partner to the Cognitive Function form; suits strengths based coaching conversations and repeated measurement across a programme.</t>
        </is>
      </c>
      <c r="M52" t="inlineStr">
        <is>
          <t>Self rated cognitive abilities (concentration, memory, mental sharpness, keeping track of tasks) over the past 7 days.</t>
        </is>
      </c>
      <c r="N52" t="inlineStr">
        <is>
          <t>Not stated on source</t>
        </is>
      </c>
      <c r="O52" t="inlineStr">
        <is>
          <t>Not at all = 1 | A little bit = 2 | Somewhat = 3 | Quite a bit = 4 | Very much = 5</t>
        </is>
      </c>
      <c r="P52" t="inlineStr">
        <is>
          <t>None</t>
        </is>
      </c>
      <c r="Q52" t="inlineStr">
        <is>
          <t>None</t>
        </is>
      </c>
      <c r="R52" t="inlineStr">
        <is>
          <t>Total (items 1-8; n=8; range 8-40 raw; T score)</t>
        </is>
      </c>
      <c r="S52" t="inlineStr">
        <is>
          <t>Sum the 8 item responses (raw 8 to 40) and convert the raw score to a T score (mean 50, SD 10, US general population reference) using the HealthMeasures scoring table for Cognitive Function Abilities Short Form 8a v2.0, or score with the HealthMeasures Scoring Service when any item is missing. Higher T scores indicate greater perceived cognitive ability. HealthMeasures does not publish diagnostic cut offs; the LOINC panel lists a raw score code (81536-5) but no conversion table, so the raw to T conversion must be taken from the official HealthMeasures scoring manual.</t>
        </is>
      </c>
      <c r="T52" t="inlineStr">
        <is>
          <t>See Total scoring</t>
        </is>
      </c>
      <c r="U52" t="inlineStr">
        <is>
          <t>See Total scoring</t>
        </is>
      </c>
      <c r="V52" t="inlineStr">
        <is>
          <t>Not stated on source</t>
        </is>
      </c>
      <c r="W52" t="inlineStr">
        <is>
          <t>Not stated on source</t>
        </is>
      </c>
      <c r="X52" t="inlineStr">
        <is>
          <t>Lai, J.-S., Wagner, L. I., Jacobsen, P. B., &amp; Cella, D. (2014). Self-reported cognitive concerns and abilities: Two sides of one coin? Psycho-Oncology, 23(10), 1133–1141. https://doi.org/10.1002/pon.3522. Instrument: HealthMeasures. (2017). PROMIS Item Bank v2.0 – Cognitive Function – Abilities Subset – Short Form 8a. Northwestern University.</t>
        </is>
      </c>
      <c r="Y52"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Z52" t="inlineStr">
        <is>
          <t>https://cdn.loinc.org/81527-4/panel</t>
        </is>
      </c>
    </row>
    <row r="53">
      <c r="A53" t="inlineStr">
        <is>
          <t>PROMIS-COGF-8A</t>
        </is>
      </c>
      <c r="B53" t="inlineStr">
        <is>
          <t>PROMIS Cognitive Function Short Form 8a</t>
        </is>
      </c>
      <c r="C53" t="inlineStr">
        <is>
          <t>1. Executive functioning and ADHD</t>
        </is>
      </c>
      <c r="D53" t="inlineStr">
        <is>
          <t>Free / open access</t>
        </is>
      </c>
      <c r="E53" t="n">
        <v>8</v>
      </c>
      <c r="F53">
        <f>COUNTIF('Master Item List'!$A:$A,$A53)</f>
        <v/>
      </c>
      <c r="G53" t="inlineStr">
        <is>
          <t>Perceived everyday cognitive difficulties in concentration, memory, mental speed and multitasking over the past 7 days.</t>
        </is>
      </c>
      <c r="H53" t="inlineStr">
        <is>
          <t>Self report</t>
        </is>
      </c>
      <c r="I53" t="inlineStr">
        <is>
          <t>18+</t>
        </is>
      </c>
      <c r="J53" t="inlineStr">
        <is>
          <t>2 minutes</t>
        </is>
      </c>
      <c r="K53"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t>
        </is>
      </c>
      <c r="L53" t="inlineStr">
        <is>
          <t>Core self report proxy for executive functioning in coaching; sensitive to sleep, stress and mood, so interpret alongside those measures. 4a and 6a forms exist.</t>
        </is>
      </c>
      <c r="M53" t="inlineStr">
        <is>
          <t>Perceived everyday cognitive difficulties in concentration, memory, mental speed and multitasking over the past 7 days.</t>
        </is>
      </c>
      <c r="N53" t="inlineStr">
        <is>
          <t>In the past 7 days (item stem as recorded in the LOINC panel). The HealthMeasures form instruction "Please respond to each question or statement by marking one box per row" could not be confirmed from the fetched source.</t>
        </is>
      </c>
      <c r="O53" t="inlineStr">
        <is>
          <t>Never = 5 | Rarely (once) = 4 | Sometimes (2-3 times) = 3 | Often (once a day) = 2 | Very often (Several times a day) = 1</t>
        </is>
      </c>
      <c r="P53" t="inlineStr">
        <is>
          <t>None</t>
        </is>
      </c>
      <c r="Q53" t="inlineStr">
        <is>
          <t>None</t>
        </is>
      </c>
      <c r="R53" t="inlineStr">
        <is>
          <t>Total (items 1-8; n=8; range 8-40 (raw); T score mean 50, SD 10)</t>
        </is>
      </c>
      <c r="S53" t="inlineStr">
        <is>
          <t>Sum the 8 items (each 1 to 5, with Never scored 5) for a raw score of 8 to 40, then convert to a T score (mean 50, SD 10, referenced to the US general population) using the HealthMeasures Cognitive Function v2.0 scoring manual. Higher T scores indicate better perceived cognitive function. HealthMeasures suggests descriptive bands of within normal limits (T above 45), mild (40 to 45), moderate (30 to 40) and severe impairment (below 30) for symptom measures scored in the function direction; confirm against the current scoring manual.</t>
        </is>
      </c>
      <c r="T53" t="inlineStr">
        <is>
          <t>See Total scoring</t>
        </is>
      </c>
      <c r="U53" t="inlineStr">
        <is>
          <t>See Total scoring</t>
        </is>
      </c>
      <c r="V53" t="inlineStr">
        <is>
          <t>Not stated on source</t>
        </is>
      </c>
      <c r="W53" t="inlineStr">
        <is>
          <t>Not stated on source</t>
        </is>
      </c>
      <c r="X53" t="inlineStr">
        <is>
          <t>Lai, J.-S., Wagner, L. I., Jacobsen, P. B., &amp; Cella, D. (2014). Self-reported cognitive concerns and abilities: Two sides of one coin? Psycho-Oncology, 23(10), 1133–1141. https://doi.org/10.1002/pon.3522 (PROMIS Cognitive Function item bank). Instrument: PROMIS Health Organization. (2017). PROMIS Item Bank v2.0 – Cognitive Function – Short Form 8a. HealthMeasures.</t>
        </is>
      </c>
      <c r="Y53"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 Source: https://healthmeasures.net/implement/steps-to-license/</t>
        </is>
      </c>
      <c r="Z53" t="inlineStr">
        <is>
          <t>https://loinc.org/81530-8/panel</t>
        </is>
      </c>
    </row>
    <row r="54">
      <c r="A54" t="inlineStr">
        <is>
          <t>PROMIS-FAT-8A</t>
        </is>
      </c>
      <c r="B54" t="inlineStr">
        <is>
          <t>PROMIS Fatigue Short Form 8a</t>
        </is>
      </c>
      <c r="C54" t="inlineStr">
        <is>
          <t>8. Functioning and health</t>
        </is>
      </c>
      <c r="D54" t="inlineStr">
        <is>
          <t>Free / open access</t>
        </is>
      </c>
      <c r="E54" t="n">
        <v>8</v>
      </c>
      <c r="F54">
        <f>COUNTIF('Master Item List'!$A:$A,$A54)</f>
        <v/>
      </c>
      <c r="G54" t="inlineStr">
        <is>
          <t>Experience of fatigue and its interference with daily activities over the past 7 days.</t>
        </is>
      </c>
      <c r="H54" t="inlineStr">
        <is>
          <t>Self report</t>
        </is>
      </c>
      <c r="I54" t="inlineStr">
        <is>
          <t>18+</t>
        </is>
      </c>
      <c r="J54" t="inlineStr">
        <is>
          <t>2 minutes</t>
        </is>
      </c>
      <c r="K54"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t>
        </is>
      </c>
      <c r="L54" t="inlineStr">
        <is>
          <t>Useful for burnout and energy management coaching; shorter 4a, 6a and 7a forms exist.</t>
        </is>
      </c>
      <c r="M54" t="inlineStr">
        <is>
          <t>Experience of fatigue and its interference with daily activities over the past 7 days.</t>
        </is>
      </c>
      <c r="N54" t="inlineStr">
        <is>
          <t>Please respond to each question or statement by marking one box per row. During the past 7 days...</t>
        </is>
      </c>
      <c r="O54" t="inlineStr">
        <is>
          <t>Not at all = 1 | A little bit = 2 | Somewhat = 3 | Quite a bit = 4 | Very much = 5</t>
        </is>
      </c>
      <c r="P54" t="inlineStr">
        <is>
          <t>None</t>
        </is>
      </c>
      <c r="Q54" t="inlineStr">
        <is>
          <t>None</t>
        </is>
      </c>
      <c r="R54" t="inlineStr">
        <is>
          <t>Total (items 1-8; n=8; range 8-40 raw; T score approximately 33-76)</t>
        </is>
      </c>
      <c r="S54" t="inlineStr">
        <is>
          <t>Sum the 8 item responses (each 1 to 5) to give a raw score of 8 to 40, then convert the raw score to a T score (mean 50, SD 10 in the US general population) using the HealthMeasures scoring table for Fatigue 8a Adult v1.0 or the HealthMeasures Scoring Service; higher T scores indicate more fatigue. HealthMeasures descriptive bands for symptom measures: below 55 within normal limits, 55 to 59.9 mild, 60 to 69.9 moderate, 70 and above severe.</t>
        </is>
      </c>
      <c r="T54" t="inlineStr">
        <is>
          <t>See Total scoring</t>
        </is>
      </c>
      <c r="U54" t="inlineStr">
        <is>
          <t>See Total scoring</t>
        </is>
      </c>
      <c r="V54" t="inlineStr">
        <is>
          <t>Not stated on source</t>
        </is>
      </c>
      <c r="W54" t="inlineStr">
        <is>
          <t>Not stated on source</t>
        </is>
      </c>
      <c r="X54" t="inlineStr">
        <is>
          <t>Cella, D., Riley, W., Stone, A., Rothrock, N., Reeve, B., Yount, S., Amtmann, D., Bode, R., Buysse, D., Choi, S., Cook, K., DeVellis, R., DeWalt, D., Fries, J. F., Gershon, R., Hahn, E. A., Lai, J.-S., Pilkonis, P., Revicki, D., ... Hays, R. (2010). The Patient-Reported Outcomes Measurement Information System (PROMIS) developed and tested its first wave of adult self-reported health outcome item banks: 2005–2008. Journal of Clinical Epidemiology, 63(11), 1179–1194. https://doi.org/10.1016/j.jclinepi.2010.04.011</t>
        </is>
      </c>
      <c r="Y54"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 Source: https://healthmeasures.net/implement/steps-to-license/</t>
        </is>
      </c>
      <c r="Z54" t="inlineStr">
        <is>
          <t>https://psytests.org/diag/promF8en-bl.html (English item text) and https://heal.nih.gov/files/CDEs/2023-07/promis-fatigue-8a-crf.pdf (item codes, response values, copyright; Spanish Universal version)</t>
        </is>
      </c>
    </row>
    <row r="55">
      <c r="A55" t="inlineStr">
        <is>
          <t>PROMIS-GSE-4A</t>
        </is>
      </c>
      <c r="B55" t="inlineStr">
        <is>
          <t>PROMIS General Self-Efficacy Short Form 4a</t>
        </is>
      </c>
      <c r="C55" t="inlineStr">
        <is>
          <t>3. Adjacent occupational and wellbeing</t>
        </is>
      </c>
      <c r="D55" t="inlineStr">
        <is>
          <t>Free / open access</t>
        </is>
      </c>
      <c r="E55" t="n">
        <v>4</v>
      </c>
      <c r="F55">
        <f>COUNTIF('Master Item List'!$A:$A,$A55)</f>
        <v/>
      </c>
      <c r="G55" t="inlineStr">
        <is>
          <t>Confidence in one's ability to handle problems, unexpected events and whatever arises.</t>
        </is>
      </c>
      <c r="H55" t="inlineStr">
        <is>
          <t>Self report</t>
        </is>
      </c>
      <c r="I55" t="inlineStr">
        <is>
          <t>18+</t>
        </is>
      </c>
      <c r="J55" t="inlineStr">
        <is>
          <t>1 minutes</t>
        </is>
      </c>
      <c r="K55"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t>
        </is>
      </c>
      <c r="L55" t="inlineStr">
        <is>
          <t>Very brief pre and post measure for goal pursuit and confidence building; derived from the Self-Efficacy for Managing Chronic Conditions item banks.</t>
        </is>
      </c>
      <c r="M55" t="inlineStr">
        <is>
          <t>Confidence in one's ability to handle problems, unexpected events and whatever arises.</t>
        </is>
      </c>
      <c r="N55" t="inlineStr">
        <is>
          <t>Please respond to each item by marking one box per row. For the next set of questions, please read each sentence and rate your level of confidence in managing various situations, problems, and events. Rate your level of confidence.</t>
        </is>
      </c>
      <c r="O55" t="inlineStr">
        <is>
          <t>I am not at all confident = 1 | I am a little confident = 2 | I am somewhat confident = 3 | I am quite confident = 4 | I am very confident = 5</t>
        </is>
      </c>
      <c r="P55" t="inlineStr">
        <is>
          <t>None</t>
        </is>
      </c>
      <c r="Q55" t="inlineStr">
        <is>
          <t>None</t>
        </is>
      </c>
      <c r="R55" t="inlineStr">
        <is>
          <t>Total (items 1-4; n=4; range 4-20 (raw); T score mean 50, SD 10)</t>
        </is>
      </c>
      <c r="S55" t="inlineStr">
        <is>
          <t>Sum the 4 items (1 to 5) for a raw score of 4 to 20, then convert to a T score (mean 50, SD 10) using the HealthMeasures General Self-Efficacy v1.0 scoring manual. Higher scores indicate greater general self efficacy. No clinical cut offs are published.</t>
        </is>
      </c>
      <c r="T55" t="inlineStr">
        <is>
          <t>See Total scoring</t>
        </is>
      </c>
      <c r="U55" t="inlineStr">
        <is>
          <t>See Total scoring</t>
        </is>
      </c>
      <c r="V55" t="inlineStr">
        <is>
          <t>Not stated on source</t>
        </is>
      </c>
      <c r="W55" t="inlineStr">
        <is>
          <t>Not stated on source</t>
        </is>
      </c>
      <c r="X55" t="inlineStr">
        <is>
          <t>Gruber-Baldini, A. L., Velozo, C., Romero, S., &amp; Shulman, L. M. (2017). Validation of the PROMIS® measures of self-efficacy for managing chronic conditions. Quality of Life Research, 26(7), 1915–1924. https://doi.org/10.1007/s11136-017-1527-3. Instrument: PROMIS Health Organization. (2015). PROMIS Item Bank v1.0 – General Self-Efficacy – Short Form 4a. HealthMeasures.</t>
        </is>
      </c>
      <c r="Y55"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 Source: https://healthmeasures.net/implement/steps-to-license/</t>
        </is>
      </c>
      <c r="Z55" t="inlineStr">
        <is>
          <t>https://cdn.clinicaltrials.gov/large-docs/37/NCT04059237/Prot_SAP_001.pdf</t>
        </is>
      </c>
    </row>
    <row r="56">
      <c r="A56" t="inlineStr">
        <is>
          <t>PROMIS-MP-8A</t>
        </is>
      </c>
      <c r="B56" t="inlineStr">
        <is>
          <t>PROMIS Meaning and Purpose Short Form 8a</t>
        </is>
      </c>
      <c r="C56" t="inlineStr">
        <is>
          <t>7. Wellbeing and life satisfaction</t>
        </is>
      </c>
      <c r="D56" t="inlineStr">
        <is>
          <t>Free / open access</t>
        </is>
      </c>
      <c r="E56" t="n">
        <v>8</v>
      </c>
      <c r="F56">
        <f>COUNTIF('Master Item List'!$A:$A,$A56)</f>
        <v/>
      </c>
      <c r="G56" t="inlineStr">
        <is>
          <t>Sense that one's life has meaning, direction and purpose.</t>
        </is>
      </c>
      <c r="H56" t="inlineStr">
        <is>
          <t>Self report</t>
        </is>
      </c>
      <c r="I56" t="inlineStr">
        <is>
          <t>18+</t>
        </is>
      </c>
      <c r="J56" t="inlineStr">
        <is>
          <t>2 minutes</t>
        </is>
      </c>
      <c r="K56"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t>
        </is>
      </c>
      <c r="L56" t="inlineStr">
        <is>
          <t>Fits values and purpose based coaching; developed within the PROMIS psychological wellbeing item banks alongside Positive Affect and Life Satisfaction.</t>
        </is>
      </c>
      <c r="M56" t="inlineStr">
        <is>
          <t>Sense that one's life has meaning, direction and purpose.</t>
        </is>
      </c>
      <c r="N56" t="inlineStr">
        <is>
          <t>Not stated on source</t>
        </is>
      </c>
      <c r="O56" t="inlineStr">
        <is>
          <t>Strongly disagree = 1 | 2 = 2 | 3 = 3 | 4 = 4 | Strongly agree = 5</t>
        </is>
      </c>
      <c r="P56" t="inlineStr">
        <is>
          <t>None</t>
        </is>
      </c>
      <c r="Q56" t="inlineStr">
        <is>
          <t>None</t>
        </is>
      </c>
      <c r="R56" t="inlineStr">
        <is>
          <t>Total (items 1-8; n=8; range 8-40 raw; T score)</t>
        </is>
      </c>
      <c r="S56" t="inlineStr">
        <is>
          <t>Each item is rated on a 5 point scale scored 1 to 5. Sum the 8 responses (8 to 40) and convert to a T score (mean 50, SD 10 in the US general population) using the HealthMeasures scoring table or Scoring Service; higher T scores indicate a stronger sense of meaning and purpose. No clinical cut offs are published; HealthMeasures reports T scores relative to the general population mean.</t>
        </is>
      </c>
      <c r="T56" t="inlineStr">
        <is>
          <t>See Total scoring</t>
        </is>
      </c>
      <c r="U56" t="inlineStr">
        <is>
          <t>See Total scoring</t>
        </is>
      </c>
      <c r="V56" t="inlineStr">
        <is>
          <t>Not stated on source</t>
        </is>
      </c>
      <c r="W56" t="inlineStr">
        <is>
          <t>Not stated on source</t>
        </is>
      </c>
      <c r="X56" t="inlineStr">
        <is>
          <t>Salsman, J. M., Schalet, B. D., Park, C. L., George, L., Steger, M. F., Hahn, E. A., Snyder, M. A., &amp; Cella, D. (2020). Assessing meaning &amp; purpose in life: Development and validation of an item bank and short forms for the NIH PROMIS®. Quality of Life Research, 29(8), 2299–2310. https://doi.org/10.1007/s11136-020-02489-3</t>
        </is>
      </c>
      <c r="Y56"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 Source: https://healthmeasures.net/implement/steps-to-license/</t>
        </is>
      </c>
      <c r="Z56" t="inlineStr">
        <is>
          <t>https://pmc.ncbi.nlm.nih.gov/articles/PMC7367748 (Salsman et al., 2020, Table 3, 8 item short form column)</t>
        </is>
      </c>
    </row>
    <row r="57">
      <c r="A57" t="inlineStr">
        <is>
          <t>PROMIS-SSRA-8A</t>
        </is>
      </c>
      <c r="B57" t="inlineStr">
        <is>
          <t>PROMIS Satisfaction with Social Roles and Activities Short Form 8a</t>
        </is>
      </c>
      <c r="C57" t="inlineStr">
        <is>
          <t>8. Functioning and health</t>
        </is>
      </c>
      <c r="D57" t="inlineStr">
        <is>
          <t>Free / open access</t>
        </is>
      </c>
      <c r="E57" t="n">
        <v>8</v>
      </c>
      <c r="F57">
        <f>COUNTIF('Master Item List'!$A:$A,$A57)</f>
        <v/>
      </c>
      <c r="G57" t="inlineStr">
        <is>
          <t>Satisfaction with performance of usual social roles and activities, including work, family and leisure responsibilities.</t>
        </is>
      </c>
      <c r="H57" t="inlineStr">
        <is>
          <t>Self report</t>
        </is>
      </c>
      <c r="I57" t="inlineStr">
        <is>
          <t>18+</t>
        </is>
      </c>
      <c r="J57" t="inlineStr">
        <is>
          <t>2 minutes</t>
        </is>
      </c>
      <c r="K57"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L57" t="inlineStr">
        <is>
          <t>Pairs with the Ability form to separate capacity from satisfaction, a distinction that often drives career and work life coaching goals.</t>
        </is>
      </c>
      <c r="M57" t="inlineStr">
        <is>
          <t>Satisfaction with performance of usual social roles and activities, including work, family and leisure responsibilities.</t>
        </is>
      </c>
      <c r="N57" t="inlineStr">
        <is>
          <t>Not stated on source</t>
        </is>
      </c>
      <c r="O57" t="inlineStr">
        <is>
          <t>Not at all = 1 | A little bit = 2 | Somewhat = 3 | Quite a bit = 4 | Very much = 5</t>
        </is>
      </c>
      <c r="P57" t="inlineStr">
        <is>
          <t>None</t>
        </is>
      </c>
      <c r="Q57" t="inlineStr">
        <is>
          <t>None</t>
        </is>
      </c>
      <c r="R57" t="inlineStr">
        <is>
          <t>Total (items 1-8; n=8; range 8-40 (raw); T score)</t>
        </is>
      </c>
      <c r="S57" t="inlineStr">
        <is>
          <t>Score each item 1 (Not at all) to 5 (Very much), no reverse keying, sum to a raw score of 8 to 40 (all items answered), then convert to a T score (mean 50, SD 10 in the US general population) with the HealthMeasures conversion table for Satisfaction with Social Roles and Activities 8a v2.0; higher T scores indicate greater satisfaction. HealthMeasures bands for positively keyed measures: 40 to 45 mild impairment, 30 to 40 moderate, below 30 severe (approximate; confirm in the current scoring manual). The raw to T conversion table could not be retrieved and is not reproduced here.</t>
        </is>
      </c>
      <c r="T57" t="inlineStr">
        <is>
          <t>See Total scoring</t>
        </is>
      </c>
      <c r="U57" t="inlineStr">
        <is>
          <t>See Total scoring</t>
        </is>
      </c>
      <c r="V57" t="inlineStr">
        <is>
          <t>Not stated on source</t>
        </is>
      </c>
      <c r="W57" t="inlineStr">
        <is>
          <t>Not stated on source</t>
        </is>
      </c>
      <c r="X57" t="inlineStr">
        <is>
          <t>Hahn, E. A., DeWalt, D. A., Bode, R. K., Garcia, S. F., DeVellis, R. F., Correia, H., &amp; Cella, D. (2014). New English and Spanish social health measures will facilitate evaluating health determinants. Health Psychology, 33(5), 490–499. https://doi.org/10.1037/hea0000055</t>
        </is>
      </c>
      <c r="Y57"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Z57" t="inlineStr">
        <is>
          <t>https://loinc.org/76800-2/panel</t>
        </is>
      </c>
    </row>
    <row r="58">
      <c r="A58" t="inlineStr">
        <is>
          <t>PROMIS-SD-8A</t>
        </is>
      </c>
      <c r="B58" t="inlineStr">
        <is>
          <t>PROMIS Sleep Disturbance Short Form 8a</t>
        </is>
      </c>
      <c r="C58" t="inlineStr">
        <is>
          <t>8. Functioning and health</t>
        </is>
      </c>
      <c r="D58" t="inlineStr">
        <is>
          <t>Free / open access</t>
        </is>
      </c>
      <c r="E58" t="n">
        <v>8</v>
      </c>
      <c r="F58">
        <f>COUNTIF('Master Item List'!$A:$A,$A58)</f>
        <v/>
      </c>
      <c r="G58" t="inlineStr">
        <is>
          <t>Perceived sleep quality, depth and restoration and difficulty initiating or maintaining sleep over the past 7 days.</t>
        </is>
      </c>
      <c r="H58" t="inlineStr">
        <is>
          <t>Self report</t>
        </is>
      </c>
      <c r="I58" t="inlineStr">
        <is>
          <t>18+</t>
        </is>
      </c>
      <c r="J58" t="inlineStr">
        <is>
          <t>2 minutes</t>
        </is>
      </c>
      <c r="K58"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L58" t="inlineStr">
        <is>
          <t>Baseline and progress measure for sleep routine goals; 4a and 6a forms are available.</t>
        </is>
      </c>
      <c r="M58" t="inlineStr">
        <is>
          <t>Perceived sleep quality, depth and restoration and difficulty initiating or maintaining sleep over the past 7 days.</t>
        </is>
      </c>
      <c r="N58" t="inlineStr">
        <is>
          <t>In the past 7 days...</t>
        </is>
      </c>
      <c r="O58" t="inlineStr">
        <is>
          <t>Not at all = 1 | A little bit = 2 | Somewhat = 3 | Quite a bit = 4 | Very much = 5</t>
        </is>
      </c>
      <c r="P58" t="inlineStr">
        <is>
          <t>None</t>
        </is>
      </c>
      <c r="Q58" t="inlineStr">
        <is>
          <t>None</t>
        </is>
      </c>
      <c r="R58" t="inlineStr">
        <is>
          <t>Total (items 1-8; n=8; range 8-40 (raw); T score about 30.5-77.5)</t>
        </is>
      </c>
      <c r="S58" t="inlineStr">
        <is>
          <t>Score each item 1 to 5 with items 1, 2 and 8 reverse keyed as shown in the item notes, sum to a raw score of 8 to 40 (all items must be answered to use the conversion table), then convert to a T score (mean 50, SD 10 in the US general population) with the HealthMeasures table for Adult Sleep Disturbance 8a v1.0 (raw=T): 8=30.5, 9=35.3, 10=38.1, 11=40.4, 12=42.2, 13=43.9, 14=45.3, 15=46.7, 16=47.9, 17=49.1, 18=50.2, 19=51.3, 20=52.4, 21=53.4, 22=54.3, 23=55.3, 24=56.2, 25=57.2, 26=58.1, 27=59.1, 28=60.0, 29=61.0, 30=62.0, 31=63.0, 32=64.0, 33=65.1, 34=66.2, 35=67.4, 36=68.7, 37=70.2, 38=72.0, 39=74.1, 40=77.5. Higher T scores indicate more sleep disturbance. HealthMeasures severity bands used with the DSM-5 Level 2 adaptation: less than 55 none to slight, 55.0 to 59.9 mild, 60.0 to 69.9 moderate, 70 and over severe. The scoring manual notes the 8a table was revised 22 May 2014 and recommends the HealthMeasures Scoring Service for response pattern scoring.</t>
        </is>
      </c>
      <c r="T58" t="inlineStr">
        <is>
          <t>See Total scoring</t>
        </is>
      </c>
      <c r="U58" t="inlineStr">
        <is>
          <t>See Total scoring</t>
        </is>
      </c>
      <c r="V58" t="inlineStr">
        <is>
          <t>Not stated on source</t>
        </is>
      </c>
      <c r="W58" t="inlineStr">
        <is>
          <t>Not stated on source</t>
        </is>
      </c>
      <c r="X58"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Y58"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Z58" t="inlineStr">
        <is>
          <t>https://loinc.org/76703-8/panel</t>
        </is>
      </c>
    </row>
    <row r="59">
      <c r="A59" t="inlineStr">
        <is>
          <t>PROMIS-SRI-8A</t>
        </is>
      </c>
      <c r="B59" t="inlineStr">
        <is>
          <t>PROMIS Sleep-Related Impairment Short Form 8a</t>
        </is>
      </c>
      <c r="C59" t="inlineStr">
        <is>
          <t>8. Functioning and health</t>
        </is>
      </c>
      <c r="D59" t="inlineStr">
        <is>
          <t>Free / open access</t>
        </is>
      </c>
      <c r="E59" t="n">
        <v>8</v>
      </c>
      <c r="F59">
        <f>COUNTIF('Master Item List'!$A:$A,$A59)</f>
        <v/>
      </c>
      <c r="G59" t="inlineStr">
        <is>
          <t>Daytime consequences of poor sleep, including alertness, sleepiness and tiredness, over the past 7 days.</t>
        </is>
      </c>
      <c r="H59" t="inlineStr">
        <is>
          <t>Self report</t>
        </is>
      </c>
      <c r="I59" t="inlineStr">
        <is>
          <t>18+</t>
        </is>
      </c>
      <c r="J59" t="inlineStr">
        <is>
          <t>2 minutes</t>
        </is>
      </c>
      <c r="K59"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t>
        </is>
      </c>
      <c r="L59" t="inlineStr">
        <is>
          <t>Complements Sleep Disturbance by capturing daytime functioning, which is the dimension most relevant to work performance.</t>
        </is>
      </c>
      <c r="M59" t="inlineStr">
        <is>
          <t>Daytime consequences of poor sleep, including alertness, sleepiness and tiredness, over the past 7 days.</t>
        </is>
      </c>
      <c r="N59" t="inlineStr">
        <is>
          <t>Please respond to each item by marking one box per row. In the past 7 days...</t>
        </is>
      </c>
      <c r="O59" t="inlineStr">
        <is>
          <t>Not at all = 1 | A little bit = 2 | Somewhat = 3 | Quite a bit = 4 | Very much = 5</t>
        </is>
      </c>
      <c r="P59" t="inlineStr">
        <is>
          <t>None</t>
        </is>
      </c>
      <c r="Q59" t="inlineStr">
        <is>
          <t>None</t>
        </is>
      </c>
      <c r="R59" t="inlineStr">
        <is>
          <t>Total (items 1-8; n=8; range 8-40 (raw))</t>
        </is>
      </c>
      <c r="S59" t="inlineStr">
        <is>
          <t>Score each item 1 (Not at all) to 5 (Very much); item 2 (Sleep119) is scored in reverse (Not at all = 5, Very much = 1) as printed on the form. Sum the 8 items for a raw score of 8 to 40 and convert to a T score (mean 50, SD 10, US general population) using the HealthMeasures conversion table or the HealthMeasures Scoring Service. Higher T scores indicate greater sleep related impairment. HealthMeasures descriptive bands: below 55 within normal limits, 55 to 59.9 mild, 60 to 69.9 moderate, 70 and above severe (band source: HealthMeasures score interpretation guidance; not printed on the form).</t>
        </is>
      </c>
      <c r="T59" t="inlineStr">
        <is>
          <t>See Total scoring</t>
        </is>
      </c>
      <c r="U59" t="inlineStr">
        <is>
          <t>See Total scoring</t>
        </is>
      </c>
      <c r="V59" t="inlineStr">
        <is>
          <t>Not stated on source</t>
        </is>
      </c>
      <c r="W59" t="inlineStr">
        <is>
          <t>Not stated on source</t>
        </is>
      </c>
      <c r="X59"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Y59"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 Source: https://healthmeasures.net/implement/steps-to-license/</t>
        </is>
      </c>
      <c r="Z59" t="inlineStr">
        <is>
          <t>https://www.heal.nih.gov/files/CDEs/2023-09/promis-sleep-related-impairment-8a-crf.pdf</t>
        </is>
      </c>
    </row>
    <row r="60">
      <c r="A60" t="inlineStr">
        <is>
          <t>PSWQ</t>
        </is>
      </c>
      <c r="B60" t="inlineStr">
        <is>
          <t>Penn State Worry Questionnaire</t>
        </is>
      </c>
      <c r="C60" t="inlineStr">
        <is>
          <t>4. Clinical and distress screening</t>
        </is>
      </c>
      <c r="D60" t="inlineStr">
        <is>
          <t>Public domain</t>
        </is>
      </c>
      <c r="E60" t="n">
        <v>16</v>
      </c>
      <c r="F60">
        <f>COUNTIF('Master Item List'!$A:$A,$A60)</f>
        <v/>
      </c>
      <c r="G60" t="inlineStr">
        <is>
          <t>Trait pathological worry, in particular its excessiveness, generality and uncontrollability.</t>
        </is>
      </c>
      <c r="H60" t="inlineStr">
        <is>
          <t>Self report</t>
        </is>
      </c>
      <c r="I60" t="inlineStr">
        <is>
          <t>18+</t>
        </is>
      </c>
      <c r="J60" t="inlineStr">
        <is>
          <t>3 minutes</t>
        </is>
      </c>
      <c r="K60" t="inlineStr">
        <is>
          <t>CamCOPS: "In the public domain." "Reproduced in full in Meyer et al. (1990)." Confirmed as being in the public domain, with explicit permission given for use, by Thomas D. Borkovec (personal communication to Rudolf Cardinal, 23 July 2015).</t>
        </is>
      </c>
      <c r="L60" t="inlineStr">
        <is>
          <t>Gold standard worry measure; complements the GAD-7 by capturing the worry process rather than symptoms</t>
        </is>
      </c>
      <c r="M60" t="inlineStr">
        <is>
          <t>Trait pathological worry, in particular its excessiveness, generality and uncontrollability.</t>
        </is>
      </c>
      <c r="N60" t="inlineStr">
        <is>
          <t>Rate each of the following statements on a scale of 1 ("not at all typical of me") to 5 ("very typical of me"). Please do not leave any items blank.</t>
        </is>
      </c>
      <c r="O60" t="inlineStr">
        <is>
          <t>Not at all typical of me = 1 | 2 = 2 | 3 = 3 | 4 = 4 | Very typical of me = 5</t>
        </is>
      </c>
      <c r="P60" t="inlineStr">
        <is>
          <t>1, 3, 8, 10, 11</t>
        </is>
      </c>
      <c r="Q60" t="inlineStr">
        <is>
          <t>None</t>
        </is>
      </c>
      <c r="R60" t="inlineStr">
        <is>
          <t>Total (items 1-16; n=16; range 16-80)</t>
        </is>
      </c>
      <c r="S60" t="inlineStr">
        <is>
          <t>Reverse score items 1, 3, 8, 10 and 11 (1=5, 2=4, 3=3, 4=2, 5=1), then sum all 16 items (16 to 80); higher scores indicate more pathological worry. Commonly used bands: 16 to 39 low worry, 40 to 59 moderate worry, 60 to 80 high worry (as reproduced on the Carepatron form). A score of 45 or more is often taken to suggest worry is a significant problem and is about the GAD screening cut off in treatment seeking samples; community screening cut offs of 62 to 65 have also been reported (target record).</t>
        </is>
      </c>
      <c r="T60" t="inlineStr">
        <is>
          <t>See Total scoring</t>
        </is>
      </c>
      <c r="U60" t="inlineStr">
        <is>
          <t>See Total scoring</t>
        </is>
      </c>
      <c r="V60" t="inlineStr">
        <is>
          <t>Not stated on source</t>
        </is>
      </c>
      <c r="W60" t="inlineStr">
        <is>
          <t>Not stated on source</t>
        </is>
      </c>
      <c r="X60" t="inlineStr">
        <is>
          <t>Meyer, T. J., Miller, M. L., Metzger, R. L., &amp; Borkovec, T. D. (1990). Development and validation of the Penn State Worry Questionnaire. Behaviour Research and Therapy, 28(6), 487–495. https://doi.org/10.1016/0005-7967(90)90135-6</t>
        </is>
      </c>
      <c r="Y60" t="inlineStr">
        <is>
          <t>CamCOPS: "In the public domain." "Reproduced in full in Meyer et al. (1990)." Confirmed as being in the public domain, with explicit permission given for use, by Thomas D. Borkovec (personal communication to Rudolf Cardinal, 23 July 2015). Source: https://camcops.readthedocs.io/en/latest/tasks/pswq.html</t>
        </is>
      </c>
      <c r="Z60" t="inlineStr">
        <is>
          <t>https://www.ncbi.nlm.nih.gov/books/NBK571032/bin/ch9.p265.pdf (NIHR Journals Library open access appendix reproducing the PSWQ)</t>
        </is>
      </c>
    </row>
    <row r="61">
      <c r="A61" t="inlineStr">
        <is>
          <t>RAADS-14</t>
        </is>
      </c>
      <c r="B61" t="inlineStr">
        <is>
          <t>Ritvo Autism Asperger Diagnostic Scale, 14 item Screen</t>
        </is>
      </c>
      <c r="C61" t="inlineStr">
        <is>
          <t>4. Clinical and distress screening</t>
        </is>
      </c>
      <c r="D61" t="inlineStr">
        <is>
          <t>Free / open access</t>
        </is>
      </c>
      <c r="E61" t="n">
        <v>14</v>
      </c>
      <c r="F61">
        <f>COUNTIF('Master Item List'!$A:$A,$A61)</f>
        <v/>
      </c>
      <c r="G61" t="inlineStr">
        <is>
          <t>Autistic traits in adults, covering mentalizing deficits, social anxiety and sensory reactivity, with developmental timing captured in the response format.</t>
        </is>
      </c>
      <c r="H61" t="inlineStr">
        <is>
          <t>Self report</t>
        </is>
      </c>
      <c r="I61" t="inlineStr">
        <is>
          <t>18+ (adult psychiatric and general populations)</t>
        </is>
      </c>
      <c r="J61" t="inlineStr">
        <is>
          <t>3 minutes</t>
        </is>
      </c>
      <c r="K61"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t>
        </is>
      </c>
      <c r="L61" t="inlineStr">
        <is>
          <t>Good second screen alongside the AQ-10 because it probes developmental history; low specificity in ADHD</t>
        </is>
      </c>
      <c r="M61" t="inlineStr">
        <is>
          <t>Autistic traits in adults, covering mentalizing deficits, social anxiety and sensory reactivity, with developmental timing captured in the response format.</t>
        </is>
      </c>
      <c r="N61" t="inlineStr">
        <is>
          <t>Please answer the questions according to what is true for you. Check only one column per statement!</t>
        </is>
      </c>
      <c r="O61" t="inlineStr">
        <is>
          <t>True now and when I was young = 3 | True only now = 2 | True only when I was younger than 16 = 1 | Never true = 0</t>
        </is>
      </c>
      <c r="P61" t="inlineStr">
        <is>
          <t>6</t>
        </is>
      </c>
      <c r="Q61" t="inlineStr">
        <is>
          <t>None</t>
        </is>
      </c>
      <c r="R61" t="inlineStr">
        <is>
          <t>Total (items 1-14; n=14; range 0-42); Mentalizing deficits (items 1, 4, 9, 11, 12, 13, 14; n=7; range 0-21); Social anxiety (items 3, 5, 6, 8; n=4; range 0-12); Sensory reactivity (items 2, 7, 10; n=3; range 0-9)</t>
        </is>
      </c>
      <c r="S61" t="inlineStr">
        <is>
          <t>Score each item 3 (true now and when I was young), 2 (true only now), 1 (true only when I was younger than 16) or 0 (never true); item 6 is reversed (0, 1, 2, 3). Sum for a total of 0 to 42; higher scores indicate more autistic traits. Eriksson et al. (2013): a cut off score of 14 or above gives sensitivity 0.97 and specificity 0.46 against ADHD, 0.64 against other psychiatric disorders and 0.95 against non psychiatric controls. A 5 item short form with cut off 4 or above out of 15 had sensitivity 0.93 and specificity 0.45 to 0.49 in the psychiatric samples. Screening tool only, not diagnostic.</t>
        </is>
      </c>
      <c r="T61" t="inlineStr">
        <is>
          <t>See Total scoring</t>
        </is>
      </c>
      <c r="U61" t="inlineStr">
        <is>
          <t>See Total scoring</t>
        </is>
      </c>
      <c r="V61" t="inlineStr">
        <is>
          <t>Not stated on source</t>
        </is>
      </c>
      <c r="W61" t="inlineStr">
        <is>
          <t>Not stated on source</t>
        </is>
      </c>
      <c r="X61" t="inlineStr">
        <is>
          <t>Eriksson, J. M., Andersen, L. M., &amp; Bejerot, S. (2013). RAADS-14 Screen: Validity of a screening tool for autism spectrum disorder in an adult psychiatric population. Molecular Autism, 4(1), 49. https://doi.org/10.1186/2040-2392-4-49</t>
        </is>
      </c>
      <c r="Y61"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 Source: https://molecularautism.biomedcentral.com/articles/10.1186/2040-2392-4-49</t>
        </is>
      </c>
      <c r="Z61" t="inlineStr">
        <is>
          <t>https://pmc.ncbi.nlm.nih.gov/articles/PMC3907126</t>
        </is>
      </c>
    </row>
    <row r="62">
      <c r="A62" t="inlineStr">
        <is>
          <t>SAPS</t>
        </is>
      </c>
      <c r="B62" t="inlineStr">
        <is>
          <t>Short Almost Perfect Scale</t>
        </is>
      </c>
      <c r="C62" t="inlineStr">
        <is>
          <t>5. Self talk, thinking patterns and personality</t>
        </is>
      </c>
      <c r="D62" t="inlineStr">
        <is>
          <t>Free / open access</t>
        </is>
      </c>
      <c r="E62" t="n">
        <v>8</v>
      </c>
      <c r="F62">
        <f>COUNTIF('Master Item List'!$A:$A,$A62)</f>
        <v/>
      </c>
      <c r="G62" t="inlineStr">
        <is>
          <t>Perfectionistic high personal standards and the perceived discrepancy between performance and those standards.</t>
        </is>
      </c>
      <c r="H62" t="inlineStr">
        <is>
          <t>Self report</t>
        </is>
      </c>
      <c r="I62" t="inlineStr">
        <is>
          <t>18+</t>
        </is>
      </c>
      <c r="J62" t="inlineStr">
        <is>
          <t>2 minutes</t>
        </is>
      </c>
      <c r="K62" t="inlineStr">
        <is>
          <t>Rice lab statement: no permission is required to use or translate the SAPS because it is a subset of the APS-R; cite properly. The PDF carries no copyright notice, only the citation.</t>
        </is>
      </c>
      <c r="L62" t="inlineStr">
        <is>
          <t>8 item perfectionism check for intake batteries where time is short.</t>
        </is>
      </c>
      <c r="M62" t="inlineStr">
        <is>
          <t>Perfectionistic high personal standards and the perceived discrepancy between performance and those standards.</t>
        </is>
      </c>
      <c r="N62" t="inlineStr">
        <is>
          <t>The following items are designed to measure certain attitudes people have toward themselves, their performance, and toward others. It is important that your answers be true and accurate for you. In the space next to the statement, please enter a number from "1" (strongly disagree) to "7" (strongly agree) to describe your degree of agreement with each item.</t>
        </is>
      </c>
      <c r="O62" t="inlineStr">
        <is>
          <t>STRONGLY DISAGREE = 1 | DISAGREE = 2 | SLIGHTLY DISAGREE = 3 | NEUTRAL = 4 | SLIGHTLY AGREE = 5 | AGREE = 6 | STRONGLY AGREE = 7</t>
        </is>
      </c>
      <c r="P62" t="inlineStr">
        <is>
          <t>None</t>
        </is>
      </c>
      <c r="Q62" t="inlineStr">
        <is>
          <t>None</t>
        </is>
      </c>
      <c r="R62" t="inlineStr">
        <is>
          <t>Standards (items 1, 3, 5, 7; n=4; range 4-28); Discrepancy (items 2, 4, 6, 8; n=4; range 4-28)</t>
        </is>
      </c>
      <c r="S62" t="inlineStr">
        <is>
          <t>Sum (4 to 28) or average (1 to 7) the items within each subscale as printed in the source key: "Standards = 1, 3, 5, 7" and "Discrepancy = 2, 4, 6, 8". No items are reverse scored. Higher Discrepancy indicates more maladaptive perfectionism; higher Standards indicates higher personal standards. No SAPS specific cut offs are published.</t>
        </is>
      </c>
      <c r="T62" t="inlineStr">
        <is>
          <t>See Total scoring</t>
        </is>
      </c>
      <c r="U62" t="inlineStr">
        <is>
          <t>See Total scoring</t>
        </is>
      </c>
      <c r="V62" t="inlineStr">
        <is>
          <t>Not stated on source</t>
        </is>
      </c>
      <c r="W62" t="inlineStr">
        <is>
          <t>Not stated on source</t>
        </is>
      </c>
      <c r="X62" t="inlineStr">
        <is>
          <t>Rice, K. G., Richardson, C. M. E., &amp; Tueller, S. (2014). The Short Form of the Revised Almost Perfect Scale. Journal of Personality Assessment, 96(3), 368–379. https://doi.org/10.1080/00223891.2013.838172</t>
        </is>
      </c>
      <c r="Y62" t="inlineStr">
        <is>
          <t>Rice lab statement: no permission is required to use or translate the SAPS because it is a subset of the APS-R; cite properly. The PDF carries no copyright notice, only the citation. Source: https://sites.gsu.edu/cpyricelab/?p=264</t>
        </is>
      </c>
      <c r="Z62" t="inlineStr">
        <is>
          <t>https://kennethwang.com/apsr/scales/SAPS-English.pdf</t>
        </is>
      </c>
    </row>
    <row r="63">
      <c r="A63" t="inlineStr">
        <is>
          <t>SCS</t>
        </is>
      </c>
      <c r="B63" t="inlineStr">
        <is>
          <t>Self-Compassion Scale, long form</t>
        </is>
      </c>
      <c r="C63" t="inlineStr">
        <is>
          <t>5. Self talk, thinking patterns and personality</t>
        </is>
      </c>
      <c r="D63" t="inlineStr">
        <is>
          <t>Free / open access</t>
        </is>
      </c>
      <c r="E63" t="n">
        <v>26</v>
      </c>
      <c r="F63">
        <f>COUNTIF('Master Item List'!$A:$A,$A63)</f>
        <v/>
      </c>
      <c r="G63" t="inlineStr">
        <is>
          <t>Self compassion as self kindness, common humanity and mindfulness versus self judgement, isolation and over identification in difficult times.</t>
        </is>
      </c>
      <c r="H63" t="inlineStr">
        <is>
          <t>Self report</t>
        </is>
      </c>
      <c r="I63" t="inlineStr">
        <is>
          <t>18+ (14+ with the youth form)</t>
        </is>
      </c>
      <c r="J63" t="inlineStr">
        <is>
          <t>5 minutes</t>
        </is>
      </c>
      <c r="K63" t="inlineStr">
        <is>
          <t>"Dr. Kristin Neff grants permission to use the Self-Compassion Scale (Neff, 2003) for any purpose whatsoever," with permission also given to translate the scale provided the factor structure is validated (SCS-information.pdf).</t>
        </is>
      </c>
      <c r="L63" t="inlineStr">
        <is>
          <t>Excellent for self talk and perfectionism coaching; the six subscale profile gives concrete practice targets. NovoPsych has only the 12 item short form.</t>
        </is>
      </c>
      <c r="M63" t="inlineStr">
        <is>
          <t>Self compassion as self kindness, common humanity and mindfulness versus self judgement, isolation and over identification in difficult times.</t>
        </is>
      </c>
      <c r="N63" t="inlineStr">
        <is>
          <t>HOW I TYPICALLY ACT TOWARDS MYSELF IN DIFFICULT TIMES. Please read each statement carefully before answering. To the left of each item, indicate how often you behave in the stated manner, using the following scale:</t>
        </is>
      </c>
      <c r="O63" t="inlineStr">
        <is>
          <t>Almost never = 1 | 2 = 2 | 3 = 3 | 4 = 4 | Almost always = 5</t>
        </is>
      </c>
      <c r="P63" t="inlineStr">
        <is>
          <t>1, 2, 4, 6, 8, 11, 13, 16, 18, 20, 21, 24, 25</t>
        </is>
      </c>
      <c r="Q63" t="inlineStr">
        <is>
          <t>None</t>
        </is>
      </c>
      <c r="R63" t="inlineStr">
        <is>
          <t>Self-Kindness (items 5, 12, 19, 23, 26; n=5; range 1-5 (mean)); Self-Judgment (items 1, 8, 11, 16, 21; n=5; range 1-5 (mean)); Common Humanity (items 3, 7, 10, 15; n=4; range 1-5 (mean)); Isolation (items 4, 13, 18, 25; n=4; range 1-5 (mean)); Mindfulness (items 9, 14, 17, 22; n=4; range 1-5 (mean)); Over-identified (items 2, 6, 20, 24; n=4; range 1-5 (mean)); Total (items 1-26; n=26; range 1-5 (mean))</t>
        </is>
      </c>
      <c r="S63" t="inlineStr">
        <is>
          <t>Reverse score the Self-Judgment, Isolation and Over-identified items (1 = 5, 2 = 4, 3 = 3, 4 = 2, 5 = 1), compute the mean of each of the 6 subscales, then take the total as the grand mean (the researcher PDF gives the mean of all 26 items; SCS-information.pdf gives the mean of the 6 subscale means, which are equal only when subscales have equal length, so the two documents differ slightly). Higher scores indicate greater self compassion. Neff states there are no clinical norms; her ad hoc rubric is 1.0 to 2.49 low, 2.5 to 3.5 moderate, 3.51 to 5.0 high. Negative subscales may be reported with or without reverse coding but must be reverse coded before the total is computed.</t>
        </is>
      </c>
      <c r="T63" t="inlineStr">
        <is>
          <t>See Total scoring</t>
        </is>
      </c>
      <c r="U63" t="inlineStr">
        <is>
          <t>See Total scoring</t>
        </is>
      </c>
      <c r="V63" t="inlineStr">
        <is>
          <t>Not stated on source</t>
        </is>
      </c>
      <c r="W63" t="inlineStr">
        <is>
          <t>Not stated on source</t>
        </is>
      </c>
      <c r="X63" t="inlineStr">
        <is>
          <t>Neff, K. D. (2003). The development and validation of a scale to measure self-compassion. Self and Identity, 2(3), 223–250. https://doi.org/10.1080/15298860309027</t>
        </is>
      </c>
      <c r="Y63" t="inlineStr">
        <is>
          <t>"Dr. Kristin Neff grants permission to use the Self-Compassion Scale (Neff, 2003) for any purpose whatsoever," with permission also given to translate the scale provided the factor structure is validated (SCS-information.pdf). Source: https://self-compassion.org/wp-content/uploads/2021/03/SCS-information.pdf</t>
        </is>
      </c>
      <c r="Z63" t="inlineStr">
        <is>
          <t>https://self-compassion.org/wptest/wp-content/uploads/Self_Compassion_Scale_for_researchers.pdf</t>
        </is>
      </c>
    </row>
    <row r="64">
      <c r="A64" t="inlineStr">
        <is>
          <t>SRQ-63</t>
        </is>
      </c>
      <c r="B64" t="inlineStr">
        <is>
          <t>Self-Regulation Questionnaire</t>
        </is>
      </c>
      <c r="C64" t="inlineStr">
        <is>
          <t>1. Executive functioning and ADHD</t>
        </is>
      </c>
      <c r="D64" t="inlineStr">
        <is>
          <t>Public domain</t>
        </is>
      </c>
      <c r="E64" t="n">
        <v>63</v>
      </c>
      <c r="F64">
        <f>COUNTIF('Master Item List'!$A:$A,$A64)</f>
        <v/>
      </c>
      <c r="G64" t="inlineStr">
        <is>
          <t>Generalised capacity for self regulation across the 7 stages of the Miller and Brown model, from receiving relevant information to assessing the effectiveness of a plan.</t>
        </is>
      </c>
      <c r="H64" t="inlineStr">
        <is>
          <t>Self report</t>
        </is>
      </c>
      <c r="I64" t="inlineStr">
        <is>
          <t>18+</t>
        </is>
      </c>
      <c r="J64" t="inlineStr">
        <is>
          <t>12 minutes</t>
        </is>
      </c>
      <c r="K64" t="inlineStr">
        <is>
          <t>"The SRQ is in the public domain and may be freely used, adapted, and reproduced without special permission." The source adds that acknowledgment of the origin is appreciated.</t>
        </is>
      </c>
      <c r="L64" t="inlineStr">
        <is>
          <t>Long, but the stage based subscales map neatly onto a goal pursuit coaching model; a 31 item short form (SSRQ, Carey et al 2004) exists.</t>
        </is>
      </c>
      <c r="M64" t="inlineStr">
        <is>
          <t>Generalised capacity for self regulation across the 7 stages of the Miller and Brown model, from receiving relevant information to assessing the effectiveness of a plan.</t>
        </is>
      </c>
      <c r="N64" t="inlineStr">
        <is>
          <t>Please answer the following questions by circling the response that best describes how you are. If you STRONGLY DISAGREE with a statement, circle 1. If you DISAGREE circle 2. If you are UNCERTAIN or UNSURE circle 3. If you AGREE circle 4, and if you STRONGLY AGREE circle 5. There are no right or wrong answers. Work quickly and don't think too long about your answers.</t>
        </is>
      </c>
      <c r="O64" t="inlineStr">
        <is>
          <t>Strongly Disagree = 1 | Disagree = 2 | Uncertain or Unsure = 3 | Agree = 4 | Strongly Agree = 5</t>
        </is>
      </c>
      <c r="P64" t="inlineStr">
        <is>
          <t>2, 3, 4, 5, 6, 8, 10, 12, 13, 15, 19, 20, 21, 24, 26, 29, 31, 33, 37, 40, 43, 45, 50, 55, 62, 63</t>
        </is>
      </c>
      <c r="Q64" t="inlineStr">
        <is>
          <t>None</t>
        </is>
      </c>
      <c r="R64" t="inlineStr">
        <is>
          <t>Receiving (items 1, 8, 15, 22, 29, 36, 43, 50, 57; n=9; range 9-45); Evaluating (items 2, 9, 16, 23, 30, 37, 44, 51, 58; n=9; range 9-45); Triggering (items 3, 10, 17, 24, 31, 38, 45, 52, 59; n=9; range 9-45); Searching (items 4, 11, 18, 25, 32, 39, 46, 53, 60; n=9; range 9-45); Planning (items 5, 12, 19, 26, 33, 40, 47, 54, 61; n=9; range 9-45); Implementing (items 6, 13, 20, 27, 34, 41, 48, 55, 62; n=9; range 9-45); Assessing (items 7, 14, 21, 28, 35, 42, 49, 56, 63; n=9; range 9-45); Total (items 1-63; n=63; range 63-315)</t>
        </is>
      </c>
      <c r="S64" t="inlineStr">
        <is>
          <t>Reverse score items 2, 3, 4, 5, 6, 8, 10, 12, 13, 15, 19, 20, 21, 24, 26, 29, 31, 33, 37, 40, 43, 45, 50, 55, 62 and 63 (1=5, 2=4, 3=3, 4=2, 5=1), then sum all 63 items (range 63 to 315). Higher scores indicate greater self regulation capacity. Tentative bands from the source: above 239 high (intact) self regulation capacity (top quartile); 214 to 238 intermediate (moderate) capacity (middle quartiles); below 213 low (impaired) capacity (bottom quartile). The source does not assign 213 itself to a band. The authors do not recommend clinical decision making with the SRQ and recommend the 7 subscales be used for research only, not for individual interpretation.</t>
        </is>
      </c>
      <c r="T64" t="inlineStr">
        <is>
          <t>See Total scoring</t>
        </is>
      </c>
      <c r="U64" t="inlineStr">
        <is>
          <t>See Total scoring</t>
        </is>
      </c>
      <c r="V64" t="inlineStr">
        <is>
          <t>Not stated on source</t>
        </is>
      </c>
      <c r="W64" t="inlineStr">
        <is>
          <t>Not stated on source</t>
        </is>
      </c>
      <c r="X64" t="inlineStr">
        <is>
          <t>Brown, J. M., Miller, W. R., &amp; Lawendowski, L. A. (1999). The Self-Regulation Questionnaire. In L. VandeCreek &amp; T. L. Jackson (Eds.), Innovations in clinical practice: A source book (Vol. 17, pp. 281–292). Professional Resource Press.</t>
        </is>
      </c>
      <c r="Y64" t="inlineStr">
        <is>
          <t>"The SRQ is in the public domain and may be freely used, adapted, and reproduced without special permission." The source adds that acknowledgment of the origin is appreciated. Source: https://casaa.unm.edu/assets/inst/selfregulation-questionnaire-srq.pdf</t>
        </is>
      </c>
      <c r="Z64" t="inlineStr">
        <is>
          <t>https://casaa.unm.edu/assets/inst/selfregulation-questionnaire-srq.pdf</t>
        </is>
      </c>
    </row>
    <row r="65">
      <c r="A65" t="inlineStr">
        <is>
          <t>SWLS</t>
        </is>
      </c>
      <c r="B65" t="inlineStr">
        <is>
          <t>Satisfaction with Life Scale</t>
        </is>
      </c>
      <c r="C65" t="inlineStr">
        <is>
          <t>7. Wellbeing and life satisfaction</t>
        </is>
      </c>
      <c r="D65" t="inlineStr">
        <is>
          <t>Public domain</t>
        </is>
      </c>
      <c r="E65" t="n">
        <v>5</v>
      </c>
      <c r="F65">
        <f>COUNTIF('Master Item List'!$A:$A,$A65)</f>
        <v/>
      </c>
      <c r="G65" t="inlineStr">
        <is>
          <t>Global cognitive judgement of satisfaction with one's life.</t>
        </is>
      </c>
      <c r="H65" t="inlineStr">
        <is>
          <t>Self report</t>
        </is>
      </c>
      <c r="I65" t="inlineStr">
        <is>
          <t>18+ (also used with adolescents)</t>
        </is>
      </c>
      <c r="J65" t="inlineStr">
        <is>
          <t>1 minutes</t>
        </is>
      </c>
      <c r="K65"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t>
        </is>
      </c>
      <c r="L65" t="inlineStr">
        <is>
          <t>The simplest global wellbeing outcome measure; suitable for every session or quarterly tracking.</t>
        </is>
      </c>
      <c r="M65" t="inlineStr">
        <is>
          <t>Global cognitive judgement of satisfaction with one's life.</t>
        </is>
      </c>
      <c r="N65" t="inlineStr">
        <is>
          <t>Below are five statements that you may agree or disagree with. Using the 1 - 7 scale below, indicate your agreement with each item by placing the appropriate number on the line preceding that item. Please be open and honest in your responding.</t>
        </is>
      </c>
      <c r="O65" t="inlineStr">
        <is>
          <t>Strongly agree = 7 | Agree = 6 | Slightly agree = 5 | Neither agree nor disagree = 4 | Slightly disagree = 3 | Disagree = 2 | Strongly disagree = 1</t>
        </is>
      </c>
      <c r="P65" t="inlineStr">
        <is>
          <t>None</t>
        </is>
      </c>
      <c r="Q65" t="inlineStr">
        <is>
          <t>None</t>
        </is>
      </c>
      <c r="R65" t="inlineStr">
        <is>
          <t>Total (items 1-5; n=5; range 5-35)</t>
        </is>
      </c>
      <c r="S65" t="inlineStr">
        <is>
          <t>Sum the 5 items for a total of 5 to 35; higher scores indicate greater life satisfaction. Diener's interpretation bands: 31-35 extremely satisfied, 26-30 satisfied, 21-25 slightly satisfied, 20 neutral, 15-19 slightly dissatisfied, 10-14 dissatisfied, 5-9 extremely dissatisfied (Diener, Understanding SWLS Scores, eddiener.com).</t>
        </is>
      </c>
      <c r="T65" t="inlineStr">
        <is>
          <t>See Total scoring</t>
        </is>
      </c>
      <c r="U65" t="inlineStr">
        <is>
          <t>See Total scoring</t>
        </is>
      </c>
      <c r="V65" t="inlineStr">
        <is>
          <t>Not stated on source</t>
        </is>
      </c>
      <c r="W65" t="inlineStr">
        <is>
          <t>Not stated on source</t>
        </is>
      </c>
      <c r="X65" t="inlineStr">
        <is>
          <t>Diener, E., Emmons, R. A., Larsen, R. J., &amp; Griffin, S. (1985). The Satisfaction with Life Scale. Journal of Personality Assessment, 49(1), 71-75. https://doi.org/10.1207/s15327752jpa4901_13</t>
        </is>
      </c>
      <c r="Y65"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 Source: https://eddiener.com/scales/7</t>
        </is>
      </c>
      <c r="Z65" t="inlineStr">
        <is>
          <t>https://psytoolkit.org/survey-library/satisfaction-with-life.html</t>
        </is>
      </c>
    </row>
    <row r="66">
      <c r="A66" t="inlineStr">
        <is>
          <t>UCLA-LS-3</t>
        </is>
      </c>
      <c r="B66" t="inlineStr">
        <is>
          <t>UCLA Loneliness Scale, Version 3 (PhenX Social Isolation)</t>
        </is>
      </c>
      <c r="C66" t="inlineStr">
        <is>
          <t>7. Wellbeing and life satisfaction</t>
        </is>
      </c>
      <c r="D66" t="inlineStr">
        <is>
          <t>Free / open access</t>
        </is>
      </c>
      <c r="E66" t="n">
        <v>20</v>
      </c>
      <c r="F66">
        <f>COUNTIF('Master Item List'!$A:$A,$A66)</f>
        <v/>
      </c>
      <c r="G66" t="inlineStr">
        <is>
          <t>Subjective feelings of loneliness and social isolation.</t>
        </is>
      </c>
      <c r="H66" t="inlineStr">
        <is>
          <t>Self report</t>
        </is>
      </c>
      <c r="I66" t="inlineStr">
        <is>
          <t>18+ (validated in students, nurses, teachers and older adults)</t>
        </is>
      </c>
      <c r="J66" t="inlineStr">
        <is>
          <t>4 minutes</t>
        </is>
      </c>
      <c r="K66" t="inlineStr">
        <is>
          <t>PhenX protocol page: "Copyright © 1994 by Daniel W. Russell" and "This protocol is freely available; permission not required for use." PhenX Toolkit documentation is CC BY 4.0.</t>
        </is>
      </c>
      <c r="L66" t="inlineStr">
        <is>
          <t>Relevant to remote workers, new leaders and career transition clients; the 3 item version is adequate for a brief check in.</t>
        </is>
      </c>
      <c r="M66" t="inlineStr">
        <is>
          <t>Subjective feelings of loneliness and social isolation.</t>
        </is>
      </c>
      <c r="N66" t="inlineStr">
        <is>
          <t>Instructions: The following statements describe how people sometimes feel. For each statement, please indicate how often you feel the way described by writing a number in the space provided. Here is an example: How often do you feel happy? If you never feel happy, you would respond "never"; if you always feel happy, you would respond "always".</t>
        </is>
      </c>
      <c r="O66" t="inlineStr">
        <is>
          <t>NEVER = 1 | RARELY = 2 | SOMETIMES = 3 | ALWAYS = 4</t>
        </is>
      </c>
      <c r="P66" t="inlineStr">
        <is>
          <t>1, 5, 6, 9, 10, 15, 16, 19, 20</t>
        </is>
      </c>
      <c r="Q66" t="inlineStr">
        <is>
          <t>None</t>
        </is>
      </c>
      <c r="R66" t="inlineStr">
        <is>
          <t>Total (items 1-20; n=20; range 20-80)</t>
        </is>
      </c>
      <c r="S66" t="inlineStr">
        <is>
          <t>Items 1, 5, 6, 9, 10, 15, 16, 19, and 20 should be reversed (1 to 4, 2 to 3, 3 to 2, 4 to 1). Sum the total of all items. Higher scores indicate greater degrees of loneliness. Range 20 to 80. Russell (1996) reports no formal cut offs; sample means of about 40 in students and 32 in older adults are reported in the validation article. 3 item (Hughes et al., 2004) and 8 item (ULS-8) short forms exist.</t>
        </is>
      </c>
      <c r="T66" t="inlineStr">
        <is>
          <t>See Total scoring</t>
        </is>
      </c>
      <c r="U66" t="inlineStr">
        <is>
          <t>See Total scoring</t>
        </is>
      </c>
      <c r="V66" t="inlineStr">
        <is>
          <t>Not stated on source</t>
        </is>
      </c>
      <c r="W66" t="inlineStr">
        <is>
          <t>Not stated on source</t>
        </is>
      </c>
      <c r="X66" t="inlineStr">
        <is>
          <t>Russell, D. W. (1996). UCLA Loneliness Scale (Version 3): Reliability, validity, and factor structure. Journal of Personality Assessment, 66(1), 20–40. https://doi.org/10.1207/s15327752jpa6601_2</t>
        </is>
      </c>
      <c r="Y66" t="inlineStr">
        <is>
          <t>PhenX protocol page: "Copyright © 1994 by Daniel W. Russell" and "This protocol is freely available; permission not required for use." PhenX Toolkit documentation is CC BY 4.0. Source: https://www.phenxtoolkit.org/protocols/view/181001</t>
        </is>
      </c>
      <c r="Z66" t="inlineStr">
        <is>
          <t>https://www.phenxtoolkit.org/protocols/view/181001</t>
        </is>
      </c>
    </row>
    <row r="67">
      <c r="A67" t="inlineStr">
        <is>
          <t>WEBEXEC</t>
        </is>
      </c>
      <c r="B67" t="inlineStr">
        <is>
          <t>Webexec</t>
        </is>
      </c>
      <c r="C67" t="inlineStr">
        <is>
          <t>1. Executive functioning and ADHD</t>
        </is>
      </c>
      <c r="D67" t="inlineStr">
        <is>
          <t>Free / open access</t>
        </is>
      </c>
      <c r="E67" t="n">
        <v>6</v>
      </c>
      <c r="F67">
        <f>COUNTIF('Master Item List'!$A:$A,$A67)</f>
        <v/>
      </c>
      <c r="G67" t="inlineStr">
        <is>
          <t>Brief self report of everyday problems with executive function (attention, concentration, multitasking, train of thought, follow through and impulsivity) designed for online administration.</t>
        </is>
      </c>
      <c r="H67" t="inlineStr">
        <is>
          <t>Self report</t>
        </is>
      </c>
      <c r="I67" t="inlineStr">
        <is>
          <t>18+</t>
        </is>
      </c>
      <c r="J67" t="inlineStr">
        <is>
          <t>1 minutes</t>
        </is>
      </c>
      <c r="K67" t="inlineStr">
        <is>
          <t>PsyToolkit: "It seems that the webexec can be used for research, but you need to acknowledge the authors and their research paper when writing about it." No formal licence text from the authors was located.</t>
        </is>
      </c>
      <c r="L67" t="inlineStr">
        <is>
          <t>A 1 minute pulse check for executive strain; useful for frequent repeated measurement but too coarse for profiling.</t>
        </is>
      </c>
      <c r="M67" t="inlineStr">
        <is>
          <t>Brief self report of everyday problems with executive function (attention, concentration, multitasking, train of thought, follow through and impulsivity) designed for online administration.</t>
        </is>
      </c>
      <c r="N67" t="inlineStr">
        <is>
          <t>Please rate the extent to which you have problems in the following areas by picking the appropriate option.</t>
        </is>
      </c>
      <c r="O67" t="inlineStr">
        <is>
          <t>No problems experienced = 1 | A few problems experienced = 2 | More than a few problems experienced = 3 | A great many problems experienced = 4</t>
        </is>
      </c>
      <c r="P67" t="inlineStr">
        <is>
          <t>None</t>
        </is>
      </c>
      <c r="Q67" t="inlineStr">
        <is>
          <t>None</t>
        </is>
      </c>
      <c r="R67" t="inlineStr">
        <is>
          <t>Total (items 1-6; n=6; range 6-24)</t>
        </is>
      </c>
      <c r="S67" t="inlineStr">
        <is>
          <t>Sum the 6 items (each scored 1 to 4) for a total of 6 to 24. Higher scores indicate more problems with executive function. Buchanan et al. (2010) report a mean of 11.25 in the original sample of 417 participants. No cut offs are published.</t>
        </is>
      </c>
      <c r="T67" t="inlineStr">
        <is>
          <t>See Total scoring</t>
        </is>
      </c>
      <c r="U67" t="inlineStr">
        <is>
          <t>See Total scoring</t>
        </is>
      </c>
      <c r="V67" t="inlineStr">
        <is>
          <t>Not stated on source</t>
        </is>
      </c>
      <c r="W67" t="inlineStr">
        <is>
          <t>Not stated on source</t>
        </is>
      </c>
      <c r="X67" t="inlineStr">
        <is>
          <t>Buchanan, T., Heffernan, T. M., Parrott, A. C., Ling, J., Rodgers, J., &amp; Scholey, A. B. (2010). A short self-report measure of problems with executive function suitable for administration via the Internet. Behavior Research Methods, 42(3), 709-714. https://doi.org/10.3758/BRM.42.3.709</t>
        </is>
      </c>
      <c r="Y67" t="inlineStr">
        <is>
          <t>PsyToolkit: "It seems that the webexec can be used for research, but you need to acknowledge the authors and their research paper when writing about it." No formal licence text from the authors was located. Source: https://psytoolkit.org/survey-library/webexec.html</t>
        </is>
      </c>
      <c r="Z67" t="inlineStr">
        <is>
          <t>https://psytoolkit.org/survey-library/webexec.html</t>
        </is>
      </c>
    </row>
    <row r="68">
      <c r="A68" t="inlineStr">
        <is>
          <t>WFIRS-S</t>
        </is>
      </c>
      <c r="B68" t="inlineStr">
        <is>
          <t>Weiss Functional Impairment Rating Scale, Self Report</t>
        </is>
      </c>
      <c r="C68" t="inlineStr">
        <is>
          <t>8. Functioning and health</t>
        </is>
      </c>
      <c r="D68" t="inlineStr">
        <is>
          <t>Free / open access</t>
        </is>
      </c>
      <c r="E68" t="n">
        <v>69</v>
      </c>
      <c r="F68">
        <f>COUNTIF('Master Item List'!$A:$A,$A68)</f>
        <v/>
      </c>
      <c r="G68" t="inlineStr">
        <is>
          <t>Functional impairment attributable to emotional or behavioural problems (ADHD) across 7 life domains over the past month.</t>
        </is>
      </c>
      <c r="H68" t="inlineStr">
        <is>
          <t>Self report</t>
        </is>
      </c>
      <c r="I68" t="inlineStr">
        <is>
          <t>18+</t>
        </is>
      </c>
      <c r="J68" t="inlineStr">
        <is>
          <t>10 minutes</t>
        </is>
      </c>
      <c r="K68"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t>
        </is>
      </c>
      <c r="L68" t="inlineStr">
        <is>
          <t>Impairment rather than symptom focused, so it shows where ADHD actually costs the client and tracks real life change across coaching.</t>
        </is>
      </c>
      <c r="M68" t="inlineStr">
        <is>
          <t>Functional impairment attributable to emotional or behavioural problems (ADHD) across 7 life domains over the past month.</t>
        </is>
      </c>
      <c r="N68" t="inlineStr">
        <is>
          <t>Circle the number for the rating that best describes how your emotional or behavioural problems have affected each item in the last month.</t>
        </is>
      </c>
      <c r="O68" t="inlineStr">
        <is>
          <t>Never or not at all = 0 | Sometimes or somewhat = 1 | Often or much = 2 | Very often or very much = 3</t>
        </is>
      </c>
      <c r="P68" t="inlineStr">
        <is>
          <t>None</t>
        </is>
      </c>
      <c r="Q68" t="inlineStr">
        <is>
          <t>None</t>
        </is>
      </c>
      <c r="R68" t="inlineStr">
        <is>
          <t>Family (items 1-8; n=8; range 0-24); Work (items 9-19; n=11; range 0-33); School (items 20-29; n=10; range 0-30); Life Skills (items 30-41; n=12; range 0-36); Self-Concept (items 42-46; n=5; range 0-15); Social (items 47-55; n=9; range 0-27); Risk (items 56-69; n=14; range 0-42); Total (items 1-69; n=69; range 0-207)</t>
        </is>
      </c>
      <c r="S68" t="inlineStr">
        <is>
          <t>The form's scoring box records, for each domain and overall: Number of Items Scored '2' or '3'; Total Score; Mean Score (N/A items not included in calculation); and the number of answered questions the mean is calculated from. Higher scores indicate greater impairment. The form itself prints no cut offs. Weiss's scoring guidance, as summarised in the target record and the WFIRS literature, treats a domain mean of 1.5 or above, or 2 items scored 2 or 1 item scored 3 within a domain, as clinically significant impairment; this threshold is not printed on the UCC copy and should be verified against Weiss's published scoring instructions.</t>
        </is>
      </c>
      <c r="T68" t="inlineStr">
        <is>
          <t>See Total scoring</t>
        </is>
      </c>
      <c r="U68" t="inlineStr">
        <is>
          <t>See Total scoring</t>
        </is>
      </c>
      <c r="V68" t="inlineStr">
        <is>
          <t>Not stated on source</t>
        </is>
      </c>
      <c r="W68" t="inlineStr">
        <is>
          <t>Not stated on source</t>
        </is>
      </c>
      <c r="X68" t="inlineStr">
        <is>
          <t>Weiss, M. D. (2000). Weiss Functional Impairment Rating Scale – Self Report (WFIRS-S) [Measurement instrument]. University of British Columbia.</t>
        </is>
      </c>
      <c r="Y68"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 Source: https://www.ucc.ie/en/media/support/studenthealthservice/docs/ADHD-WeissFunctionalImpairmentScale.pdf</t>
        </is>
      </c>
      <c r="Z68" t="inlineStr">
        <is>
          <t>https://www.ucc.ie/en/media/support/studenthealthservice/docs/ADHD-WeissFunctionalImpairmentScale.pdf</t>
        </is>
      </c>
    </row>
    <row r="69">
      <c r="A69" t="inlineStr">
        <is>
          <t>WHO-5</t>
        </is>
      </c>
      <c r="B69" t="inlineStr">
        <is>
          <t>WHO-5 Well-Being Index</t>
        </is>
      </c>
      <c r="C69" t="inlineStr">
        <is>
          <t>7. Wellbeing and life satisfaction</t>
        </is>
      </c>
      <c r="D69" t="inlineStr">
        <is>
          <t>Public domain</t>
        </is>
      </c>
      <c r="E69" t="n">
        <v>5</v>
      </c>
      <c r="F69">
        <f>COUNTIF('Master Item List'!$A:$A,$A69)</f>
        <v/>
      </c>
      <c r="G69" t="inlineStr">
        <is>
          <t>Subjective psychological wellbeing (positive mood, vitality and interest) over the past 2 weeks.</t>
        </is>
      </c>
      <c r="H69" t="inlineStr">
        <is>
          <t>Self report</t>
        </is>
      </c>
      <c r="I69" t="inlineStr">
        <is>
          <t>9+ (Te Pou); adults in general population</t>
        </is>
      </c>
      <c r="J69" t="inlineStr">
        <is>
          <t>2 minutes</t>
        </is>
      </c>
      <c r="K69" t="inlineStr">
        <is>
          <t>CORC: "The WHO-5 is free of charge and does not require permission to use." PsyToolkit 'Legal stuff': the WHO-5 can be used for research provided the authors and their research paper are acknowledged.</t>
        </is>
      </c>
      <c r="L69" t="inlineStr">
        <is>
          <t>Ideal 2 minute session opener or repeated progress measure; already used by Statistics NZ so NZ comparisons exist.</t>
        </is>
      </c>
      <c r="M69" t="inlineStr">
        <is>
          <t>Subjective psychological wellbeing (positive mood, vitality and interest) over the past 2 weeks.</t>
        </is>
      </c>
      <c r="N69" t="inlineStr">
        <is>
          <t>Please respond to each item regarding how you felt in the last two weeks.</t>
        </is>
      </c>
      <c r="O69" t="inlineStr">
        <is>
          <t>All of the time = 5 | Most of the time = 4 | More than half the time = 3 | Less than half the time = 2 | Some of the time = 1 | At no time = 0</t>
        </is>
      </c>
      <c r="P69" t="inlineStr">
        <is>
          <t>None</t>
        </is>
      </c>
      <c r="Q69" t="inlineStr">
        <is>
          <t>None</t>
        </is>
      </c>
      <c r="R69" t="inlineStr">
        <is>
          <t>Total (items 1-5; n=5; range 0-25 raw; 0-100 percentage)</t>
        </is>
      </c>
      <c r="S69" t="inlineStr">
        <is>
          <t>Sum the 5 items (0 to 25) and multiply by 4 to give a percentage score from 0 (worst) to 100 (best). Higher scores indicate better wellbeing. Topp et al. (2015): a score below 51 (that is, 50 or lower) is commonly used as a screening cut off for depression and warrants further assessment; a change of 10 percentage points is considered clinically relevant. Some studies use a lower cut off depending on the population.</t>
        </is>
      </c>
      <c r="T69" t="inlineStr">
        <is>
          <t>See Total scoring</t>
        </is>
      </c>
      <c r="U69" t="inlineStr">
        <is>
          <t>See Total scoring</t>
        </is>
      </c>
      <c r="V69" t="inlineStr">
        <is>
          <t>Not stated on source</t>
        </is>
      </c>
      <c r="W69" t="inlineStr">
        <is>
          <t>Not stated on source</t>
        </is>
      </c>
      <c r="X69" t="inlineStr">
        <is>
          <t>World Health Organization Regional Office for Europe. (1998). Wellbeing measures in primary health care/The DepCare Project: Report on a WHO meeting, Stockholm, Sweden, 12–13 February 1998. WHO Regional Office for Europe. See also Topp, C. W., Østergaard, S. D., Søndergaard, S., &amp; Bech, P. (2015). The WHO-5 Well-Being Index: A systematic review of the literature. Psychotherapy and Psychosomatics, 84(3), 167–176. https://doi.org/10.1159/000376585</t>
        </is>
      </c>
      <c r="Y69" t="inlineStr">
        <is>
          <t>CORC: "The WHO-5 is free of charge and does not require permission to use." PsyToolkit 'Legal stuff': the WHO-5 can be used for research provided the authors and their research paper are acknowledged. Source: https://www.corc.uk.net/outcome-experience-measures/the-world-health-organisation-five-well-being-index-who-5</t>
        </is>
      </c>
      <c r="Z69" t="inlineStr">
        <is>
          <t>https://www.psytoolkit.org/survey-library/who5.html</t>
        </is>
      </c>
    </row>
    <row r="70">
      <c r="A70" t="inlineStr">
        <is>
          <t>WHODAS-36</t>
        </is>
      </c>
      <c r="B70" t="inlineStr">
        <is>
          <t>WHO Disability Assessment Schedule 2.0, 36 item self administered</t>
        </is>
      </c>
      <c r="C70" t="inlineStr">
        <is>
          <t>8. Functioning and health</t>
        </is>
      </c>
      <c r="D70" t="inlineStr">
        <is>
          <t>Free / open access</t>
        </is>
      </c>
      <c r="E70" t="n">
        <v>36</v>
      </c>
      <c r="F70">
        <f>COUNTIF('Master Item List'!$A:$A,$A70)</f>
        <v/>
      </c>
      <c r="G70" t="inlineStr">
        <is>
          <t>Functioning and disability over the past 30 days across 6 life domains aligned with the International Classification of Functioning, Disability and Health.</t>
        </is>
      </c>
      <c r="H70" t="inlineStr">
        <is>
          <t>Self report</t>
        </is>
      </c>
      <c r="I70" t="inlineStr">
        <is>
          <t>18+</t>
        </is>
      </c>
      <c r="J70" t="inlineStr">
        <is>
          <t>8 minutes</t>
        </is>
      </c>
      <c r="K70"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t>
        </is>
      </c>
      <c r="L70" t="inlineStr">
        <is>
          <t>Strong outcome measure for coaching because it indexes day to day functioning rather than symptoms; the Life activities and Getting along domains map directly onto work goals. The 12 item version exists if burden matters.</t>
        </is>
      </c>
      <c r="M70" t="inlineStr">
        <is>
          <t>Functioning and disability over the past 30 days across 6 life domains aligned with the International Classification of Functioning, Disability and Health.</t>
        </is>
      </c>
      <c r="N70" t="inlineStr">
        <is>
          <t>This questionnaire asks about difficulties due to health/mental health conditions. Health conditions include diseases or illnesses, other health problems that may be short or long lasting, injuries, mental or emotional problems, and problems with alcohol or drugs. Think back over the past 30 days and answer these questions thinking about how much difficulty you had doing the following activities. For each question, please circle only one response. In the last 30 days, how much difficulty did you have in:</t>
        </is>
      </c>
      <c r="O70" t="inlineStr">
        <is>
          <t>None = 1 | Mild = 2 | Moderate = 3 | Severe = 4 | Extreme or cannot do = 5</t>
        </is>
      </c>
      <c r="P70" t="inlineStr">
        <is>
          <t>None</t>
        </is>
      </c>
      <c r="Q70" t="inlineStr">
        <is>
          <t>None</t>
        </is>
      </c>
      <c r="R70" t="inlineStr">
        <is>
          <t>Understanding and communicating (items 1-6 (D1.1-D1.6); n=6; range 6-30); Getting around (items 7-11 (D2.1-D2.5); n=5; range 5-25); Self-care (items 12-15 (D3.1-D3.4); n=4; range 4-20); Getting along with people (items 16-20 (D4.1-D4.5); n=5; range 5-25); Life activities (items 21-28 (D5.1-D5.8); n=8; range 8-40); Participation in society (items 29-36 (D6.1-D6.8); n=8; range 8-40); Total (items 1-36; n=36; range 36-180)</t>
        </is>
      </c>
      <c r="S70" t="inlineStr">
        <is>
          <t>Simple scoring: Step 1, sum the item scores within each domain to give 6 domain scores; Step 2, sum all 6 domain scores to give the general disability score (36 to 180). The DSM-5-TR version also reports average scores: the average domain score is the raw domain score divided by the number of items in the domain, and the average general disability score is the raw overall score divided by 36, both on the 1 to 5 scale. Higher scores indicate more disability. WHO's complex (item response theory based) scoring applies item weights and converts to a 0 to 100 scale via the WHO SPSS syntax. Missing data: if 10 or more items are unanswered (more than 25 percent of the 36 items) the simple and average general disability scores may not be helpful, but domain scores may be used for domains that are 75 to 100 percent complete. No cut offs are published in the APA document.</t>
        </is>
      </c>
      <c r="T70" t="inlineStr">
        <is>
          <t>See Total scoring</t>
        </is>
      </c>
      <c r="U70" t="inlineStr">
        <is>
          <t>See Total scoring</t>
        </is>
      </c>
      <c r="V70" t="inlineStr">
        <is>
          <t>Not stated on source</t>
        </is>
      </c>
      <c r="W70" t="inlineStr">
        <is>
          <t>Not stated on source</t>
        </is>
      </c>
      <c r="X70" t="inlineStr">
        <is>
          <t>Üstün, T. B., Kostanjsek, N., Chatterji, S., &amp; Rehm, J. (Eds.). (2010). Measuring health and disability: Manual for WHO Disability Assessment Schedule (WHODAS 2.0). World Health Organization.</t>
        </is>
      </c>
      <c r="Y70"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 Source: https://www.who.int/standards/classifications/international-classification-of-functioning-disability-and-health/who-disability-assessment-schedule</t>
        </is>
      </c>
      <c r="Z70" t="inlineStr">
        <is>
          <t>https://www.psychiatry.org/getmedia/5f4794de-8d66-4434-99f3-784a3fd1e567/APA-DSM5TR-WHODAS2SelfAdministered.pdf</t>
        </is>
      </c>
    </row>
    <row r="71">
      <c r="A71" t="inlineStr">
        <is>
          <t>WSAS</t>
        </is>
      </c>
      <c r="B71" t="inlineStr">
        <is>
          <t>Work and Social Adjustment Scale</t>
        </is>
      </c>
      <c r="C71" t="inlineStr">
        <is>
          <t>8. Functioning and health</t>
        </is>
      </c>
      <c r="D71" t="inlineStr">
        <is>
          <t>Free / open access</t>
        </is>
      </c>
      <c r="E71" t="n">
        <v>5</v>
      </c>
      <c r="F71">
        <f>COUNTIF('Master Item List'!$A:$A,$A71)</f>
        <v/>
      </c>
      <c r="G71" t="inlineStr">
        <is>
          <t>Functional impairment attributable to an identified problem across work, home management, social leisure, private leisure and close relationships.</t>
        </is>
      </c>
      <c r="H71" t="inlineStr">
        <is>
          <t>Self report</t>
        </is>
      </c>
      <c r="I71" t="inlineStr">
        <is>
          <t>18+</t>
        </is>
      </c>
      <c r="J71" t="inlineStr">
        <is>
          <t>2 minutes</t>
        </is>
      </c>
      <c r="K71"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t>
        </is>
      </c>
      <c r="L71" t="inlineStr">
        <is>
          <t>Arguably the most coaching friendly brief functioning measure, since the work item isolates occupational impact; adaptable by naming the client's presenting issue in the stem.</t>
        </is>
      </c>
      <c r="M71" t="inlineStr">
        <is>
          <t>Functional impairment attributable to an identified problem across work, home management, social leisure, private leisure and close relationships.</t>
        </is>
      </c>
      <c r="N71" t="inlineStr">
        <is>
          <t>Over the last two weeks, or since your last consultation if more recent, please rate how much the ways you think, feel, or behave impair your ability to do each of the everyday activities described in the following items? Use the following scale:</t>
        </is>
      </c>
      <c r="O71" t="inlineStr">
        <is>
          <t>Not at all impaired = 0 | 1 = 1 | Slightly impaired = 2 | 3 = 3 | Definitely impaired = 4 | 5 = 5 | Markedly impaired = 6 | 7 = 7 | Very severely impaired = 8</t>
        </is>
      </c>
      <c r="P71" t="inlineStr">
        <is>
          <t>None</t>
        </is>
      </c>
      <c r="Q71" t="inlineStr">
        <is>
          <t>None</t>
        </is>
      </c>
      <c r="R71" t="inlineStr">
        <is>
          <t>Total (items 1-5; n=5; range 0-40)</t>
        </is>
      </c>
      <c r="S71" t="inlineStr">
        <is>
          <t>Sum the 5 items for a total of 0 to 40; higher scores indicate greater impairment. Mundt et al. (2002): scores above 20 suggest moderately severe or worse psychopathology; 10 to 20 is associated with significant functional impairment but less severe symptomatology; below 10 is associated with subclinical populations. If item 1 is N/A, NHS Talking Therapies practice is to score the remaining items and interpret the total with caution or prorate.</t>
        </is>
      </c>
      <c r="T71" t="inlineStr">
        <is>
          <t>See Total scoring</t>
        </is>
      </c>
      <c r="U71" t="inlineStr">
        <is>
          <t>See Total scoring</t>
        </is>
      </c>
      <c r="V71" t="inlineStr">
        <is>
          <t>Not stated on source</t>
        </is>
      </c>
      <c r="W71" t="inlineStr">
        <is>
          <t>Not stated on source</t>
        </is>
      </c>
      <c r="X71" t="inlineStr">
        <is>
          <t>Mundt, J. C., Marks, I. M., Shear, M. K., &amp; Greist, J. M. (2002). The Work and Social Adjustment Scale: A simple measure of impairment in functioning. British Journal of Psychiatry, 180(5), 461–464. https://doi.org/10.1192/bjp.180.5.461</t>
        </is>
      </c>
      <c r="Y71"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 Source: https://www.england.nhs.uk/publication/the-improving-access-to-psychological-therapies-manual/</t>
        </is>
      </c>
      <c r="Z71" t="inlineStr">
        <is>
          <t>https://www.ciusss-capitalenationale.gouv.qc.ca/sites/d8/files/docs/ProfSante/SanteMentale/DSMDI_Form-questionnaire-WSAS_EN.pdf</t>
        </is>
      </c>
    </row>
  </sheetData>
  <autoFilter ref="A1:Z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K1098"/>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4" customWidth="1" style="16" min="1" max="1"/>
    <col width="34" customWidth="1" style="16" min="2" max="3"/>
    <col width="9" customWidth="1" style="16" min="4" max="4"/>
    <col width="78" customWidth="1" style="16" min="5" max="5"/>
    <col width="34" customWidth="1" style="16" min="6" max="6"/>
    <col width="10" customWidth="1" style="16" min="7" max="7"/>
    <col width="12" customWidth="1" style="16" min="8" max="8"/>
    <col width="44" customWidth="1" style="16" min="9" max="9"/>
    <col width="60" customWidth="1" style="16" min="10" max="10"/>
    <col width="46" customWidth="1" style="16" min="11" max="11"/>
  </cols>
  <sheetData>
    <row r="1" ht="30" customHeight="1" s="17">
      <c r="A1" s="25" t="inlineStr">
        <is>
          <t>Code</t>
        </is>
      </c>
      <c r="B1" s="25" t="inlineStr">
        <is>
          <t>Instrument Name</t>
        </is>
      </c>
      <c r="C1" s="25" t="inlineStr">
        <is>
          <t>Domain</t>
        </is>
      </c>
      <c r="D1" s="25" t="inlineStr">
        <is>
          <t>Item Number</t>
        </is>
      </c>
      <c r="E1" s="25" t="inlineStr">
        <is>
          <t>Item Text (verbatim)</t>
        </is>
      </c>
      <c r="F1" s="25" t="inlineStr">
        <is>
          <t>Subscale / Domain</t>
        </is>
      </c>
      <c r="G1" s="25" t="inlineStr">
        <is>
          <t>Reverse Scored</t>
        </is>
      </c>
      <c r="H1" s="25" t="inlineStr">
        <is>
          <t>Filler (not scored)</t>
        </is>
      </c>
      <c r="I1" s="25" t="inlineStr">
        <is>
          <t>Response Options</t>
        </is>
      </c>
      <c r="J1" s="25" t="inlineStr">
        <is>
          <t>Item Notes</t>
        </is>
      </c>
      <c r="K1" s="25" t="inlineStr">
        <is>
          <t>Source URL</t>
        </is>
      </c>
    </row>
    <row r="2" ht="23.85" customHeight="1" s="17">
      <c r="A2" s="27" t="inlineStr">
        <is>
          <t>ESQ-R</t>
        </is>
      </c>
      <c r="B2" s="27" t="inlineStr">
        <is>
          <t>Executive Skills Questionnaire - Revised (ESQ-R)</t>
        </is>
      </c>
      <c r="C2" s="27" t="inlineStr">
        <is>
          <t>1. Executive functioning and ADHD</t>
        </is>
      </c>
      <c r="D2" s="28" t="n">
        <v>1</v>
      </c>
      <c r="E2" s="27" t="inlineStr">
        <is>
          <t>I act on impulse.</t>
        </is>
      </c>
      <c r="F2" s="27" t="inlineStr">
        <is>
          <t>Behavioral Regulation</t>
        </is>
      </c>
      <c r="G2" s="27" t="inlineStr">
        <is>
          <t>FALSE</t>
        </is>
      </c>
      <c r="H2" s="27" t="inlineStr">
        <is>
          <t>FALSE</t>
        </is>
      </c>
      <c r="I2" s="27" t="inlineStr">
        <is>
          <t>Never or rarely = 0 | Sometimes = 1 | Often = 2 | Very often = 3</t>
        </is>
      </c>
      <c r="J2" s="27" t="n"/>
      <c r="K2" s="27" t="inlineStr">
        <is>
          <t>https://novopsych.com/assessments/formulation/executive-skills-questionnaire-revised-esq-r/</t>
        </is>
      </c>
    </row>
    <row r="3" ht="23.85" customHeight="1" s="17">
      <c r="A3" s="27" t="inlineStr">
        <is>
          <t>ESQ-R</t>
        </is>
      </c>
      <c r="B3" s="27" t="inlineStr">
        <is>
          <t>Executive Skills Questionnaire - Revised (ESQ-R)</t>
        </is>
      </c>
      <c r="C3" s="27" t="inlineStr">
        <is>
          <t>1. Executive functioning and ADHD</t>
        </is>
      </c>
      <c r="D3" s="28" t="n">
        <v>2</v>
      </c>
      <c r="E3" s="27" t="inlineStr">
        <is>
          <t>I say things without thinking.</t>
        </is>
      </c>
      <c r="F3" s="27" t="inlineStr">
        <is>
          <t>Behavioral Regulation</t>
        </is>
      </c>
      <c r="G3" s="27" t="inlineStr">
        <is>
          <t>FALSE</t>
        </is>
      </c>
      <c r="H3" s="27" t="inlineStr">
        <is>
          <t>FALSE</t>
        </is>
      </c>
      <c r="I3" s="27" t="inlineStr">
        <is>
          <t>Never or rarely = 0 | Sometimes = 1 | Often = 2 | Very often = 3</t>
        </is>
      </c>
      <c r="J3" s="27" t="n"/>
      <c r="K3" s="27" t="inlineStr">
        <is>
          <t>https://novopsych.com/assessments/formulation/executive-skills-questionnaire-revised-esq-r/</t>
        </is>
      </c>
    </row>
    <row r="4" ht="23.85" customHeight="1" s="17">
      <c r="A4" s="27" t="inlineStr">
        <is>
          <t>ESQ-R</t>
        </is>
      </c>
      <c r="B4" s="27" t="inlineStr">
        <is>
          <t>Executive Skills Questionnaire - Revised (ESQ-R)</t>
        </is>
      </c>
      <c r="C4" s="27" t="inlineStr">
        <is>
          <t>1. Executive functioning and ADHD</t>
        </is>
      </c>
      <c r="D4" s="28" t="n">
        <v>3</v>
      </c>
      <c r="E4" s="27" t="inlineStr">
        <is>
          <t>I lose things.</t>
        </is>
      </c>
      <c r="F4" s="27" t="inlineStr">
        <is>
          <t>Organization</t>
        </is>
      </c>
      <c r="G4" s="27" t="inlineStr">
        <is>
          <t>FALSE</t>
        </is>
      </c>
      <c r="H4" s="27" t="inlineStr">
        <is>
          <t>FALSE</t>
        </is>
      </c>
      <c r="I4" s="27" t="inlineStr">
        <is>
          <t>Never or rarely = 0 | Sometimes = 1 | Often = 2 | Very often = 3</t>
        </is>
      </c>
      <c r="J4" s="27" t="n"/>
      <c r="K4" s="27" t="inlineStr">
        <is>
          <t>https://novopsych.com/assessments/formulation/executive-skills-questionnaire-revised-esq-r/</t>
        </is>
      </c>
    </row>
    <row r="5" ht="23.85" customHeight="1" s="17">
      <c r="A5" s="27" t="inlineStr">
        <is>
          <t>ESQ-R</t>
        </is>
      </c>
      <c r="B5" s="27" t="inlineStr">
        <is>
          <t>Executive Skills Questionnaire - Revised (ESQ-R)</t>
        </is>
      </c>
      <c r="C5" s="27" t="inlineStr">
        <is>
          <t>1. Executive functioning and ADHD</t>
        </is>
      </c>
      <c r="D5" s="28" t="n">
        <v>4</v>
      </c>
      <c r="E5" s="27" t="inlineStr">
        <is>
          <t>I have a short fuse.</t>
        </is>
      </c>
      <c r="F5" s="27" t="inlineStr">
        <is>
          <t>Emotional Regulation</t>
        </is>
      </c>
      <c r="G5" s="27" t="inlineStr">
        <is>
          <t>FALSE</t>
        </is>
      </c>
      <c r="H5" s="27" t="inlineStr">
        <is>
          <t>FALSE</t>
        </is>
      </c>
      <c r="I5" s="27" t="inlineStr">
        <is>
          <t>Never or rarely = 0 | Sometimes = 1 | Often = 2 | Very often = 3</t>
        </is>
      </c>
      <c r="J5" s="27" t="n"/>
      <c r="K5" s="27" t="inlineStr">
        <is>
          <t>https://novopsych.com/assessments/formulation/executive-skills-questionnaire-revised-esq-r/</t>
        </is>
      </c>
    </row>
    <row r="6" ht="23.85" customHeight="1" s="17">
      <c r="A6" s="27" t="inlineStr">
        <is>
          <t>ESQ-R</t>
        </is>
      </c>
      <c r="B6" s="27" t="inlineStr">
        <is>
          <t>Executive Skills Questionnaire - Revised (ESQ-R)</t>
        </is>
      </c>
      <c r="C6" s="27" t="inlineStr">
        <is>
          <t>1. Executive functioning and ADHD</t>
        </is>
      </c>
      <c r="D6" s="28" t="n">
        <v>5</v>
      </c>
      <c r="E6" s="27" t="inlineStr">
        <is>
          <t>I get upset when things don't go as planned.</t>
        </is>
      </c>
      <c r="F6" s="27" t="inlineStr">
        <is>
          <t>Emotional Regulation</t>
        </is>
      </c>
      <c r="G6" s="27" t="inlineStr">
        <is>
          <t>FALSE</t>
        </is>
      </c>
      <c r="H6" s="27" t="inlineStr">
        <is>
          <t>FALSE</t>
        </is>
      </c>
      <c r="I6" s="27" t="inlineStr">
        <is>
          <t>Never or rarely = 0 | Sometimes = 1 | Often = 2 | Very often = 3</t>
        </is>
      </c>
      <c r="J6" s="27" t="n"/>
      <c r="K6" s="27" t="inlineStr">
        <is>
          <t>https://novopsych.com/assessments/formulation/executive-skills-questionnaire-revised-esq-r/</t>
        </is>
      </c>
    </row>
    <row r="7" ht="23.85" customHeight="1" s="17">
      <c r="A7" s="27" t="inlineStr">
        <is>
          <t>ESQ-R</t>
        </is>
      </c>
      <c r="B7" s="27" t="inlineStr">
        <is>
          <t>Executive Skills Questionnaire - Revised (ESQ-R)</t>
        </is>
      </c>
      <c r="C7" s="27" t="inlineStr">
        <is>
          <t>1. Executive functioning and ADHD</t>
        </is>
      </c>
      <c r="D7" s="28" t="n">
        <v>6</v>
      </c>
      <c r="E7" s="27" t="inlineStr">
        <is>
          <t>I run out of steam before finishing a task.</t>
        </is>
      </c>
      <c r="F7" s="27" t="inlineStr">
        <is>
          <t>Plan Management</t>
        </is>
      </c>
      <c r="G7" s="27" t="inlineStr">
        <is>
          <t>FALSE</t>
        </is>
      </c>
      <c r="H7" s="27" t="inlineStr">
        <is>
          <t>FALSE</t>
        </is>
      </c>
      <c r="I7" s="27" t="inlineStr">
        <is>
          <t>Never or rarely = 0 | Sometimes = 1 | Often = 2 | Very often = 3</t>
        </is>
      </c>
      <c r="J7" s="27" t="n"/>
      <c r="K7" s="27" t="inlineStr">
        <is>
          <t>https://novopsych.com/assessments/formulation/executive-skills-questionnaire-revised-esq-r/</t>
        </is>
      </c>
    </row>
    <row r="8" ht="23.85" customHeight="1" s="17">
      <c r="A8" s="27" t="inlineStr">
        <is>
          <t>ESQ-R</t>
        </is>
      </c>
      <c r="B8" s="27" t="inlineStr">
        <is>
          <t>Executive Skills Questionnaire - Revised (ESQ-R)</t>
        </is>
      </c>
      <c r="C8" s="27" t="inlineStr">
        <is>
          <t>1. Executive functioning and ADHD</t>
        </is>
      </c>
      <c r="D8" s="28" t="n">
        <v>7</v>
      </c>
      <c r="E8" s="27" t="inlineStr">
        <is>
          <t>It's hard for me to set priorities when I have a lot of things to do.</t>
        </is>
      </c>
      <c r="F8" s="27" t="inlineStr">
        <is>
          <t>Plan Management</t>
        </is>
      </c>
      <c r="G8" s="27" t="inlineStr">
        <is>
          <t>FALSE</t>
        </is>
      </c>
      <c r="H8" s="27" t="inlineStr">
        <is>
          <t>FALSE</t>
        </is>
      </c>
      <c r="I8" s="27" t="inlineStr">
        <is>
          <t>Never or rarely = 0 | Sometimes = 1 | Often = 2 | Very often = 3</t>
        </is>
      </c>
      <c r="J8" s="27" t="n"/>
      <c r="K8" s="27" t="inlineStr">
        <is>
          <t>https://novopsych.com/assessments/formulation/executive-skills-questionnaire-revised-esq-r/</t>
        </is>
      </c>
    </row>
    <row r="9" ht="23.85" customHeight="1" s="17">
      <c r="A9" s="27" t="inlineStr">
        <is>
          <t>ESQ-R</t>
        </is>
      </c>
      <c r="B9" s="27" t="inlineStr">
        <is>
          <t>Executive Skills Questionnaire - Revised (ESQ-R)</t>
        </is>
      </c>
      <c r="C9" s="27" t="inlineStr">
        <is>
          <t>1. Executive functioning and ADHD</t>
        </is>
      </c>
      <c r="D9" s="28" t="n">
        <v>8</v>
      </c>
      <c r="E9" s="27" t="inlineStr">
        <is>
          <t>My desk or workspace is a mess.</t>
        </is>
      </c>
      <c r="F9" s="27" t="inlineStr">
        <is>
          <t>Organization</t>
        </is>
      </c>
      <c r="G9" s="27" t="inlineStr">
        <is>
          <t>FALSE</t>
        </is>
      </c>
      <c r="H9" s="27" t="inlineStr">
        <is>
          <t>FALSE</t>
        </is>
      </c>
      <c r="I9" s="27" t="inlineStr">
        <is>
          <t>Never or rarely = 0 | Sometimes = 1 | Often = 2 | Very often = 3</t>
        </is>
      </c>
      <c r="J9" s="27" t="n"/>
      <c r="K9" s="27" t="inlineStr">
        <is>
          <t>https://novopsych.com/assessments/formulation/executive-skills-questionnaire-revised-esq-r/</t>
        </is>
      </c>
    </row>
    <row r="10" ht="23.85" customHeight="1" s="17">
      <c r="A10" s="27" t="inlineStr">
        <is>
          <t>ESQ-R</t>
        </is>
      </c>
      <c r="B10" s="27" t="inlineStr">
        <is>
          <t>Executive Skills Questionnaire - Revised (ESQ-R)</t>
        </is>
      </c>
      <c r="C10" s="27" t="inlineStr">
        <is>
          <t>1. Executive functioning and ADHD</t>
        </is>
      </c>
      <c r="D10" s="28" t="n">
        <v>9</v>
      </c>
      <c r="E10" s="27" t="inlineStr">
        <is>
          <t>I have trouble keeping my house or room clean.</t>
        </is>
      </c>
      <c r="F10" s="27" t="inlineStr">
        <is>
          <t>Organization</t>
        </is>
      </c>
      <c r="G10" s="27" t="inlineStr">
        <is>
          <t>FALSE</t>
        </is>
      </c>
      <c r="H10" s="27" t="inlineStr">
        <is>
          <t>FALSE</t>
        </is>
      </c>
      <c r="I10" s="27" t="inlineStr">
        <is>
          <t>Never or rarely = 0 | Sometimes = 1 | Often = 2 | Very often = 3</t>
        </is>
      </c>
      <c r="J10" s="27" t="n"/>
      <c r="K10" s="27" t="inlineStr">
        <is>
          <t>https://novopsych.com/assessments/formulation/executive-skills-questionnaire-revised-esq-r/</t>
        </is>
      </c>
    </row>
    <row r="11" ht="23.85" customHeight="1" s="17">
      <c r="A11" s="27" t="inlineStr">
        <is>
          <t>ESQ-R</t>
        </is>
      </c>
      <c r="B11" s="27" t="inlineStr">
        <is>
          <t>Executive Skills Questionnaire - Revised (ESQ-R)</t>
        </is>
      </c>
      <c r="C11" s="27" t="inlineStr">
        <is>
          <t>1. Executive functioning and ADHD</t>
        </is>
      </c>
      <c r="D11" s="28" t="n">
        <v>10</v>
      </c>
      <c r="E11" s="27" t="inlineStr">
        <is>
          <t>I have trouble estimating how long it will take to complete a task.</t>
        </is>
      </c>
      <c r="F11" s="27" t="inlineStr">
        <is>
          <t>Time Management</t>
        </is>
      </c>
      <c r="G11" s="27" t="inlineStr">
        <is>
          <t>FALSE</t>
        </is>
      </c>
      <c r="H11" s="27" t="inlineStr">
        <is>
          <t>FALSE</t>
        </is>
      </c>
      <c r="I11" s="27" t="inlineStr">
        <is>
          <t>Never or rarely = 0 | Sometimes = 1 | Often = 2 | Very often = 3</t>
        </is>
      </c>
      <c r="J11" s="27" t="n"/>
      <c r="K11" s="27" t="inlineStr">
        <is>
          <t>https://novopsych.com/assessments/formulation/executive-skills-questionnaire-revised-esq-r/</t>
        </is>
      </c>
    </row>
    <row r="12" ht="23.85" customHeight="1" s="17">
      <c r="A12" s="27" t="inlineStr">
        <is>
          <t>ESQ-R</t>
        </is>
      </c>
      <c r="B12" s="27" t="inlineStr">
        <is>
          <t>Executive Skills Questionnaire - Revised (ESQ-R)</t>
        </is>
      </c>
      <c r="C12" s="27" t="inlineStr">
        <is>
          <t>1. Executive functioning and ADHD</t>
        </is>
      </c>
      <c r="D12" s="28" t="n">
        <v>11</v>
      </c>
      <c r="E12" s="27" t="inlineStr">
        <is>
          <t>I'm slow at getting ready for school, work, or appointments.</t>
        </is>
      </c>
      <c r="F12" s="27" t="inlineStr">
        <is>
          <t>Time Management</t>
        </is>
      </c>
      <c r="G12" s="27" t="inlineStr">
        <is>
          <t>FALSE</t>
        </is>
      </c>
      <c r="H12" s="27" t="inlineStr">
        <is>
          <t>FALSE</t>
        </is>
      </c>
      <c r="I12" s="27" t="inlineStr">
        <is>
          <t>Never or rarely = 0 | Sometimes = 1 | Often = 2 | Very often = 3</t>
        </is>
      </c>
      <c r="J12" s="27" t="n"/>
      <c r="K12" s="27" t="inlineStr">
        <is>
          <t>https://novopsych.com/assessments/formulation/executive-skills-questionnaire-revised-esq-r/</t>
        </is>
      </c>
    </row>
    <row r="13" ht="23.85" customHeight="1" s="17">
      <c r="A13" s="27" t="inlineStr">
        <is>
          <t>ESQ-R</t>
        </is>
      </c>
      <c r="B13" s="27" t="inlineStr">
        <is>
          <t>Executive Skills Questionnaire - Revised (ESQ-R)</t>
        </is>
      </c>
      <c r="C13" s="27" t="inlineStr">
        <is>
          <t>1. Executive functioning and ADHD</t>
        </is>
      </c>
      <c r="D13" s="28" t="n">
        <v>12</v>
      </c>
      <c r="E13" s="27" t="inlineStr">
        <is>
          <t>If the first solution to a problem doesn't work, I have trouble thinking of a different one.</t>
        </is>
      </c>
      <c r="F13" s="27" t="inlineStr">
        <is>
          <t>Plan Management</t>
        </is>
      </c>
      <c r="G13" s="27" t="inlineStr">
        <is>
          <t>FALSE</t>
        </is>
      </c>
      <c r="H13" s="27" t="inlineStr">
        <is>
          <t>FALSE</t>
        </is>
      </c>
      <c r="I13" s="27" t="inlineStr">
        <is>
          <t>Never or rarely = 0 | Sometimes = 1 | Often = 2 | Very often = 3</t>
        </is>
      </c>
      <c r="J13" s="27" t="n"/>
      <c r="K13" s="27" t="inlineStr">
        <is>
          <t>https://novopsych.com/assessments/formulation/executive-skills-questionnaire-revised-esq-r/</t>
        </is>
      </c>
    </row>
    <row r="14" ht="23.85" customHeight="1" s="17">
      <c r="A14" s="27" t="inlineStr">
        <is>
          <t>ESQ-R</t>
        </is>
      </c>
      <c r="B14" s="27" t="inlineStr">
        <is>
          <t>Executive Skills Questionnaire - Revised (ESQ-R)</t>
        </is>
      </c>
      <c r="C14" s="27" t="inlineStr">
        <is>
          <t>1. Executive functioning and ADHD</t>
        </is>
      </c>
      <c r="D14" s="28" t="n">
        <v>13</v>
      </c>
      <c r="E14" s="27" t="inlineStr">
        <is>
          <t>I skip checking my work for mistakes, even when the stakes are high.</t>
        </is>
      </c>
      <c r="F14" s="27" t="inlineStr">
        <is>
          <t>Plan Management</t>
        </is>
      </c>
      <c r="G14" s="27" t="inlineStr">
        <is>
          <t>FALSE</t>
        </is>
      </c>
      <c r="H14" s="27" t="inlineStr">
        <is>
          <t>FALSE</t>
        </is>
      </c>
      <c r="I14" s="27" t="inlineStr">
        <is>
          <t>Never or rarely = 0 | Sometimes = 1 | Often = 2 | Very often = 3</t>
        </is>
      </c>
      <c r="J14" s="27" t="n"/>
      <c r="K14" s="27" t="inlineStr">
        <is>
          <t>https://novopsych.com/assessments/formulation/executive-skills-questionnaire-revised-esq-r/</t>
        </is>
      </c>
    </row>
    <row r="15" ht="23.85" customHeight="1" s="17">
      <c r="A15" s="27" t="inlineStr">
        <is>
          <t>ESQ-R</t>
        </is>
      </c>
      <c r="B15" s="27" t="inlineStr">
        <is>
          <t>Executive Skills Questionnaire - Revised (ESQ-R)</t>
        </is>
      </c>
      <c r="C15" s="27" t="inlineStr">
        <is>
          <t>1. Executive functioning and ADHD</t>
        </is>
      </c>
      <c r="D15" s="28" t="n">
        <v>14</v>
      </c>
      <c r="E15" s="27" t="inlineStr">
        <is>
          <t>I get annoyed when tasks are too hard.</t>
        </is>
      </c>
      <c r="F15" s="27" t="inlineStr">
        <is>
          <t>Plan Management</t>
        </is>
      </c>
      <c r="G15" s="27" t="inlineStr">
        <is>
          <t>FALSE</t>
        </is>
      </c>
      <c r="H15" s="27" t="inlineStr">
        <is>
          <t>FALSE</t>
        </is>
      </c>
      <c r="I15" s="27" t="inlineStr">
        <is>
          <t>Never or rarely = 0 | Sometimes = 1 | Often = 2 | Very often = 3</t>
        </is>
      </c>
      <c r="J15" s="27" t="n"/>
      <c r="K15" s="27" t="inlineStr">
        <is>
          <t>https://novopsych.com/assessments/formulation/executive-skills-questionnaire-revised-esq-r/</t>
        </is>
      </c>
    </row>
    <row r="16" ht="23.85" customHeight="1" s="17">
      <c r="A16" s="27" t="inlineStr">
        <is>
          <t>ESQ-R</t>
        </is>
      </c>
      <c r="B16" s="27" t="inlineStr">
        <is>
          <t>Executive Skills Questionnaire - Revised (ESQ-R)</t>
        </is>
      </c>
      <c r="C16" s="27" t="inlineStr">
        <is>
          <t>1. Executive functioning and ADHD</t>
        </is>
      </c>
      <c r="D16" s="28" t="n">
        <v>15</v>
      </c>
      <c r="E16" s="27" t="inlineStr">
        <is>
          <t>It's hard for me to put aside fun activities to start things I know I need to do.</t>
        </is>
      </c>
      <c r="F16" s="27" t="inlineStr">
        <is>
          <t>Time Management</t>
        </is>
      </c>
      <c r="G16" s="27" t="inlineStr">
        <is>
          <t>FALSE</t>
        </is>
      </c>
      <c r="H16" s="27" t="inlineStr">
        <is>
          <t>FALSE</t>
        </is>
      </c>
      <c r="I16" s="27" t="inlineStr">
        <is>
          <t>Never or rarely = 0 | Sometimes = 1 | Often = 2 | Very often = 3</t>
        </is>
      </c>
      <c r="J16" s="27" t="n"/>
      <c r="K16" s="27" t="inlineStr">
        <is>
          <t>https://novopsych.com/assessments/formulation/executive-skills-questionnaire-revised-esq-r/</t>
        </is>
      </c>
    </row>
    <row r="17" ht="23.85" customHeight="1" s="17">
      <c r="A17" s="27" t="inlineStr">
        <is>
          <t>ESQ-R</t>
        </is>
      </c>
      <c r="B17" s="27" t="inlineStr">
        <is>
          <t>Executive Skills Questionnaire - Revised (ESQ-R)</t>
        </is>
      </c>
      <c r="C17" s="27" t="inlineStr">
        <is>
          <t>1. Executive functioning and ADHD</t>
        </is>
      </c>
      <c r="D17" s="28" t="n">
        <v>16</v>
      </c>
      <c r="E17" s="27" t="inlineStr">
        <is>
          <t>I have trouble with tasks where I have to come up with my own ideas.</t>
        </is>
      </c>
      <c r="F17" s="27" t="inlineStr">
        <is>
          <t>Plan Management</t>
        </is>
      </c>
      <c r="G17" s="27" t="inlineStr">
        <is>
          <t>FALSE</t>
        </is>
      </c>
      <c r="H17" s="27" t="inlineStr">
        <is>
          <t>FALSE</t>
        </is>
      </c>
      <c r="I17" s="27" t="inlineStr">
        <is>
          <t>Never or rarely = 0 | Sometimes = 1 | Often = 2 | Very often = 3</t>
        </is>
      </c>
      <c r="J17" s="27" t="n"/>
      <c r="K17" s="27" t="inlineStr">
        <is>
          <t>https://novopsych.com/assessments/formulation/executive-skills-questionnaire-revised-esq-r/</t>
        </is>
      </c>
    </row>
    <row r="18" ht="23.85" customHeight="1" s="17">
      <c r="A18" s="27" t="inlineStr">
        <is>
          <t>ESQ-R</t>
        </is>
      </c>
      <c r="B18" s="27" t="inlineStr">
        <is>
          <t>Executive Skills Questionnaire - Revised (ESQ-R)</t>
        </is>
      </c>
      <c r="C18" s="27" t="inlineStr">
        <is>
          <t>1. Executive functioning and ADHD</t>
        </is>
      </c>
      <c r="D18" s="28" t="n">
        <v>17</v>
      </c>
      <c r="E18" s="27" t="inlineStr">
        <is>
          <t>It's hard for me to tell how well I'm doing on a task.</t>
        </is>
      </c>
      <c r="F18" s="27" t="inlineStr">
        <is>
          <t>Plan Management</t>
        </is>
      </c>
      <c r="G18" s="27" t="inlineStr">
        <is>
          <t>FALSE</t>
        </is>
      </c>
      <c r="H18" s="27" t="inlineStr">
        <is>
          <t>FALSE</t>
        </is>
      </c>
      <c r="I18" s="27" t="inlineStr">
        <is>
          <t>Never or rarely = 0 | Sometimes = 1 | Often = 2 | Very often = 3</t>
        </is>
      </c>
      <c r="J18" s="27" t="n"/>
      <c r="K18" s="27" t="inlineStr">
        <is>
          <t>https://novopsych.com/assessments/formulation/executive-skills-questionnaire-revised-esq-r/</t>
        </is>
      </c>
    </row>
    <row r="19" ht="23.85" customHeight="1" s="17">
      <c r="A19" s="27" t="inlineStr">
        <is>
          <t>ESQ-R</t>
        </is>
      </c>
      <c r="B19" s="27" t="inlineStr">
        <is>
          <t>Executive Skills Questionnaire - Revised (ESQ-R)</t>
        </is>
      </c>
      <c r="C19" s="27" t="inlineStr">
        <is>
          <t>1. Executive functioning and ADHD</t>
        </is>
      </c>
      <c r="D19" s="28" t="n">
        <v>18</v>
      </c>
      <c r="E19" s="27" t="inlineStr">
        <is>
          <t>I have trouble reaching long-term goals.</t>
        </is>
      </c>
      <c r="F19" s="27" t="inlineStr">
        <is>
          <t>Plan Management</t>
        </is>
      </c>
      <c r="G19" s="27" t="inlineStr">
        <is>
          <t>FALSE</t>
        </is>
      </c>
      <c r="H19" s="27" t="inlineStr">
        <is>
          <t>FALSE</t>
        </is>
      </c>
      <c r="I19" s="27" t="inlineStr">
        <is>
          <t>Never or rarely = 0 | Sometimes = 1 | Often = 2 | Very often = 3</t>
        </is>
      </c>
      <c r="J19" s="27" t="n"/>
      <c r="K19" s="27" t="inlineStr">
        <is>
          <t>https://novopsych.com/assessments/formulation/executive-skills-questionnaire-revised-esq-r/</t>
        </is>
      </c>
    </row>
    <row r="20" ht="23.85" customHeight="1" s="17">
      <c r="A20" s="27" t="inlineStr">
        <is>
          <t>ESQ-R</t>
        </is>
      </c>
      <c r="B20" s="27" t="inlineStr">
        <is>
          <t>Executive Skills Questionnaire - Revised (ESQ-R)</t>
        </is>
      </c>
      <c r="C20" s="27" t="inlineStr">
        <is>
          <t>1. Executive functioning and ADHD</t>
        </is>
      </c>
      <c r="D20" s="28" t="n">
        <v>19</v>
      </c>
      <c r="E20" s="27" t="inlineStr">
        <is>
          <t>I "go with my gut" when making decisions.</t>
        </is>
      </c>
      <c r="F20" s="27" t="inlineStr">
        <is>
          <t>Behavioral Regulation</t>
        </is>
      </c>
      <c r="G20" s="27" t="inlineStr">
        <is>
          <t>FALSE</t>
        </is>
      </c>
      <c r="H20" s="27" t="inlineStr">
        <is>
          <t>FALSE</t>
        </is>
      </c>
      <c r="I20" s="27" t="inlineStr">
        <is>
          <t>Never or rarely = 0 | Sometimes = 1 | Often = 2 | Very often = 3</t>
        </is>
      </c>
      <c r="J20" s="27" t="n"/>
      <c r="K20" s="27" t="inlineStr">
        <is>
          <t>https://novopsych.com/assessments/formulation/executive-skills-questionnaire-revised-esq-r/</t>
        </is>
      </c>
    </row>
    <row r="21" ht="23.85" customHeight="1" s="17">
      <c r="A21" s="27" t="inlineStr">
        <is>
          <t>ESQ-R</t>
        </is>
      </c>
      <c r="B21" s="27" t="inlineStr">
        <is>
          <t>Executive Skills Questionnaire - Revised (ESQ-R)</t>
        </is>
      </c>
      <c r="C21" s="27" t="inlineStr">
        <is>
          <t>1. Executive functioning and ADHD</t>
        </is>
      </c>
      <c r="D21" s="28" t="n">
        <v>20</v>
      </c>
      <c r="E21" s="27" t="inlineStr">
        <is>
          <t>I get so wrapped up in what I'm doing that I forget about other things I need to do.</t>
        </is>
      </c>
      <c r="F21" s="27" t="inlineStr">
        <is>
          <t>Time Management</t>
        </is>
      </c>
      <c r="G21" s="27" t="inlineStr">
        <is>
          <t>FALSE</t>
        </is>
      </c>
      <c r="H21" s="27" t="inlineStr">
        <is>
          <t>FALSE</t>
        </is>
      </c>
      <c r="I21" s="27" t="inlineStr">
        <is>
          <t>Never or rarely = 0 | Sometimes = 1 | Often = 2 | Very often = 3</t>
        </is>
      </c>
      <c r="J21" s="27" t="n"/>
      <c r="K21" s="27" t="inlineStr">
        <is>
          <t>https://novopsych.com/assessments/formulation/executive-skills-questionnaire-revised-esq-r/</t>
        </is>
      </c>
    </row>
    <row r="22" ht="23.85" customHeight="1" s="17">
      <c r="A22" s="27" t="inlineStr">
        <is>
          <t>ESQ-R</t>
        </is>
      </c>
      <c r="B22" s="27" t="inlineStr">
        <is>
          <t>Executive Skills Questionnaire - Revised (ESQ-R)</t>
        </is>
      </c>
      <c r="C22" s="27" t="inlineStr">
        <is>
          <t>1. Executive functioning and ADHD</t>
        </is>
      </c>
      <c r="D22" s="28" t="n">
        <v>21</v>
      </c>
      <c r="E22" s="27" t="inlineStr">
        <is>
          <t>Little things frustrate me.</t>
        </is>
      </c>
      <c r="F22" s="27" t="inlineStr">
        <is>
          <t>Emotional Regulation</t>
        </is>
      </c>
      <c r="G22" s="27" t="inlineStr">
        <is>
          <t>FALSE</t>
        </is>
      </c>
      <c r="H22" s="27" t="inlineStr">
        <is>
          <t>FALSE</t>
        </is>
      </c>
      <c r="I22" s="27" t="inlineStr">
        <is>
          <t>Never or rarely = 0 | Sometimes = 1 | Often = 2 | Very often = 3</t>
        </is>
      </c>
      <c r="J22" s="27" t="n"/>
      <c r="K22" s="27" t="inlineStr">
        <is>
          <t>https://novopsych.com/assessments/formulation/executive-skills-questionnaire-revised-esq-r/</t>
        </is>
      </c>
    </row>
    <row r="23" ht="23.85" customHeight="1" s="17">
      <c r="A23" s="27" t="inlineStr">
        <is>
          <t>ESQ-R</t>
        </is>
      </c>
      <c r="B23" s="27" t="inlineStr">
        <is>
          <t>Executive Skills Questionnaire - Revised (ESQ-R)</t>
        </is>
      </c>
      <c r="C23" s="27" t="inlineStr">
        <is>
          <t>1. Executive functioning and ADHD</t>
        </is>
      </c>
      <c r="D23" s="28" t="n">
        <v>22</v>
      </c>
      <c r="E23" s="27" t="inlineStr">
        <is>
          <t>I have trouble getting back on track if I'm interrupted.</t>
        </is>
      </c>
      <c r="F23" s="27" t="inlineStr">
        <is>
          <t>Plan Management</t>
        </is>
      </c>
      <c r="G23" s="27" t="inlineStr">
        <is>
          <t>FALSE</t>
        </is>
      </c>
      <c r="H23" s="27" t="inlineStr">
        <is>
          <t>FALSE</t>
        </is>
      </c>
      <c r="I23" s="27" t="inlineStr">
        <is>
          <t>Never or rarely = 0 | Sometimes = 1 | Often = 2 | Very often = 3</t>
        </is>
      </c>
      <c r="J23" s="27" t="n"/>
      <c r="K23" s="27" t="inlineStr">
        <is>
          <t>https://novopsych.com/assessments/formulation/executive-skills-questionnaire-revised-esq-r/</t>
        </is>
      </c>
    </row>
    <row r="24" ht="23.85" customHeight="1" s="17">
      <c r="A24" s="27" t="inlineStr">
        <is>
          <t>ESQ-R</t>
        </is>
      </c>
      <c r="B24" s="27" t="inlineStr">
        <is>
          <t>Executive Skills Questionnaire - Revised (ESQ-R)</t>
        </is>
      </c>
      <c r="C24" s="27" t="inlineStr">
        <is>
          <t>1. Executive functioning and ADHD</t>
        </is>
      </c>
      <c r="D24" s="28" t="n">
        <v>23</v>
      </c>
      <c r="E24" s="27" t="inlineStr">
        <is>
          <t>I have trouble making a plan.</t>
        </is>
      </c>
      <c r="F24" s="27" t="inlineStr">
        <is>
          <t>Plan Management</t>
        </is>
      </c>
      <c r="G24" s="27" t="inlineStr">
        <is>
          <t>FALSE</t>
        </is>
      </c>
      <c r="H24" s="27" t="inlineStr">
        <is>
          <t>FALSE</t>
        </is>
      </c>
      <c r="I24" s="27" t="inlineStr">
        <is>
          <t>Never or rarely = 0 | Sometimes = 1 | Often = 2 | Very often = 3</t>
        </is>
      </c>
      <c r="J24" s="27" t="n"/>
      <c r="K24" s="27" t="inlineStr">
        <is>
          <t>https://novopsych.com/assessments/formulation/executive-skills-questionnaire-revised-esq-r/</t>
        </is>
      </c>
    </row>
    <row r="25" ht="23.85" customHeight="1" s="17">
      <c r="A25" s="27" t="inlineStr">
        <is>
          <t>ESQ-R</t>
        </is>
      </c>
      <c r="B25" s="27" t="inlineStr">
        <is>
          <t>Executive Skills Questionnaire - Revised (ESQ-R)</t>
        </is>
      </c>
      <c r="C25" s="27" t="inlineStr">
        <is>
          <t>1. Executive functioning and ADHD</t>
        </is>
      </c>
      <c r="D25" s="28" t="n">
        <v>24</v>
      </c>
      <c r="E25" s="27" t="inlineStr">
        <is>
          <t>I miss the big picture.</t>
        </is>
      </c>
      <c r="F25" s="27" t="inlineStr">
        <is>
          <t>Plan Management</t>
        </is>
      </c>
      <c r="G25" s="27" t="inlineStr">
        <is>
          <t>FALSE</t>
        </is>
      </c>
      <c r="H25" s="27" t="inlineStr">
        <is>
          <t>FALSE</t>
        </is>
      </c>
      <c r="I25" s="27" t="inlineStr">
        <is>
          <t>Never or rarely = 0 | Sometimes = 1 | Often = 2 | Very often = 3</t>
        </is>
      </c>
      <c r="J25" s="27" t="n"/>
      <c r="K25" s="27" t="inlineStr">
        <is>
          <t>https://novopsych.com/assessments/formulation/executive-skills-questionnaire-revised-esq-r/</t>
        </is>
      </c>
    </row>
    <row r="26" ht="23.85" customHeight="1" s="17">
      <c r="A26" s="27" t="inlineStr">
        <is>
          <t>ESQ-R</t>
        </is>
      </c>
      <c r="B26" s="27" t="inlineStr">
        <is>
          <t>Executive Skills Questionnaire - Revised (ESQ-R)</t>
        </is>
      </c>
      <c r="C26" s="27" t="inlineStr">
        <is>
          <t>1. Executive functioning and ADHD</t>
        </is>
      </c>
      <c r="D26" s="28" t="n">
        <v>25</v>
      </c>
      <c r="E26" s="27" t="inlineStr">
        <is>
          <t>I live for the moment.</t>
        </is>
      </c>
      <c r="F26" s="27" t="inlineStr">
        <is>
          <t>Behavioral Regulation</t>
        </is>
      </c>
      <c r="G26" s="27" t="inlineStr">
        <is>
          <t>FALSE</t>
        </is>
      </c>
      <c r="H26" s="27" t="inlineStr">
        <is>
          <t>FALSE</t>
        </is>
      </c>
      <c r="I26" s="27" t="inlineStr">
        <is>
          <t>Never or rarely = 0 | Sometimes = 1 | Often = 2 | Very often = 3</t>
        </is>
      </c>
      <c r="J26" s="27" t="n"/>
      <c r="K26" s="27" t="inlineStr">
        <is>
          <t>https://novopsych.com/assessments/formulation/executive-skills-questionnaire-revised-esq-r/</t>
        </is>
      </c>
    </row>
    <row r="27" ht="35.05" customHeight="1" s="17">
      <c r="A27" s="27" t="inlineStr">
        <is>
          <t>CFI</t>
        </is>
      </c>
      <c r="B27" s="27" t="inlineStr">
        <is>
          <t>Cognitive Flexibility Inventory (CFI)</t>
        </is>
      </c>
      <c r="C27" s="27" t="inlineStr">
        <is>
          <t>1. Executive functioning and ADHD</t>
        </is>
      </c>
      <c r="D27" s="28" t="n">
        <v>1</v>
      </c>
      <c r="E27" s="27" t="inlineStr">
        <is>
          <t>I am good at "sizing up" situations.</t>
        </is>
      </c>
      <c r="F27" s="27" t="inlineStr">
        <is>
          <t>Alternatives</t>
        </is>
      </c>
      <c r="G27" s="27" t="inlineStr">
        <is>
          <t>FALSE</t>
        </is>
      </c>
      <c r="H27" s="27" t="inlineStr">
        <is>
          <t>FALSE</t>
        </is>
      </c>
      <c r="I27" s="27" t="inlineStr">
        <is>
          <t>Strongly disagree = 1 | Disagree = 2 | Somewhat disagree = 3 | Neutral = 4 | Somewhat agree = 5 | Agree = 6 | Strongly agree = 7</t>
        </is>
      </c>
      <c r="J27" s="27" t="n"/>
      <c r="K27" s="27" t="inlineStr">
        <is>
          <t>https://novopsych.com/assessments/formulation/cognitive-flexibility-inventory-cfi/</t>
        </is>
      </c>
    </row>
    <row r="28" ht="35.05" customHeight="1" s="17">
      <c r="A28" s="27" t="inlineStr">
        <is>
          <t>CFI</t>
        </is>
      </c>
      <c r="B28" s="27" t="inlineStr">
        <is>
          <t>Cognitive Flexibility Inventory (CFI)</t>
        </is>
      </c>
      <c r="C28" s="27" t="inlineStr">
        <is>
          <t>1. Executive functioning and ADHD</t>
        </is>
      </c>
      <c r="D28" s="28" t="n">
        <v>2</v>
      </c>
      <c r="E28" s="27" t="inlineStr">
        <is>
          <t>I have a hard time making decisions when faced with difficult situations.</t>
        </is>
      </c>
      <c r="F28" s="27" t="inlineStr">
        <is>
          <t>Control</t>
        </is>
      </c>
      <c r="G28" s="34" t="inlineStr">
        <is>
          <t>TRUE</t>
        </is>
      </c>
      <c r="H28" s="27" t="inlineStr">
        <is>
          <t>FALSE</t>
        </is>
      </c>
      <c r="I28" s="27" t="inlineStr">
        <is>
          <t>Strongly disagree = 1 | Disagree = 2 | Somewhat disagree = 3 | Neutral = 4 | Somewhat agree = 5 | Agree = 6 | Strongly agree = 7</t>
        </is>
      </c>
      <c r="J28" s="27" t="n"/>
      <c r="K28" s="27" t="inlineStr">
        <is>
          <t>https://novopsych.com/assessments/formulation/cognitive-flexibility-inventory-cfi/</t>
        </is>
      </c>
    </row>
    <row r="29" ht="35.05" customHeight="1" s="17">
      <c r="A29" s="27" t="inlineStr">
        <is>
          <t>CFI</t>
        </is>
      </c>
      <c r="B29" s="27" t="inlineStr">
        <is>
          <t>Cognitive Flexibility Inventory (CFI)</t>
        </is>
      </c>
      <c r="C29" s="27" t="inlineStr">
        <is>
          <t>1. Executive functioning and ADHD</t>
        </is>
      </c>
      <c r="D29" s="28" t="n">
        <v>3</v>
      </c>
      <c r="E29" s="27" t="inlineStr">
        <is>
          <t>I consider multiple options before making a decision.</t>
        </is>
      </c>
      <c r="F29" s="27" t="inlineStr">
        <is>
          <t>Alternatives</t>
        </is>
      </c>
      <c r="G29" s="27" t="inlineStr">
        <is>
          <t>FALSE</t>
        </is>
      </c>
      <c r="H29" s="27" t="inlineStr">
        <is>
          <t>FALSE</t>
        </is>
      </c>
      <c r="I29" s="27" t="inlineStr">
        <is>
          <t>Strongly disagree = 1 | Disagree = 2 | Somewhat disagree = 3 | Neutral = 4 | Somewhat agree = 5 | Agree = 6 | Strongly agree = 7</t>
        </is>
      </c>
      <c r="J29" s="27" t="n"/>
      <c r="K29" s="27" t="inlineStr">
        <is>
          <t>https://novopsych.com/assessments/formulation/cognitive-flexibility-inventory-cfi/</t>
        </is>
      </c>
    </row>
    <row r="30" ht="35.05" customHeight="1" s="17">
      <c r="A30" s="27" t="inlineStr">
        <is>
          <t>CFI</t>
        </is>
      </c>
      <c r="B30" s="27" t="inlineStr">
        <is>
          <t>Cognitive Flexibility Inventory (CFI)</t>
        </is>
      </c>
      <c r="C30" s="27" t="inlineStr">
        <is>
          <t>1. Executive functioning and ADHD</t>
        </is>
      </c>
      <c r="D30" s="28" t="n">
        <v>4</v>
      </c>
      <c r="E30" s="27" t="inlineStr">
        <is>
          <t>When I encounter difficult situations, I feel like I am losing control.</t>
        </is>
      </c>
      <c r="F30" s="27" t="inlineStr">
        <is>
          <t>Control</t>
        </is>
      </c>
      <c r="G30" s="34" t="inlineStr">
        <is>
          <t>TRUE</t>
        </is>
      </c>
      <c r="H30" s="27" t="inlineStr">
        <is>
          <t>FALSE</t>
        </is>
      </c>
      <c r="I30" s="27" t="inlineStr">
        <is>
          <t>Strongly disagree = 1 | Disagree = 2 | Somewhat disagree = 3 | Neutral = 4 | Somewhat agree = 5 | Agree = 6 | Strongly agree = 7</t>
        </is>
      </c>
      <c r="J30" s="27" t="n"/>
      <c r="K30" s="27" t="inlineStr">
        <is>
          <t>https://novopsych.com/assessments/formulation/cognitive-flexibility-inventory-cfi/</t>
        </is>
      </c>
    </row>
    <row r="31" ht="35.05" customHeight="1" s="17">
      <c r="A31" s="27" t="inlineStr">
        <is>
          <t>CFI</t>
        </is>
      </c>
      <c r="B31" s="27" t="inlineStr">
        <is>
          <t>Cognitive Flexibility Inventory (CFI)</t>
        </is>
      </c>
      <c r="C31" s="27" t="inlineStr">
        <is>
          <t>1. Executive functioning and ADHD</t>
        </is>
      </c>
      <c r="D31" s="28" t="n">
        <v>5</v>
      </c>
      <c r="E31" s="27" t="inlineStr">
        <is>
          <t>I like to look at difficult situations from many different angles.</t>
        </is>
      </c>
      <c r="F31" s="27" t="inlineStr">
        <is>
          <t>Alternatives</t>
        </is>
      </c>
      <c r="G31" s="27" t="inlineStr">
        <is>
          <t>FALSE</t>
        </is>
      </c>
      <c r="H31" s="27" t="inlineStr">
        <is>
          <t>FALSE</t>
        </is>
      </c>
      <c r="I31" s="27" t="inlineStr">
        <is>
          <t>Strongly disagree = 1 | Disagree = 2 | Somewhat disagree = 3 | Neutral = 4 | Somewhat agree = 5 | Agree = 6 | Strongly agree = 7</t>
        </is>
      </c>
      <c r="J31" s="27" t="n"/>
      <c r="K31" s="27" t="inlineStr">
        <is>
          <t>https://novopsych.com/assessments/formulation/cognitive-flexibility-inventory-cfi/</t>
        </is>
      </c>
    </row>
    <row r="32" ht="35.05" customHeight="1" s="17">
      <c r="A32" s="27" t="inlineStr">
        <is>
          <t>CFI</t>
        </is>
      </c>
      <c r="B32" s="27" t="inlineStr">
        <is>
          <t>Cognitive Flexibility Inventory (CFI)</t>
        </is>
      </c>
      <c r="C32" s="27" t="inlineStr">
        <is>
          <t>1. Executive functioning and ADHD</t>
        </is>
      </c>
      <c r="D32" s="28" t="n">
        <v>6</v>
      </c>
      <c r="E32" s="27" t="inlineStr">
        <is>
          <t>I seek additional information not immediately available before attributing causes to behaviour.</t>
        </is>
      </c>
      <c r="F32" s="27" t="inlineStr">
        <is>
          <t>Alternatives</t>
        </is>
      </c>
      <c r="G32" s="27" t="inlineStr">
        <is>
          <t>FALSE</t>
        </is>
      </c>
      <c r="H32" s="27" t="inlineStr">
        <is>
          <t>FALSE</t>
        </is>
      </c>
      <c r="I32" s="27" t="inlineStr">
        <is>
          <t>Strongly disagree = 1 | Disagree = 2 | Somewhat disagree = 3 | Neutral = 4 | Somewhat agree = 5 | Agree = 6 | Strongly agree = 7</t>
        </is>
      </c>
      <c r="J32" s="27" t="n"/>
      <c r="K32" s="27" t="inlineStr">
        <is>
          <t>https://novopsych.com/assessments/formulation/cognitive-flexibility-inventory-cfi/</t>
        </is>
      </c>
    </row>
    <row r="33" ht="35.05" customHeight="1" s="17">
      <c r="A33" s="27" t="inlineStr">
        <is>
          <t>CFI</t>
        </is>
      </c>
      <c r="B33" s="27" t="inlineStr">
        <is>
          <t>Cognitive Flexibility Inventory (CFI)</t>
        </is>
      </c>
      <c r="C33" s="27" t="inlineStr">
        <is>
          <t>1. Executive functioning and ADHD</t>
        </is>
      </c>
      <c r="D33" s="28" t="n">
        <v>7</v>
      </c>
      <c r="E33" s="27" t="inlineStr">
        <is>
          <t>When encountering difficult situations, I become so stressed that I can not think of a way to resolve the situation.</t>
        </is>
      </c>
      <c r="F33" s="27" t="inlineStr">
        <is>
          <t>Control</t>
        </is>
      </c>
      <c r="G33" s="34" t="inlineStr">
        <is>
          <t>TRUE</t>
        </is>
      </c>
      <c r="H33" s="27" t="inlineStr">
        <is>
          <t>FALSE</t>
        </is>
      </c>
      <c r="I33" s="27" t="inlineStr">
        <is>
          <t>Strongly disagree = 1 | Disagree = 2 | Somewhat disagree = 3 | Neutral = 4 | Somewhat agree = 5 | Agree = 6 | Strongly agree = 7</t>
        </is>
      </c>
      <c r="J33" s="27" t="n"/>
      <c r="K33" s="27" t="inlineStr">
        <is>
          <t>https://novopsych.com/assessments/formulation/cognitive-flexibility-inventory-cfi/</t>
        </is>
      </c>
    </row>
    <row r="34" ht="35.05" customHeight="1" s="17">
      <c r="A34" s="27" t="inlineStr">
        <is>
          <t>CFI</t>
        </is>
      </c>
      <c r="B34" s="27" t="inlineStr">
        <is>
          <t>Cognitive Flexibility Inventory (CFI)</t>
        </is>
      </c>
      <c r="C34" s="27" t="inlineStr">
        <is>
          <t>1. Executive functioning and ADHD</t>
        </is>
      </c>
      <c r="D34" s="28" t="n">
        <v>8</v>
      </c>
      <c r="E34" s="27" t="inlineStr">
        <is>
          <t>I try to think about things from another person's point of view.</t>
        </is>
      </c>
      <c r="F34" s="27" t="inlineStr">
        <is>
          <t>Alternatives</t>
        </is>
      </c>
      <c r="G34" s="27" t="inlineStr">
        <is>
          <t>FALSE</t>
        </is>
      </c>
      <c r="H34" s="27" t="inlineStr">
        <is>
          <t>FALSE</t>
        </is>
      </c>
      <c r="I34" s="27" t="inlineStr">
        <is>
          <t>Strongly disagree = 1 | Disagree = 2 | Somewhat disagree = 3 | Neutral = 4 | Somewhat agree = 5 | Agree = 6 | Strongly agree = 7</t>
        </is>
      </c>
      <c r="J34" s="27" t="n"/>
      <c r="K34" s="27" t="inlineStr">
        <is>
          <t>https://novopsych.com/assessments/formulation/cognitive-flexibility-inventory-cfi/</t>
        </is>
      </c>
    </row>
    <row r="35" ht="35.05" customHeight="1" s="17">
      <c r="A35" s="27" t="inlineStr">
        <is>
          <t>CFI</t>
        </is>
      </c>
      <c r="B35" s="27" t="inlineStr">
        <is>
          <t>Cognitive Flexibility Inventory (CFI)</t>
        </is>
      </c>
      <c r="C35" s="27" t="inlineStr">
        <is>
          <t>1. Executive functioning and ADHD</t>
        </is>
      </c>
      <c r="D35" s="28" t="n">
        <v>9</v>
      </c>
      <c r="E35" s="27" t="inlineStr">
        <is>
          <t>I find it troublesome that there are so many different ways to deal with difficult situations.</t>
        </is>
      </c>
      <c r="F35" s="27" t="inlineStr">
        <is>
          <t>Control</t>
        </is>
      </c>
      <c r="G35" s="34" t="inlineStr">
        <is>
          <t>TRUE</t>
        </is>
      </c>
      <c r="H35" s="27" t="inlineStr">
        <is>
          <t>FALSE</t>
        </is>
      </c>
      <c r="I35" s="27" t="inlineStr">
        <is>
          <t>Strongly disagree = 1 | Disagree = 2 | Somewhat disagree = 3 | Neutral = 4 | Somewhat agree = 5 | Agree = 6 | Strongly agree = 7</t>
        </is>
      </c>
      <c r="J35" s="27" t="n"/>
      <c r="K35" s="27" t="inlineStr">
        <is>
          <t>https://novopsych.com/assessments/formulation/cognitive-flexibility-inventory-cfi/</t>
        </is>
      </c>
    </row>
    <row r="36" ht="35.05" customHeight="1" s="17">
      <c r="A36" s="27" t="inlineStr">
        <is>
          <t>CFI</t>
        </is>
      </c>
      <c r="B36" s="27" t="inlineStr">
        <is>
          <t>Cognitive Flexibility Inventory (CFI)</t>
        </is>
      </c>
      <c r="C36" s="27" t="inlineStr">
        <is>
          <t>1. Executive functioning and ADHD</t>
        </is>
      </c>
      <c r="D36" s="28" t="n">
        <v>10</v>
      </c>
      <c r="E36" s="27" t="inlineStr">
        <is>
          <t>I am good at putting myself in others' shoes.</t>
        </is>
      </c>
      <c r="F36" s="27" t="inlineStr">
        <is>
          <t>Alternatives</t>
        </is>
      </c>
      <c r="G36" s="27" t="inlineStr">
        <is>
          <t>FALSE</t>
        </is>
      </c>
      <c r="H36" s="27" t="inlineStr">
        <is>
          <t>FALSE</t>
        </is>
      </c>
      <c r="I36" s="27" t="inlineStr">
        <is>
          <t>Strongly disagree = 1 | Disagree = 2 | Somewhat disagree = 3 | Neutral = 4 | Somewhat agree = 5 | Agree = 6 | Strongly agree = 7</t>
        </is>
      </c>
      <c r="J36" s="27" t="n"/>
      <c r="K36" s="27" t="inlineStr">
        <is>
          <t>https://novopsych.com/assessments/formulation/cognitive-flexibility-inventory-cfi/</t>
        </is>
      </c>
    </row>
    <row r="37" ht="35.05" customHeight="1" s="17">
      <c r="A37" s="27" t="inlineStr">
        <is>
          <t>CFI</t>
        </is>
      </c>
      <c r="B37" s="27" t="inlineStr">
        <is>
          <t>Cognitive Flexibility Inventory (CFI)</t>
        </is>
      </c>
      <c r="C37" s="27" t="inlineStr">
        <is>
          <t>1. Executive functioning and ADHD</t>
        </is>
      </c>
      <c r="D37" s="28" t="n">
        <v>11</v>
      </c>
      <c r="E37" s="27" t="inlineStr">
        <is>
          <t>When I encounter difficult situations, I just don't know what to do.</t>
        </is>
      </c>
      <c r="F37" s="27" t="inlineStr">
        <is>
          <t>Control</t>
        </is>
      </c>
      <c r="G37" s="34" t="inlineStr">
        <is>
          <t>TRUE</t>
        </is>
      </c>
      <c r="H37" s="27" t="inlineStr">
        <is>
          <t>FALSE</t>
        </is>
      </c>
      <c r="I37" s="27" t="inlineStr">
        <is>
          <t>Strongly disagree = 1 | Disagree = 2 | Somewhat disagree = 3 | Neutral = 4 | Somewhat agree = 5 | Agree = 6 | Strongly agree = 7</t>
        </is>
      </c>
      <c r="J37" s="27" t="n"/>
      <c r="K37" s="27" t="inlineStr">
        <is>
          <t>https://novopsych.com/assessments/formulation/cognitive-flexibility-inventory-cfi/</t>
        </is>
      </c>
    </row>
    <row r="38" ht="35.05" customHeight="1" s="17">
      <c r="A38" s="27" t="inlineStr">
        <is>
          <t>CFI</t>
        </is>
      </c>
      <c r="B38" s="27" t="inlineStr">
        <is>
          <t>Cognitive Flexibility Inventory (CFI)</t>
        </is>
      </c>
      <c r="C38" s="27" t="inlineStr">
        <is>
          <t>1. Executive functioning and ADHD</t>
        </is>
      </c>
      <c r="D38" s="28" t="n">
        <v>12</v>
      </c>
      <c r="E38" s="27" t="inlineStr">
        <is>
          <t>It is important to look at difficult situations from many angles.</t>
        </is>
      </c>
      <c r="F38" s="27" t="inlineStr">
        <is>
          <t>Alternatives</t>
        </is>
      </c>
      <c r="G38" s="27" t="inlineStr">
        <is>
          <t>FALSE</t>
        </is>
      </c>
      <c r="H38" s="27" t="inlineStr">
        <is>
          <t>FALSE</t>
        </is>
      </c>
      <c r="I38" s="27" t="inlineStr">
        <is>
          <t>Strongly disagree = 1 | Disagree = 2 | Somewhat disagree = 3 | Neutral = 4 | Somewhat agree = 5 | Agree = 6 | Strongly agree = 7</t>
        </is>
      </c>
      <c r="J38" s="27" t="n"/>
      <c r="K38" s="27" t="inlineStr">
        <is>
          <t>https://novopsych.com/assessments/formulation/cognitive-flexibility-inventory-cfi/</t>
        </is>
      </c>
    </row>
    <row r="39" ht="35.05" customHeight="1" s="17">
      <c r="A39" s="27" t="inlineStr">
        <is>
          <t>CFI</t>
        </is>
      </c>
      <c r="B39" s="27" t="inlineStr">
        <is>
          <t>Cognitive Flexibility Inventory (CFI)</t>
        </is>
      </c>
      <c r="C39" s="27" t="inlineStr">
        <is>
          <t>1. Executive functioning and ADHD</t>
        </is>
      </c>
      <c r="D39" s="28" t="n">
        <v>13</v>
      </c>
      <c r="E39" s="27" t="inlineStr">
        <is>
          <t>When in difficult situations, I consider multiple options before deciding how to behave.</t>
        </is>
      </c>
      <c r="F39" s="27" t="inlineStr">
        <is>
          <t>Alternatives</t>
        </is>
      </c>
      <c r="G39" s="27" t="inlineStr">
        <is>
          <t>FALSE</t>
        </is>
      </c>
      <c r="H39" s="27" t="inlineStr">
        <is>
          <t>FALSE</t>
        </is>
      </c>
      <c r="I39" s="27" t="inlineStr">
        <is>
          <t>Strongly disagree = 1 | Disagree = 2 | Somewhat disagree = 3 | Neutral = 4 | Somewhat agree = 5 | Agree = 6 | Strongly agree = 7</t>
        </is>
      </c>
      <c r="J39" s="27" t="n"/>
      <c r="K39" s="27" t="inlineStr">
        <is>
          <t>https://novopsych.com/assessments/formulation/cognitive-flexibility-inventory-cfi/</t>
        </is>
      </c>
    </row>
    <row r="40" ht="35.05" customHeight="1" s="17">
      <c r="A40" s="27" t="inlineStr">
        <is>
          <t>CFI</t>
        </is>
      </c>
      <c r="B40" s="27" t="inlineStr">
        <is>
          <t>Cognitive Flexibility Inventory (CFI)</t>
        </is>
      </c>
      <c r="C40" s="27" t="inlineStr">
        <is>
          <t>1. Executive functioning and ADHD</t>
        </is>
      </c>
      <c r="D40" s="28" t="n">
        <v>14</v>
      </c>
      <c r="E40" s="27" t="inlineStr">
        <is>
          <t>I often look at a situation from different view-points.</t>
        </is>
      </c>
      <c r="F40" s="27" t="inlineStr">
        <is>
          <t>Alternatives</t>
        </is>
      </c>
      <c r="G40" s="27" t="inlineStr">
        <is>
          <t>FALSE</t>
        </is>
      </c>
      <c r="H40" s="27" t="inlineStr">
        <is>
          <t>FALSE</t>
        </is>
      </c>
      <c r="I40" s="27" t="inlineStr">
        <is>
          <t>Strongly disagree = 1 | Disagree = 2 | Somewhat disagree = 3 | Neutral = 4 | Somewhat agree = 5 | Agree = 6 | Strongly agree = 7</t>
        </is>
      </c>
      <c r="J40" s="27" t="n"/>
      <c r="K40" s="27" t="inlineStr">
        <is>
          <t>https://novopsych.com/assessments/formulation/cognitive-flexibility-inventory-cfi/</t>
        </is>
      </c>
    </row>
    <row r="41" ht="35.05" customHeight="1" s="17">
      <c r="A41" s="27" t="inlineStr">
        <is>
          <t>CFI</t>
        </is>
      </c>
      <c r="B41" s="27" t="inlineStr">
        <is>
          <t>Cognitive Flexibility Inventory (CFI)</t>
        </is>
      </c>
      <c r="C41" s="27" t="inlineStr">
        <is>
          <t>1. Executive functioning and ADHD</t>
        </is>
      </c>
      <c r="D41" s="28" t="n">
        <v>15</v>
      </c>
      <c r="E41" s="27" t="inlineStr">
        <is>
          <t>I am capable of overcoming the difficulties in life that I face.</t>
        </is>
      </c>
      <c r="F41" s="27" t="inlineStr">
        <is>
          <t>Control</t>
        </is>
      </c>
      <c r="G41" s="27" t="inlineStr">
        <is>
          <t>FALSE</t>
        </is>
      </c>
      <c r="H41" s="27" t="inlineStr">
        <is>
          <t>FALSE</t>
        </is>
      </c>
      <c r="I41" s="27" t="inlineStr">
        <is>
          <t>Strongly disagree = 1 | Disagree = 2 | Somewhat disagree = 3 | Neutral = 4 | Somewhat agree = 5 | Agree = 6 | Strongly agree = 7</t>
        </is>
      </c>
      <c r="J41" s="27" t="n"/>
      <c r="K41" s="27" t="inlineStr">
        <is>
          <t>https://novopsych.com/assessments/formulation/cognitive-flexibility-inventory-cfi/</t>
        </is>
      </c>
    </row>
    <row r="42" ht="35.05" customHeight="1" s="17">
      <c r="A42" s="27" t="inlineStr">
        <is>
          <t>CFI</t>
        </is>
      </c>
      <c r="B42" s="27" t="inlineStr">
        <is>
          <t>Cognitive Flexibility Inventory (CFI)</t>
        </is>
      </c>
      <c r="C42" s="27" t="inlineStr">
        <is>
          <t>1. Executive functioning and ADHD</t>
        </is>
      </c>
      <c r="D42" s="28" t="n">
        <v>16</v>
      </c>
      <c r="E42" s="27" t="inlineStr">
        <is>
          <t>I consider all the available facts and information when attributing causes to behaviour.</t>
        </is>
      </c>
      <c r="F42" s="27" t="inlineStr">
        <is>
          <t>Alternatives</t>
        </is>
      </c>
      <c r="G42" s="27" t="inlineStr">
        <is>
          <t>FALSE</t>
        </is>
      </c>
      <c r="H42" s="27" t="inlineStr">
        <is>
          <t>FALSE</t>
        </is>
      </c>
      <c r="I42" s="27" t="inlineStr">
        <is>
          <t>Strongly disagree = 1 | Disagree = 2 | Somewhat disagree = 3 | Neutral = 4 | Somewhat agree = 5 | Agree = 6 | Strongly agree = 7</t>
        </is>
      </c>
      <c r="J42" s="27" t="n"/>
      <c r="K42" s="27" t="inlineStr">
        <is>
          <t>https://novopsych.com/assessments/formulation/cognitive-flexibility-inventory-cfi/</t>
        </is>
      </c>
    </row>
    <row r="43" ht="35.05" customHeight="1" s="17">
      <c r="A43" s="27" t="inlineStr">
        <is>
          <t>CFI</t>
        </is>
      </c>
      <c r="B43" s="27" t="inlineStr">
        <is>
          <t>Cognitive Flexibility Inventory (CFI)</t>
        </is>
      </c>
      <c r="C43" s="27" t="inlineStr">
        <is>
          <t>1. Executive functioning and ADHD</t>
        </is>
      </c>
      <c r="D43" s="28" t="n">
        <v>17</v>
      </c>
      <c r="E43" s="27" t="inlineStr">
        <is>
          <t>I feel I have no power to change things in difficult situations.</t>
        </is>
      </c>
      <c r="F43" s="27" t="inlineStr">
        <is>
          <t>Control</t>
        </is>
      </c>
      <c r="G43" s="34" t="inlineStr">
        <is>
          <t>TRUE</t>
        </is>
      </c>
      <c r="H43" s="27" t="inlineStr">
        <is>
          <t>FALSE</t>
        </is>
      </c>
      <c r="I43" s="27" t="inlineStr">
        <is>
          <t>Strongly disagree = 1 | Disagree = 2 | Somewhat disagree = 3 | Neutral = 4 | Somewhat agree = 5 | Agree = 6 | Strongly agree = 7</t>
        </is>
      </c>
      <c r="J43" s="27" t="n"/>
      <c r="K43" s="27" t="inlineStr">
        <is>
          <t>https://novopsych.com/assessments/formulation/cognitive-flexibility-inventory-cfi/</t>
        </is>
      </c>
    </row>
    <row r="44" ht="35.05" customHeight="1" s="17">
      <c r="A44" s="27" t="inlineStr">
        <is>
          <t>CFI</t>
        </is>
      </c>
      <c r="B44" s="27" t="inlineStr">
        <is>
          <t>Cognitive Flexibility Inventory (CFI)</t>
        </is>
      </c>
      <c r="C44" s="27" t="inlineStr">
        <is>
          <t>1. Executive functioning and ADHD</t>
        </is>
      </c>
      <c r="D44" s="28" t="n">
        <v>18</v>
      </c>
      <c r="E44" s="27" t="inlineStr">
        <is>
          <t>When I encounter difficult situations, I stop and try to think of several ways to resolve it.</t>
        </is>
      </c>
      <c r="F44" s="27" t="inlineStr">
        <is>
          <t>Alternatives</t>
        </is>
      </c>
      <c r="G44" s="27" t="inlineStr">
        <is>
          <t>FALSE</t>
        </is>
      </c>
      <c r="H44" s="27" t="inlineStr">
        <is>
          <t>FALSE</t>
        </is>
      </c>
      <c r="I44" s="27" t="inlineStr">
        <is>
          <t>Strongly disagree = 1 | Disagree = 2 | Somewhat disagree = 3 | Neutral = 4 | Somewhat agree = 5 | Agree = 6 | Strongly agree = 7</t>
        </is>
      </c>
      <c r="J44" s="27" t="n"/>
      <c r="K44" s="27" t="inlineStr">
        <is>
          <t>https://novopsych.com/assessments/formulation/cognitive-flexibility-inventory-cfi/</t>
        </is>
      </c>
    </row>
    <row r="45" ht="35.05" customHeight="1" s="17">
      <c r="A45" s="27" t="inlineStr">
        <is>
          <t>CFI</t>
        </is>
      </c>
      <c r="B45" s="27" t="inlineStr">
        <is>
          <t>Cognitive Flexibility Inventory (CFI)</t>
        </is>
      </c>
      <c r="C45" s="27" t="inlineStr">
        <is>
          <t>1. Executive functioning and ADHD</t>
        </is>
      </c>
      <c r="D45" s="28" t="n">
        <v>19</v>
      </c>
      <c r="E45" s="27" t="inlineStr">
        <is>
          <t>I can think of more than one way to resolve a difficult situation I'm confronted with.</t>
        </is>
      </c>
      <c r="F45" s="27" t="inlineStr">
        <is>
          <t>Alternatives</t>
        </is>
      </c>
      <c r="G45" s="27" t="inlineStr">
        <is>
          <t>FALSE</t>
        </is>
      </c>
      <c r="H45" s="27" t="inlineStr">
        <is>
          <t>FALSE</t>
        </is>
      </c>
      <c r="I45" s="27" t="inlineStr">
        <is>
          <t>Strongly disagree = 1 | Disagree = 2 | Somewhat disagree = 3 | Neutral = 4 | Somewhat agree = 5 | Agree = 6 | Strongly agree = 7</t>
        </is>
      </c>
      <c r="J45" s="27" t="n"/>
      <c r="K45" s="27" t="inlineStr">
        <is>
          <t>https://novopsych.com/assessments/formulation/cognitive-flexibility-inventory-cfi/</t>
        </is>
      </c>
    </row>
    <row r="46" ht="35.05" customHeight="1" s="17">
      <c r="A46" s="27" t="inlineStr">
        <is>
          <t>CFI</t>
        </is>
      </c>
      <c r="B46" s="27" t="inlineStr">
        <is>
          <t>Cognitive Flexibility Inventory (CFI)</t>
        </is>
      </c>
      <c r="C46" s="27" t="inlineStr">
        <is>
          <t>1. Executive functioning and ADHD</t>
        </is>
      </c>
      <c r="D46" s="28" t="n">
        <v>20</v>
      </c>
      <c r="E46" s="27" t="inlineStr">
        <is>
          <t>I consider multiple options before responding to difficult situations.</t>
        </is>
      </c>
      <c r="F46" s="27" t="inlineStr">
        <is>
          <t>Alternatives</t>
        </is>
      </c>
      <c r="G46" s="27" t="inlineStr">
        <is>
          <t>FALSE</t>
        </is>
      </c>
      <c r="H46" s="27" t="inlineStr">
        <is>
          <t>FALSE</t>
        </is>
      </c>
      <c r="I46" s="27" t="inlineStr">
        <is>
          <t>Strongly disagree = 1 | Disagree = 2 | Somewhat disagree = 3 | Neutral = 4 | Somewhat agree = 5 | Agree = 6 | Strongly agree = 7</t>
        </is>
      </c>
      <c r="J46" s="27" t="n"/>
      <c r="K46" s="27" t="inlineStr">
        <is>
          <t>https://novopsych.com/assessments/formulation/cognitive-flexibility-inventory-cfi/</t>
        </is>
      </c>
    </row>
    <row r="47" ht="23.85" customHeight="1" s="17">
      <c r="A47" s="27" t="inlineStr">
        <is>
          <t>ASRS</t>
        </is>
      </c>
      <c r="B47" s="27" t="inlineStr">
        <is>
          <t>Adult ADHD Self-Report Scale (ASRS v1.1)</t>
        </is>
      </c>
      <c r="C47" s="27" t="inlineStr">
        <is>
          <t>1. Executive functioning and ADHD</t>
        </is>
      </c>
      <c r="D47" s="28" t="n">
        <v>1</v>
      </c>
      <c r="E47" s="27" t="inlineStr">
        <is>
          <t>How often do you have trouble wrapping up the final details of a project, once the challenging parts have been done?</t>
        </is>
      </c>
      <c r="F47" s="27" t="inlineStr">
        <is>
          <t>Part A | Inattentiveness</t>
        </is>
      </c>
      <c r="G47" s="27" t="inlineStr">
        <is>
          <t>FALSE</t>
        </is>
      </c>
      <c r="H47" s="27" t="inlineStr">
        <is>
          <t>FALSE</t>
        </is>
      </c>
      <c r="I47" s="27" t="inlineStr">
        <is>
          <t>Never = 0 | Rarely = 1 | Sometimes = 2 | Often = 3 | Very Often = 4</t>
        </is>
      </c>
      <c r="J47" s="27" t="n"/>
      <c r="K47" s="27" t="inlineStr">
        <is>
          <t>https://novopsych.com/assessments/diagnosis/adult-adhd-self-report-scale-asrs/</t>
        </is>
      </c>
    </row>
    <row r="48" ht="23.85" customHeight="1" s="17">
      <c r="A48" s="27" t="inlineStr">
        <is>
          <t>ASRS</t>
        </is>
      </c>
      <c r="B48" s="27" t="inlineStr">
        <is>
          <t>Adult ADHD Self-Report Scale (ASRS v1.1)</t>
        </is>
      </c>
      <c r="C48" s="27" t="inlineStr">
        <is>
          <t>1. Executive functioning and ADHD</t>
        </is>
      </c>
      <c r="D48" s="28" t="n">
        <v>2</v>
      </c>
      <c r="E48" s="27" t="inlineStr">
        <is>
          <t>How often do you have difficulty getting things in order when you have to do a task that requires organisation?</t>
        </is>
      </c>
      <c r="F48" s="27" t="inlineStr">
        <is>
          <t>Part A | Inattentiveness</t>
        </is>
      </c>
      <c r="G48" s="27" t="inlineStr">
        <is>
          <t>FALSE</t>
        </is>
      </c>
      <c r="H48" s="27" t="inlineStr">
        <is>
          <t>FALSE</t>
        </is>
      </c>
      <c r="I48" s="27" t="inlineStr">
        <is>
          <t>Never = 0 | Rarely = 1 | Sometimes = 2 | Often = 3 | Very Often = 4</t>
        </is>
      </c>
      <c r="J48" s="27" t="n"/>
      <c r="K48" s="27" t="inlineStr">
        <is>
          <t>https://novopsych.com/assessments/diagnosis/adult-adhd-self-report-scale-asrs/</t>
        </is>
      </c>
    </row>
    <row r="49" ht="23.85" customHeight="1" s="17">
      <c r="A49" s="27" t="inlineStr">
        <is>
          <t>ASRS</t>
        </is>
      </c>
      <c r="B49" s="27" t="inlineStr">
        <is>
          <t>Adult ADHD Self-Report Scale (ASRS v1.1)</t>
        </is>
      </c>
      <c r="C49" s="27" t="inlineStr">
        <is>
          <t>1. Executive functioning and ADHD</t>
        </is>
      </c>
      <c r="D49" s="28" t="n">
        <v>3</v>
      </c>
      <c r="E49" s="27" t="inlineStr">
        <is>
          <t>How often do you have problems remembering appointments or obligations?</t>
        </is>
      </c>
      <c r="F49" s="27" t="inlineStr">
        <is>
          <t>Part A | Inattentiveness</t>
        </is>
      </c>
      <c r="G49" s="27" t="inlineStr">
        <is>
          <t>FALSE</t>
        </is>
      </c>
      <c r="H49" s="27" t="inlineStr">
        <is>
          <t>FALSE</t>
        </is>
      </c>
      <c r="I49" s="27" t="inlineStr">
        <is>
          <t>Never = 0 | Rarely = 1 | Sometimes = 2 | Often = 3 | Very Often = 4</t>
        </is>
      </c>
      <c r="J49" s="27" t="n"/>
      <c r="K49" s="27" t="inlineStr">
        <is>
          <t>https://novopsych.com/assessments/diagnosis/adult-adhd-self-report-scale-asrs/</t>
        </is>
      </c>
    </row>
    <row r="50" ht="23.85" customHeight="1" s="17">
      <c r="A50" s="27" t="inlineStr">
        <is>
          <t>ASRS</t>
        </is>
      </c>
      <c r="B50" s="27" t="inlineStr">
        <is>
          <t>Adult ADHD Self-Report Scale (ASRS v1.1)</t>
        </is>
      </c>
      <c r="C50" s="27" t="inlineStr">
        <is>
          <t>1. Executive functioning and ADHD</t>
        </is>
      </c>
      <c r="D50" s="28" t="n">
        <v>4</v>
      </c>
      <c r="E50" s="27" t="inlineStr">
        <is>
          <t>When you have a task that requires a lot of thought, how often do you avoid or delay getting started?</t>
        </is>
      </c>
      <c r="F50" s="27" t="inlineStr">
        <is>
          <t>Part A | Inattentiveness</t>
        </is>
      </c>
      <c r="G50" s="27" t="inlineStr">
        <is>
          <t>FALSE</t>
        </is>
      </c>
      <c r="H50" s="27" t="inlineStr">
        <is>
          <t>FALSE</t>
        </is>
      </c>
      <c r="I50" s="27" t="inlineStr">
        <is>
          <t>Never = 0 | Rarely = 1 | Sometimes = 2 | Often = 3 | Very Often = 4</t>
        </is>
      </c>
      <c r="J50" s="27" t="n"/>
      <c r="K50" s="27" t="inlineStr">
        <is>
          <t>https://novopsych.com/assessments/diagnosis/adult-adhd-self-report-scale-asrs/</t>
        </is>
      </c>
    </row>
    <row r="51" ht="23.85" customHeight="1" s="17">
      <c r="A51" s="27" t="inlineStr">
        <is>
          <t>ASRS</t>
        </is>
      </c>
      <c r="B51" s="27" t="inlineStr">
        <is>
          <t>Adult ADHD Self-Report Scale (ASRS v1.1)</t>
        </is>
      </c>
      <c r="C51" s="27" t="inlineStr">
        <is>
          <t>1. Executive functioning and ADHD</t>
        </is>
      </c>
      <c r="D51" s="28" t="n">
        <v>5</v>
      </c>
      <c r="E51" s="27" t="inlineStr">
        <is>
          <t>How often do you fidget or squirm with your hands or feet when you have to sit down for a long time?</t>
        </is>
      </c>
      <c r="F51" s="27" t="inlineStr">
        <is>
          <t>Part A | Hyperactivity/Impulsivity - Motor</t>
        </is>
      </c>
      <c r="G51" s="27" t="inlineStr">
        <is>
          <t>FALSE</t>
        </is>
      </c>
      <c r="H51" s="27" t="inlineStr">
        <is>
          <t>FALSE</t>
        </is>
      </c>
      <c r="I51" s="27" t="inlineStr">
        <is>
          <t>Never = 0 | Rarely = 1 | Sometimes = 2 | Often = 3 | Very Often = 4</t>
        </is>
      </c>
      <c r="J51" s="27" t="n"/>
      <c r="K51" s="27" t="inlineStr">
        <is>
          <t>https://novopsych.com/assessments/diagnosis/adult-adhd-self-report-scale-asrs/</t>
        </is>
      </c>
    </row>
    <row r="52" ht="23.85" customHeight="1" s="17">
      <c r="A52" s="27" t="inlineStr">
        <is>
          <t>ASRS</t>
        </is>
      </c>
      <c r="B52" s="27" t="inlineStr">
        <is>
          <t>Adult ADHD Self-Report Scale (ASRS v1.1)</t>
        </is>
      </c>
      <c r="C52" s="27" t="inlineStr">
        <is>
          <t>1. Executive functioning and ADHD</t>
        </is>
      </c>
      <c r="D52" s="28" t="n">
        <v>6</v>
      </c>
      <c r="E52" s="27" t="inlineStr">
        <is>
          <t>How often do you feel overly active and compelled to do things, like you were driven by a motor?</t>
        </is>
      </c>
      <c r="F52" s="27" t="inlineStr">
        <is>
          <t>Part A | Hyperactivity/Impulsivity - Motor</t>
        </is>
      </c>
      <c r="G52" s="27" t="inlineStr">
        <is>
          <t>FALSE</t>
        </is>
      </c>
      <c r="H52" s="27" t="inlineStr">
        <is>
          <t>FALSE</t>
        </is>
      </c>
      <c r="I52" s="27" t="inlineStr">
        <is>
          <t>Never = 0 | Rarely = 1 | Sometimes = 2 | Often = 3 | Very Often = 4</t>
        </is>
      </c>
      <c r="J52" s="27" t="n"/>
      <c r="K52" s="27" t="inlineStr">
        <is>
          <t>https://novopsych.com/assessments/diagnosis/adult-adhd-self-report-scale-asrs/</t>
        </is>
      </c>
    </row>
    <row r="53" ht="23.85" customHeight="1" s="17">
      <c r="A53" s="27" t="inlineStr">
        <is>
          <t>ASRS</t>
        </is>
      </c>
      <c r="B53" s="27" t="inlineStr">
        <is>
          <t>Adult ADHD Self-Report Scale (ASRS v1.1)</t>
        </is>
      </c>
      <c r="C53" s="27" t="inlineStr">
        <is>
          <t>1. Executive functioning and ADHD</t>
        </is>
      </c>
      <c r="D53" s="28" t="n">
        <v>7</v>
      </c>
      <c r="E53" s="27" t="inlineStr">
        <is>
          <t>How often do you make careless mistakes when you have to work on a boring or difficult project?</t>
        </is>
      </c>
      <c r="F53" s="27" t="inlineStr">
        <is>
          <t>Part B | Inattentiveness</t>
        </is>
      </c>
      <c r="G53" s="27" t="inlineStr">
        <is>
          <t>FALSE</t>
        </is>
      </c>
      <c r="H53" s="27" t="inlineStr">
        <is>
          <t>FALSE</t>
        </is>
      </c>
      <c r="I53" s="27" t="inlineStr">
        <is>
          <t>Never = 0 | Rarely = 1 | Sometimes = 2 | Often = 3 | Very Often = 4</t>
        </is>
      </c>
      <c r="J53" s="27" t="n"/>
      <c r="K53" s="27" t="inlineStr">
        <is>
          <t>https://novopsych.com/assessments/diagnosis/adult-adhd-self-report-scale-asrs/</t>
        </is>
      </c>
    </row>
    <row r="54" ht="23.85" customHeight="1" s="17">
      <c r="A54" s="27" t="inlineStr">
        <is>
          <t>ASRS</t>
        </is>
      </c>
      <c r="B54" s="27" t="inlineStr">
        <is>
          <t>Adult ADHD Self-Report Scale (ASRS v1.1)</t>
        </is>
      </c>
      <c r="C54" s="27" t="inlineStr">
        <is>
          <t>1. Executive functioning and ADHD</t>
        </is>
      </c>
      <c r="D54" s="28" t="n">
        <v>8</v>
      </c>
      <c r="E54" s="27" t="inlineStr">
        <is>
          <t>How often do you have difficulty keeping your attention when you are doing boring or repetitive work?</t>
        </is>
      </c>
      <c r="F54" s="27" t="inlineStr">
        <is>
          <t>Part B | Inattentiveness</t>
        </is>
      </c>
      <c r="G54" s="27" t="inlineStr">
        <is>
          <t>FALSE</t>
        </is>
      </c>
      <c r="H54" s="27" t="inlineStr">
        <is>
          <t>FALSE</t>
        </is>
      </c>
      <c r="I54" s="27" t="inlineStr">
        <is>
          <t>Never = 0 | Rarely = 1 | Sometimes = 2 | Often = 3 | Very Often = 4</t>
        </is>
      </c>
      <c r="J54" s="27" t="n"/>
      <c r="K54" s="27" t="inlineStr">
        <is>
          <t>https://novopsych.com/assessments/diagnosis/adult-adhd-self-report-scale-asrs/</t>
        </is>
      </c>
    </row>
    <row r="55" ht="23.85" customHeight="1" s="17">
      <c r="A55" s="27" t="inlineStr">
        <is>
          <t>ASRS</t>
        </is>
      </c>
      <c r="B55" s="27" t="inlineStr">
        <is>
          <t>Adult ADHD Self-Report Scale (ASRS v1.1)</t>
        </is>
      </c>
      <c r="C55" s="27" t="inlineStr">
        <is>
          <t>1. Executive functioning and ADHD</t>
        </is>
      </c>
      <c r="D55" s="28" t="n">
        <v>9</v>
      </c>
      <c r="E55" s="27" t="inlineStr">
        <is>
          <t>How often do you have difficulty concentrating on what people say to you, even when they are speaking to you directly?</t>
        </is>
      </c>
      <c r="F55" s="27" t="inlineStr">
        <is>
          <t>Part B | Inattentiveness</t>
        </is>
      </c>
      <c r="G55" s="27" t="inlineStr">
        <is>
          <t>FALSE</t>
        </is>
      </c>
      <c r="H55" s="27" t="inlineStr">
        <is>
          <t>FALSE</t>
        </is>
      </c>
      <c r="I55" s="27" t="inlineStr">
        <is>
          <t>Never = 0 | Rarely = 1 | Sometimes = 2 | Often = 3 | Very Often = 4</t>
        </is>
      </c>
      <c r="J55" s="27" t="n"/>
      <c r="K55" s="27" t="inlineStr">
        <is>
          <t>https://novopsych.com/assessments/diagnosis/adult-adhd-self-report-scale-asrs/</t>
        </is>
      </c>
    </row>
    <row r="56" ht="23.85" customHeight="1" s="17">
      <c r="A56" s="27" t="inlineStr">
        <is>
          <t>ASRS</t>
        </is>
      </c>
      <c r="B56" s="27" t="inlineStr">
        <is>
          <t>Adult ADHD Self-Report Scale (ASRS v1.1)</t>
        </is>
      </c>
      <c r="C56" s="27" t="inlineStr">
        <is>
          <t>1. Executive functioning and ADHD</t>
        </is>
      </c>
      <c r="D56" s="28" t="n">
        <v>10</v>
      </c>
      <c r="E56" s="27" t="inlineStr">
        <is>
          <t>How often do you misplace or have difficulty finding things at home or at work?</t>
        </is>
      </c>
      <c r="F56" s="27" t="inlineStr">
        <is>
          <t>Part B | Inattentiveness</t>
        </is>
      </c>
      <c r="G56" s="27" t="inlineStr">
        <is>
          <t>FALSE</t>
        </is>
      </c>
      <c r="H56" s="27" t="inlineStr">
        <is>
          <t>FALSE</t>
        </is>
      </c>
      <c r="I56" s="27" t="inlineStr">
        <is>
          <t>Never = 0 | Rarely = 1 | Sometimes = 2 | Often = 3 | Very Often = 4</t>
        </is>
      </c>
      <c r="J56" s="27" t="n"/>
      <c r="K56" s="27" t="inlineStr">
        <is>
          <t>https://novopsych.com/assessments/diagnosis/adult-adhd-self-report-scale-asrs/</t>
        </is>
      </c>
    </row>
    <row r="57" ht="23.85" customHeight="1" s="17">
      <c r="A57" s="27" t="inlineStr">
        <is>
          <t>ASRS</t>
        </is>
      </c>
      <c r="B57" s="27" t="inlineStr">
        <is>
          <t>Adult ADHD Self-Report Scale (ASRS v1.1)</t>
        </is>
      </c>
      <c r="C57" s="27" t="inlineStr">
        <is>
          <t>1. Executive functioning and ADHD</t>
        </is>
      </c>
      <c r="D57" s="28" t="n">
        <v>11</v>
      </c>
      <c r="E57" s="27" t="inlineStr">
        <is>
          <t>How often are you distracted by activity or noise around you?</t>
        </is>
      </c>
      <c r="F57" s="27" t="inlineStr">
        <is>
          <t>Part B | Inattentiveness</t>
        </is>
      </c>
      <c r="G57" s="27" t="inlineStr">
        <is>
          <t>FALSE</t>
        </is>
      </c>
      <c r="H57" s="27" t="inlineStr">
        <is>
          <t>FALSE</t>
        </is>
      </c>
      <c r="I57" s="27" t="inlineStr">
        <is>
          <t>Never = 0 | Rarely = 1 | Sometimes = 2 | Often = 3 | Very Often = 4</t>
        </is>
      </c>
      <c r="J57" s="27" t="n"/>
      <c r="K57" s="27" t="inlineStr">
        <is>
          <t>https://novopsych.com/assessments/diagnosis/adult-adhd-self-report-scale-asrs/</t>
        </is>
      </c>
    </row>
    <row r="58" ht="23.85" customHeight="1" s="17">
      <c r="A58" s="27" t="inlineStr">
        <is>
          <t>ASRS</t>
        </is>
      </c>
      <c r="B58" s="27" t="inlineStr">
        <is>
          <t>Adult ADHD Self-Report Scale (ASRS v1.1)</t>
        </is>
      </c>
      <c r="C58" s="27" t="inlineStr">
        <is>
          <t>1. Executive functioning and ADHD</t>
        </is>
      </c>
      <c r="D58" s="28" t="n">
        <v>12</v>
      </c>
      <c r="E58" s="27" t="inlineStr">
        <is>
          <t>How often do you leave your seat in meetings or other situations in which you are expected to remain seated?</t>
        </is>
      </c>
      <c r="F58" s="27" t="inlineStr">
        <is>
          <t>Part B | Hyperactivity/Impulsivity - Motor</t>
        </is>
      </c>
      <c r="G58" s="27" t="inlineStr">
        <is>
          <t>FALSE</t>
        </is>
      </c>
      <c r="H58" s="27" t="inlineStr">
        <is>
          <t>FALSE</t>
        </is>
      </c>
      <c r="I58" s="27" t="inlineStr">
        <is>
          <t>Never = 0 | Rarely = 1 | Sometimes = 2 | Often = 3 | Very Often = 4</t>
        </is>
      </c>
      <c r="J58" s="27" t="n"/>
      <c r="K58" s="27" t="inlineStr">
        <is>
          <t>https://novopsych.com/assessments/diagnosis/adult-adhd-self-report-scale-asrs/</t>
        </is>
      </c>
    </row>
    <row r="59" ht="23.85" customHeight="1" s="17">
      <c r="A59" s="27" t="inlineStr">
        <is>
          <t>ASRS</t>
        </is>
      </c>
      <c r="B59" s="27" t="inlineStr">
        <is>
          <t>Adult ADHD Self-Report Scale (ASRS v1.1)</t>
        </is>
      </c>
      <c r="C59" s="27" t="inlineStr">
        <is>
          <t>1. Executive functioning and ADHD</t>
        </is>
      </c>
      <c r="D59" s="28" t="n">
        <v>13</v>
      </c>
      <c r="E59" s="27" t="inlineStr">
        <is>
          <t>How often do you feel restless or fidgety?</t>
        </is>
      </c>
      <c r="F59" s="27" t="inlineStr">
        <is>
          <t>Part B | Hyperactivity/Impulsivity - Motor</t>
        </is>
      </c>
      <c r="G59" s="27" t="inlineStr">
        <is>
          <t>FALSE</t>
        </is>
      </c>
      <c r="H59" s="27" t="inlineStr">
        <is>
          <t>FALSE</t>
        </is>
      </c>
      <c r="I59" s="27" t="inlineStr">
        <is>
          <t>Never = 0 | Rarely = 1 | Sometimes = 2 | Often = 3 | Very Often = 4</t>
        </is>
      </c>
      <c r="J59" s="27" t="n"/>
      <c r="K59" s="27" t="inlineStr">
        <is>
          <t>https://novopsych.com/assessments/diagnosis/adult-adhd-self-report-scale-asrs/</t>
        </is>
      </c>
    </row>
    <row r="60" ht="23.85" customHeight="1" s="17">
      <c r="A60" s="27" t="inlineStr">
        <is>
          <t>ASRS</t>
        </is>
      </c>
      <c r="B60" s="27" t="inlineStr">
        <is>
          <t>Adult ADHD Self-Report Scale (ASRS v1.1)</t>
        </is>
      </c>
      <c r="C60" s="27" t="inlineStr">
        <is>
          <t>1. Executive functioning and ADHD</t>
        </is>
      </c>
      <c r="D60" s="28" t="n">
        <v>14</v>
      </c>
      <c r="E60" s="27" t="inlineStr">
        <is>
          <t>How often do you have difficulty unwinding and relaxing when you have time to yourself?</t>
        </is>
      </c>
      <c r="F60" s="27" t="inlineStr">
        <is>
          <t>Part B | Hyperactivity/Impulsivity - Motor</t>
        </is>
      </c>
      <c r="G60" s="27" t="inlineStr">
        <is>
          <t>FALSE</t>
        </is>
      </c>
      <c r="H60" s="27" t="inlineStr">
        <is>
          <t>FALSE</t>
        </is>
      </c>
      <c r="I60" s="27" t="inlineStr">
        <is>
          <t>Never = 0 | Rarely = 1 | Sometimes = 2 | Often = 3 | Very Often = 4</t>
        </is>
      </c>
      <c r="J60" s="27" t="n"/>
      <c r="K60" s="27" t="inlineStr">
        <is>
          <t>https://novopsych.com/assessments/diagnosis/adult-adhd-self-report-scale-asrs/</t>
        </is>
      </c>
    </row>
    <row r="61" ht="23.85" customHeight="1" s="17">
      <c r="A61" s="27" t="inlineStr">
        <is>
          <t>ASRS</t>
        </is>
      </c>
      <c r="B61" s="27" t="inlineStr">
        <is>
          <t>Adult ADHD Self-Report Scale (ASRS v1.1)</t>
        </is>
      </c>
      <c r="C61" s="27" t="inlineStr">
        <is>
          <t>1. Executive functioning and ADHD</t>
        </is>
      </c>
      <c r="D61" s="28" t="n">
        <v>15</v>
      </c>
      <c r="E61" s="27" t="inlineStr">
        <is>
          <t>How often do you find yourself talking too much when you are in social situations?</t>
        </is>
      </c>
      <c r="F61" s="27" t="inlineStr">
        <is>
          <t>Part B | Hyperactivity/Impulsivity - Verbal</t>
        </is>
      </c>
      <c r="G61" s="27" t="inlineStr">
        <is>
          <t>FALSE</t>
        </is>
      </c>
      <c r="H61" s="27" t="inlineStr">
        <is>
          <t>FALSE</t>
        </is>
      </c>
      <c r="I61" s="27" t="inlineStr">
        <is>
          <t>Never = 0 | Rarely = 1 | Sometimes = 2 | Often = 3 | Very Often = 4</t>
        </is>
      </c>
      <c r="J61" s="27" t="n"/>
      <c r="K61" s="27" t="inlineStr">
        <is>
          <t>https://novopsych.com/assessments/diagnosis/adult-adhd-self-report-scale-asrs/</t>
        </is>
      </c>
    </row>
    <row r="62" ht="23.85" customHeight="1" s="17">
      <c r="A62" s="27" t="inlineStr">
        <is>
          <t>ASRS</t>
        </is>
      </c>
      <c r="B62" s="27" t="inlineStr">
        <is>
          <t>Adult ADHD Self-Report Scale (ASRS v1.1)</t>
        </is>
      </c>
      <c r="C62" s="27" t="inlineStr">
        <is>
          <t>1. Executive functioning and ADHD</t>
        </is>
      </c>
      <c r="D62" s="28" t="n">
        <v>16</v>
      </c>
      <c r="E62" s="27" t="inlineStr">
        <is>
          <t>When you're in a conversation, how often do you find yourself finishing the sentences of the people you are talking to, before they can finish them themselves?</t>
        </is>
      </c>
      <c r="F62" s="27" t="inlineStr">
        <is>
          <t>Part B | Hyperactivity/Impulsivity - Verbal</t>
        </is>
      </c>
      <c r="G62" s="27" t="inlineStr">
        <is>
          <t>FALSE</t>
        </is>
      </c>
      <c r="H62" s="27" t="inlineStr">
        <is>
          <t>FALSE</t>
        </is>
      </c>
      <c r="I62" s="27" t="inlineStr">
        <is>
          <t>Never = 0 | Rarely = 1 | Sometimes = 2 | Often = 3 | Very Often = 4</t>
        </is>
      </c>
      <c r="J62" s="27" t="n"/>
      <c r="K62" s="27" t="inlineStr">
        <is>
          <t>https://novopsych.com/assessments/diagnosis/adult-adhd-self-report-scale-asrs/</t>
        </is>
      </c>
    </row>
    <row r="63" ht="23.85" customHeight="1" s="17">
      <c r="A63" s="27" t="inlineStr">
        <is>
          <t>ASRS</t>
        </is>
      </c>
      <c r="B63" s="27" t="inlineStr">
        <is>
          <t>Adult ADHD Self-Report Scale (ASRS v1.1)</t>
        </is>
      </c>
      <c r="C63" s="27" t="inlineStr">
        <is>
          <t>1. Executive functioning and ADHD</t>
        </is>
      </c>
      <c r="D63" s="28" t="n">
        <v>17</v>
      </c>
      <c r="E63" s="27" t="inlineStr">
        <is>
          <t>How often do you have difficulty waiting your turn in situations when turn taking is required?</t>
        </is>
      </c>
      <c r="F63" s="27" t="inlineStr">
        <is>
          <t>Part B | Hyperactivity/Impulsivity - Verbal</t>
        </is>
      </c>
      <c r="G63" s="27" t="inlineStr">
        <is>
          <t>FALSE</t>
        </is>
      </c>
      <c r="H63" s="27" t="inlineStr">
        <is>
          <t>FALSE</t>
        </is>
      </c>
      <c r="I63" s="27" t="inlineStr">
        <is>
          <t>Never = 0 | Rarely = 1 | Sometimes = 2 | Often = 3 | Very Often = 4</t>
        </is>
      </c>
      <c r="J63" s="27" t="n"/>
      <c r="K63" s="27" t="inlineStr">
        <is>
          <t>https://novopsych.com/assessments/diagnosis/adult-adhd-self-report-scale-asrs/</t>
        </is>
      </c>
    </row>
    <row r="64" ht="23.85" customHeight="1" s="17">
      <c r="A64" s="27" t="inlineStr">
        <is>
          <t>ASRS</t>
        </is>
      </c>
      <c r="B64" s="27" t="inlineStr">
        <is>
          <t>Adult ADHD Self-Report Scale (ASRS v1.1)</t>
        </is>
      </c>
      <c r="C64" s="27" t="inlineStr">
        <is>
          <t>1. Executive functioning and ADHD</t>
        </is>
      </c>
      <c r="D64" s="28" t="n">
        <v>18</v>
      </c>
      <c r="E64" s="27" t="inlineStr">
        <is>
          <t>How often do you interrupt others when they are busy?</t>
        </is>
      </c>
      <c r="F64" s="27" t="inlineStr">
        <is>
          <t>Part B | Hyperactivity/Impulsivity - Verbal</t>
        </is>
      </c>
      <c r="G64" s="27" t="inlineStr">
        <is>
          <t>FALSE</t>
        </is>
      </c>
      <c r="H64" s="27" t="inlineStr">
        <is>
          <t>FALSE</t>
        </is>
      </c>
      <c r="I64" s="27" t="inlineStr">
        <is>
          <t>Never = 0 | Rarely = 1 | Sometimes = 2 | Often = 3 | Very Often = 4</t>
        </is>
      </c>
      <c r="J64" s="27" t="n"/>
      <c r="K64" s="27" t="inlineStr">
        <is>
          <t>https://novopsych.com/assessments/diagnosis/adult-adhd-self-report-scale-asrs/</t>
        </is>
      </c>
    </row>
    <row r="65" ht="23.85" customHeight="1" s="17">
      <c r="A65" s="27" t="inlineStr">
        <is>
          <t>SKS</t>
        </is>
      </c>
      <c r="B65" s="27" t="inlineStr">
        <is>
          <t>Strengths Knowledge Scale</t>
        </is>
      </c>
      <c r="C65" s="27" t="inlineStr">
        <is>
          <t>2. Strengths knowledge, use and support at work</t>
        </is>
      </c>
      <c r="D65" s="28" t="n">
        <v>1</v>
      </c>
      <c r="E65" s="27" t="inlineStr">
        <is>
          <t>Other people see the strengths that I have</t>
        </is>
      </c>
      <c r="F65" s="27" t="inlineStr">
        <is>
          <t>Strengths Knowledge (total scale)</t>
        </is>
      </c>
      <c r="G65" s="27" t="inlineStr">
        <is>
          <t>FALSE</t>
        </is>
      </c>
      <c r="H65" s="27" t="inlineStr">
        <is>
          <t>FALSE</t>
        </is>
      </c>
      <c r="I65" s="27" t="inlineStr">
        <is>
          <t>Strongly disagree = 1 | 2 = 2 | 3 = 3 | 4 = 4 | 5 = 5 | 6 = 6 | Strongly agree = 7</t>
        </is>
      </c>
      <c r="J65" s="27" t="inlineStr">
        <is>
          <t>Verbatim as reproduced in Frontiers in Psychology (2023), Table 5, citing Govindji &amp; Linley (2007).</t>
        </is>
      </c>
      <c r="K65" s="27" t="inlineStr">
        <is>
          <t>https://www.frontiersin.org/journals/psychology/articles/10.3389/fpsyg.2023.1086510/full</t>
        </is>
      </c>
    </row>
    <row r="66" ht="79.84999999999999" customHeight="1" s="17">
      <c r="A66" s="27" t="inlineStr">
        <is>
          <t>SKS</t>
        </is>
      </c>
      <c r="B66" s="27" t="inlineStr">
        <is>
          <t>Strengths Knowledge Scale</t>
        </is>
      </c>
      <c r="C66" s="27" t="inlineStr">
        <is>
          <t>2. Strengths knowledge, use and support at work</t>
        </is>
      </c>
      <c r="D66" s="28" t="n">
        <v>2</v>
      </c>
      <c r="E66" s="27" t="inlineStr">
        <is>
          <t>I have to think hard about what my strengths are</t>
        </is>
      </c>
      <c r="F66" s="27" t="inlineStr">
        <is>
          <t>Strengths Knowledge (total scale)</t>
        </is>
      </c>
      <c r="G66" s="27" t="inlineStr">
        <is>
          <t>FALSE</t>
        </is>
      </c>
      <c r="H66" s="27" t="inlineStr">
        <is>
          <t>FALSE</t>
        </is>
      </c>
      <c r="I66" s="27" t="inlineStr">
        <is>
          <t>Strongly disagree = 1 | 2 = 2 | 3 = 3 | 4 = 4 | 5 = 5 | 6 = 6 | Strongly agree = 7</t>
        </is>
      </c>
      <c r="J66"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c r="K66" s="27" t="inlineStr">
        <is>
          <t>https://www.frontiersin.org/journals/psychology/articles/10.3389/fpsyg.2023.1086510/full</t>
        </is>
      </c>
    </row>
    <row r="67" ht="23.85" customHeight="1" s="17">
      <c r="A67" s="27" t="inlineStr">
        <is>
          <t>SKS</t>
        </is>
      </c>
      <c r="B67" s="27" t="inlineStr">
        <is>
          <t>Strengths Knowledge Scale</t>
        </is>
      </c>
      <c r="C67" s="27" t="inlineStr">
        <is>
          <t>2. Strengths knowledge, use and support at work</t>
        </is>
      </c>
      <c r="D67" s="28" t="n">
        <v>3</v>
      </c>
      <c r="E67" s="27" t="inlineStr">
        <is>
          <t>I know what I do best</t>
        </is>
      </c>
      <c r="F67" s="27" t="inlineStr">
        <is>
          <t>Strengths Knowledge (total scale)</t>
        </is>
      </c>
      <c r="G67" s="27" t="inlineStr">
        <is>
          <t>FALSE</t>
        </is>
      </c>
      <c r="H67" s="27" t="inlineStr">
        <is>
          <t>FALSE</t>
        </is>
      </c>
      <c r="I67" s="27" t="inlineStr">
        <is>
          <t>Strongly disagree = 1 | 2 = 2 | 3 = 3 | 4 = 4 | 5 = 5 | 6 = 6 | Strongly agree = 7</t>
        </is>
      </c>
      <c r="J67" s="27" t="inlineStr">
        <is>
          <t>Verbatim as reproduced in Frontiers in Psychology (2023), Table 5.</t>
        </is>
      </c>
      <c r="K67" s="27" t="inlineStr">
        <is>
          <t>https://www.frontiersin.org/journals/psychology/articles/10.3389/fpsyg.2023.1086510/full</t>
        </is>
      </c>
    </row>
    <row r="68" ht="23.85" customHeight="1" s="17">
      <c r="A68" s="27" t="inlineStr">
        <is>
          <t>SKS</t>
        </is>
      </c>
      <c r="B68" s="27" t="inlineStr">
        <is>
          <t>Strengths Knowledge Scale</t>
        </is>
      </c>
      <c r="C68" s="27" t="inlineStr">
        <is>
          <t>2. Strengths knowledge, use and support at work</t>
        </is>
      </c>
      <c r="D68" s="28" t="n">
        <v>4</v>
      </c>
      <c r="E68" s="27" t="inlineStr">
        <is>
          <t>I am aware of my strengths</t>
        </is>
      </c>
      <c r="F68" s="27" t="inlineStr">
        <is>
          <t>Strengths Knowledge (total scale)</t>
        </is>
      </c>
      <c r="G68" s="27" t="inlineStr">
        <is>
          <t>FALSE</t>
        </is>
      </c>
      <c r="H68" s="27" t="inlineStr">
        <is>
          <t>FALSE</t>
        </is>
      </c>
      <c r="I68" s="27" t="inlineStr">
        <is>
          <t>Strongly disagree = 1 | 2 = 2 | 3 = 3 | 4 = 4 | 5 = 5 | 6 = 6 | Strongly agree = 7</t>
        </is>
      </c>
      <c r="J68" s="27" t="inlineStr">
        <is>
          <t>Verbatim as reproduced in Frontiers in Psychology (2023), Table 5.</t>
        </is>
      </c>
      <c r="K68" s="27" t="inlineStr">
        <is>
          <t>https://www.frontiersin.org/journals/psychology/articles/10.3389/fpsyg.2023.1086510/full</t>
        </is>
      </c>
    </row>
    <row r="69" ht="23.85" customHeight="1" s="17">
      <c r="A69" s="27" t="inlineStr">
        <is>
          <t>SKS</t>
        </is>
      </c>
      <c r="B69" s="27" t="inlineStr">
        <is>
          <t>Strengths Knowledge Scale</t>
        </is>
      </c>
      <c r="C69" s="27" t="inlineStr">
        <is>
          <t>2. Strengths knowledge, use and support at work</t>
        </is>
      </c>
      <c r="D69" s="28" t="n">
        <v>5</v>
      </c>
      <c r="E69" s="27" t="inlineStr">
        <is>
          <t>I know the things I am good at doing</t>
        </is>
      </c>
      <c r="F69" s="27" t="inlineStr">
        <is>
          <t>Strengths Knowledge (total scale)</t>
        </is>
      </c>
      <c r="G69" s="27" t="inlineStr">
        <is>
          <t>FALSE</t>
        </is>
      </c>
      <c r="H69" s="27" t="inlineStr">
        <is>
          <t>FALSE</t>
        </is>
      </c>
      <c r="I69" s="27" t="inlineStr">
        <is>
          <t>Strongly disagree = 1 | 2 = 2 | 3 = 3 | 4 = 4 | 5 = 5 | 6 = 6 | Strongly agree = 7</t>
        </is>
      </c>
      <c r="J69" s="27" t="inlineStr">
        <is>
          <t>Verbatim as reproduced in Frontiers in Psychology (2023), Table 5.</t>
        </is>
      </c>
      <c r="K69" s="27" t="inlineStr">
        <is>
          <t>https://www.frontiersin.org/journals/psychology/articles/10.3389/fpsyg.2023.1086510/full</t>
        </is>
      </c>
    </row>
    <row r="70" ht="23.85" customHeight="1" s="17">
      <c r="A70" s="27" t="inlineStr">
        <is>
          <t>SKS</t>
        </is>
      </c>
      <c r="B70" s="27" t="inlineStr">
        <is>
          <t>Strengths Knowledge Scale</t>
        </is>
      </c>
      <c r="C70" s="27" t="inlineStr">
        <is>
          <t>2. Strengths knowledge, use and support at work</t>
        </is>
      </c>
      <c r="D70" s="28" t="n">
        <v>6</v>
      </c>
      <c r="E70" s="27" t="inlineStr">
        <is>
          <t>I know my strengths well</t>
        </is>
      </c>
      <c r="F70" s="27" t="inlineStr">
        <is>
          <t>Strengths Knowledge (total scale)</t>
        </is>
      </c>
      <c r="G70" s="27" t="inlineStr">
        <is>
          <t>FALSE</t>
        </is>
      </c>
      <c r="H70" s="27" t="inlineStr">
        <is>
          <t>FALSE</t>
        </is>
      </c>
      <c r="I70" s="27" t="inlineStr">
        <is>
          <t>Strongly disagree = 1 | 2 = 2 | 3 = 3 | 4 = 4 | 5 = 5 | 6 = 6 | Strongly agree = 7</t>
        </is>
      </c>
      <c r="J70" s="27" t="inlineStr">
        <is>
          <t>Verbatim as reproduced in Frontiers in Psychology (2023), Table 5.</t>
        </is>
      </c>
      <c r="K70" s="27" t="inlineStr">
        <is>
          <t>https://www.frontiersin.org/journals/psychology/articles/10.3389/fpsyg.2023.1086510/full</t>
        </is>
      </c>
    </row>
    <row r="71" ht="23.85" customHeight="1" s="17">
      <c r="A71" s="27" t="inlineStr">
        <is>
          <t>SKS</t>
        </is>
      </c>
      <c r="B71" s="27" t="inlineStr">
        <is>
          <t>Strengths Knowledge Scale</t>
        </is>
      </c>
      <c r="C71" s="27" t="inlineStr">
        <is>
          <t>2. Strengths knowledge, use and support at work</t>
        </is>
      </c>
      <c r="D71" s="28" t="n">
        <v>7</v>
      </c>
      <c r="E71" s="27" t="inlineStr">
        <is>
          <t>I know the things I do best</t>
        </is>
      </c>
      <c r="F71" s="27" t="inlineStr">
        <is>
          <t>Strengths Knowledge (total scale)</t>
        </is>
      </c>
      <c r="G71" s="27" t="inlineStr">
        <is>
          <t>FALSE</t>
        </is>
      </c>
      <c r="H71" s="27" t="inlineStr">
        <is>
          <t>FALSE</t>
        </is>
      </c>
      <c r="I71" s="27" t="inlineStr">
        <is>
          <t>Strongly disagree = 1 | 2 = 2 | 3 = 3 | 4 = 4 | 5 = 5 | 6 = 6 | Strongly agree = 7</t>
        </is>
      </c>
      <c r="J71" s="27" t="inlineStr">
        <is>
          <t>Verbatim as reproduced in Frontiers in Psychology (2023), Table 5.</t>
        </is>
      </c>
      <c r="K71" s="27" t="inlineStr">
        <is>
          <t>https://www.frontiersin.org/journals/psychology/articles/10.3389/fpsyg.2023.1086510/full</t>
        </is>
      </c>
    </row>
    <row r="72" ht="23.85" customHeight="1" s="17">
      <c r="A72" s="27" t="inlineStr">
        <is>
          <t>SKS</t>
        </is>
      </c>
      <c r="B72" s="27" t="inlineStr">
        <is>
          <t>Strengths Knowledge Scale</t>
        </is>
      </c>
      <c r="C72" s="27" t="inlineStr">
        <is>
          <t>2. Strengths knowledge, use and support at work</t>
        </is>
      </c>
      <c r="D72" s="28" t="n">
        <v>8</v>
      </c>
      <c r="E72" s="27" t="inlineStr">
        <is>
          <t>I know when I am at my best</t>
        </is>
      </c>
      <c r="F72" s="27" t="inlineStr">
        <is>
          <t>Strengths Knowledge (total scale)</t>
        </is>
      </c>
      <c r="G72" s="27" t="inlineStr">
        <is>
          <t>FALSE</t>
        </is>
      </c>
      <c r="H72" s="27" t="inlineStr">
        <is>
          <t>FALSE</t>
        </is>
      </c>
      <c r="I72" s="27" t="inlineStr">
        <is>
          <t>Strongly disagree = 1 | 2 = 2 | 3 = 3 | 4 = 4 | 5 = 5 | 6 = 6 | Strongly agree = 7</t>
        </is>
      </c>
      <c r="J72" s="27" t="inlineStr">
        <is>
          <t>Verbatim as reproduced in Frontiers in Psychology (2023), Table 5.</t>
        </is>
      </c>
      <c r="K72" s="27" t="inlineStr">
        <is>
          <t>https://www.frontiersin.org/journals/psychology/articles/10.3389/fpsyg.2023.1086510/full</t>
        </is>
      </c>
    </row>
    <row r="73" ht="23.85" customHeight="1" s="17">
      <c r="A73" s="27" t="inlineStr">
        <is>
          <t>SUS</t>
        </is>
      </c>
      <c r="B73" s="27" t="inlineStr">
        <is>
          <t>Strengths Use Scale</t>
        </is>
      </c>
      <c r="C73" s="27" t="inlineStr">
        <is>
          <t>2. Strengths knowledge, use and support at work</t>
        </is>
      </c>
      <c r="D73" s="28" t="n">
        <v>1</v>
      </c>
      <c r="E73" s="27" t="inlineStr">
        <is>
          <t>I am regularly able to do what I do best.</t>
        </is>
      </c>
      <c r="F73" s="27" t="inlineStr">
        <is>
          <t>Strengths Use (total scale)</t>
        </is>
      </c>
      <c r="G73" s="27" t="inlineStr">
        <is>
          <t>FALSE</t>
        </is>
      </c>
      <c r="H73" s="27" t="inlineStr">
        <is>
          <t>FALSE</t>
        </is>
      </c>
      <c r="I73" s="27" t="inlineStr">
        <is>
          <t>Strongly disagree = 1 | 2 = 2 | 3 = 3 | 4 = 4 | 5 = 5 | 6 = 6 | Strongly agree = 7</t>
        </is>
      </c>
      <c r="J73" s="27" t="inlineStr">
        <is>
          <t>Verbatim as reproduced in Frontiers in Psychology (2023), Table 2, citing Govindji &amp; Linley (2007).</t>
        </is>
      </c>
      <c r="K73" s="27" t="inlineStr">
        <is>
          <t>https://www.frontiersin.org/journals/psychology/articles/10.3389/fpsyg.2023.1086510/full</t>
        </is>
      </c>
    </row>
    <row r="74" ht="23.85" customHeight="1" s="17">
      <c r="A74" s="27" t="inlineStr">
        <is>
          <t>SUS</t>
        </is>
      </c>
      <c r="B74" s="27" t="inlineStr">
        <is>
          <t>Strengths Use Scale</t>
        </is>
      </c>
      <c r="C74" s="27" t="inlineStr">
        <is>
          <t>2. Strengths knowledge, use and support at work</t>
        </is>
      </c>
      <c r="D74" s="28" t="n">
        <v>2</v>
      </c>
      <c r="E74" s="27" t="inlineStr">
        <is>
          <t>I always play to my strengths.</t>
        </is>
      </c>
      <c r="F74" s="27" t="inlineStr">
        <is>
          <t>Strengths Use (total scale)</t>
        </is>
      </c>
      <c r="G74" s="27" t="inlineStr">
        <is>
          <t>FALSE</t>
        </is>
      </c>
      <c r="H74" s="27" t="inlineStr">
        <is>
          <t>FALSE</t>
        </is>
      </c>
      <c r="I74" s="27" t="inlineStr">
        <is>
          <t>Strongly disagree = 1 | 2 = 2 | 3 = 3 | 4 = 4 | 5 = 5 | 6 = 6 | Strongly agree = 7</t>
        </is>
      </c>
      <c r="J74" s="27" t="inlineStr">
        <is>
          <t>Verbatim as reproduced in Frontiers in Psychology (2023), Table 2.</t>
        </is>
      </c>
      <c r="K74" s="27" t="inlineStr">
        <is>
          <t>https://www.frontiersin.org/journals/psychology/articles/10.3389/fpsyg.2023.1086510/full</t>
        </is>
      </c>
    </row>
    <row r="75" ht="23.85" customHeight="1" s="17">
      <c r="A75" s="27" t="inlineStr">
        <is>
          <t>SUS</t>
        </is>
      </c>
      <c r="B75" s="27" t="inlineStr">
        <is>
          <t>Strengths Use Scale</t>
        </is>
      </c>
      <c r="C75" s="27" t="inlineStr">
        <is>
          <t>2. Strengths knowledge, use and support at work</t>
        </is>
      </c>
      <c r="D75" s="28" t="n">
        <v>3</v>
      </c>
      <c r="E75" s="27" t="inlineStr">
        <is>
          <t>I always try to use my strengths.</t>
        </is>
      </c>
      <c r="F75" s="27" t="inlineStr">
        <is>
          <t>Strengths Use (total scale)</t>
        </is>
      </c>
      <c r="G75" s="27" t="inlineStr">
        <is>
          <t>FALSE</t>
        </is>
      </c>
      <c r="H75" s="27" t="inlineStr">
        <is>
          <t>FALSE</t>
        </is>
      </c>
      <c r="I75" s="27" t="inlineStr">
        <is>
          <t>Strongly disagree = 1 | 2 = 2 | 3 = 3 | 4 = 4 | 5 = 5 | 6 = 6 | Strongly agree = 7</t>
        </is>
      </c>
      <c r="J75" s="27" t="inlineStr">
        <is>
          <t>Verbatim as reproduced in Frontiers in Psychology (2023), Table 2.</t>
        </is>
      </c>
      <c r="K75" s="27" t="inlineStr">
        <is>
          <t>https://www.frontiersin.org/journals/psychology/articles/10.3389/fpsyg.2023.1086510/full</t>
        </is>
      </c>
    </row>
    <row r="76" ht="23.85" customHeight="1" s="17">
      <c r="A76" s="27" t="inlineStr">
        <is>
          <t>SUS</t>
        </is>
      </c>
      <c r="B76" s="27" t="inlineStr">
        <is>
          <t>Strengths Use Scale</t>
        </is>
      </c>
      <c r="C76" s="27" t="inlineStr">
        <is>
          <t>2. Strengths knowledge, use and support at work</t>
        </is>
      </c>
      <c r="D76" s="28" t="n">
        <v>4</v>
      </c>
      <c r="E76" s="27" t="inlineStr">
        <is>
          <t>I achieve what I want by using my strengths.</t>
        </is>
      </c>
      <c r="F76" s="27" t="inlineStr">
        <is>
          <t>Strengths Use (total scale)</t>
        </is>
      </c>
      <c r="G76" s="27" t="inlineStr">
        <is>
          <t>FALSE</t>
        </is>
      </c>
      <c r="H76" s="27" t="inlineStr">
        <is>
          <t>FALSE</t>
        </is>
      </c>
      <c r="I76" s="27" t="inlineStr">
        <is>
          <t>Strongly disagree = 1 | 2 = 2 | 3 = 3 | 4 = 4 | 5 = 5 | 6 = 6 | Strongly agree = 7</t>
        </is>
      </c>
      <c r="J76" s="27" t="inlineStr">
        <is>
          <t>Verbatim as reproduced in Frontiers in Psychology (2023), Table 2.</t>
        </is>
      </c>
      <c r="K76" s="27" t="inlineStr">
        <is>
          <t>https://www.frontiersin.org/journals/psychology/articles/10.3389/fpsyg.2023.1086510/full</t>
        </is>
      </c>
    </row>
    <row r="77" ht="23.85" customHeight="1" s="17">
      <c r="A77" s="27" t="inlineStr">
        <is>
          <t>SUS</t>
        </is>
      </c>
      <c r="B77" s="27" t="inlineStr">
        <is>
          <t>Strengths Use Scale</t>
        </is>
      </c>
      <c r="C77" s="27" t="inlineStr">
        <is>
          <t>2. Strengths knowledge, use and support at work</t>
        </is>
      </c>
      <c r="D77" s="28" t="n">
        <v>5</v>
      </c>
      <c r="E77" s="27" t="inlineStr">
        <is>
          <t>I use my strengths every day.</t>
        </is>
      </c>
      <c r="F77" s="27" t="inlineStr">
        <is>
          <t>Strengths Use (total scale)</t>
        </is>
      </c>
      <c r="G77" s="27" t="inlineStr">
        <is>
          <t>FALSE</t>
        </is>
      </c>
      <c r="H77" s="27" t="inlineStr">
        <is>
          <t>FALSE</t>
        </is>
      </c>
      <c r="I77" s="27" t="inlineStr">
        <is>
          <t>Strongly disagree = 1 | 2 = 2 | 3 = 3 | 4 = 4 | 5 = 5 | 6 = 6 | Strongly agree = 7</t>
        </is>
      </c>
      <c r="J77" s="27" t="inlineStr">
        <is>
          <t>Verbatim as reproduced in Frontiers in Psychology (2023), Table 2.</t>
        </is>
      </c>
      <c r="K77" s="27" t="inlineStr">
        <is>
          <t>https://www.frontiersin.org/journals/psychology/articles/10.3389/fpsyg.2023.1086510/full</t>
        </is>
      </c>
    </row>
    <row r="78" ht="23.85" customHeight="1" s="17">
      <c r="A78" s="27" t="inlineStr">
        <is>
          <t>SUS</t>
        </is>
      </c>
      <c r="B78" s="27" t="inlineStr">
        <is>
          <t>Strengths Use Scale</t>
        </is>
      </c>
      <c r="C78" s="27" t="inlineStr">
        <is>
          <t>2. Strengths knowledge, use and support at work</t>
        </is>
      </c>
      <c r="D78" s="28" t="n">
        <v>6</v>
      </c>
      <c r="E78" s="27" t="inlineStr">
        <is>
          <t>I use my strengths to get what I want out of life.</t>
        </is>
      </c>
      <c r="F78" s="27" t="inlineStr">
        <is>
          <t>Strengths Use (total scale)</t>
        </is>
      </c>
      <c r="G78" s="27" t="inlineStr">
        <is>
          <t>FALSE</t>
        </is>
      </c>
      <c r="H78" s="27" t="inlineStr">
        <is>
          <t>FALSE</t>
        </is>
      </c>
      <c r="I78" s="27" t="inlineStr">
        <is>
          <t>Strongly disagree = 1 | 2 = 2 | 3 = 3 | 4 = 4 | 5 = 5 | 6 = 6 | Strongly agree = 7</t>
        </is>
      </c>
      <c r="J78" s="27" t="inlineStr">
        <is>
          <t>Verbatim as reproduced in Frontiers in Psychology (2023), Table 2.</t>
        </is>
      </c>
      <c r="K78" s="27" t="inlineStr">
        <is>
          <t>https://www.frontiersin.org/journals/psychology/articles/10.3389/fpsyg.2023.1086510/full</t>
        </is>
      </c>
    </row>
    <row r="79" ht="23.85" customHeight="1" s="17">
      <c r="A79" s="27" t="inlineStr">
        <is>
          <t>SUS</t>
        </is>
      </c>
      <c r="B79" s="27" t="inlineStr">
        <is>
          <t>Strengths Use Scale</t>
        </is>
      </c>
      <c r="C79" s="27" t="inlineStr">
        <is>
          <t>2. Strengths knowledge, use and support at work</t>
        </is>
      </c>
      <c r="D79" s="28" t="n">
        <v>7</v>
      </c>
      <c r="E79" s="27" t="inlineStr">
        <is>
          <t>My work gives me lots of opportunities to use my strengths.</t>
        </is>
      </c>
      <c r="F79" s="27" t="inlineStr">
        <is>
          <t>Strengths Use (total scale)</t>
        </is>
      </c>
      <c r="G79" s="27" t="inlineStr">
        <is>
          <t>FALSE</t>
        </is>
      </c>
      <c r="H79" s="27" t="inlineStr">
        <is>
          <t>FALSE</t>
        </is>
      </c>
      <c r="I79" s="27" t="inlineStr">
        <is>
          <t>Strongly disagree = 1 | 2 = 2 | 3 = 3 | 4 = 4 | 5 = 5 | 6 = 6 | Strongly agree = 7</t>
        </is>
      </c>
      <c r="J79" s="27" t="inlineStr">
        <is>
          <t>Verbatim as reproduced in Frontiers in Psychology (2023), Table 2.</t>
        </is>
      </c>
      <c r="K79" s="27" t="inlineStr">
        <is>
          <t>https://www.frontiersin.org/journals/psychology/articles/10.3389/fpsyg.2023.1086510/full</t>
        </is>
      </c>
    </row>
    <row r="80" ht="23.85" customHeight="1" s="17">
      <c r="A80" s="27" t="inlineStr">
        <is>
          <t>SUS</t>
        </is>
      </c>
      <c r="B80" s="27" t="inlineStr">
        <is>
          <t>Strengths Use Scale</t>
        </is>
      </c>
      <c r="C80" s="27" t="inlineStr">
        <is>
          <t>2. Strengths knowledge, use and support at work</t>
        </is>
      </c>
      <c r="D80" s="28" t="n">
        <v>8</v>
      </c>
      <c r="E80" s="27" t="inlineStr">
        <is>
          <t>My life presents me with lots of different ways to use my strengths.</t>
        </is>
      </c>
      <c r="F80" s="27" t="inlineStr">
        <is>
          <t>Strengths Use (total scale)</t>
        </is>
      </c>
      <c r="G80" s="27" t="inlineStr">
        <is>
          <t>FALSE</t>
        </is>
      </c>
      <c r="H80" s="27" t="inlineStr">
        <is>
          <t>FALSE</t>
        </is>
      </c>
      <c r="I80" s="27" t="inlineStr">
        <is>
          <t>Strongly disagree = 1 | 2 = 2 | 3 = 3 | 4 = 4 | 5 = 5 | 6 = 6 | Strongly agree = 7</t>
        </is>
      </c>
      <c r="J80" s="27" t="inlineStr">
        <is>
          <t>Verbatim as reproduced in Frontiers in Psychology (2023), Table 2.</t>
        </is>
      </c>
      <c r="K80" s="27" t="inlineStr">
        <is>
          <t>https://www.frontiersin.org/journals/psychology/articles/10.3389/fpsyg.2023.1086510/full</t>
        </is>
      </c>
    </row>
    <row r="81" ht="23.85" customHeight="1" s="17">
      <c r="A81" s="27" t="inlineStr">
        <is>
          <t>SUS</t>
        </is>
      </c>
      <c r="B81" s="27" t="inlineStr">
        <is>
          <t>Strengths Use Scale</t>
        </is>
      </c>
      <c r="C81" s="27" t="inlineStr">
        <is>
          <t>2. Strengths knowledge, use and support at work</t>
        </is>
      </c>
      <c r="D81" s="28" t="n">
        <v>9</v>
      </c>
      <c r="E81" s="27" t="inlineStr">
        <is>
          <t>Using my strengths comes naturally to me.</t>
        </is>
      </c>
      <c r="F81" s="27" t="inlineStr">
        <is>
          <t>Strengths Use (total scale)</t>
        </is>
      </c>
      <c r="G81" s="27" t="inlineStr">
        <is>
          <t>FALSE</t>
        </is>
      </c>
      <c r="H81" s="27" t="inlineStr">
        <is>
          <t>FALSE</t>
        </is>
      </c>
      <c r="I81" s="27" t="inlineStr">
        <is>
          <t>Strongly disagree = 1 | 2 = 2 | 3 = 3 | 4 = 4 | 5 = 5 | 6 = 6 | Strongly agree = 7</t>
        </is>
      </c>
      <c r="J81" s="27" t="inlineStr">
        <is>
          <t>Verbatim as reproduced in Frontiers in Psychology (2023), Table 2.</t>
        </is>
      </c>
      <c r="K81" s="27" t="inlineStr">
        <is>
          <t>https://www.frontiersin.org/journals/psychology/articles/10.3389/fpsyg.2023.1086510/full</t>
        </is>
      </c>
    </row>
    <row r="82" ht="23.85" customHeight="1" s="17">
      <c r="A82" s="27" t="inlineStr">
        <is>
          <t>SUS</t>
        </is>
      </c>
      <c r="B82" s="27" t="inlineStr">
        <is>
          <t>Strengths Use Scale</t>
        </is>
      </c>
      <c r="C82" s="27" t="inlineStr">
        <is>
          <t>2. Strengths knowledge, use and support at work</t>
        </is>
      </c>
      <c r="D82" s="28" t="n">
        <v>10</v>
      </c>
      <c r="E82" s="27" t="inlineStr">
        <is>
          <t>I find it easy to use my strengths in the things I do.</t>
        </is>
      </c>
      <c r="F82" s="27" t="inlineStr">
        <is>
          <t>Strengths Use (total scale)</t>
        </is>
      </c>
      <c r="G82" s="27" t="inlineStr">
        <is>
          <t>FALSE</t>
        </is>
      </c>
      <c r="H82" s="27" t="inlineStr">
        <is>
          <t>FALSE</t>
        </is>
      </c>
      <c r="I82" s="27" t="inlineStr">
        <is>
          <t>Strongly disagree = 1 | 2 = 2 | 3 = 3 | 4 = 4 | 5 = 5 | 6 = 6 | Strongly agree = 7</t>
        </is>
      </c>
      <c r="J82" s="27" t="inlineStr">
        <is>
          <t>Verbatim as reproduced in Frontiers in Psychology (2023), Table 2.</t>
        </is>
      </c>
      <c r="K82" s="27" t="inlineStr">
        <is>
          <t>https://www.frontiersin.org/journals/psychology/articles/10.3389/fpsyg.2023.1086510/full</t>
        </is>
      </c>
    </row>
    <row r="83" ht="23.85" customHeight="1" s="17">
      <c r="A83" s="27" t="inlineStr">
        <is>
          <t>SUS</t>
        </is>
      </c>
      <c r="B83" s="27" t="inlineStr">
        <is>
          <t>Strengths Use Scale</t>
        </is>
      </c>
      <c r="C83" s="27" t="inlineStr">
        <is>
          <t>2. Strengths knowledge, use and support at work</t>
        </is>
      </c>
      <c r="D83" s="28" t="n">
        <v>11</v>
      </c>
      <c r="E83" s="27" t="inlineStr">
        <is>
          <t>I am able to use my strengths in lots of different situations.</t>
        </is>
      </c>
      <c r="F83" s="27" t="inlineStr">
        <is>
          <t>Strengths Use (total scale)</t>
        </is>
      </c>
      <c r="G83" s="27" t="inlineStr">
        <is>
          <t>FALSE</t>
        </is>
      </c>
      <c r="H83" s="27" t="inlineStr">
        <is>
          <t>FALSE</t>
        </is>
      </c>
      <c r="I83" s="27" t="inlineStr">
        <is>
          <t>Strongly disagree = 1 | 2 = 2 | 3 = 3 | 4 = 4 | 5 = 5 | 6 = 6 | Strongly agree = 7</t>
        </is>
      </c>
      <c r="J83" s="27" t="inlineStr">
        <is>
          <t>Verbatim as reproduced in Frontiers in Psychology (2023), Table 2.</t>
        </is>
      </c>
      <c r="K83" s="27" t="inlineStr">
        <is>
          <t>https://www.frontiersin.org/journals/psychology/articles/10.3389/fpsyg.2023.1086510/full</t>
        </is>
      </c>
    </row>
    <row r="84" ht="23.85" customHeight="1" s="17">
      <c r="A84" s="27" t="inlineStr">
        <is>
          <t>SUS</t>
        </is>
      </c>
      <c r="B84" s="27" t="inlineStr">
        <is>
          <t>Strengths Use Scale</t>
        </is>
      </c>
      <c r="C84" s="27" t="inlineStr">
        <is>
          <t>2. Strengths knowledge, use and support at work</t>
        </is>
      </c>
      <c r="D84" s="28" t="n">
        <v>12</v>
      </c>
      <c r="E84" s="27" t="inlineStr">
        <is>
          <t>Most of my time is spent doing the things that I am good at doing.</t>
        </is>
      </c>
      <c r="F84" s="27" t="inlineStr">
        <is>
          <t>Strengths Use (total scale)</t>
        </is>
      </c>
      <c r="G84" s="27" t="inlineStr">
        <is>
          <t>FALSE</t>
        </is>
      </c>
      <c r="H84" s="27" t="inlineStr">
        <is>
          <t>FALSE</t>
        </is>
      </c>
      <c r="I84" s="27" t="inlineStr">
        <is>
          <t>Strongly disagree = 1 | 2 = 2 | 3 = 3 | 4 = 4 | 5 = 5 | 6 = 6 | Strongly agree = 7</t>
        </is>
      </c>
      <c r="J84" s="27" t="inlineStr">
        <is>
          <t>Verbatim as reproduced in Frontiers in Psychology (2023), Table 2.</t>
        </is>
      </c>
      <c r="K84" s="27" t="inlineStr">
        <is>
          <t>https://www.frontiersin.org/journals/psychology/articles/10.3389/fpsyg.2023.1086510/full</t>
        </is>
      </c>
    </row>
    <row r="85" ht="23.85" customHeight="1" s="17">
      <c r="A85" s="27" t="inlineStr">
        <is>
          <t>SUS</t>
        </is>
      </c>
      <c r="B85" s="27" t="inlineStr">
        <is>
          <t>Strengths Use Scale</t>
        </is>
      </c>
      <c r="C85" s="27" t="inlineStr">
        <is>
          <t>2. Strengths knowledge, use and support at work</t>
        </is>
      </c>
      <c r="D85" s="28" t="n">
        <v>13</v>
      </c>
      <c r="E85" s="27" t="inlineStr">
        <is>
          <t>Using my strengths is something I am familiar with.</t>
        </is>
      </c>
      <c r="F85" s="27" t="inlineStr">
        <is>
          <t>Strengths Use (total scale)</t>
        </is>
      </c>
      <c r="G85" s="27" t="inlineStr">
        <is>
          <t>FALSE</t>
        </is>
      </c>
      <c r="H85" s="27" t="inlineStr">
        <is>
          <t>FALSE</t>
        </is>
      </c>
      <c r="I85" s="27" t="inlineStr">
        <is>
          <t>Strongly disagree = 1 | 2 = 2 | 3 = 3 | 4 = 4 | 5 = 5 | 6 = 6 | Strongly agree = 7</t>
        </is>
      </c>
      <c r="J85" s="27" t="inlineStr">
        <is>
          <t>Verbatim as reproduced in Frontiers in Psychology (2023), Table 2.</t>
        </is>
      </c>
      <c r="K85" s="27" t="inlineStr">
        <is>
          <t>https://www.frontiersin.org/journals/psychology/articles/10.3389/fpsyg.2023.1086510/full</t>
        </is>
      </c>
    </row>
    <row r="86" ht="23.85" customHeight="1" s="17">
      <c r="A86" s="27" t="inlineStr">
        <is>
          <t>SUS</t>
        </is>
      </c>
      <c r="B86" s="27" t="inlineStr">
        <is>
          <t>Strengths Use Scale</t>
        </is>
      </c>
      <c r="C86" s="27" t="inlineStr">
        <is>
          <t>2. Strengths knowledge, use and support at work</t>
        </is>
      </c>
      <c r="D86" s="28" t="n">
        <v>14</v>
      </c>
      <c r="E86" s="27" t="inlineStr">
        <is>
          <t>I am able to use my strengths in lots of different ways.</t>
        </is>
      </c>
      <c r="F86" s="27" t="inlineStr">
        <is>
          <t>Strengths Use (total scale)</t>
        </is>
      </c>
      <c r="G86" s="27" t="inlineStr">
        <is>
          <t>FALSE</t>
        </is>
      </c>
      <c r="H86" s="27" t="inlineStr">
        <is>
          <t>FALSE</t>
        </is>
      </c>
      <c r="I86" s="27" t="inlineStr">
        <is>
          <t>Strongly disagree = 1 | 2 = 2 | 3 = 3 | 4 = 4 | 5 = 5 | 6 = 6 | Strongly agree = 7</t>
        </is>
      </c>
      <c r="J86" s="27" t="inlineStr">
        <is>
          <t>Verbatim as reproduced in Frontiers in Psychology (2023), Table 2.</t>
        </is>
      </c>
      <c r="K86" s="27" t="inlineStr">
        <is>
          <t>https://www.frontiersin.org/journals/psychology/articles/10.3389/fpsyg.2023.1086510/full</t>
        </is>
      </c>
    </row>
    <row r="87" ht="35.05" customHeight="1" s="17">
      <c r="A87" s="27" t="inlineStr">
        <is>
          <t>SSES</t>
        </is>
      </c>
      <c r="B87" s="27" t="inlineStr">
        <is>
          <t>Strengths Self-Efficacy Scale</t>
        </is>
      </c>
      <c r="C87" s="27" t="inlineStr">
        <is>
          <t>2. Strengths knowledge, use and support at work</t>
        </is>
      </c>
      <c r="D87" s="28" t="n">
        <v>1</v>
      </c>
      <c r="E87" s="27" t="inlineStr">
        <is>
          <t>Use your strengths at work?</t>
        </is>
      </c>
      <c r="F87" s="27" t="inlineStr">
        <is>
          <t>Strengths Self-Efficacy (total scale)</t>
        </is>
      </c>
      <c r="G87" s="27" t="inlineStr">
        <is>
          <t>FALSE</t>
        </is>
      </c>
      <c r="H87" s="27" t="inlineStr">
        <is>
          <t>FALSE</t>
        </is>
      </c>
      <c r="I87" s="27" t="inlineStr">
        <is>
          <t>Not confident at all = 1 | 2 = 2 | 3 = 3 | 4 = 4 | Moderately confident = 5 | 6 = 6 | 7 = 7 | 8 = 8 | 9 = 9 | Extremely confident = 10</t>
        </is>
      </c>
      <c r="J87" s="27" t="inlineStr">
        <is>
          <t>Verbatim as reproduced in the PositivePsychology.com PDF and corroborated by an independent academia.edu reproduction, both stemmed from "How confident are you in your ability to ...."</t>
        </is>
      </c>
      <c r="K87" s="27" t="inlineStr">
        <is>
          <t>https://positivepsychology.com/wp-content/uploads/The-Strengths-Self-efficacy-Scale.pdf</t>
        </is>
      </c>
    </row>
    <row r="88" ht="35.05" customHeight="1" s="17">
      <c r="A88" s="27" t="inlineStr">
        <is>
          <t>SSES</t>
        </is>
      </c>
      <c r="B88" s="27" t="inlineStr">
        <is>
          <t>Strengths Self-Efficacy Scale</t>
        </is>
      </c>
      <c r="C88" s="27" t="inlineStr">
        <is>
          <t>2. Strengths knowledge, use and support at work</t>
        </is>
      </c>
      <c r="D88" s="28" t="n">
        <v>2</v>
      </c>
      <c r="E88" s="27" t="inlineStr">
        <is>
          <t>Use your strengths without any struggles?</t>
        </is>
      </c>
      <c r="F88" s="27" t="inlineStr">
        <is>
          <t>Strengths Self-Efficacy (total scale)</t>
        </is>
      </c>
      <c r="G88" s="27" t="inlineStr">
        <is>
          <t>FALSE</t>
        </is>
      </c>
      <c r="H88" s="27" t="inlineStr">
        <is>
          <t>FALSE</t>
        </is>
      </c>
      <c r="I88" s="27" t="inlineStr">
        <is>
          <t>Not confident at all = 1 | 2 = 2 | 3 = 3 | 4 = 4 | Moderately confident = 5 | 6 = 6 | 7 = 7 | 8 = 8 | 9 = 9 | Extremely confident = 10</t>
        </is>
      </c>
      <c r="J88" s="27" t="inlineStr">
        <is>
          <t>Verbatim as reproduced in the PositivePsychology.com PDF, corroborated by academia.edu reproduction.</t>
        </is>
      </c>
      <c r="K88" s="27" t="inlineStr">
        <is>
          <t>https://positivepsychology.com/wp-content/uploads/The-Strengths-Self-efficacy-Scale.pdf</t>
        </is>
      </c>
    </row>
    <row r="89" ht="35.05" customHeight="1" s="17">
      <c r="A89" s="27" t="inlineStr">
        <is>
          <t>SSES</t>
        </is>
      </c>
      <c r="B89" s="27" t="inlineStr">
        <is>
          <t>Strengths Self-Efficacy Scale</t>
        </is>
      </c>
      <c r="C89" s="27" t="inlineStr">
        <is>
          <t>2. Strengths knowledge, use and support at work</t>
        </is>
      </c>
      <c r="D89" s="28" t="n">
        <v>3</v>
      </c>
      <c r="E89" s="27" t="inlineStr">
        <is>
          <t>Find ways to apply your strengths in the things you do everyday?</t>
        </is>
      </c>
      <c r="F89" s="27" t="inlineStr">
        <is>
          <t>Strengths Self-Efficacy (total scale)</t>
        </is>
      </c>
      <c r="G89" s="27" t="inlineStr">
        <is>
          <t>FALSE</t>
        </is>
      </c>
      <c r="H89" s="27" t="inlineStr">
        <is>
          <t>FALSE</t>
        </is>
      </c>
      <c r="I89" s="27" t="inlineStr">
        <is>
          <t>Not confident at all = 1 | 2 = 2 | 3 = 3 | 4 = 4 | Moderately confident = 5 | 6 = 6 | 7 = 7 | 8 = 8 | 9 = 9 | Extremely confident = 10</t>
        </is>
      </c>
      <c r="J89" s="27" t="inlineStr">
        <is>
          <t>Verbatim as reproduced in the PositivePsychology.com PDF, corroborated by academia.edu reproduction.</t>
        </is>
      </c>
      <c r="K89" s="27" t="inlineStr">
        <is>
          <t>https://positivepsychology.com/wp-content/uploads/The-Strengths-Self-efficacy-Scale.pdf</t>
        </is>
      </c>
    </row>
    <row r="90" ht="35.05" customHeight="1" s="17">
      <c r="A90" s="27" t="inlineStr">
        <is>
          <t>SSES</t>
        </is>
      </c>
      <c r="B90" s="27" t="inlineStr">
        <is>
          <t>Strengths Self-Efficacy Scale</t>
        </is>
      </c>
      <c r="C90" s="27" t="inlineStr">
        <is>
          <t>2. Strengths knowledge, use and support at work</t>
        </is>
      </c>
      <c r="D90" s="28" t="n">
        <v>4</v>
      </c>
      <c r="E90" s="27" t="inlineStr">
        <is>
          <t>Accomplish a lot using your strengths?</t>
        </is>
      </c>
      <c r="F90" s="27" t="inlineStr">
        <is>
          <t>Strengths Self-Efficacy (total scale)</t>
        </is>
      </c>
      <c r="G90" s="27" t="inlineStr">
        <is>
          <t>FALSE</t>
        </is>
      </c>
      <c r="H90" s="27" t="inlineStr">
        <is>
          <t>FALSE</t>
        </is>
      </c>
      <c r="I90" s="27" t="inlineStr">
        <is>
          <t>Not confident at all = 1 | 2 = 2 | 3 = 3 | 4 = 4 | Moderately confident = 5 | 6 = 6 | 7 = 7 | 8 = 8 | 9 = 9 | Extremely confident = 10</t>
        </is>
      </c>
      <c r="J90" s="27" t="inlineStr">
        <is>
          <t>Verbatim as reproduced in the PositivePsychology.com PDF, corroborated by academia.edu reproduction.</t>
        </is>
      </c>
      <c r="K90" s="27" t="inlineStr">
        <is>
          <t>https://positivepsychology.com/wp-content/uploads/The-Strengths-Self-efficacy-Scale.pdf</t>
        </is>
      </c>
    </row>
    <row r="91" ht="35.05" customHeight="1" s="17">
      <c r="A91" s="27" t="inlineStr">
        <is>
          <t>SSES</t>
        </is>
      </c>
      <c r="B91" s="27" t="inlineStr">
        <is>
          <t>Strengths Self-Efficacy Scale</t>
        </is>
      </c>
      <c r="C91" s="27" t="inlineStr">
        <is>
          <t>2. Strengths knowledge, use and support at work</t>
        </is>
      </c>
      <c r="D91" s="28" t="n">
        <v>5</v>
      </c>
      <c r="E91" s="27" t="inlineStr">
        <is>
          <t>Apply your strengths at work/school?</t>
        </is>
      </c>
      <c r="F91" s="27" t="inlineStr">
        <is>
          <t>Strengths Self-Efficacy (total scale)</t>
        </is>
      </c>
      <c r="G91" s="27" t="inlineStr">
        <is>
          <t>FALSE</t>
        </is>
      </c>
      <c r="H91" s="27" t="inlineStr">
        <is>
          <t>FALSE</t>
        </is>
      </c>
      <c r="I91" s="27" t="inlineStr">
        <is>
          <t>Not confident at all = 1 | 2 = 2 | 3 = 3 | 4 = 4 | Moderately confident = 5 | 6 = 6 | 7 = 7 | 8 = 8 | 9 = 9 | Extremely confident = 10</t>
        </is>
      </c>
      <c r="J91" s="27" t="inlineStr">
        <is>
          <t>Verbatim as reproduced in the PositivePsychology.com PDF, corroborated by academia.edu reproduction.</t>
        </is>
      </c>
      <c r="K91" s="27" t="inlineStr">
        <is>
          <t>https://positivepsychology.com/wp-content/uploads/The-Strengths-Self-efficacy-Scale.pdf</t>
        </is>
      </c>
    </row>
    <row r="92" ht="35.05" customHeight="1" s="17">
      <c r="A92" s="27" t="inlineStr">
        <is>
          <t>SSES</t>
        </is>
      </c>
      <c r="B92" s="27" t="inlineStr">
        <is>
          <t>Strengths Self-Efficacy Scale</t>
        </is>
      </c>
      <c r="C92" s="27" t="inlineStr">
        <is>
          <t>2. Strengths knowledge, use and support at work</t>
        </is>
      </c>
      <c r="D92" s="28" t="n">
        <v>6</v>
      </c>
      <c r="E92" s="27" t="inlineStr">
        <is>
          <t>Use your strengths in many situations?</t>
        </is>
      </c>
      <c r="F92" s="27" t="inlineStr">
        <is>
          <t>Strengths Self-Efficacy (total scale)</t>
        </is>
      </c>
      <c r="G92" s="27" t="inlineStr">
        <is>
          <t>FALSE</t>
        </is>
      </c>
      <c r="H92" s="27" t="inlineStr">
        <is>
          <t>FALSE</t>
        </is>
      </c>
      <c r="I92" s="27" t="inlineStr">
        <is>
          <t>Not confident at all = 1 | 2 = 2 | 3 = 3 | 4 = 4 | Moderately confident = 5 | 6 = 6 | 7 = 7 | 8 = 8 | 9 = 9 | Extremely confident = 10</t>
        </is>
      </c>
      <c r="J92" s="27" t="inlineStr">
        <is>
          <t>Verbatim as reproduced in the PositivePsychology.com PDF, corroborated by academia.edu reproduction.</t>
        </is>
      </c>
      <c r="K92" s="27" t="inlineStr">
        <is>
          <t>https://positivepsychology.com/wp-content/uploads/The-Strengths-Self-efficacy-Scale.pdf</t>
        </is>
      </c>
    </row>
    <row r="93" ht="35.05" customHeight="1" s="17">
      <c r="A93" s="27" t="inlineStr">
        <is>
          <t>SSES</t>
        </is>
      </c>
      <c r="B93" s="27" t="inlineStr">
        <is>
          <t>Strengths Self-Efficacy Scale</t>
        </is>
      </c>
      <c r="C93" s="27" t="inlineStr">
        <is>
          <t>2. Strengths knowledge, use and support at work</t>
        </is>
      </c>
      <c r="D93" s="28" t="n">
        <v>7</v>
      </c>
      <c r="E93" s="27" t="inlineStr">
        <is>
          <t>Use your strengths to succeed?</t>
        </is>
      </c>
      <c r="F93" s="27" t="inlineStr">
        <is>
          <t>Strengths Self-Efficacy (total scale)</t>
        </is>
      </c>
      <c r="G93" s="27" t="inlineStr">
        <is>
          <t>FALSE</t>
        </is>
      </c>
      <c r="H93" s="27" t="inlineStr">
        <is>
          <t>FALSE</t>
        </is>
      </c>
      <c r="I93" s="27" t="inlineStr">
        <is>
          <t>Not confident at all = 1 | 2 = 2 | 3 = 3 | 4 = 4 | Moderately confident = 5 | 6 = 6 | 7 = 7 | 8 = 8 | 9 = 9 | Extremely confident = 10</t>
        </is>
      </c>
      <c r="J93" s="27" t="inlineStr">
        <is>
          <t>Verbatim as reproduced in the PositivePsychology.com PDF, corroborated by academia.edu reproduction.</t>
        </is>
      </c>
      <c r="K93" s="27" t="inlineStr">
        <is>
          <t>https://positivepsychology.com/wp-content/uploads/The-Strengths-Self-efficacy-Scale.pdf</t>
        </is>
      </c>
    </row>
    <row r="94" ht="35.05" customHeight="1" s="17">
      <c r="A94" s="27" t="inlineStr">
        <is>
          <t>SSES</t>
        </is>
      </c>
      <c r="B94" s="27" t="inlineStr">
        <is>
          <t>Strengths Self-Efficacy Scale</t>
        </is>
      </c>
      <c r="C94" s="27" t="inlineStr">
        <is>
          <t>2. Strengths knowledge, use and support at work</t>
        </is>
      </c>
      <c r="D94" s="28" t="n">
        <v>8</v>
      </c>
      <c r="E94" s="27" t="inlineStr">
        <is>
          <t>Find ways to use your strengths at work/school everyday?</t>
        </is>
      </c>
      <c r="F94" s="27" t="inlineStr">
        <is>
          <t>Strengths Self-Efficacy (total scale)</t>
        </is>
      </c>
      <c r="G94" s="27" t="inlineStr">
        <is>
          <t>FALSE</t>
        </is>
      </c>
      <c r="H94" s="27" t="inlineStr">
        <is>
          <t>FALSE</t>
        </is>
      </c>
      <c r="I94" s="27" t="inlineStr">
        <is>
          <t>Not confident at all = 1 | 2 = 2 | 3 = 3 | 4 = 4 | Moderately confident = 5 | 6 = 6 | 7 = 7 | 8 = 8 | 9 = 9 | Extremely confident = 10</t>
        </is>
      </c>
      <c r="J94" s="27" t="inlineStr">
        <is>
          <t>Verbatim as reproduced in the PositivePsychology.com PDF, corroborated by academia.edu reproduction.</t>
        </is>
      </c>
      <c r="K94" s="27" t="inlineStr">
        <is>
          <t>https://positivepsychology.com/wp-content/uploads/The-Strengths-Self-efficacy-Scale.pdf</t>
        </is>
      </c>
    </row>
    <row r="95" ht="35.05" customHeight="1" s="17">
      <c r="A95" s="27" t="inlineStr">
        <is>
          <t>SSES</t>
        </is>
      </c>
      <c r="B95" s="27" t="inlineStr">
        <is>
          <t>Strengths Self-Efficacy Scale</t>
        </is>
      </c>
      <c r="C95" s="27" t="inlineStr">
        <is>
          <t>2. Strengths knowledge, use and support at work</t>
        </is>
      </c>
      <c r="D95" s="28" t="n">
        <v>9</v>
      </c>
      <c r="E95" s="27" t="inlineStr">
        <is>
          <t>Use your strengths at any time?</t>
        </is>
      </c>
      <c r="F95" s="27" t="inlineStr">
        <is>
          <t>Strengths Self-Efficacy (total scale)</t>
        </is>
      </c>
      <c r="G95" s="27" t="inlineStr">
        <is>
          <t>FALSE</t>
        </is>
      </c>
      <c r="H95" s="27" t="inlineStr">
        <is>
          <t>FALSE</t>
        </is>
      </c>
      <c r="I95" s="27" t="inlineStr">
        <is>
          <t>Not confident at all = 1 | 2 = 2 | 3 = 3 | 4 = 4 | Moderately confident = 5 | 6 = 6 | 7 = 7 | 8 = 8 | 9 = 9 | Extremely confident = 10</t>
        </is>
      </c>
      <c r="J95" s="27" t="inlineStr">
        <is>
          <t>Verbatim as reproduced in the PositivePsychology.com PDF, corroborated by academia.edu reproduction.</t>
        </is>
      </c>
      <c r="K95" s="27" t="inlineStr">
        <is>
          <t>https://positivepsychology.com/wp-content/uploads/The-Strengths-Self-efficacy-Scale.pdf</t>
        </is>
      </c>
    </row>
    <row r="96" ht="35.05" customHeight="1" s="17">
      <c r="A96" s="27" t="inlineStr">
        <is>
          <t>SSES</t>
        </is>
      </c>
      <c r="B96" s="27" t="inlineStr">
        <is>
          <t>Strengths Self-Efficacy Scale</t>
        </is>
      </c>
      <c r="C96" s="27" t="inlineStr">
        <is>
          <t>2. Strengths knowledge, use and support at work</t>
        </is>
      </c>
      <c r="D96" s="28" t="n">
        <v>10</v>
      </c>
      <c r="E96" s="27" t="inlineStr">
        <is>
          <t>Use your strengths to help you achieve your goals in life?</t>
        </is>
      </c>
      <c r="F96" s="27" t="inlineStr">
        <is>
          <t>Strengths Self-Efficacy (total scale)</t>
        </is>
      </c>
      <c r="G96" s="27" t="inlineStr">
        <is>
          <t>FALSE</t>
        </is>
      </c>
      <c r="H96" s="27" t="inlineStr">
        <is>
          <t>FALSE</t>
        </is>
      </c>
      <c r="I96" s="27" t="inlineStr">
        <is>
          <t>Not confident at all = 1 | 2 = 2 | 3 = 3 | 4 = 4 | Moderately confident = 5 | 6 = 6 | 7 = 7 | 8 = 8 | 9 = 9 | Extremely confident = 10</t>
        </is>
      </c>
      <c r="J96" s="27" t="inlineStr">
        <is>
          <t>Verbatim as reproduced in the PositivePsychology.com PDF, corroborated by academia.edu reproduction.</t>
        </is>
      </c>
      <c r="K96" s="27" t="inlineStr">
        <is>
          <t>https://positivepsychology.com/wp-content/uploads/The-Strengths-Self-efficacy-Scale.pdf</t>
        </is>
      </c>
    </row>
    <row r="97" ht="35.05" customHeight="1" s="17">
      <c r="A97" s="27" t="inlineStr">
        <is>
          <t>SSES</t>
        </is>
      </c>
      <c r="B97" s="27" t="inlineStr">
        <is>
          <t>Strengths Self-Efficacy Scale</t>
        </is>
      </c>
      <c r="C97" s="27" t="inlineStr">
        <is>
          <t>2. Strengths knowledge, use and support at work</t>
        </is>
      </c>
      <c r="D97" s="28" t="n">
        <v>11</v>
      </c>
      <c r="E97" s="27" t="inlineStr">
        <is>
          <t>Practice your strengths in areas where you excel?</t>
        </is>
      </c>
      <c r="F97" s="27" t="inlineStr">
        <is>
          <t>Strengths Self-Efficacy (total scale)</t>
        </is>
      </c>
      <c r="G97" s="27" t="inlineStr">
        <is>
          <t>FALSE</t>
        </is>
      </c>
      <c r="H97" s="27" t="inlineStr">
        <is>
          <t>FALSE</t>
        </is>
      </c>
      <c r="I97" s="27" t="inlineStr">
        <is>
          <t>Not confident at all = 1 | 2 = 2 | 3 = 3 | 4 = 4 | Moderately confident = 5 | 6 = 6 | 7 = 7 | 8 = 8 | 9 = 9 | Extremely confident = 10</t>
        </is>
      </c>
      <c r="J97" s="27" t="inlineStr">
        <is>
          <t>Verbatim as reproduced in the PositivePsychology.com PDF, corroborated by academia.edu reproduction.</t>
        </is>
      </c>
      <c r="K97" s="27" t="inlineStr">
        <is>
          <t>https://positivepsychology.com/wp-content/uploads/The-Strengths-Self-efficacy-Scale.pdf</t>
        </is>
      </c>
    </row>
    <row r="98" ht="23.85" customHeight="1" s="17">
      <c r="A98" s="27" t="inlineStr">
        <is>
          <t>CSES</t>
        </is>
      </c>
      <c r="B98" s="27" t="inlineStr">
        <is>
          <t>Core Self-Evaluations Scale</t>
        </is>
      </c>
      <c r="C98" s="27" t="inlineStr">
        <is>
          <t>3. Adjacent occupational and wellbeing</t>
        </is>
      </c>
      <c r="D98" s="28" t="n">
        <v>1</v>
      </c>
      <c r="E98" s="27" t="inlineStr">
        <is>
          <t>I am confident I get the success I deserve in life.</t>
        </is>
      </c>
      <c r="F98" s="27" t="inlineStr">
        <is>
          <t>Core Self-Evaluations (total scale, unidimensional)</t>
        </is>
      </c>
      <c r="G98" s="27" t="inlineStr">
        <is>
          <t>FALSE</t>
        </is>
      </c>
      <c r="H98" s="27" t="inlineStr">
        <is>
          <t>FALSE</t>
        </is>
      </c>
      <c r="I98" s="27" t="inlineStr">
        <is>
          <t>Strongly Disagree = 1 | Disagree = 2 | Neutral = 3 | Agree = 4 | Strongly Agree = 5</t>
        </is>
      </c>
      <c r="J98" s="27" t="n"/>
      <c r="K98" s="27" t="inlineStr">
        <is>
          <t>http://ionilies.com/SIOP03/Files/CSES.pdf</t>
        </is>
      </c>
    </row>
    <row r="99" ht="23.85" customHeight="1" s="17">
      <c r="A99" s="27" t="inlineStr">
        <is>
          <t>CSES</t>
        </is>
      </c>
      <c r="B99" s="27" t="inlineStr">
        <is>
          <t>Core Self-Evaluations Scale</t>
        </is>
      </c>
      <c r="C99" s="27" t="inlineStr">
        <is>
          <t>3. Adjacent occupational and wellbeing</t>
        </is>
      </c>
      <c r="D99" s="28" t="n">
        <v>2</v>
      </c>
      <c r="E99" s="27" t="inlineStr">
        <is>
          <t>Sometimes I feel depressed.</t>
        </is>
      </c>
      <c r="F99" s="27" t="inlineStr">
        <is>
          <t>Core Self-Evaluations (total scale, unidimensional)</t>
        </is>
      </c>
      <c r="G99" s="34" t="inlineStr">
        <is>
          <t>TRUE</t>
        </is>
      </c>
      <c r="H99" s="27" t="inlineStr">
        <is>
          <t>FALSE</t>
        </is>
      </c>
      <c r="I99" s="27" t="inlineStr">
        <is>
          <t>Strongly Disagree = 1 | Disagree = 2 | Neutral = 3 | Agree = 4 | Strongly Agree = 5</t>
        </is>
      </c>
      <c r="J99" s="27" t="inlineStr">
        <is>
          <t>Touches on depressed mood; use sensitively with clients where wellbeing is a live concern.</t>
        </is>
      </c>
      <c r="K99" s="27" t="inlineStr">
        <is>
          <t>http://ionilies.com/SIOP03/Files/CSES.pdf</t>
        </is>
      </c>
    </row>
    <row r="100" ht="23.85" customHeight="1" s="17">
      <c r="A100" s="27" t="inlineStr">
        <is>
          <t>CSES</t>
        </is>
      </c>
      <c r="B100" s="27" t="inlineStr">
        <is>
          <t>Core Self-Evaluations Scale</t>
        </is>
      </c>
      <c r="C100" s="27" t="inlineStr">
        <is>
          <t>3. Adjacent occupational and wellbeing</t>
        </is>
      </c>
      <c r="D100" s="28" t="n">
        <v>3</v>
      </c>
      <c r="E100" s="27" t="inlineStr">
        <is>
          <t>When I try, I generally succeed.</t>
        </is>
      </c>
      <c r="F100" s="27" t="inlineStr">
        <is>
          <t>Core Self-Evaluations (total scale, unidimensional)</t>
        </is>
      </c>
      <c r="G100" s="27" t="inlineStr">
        <is>
          <t>FALSE</t>
        </is>
      </c>
      <c r="H100" s="27" t="inlineStr">
        <is>
          <t>FALSE</t>
        </is>
      </c>
      <c r="I100" s="27" t="inlineStr">
        <is>
          <t>Strongly Disagree = 1 | Disagree = 2 | Neutral = 3 | Agree = 4 | Strongly Agree = 5</t>
        </is>
      </c>
      <c r="J100" s="27" t="n"/>
      <c r="K100" s="27" t="inlineStr">
        <is>
          <t>http://ionilies.com/SIOP03/Files/CSES.pdf</t>
        </is>
      </c>
    </row>
    <row r="101" ht="23.85" customHeight="1" s="17">
      <c r="A101" s="27" t="inlineStr">
        <is>
          <t>CSES</t>
        </is>
      </c>
      <c r="B101" s="27" t="inlineStr">
        <is>
          <t>Core Self-Evaluations Scale</t>
        </is>
      </c>
      <c r="C101" s="27" t="inlineStr">
        <is>
          <t>3. Adjacent occupational and wellbeing</t>
        </is>
      </c>
      <c r="D101" s="28" t="n">
        <v>4</v>
      </c>
      <c r="E101" s="27" t="inlineStr">
        <is>
          <t>Sometimes when I fail I feel worthless.</t>
        </is>
      </c>
      <c r="F101" s="27" t="inlineStr">
        <is>
          <t>Core Self-Evaluations (total scale, unidimensional)</t>
        </is>
      </c>
      <c r="G101" s="34" t="inlineStr">
        <is>
          <t>TRUE</t>
        </is>
      </c>
      <c r="H101" s="27" t="inlineStr">
        <is>
          <t>FALSE</t>
        </is>
      </c>
      <c r="I101" s="27" t="inlineStr">
        <is>
          <t>Strongly Disagree = 1 | Disagree = 2 | Neutral = 3 | Agree = 4 | Strongly Agree = 5</t>
        </is>
      </c>
      <c r="J101" s="27" t="n"/>
      <c r="K101" s="27" t="inlineStr">
        <is>
          <t>http://ionilies.com/SIOP03/Files/CSES.pdf</t>
        </is>
      </c>
    </row>
    <row r="102" ht="23.85" customHeight="1" s="17">
      <c r="A102" s="27" t="inlineStr">
        <is>
          <t>CSES</t>
        </is>
      </c>
      <c r="B102" s="27" t="inlineStr">
        <is>
          <t>Core Self-Evaluations Scale</t>
        </is>
      </c>
      <c r="C102" s="27" t="inlineStr">
        <is>
          <t>3. Adjacent occupational and wellbeing</t>
        </is>
      </c>
      <c r="D102" s="28" t="n">
        <v>5</v>
      </c>
      <c r="E102" s="27" t="inlineStr">
        <is>
          <t>I complete tasks successfully.</t>
        </is>
      </c>
      <c r="F102" s="27" t="inlineStr">
        <is>
          <t>Core Self-Evaluations (total scale, unidimensional)</t>
        </is>
      </c>
      <c r="G102" s="27" t="inlineStr">
        <is>
          <t>FALSE</t>
        </is>
      </c>
      <c r="H102" s="27" t="inlineStr">
        <is>
          <t>FALSE</t>
        </is>
      </c>
      <c r="I102" s="27" t="inlineStr">
        <is>
          <t>Strongly Disagree = 1 | Disagree = 2 | Neutral = 3 | Agree = 4 | Strongly Agree = 5</t>
        </is>
      </c>
      <c r="J102" s="27" t="n"/>
      <c r="K102" s="27" t="inlineStr">
        <is>
          <t>http://ionilies.com/SIOP03/Files/CSES.pdf</t>
        </is>
      </c>
    </row>
    <row r="103" ht="23.85" customHeight="1" s="17">
      <c r="A103" s="27" t="inlineStr">
        <is>
          <t>CSES</t>
        </is>
      </c>
      <c r="B103" s="27" t="inlineStr">
        <is>
          <t>Core Self-Evaluations Scale</t>
        </is>
      </c>
      <c r="C103" s="27" t="inlineStr">
        <is>
          <t>3. Adjacent occupational and wellbeing</t>
        </is>
      </c>
      <c r="D103" s="28" t="n">
        <v>6</v>
      </c>
      <c r="E103" s="27" t="inlineStr">
        <is>
          <t>Sometimes, I do not feel in control of my work.</t>
        </is>
      </c>
      <c r="F103" s="27" t="inlineStr">
        <is>
          <t>Core Self-Evaluations (total scale, unidimensional)</t>
        </is>
      </c>
      <c r="G103" s="34" t="inlineStr">
        <is>
          <t>TRUE</t>
        </is>
      </c>
      <c r="H103" s="27" t="inlineStr">
        <is>
          <t>FALSE</t>
        </is>
      </c>
      <c r="I103" s="27" t="inlineStr">
        <is>
          <t>Strongly Disagree = 1 | Disagree = 2 | Neutral = 3 | Agree = 4 | Strongly Agree = 5</t>
        </is>
      </c>
      <c r="J103" s="27" t="n"/>
      <c r="K103" s="27" t="inlineStr">
        <is>
          <t>http://ionilies.com/SIOP03/Files/CSES.pdf</t>
        </is>
      </c>
    </row>
    <row r="104" ht="23.85" customHeight="1" s="17">
      <c r="A104" s="27" t="inlineStr">
        <is>
          <t>CSES</t>
        </is>
      </c>
      <c r="B104" s="27" t="inlineStr">
        <is>
          <t>Core Self-Evaluations Scale</t>
        </is>
      </c>
      <c r="C104" s="27" t="inlineStr">
        <is>
          <t>3. Adjacent occupational and wellbeing</t>
        </is>
      </c>
      <c r="D104" s="28" t="n">
        <v>7</v>
      </c>
      <c r="E104" s="27" t="inlineStr">
        <is>
          <t>Overall, I am satisfied with myself.</t>
        </is>
      </c>
      <c r="F104" s="27" t="inlineStr">
        <is>
          <t>Core Self-Evaluations (total scale, unidimensional)</t>
        </is>
      </c>
      <c r="G104" s="27" t="inlineStr">
        <is>
          <t>FALSE</t>
        </is>
      </c>
      <c r="H104" s="27" t="inlineStr">
        <is>
          <t>FALSE</t>
        </is>
      </c>
      <c r="I104" s="27" t="inlineStr">
        <is>
          <t>Strongly Disagree = 1 | Disagree = 2 | Neutral = 3 | Agree = 4 | Strongly Agree = 5</t>
        </is>
      </c>
      <c r="J104" s="27" t="n"/>
      <c r="K104" s="27" t="inlineStr">
        <is>
          <t>http://ionilies.com/SIOP03/Files/CSES.pdf</t>
        </is>
      </c>
    </row>
    <row r="105" ht="23.85" customHeight="1" s="17">
      <c r="A105" s="27" t="inlineStr">
        <is>
          <t>CSES</t>
        </is>
      </c>
      <c r="B105" s="27" t="inlineStr">
        <is>
          <t>Core Self-Evaluations Scale</t>
        </is>
      </c>
      <c r="C105" s="27" t="inlineStr">
        <is>
          <t>3. Adjacent occupational and wellbeing</t>
        </is>
      </c>
      <c r="D105" s="28" t="n">
        <v>8</v>
      </c>
      <c r="E105" s="27" t="inlineStr">
        <is>
          <t>I am filled with doubts about my competence.</t>
        </is>
      </c>
      <c r="F105" s="27" t="inlineStr">
        <is>
          <t>Core Self-Evaluations (total scale, unidimensional)</t>
        </is>
      </c>
      <c r="G105" s="34" t="inlineStr">
        <is>
          <t>TRUE</t>
        </is>
      </c>
      <c r="H105" s="27" t="inlineStr">
        <is>
          <t>FALSE</t>
        </is>
      </c>
      <c r="I105" s="27" t="inlineStr">
        <is>
          <t>Strongly Disagree = 1 | Disagree = 2 | Neutral = 3 | Agree = 4 | Strongly Agree = 5</t>
        </is>
      </c>
      <c r="J105" s="27" t="n"/>
      <c r="K105" s="27" t="inlineStr">
        <is>
          <t>http://ionilies.com/SIOP03/Files/CSES.pdf</t>
        </is>
      </c>
    </row>
    <row r="106" ht="23.85" customHeight="1" s="17">
      <c r="A106" s="27" t="inlineStr">
        <is>
          <t>CSES</t>
        </is>
      </c>
      <c r="B106" s="27" t="inlineStr">
        <is>
          <t>Core Self-Evaluations Scale</t>
        </is>
      </c>
      <c r="C106" s="27" t="inlineStr">
        <is>
          <t>3. Adjacent occupational and wellbeing</t>
        </is>
      </c>
      <c r="D106" s="28" t="n">
        <v>9</v>
      </c>
      <c r="E106" s="27" t="inlineStr">
        <is>
          <t>I determine what will happen in my life.</t>
        </is>
      </c>
      <c r="F106" s="27" t="inlineStr">
        <is>
          <t>Core Self-Evaluations (total scale, unidimensional)</t>
        </is>
      </c>
      <c r="G106" s="27" t="inlineStr">
        <is>
          <t>FALSE</t>
        </is>
      </c>
      <c r="H106" s="27" t="inlineStr">
        <is>
          <t>FALSE</t>
        </is>
      </c>
      <c r="I106" s="27" t="inlineStr">
        <is>
          <t>Strongly Disagree = 1 | Disagree = 2 | Neutral = 3 | Agree = 4 | Strongly Agree = 5</t>
        </is>
      </c>
      <c r="J106" s="27" t="n"/>
      <c r="K106" s="27" t="inlineStr">
        <is>
          <t>http://ionilies.com/SIOP03/Files/CSES.pdf</t>
        </is>
      </c>
    </row>
    <row r="107" ht="23.85" customHeight="1" s="17">
      <c r="A107" s="27" t="inlineStr">
        <is>
          <t>CSES</t>
        </is>
      </c>
      <c r="B107" s="27" t="inlineStr">
        <is>
          <t>Core Self-Evaluations Scale</t>
        </is>
      </c>
      <c r="C107" s="27" t="inlineStr">
        <is>
          <t>3. Adjacent occupational and wellbeing</t>
        </is>
      </c>
      <c r="D107" s="28" t="n">
        <v>10</v>
      </c>
      <c r="E107" s="27" t="inlineStr">
        <is>
          <t>I do not feel in control of my success in my career.</t>
        </is>
      </c>
      <c r="F107" s="27" t="inlineStr">
        <is>
          <t>Core Self-Evaluations (total scale, unidimensional)</t>
        </is>
      </c>
      <c r="G107" s="34" t="inlineStr">
        <is>
          <t>TRUE</t>
        </is>
      </c>
      <c r="H107" s="27" t="inlineStr">
        <is>
          <t>FALSE</t>
        </is>
      </c>
      <c r="I107" s="27" t="inlineStr">
        <is>
          <t>Strongly Disagree = 1 | Disagree = 2 | Neutral = 3 | Agree = 4 | Strongly Agree = 5</t>
        </is>
      </c>
      <c r="J107" s="27" t="n"/>
      <c r="K107" s="27" t="inlineStr">
        <is>
          <t>http://ionilies.com/SIOP03/Files/CSES.pdf</t>
        </is>
      </c>
    </row>
    <row r="108" ht="23.85" customHeight="1" s="17">
      <c r="A108" s="27" t="inlineStr">
        <is>
          <t>CSES</t>
        </is>
      </c>
      <c r="B108" s="27" t="inlineStr">
        <is>
          <t>Core Self-Evaluations Scale</t>
        </is>
      </c>
      <c r="C108" s="27" t="inlineStr">
        <is>
          <t>3. Adjacent occupational and wellbeing</t>
        </is>
      </c>
      <c r="D108" s="28" t="n">
        <v>11</v>
      </c>
      <c r="E108" s="27" t="inlineStr">
        <is>
          <t>I am capable of coping with most of my problems.</t>
        </is>
      </c>
      <c r="F108" s="27" t="inlineStr">
        <is>
          <t>Core Self-Evaluations (total scale, unidimensional)</t>
        </is>
      </c>
      <c r="G108" s="27" t="inlineStr">
        <is>
          <t>FALSE</t>
        </is>
      </c>
      <c r="H108" s="27" t="inlineStr">
        <is>
          <t>FALSE</t>
        </is>
      </c>
      <c r="I108" s="27" t="inlineStr">
        <is>
          <t>Strongly Disagree = 1 | Disagree = 2 | Neutral = 3 | Agree = 4 | Strongly Agree = 5</t>
        </is>
      </c>
      <c r="J108" s="27" t="n"/>
      <c r="K108" s="27" t="inlineStr">
        <is>
          <t>http://ionilies.com/SIOP03/Files/CSES.pdf</t>
        </is>
      </c>
    </row>
    <row r="109" ht="23.85" customHeight="1" s="17">
      <c r="A109" s="27" t="inlineStr">
        <is>
          <t>CSES</t>
        </is>
      </c>
      <c r="B109" s="27" t="inlineStr">
        <is>
          <t>Core Self-Evaluations Scale</t>
        </is>
      </c>
      <c r="C109" s="27" t="inlineStr">
        <is>
          <t>3. Adjacent occupational and wellbeing</t>
        </is>
      </c>
      <c r="D109" s="28" t="n">
        <v>12</v>
      </c>
      <c r="E109" s="27" t="inlineStr">
        <is>
          <t>There are times when things look pretty bleak and hopeless to me.</t>
        </is>
      </c>
      <c r="F109" s="27" t="inlineStr">
        <is>
          <t>Core Self-Evaluations (total scale, unidimensional)</t>
        </is>
      </c>
      <c r="G109" s="34" t="inlineStr">
        <is>
          <t>TRUE</t>
        </is>
      </c>
      <c r="H109" s="27" t="inlineStr">
        <is>
          <t>FALSE</t>
        </is>
      </c>
      <c r="I109" s="27" t="inlineStr">
        <is>
          <t>Strongly Disagree = 1 | Disagree = 2 | Neutral = 3 | Agree = 4 | Strongly Agree = 5</t>
        </is>
      </c>
      <c r="J109" s="27" t="inlineStr">
        <is>
          <t>Touches on hopelessness; use sensitively with clients where wellbeing is a live concern.</t>
        </is>
      </c>
      <c r="K109" s="27" t="inlineStr">
        <is>
          <t>http://ionilies.com/SIOP03/Files/CSES.pdf</t>
        </is>
      </c>
    </row>
    <row r="110" ht="35.05" customHeight="1" s="17">
      <c r="A110" s="27" t="inlineStr">
        <is>
          <t>PES</t>
        </is>
      </c>
      <c r="B110" s="27" t="inlineStr">
        <is>
          <t>Psychological Empowerment Scale</t>
        </is>
      </c>
      <c r="C110" s="27" t="inlineStr">
        <is>
          <t>3. Adjacent occupational and wellbeing</t>
        </is>
      </c>
      <c r="D110" s="28" t="n">
        <v>1</v>
      </c>
      <c r="E110" s="27" t="inlineStr">
        <is>
          <t>The work that I do is important to me.</t>
        </is>
      </c>
      <c r="F110" s="27" t="inlineStr">
        <is>
          <t>Meaning</t>
        </is>
      </c>
      <c r="G110" s="27" t="inlineStr">
        <is>
          <t>FALSE</t>
        </is>
      </c>
      <c r="H110" s="27" t="inlineStr">
        <is>
          <t>FALSE</t>
        </is>
      </c>
      <c r="I110" s="27" t="inlineStr">
        <is>
          <t>Very Strongly Disagree = 1 | Strongly Disagree = 2 | Disagree = 3 | Neutral = 4 | Agree = 5 | Strongly Agree = 6 | Very Strongly Agree = 7</t>
        </is>
      </c>
      <c r="J110" s="27" t="n"/>
      <c r="K110" s="27" t="inlineStr">
        <is>
          <t>https://webuser.bus.umich.edu/spreitze/Pdfs/EmpowerInstrument.pdf</t>
        </is>
      </c>
    </row>
    <row r="111" ht="35.05" customHeight="1" s="17">
      <c r="A111" s="27" t="inlineStr">
        <is>
          <t>PES</t>
        </is>
      </c>
      <c r="B111" s="27" t="inlineStr">
        <is>
          <t>Psychological Empowerment Scale</t>
        </is>
      </c>
      <c r="C111" s="27" t="inlineStr">
        <is>
          <t>3. Adjacent occupational and wellbeing</t>
        </is>
      </c>
      <c r="D111" s="28" t="n">
        <v>2</v>
      </c>
      <c r="E111" s="27" t="inlineStr">
        <is>
          <t>My job activities are personally meaningful to me.</t>
        </is>
      </c>
      <c r="F111" s="27" t="inlineStr">
        <is>
          <t>Meaning</t>
        </is>
      </c>
      <c r="G111" s="27" t="inlineStr">
        <is>
          <t>FALSE</t>
        </is>
      </c>
      <c r="H111" s="27" t="inlineStr">
        <is>
          <t>FALSE</t>
        </is>
      </c>
      <c r="I111" s="27" t="inlineStr">
        <is>
          <t>Very Strongly Disagree = 1 | Strongly Disagree = 2 | Disagree = 3 | Neutral = 4 | Agree = 5 | Strongly Agree = 6 | Very Strongly Agree = 7</t>
        </is>
      </c>
      <c r="J111" s="27" t="n"/>
      <c r="K111" s="27" t="inlineStr">
        <is>
          <t>https://webuser.bus.umich.edu/spreitze/Pdfs/EmpowerInstrument.pdf</t>
        </is>
      </c>
    </row>
    <row r="112" ht="35.05" customHeight="1" s="17">
      <c r="A112" s="27" t="inlineStr">
        <is>
          <t>PES</t>
        </is>
      </c>
      <c r="B112" s="27" t="inlineStr">
        <is>
          <t>Psychological Empowerment Scale</t>
        </is>
      </c>
      <c r="C112" s="27" t="inlineStr">
        <is>
          <t>3. Adjacent occupational and wellbeing</t>
        </is>
      </c>
      <c r="D112" s="28" t="n">
        <v>3</v>
      </c>
      <c r="E112" s="27" t="inlineStr">
        <is>
          <t>The work I do is meaningful to me.</t>
        </is>
      </c>
      <c r="F112" s="27" t="inlineStr">
        <is>
          <t>Meaning</t>
        </is>
      </c>
      <c r="G112" s="27" t="inlineStr">
        <is>
          <t>FALSE</t>
        </is>
      </c>
      <c r="H112" s="27" t="inlineStr">
        <is>
          <t>FALSE</t>
        </is>
      </c>
      <c r="I112" s="27" t="inlineStr">
        <is>
          <t>Very Strongly Disagree = 1 | Strongly Disagree = 2 | Disagree = 3 | Neutral = 4 | Agree = 5 | Strongly Agree = 6 | Very Strongly Agree = 7</t>
        </is>
      </c>
      <c r="J112" s="27" t="n"/>
      <c r="K112" s="27" t="inlineStr">
        <is>
          <t>https://webuser.bus.umich.edu/spreitze/Pdfs/EmpowerInstrument.pdf</t>
        </is>
      </c>
    </row>
    <row r="113" ht="35.05" customHeight="1" s="17">
      <c r="A113" s="27" t="inlineStr">
        <is>
          <t>PES</t>
        </is>
      </c>
      <c r="B113" s="27" t="inlineStr">
        <is>
          <t>Psychological Empowerment Scale</t>
        </is>
      </c>
      <c r="C113" s="27" t="inlineStr">
        <is>
          <t>3. Adjacent occupational and wellbeing</t>
        </is>
      </c>
      <c r="D113" s="28" t="n">
        <v>4</v>
      </c>
      <c r="E113" s="27" t="inlineStr">
        <is>
          <t>I am confident about my ability to do my job.</t>
        </is>
      </c>
      <c r="F113" s="27" t="inlineStr">
        <is>
          <t>Competence</t>
        </is>
      </c>
      <c r="G113" s="27" t="inlineStr">
        <is>
          <t>FALSE</t>
        </is>
      </c>
      <c r="H113" s="27" t="inlineStr">
        <is>
          <t>FALSE</t>
        </is>
      </c>
      <c r="I113" s="27" t="inlineStr">
        <is>
          <t>Very Strongly Disagree = 1 | Strongly Disagree = 2 | Disagree = 3 | Neutral = 4 | Agree = 5 | Strongly Agree = 6 | Very Strongly Agree = 7</t>
        </is>
      </c>
      <c r="J113" s="27" t="n"/>
      <c r="K113" s="27" t="inlineStr">
        <is>
          <t>https://webuser.bus.umich.edu/spreitze/Pdfs/EmpowerInstrument.pdf</t>
        </is>
      </c>
    </row>
    <row r="114" ht="35.05" customHeight="1" s="17">
      <c r="A114" s="27" t="inlineStr">
        <is>
          <t>PES</t>
        </is>
      </c>
      <c r="B114" s="27" t="inlineStr">
        <is>
          <t>Psychological Empowerment Scale</t>
        </is>
      </c>
      <c r="C114" s="27" t="inlineStr">
        <is>
          <t>3. Adjacent occupational and wellbeing</t>
        </is>
      </c>
      <c r="D114" s="28" t="n">
        <v>5</v>
      </c>
      <c r="E114" s="27" t="inlineStr">
        <is>
          <t>I have mastered the skills necessary for my job.</t>
        </is>
      </c>
      <c r="F114" s="27" t="inlineStr">
        <is>
          <t>Competence</t>
        </is>
      </c>
      <c r="G114" s="27" t="inlineStr">
        <is>
          <t>FALSE</t>
        </is>
      </c>
      <c r="H114" s="27" t="inlineStr">
        <is>
          <t>FALSE</t>
        </is>
      </c>
      <c r="I114" s="27" t="inlineStr">
        <is>
          <t>Very Strongly Disagree = 1 | Strongly Disagree = 2 | Disagree = 3 | Neutral = 4 | Agree = 5 | Strongly Agree = 6 | Very Strongly Agree = 7</t>
        </is>
      </c>
      <c r="J114" s="27" t="n"/>
      <c r="K114" s="27" t="inlineStr">
        <is>
          <t>https://webuser.bus.umich.edu/spreitze/Pdfs/EmpowerInstrument.pdf</t>
        </is>
      </c>
    </row>
    <row r="115" ht="35.05" customHeight="1" s="17">
      <c r="A115" s="27" t="inlineStr">
        <is>
          <t>PES</t>
        </is>
      </c>
      <c r="B115" s="27" t="inlineStr">
        <is>
          <t>Psychological Empowerment Scale</t>
        </is>
      </c>
      <c r="C115" s="27" t="inlineStr">
        <is>
          <t>3. Adjacent occupational and wellbeing</t>
        </is>
      </c>
      <c r="D115" s="28" t="n">
        <v>6</v>
      </c>
      <c r="E115" s="27" t="inlineStr">
        <is>
          <t>I am self-assured about my capabilities to perform my work activities.</t>
        </is>
      </c>
      <c r="F115" s="27" t="inlineStr">
        <is>
          <t>Competence</t>
        </is>
      </c>
      <c r="G115" s="27" t="inlineStr">
        <is>
          <t>FALSE</t>
        </is>
      </c>
      <c r="H115" s="27" t="inlineStr">
        <is>
          <t>FALSE</t>
        </is>
      </c>
      <c r="I115" s="27" t="inlineStr">
        <is>
          <t>Very Strongly Disagree = 1 | Strongly Disagree = 2 | Disagree = 3 | Neutral = 4 | Agree = 5 | Strongly Agree = 6 | Very Strongly Agree = 7</t>
        </is>
      </c>
      <c r="J115" s="27" t="n"/>
      <c r="K115" s="27" t="inlineStr">
        <is>
          <t>https://webuser.bus.umich.edu/spreitze/Pdfs/EmpowerInstrument.pdf</t>
        </is>
      </c>
    </row>
    <row r="116" ht="35.05" customHeight="1" s="17">
      <c r="A116" s="27" t="inlineStr">
        <is>
          <t>PES</t>
        </is>
      </c>
      <c r="B116" s="27" t="inlineStr">
        <is>
          <t>Psychological Empowerment Scale</t>
        </is>
      </c>
      <c r="C116" s="27" t="inlineStr">
        <is>
          <t>3. Adjacent occupational and wellbeing</t>
        </is>
      </c>
      <c r="D116" s="28" t="n">
        <v>7</v>
      </c>
      <c r="E116" s="27" t="inlineStr">
        <is>
          <t>I have significant autonomy in determining how I do my job.</t>
        </is>
      </c>
      <c r="F116" s="27" t="inlineStr">
        <is>
          <t>Self-Determination</t>
        </is>
      </c>
      <c r="G116" s="27" t="inlineStr">
        <is>
          <t>FALSE</t>
        </is>
      </c>
      <c r="H116" s="27" t="inlineStr">
        <is>
          <t>FALSE</t>
        </is>
      </c>
      <c r="I116" s="27" t="inlineStr">
        <is>
          <t>Very Strongly Disagree = 1 | Strongly Disagree = 2 | Disagree = 3 | Neutral = 4 | Agree = 5 | Strongly Agree = 6 | Very Strongly Agree = 7</t>
        </is>
      </c>
      <c r="J116" s="27" t="n"/>
      <c r="K116" s="27" t="inlineStr">
        <is>
          <t>https://webuser.bus.umich.edu/spreitze/Pdfs/EmpowerInstrument.pdf</t>
        </is>
      </c>
    </row>
    <row r="117" ht="35.05" customHeight="1" s="17">
      <c r="A117" s="27" t="inlineStr">
        <is>
          <t>PES</t>
        </is>
      </c>
      <c r="B117" s="27" t="inlineStr">
        <is>
          <t>Psychological Empowerment Scale</t>
        </is>
      </c>
      <c r="C117" s="27" t="inlineStr">
        <is>
          <t>3. Adjacent occupational and wellbeing</t>
        </is>
      </c>
      <c r="D117" s="28" t="n">
        <v>8</v>
      </c>
      <c r="E117" s="27" t="inlineStr">
        <is>
          <t>I can decide on my own how to go about doing my own work.</t>
        </is>
      </c>
      <c r="F117" s="27" t="inlineStr">
        <is>
          <t>Self-Determination</t>
        </is>
      </c>
      <c r="G117" s="27" t="inlineStr">
        <is>
          <t>FALSE</t>
        </is>
      </c>
      <c r="H117" s="27" t="inlineStr">
        <is>
          <t>FALSE</t>
        </is>
      </c>
      <c r="I117" s="27" t="inlineStr">
        <is>
          <t>Very Strongly Disagree = 1 | Strongly Disagree = 2 | Disagree = 3 | Neutral = 4 | Agree = 5 | Strongly Agree = 6 | Very Strongly Agree = 7</t>
        </is>
      </c>
      <c r="J117" s="27" t="n"/>
      <c r="K117" s="27" t="inlineStr">
        <is>
          <t>https://webuser.bus.umich.edu/spreitze/Pdfs/EmpowerInstrument.pdf</t>
        </is>
      </c>
    </row>
    <row r="118" ht="35.05" customHeight="1" s="17">
      <c r="A118" s="27" t="inlineStr">
        <is>
          <t>PES</t>
        </is>
      </c>
      <c r="B118" s="27" t="inlineStr">
        <is>
          <t>Psychological Empowerment Scale</t>
        </is>
      </c>
      <c r="C118" s="27" t="inlineStr">
        <is>
          <t>3. Adjacent occupational and wellbeing</t>
        </is>
      </c>
      <c r="D118" s="28" t="n">
        <v>9</v>
      </c>
      <c r="E118" s="27" t="inlineStr">
        <is>
          <t>I have considerable opportunity for independence and freedom in how I do my job.</t>
        </is>
      </c>
      <c r="F118" s="27" t="inlineStr">
        <is>
          <t>Self-Determination</t>
        </is>
      </c>
      <c r="G118" s="27" t="inlineStr">
        <is>
          <t>FALSE</t>
        </is>
      </c>
      <c r="H118" s="27" t="inlineStr">
        <is>
          <t>FALSE</t>
        </is>
      </c>
      <c r="I118" s="27" t="inlineStr">
        <is>
          <t>Very Strongly Disagree = 1 | Strongly Disagree = 2 | Disagree = 3 | Neutral = 4 | Agree = 5 | Strongly Agree = 6 | Very Strongly Agree = 7</t>
        </is>
      </c>
      <c r="J118" s="27" t="n"/>
      <c r="K118" s="27" t="inlineStr">
        <is>
          <t>https://webuser.bus.umich.edu/spreitze/Pdfs/EmpowerInstrument.pdf</t>
        </is>
      </c>
    </row>
    <row r="119" ht="35.05" customHeight="1" s="17">
      <c r="A119" s="27" t="inlineStr">
        <is>
          <t>PES</t>
        </is>
      </c>
      <c r="B119" s="27" t="inlineStr">
        <is>
          <t>Psychological Empowerment Scale</t>
        </is>
      </c>
      <c r="C119" s="27" t="inlineStr">
        <is>
          <t>3. Adjacent occupational and wellbeing</t>
        </is>
      </c>
      <c r="D119" s="28" t="n">
        <v>10</v>
      </c>
      <c r="E119" s="27" t="inlineStr">
        <is>
          <t>My impact on what happens in my department is large.</t>
        </is>
      </c>
      <c r="F119" s="27" t="inlineStr">
        <is>
          <t>Impact</t>
        </is>
      </c>
      <c r="G119" s="27" t="inlineStr">
        <is>
          <t>FALSE</t>
        </is>
      </c>
      <c r="H119" s="27" t="inlineStr">
        <is>
          <t>FALSE</t>
        </is>
      </c>
      <c r="I119" s="27" t="inlineStr">
        <is>
          <t>Very Strongly Disagree = 1 | Strongly Disagree = 2 | Disagree = 3 | Neutral = 4 | Agree = 5 | Strongly Agree = 6 | Very Strongly Agree = 7</t>
        </is>
      </c>
      <c r="J119" s="27" t="n"/>
      <c r="K119" s="27" t="inlineStr">
        <is>
          <t>https://webuser.bus.umich.edu/spreitze/Pdfs/EmpowerInstrument.pdf</t>
        </is>
      </c>
    </row>
    <row r="120" ht="35.05" customHeight="1" s="17">
      <c r="A120" s="27" t="inlineStr">
        <is>
          <t>PES</t>
        </is>
      </c>
      <c r="B120" s="27" t="inlineStr">
        <is>
          <t>Psychological Empowerment Scale</t>
        </is>
      </c>
      <c r="C120" s="27" t="inlineStr">
        <is>
          <t>3. Adjacent occupational and wellbeing</t>
        </is>
      </c>
      <c r="D120" s="28" t="n">
        <v>11</v>
      </c>
      <c r="E120" s="27" t="inlineStr">
        <is>
          <t>I have a great deal of control over what happens in my department.</t>
        </is>
      </c>
      <c r="F120" s="27" t="inlineStr">
        <is>
          <t>Impact</t>
        </is>
      </c>
      <c r="G120" s="27" t="inlineStr">
        <is>
          <t>FALSE</t>
        </is>
      </c>
      <c r="H120" s="27" t="inlineStr">
        <is>
          <t>FALSE</t>
        </is>
      </c>
      <c r="I120" s="27" t="inlineStr">
        <is>
          <t>Very Strongly Disagree = 1 | Strongly Disagree = 2 | Disagree = 3 | Neutral = 4 | Agree = 5 | Strongly Agree = 6 | Very Strongly Agree = 7</t>
        </is>
      </c>
      <c r="J120" s="27" t="n"/>
      <c r="K120" s="27" t="inlineStr">
        <is>
          <t>https://webuser.bus.umich.edu/spreitze/Pdfs/EmpowerInstrument.pdf</t>
        </is>
      </c>
    </row>
    <row r="121" ht="35.05" customHeight="1" s="17">
      <c r="A121" s="27" t="inlineStr">
        <is>
          <t>PES</t>
        </is>
      </c>
      <c r="B121" s="27" t="inlineStr">
        <is>
          <t>Psychological Empowerment Scale</t>
        </is>
      </c>
      <c r="C121" s="27" t="inlineStr">
        <is>
          <t>3. Adjacent occupational and wellbeing</t>
        </is>
      </c>
      <c r="D121" s="28" t="n">
        <v>12</v>
      </c>
      <c r="E121" s="27" t="inlineStr">
        <is>
          <t>I have significant influence over what happens in my department.</t>
        </is>
      </c>
      <c r="F121" s="27" t="inlineStr">
        <is>
          <t>Impact</t>
        </is>
      </c>
      <c r="G121" s="27" t="inlineStr">
        <is>
          <t>FALSE</t>
        </is>
      </c>
      <c r="H121" s="27" t="inlineStr">
        <is>
          <t>FALSE</t>
        </is>
      </c>
      <c r="I121" s="27" t="inlineStr">
        <is>
          <t>Very Strongly Disagree = 1 | Strongly Disagree = 2 | Disagree = 3 | Neutral = 4 | Agree = 5 | Strongly Agree = 6 | Very Strongly Agree = 7</t>
        </is>
      </c>
      <c r="J121" s="27" t="n"/>
      <c r="K121" s="27" t="inlineStr">
        <is>
          <t>https://webuser.bus.umich.edu/spreitze/Pdfs/EmpowerInstrument.pdf</t>
        </is>
      </c>
    </row>
    <row r="122" ht="46.25" customHeight="1" s="17">
      <c r="A122" s="27" t="inlineStr">
        <is>
          <t>DASS-21</t>
        </is>
      </c>
      <c r="B122" s="27" t="inlineStr">
        <is>
          <t>Depression Anxiety Stress Scales, 21 item version (DASS-21)</t>
        </is>
      </c>
      <c r="C122" s="27" t="inlineStr">
        <is>
          <t>4. Clinical and distress screening</t>
        </is>
      </c>
      <c r="D122" s="28" t="n">
        <v>1</v>
      </c>
      <c r="E122" s="27" t="inlineStr">
        <is>
          <t>I found it hard to wind down</t>
        </is>
      </c>
      <c r="F122" s="27" t="inlineStr">
        <is>
          <t>Stress</t>
        </is>
      </c>
      <c r="G122" s="27" t="inlineStr">
        <is>
          <t>FALSE</t>
        </is>
      </c>
      <c r="H122" s="27" t="inlineStr">
        <is>
          <t>FALSE</t>
        </is>
      </c>
      <c r="I122" s="27" t="inlineStr">
        <is>
          <t>Did not apply to me at all = 0 | Applied to me to some degree, or some of the time = 1 | Applied to me to a considerable degree, or a good part of time = 2 | Applied to me very much, or most of the time = 3</t>
        </is>
      </c>
      <c r="J122" s="27" t="n"/>
      <c r="K122" s="27" t="inlineStr">
        <is>
          <t>https://www2.psy.unsw.edu.au/dass/</t>
        </is>
      </c>
    </row>
    <row r="123" ht="46.25" customHeight="1" s="17">
      <c r="A123" s="27" t="inlineStr">
        <is>
          <t>DASS-21</t>
        </is>
      </c>
      <c r="B123" s="27" t="inlineStr">
        <is>
          <t>Depression Anxiety Stress Scales, 21 item version (DASS-21)</t>
        </is>
      </c>
      <c r="C123" s="27" t="inlineStr">
        <is>
          <t>4. Clinical and distress screening</t>
        </is>
      </c>
      <c r="D123" s="28" t="n">
        <v>2</v>
      </c>
      <c r="E123" s="27" t="inlineStr">
        <is>
          <t>I was aware of dryness of my mouth</t>
        </is>
      </c>
      <c r="F123" s="27" t="inlineStr">
        <is>
          <t>Anxiety</t>
        </is>
      </c>
      <c r="G123" s="27" t="inlineStr">
        <is>
          <t>FALSE</t>
        </is>
      </c>
      <c r="H123" s="27" t="inlineStr">
        <is>
          <t>FALSE</t>
        </is>
      </c>
      <c r="I123" s="27" t="inlineStr">
        <is>
          <t>Did not apply to me at all = 0 | Applied to me to some degree, or some of the time = 1 | Applied to me to a considerable degree, or a good part of time = 2 | Applied to me very much, or most of the time = 3</t>
        </is>
      </c>
      <c r="J123" s="27" t="n"/>
      <c r="K123" s="27" t="inlineStr">
        <is>
          <t>https://www2.psy.unsw.edu.au/dass/</t>
        </is>
      </c>
    </row>
    <row r="124" ht="46.25" customHeight="1" s="17">
      <c r="A124" s="27" t="inlineStr">
        <is>
          <t>DASS-21</t>
        </is>
      </c>
      <c r="B124" s="27" t="inlineStr">
        <is>
          <t>Depression Anxiety Stress Scales, 21 item version (DASS-21)</t>
        </is>
      </c>
      <c r="C124" s="27" t="inlineStr">
        <is>
          <t>4. Clinical and distress screening</t>
        </is>
      </c>
      <c r="D124" s="28" t="n">
        <v>3</v>
      </c>
      <c r="E124" s="27" t="inlineStr">
        <is>
          <t>I couldn't seem to experience any positive feeling at all</t>
        </is>
      </c>
      <c r="F124" s="27" t="inlineStr">
        <is>
          <t>Depression</t>
        </is>
      </c>
      <c r="G124" s="27" t="inlineStr">
        <is>
          <t>FALSE</t>
        </is>
      </c>
      <c r="H124" s="27" t="inlineStr">
        <is>
          <t>FALSE</t>
        </is>
      </c>
      <c r="I124" s="27" t="inlineStr">
        <is>
          <t>Did not apply to me at all = 0 | Applied to me to some degree, or some of the time = 1 | Applied to me to a considerable degree, or a good part of time = 2 | Applied to me very much, or most of the time = 3</t>
        </is>
      </c>
      <c r="J124" s="27" t="n"/>
      <c r="K124" s="27" t="inlineStr">
        <is>
          <t>https://www2.psy.unsw.edu.au/dass/</t>
        </is>
      </c>
    </row>
    <row r="125" ht="46.25" customHeight="1" s="17">
      <c r="A125" s="27" t="inlineStr">
        <is>
          <t>DASS-21</t>
        </is>
      </c>
      <c r="B125" s="27" t="inlineStr">
        <is>
          <t>Depression Anxiety Stress Scales, 21 item version (DASS-21)</t>
        </is>
      </c>
      <c r="C125" s="27" t="inlineStr">
        <is>
          <t>4. Clinical and distress screening</t>
        </is>
      </c>
      <c r="D125" s="28" t="n">
        <v>4</v>
      </c>
      <c r="E125" s="27" t="inlineStr">
        <is>
          <t>I experienced breathing difficulty (eg, excessively rapid breathing, breathlessness in the absence of physical exertion)</t>
        </is>
      </c>
      <c r="F125" s="27" t="inlineStr">
        <is>
          <t>Anxiety</t>
        </is>
      </c>
      <c r="G125" s="27" t="inlineStr">
        <is>
          <t>FALSE</t>
        </is>
      </c>
      <c r="H125" s="27" t="inlineStr">
        <is>
          <t>FALSE</t>
        </is>
      </c>
      <c r="I125" s="27" t="inlineStr">
        <is>
          <t>Did not apply to me at all = 0 | Applied to me to some degree, or some of the time = 1 | Applied to me to a considerable degree, or a good part of time = 2 | Applied to me very much, or most of the time = 3</t>
        </is>
      </c>
      <c r="J125" s="27" t="n"/>
      <c r="K125" s="27" t="inlineStr">
        <is>
          <t>https://www2.psy.unsw.edu.au/dass/</t>
        </is>
      </c>
    </row>
    <row r="126" ht="46.25" customHeight="1" s="17">
      <c r="A126" s="27" t="inlineStr">
        <is>
          <t>DASS-21</t>
        </is>
      </c>
      <c r="B126" s="27" t="inlineStr">
        <is>
          <t>Depression Anxiety Stress Scales, 21 item version (DASS-21)</t>
        </is>
      </c>
      <c r="C126" s="27" t="inlineStr">
        <is>
          <t>4. Clinical and distress screening</t>
        </is>
      </c>
      <c r="D126" s="28" t="n">
        <v>5</v>
      </c>
      <c r="E126" s="27" t="inlineStr">
        <is>
          <t>I found it difficult to work up the initiative to do things</t>
        </is>
      </c>
      <c r="F126" s="27" t="inlineStr">
        <is>
          <t>Depression</t>
        </is>
      </c>
      <c r="G126" s="27" t="inlineStr">
        <is>
          <t>FALSE</t>
        </is>
      </c>
      <c r="H126" s="27" t="inlineStr">
        <is>
          <t>FALSE</t>
        </is>
      </c>
      <c r="I126" s="27" t="inlineStr">
        <is>
          <t>Did not apply to me at all = 0 | Applied to me to some degree, or some of the time = 1 | Applied to me to a considerable degree, or a good part of time = 2 | Applied to me very much, or most of the time = 3</t>
        </is>
      </c>
      <c r="J126" s="27" t="n"/>
      <c r="K126" s="27" t="inlineStr">
        <is>
          <t>https://www2.psy.unsw.edu.au/dass/</t>
        </is>
      </c>
    </row>
    <row r="127" ht="46.25" customHeight="1" s="17">
      <c r="A127" s="27" t="inlineStr">
        <is>
          <t>DASS-21</t>
        </is>
      </c>
      <c r="B127" s="27" t="inlineStr">
        <is>
          <t>Depression Anxiety Stress Scales, 21 item version (DASS-21)</t>
        </is>
      </c>
      <c r="C127" s="27" t="inlineStr">
        <is>
          <t>4. Clinical and distress screening</t>
        </is>
      </c>
      <c r="D127" s="28" t="n">
        <v>6</v>
      </c>
      <c r="E127" s="27" t="inlineStr">
        <is>
          <t>I tended to over-react to situations</t>
        </is>
      </c>
      <c r="F127" s="27" t="inlineStr">
        <is>
          <t>Stress</t>
        </is>
      </c>
      <c r="G127" s="27" t="inlineStr">
        <is>
          <t>FALSE</t>
        </is>
      </c>
      <c r="H127" s="27" t="inlineStr">
        <is>
          <t>FALSE</t>
        </is>
      </c>
      <c r="I127" s="27" t="inlineStr">
        <is>
          <t>Did not apply to me at all = 0 | Applied to me to some degree, or some of the time = 1 | Applied to me to a considerable degree, or a good part of time = 2 | Applied to me very much, or most of the time = 3</t>
        </is>
      </c>
      <c r="J127" s="27" t="n"/>
      <c r="K127" s="27" t="inlineStr">
        <is>
          <t>https://www2.psy.unsw.edu.au/dass/</t>
        </is>
      </c>
    </row>
    <row r="128" ht="46.25" customHeight="1" s="17">
      <c r="A128" s="27" t="inlineStr">
        <is>
          <t>DASS-21</t>
        </is>
      </c>
      <c r="B128" s="27" t="inlineStr">
        <is>
          <t>Depression Anxiety Stress Scales, 21 item version (DASS-21)</t>
        </is>
      </c>
      <c r="C128" s="27" t="inlineStr">
        <is>
          <t>4. Clinical and distress screening</t>
        </is>
      </c>
      <c r="D128" s="28" t="n">
        <v>7</v>
      </c>
      <c r="E128" s="27" t="inlineStr">
        <is>
          <t>I experienced trembling (eg, in the hands)</t>
        </is>
      </c>
      <c r="F128" s="27" t="inlineStr">
        <is>
          <t>Anxiety</t>
        </is>
      </c>
      <c r="G128" s="27" t="inlineStr">
        <is>
          <t>FALSE</t>
        </is>
      </c>
      <c r="H128" s="27" t="inlineStr">
        <is>
          <t>FALSE</t>
        </is>
      </c>
      <c r="I128" s="27" t="inlineStr">
        <is>
          <t>Did not apply to me at all = 0 | Applied to me to some degree, or some of the time = 1 | Applied to me to a considerable degree, or a good part of time = 2 | Applied to me very much, or most of the time = 3</t>
        </is>
      </c>
      <c r="J128" s="27" t="n"/>
      <c r="K128" s="27" t="inlineStr">
        <is>
          <t>https://www2.psy.unsw.edu.au/dass/</t>
        </is>
      </c>
    </row>
    <row r="129" ht="46.25" customHeight="1" s="17">
      <c r="A129" s="27" t="inlineStr">
        <is>
          <t>DASS-21</t>
        </is>
      </c>
      <c r="B129" s="27" t="inlineStr">
        <is>
          <t>Depression Anxiety Stress Scales, 21 item version (DASS-21)</t>
        </is>
      </c>
      <c r="C129" s="27" t="inlineStr">
        <is>
          <t>4. Clinical and distress screening</t>
        </is>
      </c>
      <c r="D129" s="28" t="n">
        <v>8</v>
      </c>
      <c r="E129" s="27" t="inlineStr">
        <is>
          <t>I felt that I was using a lot of nervous energy</t>
        </is>
      </c>
      <c r="F129" s="27" t="inlineStr">
        <is>
          <t>Stress</t>
        </is>
      </c>
      <c r="G129" s="27" t="inlineStr">
        <is>
          <t>FALSE</t>
        </is>
      </c>
      <c r="H129" s="27" t="inlineStr">
        <is>
          <t>FALSE</t>
        </is>
      </c>
      <c r="I129" s="27" t="inlineStr">
        <is>
          <t>Did not apply to me at all = 0 | Applied to me to some degree, or some of the time = 1 | Applied to me to a considerable degree, or a good part of time = 2 | Applied to me very much, or most of the time = 3</t>
        </is>
      </c>
      <c r="J129" s="27" t="n"/>
      <c r="K129" s="27" t="inlineStr">
        <is>
          <t>https://www2.psy.unsw.edu.au/dass/</t>
        </is>
      </c>
    </row>
    <row r="130" ht="46.25" customHeight="1" s="17">
      <c r="A130" s="27" t="inlineStr">
        <is>
          <t>DASS-21</t>
        </is>
      </c>
      <c r="B130" s="27" t="inlineStr">
        <is>
          <t>Depression Anxiety Stress Scales, 21 item version (DASS-21)</t>
        </is>
      </c>
      <c r="C130" s="27" t="inlineStr">
        <is>
          <t>4. Clinical and distress screening</t>
        </is>
      </c>
      <c r="D130" s="28" t="n">
        <v>9</v>
      </c>
      <c r="E130" s="27" t="inlineStr">
        <is>
          <t>I was worried about situations in which I might panic and make a fool of myself</t>
        </is>
      </c>
      <c r="F130" s="27" t="inlineStr">
        <is>
          <t>Anxiety</t>
        </is>
      </c>
      <c r="G130" s="27" t="inlineStr">
        <is>
          <t>FALSE</t>
        </is>
      </c>
      <c r="H130" s="27" t="inlineStr">
        <is>
          <t>FALSE</t>
        </is>
      </c>
      <c r="I130" s="27" t="inlineStr">
        <is>
          <t>Did not apply to me at all = 0 | Applied to me to some degree, or some of the time = 1 | Applied to me to a considerable degree, or a good part of time = 2 | Applied to me very much, or most of the time = 3</t>
        </is>
      </c>
      <c r="J130" s="27" t="n"/>
      <c r="K130" s="27" t="inlineStr">
        <is>
          <t>https://www2.psy.unsw.edu.au/dass/</t>
        </is>
      </c>
    </row>
    <row r="131" ht="46.25" customHeight="1" s="17">
      <c r="A131" s="27" t="inlineStr">
        <is>
          <t>DASS-21</t>
        </is>
      </c>
      <c r="B131" s="27" t="inlineStr">
        <is>
          <t>Depression Anxiety Stress Scales, 21 item version (DASS-21)</t>
        </is>
      </c>
      <c r="C131" s="27" t="inlineStr">
        <is>
          <t>4. Clinical and distress screening</t>
        </is>
      </c>
      <c r="D131" s="28" t="n">
        <v>10</v>
      </c>
      <c r="E131" s="27" t="inlineStr">
        <is>
          <t>I felt that I had nothing to look forward to</t>
        </is>
      </c>
      <c r="F131" s="27" t="inlineStr">
        <is>
          <t>Depression</t>
        </is>
      </c>
      <c r="G131" s="27" t="inlineStr">
        <is>
          <t>FALSE</t>
        </is>
      </c>
      <c r="H131" s="27" t="inlineStr">
        <is>
          <t>FALSE</t>
        </is>
      </c>
      <c r="I131" s="27" t="inlineStr">
        <is>
          <t>Did not apply to me at all = 0 | Applied to me to some degree, or some of the time = 1 | Applied to me to a considerable degree, or a good part of time = 2 | Applied to me very much, or most of the time = 3</t>
        </is>
      </c>
      <c r="J131" s="27" t="inlineStr">
        <is>
          <t>Followed up directly when endorsed at 2 or 3 (practice protocol).</t>
        </is>
      </c>
      <c r="K131" s="27" t="inlineStr">
        <is>
          <t>https://www2.psy.unsw.edu.au/dass/</t>
        </is>
      </c>
    </row>
    <row r="132" ht="46.25" customHeight="1" s="17">
      <c r="A132" s="27" t="inlineStr">
        <is>
          <t>DASS-21</t>
        </is>
      </c>
      <c r="B132" s="27" t="inlineStr">
        <is>
          <t>Depression Anxiety Stress Scales, 21 item version (DASS-21)</t>
        </is>
      </c>
      <c r="C132" s="27" t="inlineStr">
        <is>
          <t>4. Clinical and distress screening</t>
        </is>
      </c>
      <c r="D132" s="28" t="n">
        <v>11</v>
      </c>
      <c r="E132" s="27" t="inlineStr">
        <is>
          <t>I found myself getting agitated</t>
        </is>
      </c>
      <c r="F132" s="27" t="inlineStr">
        <is>
          <t>Stress</t>
        </is>
      </c>
      <c r="G132" s="27" t="inlineStr">
        <is>
          <t>FALSE</t>
        </is>
      </c>
      <c r="H132" s="27" t="inlineStr">
        <is>
          <t>FALSE</t>
        </is>
      </c>
      <c r="I132" s="27" t="inlineStr">
        <is>
          <t>Did not apply to me at all = 0 | Applied to me to some degree, or some of the time = 1 | Applied to me to a considerable degree, or a good part of time = 2 | Applied to me very much, or most of the time = 3</t>
        </is>
      </c>
      <c r="J132" s="27" t="n"/>
      <c r="K132" s="27" t="inlineStr">
        <is>
          <t>https://www2.psy.unsw.edu.au/dass/</t>
        </is>
      </c>
    </row>
    <row r="133" ht="46.25" customHeight="1" s="17">
      <c r="A133" s="27" t="inlineStr">
        <is>
          <t>DASS-21</t>
        </is>
      </c>
      <c r="B133" s="27" t="inlineStr">
        <is>
          <t>Depression Anxiety Stress Scales, 21 item version (DASS-21)</t>
        </is>
      </c>
      <c r="C133" s="27" t="inlineStr">
        <is>
          <t>4. Clinical and distress screening</t>
        </is>
      </c>
      <c r="D133" s="28" t="n">
        <v>12</v>
      </c>
      <c r="E133" s="27" t="inlineStr">
        <is>
          <t>I found it difficult to relax</t>
        </is>
      </c>
      <c r="F133" s="27" t="inlineStr">
        <is>
          <t>Stress</t>
        </is>
      </c>
      <c r="G133" s="27" t="inlineStr">
        <is>
          <t>FALSE</t>
        </is>
      </c>
      <c r="H133" s="27" t="inlineStr">
        <is>
          <t>FALSE</t>
        </is>
      </c>
      <c r="I133" s="27" t="inlineStr">
        <is>
          <t>Did not apply to me at all = 0 | Applied to me to some degree, or some of the time = 1 | Applied to me to a considerable degree, or a good part of time = 2 | Applied to me very much, or most of the time = 3</t>
        </is>
      </c>
      <c r="J133" s="27" t="n"/>
      <c r="K133" s="27" t="inlineStr">
        <is>
          <t>https://www2.psy.unsw.edu.au/dass/</t>
        </is>
      </c>
    </row>
    <row r="134" ht="46.25" customHeight="1" s="17">
      <c r="A134" s="27" t="inlineStr">
        <is>
          <t>DASS-21</t>
        </is>
      </c>
      <c r="B134" s="27" t="inlineStr">
        <is>
          <t>Depression Anxiety Stress Scales, 21 item version (DASS-21)</t>
        </is>
      </c>
      <c r="C134" s="27" t="inlineStr">
        <is>
          <t>4. Clinical and distress screening</t>
        </is>
      </c>
      <c r="D134" s="28" t="n">
        <v>13</v>
      </c>
      <c r="E134" s="27" t="inlineStr">
        <is>
          <t>I felt down-hearted and blue</t>
        </is>
      </c>
      <c r="F134" s="27" t="inlineStr">
        <is>
          <t>Depression</t>
        </is>
      </c>
      <c r="G134" s="27" t="inlineStr">
        <is>
          <t>FALSE</t>
        </is>
      </c>
      <c r="H134" s="27" t="inlineStr">
        <is>
          <t>FALSE</t>
        </is>
      </c>
      <c r="I134" s="27" t="inlineStr">
        <is>
          <t>Did not apply to me at all = 0 | Applied to me to some degree, or some of the time = 1 | Applied to me to a considerable degree, or a good part of time = 2 | Applied to me very much, or most of the time = 3</t>
        </is>
      </c>
      <c r="J134" s="27" t="n"/>
      <c r="K134" s="27" t="inlineStr">
        <is>
          <t>https://www2.psy.unsw.edu.au/dass/</t>
        </is>
      </c>
    </row>
    <row r="135" ht="46.25" customHeight="1" s="17">
      <c r="A135" s="27" t="inlineStr">
        <is>
          <t>DASS-21</t>
        </is>
      </c>
      <c r="B135" s="27" t="inlineStr">
        <is>
          <t>Depression Anxiety Stress Scales, 21 item version (DASS-21)</t>
        </is>
      </c>
      <c r="C135" s="27" t="inlineStr">
        <is>
          <t>4. Clinical and distress screening</t>
        </is>
      </c>
      <c r="D135" s="28" t="n">
        <v>14</v>
      </c>
      <c r="E135" s="27" t="inlineStr">
        <is>
          <t>I was intolerant of anything that kept me from getting on with what I was doing</t>
        </is>
      </c>
      <c r="F135" s="27" t="inlineStr">
        <is>
          <t>Stress</t>
        </is>
      </c>
      <c r="G135" s="27" t="inlineStr">
        <is>
          <t>FALSE</t>
        </is>
      </c>
      <c r="H135" s="27" t="inlineStr">
        <is>
          <t>FALSE</t>
        </is>
      </c>
      <c r="I135" s="27" t="inlineStr">
        <is>
          <t>Did not apply to me at all = 0 | Applied to me to some degree, or some of the time = 1 | Applied to me to a considerable degree, or a good part of time = 2 | Applied to me very much, or most of the time = 3</t>
        </is>
      </c>
      <c r="J135" s="27" t="n"/>
      <c r="K135" s="27" t="inlineStr">
        <is>
          <t>https://www2.psy.unsw.edu.au/dass/</t>
        </is>
      </c>
    </row>
    <row r="136" ht="46.25" customHeight="1" s="17">
      <c r="A136" s="27" t="inlineStr">
        <is>
          <t>DASS-21</t>
        </is>
      </c>
      <c r="B136" s="27" t="inlineStr">
        <is>
          <t>Depression Anxiety Stress Scales, 21 item version (DASS-21)</t>
        </is>
      </c>
      <c r="C136" s="27" t="inlineStr">
        <is>
          <t>4. Clinical and distress screening</t>
        </is>
      </c>
      <c r="D136" s="28" t="n">
        <v>15</v>
      </c>
      <c r="E136" s="27" t="inlineStr">
        <is>
          <t>I felt I was close to panic</t>
        </is>
      </c>
      <c r="F136" s="27" t="inlineStr">
        <is>
          <t>Anxiety</t>
        </is>
      </c>
      <c r="G136" s="27" t="inlineStr">
        <is>
          <t>FALSE</t>
        </is>
      </c>
      <c r="H136" s="27" t="inlineStr">
        <is>
          <t>FALSE</t>
        </is>
      </c>
      <c r="I136" s="27" t="inlineStr">
        <is>
          <t>Did not apply to me at all = 0 | Applied to me to some degree, or some of the time = 1 | Applied to me to a considerable degree, or a good part of time = 2 | Applied to me very much, or most of the time = 3</t>
        </is>
      </c>
      <c r="J136" s="27" t="n"/>
      <c r="K136" s="27" t="inlineStr">
        <is>
          <t>https://www2.psy.unsw.edu.au/dass/</t>
        </is>
      </c>
    </row>
    <row r="137" ht="46.25" customHeight="1" s="17">
      <c r="A137" s="27" t="inlineStr">
        <is>
          <t>DASS-21</t>
        </is>
      </c>
      <c r="B137" s="27" t="inlineStr">
        <is>
          <t>Depression Anxiety Stress Scales, 21 item version (DASS-21)</t>
        </is>
      </c>
      <c r="C137" s="27" t="inlineStr">
        <is>
          <t>4. Clinical and distress screening</t>
        </is>
      </c>
      <c r="D137" s="28" t="n">
        <v>16</v>
      </c>
      <c r="E137" s="27" t="inlineStr">
        <is>
          <t>I was unable to become enthusiastic about anything</t>
        </is>
      </c>
      <c r="F137" s="27" t="inlineStr">
        <is>
          <t>Depression</t>
        </is>
      </c>
      <c r="G137" s="27" t="inlineStr">
        <is>
          <t>FALSE</t>
        </is>
      </c>
      <c r="H137" s="27" t="inlineStr">
        <is>
          <t>FALSE</t>
        </is>
      </c>
      <c r="I137" s="27" t="inlineStr">
        <is>
          <t>Did not apply to me at all = 0 | Applied to me to some degree, or some of the time = 1 | Applied to me to a considerable degree, or a good part of time = 2 | Applied to me very much, or most of the time = 3</t>
        </is>
      </c>
      <c r="J137" s="27" t="n"/>
      <c r="K137" s="27" t="inlineStr">
        <is>
          <t>https://www2.psy.unsw.edu.au/dass/</t>
        </is>
      </c>
    </row>
    <row r="138" ht="46.25" customHeight="1" s="17">
      <c r="A138" s="27" t="inlineStr">
        <is>
          <t>DASS-21</t>
        </is>
      </c>
      <c r="B138" s="27" t="inlineStr">
        <is>
          <t>Depression Anxiety Stress Scales, 21 item version (DASS-21)</t>
        </is>
      </c>
      <c r="C138" s="27" t="inlineStr">
        <is>
          <t>4. Clinical and distress screening</t>
        </is>
      </c>
      <c r="D138" s="28" t="n">
        <v>17</v>
      </c>
      <c r="E138" s="27" t="inlineStr">
        <is>
          <t>I felt I wasn't worth much as a person</t>
        </is>
      </c>
      <c r="F138" s="27" t="inlineStr">
        <is>
          <t>Depression</t>
        </is>
      </c>
      <c r="G138" s="27" t="inlineStr">
        <is>
          <t>FALSE</t>
        </is>
      </c>
      <c r="H138" s="27" t="inlineStr">
        <is>
          <t>FALSE</t>
        </is>
      </c>
      <c r="I138" s="27" t="inlineStr">
        <is>
          <t>Did not apply to me at all = 0 | Applied to me to some degree, or some of the time = 1 | Applied to me to a considerable degree, or a good part of time = 2 | Applied to me very much, or most of the time = 3</t>
        </is>
      </c>
      <c r="J138" s="27" t="inlineStr">
        <is>
          <t>Followed up directly when endorsed at 2 or 3 (practice protocol).</t>
        </is>
      </c>
      <c r="K138" s="27" t="inlineStr">
        <is>
          <t>https://www2.psy.unsw.edu.au/dass/</t>
        </is>
      </c>
    </row>
    <row r="139" ht="46.25" customHeight="1" s="17">
      <c r="A139" s="27" t="inlineStr">
        <is>
          <t>DASS-21</t>
        </is>
      </c>
      <c r="B139" s="27" t="inlineStr">
        <is>
          <t>Depression Anxiety Stress Scales, 21 item version (DASS-21)</t>
        </is>
      </c>
      <c r="C139" s="27" t="inlineStr">
        <is>
          <t>4. Clinical and distress screening</t>
        </is>
      </c>
      <c r="D139" s="28" t="n">
        <v>18</v>
      </c>
      <c r="E139" s="27" t="inlineStr">
        <is>
          <t>I felt that I was rather touchy</t>
        </is>
      </c>
      <c r="F139" s="27" t="inlineStr">
        <is>
          <t>Stress</t>
        </is>
      </c>
      <c r="G139" s="27" t="inlineStr">
        <is>
          <t>FALSE</t>
        </is>
      </c>
      <c r="H139" s="27" t="inlineStr">
        <is>
          <t>FALSE</t>
        </is>
      </c>
      <c r="I139" s="27" t="inlineStr">
        <is>
          <t>Did not apply to me at all = 0 | Applied to me to some degree, or some of the time = 1 | Applied to me to a considerable degree, or a good part of time = 2 | Applied to me very much, or most of the time = 3</t>
        </is>
      </c>
      <c r="J139" s="27" t="n"/>
      <c r="K139" s="27" t="inlineStr">
        <is>
          <t>https://www2.psy.unsw.edu.au/dass/</t>
        </is>
      </c>
    </row>
    <row r="140" ht="46.25" customHeight="1" s="17">
      <c r="A140" s="27" t="inlineStr">
        <is>
          <t>DASS-21</t>
        </is>
      </c>
      <c r="B140" s="27" t="inlineStr">
        <is>
          <t>Depression Anxiety Stress Scales, 21 item version (DASS-21)</t>
        </is>
      </c>
      <c r="C140" s="27" t="inlineStr">
        <is>
          <t>4. Clinical and distress screening</t>
        </is>
      </c>
      <c r="D140" s="28" t="n">
        <v>19</v>
      </c>
      <c r="E140" s="27" t="inlineStr">
        <is>
          <t>I was aware of the action of my heart in the absence of physical exertion (eg, sense of heart rate increase, heart missing a beat)</t>
        </is>
      </c>
      <c r="F140" s="27" t="inlineStr">
        <is>
          <t>Anxiety</t>
        </is>
      </c>
      <c r="G140" s="27" t="inlineStr">
        <is>
          <t>FALSE</t>
        </is>
      </c>
      <c r="H140" s="27" t="inlineStr">
        <is>
          <t>FALSE</t>
        </is>
      </c>
      <c r="I140" s="27" t="inlineStr">
        <is>
          <t>Did not apply to me at all = 0 | Applied to me to some degree, or some of the time = 1 | Applied to me to a considerable degree, or a good part of time = 2 | Applied to me very much, or most of the time = 3</t>
        </is>
      </c>
      <c r="J140" s="27" t="n"/>
      <c r="K140" s="27" t="inlineStr">
        <is>
          <t>https://www2.psy.unsw.edu.au/dass/</t>
        </is>
      </c>
    </row>
    <row r="141" ht="46.25" customHeight="1" s="17">
      <c r="A141" s="27" t="inlineStr">
        <is>
          <t>DASS-21</t>
        </is>
      </c>
      <c r="B141" s="27" t="inlineStr">
        <is>
          <t>Depression Anxiety Stress Scales, 21 item version (DASS-21)</t>
        </is>
      </c>
      <c r="C141" s="27" t="inlineStr">
        <is>
          <t>4. Clinical and distress screening</t>
        </is>
      </c>
      <c r="D141" s="28" t="n">
        <v>20</v>
      </c>
      <c r="E141" s="27" t="inlineStr">
        <is>
          <t>I felt scared without any good reason</t>
        </is>
      </c>
      <c r="F141" s="27" t="inlineStr">
        <is>
          <t>Anxiety</t>
        </is>
      </c>
      <c r="G141" s="27" t="inlineStr">
        <is>
          <t>FALSE</t>
        </is>
      </c>
      <c r="H141" s="27" t="inlineStr">
        <is>
          <t>FALSE</t>
        </is>
      </c>
      <c r="I141" s="27" t="inlineStr">
        <is>
          <t>Did not apply to me at all = 0 | Applied to me to some degree, or some of the time = 1 | Applied to me to a considerable degree, or a good part of time = 2 | Applied to me very much, or most of the time = 3</t>
        </is>
      </c>
      <c r="J141" s="27" t="n"/>
      <c r="K141" s="27" t="inlineStr">
        <is>
          <t>https://www2.psy.unsw.edu.au/dass/</t>
        </is>
      </c>
    </row>
    <row r="142" ht="46.25" customHeight="1" s="17">
      <c r="A142" s="27" t="inlineStr">
        <is>
          <t>DASS-21</t>
        </is>
      </c>
      <c r="B142" s="27" t="inlineStr">
        <is>
          <t>Depression Anxiety Stress Scales, 21 item version (DASS-21)</t>
        </is>
      </c>
      <c r="C142" s="27" t="inlineStr">
        <is>
          <t>4. Clinical and distress screening</t>
        </is>
      </c>
      <c r="D142" s="28" t="n">
        <v>21</v>
      </c>
      <c r="E142" s="27" t="inlineStr">
        <is>
          <t>I felt that life was meaningless</t>
        </is>
      </c>
      <c r="F142" s="27" t="inlineStr">
        <is>
          <t>Depression</t>
        </is>
      </c>
      <c r="G142" s="27" t="inlineStr">
        <is>
          <t>FALSE</t>
        </is>
      </c>
      <c r="H142" s="27" t="inlineStr">
        <is>
          <t>FALSE</t>
        </is>
      </c>
      <c r="I142" s="27" t="inlineStr">
        <is>
          <t>Did not apply to me at all = 0 | Applied to me to some degree, or some of the time = 1 | Applied to me to a considerable degree, or a good part of time = 2 | Applied to me very much, or most of the time = 3</t>
        </is>
      </c>
      <c r="J142" s="27" t="inlineStr">
        <is>
          <t>Followed up directly when endorsed at 2 or 3 (practice protocol).</t>
        </is>
      </c>
      <c r="K142" s="27" t="inlineStr">
        <is>
          <t>https://www2.psy.unsw.edu.au/dass/</t>
        </is>
      </c>
    </row>
    <row r="143" ht="23.85" customHeight="1" s="17">
      <c r="A143" s="27" t="inlineStr">
        <is>
          <t>PTQ</t>
        </is>
      </c>
      <c r="B143" s="27" t="inlineStr">
        <is>
          <t>Perseverative Thinking Questionnaire</t>
        </is>
      </c>
      <c r="C143" s="27" t="inlineStr">
        <is>
          <t>5. Self talk, thinking patterns and personality</t>
        </is>
      </c>
      <c r="D143" s="28" t="n">
        <v>1</v>
      </c>
      <c r="E143" s="27" t="inlineStr">
        <is>
          <t>The same thoughts keep going through my mind again and again.</t>
        </is>
      </c>
      <c r="F143" s="27" t="inlineStr">
        <is>
          <t>Core Characteristics of Repetitive Negative Thinking</t>
        </is>
      </c>
      <c r="G143" s="27" t="inlineStr">
        <is>
          <t>FALSE</t>
        </is>
      </c>
      <c r="H143" s="27" t="inlineStr">
        <is>
          <t>FALSE</t>
        </is>
      </c>
      <c r="I143" s="27" t="inlineStr">
        <is>
          <t>never = 0 | rarely = 1 | sometimes = 2 | often = 3 | almost always = 4</t>
        </is>
      </c>
      <c r="J143" s="27" t="n"/>
      <c r="K143" s="27" t="inlineStr">
        <is>
          <t>https://oxcadatresources.com/wp-content/uploads/2020/09/EhringetalRuminationQuestionnaire.2011.pdf</t>
        </is>
      </c>
    </row>
    <row r="144" ht="23.85" customHeight="1" s="17">
      <c r="A144" s="27" t="inlineStr">
        <is>
          <t>PTQ</t>
        </is>
      </c>
      <c r="B144" s="27" t="inlineStr">
        <is>
          <t>Perseverative Thinking Questionnaire</t>
        </is>
      </c>
      <c r="C144" s="27" t="inlineStr">
        <is>
          <t>5. Self talk, thinking patterns and personality</t>
        </is>
      </c>
      <c r="D144" s="28" t="n">
        <v>2</v>
      </c>
      <c r="E144" s="27" t="inlineStr">
        <is>
          <t>Thoughts intrude into my mind.</t>
        </is>
      </c>
      <c r="F144" s="27" t="inlineStr">
        <is>
          <t>Core Characteristics of Repetitive Negative Thinking</t>
        </is>
      </c>
      <c r="G144" s="27" t="inlineStr">
        <is>
          <t>FALSE</t>
        </is>
      </c>
      <c r="H144" s="27" t="inlineStr">
        <is>
          <t>FALSE</t>
        </is>
      </c>
      <c r="I144" s="27" t="inlineStr">
        <is>
          <t>never = 0 | rarely = 1 | sometimes = 2 | often = 3 | almost always = 4</t>
        </is>
      </c>
      <c r="J144" s="27" t="n"/>
      <c r="K144" s="27" t="inlineStr">
        <is>
          <t>https://oxcadatresources.com/wp-content/uploads/2020/09/EhringetalRuminationQuestionnaire.2011.pdf</t>
        </is>
      </c>
    </row>
    <row r="145" ht="23.85" customHeight="1" s="17">
      <c r="A145" s="27" t="inlineStr">
        <is>
          <t>PTQ</t>
        </is>
      </c>
      <c r="B145" s="27" t="inlineStr">
        <is>
          <t>Perseverative Thinking Questionnaire</t>
        </is>
      </c>
      <c r="C145" s="27" t="inlineStr">
        <is>
          <t>5. Self talk, thinking patterns and personality</t>
        </is>
      </c>
      <c r="D145" s="28" t="n">
        <v>3</v>
      </c>
      <c r="E145" s="27" t="inlineStr">
        <is>
          <t>I can't stop dwelling on them.</t>
        </is>
      </c>
      <c r="F145" s="27" t="inlineStr">
        <is>
          <t>Core Characteristics of Repetitive Negative Thinking</t>
        </is>
      </c>
      <c r="G145" s="27" t="inlineStr">
        <is>
          <t>FALSE</t>
        </is>
      </c>
      <c r="H145" s="27" t="inlineStr">
        <is>
          <t>FALSE</t>
        </is>
      </c>
      <c r="I145" s="27" t="inlineStr">
        <is>
          <t>never = 0 | rarely = 1 | sometimes = 2 | often = 3 | almost always = 4</t>
        </is>
      </c>
      <c r="J145" s="27" t="n"/>
      <c r="K145" s="27" t="inlineStr">
        <is>
          <t>https://oxcadatresources.com/wp-content/uploads/2020/09/EhringetalRuminationQuestionnaire.2011.pdf</t>
        </is>
      </c>
    </row>
    <row r="146" ht="23.85" customHeight="1" s="17">
      <c r="A146" s="27" t="inlineStr">
        <is>
          <t>PTQ</t>
        </is>
      </c>
      <c r="B146" s="27" t="inlineStr">
        <is>
          <t>Perseverative Thinking Questionnaire</t>
        </is>
      </c>
      <c r="C146" s="27" t="inlineStr">
        <is>
          <t>5. Self talk, thinking patterns and personality</t>
        </is>
      </c>
      <c r="D146" s="28" t="n">
        <v>4</v>
      </c>
      <c r="E146" s="27" t="inlineStr">
        <is>
          <t>I think about many problems without solving any of them.</t>
        </is>
      </c>
      <c r="F146" s="27" t="inlineStr">
        <is>
          <t>Unproductiveness</t>
        </is>
      </c>
      <c r="G146" s="27" t="inlineStr">
        <is>
          <t>FALSE</t>
        </is>
      </c>
      <c r="H146" s="27" t="inlineStr">
        <is>
          <t>FALSE</t>
        </is>
      </c>
      <c r="I146" s="27" t="inlineStr">
        <is>
          <t>never = 0 | rarely = 1 | sometimes = 2 | often = 3 | almost always = 4</t>
        </is>
      </c>
      <c r="J146" s="27" t="n"/>
      <c r="K146" s="27" t="inlineStr">
        <is>
          <t>https://oxcadatresources.com/wp-content/uploads/2020/09/EhringetalRuminationQuestionnaire.2011.pdf</t>
        </is>
      </c>
    </row>
    <row r="147" ht="23.85" customHeight="1" s="17">
      <c r="A147" s="27" t="inlineStr">
        <is>
          <t>PTQ</t>
        </is>
      </c>
      <c r="B147" s="27" t="inlineStr">
        <is>
          <t>Perseverative Thinking Questionnaire</t>
        </is>
      </c>
      <c r="C147" s="27" t="inlineStr">
        <is>
          <t>5. Self talk, thinking patterns and personality</t>
        </is>
      </c>
      <c r="D147" s="28" t="n">
        <v>5</v>
      </c>
      <c r="E147" s="27" t="inlineStr">
        <is>
          <t>I can't do anything else while thinking about my problems.</t>
        </is>
      </c>
      <c r="F147" s="27" t="inlineStr">
        <is>
          <t>Capturing Mental Capacity</t>
        </is>
      </c>
      <c r="G147" s="27" t="inlineStr">
        <is>
          <t>FALSE</t>
        </is>
      </c>
      <c r="H147" s="27" t="inlineStr">
        <is>
          <t>FALSE</t>
        </is>
      </c>
      <c r="I147" s="27" t="inlineStr">
        <is>
          <t>never = 0 | rarely = 1 | sometimes = 2 | often = 3 | almost always = 4</t>
        </is>
      </c>
      <c r="J147" s="27" t="n"/>
      <c r="K147" s="27" t="inlineStr">
        <is>
          <t>https://oxcadatresources.com/wp-content/uploads/2020/09/EhringetalRuminationQuestionnaire.2011.pdf</t>
        </is>
      </c>
    </row>
    <row r="148" ht="23.85" customHeight="1" s="17">
      <c r="A148" s="27" t="inlineStr">
        <is>
          <t>PTQ</t>
        </is>
      </c>
      <c r="B148" s="27" t="inlineStr">
        <is>
          <t>Perseverative Thinking Questionnaire</t>
        </is>
      </c>
      <c r="C148" s="27" t="inlineStr">
        <is>
          <t>5. Self talk, thinking patterns and personality</t>
        </is>
      </c>
      <c r="D148" s="28" t="n">
        <v>6</v>
      </c>
      <c r="E148" s="27" t="inlineStr">
        <is>
          <t>My thoughts repeat themselves.</t>
        </is>
      </c>
      <c r="F148" s="27" t="inlineStr">
        <is>
          <t>Core Characteristics of Repetitive Negative Thinking</t>
        </is>
      </c>
      <c r="G148" s="27" t="inlineStr">
        <is>
          <t>FALSE</t>
        </is>
      </c>
      <c r="H148" s="27" t="inlineStr">
        <is>
          <t>FALSE</t>
        </is>
      </c>
      <c r="I148" s="27" t="inlineStr">
        <is>
          <t>never = 0 | rarely = 1 | sometimes = 2 | often = 3 | almost always = 4</t>
        </is>
      </c>
      <c r="J148" s="27" t="n"/>
      <c r="K148" s="27" t="inlineStr">
        <is>
          <t>https://oxcadatresources.com/wp-content/uploads/2020/09/EhringetalRuminationQuestionnaire.2011.pdf</t>
        </is>
      </c>
    </row>
    <row r="149" ht="23.85" customHeight="1" s="17">
      <c r="A149" s="27" t="inlineStr">
        <is>
          <t>PTQ</t>
        </is>
      </c>
      <c r="B149" s="27" t="inlineStr">
        <is>
          <t>Perseverative Thinking Questionnaire</t>
        </is>
      </c>
      <c r="C149" s="27" t="inlineStr">
        <is>
          <t>5. Self talk, thinking patterns and personality</t>
        </is>
      </c>
      <c r="D149" s="28" t="n">
        <v>7</v>
      </c>
      <c r="E149" s="27" t="inlineStr">
        <is>
          <t>Thoughts come to my mind without me wanting them to.</t>
        </is>
      </c>
      <c r="F149" s="27" t="inlineStr">
        <is>
          <t>Core Characteristics of Repetitive Negative Thinking</t>
        </is>
      </c>
      <c r="G149" s="27" t="inlineStr">
        <is>
          <t>FALSE</t>
        </is>
      </c>
      <c r="H149" s="27" t="inlineStr">
        <is>
          <t>FALSE</t>
        </is>
      </c>
      <c r="I149" s="27" t="inlineStr">
        <is>
          <t>never = 0 | rarely = 1 | sometimes = 2 | often = 3 | almost always = 4</t>
        </is>
      </c>
      <c r="J149" s="27" t="n"/>
      <c r="K149" s="27" t="inlineStr">
        <is>
          <t>https://oxcadatresources.com/wp-content/uploads/2020/09/EhringetalRuminationQuestionnaire.2011.pdf</t>
        </is>
      </c>
    </row>
    <row r="150" ht="23.85" customHeight="1" s="17">
      <c r="A150" s="27" t="inlineStr">
        <is>
          <t>PTQ</t>
        </is>
      </c>
      <c r="B150" s="27" t="inlineStr">
        <is>
          <t>Perseverative Thinking Questionnaire</t>
        </is>
      </c>
      <c r="C150" s="27" t="inlineStr">
        <is>
          <t>5. Self talk, thinking patterns and personality</t>
        </is>
      </c>
      <c r="D150" s="28" t="n">
        <v>8</v>
      </c>
      <c r="E150" s="27" t="inlineStr">
        <is>
          <t>I get stuck on certain issues and can't move on.</t>
        </is>
      </c>
      <c r="F150" s="27" t="inlineStr">
        <is>
          <t>Core Characteristics of Repetitive Negative Thinking</t>
        </is>
      </c>
      <c r="G150" s="27" t="inlineStr">
        <is>
          <t>FALSE</t>
        </is>
      </c>
      <c r="H150" s="27" t="inlineStr">
        <is>
          <t>FALSE</t>
        </is>
      </c>
      <c r="I150" s="27" t="inlineStr">
        <is>
          <t>never = 0 | rarely = 1 | sometimes = 2 | often = 3 | almost always = 4</t>
        </is>
      </c>
      <c r="J150" s="27" t="n"/>
      <c r="K150" s="27" t="inlineStr">
        <is>
          <t>https://oxcadatresources.com/wp-content/uploads/2020/09/EhringetalRuminationQuestionnaire.2011.pdf</t>
        </is>
      </c>
    </row>
    <row r="151" ht="23.85" customHeight="1" s="17">
      <c r="A151" s="27" t="inlineStr">
        <is>
          <t>PTQ</t>
        </is>
      </c>
      <c r="B151" s="27" t="inlineStr">
        <is>
          <t>Perseverative Thinking Questionnaire</t>
        </is>
      </c>
      <c r="C151" s="27" t="inlineStr">
        <is>
          <t>5. Self talk, thinking patterns and personality</t>
        </is>
      </c>
      <c r="D151" s="28" t="n">
        <v>9</v>
      </c>
      <c r="E151" s="27" t="inlineStr">
        <is>
          <t>I keep asking myself questions without finding an answer.</t>
        </is>
      </c>
      <c r="F151" s="27" t="inlineStr">
        <is>
          <t>Unproductiveness</t>
        </is>
      </c>
      <c r="G151" s="27" t="inlineStr">
        <is>
          <t>FALSE</t>
        </is>
      </c>
      <c r="H151" s="27" t="inlineStr">
        <is>
          <t>FALSE</t>
        </is>
      </c>
      <c r="I151" s="27" t="inlineStr">
        <is>
          <t>never = 0 | rarely = 1 | sometimes = 2 | often = 3 | almost always = 4</t>
        </is>
      </c>
      <c r="J151" s="27" t="n"/>
      <c r="K151" s="27" t="inlineStr">
        <is>
          <t>https://oxcadatresources.com/wp-content/uploads/2020/09/EhringetalRuminationQuestionnaire.2011.pdf</t>
        </is>
      </c>
    </row>
    <row r="152" ht="23.85" customHeight="1" s="17">
      <c r="A152" s="27" t="inlineStr">
        <is>
          <t>PTQ</t>
        </is>
      </c>
      <c r="B152" s="27" t="inlineStr">
        <is>
          <t>Perseverative Thinking Questionnaire</t>
        </is>
      </c>
      <c r="C152" s="27" t="inlineStr">
        <is>
          <t>5. Self talk, thinking patterns and personality</t>
        </is>
      </c>
      <c r="D152" s="28" t="n">
        <v>10</v>
      </c>
      <c r="E152" s="27" t="inlineStr">
        <is>
          <t>My thoughts prevent me from focusing on other things.</t>
        </is>
      </c>
      <c r="F152" s="27" t="inlineStr">
        <is>
          <t>Capturing Mental Capacity</t>
        </is>
      </c>
      <c r="G152" s="27" t="inlineStr">
        <is>
          <t>FALSE</t>
        </is>
      </c>
      <c r="H152" s="27" t="inlineStr">
        <is>
          <t>FALSE</t>
        </is>
      </c>
      <c r="I152" s="27" t="inlineStr">
        <is>
          <t>never = 0 | rarely = 1 | sometimes = 2 | often = 3 | almost always = 4</t>
        </is>
      </c>
      <c r="J152" s="27" t="n"/>
      <c r="K152" s="27" t="inlineStr">
        <is>
          <t>https://oxcadatresources.com/wp-content/uploads/2020/09/EhringetalRuminationQuestionnaire.2011.pdf</t>
        </is>
      </c>
    </row>
    <row r="153" ht="23.85" customHeight="1" s="17">
      <c r="A153" s="27" t="inlineStr">
        <is>
          <t>PTQ</t>
        </is>
      </c>
      <c r="B153" s="27" t="inlineStr">
        <is>
          <t>Perseverative Thinking Questionnaire</t>
        </is>
      </c>
      <c r="C153" s="27" t="inlineStr">
        <is>
          <t>5. Self talk, thinking patterns and personality</t>
        </is>
      </c>
      <c r="D153" s="28" t="n">
        <v>11</v>
      </c>
      <c r="E153" s="27" t="inlineStr">
        <is>
          <t>I keep thinking about the same issue all the time.</t>
        </is>
      </c>
      <c r="F153" s="27" t="inlineStr">
        <is>
          <t>Core Characteristics of Repetitive Negative Thinking</t>
        </is>
      </c>
      <c r="G153" s="27" t="inlineStr">
        <is>
          <t>FALSE</t>
        </is>
      </c>
      <c r="H153" s="27" t="inlineStr">
        <is>
          <t>FALSE</t>
        </is>
      </c>
      <c r="I153" s="27" t="inlineStr">
        <is>
          <t>never = 0 | rarely = 1 | sometimes = 2 | often = 3 | almost always = 4</t>
        </is>
      </c>
      <c r="J153" s="27" t="n"/>
      <c r="K153" s="27" t="inlineStr">
        <is>
          <t>https://oxcadatresources.com/wp-content/uploads/2020/09/EhringetalRuminationQuestionnaire.2011.pdf</t>
        </is>
      </c>
    </row>
    <row r="154" ht="23.85" customHeight="1" s="17">
      <c r="A154" s="27" t="inlineStr">
        <is>
          <t>PTQ</t>
        </is>
      </c>
      <c r="B154" s="27" t="inlineStr">
        <is>
          <t>Perseverative Thinking Questionnaire</t>
        </is>
      </c>
      <c r="C154" s="27" t="inlineStr">
        <is>
          <t>5. Self talk, thinking patterns and personality</t>
        </is>
      </c>
      <c r="D154" s="28" t="n">
        <v>12</v>
      </c>
      <c r="E154" s="27" t="inlineStr">
        <is>
          <t>Thoughts just pop into my mind.</t>
        </is>
      </c>
      <c r="F154" s="27" t="inlineStr">
        <is>
          <t>Core Characteristics of Repetitive Negative Thinking</t>
        </is>
      </c>
      <c r="G154" s="27" t="inlineStr">
        <is>
          <t>FALSE</t>
        </is>
      </c>
      <c r="H154" s="27" t="inlineStr">
        <is>
          <t>FALSE</t>
        </is>
      </c>
      <c r="I154" s="27" t="inlineStr">
        <is>
          <t>never = 0 | rarely = 1 | sometimes = 2 | often = 3 | almost always = 4</t>
        </is>
      </c>
      <c r="J154" s="27" t="n"/>
      <c r="K154" s="27" t="inlineStr">
        <is>
          <t>https://oxcadatresources.com/wp-content/uploads/2020/09/EhringetalRuminationQuestionnaire.2011.pdf</t>
        </is>
      </c>
    </row>
    <row r="155" ht="23.85" customHeight="1" s="17">
      <c r="A155" s="27" t="inlineStr">
        <is>
          <t>PTQ</t>
        </is>
      </c>
      <c r="B155" s="27" t="inlineStr">
        <is>
          <t>Perseverative Thinking Questionnaire</t>
        </is>
      </c>
      <c r="C155" s="27" t="inlineStr">
        <is>
          <t>5. Self talk, thinking patterns and personality</t>
        </is>
      </c>
      <c r="D155" s="28" t="n">
        <v>13</v>
      </c>
      <c r="E155" s="27" t="inlineStr">
        <is>
          <t>I feel driven to continue dwelling on the same issue.</t>
        </is>
      </c>
      <c r="F155" s="27" t="inlineStr">
        <is>
          <t>Core Characteristics of Repetitive Negative Thinking</t>
        </is>
      </c>
      <c r="G155" s="27" t="inlineStr">
        <is>
          <t>FALSE</t>
        </is>
      </c>
      <c r="H155" s="27" t="inlineStr">
        <is>
          <t>FALSE</t>
        </is>
      </c>
      <c r="I155" s="27" t="inlineStr">
        <is>
          <t>never = 0 | rarely = 1 | sometimes = 2 | often = 3 | almost always = 4</t>
        </is>
      </c>
      <c r="J155" s="27" t="n"/>
      <c r="K155" s="27" t="inlineStr">
        <is>
          <t>https://oxcadatresources.com/wp-content/uploads/2020/09/EhringetalRuminationQuestionnaire.2011.pdf</t>
        </is>
      </c>
    </row>
    <row r="156" ht="23.85" customHeight="1" s="17">
      <c r="A156" s="27" t="inlineStr">
        <is>
          <t>PTQ</t>
        </is>
      </c>
      <c r="B156" s="27" t="inlineStr">
        <is>
          <t>Perseverative Thinking Questionnaire</t>
        </is>
      </c>
      <c r="C156" s="27" t="inlineStr">
        <is>
          <t>5. Self talk, thinking patterns and personality</t>
        </is>
      </c>
      <c r="D156" s="28" t="n">
        <v>14</v>
      </c>
      <c r="E156" s="27" t="inlineStr">
        <is>
          <t>My thoughts are not much help to me.</t>
        </is>
      </c>
      <c r="F156" s="27" t="inlineStr">
        <is>
          <t>Unproductiveness</t>
        </is>
      </c>
      <c r="G156" s="27" t="inlineStr">
        <is>
          <t>FALSE</t>
        </is>
      </c>
      <c r="H156" s="27" t="inlineStr">
        <is>
          <t>FALSE</t>
        </is>
      </c>
      <c r="I156" s="27" t="inlineStr">
        <is>
          <t>never = 0 | rarely = 1 | sometimes = 2 | often = 3 | almost always = 4</t>
        </is>
      </c>
      <c r="J156" s="27" t="n"/>
      <c r="K156" s="27" t="inlineStr">
        <is>
          <t>https://oxcadatresources.com/wp-content/uploads/2020/09/EhringetalRuminationQuestionnaire.2011.pdf</t>
        </is>
      </c>
    </row>
    <row r="157" ht="23.85" customHeight="1" s="17">
      <c r="A157" s="27" t="inlineStr">
        <is>
          <t>PTQ</t>
        </is>
      </c>
      <c r="B157" s="27" t="inlineStr">
        <is>
          <t>Perseverative Thinking Questionnaire</t>
        </is>
      </c>
      <c r="C157" s="27" t="inlineStr">
        <is>
          <t>5. Self talk, thinking patterns and personality</t>
        </is>
      </c>
      <c r="D157" s="28" t="n">
        <v>15</v>
      </c>
      <c r="E157" s="27" t="inlineStr">
        <is>
          <t>My thoughts take up all my attention.</t>
        </is>
      </c>
      <c r="F157" s="27" t="inlineStr">
        <is>
          <t>Capturing Mental Capacity</t>
        </is>
      </c>
      <c r="G157" s="27" t="inlineStr">
        <is>
          <t>FALSE</t>
        </is>
      </c>
      <c r="H157" s="27" t="inlineStr">
        <is>
          <t>FALSE</t>
        </is>
      </c>
      <c r="I157" s="27" t="inlineStr">
        <is>
          <t>never = 0 | rarely = 1 | sometimes = 2 | often = 3 | almost always = 4</t>
        </is>
      </c>
      <c r="J157" s="27" t="n"/>
      <c r="K157" s="27" t="inlineStr">
        <is>
          <t>https://oxcadatresources.com/wp-content/uploads/2020/09/EhringetalRuminationQuestionnaire.2011.pdf</t>
        </is>
      </c>
    </row>
    <row r="158" ht="23.85" customHeight="1" s="17">
      <c r="A158" s="27" t="inlineStr">
        <is>
          <t>RRS</t>
        </is>
      </c>
      <c r="B158" s="27" t="inlineStr">
        <is>
          <t>Ruminative Responses Scale</t>
        </is>
      </c>
      <c r="C158" s="27" t="inlineStr">
        <is>
          <t>5. Self talk, thinking patterns and personality</t>
        </is>
      </c>
      <c r="D158" s="28" t="n">
        <v>1</v>
      </c>
      <c r="E158" s="27" t="inlineStr">
        <is>
          <t>Think about how alone you feel</t>
        </is>
      </c>
      <c r="F158" s="27" t="inlineStr">
        <is>
          <t>Depression-related items (not scored as a subscale)</t>
        </is>
      </c>
      <c r="G158" s="27" t="inlineStr">
        <is>
          <t>FALSE</t>
        </is>
      </c>
      <c r="H158" s="27" t="inlineStr">
        <is>
          <t>FALSE</t>
        </is>
      </c>
      <c r="I158" s="27" t="inlineStr">
        <is>
          <t>almost never = 1 | sometimes = 2 | often = 3 | almost always = 4</t>
        </is>
      </c>
      <c r="J158" s="27" t="n"/>
      <c r="K158" s="27" t="inlineStr">
        <is>
          <t>https://novopsych.com/assessments/formulation/ruminative-responses-scale-rrs/</t>
        </is>
      </c>
    </row>
    <row r="159" ht="23.85" customHeight="1" s="17">
      <c r="A159" s="27" t="inlineStr">
        <is>
          <t>RRS</t>
        </is>
      </c>
      <c r="B159" s="27" t="inlineStr">
        <is>
          <t>Ruminative Responses Scale</t>
        </is>
      </c>
      <c r="C159" s="27" t="inlineStr">
        <is>
          <t>5. Self talk, thinking patterns and personality</t>
        </is>
      </c>
      <c r="D159" s="28" t="n">
        <v>2</v>
      </c>
      <c r="E159" s="27" t="inlineStr">
        <is>
          <t>Think "I won't be able to do my job if I don't snap out of this"</t>
        </is>
      </c>
      <c r="F159" s="27" t="inlineStr">
        <is>
          <t>Depression-related items (not scored as a subscale)</t>
        </is>
      </c>
      <c r="G159" s="27" t="inlineStr">
        <is>
          <t>FALSE</t>
        </is>
      </c>
      <c r="H159" s="27" t="inlineStr">
        <is>
          <t>FALSE</t>
        </is>
      </c>
      <c r="I159" s="27" t="inlineStr">
        <is>
          <t>almost never = 1 | sometimes = 2 | often = 3 | almost always = 4</t>
        </is>
      </c>
      <c r="J159" s="27" t="n"/>
      <c r="K159" s="27" t="inlineStr">
        <is>
          <t>https://novopsych.com/assessments/formulation/ruminative-responses-scale-rrs/</t>
        </is>
      </c>
    </row>
    <row r="160" ht="23.85" customHeight="1" s="17">
      <c r="A160" s="27" t="inlineStr">
        <is>
          <t>RRS</t>
        </is>
      </c>
      <c r="B160" s="27" t="inlineStr">
        <is>
          <t>Ruminative Responses Scale</t>
        </is>
      </c>
      <c r="C160" s="27" t="inlineStr">
        <is>
          <t>5. Self talk, thinking patterns and personality</t>
        </is>
      </c>
      <c r="D160" s="28" t="n">
        <v>3</v>
      </c>
      <c r="E160" s="27" t="inlineStr">
        <is>
          <t>Think about your feelings of fatigue and achiness</t>
        </is>
      </c>
      <c r="F160" s="27" t="inlineStr">
        <is>
          <t>Depression-related items (not scored as a subscale)</t>
        </is>
      </c>
      <c r="G160" s="27" t="inlineStr">
        <is>
          <t>FALSE</t>
        </is>
      </c>
      <c r="H160" s="27" t="inlineStr">
        <is>
          <t>FALSE</t>
        </is>
      </c>
      <c r="I160" s="27" t="inlineStr">
        <is>
          <t>almost never = 1 | sometimes = 2 | often = 3 | almost always = 4</t>
        </is>
      </c>
      <c r="J160" s="27" t="n"/>
      <c r="K160" s="27" t="inlineStr">
        <is>
          <t>https://novopsych.com/assessments/formulation/ruminative-responses-scale-rrs/</t>
        </is>
      </c>
    </row>
    <row r="161" ht="23.85" customHeight="1" s="17">
      <c r="A161" s="27" t="inlineStr">
        <is>
          <t>RRS</t>
        </is>
      </c>
      <c r="B161" s="27" t="inlineStr">
        <is>
          <t>Ruminative Responses Scale</t>
        </is>
      </c>
      <c r="C161" s="27" t="inlineStr">
        <is>
          <t>5. Self talk, thinking patterns and personality</t>
        </is>
      </c>
      <c r="D161" s="28" t="n">
        <v>4</v>
      </c>
      <c r="E161" s="27" t="inlineStr">
        <is>
          <t>Think about how hard it is to concentrate</t>
        </is>
      </c>
      <c r="F161" s="27" t="inlineStr">
        <is>
          <t>Depression-related items (not scored as a subscale)</t>
        </is>
      </c>
      <c r="G161" s="27" t="inlineStr">
        <is>
          <t>FALSE</t>
        </is>
      </c>
      <c r="H161" s="27" t="inlineStr">
        <is>
          <t>FALSE</t>
        </is>
      </c>
      <c r="I161" s="27" t="inlineStr">
        <is>
          <t>almost never = 1 | sometimes = 2 | often = 3 | almost always = 4</t>
        </is>
      </c>
      <c r="J161" s="27" t="n"/>
      <c r="K161" s="27" t="inlineStr">
        <is>
          <t>https://novopsych.com/assessments/formulation/ruminative-responses-scale-rrs/</t>
        </is>
      </c>
    </row>
    <row r="162" ht="23.85" customHeight="1" s="17">
      <c r="A162" s="27" t="inlineStr">
        <is>
          <t>RRS</t>
        </is>
      </c>
      <c r="B162" s="27" t="inlineStr">
        <is>
          <t>Ruminative Responses Scale</t>
        </is>
      </c>
      <c r="C162" s="27" t="inlineStr">
        <is>
          <t>5. Self talk, thinking patterns and personality</t>
        </is>
      </c>
      <c r="D162" s="28" t="n">
        <v>5</v>
      </c>
      <c r="E162" s="27" t="inlineStr">
        <is>
          <t>Think "What am I doing to deserve this?"</t>
        </is>
      </c>
      <c r="F162" s="27" t="inlineStr">
        <is>
          <t>Brooding</t>
        </is>
      </c>
      <c r="G162" s="27" t="inlineStr">
        <is>
          <t>FALSE</t>
        </is>
      </c>
      <c r="H162" s="27" t="inlineStr">
        <is>
          <t>FALSE</t>
        </is>
      </c>
      <c r="I162" s="27" t="inlineStr">
        <is>
          <t>almost never = 1 | sometimes = 2 | often = 3 | almost always = 4</t>
        </is>
      </c>
      <c r="J162" s="27" t="n"/>
      <c r="K162" s="27" t="inlineStr">
        <is>
          <t>https://novopsych.com/assessments/formulation/ruminative-responses-scale-rrs/</t>
        </is>
      </c>
    </row>
    <row r="163" ht="23.85" customHeight="1" s="17">
      <c r="A163" s="27" t="inlineStr">
        <is>
          <t>RRS</t>
        </is>
      </c>
      <c r="B163" s="27" t="inlineStr">
        <is>
          <t>Ruminative Responses Scale</t>
        </is>
      </c>
      <c r="C163" s="27" t="inlineStr">
        <is>
          <t>5. Self talk, thinking patterns and personality</t>
        </is>
      </c>
      <c r="D163" s="28" t="n">
        <v>6</v>
      </c>
      <c r="E163" s="27" t="inlineStr">
        <is>
          <t>Think about how passive and unmotivated you feel</t>
        </is>
      </c>
      <c r="F163" s="27" t="inlineStr">
        <is>
          <t>Depression-related items (not scored as a subscale)</t>
        </is>
      </c>
      <c r="G163" s="27" t="inlineStr">
        <is>
          <t>FALSE</t>
        </is>
      </c>
      <c r="H163" s="27" t="inlineStr">
        <is>
          <t>FALSE</t>
        </is>
      </c>
      <c r="I163" s="27" t="inlineStr">
        <is>
          <t>almost never = 1 | sometimes = 2 | often = 3 | almost always = 4</t>
        </is>
      </c>
      <c r="J163" s="27" t="n"/>
      <c r="K163" s="27" t="inlineStr">
        <is>
          <t>https://novopsych.com/assessments/formulation/ruminative-responses-scale-rrs/</t>
        </is>
      </c>
    </row>
    <row r="164" ht="23.85" customHeight="1" s="17">
      <c r="A164" s="27" t="inlineStr">
        <is>
          <t>RRS</t>
        </is>
      </c>
      <c r="B164" s="27" t="inlineStr">
        <is>
          <t>Ruminative Responses Scale</t>
        </is>
      </c>
      <c r="C164" s="27" t="inlineStr">
        <is>
          <t>5. Self talk, thinking patterns and personality</t>
        </is>
      </c>
      <c r="D164" s="28" t="n">
        <v>7</v>
      </c>
      <c r="E164" s="27" t="inlineStr">
        <is>
          <t>Analyze recent events to try to understand why you are depressed</t>
        </is>
      </c>
      <c r="F164" s="27" t="inlineStr">
        <is>
          <t>Reflection</t>
        </is>
      </c>
      <c r="G164" s="27" t="inlineStr">
        <is>
          <t>FALSE</t>
        </is>
      </c>
      <c r="H164" s="27" t="inlineStr">
        <is>
          <t>FALSE</t>
        </is>
      </c>
      <c r="I164" s="27" t="inlineStr">
        <is>
          <t>almost never = 1 | sometimes = 2 | often = 3 | almost always = 4</t>
        </is>
      </c>
      <c r="J164" s="27" t="n"/>
      <c r="K164" s="27" t="inlineStr">
        <is>
          <t>https://novopsych.com/assessments/formulation/ruminative-responses-scale-rrs/</t>
        </is>
      </c>
    </row>
    <row r="165" ht="23.85" customHeight="1" s="17">
      <c r="A165" s="27" t="inlineStr">
        <is>
          <t>RRS</t>
        </is>
      </c>
      <c r="B165" s="27" t="inlineStr">
        <is>
          <t>Ruminative Responses Scale</t>
        </is>
      </c>
      <c r="C165" s="27" t="inlineStr">
        <is>
          <t>5. Self talk, thinking patterns and personality</t>
        </is>
      </c>
      <c r="D165" s="28" t="n">
        <v>8</v>
      </c>
      <c r="E165" s="27" t="inlineStr">
        <is>
          <t>Think about how you don't seem to feel anything anymore</t>
        </is>
      </c>
      <c r="F165" s="27" t="inlineStr">
        <is>
          <t>Depression-related items (not scored as a subscale)</t>
        </is>
      </c>
      <c r="G165" s="27" t="inlineStr">
        <is>
          <t>FALSE</t>
        </is>
      </c>
      <c r="H165" s="27" t="inlineStr">
        <is>
          <t>FALSE</t>
        </is>
      </c>
      <c r="I165" s="27" t="inlineStr">
        <is>
          <t>almost never = 1 | sometimes = 2 | often = 3 | almost always = 4</t>
        </is>
      </c>
      <c r="J165" s="27" t="n"/>
      <c r="K165" s="27" t="inlineStr">
        <is>
          <t>https://novopsych.com/assessments/formulation/ruminative-responses-scale-rrs/</t>
        </is>
      </c>
    </row>
    <row r="166" ht="23.85" customHeight="1" s="17">
      <c r="A166" s="27" t="inlineStr">
        <is>
          <t>RRS</t>
        </is>
      </c>
      <c r="B166" s="27" t="inlineStr">
        <is>
          <t>Ruminative Responses Scale</t>
        </is>
      </c>
      <c r="C166" s="27" t="inlineStr">
        <is>
          <t>5. Self talk, thinking patterns and personality</t>
        </is>
      </c>
      <c r="D166" s="28" t="n">
        <v>9</v>
      </c>
      <c r="E166" s="27" t="inlineStr">
        <is>
          <t>Think "Why can't I get going?"</t>
        </is>
      </c>
      <c r="F166" s="27" t="inlineStr">
        <is>
          <t>Depression-related items (not scored as a subscale)</t>
        </is>
      </c>
      <c r="G166" s="27" t="inlineStr">
        <is>
          <t>FALSE</t>
        </is>
      </c>
      <c r="H166" s="27" t="inlineStr">
        <is>
          <t>FALSE</t>
        </is>
      </c>
      <c r="I166" s="27" t="inlineStr">
        <is>
          <t>almost never = 1 | sometimes = 2 | often = 3 | almost always = 4</t>
        </is>
      </c>
      <c r="J166" s="27" t="n"/>
      <c r="K166" s="27" t="inlineStr">
        <is>
          <t>https://novopsych.com/assessments/formulation/ruminative-responses-scale-rrs/</t>
        </is>
      </c>
    </row>
    <row r="167" ht="23.85" customHeight="1" s="17">
      <c r="A167" s="27" t="inlineStr">
        <is>
          <t>RRS</t>
        </is>
      </c>
      <c r="B167" s="27" t="inlineStr">
        <is>
          <t>Ruminative Responses Scale</t>
        </is>
      </c>
      <c r="C167" s="27" t="inlineStr">
        <is>
          <t>5. Self talk, thinking patterns and personality</t>
        </is>
      </c>
      <c r="D167" s="28" t="n">
        <v>10</v>
      </c>
      <c r="E167" s="27" t="inlineStr">
        <is>
          <t>Think "Why do I always react this way?"</t>
        </is>
      </c>
      <c r="F167" s="27" t="inlineStr">
        <is>
          <t>Brooding</t>
        </is>
      </c>
      <c r="G167" s="27" t="inlineStr">
        <is>
          <t>FALSE</t>
        </is>
      </c>
      <c r="H167" s="27" t="inlineStr">
        <is>
          <t>FALSE</t>
        </is>
      </c>
      <c r="I167" s="27" t="inlineStr">
        <is>
          <t>almost never = 1 | sometimes = 2 | often = 3 | almost always = 4</t>
        </is>
      </c>
      <c r="J167" s="27" t="n"/>
      <c r="K167" s="27" t="inlineStr">
        <is>
          <t>https://novopsych.com/assessments/formulation/ruminative-responses-scale-rrs/</t>
        </is>
      </c>
    </row>
    <row r="168" ht="23.85" customHeight="1" s="17">
      <c r="A168" s="27" t="inlineStr">
        <is>
          <t>RRS</t>
        </is>
      </c>
      <c r="B168" s="27" t="inlineStr">
        <is>
          <t>Ruminative Responses Scale</t>
        </is>
      </c>
      <c r="C168" s="27" t="inlineStr">
        <is>
          <t>5. Self talk, thinking patterns and personality</t>
        </is>
      </c>
      <c r="D168" s="28" t="n">
        <v>11</v>
      </c>
      <c r="E168" s="27" t="inlineStr">
        <is>
          <t>Go away by yourself and think about why you feel this way</t>
        </is>
      </c>
      <c r="F168" s="27" t="inlineStr">
        <is>
          <t>Reflection</t>
        </is>
      </c>
      <c r="G168" s="27" t="inlineStr">
        <is>
          <t>FALSE</t>
        </is>
      </c>
      <c r="H168" s="27" t="inlineStr">
        <is>
          <t>FALSE</t>
        </is>
      </c>
      <c r="I168" s="27" t="inlineStr">
        <is>
          <t>almost never = 1 | sometimes = 2 | often = 3 | almost always = 4</t>
        </is>
      </c>
      <c r="J168" s="27" t="n"/>
      <c r="K168" s="27" t="inlineStr">
        <is>
          <t>https://novopsych.com/assessments/formulation/ruminative-responses-scale-rrs/</t>
        </is>
      </c>
    </row>
    <row r="169" ht="57.45" customHeight="1" s="17">
      <c r="A169" s="27" t="inlineStr">
        <is>
          <t>RRS</t>
        </is>
      </c>
      <c r="B169" s="27" t="inlineStr">
        <is>
          <t>Ruminative Responses Scale</t>
        </is>
      </c>
      <c r="C169" s="27" t="inlineStr">
        <is>
          <t>5. Self talk, thinking patterns and personality</t>
        </is>
      </c>
      <c r="D169" s="28" t="n">
        <v>12</v>
      </c>
      <c r="E169" s="27" t="inlineStr">
        <is>
          <t>Write down what you are thinking about and analyze it</t>
        </is>
      </c>
      <c r="F169" s="27" t="inlineStr">
        <is>
          <t>Reflection</t>
        </is>
      </c>
      <c r="G169" s="27" t="inlineStr">
        <is>
          <t>FALSE</t>
        </is>
      </c>
      <c r="H169" s="27" t="inlineStr">
        <is>
          <t>FALSE</t>
        </is>
      </c>
      <c r="I169" s="27" t="inlineStr">
        <is>
          <t>almost never = 1 | sometimes = 2 | often = 3 | almost always = 4</t>
        </is>
      </c>
      <c r="J169"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c r="K169" s="27" t="inlineStr">
        <is>
          <t>https://novopsych.com/assessments/formulation/ruminative-responses-scale-rrs/</t>
        </is>
      </c>
    </row>
    <row r="170" ht="23.85" customHeight="1" s="17">
      <c r="A170" s="27" t="inlineStr">
        <is>
          <t>RRS</t>
        </is>
      </c>
      <c r="B170" s="27" t="inlineStr">
        <is>
          <t>Ruminative Responses Scale</t>
        </is>
      </c>
      <c r="C170" s="27" t="inlineStr">
        <is>
          <t>5. Self talk, thinking patterns and personality</t>
        </is>
      </c>
      <c r="D170" s="28" t="n">
        <v>13</v>
      </c>
      <c r="E170" s="27" t="inlineStr">
        <is>
          <t>Think about a recent situation, wishing it had gone better</t>
        </is>
      </c>
      <c r="F170" s="27" t="inlineStr">
        <is>
          <t>Brooding</t>
        </is>
      </c>
      <c r="G170" s="27" t="inlineStr">
        <is>
          <t>FALSE</t>
        </is>
      </c>
      <c r="H170" s="27" t="inlineStr">
        <is>
          <t>FALSE</t>
        </is>
      </c>
      <c r="I170" s="27" t="inlineStr">
        <is>
          <t>almost never = 1 | sometimes = 2 | often = 3 | almost always = 4</t>
        </is>
      </c>
      <c r="J170" s="27" t="n"/>
      <c r="K170" s="27" t="inlineStr">
        <is>
          <t>https://novopsych.com/assessments/formulation/ruminative-responses-scale-rrs/</t>
        </is>
      </c>
    </row>
    <row r="171" ht="23.85" customHeight="1" s="17">
      <c r="A171" s="27" t="inlineStr">
        <is>
          <t>RRS</t>
        </is>
      </c>
      <c r="B171" s="27" t="inlineStr">
        <is>
          <t>Ruminative Responses Scale</t>
        </is>
      </c>
      <c r="C171" s="27" t="inlineStr">
        <is>
          <t>5. Self talk, thinking patterns and personality</t>
        </is>
      </c>
      <c r="D171" s="28" t="n">
        <v>14</v>
      </c>
      <c r="E171" s="27" t="inlineStr">
        <is>
          <t>Think "I won't be able to concentrate if I keep feeling this way"</t>
        </is>
      </c>
      <c r="F171" s="27" t="inlineStr">
        <is>
          <t>Depression-related items (not scored as a subscale)</t>
        </is>
      </c>
      <c r="G171" s="27" t="inlineStr">
        <is>
          <t>FALSE</t>
        </is>
      </c>
      <c r="H171" s="27" t="inlineStr">
        <is>
          <t>FALSE</t>
        </is>
      </c>
      <c r="I171" s="27" t="inlineStr">
        <is>
          <t>almost never = 1 | sometimes = 2 | often = 3 | almost always = 4</t>
        </is>
      </c>
      <c r="J171" s="27" t="n"/>
      <c r="K171" s="27" t="inlineStr">
        <is>
          <t>https://novopsych.com/assessments/formulation/ruminative-responses-scale-rrs/</t>
        </is>
      </c>
    </row>
    <row r="172" ht="23.85" customHeight="1" s="17">
      <c r="A172" s="27" t="inlineStr">
        <is>
          <t>RRS</t>
        </is>
      </c>
      <c r="B172" s="27" t="inlineStr">
        <is>
          <t>Ruminative Responses Scale</t>
        </is>
      </c>
      <c r="C172" s="27" t="inlineStr">
        <is>
          <t>5. Self talk, thinking patterns and personality</t>
        </is>
      </c>
      <c r="D172" s="28" t="n">
        <v>15</v>
      </c>
      <c r="E172" s="27" t="inlineStr">
        <is>
          <t>Think "Why do I have problems other people don't have?"</t>
        </is>
      </c>
      <c r="F172" s="27" t="inlineStr">
        <is>
          <t>Brooding</t>
        </is>
      </c>
      <c r="G172" s="27" t="inlineStr">
        <is>
          <t>FALSE</t>
        </is>
      </c>
      <c r="H172" s="27" t="inlineStr">
        <is>
          <t>FALSE</t>
        </is>
      </c>
      <c r="I172" s="27" t="inlineStr">
        <is>
          <t>almost never = 1 | sometimes = 2 | often = 3 | almost always = 4</t>
        </is>
      </c>
      <c r="J172" s="27" t="n"/>
      <c r="K172" s="27" t="inlineStr">
        <is>
          <t>https://novopsych.com/assessments/formulation/ruminative-responses-scale-rrs/</t>
        </is>
      </c>
    </row>
    <row r="173" ht="23.85" customHeight="1" s="17">
      <c r="A173" s="27" t="inlineStr">
        <is>
          <t>RRS</t>
        </is>
      </c>
      <c r="B173" s="27" t="inlineStr">
        <is>
          <t>Ruminative Responses Scale</t>
        </is>
      </c>
      <c r="C173" s="27" t="inlineStr">
        <is>
          <t>5. Self talk, thinking patterns and personality</t>
        </is>
      </c>
      <c r="D173" s="28" t="n">
        <v>16</v>
      </c>
      <c r="E173" s="27" t="inlineStr">
        <is>
          <t>Think "Why can't I handle things better?"</t>
        </is>
      </c>
      <c r="F173" s="27" t="inlineStr">
        <is>
          <t>Brooding</t>
        </is>
      </c>
      <c r="G173" s="27" t="inlineStr">
        <is>
          <t>FALSE</t>
        </is>
      </c>
      <c r="H173" s="27" t="inlineStr">
        <is>
          <t>FALSE</t>
        </is>
      </c>
      <c r="I173" s="27" t="inlineStr">
        <is>
          <t>almost never = 1 | sometimes = 2 | often = 3 | almost always = 4</t>
        </is>
      </c>
      <c r="J173" s="27" t="n"/>
      <c r="K173" s="27" t="inlineStr">
        <is>
          <t>https://novopsych.com/assessments/formulation/ruminative-responses-scale-rrs/</t>
        </is>
      </c>
    </row>
    <row r="174" ht="23.85" customHeight="1" s="17">
      <c r="A174" s="27" t="inlineStr">
        <is>
          <t>RRS</t>
        </is>
      </c>
      <c r="B174" s="27" t="inlineStr">
        <is>
          <t>Ruminative Responses Scale</t>
        </is>
      </c>
      <c r="C174" s="27" t="inlineStr">
        <is>
          <t>5. Self talk, thinking patterns and personality</t>
        </is>
      </c>
      <c r="D174" s="28" t="n">
        <v>17</v>
      </c>
      <c r="E174" s="27" t="inlineStr">
        <is>
          <t>Think about how sad you feel</t>
        </is>
      </c>
      <c r="F174" s="27" t="inlineStr">
        <is>
          <t>Depression-related items (not scored as a subscale)</t>
        </is>
      </c>
      <c r="G174" s="27" t="inlineStr">
        <is>
          <t>FALSE</t>
        </is>
      </c>
      <c r="H174" s="27" t="inlineStr">
        <is>
          <t>FALSE</t>
        </is>
      </c>
      <c r="I174" s="27" t="inlineStr">
        <is>
          <t>almost never = 1 | sometimes = 2 | often = 3 | almost always = 4</t>
        </is>
      </c>
      <c r="J174" s="27" t="n"/>
      <c r="K174" s="27" t="inlineStr">
        <is>
          <t>https://novopsych.com/assessments/formulation/ruminative-responses-scale-rrs/</t>
        </is>
      </c>
    </row>
    <row r="175" ht="23.85" customHeight="1" s="17">
      <c r="A175" s="27" t="inlineStr">
        <is>
          <t>RRS</t>
        </is>
      </c>
      <c r="B175" s="27" t="inlineStr">
        <is>
          <t>Ruminative Responses Scale</t>
        </is>
      </c>
      <c r="C175" s="27" t="inlineStr">
        <is>
          <t>5. Self talk, thinking patterns and personality</t>
        </is>
      </c>
      <c r="D175" s="28" t="n">
        <v>18</v>
      </c>
      <c r="E175" s="27" t="inlineStr">
        <is>
          <t>Think about all your shortcomings, failings, faults, mistakes</t>
        </is>
      </c>
      <c r="F175" s="27" t="inlineStr">
        <is>
          <t>Depression-related items (not scored as a subscale)</t>
        </is>
      </c>
      <c r="G175" s="27" t="inlineStr">
        <is>
          <t>FALSE</t>
        </is>
      </c>
      <c r="H175" s="27" t="inlineStr">
        <is>
          <t>FALSE</t>
        </is>
      </c>
      <c r="I175" s="27" t="inlineStr">
        <is>
          <t>almost never = 1 | sometimes = 2 | often = 3 | almost always = 4</t>
        </is>
      </c>
      <c r="J175" s="27" t="n"/>
      <c r="K175" s="27" t="inlineStr">
        <is>
          <t>https://novopsych.com/assessments/formulation/ruminative-responses-scale-rrs/</t>
        </is>
      </c>
    </row>
    <row r="176" ht="23.85" customHeight="1" s="17">
      <c r="A176" s="27" t="inlineStr">
        <is>
          <t>RRS</t>
        </is>
      </c>
      <c r="B176" s="27" t="inlineStr">
        <is>
          <t>Ruminative Responses Scale</t>
        </is>
      </c>
      <c r="C176" s="27" t="inlineStr">
        <is>
          <t>5. Self talk, thinking patterns and personality</t>
        </is>
      </c>
      <c r="D176" s="28" t="n">
        <v>19</v>
      </c>
      <c r="E176" s="27" t="inlineStr">
        <is>
          <t>Think about how you don't feel up to doing anything</t>
        </is>
      </c>
      <c r="F176" s="27" t="inlineStr">
        <is>
          <t>Depression-related items (not scored as a subscale)</t>
        </is>
      </c>
      <c r="G176" s="27" t="inlineStr">
        <is>
          <t>FALSE</t>
        </is>
      </c>
      <c r="H176" s="27" t="inlineStr">
        <is>
          <t>FALSE</t>
        </is>
      </c>
      <c r="I176" s="27" t="inlineStr">
        <is>
          <t>almost never = 1 | sometimes = 2 | often = 3 | almost always = 4</t>
        </is>
      </c>
      <c r="J176" s="27" t="n"/>
      <c r="K176" s="27" t="inlineStr">
        <is>
          <t>https://novopsych.com/assessments/formulation/ruminative-responses-scale-rrs/</t>
        </is>
      </c>
    </row>
    <row r="177" ht="23.85" customHeight="1" s="17">
      <c r="A177" s="27" t="inlineStr">
        <is>
          <t>RRS</t>
        </is>
      </c>
      <c r="B177" s="27" t="inlineStr">
        <is>
          <t>Ruminative Responses Scale</t>
        </is>
      </c>
      <c r="C177" s="27" t="inlineStr">
        <is>
          <t>5. Self talk, thinking patterns and personality</t>
        </is>
      </c>
      <c r="D177" s="28" t="n">
        <v>20</v>
      </c>
      <c r="E177" s="27" t="inlineStr">
        <is>
          <t>Analyze your personality to try to understand why you are depressed</t>
        </is>
      </c>
      <c r="F177" s="27" t="inlineStr">
        <is>
          <t>Reflection</t>
        </is>
      </c>
      <c r="G177" s="27" t="inlineStr">
        <is>
          <t>FALSE</t>
        </is>
      </c>
      <c r="H177" s="27" t="inlineStr">
        <is>
          <t>FALSE</t>
        </is>
      </c>
      <c r="I177" s="27" t="inlineStr">
        <is>
          <t>almost never = 1 | sometimes = 2 | often = 3 | almost always = 4</t>
        </is>
      </c>
      <c r="J177" s="27" t="n"/>
      <c r="K177" s="27" t="inlineStr">
        <is>
          <t>https://novopsych.com/assessments/formulation/ruminative-responses-scale-rrs/</t>
        </is>
      </c>
    </row>
    <row r="178" ht="23.85" customHeight="1" s="17">
      <c r="A178" s="27" t="inlineStr">
        <is>
          <t>RRS</t>
        </is>
      </c>
      <c r="B178" s="27" t="inlineStr">
        <is>
          <t>Ruminative Responses Scale</t>
        </is>
      </c>
      <c r="C178" s="27" t="inlineStr">
        <is>
          <t>5. Self talk, thinking patterns and personality</t>
        </is>
      </c>
      <c r="D178" s="28" t="n">
        <v>21</v>
      </c>
      <c r="E178" s="27" t="inlineStr">
        <is>
          <t>Go someplace alone to think about your feelings</t>
        </is>
      </c>
      <c r="F178" s="27" t="inlineStr">
        <is>
          <t>Reflection</t>
        </is>
      </c>
      <c r="G178" s="27" t="inlineStr">
        <is>
          <t>FALSE</t>
        </is>
      </c>
      <c r="H178" s="27" t="inlineStr">
        <is>
          <t>FALSE</t>
        </is>
      </c>
      <c r="I178" s="27" t="inlineStr">
        <is>
          <t>almost never = 1 | sometimes = 2 | often = 3 | almost always = 4</t>
        </is>
      </c>
      <c r="J178" s="27" t="n"/>
      <c r="K178" s="27" t="inlineStr">
        <is>
          <t>https://novopsych.com/assessments/formulation/ruminative-responses-scale-rrs/</t>
        </is>
      </c>
    </row>
    <row r="179" ht="23.85" customHeight="1" s="17">
      <c r="A179" s="27" t="inlineStr">
        <is>
          <t>RRS</t>
        </is>
      </c>
      <c r="B179" s="27" t="inlineStr">
        <is>
          <t>Ruminative Responses Scale</t>
        </is>
      </c>
      <c r="C179" s="27" t="inlineStr">
        <is>
          <t>5. Self talk, thinking patterns and personality</t>
        </is>
      </c>
      <c r="D179" s="28" t="n">
        <v>22</v>
      </c>
      <c r="E179" s="27" t="inlineStr">
        <is>
          <t>Think about how angry you are with yourself</t>
        </is>
      </c>
      <c r="F179" s="27" t="inlineStr">
        <is>
          <t>Depression-related items (not scored as a subscale)</t>
        </is>
      </c>
      <c r="G179" s="27" t="inlineStr">
        <is>
          <t>FALSE</t>
        </is>
      </c>
      <c r="H179" s="27" t="inlineStr">
        <is>
          <t>FALSE</t>
        </is>
      </c>
      <c r="I179" s="27" t="inlineStr">
        <is>
          <t>almost never = 1 | sometimes = 2 | often = 3 | almost always = 4</t>
        </is>
      </c>
      <c r="J179" s="27" t="n"/>
      <c r="K179" s="27" t="inlineStr">
        <is>
          <t>https://novopsych.com/assessments/formulation/ruminative-responses-scale-rrs/</t>
        </is>
      </c>
    </row>
    <row r="180" ht="46.25" customHeight="1" s="17">
      <c r="A180" s="27" t="inlineStr">
        <is>
          <t>FSCRS</t>
        </is>
      </c>
      <c r="B180" s="27" t="inlineStr">
        <is>
          <t>Forms of Self-Criticising/Attacking and Self-Reassuring Scale</t>
        </is>
      </c>
      <c r="C180" s="27" t="inlineStr">
        <is>
          <t>5. Self talk, thinking patterns and personality</t>
        </is>
      </c>
      <c r="D180" s="28" t="n">
        <v>1</v>
      </c>
      <c r="E180" s="27" t="inlineStr">
        <is>
          <t>I am easily disappointed with myself.</t>
        </is>
      </c>
      <c r="F180" s="27" t="inlineStr">
        <is>
          <t>Inadequate Self</t>
        </is>
      </c>
      <c r="G180" s="27" t="inlineStr">
        <is>
          <t>FALSE</t>
        </is>
      </c>
      <c r="H180" s="27" t="inlineStr">
        <is>
          <t>FALSE</t>
        </is>
      </c>
      <c r="I180" s="27" t="inlineStr">
        <is>
          <t>Not at all like me = 0 | A little bit like me = 1 | Moderately like me = 2 | Quite a bit like me = 3 | Extremely like me = 4</t>
        </is>
      </c>
      <c r="J180" s="27" t="n"/>
      <c r="K180" s="27" t="inlineStr">
        <is>
          <t>https://d3n8a8pro7vhmx.cloudfront.net/portlandpsychotherapy/pages/21/attachments/original/1438799410/Forms_of_self-criticising_and_self_reassuring_scale.pdf</t>
        </is>
      </c>
    </row>
    <row r="181" ht="46.25" customHeight="1" s="17">
      <c r="A181" s="27" t="inlineStr">
        <is>
          <t>FSCRS</t>
        </is>
      </c>
      <c r="B181" s="27" t="inlineStr">
        <is>
          <t>Forms of Self-Criticising/Attacking and Self-Reassuring Scale</t>
        </is>
      </c>
      <c r="C181" s="27" t="inlineStr">
        <is>
          <t>5. Self talk, thinking patterns and personality</t>
        </is>
      </c>
      <c r="D181" s="28" t="n">
        <v>2</v>
      </c>
      <c r="E181" s="27" t="inlineStr">
        <is>
          <t>There is a part of me that puts me down.</t>
        </is>
      </c>
      <c r="F181" s="27" t="inlineStr">
        <is>
          <t>Inadequate Self</t>
        </is>
      </c>
      <c r="G181" s="27" t="inlineStr">
        <is>
          <t>FALSE</t>
        </is>
      </c>
      <c r="H181" s="27" t="inlineStr">
        <is>
          <t>FALSE</t>
        </is>
      </c>
      <c r="I181" s="27" t="inlineStr">
        <is>
          <t>Not at all like me = 0 | A little bit like me = 1 | Moderately like me = 2 | Quite a bit like me = 3 | Extremely like me = 4</t>
        </is>
      </c>
      <c r="J181" s="27" t="n"/>
      <c r="K181" s="27" t="inlineStr">
        <is>
          <t>https://d3n8a8pro7vhmx.cloudfront.net/portlandpsychotherapy/pages/21/attachments/original/1438799410/Forms_of_self-criticising_and_self_reassuring_scale.pdf</t>
        </is>
      </c>
    </row>
    <row r="182" ht="46.25" customHeight="1" s="17">
      <c r="A182" s="27" t="inlineStr">
        <is>
          <t>FSCRS</t>
        </is>
      </c>
      <c r="B182" s="27" t="inlineStr">
        <is>
          <t>Forms of Self-Criticising/Attacking and Self-Reassuring Scale</t>
        </is>
      </c>
      <c r="C182" s="27" t="inlineStr">
        <is>
          <t>5. Self talk, thinking patterns and personality</t>
        </is>
      </c>
      <c r="D182" s="28" t="n">
        <v>3</v>
      </c>
      <c r="E182" s="27" t="inlineStr">
        <is>
          <t>I am able to remind myself of positive things about myself.</t>
        </is>
      </c>
      <c r="F182" s="27" t="inlineStr">
        <is>
          <t>Reassured Self</t>
        </is>
      </c>
      <c r="G182" s="27" t="inlineStr">
        <is>
          <t>FALSE</t>
        </is>
      </c>
      <c r="H182" s="27" t="inlineStr">
        <is>
          <t>FALSE</t>
        </is>
      </c>
      <c r="I182" s="27" t="inlineStr">
        <is>
          <t>Not at all like me = 0 | A little bit like me = 1 | Moderately like me = 2 | Quite a bit like me = 3 | Extremely like me = 4</t>
        </is>
      </c>
      <c r="J182" s="27" t="n"/>
      <c r="K182" s="27" t="inlineStr">
        <is>
          <t>https://d3n8a8pro7vhmx.cloudfront.net/portlandpsychotherapy/pages/21/attachments/original/1438799410/Forms_of_self-criticising_and_self_reassuring_scale.pdf</t>
        </is>
      </c>
    </row>
    <row r="183" ht="46.25" customHeight="1" s="17">
      <c r="A183" s="27" t="inlineStr">
        <is>
          <t>FSCRS</t>
        </is>
      </c>
      <c r="B183" s="27" t="inlineStr">
        <is>
          <t>Forms of Self-Criticising/Attacking and Self-Reassuring Scale</t>
        </is>
      </c>
      <c r="C183" s="27" t="inlineStr">
        <is>
          <t>5. Self talk, thinking patterns and personality</t>
        </is>
      </c>
      <c r="D183" s="28" t="n">
        <v>4</v>
      </c>
      <c r="E183" s="27" t="inlineStr">
        <is>
          <t>I find it difficult to control my anger and frustration at myself.</t>
        </is>
      </c>
      <c r="F183" s="27" t="inlineStr">
        <is>
          <t>Inadequate Self</t>
        </is>
      </c>
      <c r="G183" s="27" t="inlineStr">
        <is>
          <t>FALSE</t>
        </is>
      </c>
      <c r="H183" s="27" t="inlineStr">
        <is>
          <t>FALSE</t>
        </is>
      </c>
      <c r="I183" s="27" t="inlineStr">
        <is>
          <t>Not at all like me = 0 | A little bit like me = 1 | Moderately like me = 2 | Quite a bit like me = 3 | Extremely like me = 4</t>
        </is>
      </c>
      <c r="J183" s="27" t="n"/>
      <c r="K183" s="27" t="inlineStr">
        <is>
          <t>https://d3n8a8pro7vhmx.cloudfront.net/portlandpsychotherapy/pages/21/attachments/original/1438799410/Forms_of_self-criticising_and_self_reassuring_scale.pdf</t>
        </is>
      </c>
    </row>
    <row r="184" ht="46.25" customHeight="1" s="17">
      <c r="A184" s="27" t="inlineStr">
        <is>
          <t>FSCRS</t>
        </is>
      </c>
      <c r="B184" s="27" t="inlineStr">
        <is>
          <t>Forms of Self-Criticising/Attacking and Self-Reassuring Scale</t>
        </is>
      </c>
      <c r="C184" s="27" t="inlineStr">
        <is>
          <t>5. Self talk, thinking patterns and personality</t>
        </is>
      </c>
      <c r="D184" s="28" t="n">
        <v>5</v>
      </c>
      <c r="E184" s="27" t="inlineStr">
        <is>
          <t>I find it easy to forgive myself.</t>
        </is>
      </c>
      <c r="F184" s="27" t="inlineStr">
        <is>
          <t>Reassured Self</t>
        </is>
      </c>
      <c r="G184" s="27" t="inlineStr">
        <is>
          <t>FALSE</t>
        </is>
      </c>
      <c r="H184" s="27" t="inlineStr">
        <is>
          <t>FALSE</t>
        </is>
      </c>
      <c r="I184" s="27" t="inlineStr">
        <is>
          <t>Not at all like me = 0 | A little bit like me = 1 | Moderately like me = 2 | Quite a bit like me = 3 | Extremely like me = 4</t>
        </is>
      </c>
      <c r="J184" s="27" t="n"/>
      <c r="K184" s="27" t="inlineStr">
        <is>
          <t>https://d3n8a8pro7vhmx.cloudfront.net/portlandpsychotherapy/pages/21/attachments/original/1438799410/Forms_of_self-criticising_and_self_reassuring_scale.pdf</t>
        </is>
      </c>
    </row>
    <row r="185" ht="46.25" customHeight="1" s="17">
      <c r="A185" s="27" t="inlineStr">
        <is>
          <t>FSCRS</t>
        </is>
      </c>
      <c r="B185" s="27" t="inlineStr">
        <is>
          <t>Forms of Self-Criticising/Attacking and Self-Reassuring Scale</t>
        </is>
      </c>
      <c r="C185" s="27" t="inlineStr">
        <is>
          <t>5. Self talk, thinking patterns and personality</t>
        </is>
      </c>
      <c r="D185" s="28" t="n">
        <v>6</v>
      </c>
      <c r="E185" s="27" t="inlineStr">
        <is>
          <t>There is a part of me that feels I am not good enough.</t>
        </is>
      </c>
      <c r="F185" s="27" t="inlineStr">
        <is>
          <t>Inadequate Self</t>
        </is>
      </c>
      <c r="G185" s="27" t="inlineStr">
        <is>
          <t>FALSE</t>
        </is>
      </c>
      <c r="H185" s="27" t="inlineStr">
        <is>
          <t>FALSE</t>
        </is>
      </c>
      <c r="I185" s="27" t="inlineStr">
        <is>
          <t>Not at all like me = 0 | A little bit like me = 1 | Moderately like me = 2 | Quite a bit like me = 3 | Extremely like me = 4</t>
        </is>
      </c>
      <c r="J185" s="27" t="n"/>
      <c r="K185" s="27" t="inlineStr">
        <is>
          <t>https://d3n8a8pro7vhmx.cloudfront.net/portlandpsychotherapy/pages/21/attachments/original/1438799410/Forms_of_self-criticising_and_self_reassuring_scale.pdf</t>
        </is>
      </c>
    </row>
    <row r="186" ht="46.25" customHeight="1" s="17">
      <c r="A186" s="27" t="inlineStr">
        <is>
          <t>FSCRS</t>
        </is>
      </c>
      <c r="B186" s="27" t="inlineStr">
        <is>
          <t>Forms of Self-Criticising/Attacking and Self-Reassuring Scale</t>
        </is>
      </c>
      <c r="C186" s="27" t="inlineStr">
        <is>
          <t>5. Self talk, thinking patterns and personality</t>
        </is>
      </c>
      <c r="D186" s="28" t="n">
        <v>7</v>
      </c>
      <c r="E186" s="27" t="inlineStr">
        <is>
          <t>I feel beaten down by my own self-critical thoughts.</t>
        </is>
      </c>
      <c r="F186" s="27" t="inlineStr">
        <is>
          <t>Inadequate Self</t>
        </is>
      </c>
      <c r="G186" s="27" t="inlineStr">
        <is>
          <t>FALSE</t>
        </is>
      </c>
      <c r="H186" s="27" t="inlineStr">
        <is>
          <t>FALSE</t>
        </is>
      </c>
      <c r="I186" s="27" t="inlineStr">
        <is>
          <t>Not at all like me = 0 | A little bit like me = 1 | Moderately like me = 2 | Quite a bit like me = 3 | Extremely like me = 4</t>
        </is>
      </c>
      <c r="J186" s="27" t="n"/>
      <c r="K186" s="27" t="inlineStr">
        <is>
          <t>https://d3n8a8pro7vhmx.cloudfront.net/portlandpsychotherapy/pages/21/attachments/original/1438799410/Forms_of_self-criticising_and_self_reassuring_scale.pdf</t>
        </is>
      </c>
    </row>
    <row r="187" ht="46.25" customHeight="1" s="17">
      <c r="A187" s="27" t="inlineStr">
        <is>
          <t>FSCRS</t>
        </is>
      </c>
      <c r="B187" s="27" t="inlineStr">
        <is>
          <t>Forms of Self-Criticising/Attacking and Self-Reassuring Scale</t>
        </is>
      </c>
      <c r="C187" s="27" t="inlineStr">
        <is>
          <t>5. Self talk, thinking patterns and personality</t>
        </is>
      </c>
      <c r="D187" s="28" t="n">
        <v>8</v>
      </c>
      <c r="E187" s="27" t="inlineStr">
        <is>
          <t>I still like being me.</t>
        </is>
      </c>
      <c r="F187" s="27" t="inlineStr">
        <is>
          <t>Reassured Self</t>
        </is>
      </c>
      <c r="G187" s="27" t="inlineStr">
        <is>
          <t>FALSE</t>
        </is>
      </c>
      <c r="H187" s="27" t="inlineStr">
        <is>
          <t>FALSE</t>
        </is>
      </c>
      <c r="I187" s="27" t="inlineStr">
        <is>
          <t>Not at all like me = 0 | A little bit like me = 1 | Moderately like me = 2 | Quite a bit like me = 3 | Extremely like me = 4</t>
        </is>
      </c>
      <c r="J187" s="27" t="n"/>
      <c r="K187" s="27" t="inlineStr">
        <is>
          <t>https://d3n8a8pro7vhmx.cloudfront.net/portlandpsychotherapy/pages/21/attachments/original/1438799410/Forms_of_self-criticising_and_self_reassuring_scale.pdf</t>
        </is>
      </c>
    </row>
    <row r="188" ht="57.45" customHeight="1" s="17">
      <c r="A188" s="27" t="inlineStr">
        <is>
          <t>FSCRS</t>
        </is>
      </c>
      <c r="B188" s="27" t="inlineStr">
        <is>
          <t>Forms of Self-Criticising/Attacking and Self-Reassuring Scale</t>
        </is>
      </c>
      <c r="C188" s="27" t="inlineStr">
        <is>
          <t>5. Self talk, thinking patterns and personality</t>
        </is>
      </c>
      <c r="D188" s="28" t="n">
        <v>9</v>
      </c>
      <c r="E188" s="27" t="inlineStr">
        <is>
          <t>I have become so angry with myself that I want to hurt or injure myself.</t>
        </is>
      </c>
      <c r="F188" s="27" t="inlineStr">
        <is>
          <t>Hated Self</t>
        </is>
      </c>
      <c r="G188" s="27" t="inlineStr">
        <is>
          <t>FALSE</t>
        </is>
      </c>
      <c r="H188" s="27" t="inlineStr">
        <is>
          <t>FALSE</t>
        </is>
      </c>
      <c r="I188" s="27" t="inlineStr">
        <is>
          <t>Not at all like me = 0 | A little bit like me = 1 | Moderately like me = 2 | Quite a bit like me = 3 | Extremely like me = 4</t>
        </is>
      </c>
      <c r="J18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c r="K188" s="27" t="inlineStr">
        <is>
          <t>https://d3n8a8pro7vhmx.cloudfront.net/portlandpsychotherapy/pages/21/attachments/original/1438799410/Forms_of_self-criticising_and_self_reassuring_scale.pdf</t>
        </is>
      </c>
    </row>
    <row r="189" ht="46.25" customHeight="1" s="17">
      <c r="A189" s="27" t="inlineStr">
        <is>
          <t>FSCRS</t>
        </is>
      </c>
      <c r="B189" s="27" t="inlineStr">
        <is>
          <t>Forms of Self-Criticising/Attacking and Self-Reassuring Scale</t>
        </is>
      </c>
      <c r="C189" s="27" t="inlineStr">
        <is>
          <t>5. Self talk, thinking patterns and personality</t>
        </is>
      </c>
      <c r="D189" s="28" t="n">
        <v>10</v>
      </c>
      <c r="E189" s="27" t="inlineStr">
        <is>
          <t>I have a sense of disgust with myself.</t>
        </is>
      </c>
      <c r="F189" s="27" t="inlineStr">
        <is>
          <t>Hated Self</t>
        </is>
      </c>
      <c r="G189" s="27" t="inlineStr">
        <is>
          <t>FALSE</t>
        </is>
      </c>
      <c r="H189" s="27" t="inlineStr">
        <is>
          <t>FALSE</t>
        </is>
      </c>
      <c r="I189" s="27" t="inlineStr">
        <is>
          <t>Not at all like me = 0 | A little bit like me = 1 | Moderately like me = 2 | Quite a bit like me = 3 | Extremely like me = 4</t>
        </is>
      </c>
      <c r="J189" s="27" t="n"/>
      <c r="K189" s="27" t="inlineStr">
        <is>
          <t>https://d3n8a8pro7vhmx.cloudfront.net/portlandpsychotherapy/pages/21/attachments/original/1438799410/Forms_of_self-criticising_and_self_reassuring_scale.pdf</t>
        </is>
      </c>
    </row>
    <row r="190" ht="46.25" customHeight="1" s="17">
      <c r="A190" s="27" t="inlineStr">
        <is>
          <t>FSCRS</t>
        </is>
      </c>
      <c r="B190" s="27" t="inlineStr">
        <is>
          <t>Forms of Self-Criticising/Attacking and Self-Reassuring Scale</t>
        </is>
      </c>
      <c r="C190" s="27" t="inlineStr">
        <is>
          <t>5. Self talk, thinking patterns and personality</t>
        </is>
      </c>
      <c r="D190" s="28" t="n">
        <v>11</v>
      </c>
      <c r="E190" s="27" t="inlineStr">
        <is>
          <t>I can still feel lovable and acceptable.</t>
        </is>
      </c>
      <c r="F190" s="27" t="inlineStr">
        <is>
          <t>Reassured Self</t>
        </is>
      </c>
      <c r="G190" s="27" t="inlineStr">
        <is>
          <t>FALSE</t>
        </is>
      </c>
      <c r="H190" s="27" t="inlineStr">
        <is>
          <t>FALSE</t>
        </is>
      </c>
      <c r="I190" s="27" t="inlineStr">
        <is>
          <t>Not at all like me = 0 | A little bit like me = 1 | Moderately like me = 2 | Quite a bit like me = 3 | Extremely like me = 4</t>
        </is>
      </c>
      <c r="J190" s="27" t="n"/>
      <c r="K190" s="27" t="inlineStr">
        <is>
          <t>https://d3n8a8pro7vhmx.cloudfront.net/portlandpsychotherapy/pages/21/attachments/original/1438799410/Forms_of_self-criticising_and_self_reassuring_scale.pdf</t>
        </is>
      </c>
    </row>
    <row r="191" ht="46.25" customHeight="1" s="17">
      <c r="A191" s="27" t="inlineStr">
        <is>
          <t>FSCRS</t>
        </is>
      </c>
      <c r="B191" s="27" t="inlineStr">
        <is>
          <t>Forms of Self-Criticising/Attacking and Self-Reassuring Scale</t>
        </is>
      </c>
      <c r="C191" s="27" t="inlineStr">
        <is>
          <t>5. Self talk, thinking patterns and personality</t>
        </is>
      </c>
      <c r="D191" s="28" t="n">
        <v>12</v>
      </c>
      <c r="E191" s="27" t="inlineStr">
        <is>
          <t>I stop caring about myself.</t>
        </is>
      </c>
      <c r="F191" s="27" t="inlineStr">
        <is>
          <t>Hated Self</t>
        </is>
      </c>
      <c r="G191" s="27" t="inlineStr">
        <is>
          <t>FALSE</t>
        </is>
      </c>
      <c r="H191" s="27" t="inlineStr">
        <is>
          <t>FALSE</t>
        </is>
      </c>
      <c r="I191" s="27" t="inlineStr">
        <is>
          <t>Not at all like me = 0 | A little bit like me = 1 | Moderately like me = 2 | Quite a bit like me = 3 | Extremely like me = 4</t>
        </is>
      </c>
      <c r="J191" s="27" t="n"/>
      <c r="K191" s="27" t="inlineStr">
        <is>
          <t>https://d3n8a8pro7vhmx.cloudfront.net/portlandpsychotherapy/pages/21/attachments/original/1438799410/Forms_of_self-criticising_and_self_reassuring_scale.pdf</t>
        </is>
      </c>
    </row>
    <row r="192" ht="46.25" customHeight="1" s="17">
      <c r="A192" s="27" t="inlineStr">
        <is>
          <t>FSCRS</t>
        </is>
      </c>
      <c r="B192" s="27" t="inlineStr">
        <is>
          <t>Forms of Self-Criticising/Attacking and Self-Reassuring Scale</t>
        </is>
      </c>
      <c r="C192" s="27" t="inlineStr">
        <is>
          <t>5. Self talk, thinking patterns and personality</t>
        </is>
      </c>
      <c r="D192" s="28" t="n">
        <v>13</v>
      </c>
      <c r="E192" s="27" t="inlineStr">
        <is>
          <t>I find it easy to like myself.</t>
        </is>
      </c>
      <c r="F192" s="27" t="inlineStr">
        <is>
          <t>Reassured Self</t>
        </is>
      </c>
      <c r="G192" s="27" t="inlineStr">
        <is>
          <t>FALSE</t>
        </is>
      </c>
      <c r="H192" s="27" t="inlineStr">
        <is>
          <t>FALSE</t>
        </is>
      </c>
      <c r="I192" s="27" t="inlineStr">
        <is>
          <t>Not at all like me = 0 | A little bit like me = 1 | Moderately like me = 2 | Quite a bit like me = 3 | Extremely like me = 4</t>
        </is>
      </c>
      <c r="J192" s="27" t="n"/>
      <c r="K192" s="27" t="inlineStr">
        <is>
          <t>https://d3n8a8pro7vhmx.cloudfront.net/portlandpsychotherapy/pages/21/attachments/original/1438799410/Forms_of_self-criticising_and_self_reassuring_scale.pdf</t>
        </is>
      </c>
    </row>
    <row r="193" ht="46.25" customHeight="1" s="17">
      <c r="A193" s="27" t="inlineStr">
        <is>
          <t>FSCRS</t>
        </is>
      </c>
      <c r="B193" s="27" t="inlineStr">
        <is>
          <t>Forms of Self-Criticising/Attacking and Self-Reassuring Scale</t>
        </is>
      </c>
      <c r="C193" s="27" t="inlineStr">
        <is>
          <t>5. Self talk, thinking patterns and personality</t>
        </is>
      </c>
      <c r="D193" s="28" t="n">
        <v>14</v>
      </c>
      <c r="E193" s="27" t="inlineStr">
        <is>
          <t>I remember and dwell on my failings.</t>
        </is>
      </c>
      <c r="F193" s="27" t="inlineStr">
        <is>
          <t>Inadequate Self</t>
        </is>
      </c>
      <c r="G193" s="27" t="inlineStr">
        <is>
          <t>FALSE</t>
        </is>
      </c>
      <c r="H193" s="27" t="inlineStr">
        <is>
          <t>FALSE</t>
        </is>
      </c>
      <c r="I193" s="27" t="inlineStr">
        <is>
          <t>Not at all like me = 0 | A little bit like me = 1 | Moderately like me = 2 | Quite a bit like me = 3 | Extremely like me = 4</t>
        </is>
      </c>
      <c r="J193" s="27" t="n"/>
      <c r="K193" s="27" t="inlineStr">
        <is>
          <t>https://d3n8a8pro7vhmx.cloudfront.net/portlandpsychotherapy/pages/21/attachments/original/1438799410/Forms_of_self-criticising_and_self_reassuring_scale.pdf</t>
        </is>
      </c>
    </row>
    <row r="194" ht="46.25" customHeight="1" s="17">
      <c r="A194" s="27" t="inlineStr">
        <is>
          <t>FSCRS</t>
        </is>
      </c>
      <c r="B194" s="27" t="inlineStr">
        <is>
          <t>Forms of Self-Criticising/Attacking and Self-Reassuring Scale</t>
        </is>
      </c>
      <c r="C194" s="27" t="inlineStr">
        <is>
          <t>5. Self talk, thinking patterns and personality</t>
        </is>
      </c>
      <c r="D194" s="28" t="n">
        <v>15</v>
      </c>
      <c r="E194" s="27" t="inlineStr">
        <is>
          <t>I call myself names.</t>
        </is>
      </c>
      <c r="F194" s="27" t="inlineStr">
        <is>
          <t>Hated Self</t>
        </is>
      </c>
      <c r="G194" s="27" t="inlineStr">
        <is>
          <t>FALSE</t>
        </is>
      </c>
      <c r="H194" s="27" t="inlineStr">
        <is>
          <t>FALSE</t>
        </is>
      </c>
      <c r="I194" s="27" t="inlineStr">
        <is>
          <t>Not at all like me = 0 | A little bit like me = 1 | Moderately like me = 2 | Quite a bit like me = 3 | Extremely like me = 4</t>
        </is>
      </c>
      <c r="J194" s="27" t="n"/>
      <c r="K194" s="27" t="inlineStr">
        <is>
          <t>https://d3n8a8pro7vhmx.cloudfront.net/portlandpsychotherapy/pages/21/attachments/original/1438799410/Forms_of_self-criticising_and_self_reassuring_scale.pdf</t>
        </is>
      </c>
    </row>
    <row r="195" ht="46.25" customHeight="1" s="17">
      <c r="A195" s="27" t="inlineStr">
        <is>
          <t>FSCRS</t>
        </is>
      </c>
      <c r="B195" s="27" t="inlineStr">
        <is>
          <t>Forms of Self-Criticising/Attacking and Self-Reassuring Scale</t>
        </is>
      </c>
      <c r="C195" s="27" t="inlineStr">
        <is>
          <t>5. Self talk, thinking patterns and personality</t>
        </is>
      </c>
      <c r="D195" s="28" t="n">
        <v>16</v>
      </c>
      <c r="E195" s="27" t="inlineStr">
        <is>
          <t>I am gentle and supportive with myself.</t>
        </is>
      </c>
      <c r="F195" s="27" t="inlineStr">
        <is>
          <t>Reassured Self</t>
        </is>
      </c>
      <c r="G195" s="27" t="inlineStr">
        <is>
          <t>FALSE</t>
        </is>
      </c>
      <c r="H195" s="27" t="inlineStr">
        <is>
          <t>FALSE</t>
        </is>
      </c>
      <c r="I195" s="27" t="inlineStr">
        <is>
          <t>Not at all like me = 0 | A little bit like me = 1 | Moderately like me = 2 | Quite a bit like me = 3 | Extremely like me = 4</t>
        </is>
      </c>
      <c r="J195" s="27" t="n"/>
      <c r="K195" s="27" t="inlineStr">
        <is>
          <t>https://d3n8a8pro7vhmx.cloudfront.net/portlandpsychotherapy/pages/21/attachments/original/1438799410/Forms_of_self-criticising_and_self_reassuring_scale.pdf</t>
        </is>
      </c>
    </row>
    <row r="196" ht="46.25" customHeight="1" s="17">
      <c r="A196" s="27" t="inlineStr">
        <is>
          <t>FSCRS</t>
        </is>
      </c>
      <c r="B196" s="27" t="inlineStr">
        <is>
          <t>Forms of Self-Criticising/Attacking and Self-Reassuring Scale</t>
        </is>
      </c>
      <c r="C196" s="27" t="inlineStr">
        <is>
          <t>5. Self talk, thinking patterns and personality</t>
        </is>
      </c>
      <c r="D196" s="28" t="n">
        <v>17</v>
      </c>
      <c r="E196" s="27" t="inlineStr">
        <is>
          <t>I can't accept failures and setbacks without feeling inadequate.</t>
        </is>
      </c>
      <c r="F196" s="27" t="inlineStr">
        <is>
          <t>Inadequate Self</t>
        </is>
      </c>
      <c r="G196" s="27" t="inlineStr">
        <is>
          <t>FALSE</t>
        </is>
      </c>
      <c r="H196" s="27" t="inlineStr">
        <is>
          <t>FALSE</t>
        </is>
      </c>
      <c r="I196" s="27" t="inlineStr">
        <is>
          <t>Not at all like me = 0 | A little bit like me = 1 | Moderately like me = 2 | Quite a bit like me = 3 | Extremely like me = 4</t>
        </is>
      </c>
      <c r="J196" s="27" t="n"/>
      <c r="K196" s="27" t="inlineStr">
        <is>
          <t>https://d3n8a8pro7vhmx.cloudfront.net/portlandpsychotherapy/pages/21/attachments/original/1438799410/Forms_of_self-criticising_and_self_reassuring_scale.pdf</t>
        </is>
      </c>
    </row>
    <row r="197" ht="46.25" customHeight="1" s="17">
      <c r="A197" s="27" t="inlineStr">
        <is>
          <t>FSCRS</t>
        </is>
      </c>
      <c r="B197" s="27" t="inlineStr">
        <is>
          <t>Forms of Self-Criticising/Attacking and Self-Reassuring Scale</t>
        </is>
      </c>
      <c r="C197" s="27" t="inlineStr">
        <is>
          <t>5. Self talk, thinking patterns and personality</t>
        </is>
      </c>
      <c r="D197" s="28" t="n">
        <v>18</v>
      </c>
      <c r="E197" s="27" t="inlineStr">
        <is>
          <t>I think I deserve my self-criticism.</t>
        </is>
      </c>
      <c r="F197" s="27" t="inlineStr">
        <is>
          <t>Inadequate Self</t>
        </is>
      </c>
      <c r="G197" s="27" t="inlineStr">
        <is>
          <t>FALSE</t>
        </is>
      </c>
      <c r="H197" s="27" t="inlineStr">
        <is>
          <t>FALSE</t>
        </is>
      </c>
      <c r="I197" s="27" t="inlineStr">
        <is>
          <t>Not at all like me = 0 | A little bit like me = 1 | Moderately like me = 2 | Quite a bit like me = 3 | Extremely like me = 4</t>
        </is>
      </c>
      <c r="J197" s="27" t="n"/>
      <c r="K197" s="27" t="inlineStr">
        <is>
          <t>https://d3n8a8pro7vhmx.cloudfront.net/portlandpsychotherapy/pages/21/attachments/original/1438799410/Forms_of_self-criticising_and_self_reassuring_scale.pdf</t>
        </is>
      </c>
    </row>
    <row r="198" ht="46.25" customHeight="1" s="17">
      <c r="A198" s="27" t="inlineStr">
        <is>
          <t>FSCRS</t>
        </is>
      </c>
      <c r="B198" s="27" t="inlineStr">
        <is>
          <t>Forms of Self-Criticising/Attacking and Self-Reassuring Scale</t>
        </is>
      </c>
      <c r="C198" s="27" t="inlineStr">
        <is>
          <t>5. Self talk, thinking patterns and personality</t>
        </is>
      </c>
      <c r="D198" s="28" t="n">
        <v>19</v>
      </c>
      <c r="E198" s="27" t="inlineStr">
        <is>
          <t>I am able to care and look after myself.</t>
        </is>
      </c>
      <c r="F198" s="27" t="inlineStr">
        <is>
          <t>Reassured Self</t>
        </is>
      </c>
      <c r="G198" s="27" t="inlineStr">
        <is>
          <t>FALSE</t>
        </is>
      </c>
      <c r="H198" s="27" t="inlineStr">
        <is>
          <t>FALSE</t>
        </is>
      </c>
      <c r="I198" s="27" t="inlineStr">
        <is>
          <t>Not at all like me = 0 | A little bit like me = 1 | Moderately like me = 2 | Quite a bit like me = 3 | Extremely like me = 4</t>
        </is>
      </c>
      <c r="J198" s="27" t="n"/>
      <c r="K198" s="27" t="inlineStr">
        <is>
          <t>https://d3n8a8pro7vhmx.cloudfront.net/portlandpsychotherapy/pages/21/attachments/original/1438799410/Forms_of_self-criticising_and_self_reassuring_scale.pdf</t>
        </is>
      </c>
    </row>
    <row r="199" ht="46.25" customHeight="1" s="17">
      <c r="A199" s="27" t="inlineStr">
        <is>
          <t>FSCRS</t>
        </is>
      </c>
      <c r="B199" s="27" t="inlineStr">
        <is>
          <t>Forms of Self-Criticising/Attacking and Self-Reassuring Scale</t>
        </is>
      </c>
      <c r="C199" s="27" t="inlineStr">
        <is>
          <t>5. Self talk, thinking patterns and personality</t>
        </is>
      </c>
      <c r="D199" s="28" t="n">
        <v>20</v>
      </c>
      <c r="E199" s="27" t="inlineStr">
        <is>
          <t>There is a part of me that wants to get rid of the bits I don't like.</t>
        </is>
      </c>
      <c r="F199" s="27" t="inlineStr">
        <is>
          <t>Inadequate Self</t>
        </is>
      </c>
      <c r="G199" s="27" t="inlineStr">
        <is>
          <t>FALSE</t>
        </is>
      </c>
      <c r="H199" s="27" t="inlineStr">
        <is>
          <t>FALSE</t>
        </is>
      </c>
      <c r="I199" s="27" t="inlineStr">
        <is>
          <t>Not at all like me = 0 | A little bit like me = 1 | Moderately like me = 2 | Quite a bit like me = 3 | Extremely like me = 4</t>
        </is>
      </c>
      <c r="J199" s="27" t="n"/>
      <c r="K199" s="27" t="inlineStr">
        <is>
          <t>https://d3n8a8pro7vhmx.cloudfront.net/portlandpsychotherapy/pages/21/attachments/original/1438799410/Forms_of_self-criticising_and_self_reassuring_scale.pdf</t>
        </is>
      </c>
    </row>
    <row r="200" ht="46.25" customHeight="1" s="17">
      <c r="A200" s="27" t="inlineStr">
        <is>
          <t>FSCRS</t>
        </is>
      </c>
      <c r="B200" s="27" t="inlineStr">
        <is>
          <t>Forms of Self-Criticising/Attacking and Self-Reassuring Scale</t>
        </is>
      </c>
      <c r="C200" s="27" t="inlineStr">
        <is>
          <t>5. Self talk, thinking patterns and personality</t>
        </is>
      </c>
      <c r="D200" s="28" t="n">
        <v>21</v>
      </c>
      <c r="E200" s="27" t="inlineStr">
        <is>
          <t>I encourage myself for the future.</t>
        </is>
      </c>
      <c r="F200" s="27" t="inlineStr">
        <is>
          <t>Reassured Self</t>
        </is>
      </c>
      <c r="G200" s="27" t="inlineStr">
        <is>
          <t>FALSE</t>
        </is>
      </c>
      <c r="H200" s="27" t="inlineStr">
        <is>
          <t>FALSE</t>
        </is>
      </c>
      <c r="I200" s="27" t="inlineStr">
        <is>
          <t>Not at all like me = 0 | A little bit like me = 1 | Moderately like me = 2 | Quite a bit like me = 3 | Extremely like me = 4</t>
        </is>
      </c>
      <c r="J200" s="27" t="n"/>
      <c r="K200" s="27" t="inlineStr">
        <is>
          <t>https://d3n8a8pro7vhmx.cloudfront.net/portlandpsychotherapy/pages/21/attachments/original/1438799410/Forms_of_self-criticising_and_self_reassuring_scale.pdf</t>
        </is>
      </c>
    </row>
    <row r="201" ht="46.25" customHeight="1" s="17">
      <c r="A201" s="27" t="inlineStr">
        <is>
          <t>FSCRS</t>
        </is>
      </c>
      <c r="B201" s="27" t="inlineStr">
        <is>
          <t>Forms of Self-Criticising/Attacking and Self-Reassuring Scale</t>
        </is>
      </c>
      <c r="C201" s="27" t="inlineStr">
        <is>
          <t>5. Self talk, thinking patterns and personality</t>
        </is>
      </c>
      <c r="D201" s="28" t="n">
        <v>22</v>
      </c>
      <c r="E201" s="27" t="inlineStr">
        <is>
          <t>I do not like being me.</t>
        </is>
      </c>
      <c r="F201" s="27" t="inlineStr">
        <is>
          <t>Hated Self</t>
        </is>
      </c>
      <c r="G201" s="27" t="inlineStr">
        <is>
          <t>FALSE</t>
        </is>
      </c>
      <c r="H201" s="27" t="inlineStr">
        <is>
          <t>FALSE</t>
        </is>
      </c>
      <c r="I201" s="27" t="inlineStr">
        <is>
          <t>Not at all like me = 0 | A little bit like me = 1 | Moderately like me = 2 | Quite a bit like me = 3 | Extremely like me = 4</t>
        </is>
      </c>
      <c r="J201" s="27" t="n"/>
      <c r="K201" s="27" t="inlineStr">
        <is>
          <t>https://d3n8a8pro7vhmx.cloudfront.net/portlandpsychotherapy/pages/21/attachments/original/1438799410/Forms_of_self-criticising_and_self_reassuring_scale.pdf</t>
        </is>
      </c>
    </row>
    <row r="202" ht="23.85" customHeight="1" s="17">
      <c r="A202" s="27" t="inlineStr">
        <is>
          <t>PCI</t>
        </is>
      </c>
      <c r="B202" s="27" t="inlineStr">
        <is>
          <t>Perfectionism Cognitions Inventory</t>
        </is>
      </c>
      <c r="C202" s="27" t="inlineStr">
        <is>
          <t>5. Self talk, thinking patterns and personality</t>
        </is>
      </c>
      <c r="D202" s="28" t="n">
        <v>1</v>
      </c>
      <c r="E202" s="27" t="inlineStr">
        <is>
          <t>Why can't I be perfect</t>
        </is>
      </c>
      <c r="F202" s="27" t="inlineStr">
        <is>
          <t>Not stated on source</t>
        </is>
      </c>
      <c r="G202" s="27" t="inlineStr">
        <is>
          <t>FALSE</t>
        </is>
      </c>
      <c r="H202" s="27" t="inlineStr">
        <is>
          <t>FALSE</t>
        </is>
      </c>
      <c r="I202" s="27" t="inlineStr">
        <is>
          <t>Not At All = 0 | Sometimes = 1 | Moderately Often = 2 | Often = 3 | All of the time = 4</t>
        </is>
      </c>
      <c r="J202" s="27" t="n"/>
      <c r="K202" s="27" t="inlineStr">
        <is>
          <t>https://novopsych.com/assessments/formulation/perfectionistic-cognitions-inventory-pci/</t>
        </is>
      </c>
    </row>
    <row r="203" ht="23.85" customHeight="1" s="17">
      <c r="A203" s="27" t="inlineStr">
        <is>
          <t>PCI</t>
        </is>
      </c>
      <c r="B203" s="27" t="inlineStr">
        <is>
          <t>Perfectionism Cognitions Inventory</t>
        </is>
      </c>
      <c r="C203" s="27" t="inlineStr">
        <is>
          <t>5. Self talk, thinking patterns and personality</t>
        </is>
      </c>
      <c r="D203" s="28" t="n">
        <v>2</v>
      </c>
      <c r="E203" s="27" t="inlineStr">
        <is>
          <t>I need to do better</t>
        </is>
      </c>
      <c r="F203" s="27" t="inlineStr">
        <is>
          <t>Not stated on source</t>
        </is>
      </c>
      <c r="G203" s="27" t="inlineStr">
        <is>
          <t>FALSE</t>
        </is>
      </c>
      <c r="H203" s="27" t="inlineStr">
        <is>
          <t>FALSE</t>
        </is>
      </c>
      <c r="I203" s="27" t="inlineStr">
        <is>
          <t>Not At All = 0 | Sometimes = 1 | Moderately Often = 2 | Often = 3 | All of the time = 4</t>
        </is>
      </c>
      <c r="J203" s="27" t="n"/>
      <c r="K203" s="27" t="inlineStr">
        <is>
          <t>https://novopsych.com/assessments/formulation/perfectionistic-cognitions-inventory-pci/</t>
        </is>
      </c>
    </row>
    <row r="204" ht="23.85" customHeight="1" s="17">
      <c r="A204" s="27" t="inlineStr">
        <is>
          <t>PCI</t>
        </is>
      </c>
      <c r="B204" s="27" t="inlineStr">
        <is>
          <t>Perfectionism Cognitions Inventory</t>
        </is>
      </c>
      <c r="C204" s="27" t="inlineStr">
        <is>
          <t>5. Self talk, thinking patterns and personality</t>
        </is>
      </c>
      <c r="D204" s="28" t="n">
        <v>3</v>
      </c>
      <c r="E204" s="27" t="inlineStr">
        <is>
          <t>I should be perfect</t>
        </is>
      </c>
      <c r="F204" s="27" t="inlineStr">
        <is>
          <t>Not stated on source</t>
        </is>
      </c>
      <c r="G204" s="27" t="inlineStr">
        <is>
          <t>FALSE</t>
        </is>
      </c>
      <c r="H204" s="27" t="inlineStr">
        <is>
          <t>FALSE</t>
        </is>
      </c>
      <c r="I204" s="27" t="inlineStr">
        <is>
          <t>Not At All = 0 | Sometimes = 1 | Moderately Often = 2 | Often = 3 | All of the time = 4</t>
        </is>
      </c>
      <c r="J204" s="27" t="n"/>
      <c r="K204" s="27" t="inlineStr">
        <is>
          <t>https://novopsych.com/assessments/formulation/perfectionistic-cognitions-inventory-pci/</t>
        </is>
      </c>
    </row>
    <row r="205" ht="23.85" customHeight="1" s="17">
      <c r="A205" s="27" t="inlineStr">
        <is>
          <t>PCI</t>
        </is>
      </c>
      <c r="B205" s="27" t="inlineStr">
        <is>
          <t>Perfectionism Cognitions Inventory</t>
        </is>
      </c>
      <c r="C205" s="27" t="inlineStr">
        <is>
          <t>5. Self talk, thinking patterns and personality</t>
        </is>
      </c>
      <c r="D205" s="28" t="n">
        <v>4</v>
      </c>
      <c r="E205" s="27" t="inlineStr">
        <is>
          <t>I should never make the same mistake twice</t>
        </is>
      </c>
      <c r="F205" s="27" t="inlineStr">
        <is>
          <t>Not stated on source</t>
        </is>
      </c>
      <c r="G205" s="27" t="inlineStr">
        <is>
          <t>FALSE</t>
        </is>
      </c>
      <c r="H205" s="27" t="inlineStr">
        <is>
          <t>FALSE</t>
        </is>
      </c>
      <c r="I205" s="27" t="inlineStr">
        <is>
          <t>Not At All = 0 | Sometimes = 1 | Moderately Often = 2 | Often = 3 | All of the time = 4</t>
        </is>
      </c>
      <c r="J205" s="27" t="n"/>
      <c r="K205" s="27" t="inlineStr">
        <is>
          <t>https://novopsych.com/assessments/formulation/perfectionistic-cognitions-inventory-pci/</t>
        </is>
      </c>
    </row>
    <row r="206" ht="23.85" customHeight="1" s="17">
      <c r="A206" s="27" t="inlineStr">
        <is>
          <t>PCI</t>
        </is>
      </c>
      <c r="B206" s="27" t="inlineStr">
        <is>
          <t>Perfectionism Cognitions Inventory</t>
        </is>
      </c>
      <c r="C206" s="27" t="inlineStr">
        <is>
          <t>5. Self talk, thinking patterns and personality</t>
        </is>
      </c>
      <c r="D206" s="28" t="n">
        <v>5</v>
      </c>
      <c r="E206" s="27" t="inlineStr">
        <is>
          <t>I've got to keep working on my goals</t>
        </is>
      </c>
      <c r="F206" s="27" t="inlineStr">
        <is>
          <t>Not stated on source</t>
        </is>
      </c>
      <c r="G206" s="27" t="inlineStr">
        <is>
          <t>FALSE</t>
        </is>
      </c>
      <c r="H206" s="27" t="inlineStr">
        <is>
          <t>FALSE</t>
        </is>
      </c>
      <c r="I206" s="27" t="inlineStr">
        <is>
          <t>Not At All = 0 | Sometimes = 1 | Moderately Often = 2 | Often = 3 | All of the time = 4</t>
        </is>
      </c>
      <c r="J206" s="27" t="n"/>
      <c r="K206" s="27" t="inlineStr">
        <is>
          <t>https://novopsych.com/assessments/formulation/perfectionistic-cognitions-inventory-pci/</t>
        </is>
      </c>
    </row>
    <row r="207" ht="23.85" customHeight="1" s="17">
      <c r="A207" s="27" t="inlineStr">
        <is>
          <t>PCI</t>
        </is>
      </c>
      <c r="B207" s="27" t="inlineStr">
        <is>
          <t>Perfectionism Cognitions Inventory</t>
        </is>
      </c>
      <c r="C207" s="27" t="inlineStr">
        <is>
          <t>5. Self talk, thinking patterns and personality</t>
        </is>
      </c>
      <c r="D207" s="28" t="n">
        <v>6</v>
      </c>
      <c r="E207" s="27" t="inlineStr">
        <is>
          <t>I have to be the best</t>
        </is>
      </c>
      <c r="F207" s="27" t="inlineStr">
        <is>
          <t>Not stated on source</t>
        </is>
      </c>
      <c r="G207" s="27" t="inlineStr">
        <is>
          <t>FALSE</t>
        </is>
      </c>
      <c r="H207" s="27" t="inlineStr">
        <is>
          <t>FALSE</t>
        </is>
      </c>
      <c r="I207" s="27" t="inlineStr">
        <is>
          <t>Not At All = 0 | Sometimes = 1 | Moderately Often = 2 | Often = 3 | All of the time = 4</t>
        </is>
      </c>
      <c r="J207" s="27" t="n"/>
      <c r="K207" s="27" t="inlineStr">
        <is>
          <t>https://novopsych.com/assessments/formulation/perfectionistic-cognitions-inventory-pci/</t>
        </is>
      </c>
    </row>
    <row r="208" ht="23.85" customHeight="1" s="17">
      <c r="A208" s="27" t="inlineStr">
        <is>
          <t>PCI</t>
        </is>
      </c>
      <c r="B208" s="27" t="inlineStr">
        <is>
          <t>Perfectionism Cognitions Inventory</t>
        </is>
      </c>
      <c r="C208" s="27" t="inlineStr">
        <is>
          <t>5. Self talk, thinking patterns and personality</t>
        </is>
      </c>
      <c r="D208" s="28" t="n">
        <v>7</v>
      </c>
      <c r="E208" s="27" t="inlineStr">
        <is>
          <t>I should be doing more</t>
        </is>
      </c>
      <c r="F208" s="27" t="inlineStr">
        <is>
          <t>Not stated on source</t>
        </is>
      </c>
      <c r="G208" s="27" t="inlineStr">
        <is>
          <t>FALSE</t>
        </is>
      </c>
      <c r="H208" s="27" t="inlineStr">
        <is>
          <t>FALSE</t>
        </is>
      </c>
      <c r="I208" s="27" t="inlineStr">
        <is>
          <t>Not At All = 0 | Sometimes = 1 | Moderately Often = 2 | Often = 3 | All of the time = 4</t>
        </is>
      </c>
      <c r="J208" s="27" t="n"/>
      <c r="K208" s="27" t="inlineStr">
        <is>
          <t>https://novopsych.com/assessments/formulation/perfectionistic-cognitions-inventory-pci/</t>
        </is>
      </c>
    </row>
    <row r="209" ht="23.85" customHeight="1" s="17">
      <c r="A209" s="27" t="inlineStr">
        <is>
          <t>PCI</t>
        </is>
      </c>
      <c r="B209" s="27" t="inlineStr">
        <is>
          <t>Perfectionism Cognitions Inventory</t>
        </is>
      </c>
      <c r="C209" s="27" t="inlineStr">
        <is>
          <t>5. Self talk, thinking patterns and personality</t>
        </is>
      </c>
      <c r="D209" s="28" t="n">
        <v>8</v>
      </c>
      <c r="E209" s="27" t="inlineStr">
        <is>
          <t>I can't stand to make mistakes</t>
        </is>
      </c>
      <c r="F209" s="27" t="inlineStr">
        <is>
          <t>Not stated on source</t>
        </is>
      </c>
      <c r="G209" s="27" t="inlineStr">
        <is>
          <t>FALSE</t>
        </is>
      </c>
      <c r="H209" s="27" t="inlineStr">
        <is>
          <t>FALSE</t>
        </is>
      </c>
      <c r="I209" s="27" t="inlineStr">
        <is>
          <t>Not At All = 0 | Sometimes = 1 | Moderately Often = 2 | Often = 3 | All of the time = 4</t>
        </is>
      </c>
      <c r="J209" s="27" t="n"/>
      <c r="K209" s="27" t="inlineStr">
        <is>
          <t>https://novopsych.com/assessments/formulation/perfectionistic-cognitions-inventory-pci/</t>
        </is>
      </c>
    </row>
    <row r="210" ht="23.85" customHeight="1" s="17">
      <c r="A210" s="27" t="inlineStr">
        <is>
          <t>PCI</t>
        </is>
      </c>
      <c r="B210" s="27" t="inlineStr">
        <is>
          <t>Perfectionism Cognitions Inventory</t>
        </is>
      </c>
      <c r="C210" s="27" t="inlineStr">
        <is>
          <t>5. Self talk, thinking patterns and personality</t>
        </is>
      </c>
      <c r="D210" s="28" t="n">
        <v>9</v>
      </c>
      <c r="E210" s="27" t="inlineStr">
        <is>
          <t>I have to work hard all the time</t>
        </is>
      </c>
      <c r="F210" s="27" t="inlineStr">
        <is>
          <t>Not stated on source</t>
        </is>
      </c>
      <c r="G210" s="27" t="inlineStr">
        <is>
          <t>FALSE</t>
        </is>
      </c>
      <c r="H210" s="27" t="inlineStr">
        <is>
          <t>FALSE</t>
        </is>
      </c>
      <c r="I210" s="27" t="inlineStr">
        <is>
          <t>Not At All = 0 | Sometimes = 1 | Moderately Often = 2 | Often = 3 | All of the time = 4</t>
        </is>
      </c>
      <c r="J210" s="27" t="n"/>
      <c r="K210" s="27" t="inlineStr">
        <is>
          <t>https://novopsych.com/assessments/formulation/perfectionistic-cognitions-inventory-pci/</t>
        </is>
      </c>
    </row>
    <row r="211" ht="23.85" customHeight="1" s="17">
      <c r="A211" s="27" t="inlineStr">
        <is>
          <t>PCI</t>
        </is>
      </c>
      <c r="B211" s="27" t="inlineStr">
        <is>
          <t>Perfectionism Cognitions Inventory</t>
        </is>
      </c>
      <c r="C211" s="27" t="inlineStr">
        <is>
          <t>5. Self talk, thinking patterns and personality</t>
        </is>
      </c>
      <c r="D211" s="28" t="n">
        <v>10</v>
      </c>
      <c r="E211" s="27" t="inlineStr">
        <is>
          <t>No matter how much I do, it's never enough</t>
        </is>
      </c>
      <c r="F211" s="27" t="inlineStr">
        <is>
          <t>Not stated on source</t>
        </is>
      </c>
      <c r="G211" s="27" t="inlineStr">
        <is>
          <t>FALSE</t>
        </is>
      </c>
      <c r="H211" s="27" t="inlineStr">
        <is>
          <t>FALSE</t>
        </is>
      </c>
      <c r="I211" s="27" t="inlineStr">
        <is>
          <t>Not At All = 0 | Sometimes = 1 | Moderately Often = 2 | Often = 3 | All of the time = 4</t>
        </is>
      </c>
      <c r="J211" s="27" t="n"/>
      <c r="K211" s="27" t="inlineStr">
        <is>
          <t>https://novopsych.com/assessments/formulation/perfectionistic-cognitions-inventory-pci/</t>
        </is>
      </c>
    </row>
    <row r="212" ht="23.85" customHeight="1" s="17">
      <c r="A212" s="27" t="inlineStr">
        <is>
          <t>PCI</t>
        </is>
      </c>
      <c r="B212" s="27" t="inlineStr">
        <is>
          <t>Perfectionism Cognitions Inventory</t>
        </is>
      </c>
      <c r="C212" s="27" t="inlineStr">
        <is>
          <t>5. Self talk, thinking patterns and personality</t>
        </is>
      </c>
      <c r="D212" s="28" t="n">
        <v>11</v>
      </c>
      <c r="E212" s="27" t="inlineStr">
        <is>
          <t>People expect me to be perfect</t>
        </is>
      </c>
      <c r="F212" s="27" t="inlineStr">
        <is>
          <t>Not stated on source</t>
        </is>
      </c>
      <c r="G212" s="27" t="inlineStr">
        <is>
          <t>FALSE</t>
        </is>
      </c>
      <c r="H212" s="27" t="inlineStr">
        <is>
          <t>FALSE</t>
        </is>
      </c>
      <c r="I212" s="27" t="inlineStr">
        <is>
          <t>Not At All = 0 | Sometimes = 1 | Moderately Often = 2 | Often = 3 | All of the time = 4</t>
        </is>
      </c>
      <c r="J212" s="27" t="n"/>
      <c r="K212" s="27" t="inlineStr">
        <is>
          <t>https://novopsych.com/assessments/formulation/perfectionistic-cognitions-inventory-pci/</t>
        </is>
      </c>
    </row>
    <row r="213" ht="23.85" customHeight="1" s="17">
      <c r="A213" s="27" t="inlineStr">
        <is>
          <t>PCI</t>
        </is>
      </c>
      <c r="B213" s="27" t="inlineStr">
        <is>
          <t>Perfectionism Cognitions Inventory</t>
        </is>
      </c>
      <c r="C213" s="27" t="inlineStr">
        <is>
          <t>5. Self talk, thinking patterns and personality</t>
        </is>
      </c>
      <c r="D213" s="28" t="n">
        <v>12</v>
      </c>
      <c r="E213" s="27" t="inlineStr">
        <is>
          <t>I must be efficient at all times</t>
        </is>
      </c>
      <c r="F213" s="27" t="inlineStr">
        <is>
          <t>Not stated on source</t>
        </is>
      </c>
      <c r="G213" s="27" t="inlineStr">
        <is>
          <t>FALSE</t>
        </is>
      </c>
      <c r="H213" s="27" t="inlineStr">
        <is>
          <t>FALSE</t>
        </is>
      </c>
      <c r="I213" s="27" t="inlineStr">
        <is>
          <t>Not At All = 0 | Sometimes = 1 | Moderately Often = 2 | Often = 3 | All of the time = 4</t>
        </is>
      </c>
      <c r="J213" s="27" t="n"/>
      <c r="K213" s="27" t="inlineStr">
        <is>
          <t>https://novopsych.com/assessments/formulation/perfectionistic-cognitions-inventory-pci/</t>
        </is>
      </c>
    </row>
    <row r="214" ht="23.85" customHeight="1" s="17">
      <c r="A214" s="27" t="inlineStr">
        <is>
          <t>PCI</t>
        </is>
      </c>
      <c r="B214" s="27" t="inlineStr">
        <is>
          <t>Perfectionism Cognitions Inventory</t>
        </is>
      </c>
      <c r="C214" s="27" t="inlineStr">
        <is>
          <t>5. Self talk, thinking patterns and personality</t>
        </is>
      </c>
      <c r="D214" s="28" t="n">
        <v>13</v>
      </c>
      <c r="E214" s="27" t="inlineStr">
        <is>
          <t>My goals are very high</t>
        </is>
      </c>
      <c r="F214" s="27" t="inlineStr">
        <is>
          <t>Not stated on source</t>
        </is>
      </c>
      <c r="G214" s="27" t="inlineStr">
        <is>
          <t>FALSE</t>
        </is>
      </c>
      <c r="H214" s="27" t="inlineStr">
        <is>
          <t>FALSE</t>
        </is>
      </c>
      <c r="I214" s="27" t="inlineStr">
        <is>
          <t>Not At All = 0 | Sometimes = 1 | Moderately Often = 2 | Often = 3 | All of the time = 4</t>
        </is>
      </c>
      <c r="J214" s="27" t="n"/>
      <c r="K214" s="27" t="inlineStr">
        <is>
          <t>https://novopsych.com/assessments/formulation/perfectionistic-cognitions-inventory-pci/</t>
        </is>
      </c>
    </row>
    <row r="215" ht="23.85" customHeight="1" s="17">
      <c r="A215" s="27" t="inlineStr">
        <is>
          <t>PCI</t>
        </is>
      </c>
      <c r="B215" s="27" t="inlineStr">
        <is>
          <t>Perfectionism Cognitions Inventory</t>
        </is>
      </c>
      <c r="C215" s="27" t="inlineStr">
        <is>
          <t>5. Self talk, thinking patterns and personality</t>
        </is>
      </c>
      <c r="D215" s="28" t="n">
        <v>14</v>
      </c>
      <c r="E215" s="27" t="inlineStr">
        <is>
          <t>I can always do better, even if things are almost perfect</t>
        </is>
      </c>
      <c r="F215" s="27" t="inlineStr">
        <is>
          <t>Not stated on source</t>
        </is>
      </c>
      <c r="G215" s="27" t="inlineStr">
        <is>
          <t>FALSE</t>
        </is>
      </c>
      <c r="H215" s="27" t="inlineStr">
        <is>
          <t>FALSE</t>
        </is>
      </c>
      <c r="I215" s="27" t="inlineStr">
        <is>
          <t>Not At All = 0 | Sometimes = 1 | Moderately Often = 2 | Often = 3 | All of the time = 4</t>
        </is>
      </c>
      <c r="J215" s="27" t="n"/>
      <c r="K215" s="27" t="inlineStr">
        <is>
          <t>https://novopsych.com/assessments/formulation/perfectionistic-cognitions-inventory-pci/</t>
        </is>
      </c>
    </row>
    <row r="216" ht="23.85" customHeight="1" s="17">
      <c r="A216" s="27" t="inlineStr">
        <is>
          <t>PCI</t>
        </is>
      </c>
      <c r="B216" s="27" t="inlineStr">
        <is>
          <t>Perfectionism Cognitions Inventory</t>
        </is>
      </c>
      <c r="C216" s="27" t="inlineStr">
        <is>
          <t>5. Self talk, thinking patterns and personality</t>
        </is>
      </c>
      <c r="D216" s="28" t="n">
        <v>15</v>
      </c>
      <c r="E216" s="27" t="inlineStr">
        <is>
          <t>I expect to be perfect</t>
        </is>
      </c>
      <c r="F216" s="27" t="inlineStr">
        <is>
          <t>Not stated on source</t>
        </is>
      </c>
      <c r="G216" s="27" t="inlineStr">
        <is>
          <t>FALSE</t>
        </is>
      </c>
      <c r="H216" s="27" t="inlineStr">
        <is>
          <t>FALSE</t>
        </is>
      </c>
      <c r="I216" s="27" t="inlineStr">
        <is>
          <t>Not At All = 0 | Sometimes = 1 | Moderately Often = 2 | Often = 3 | All of the time = 4</t>
        </is>
      </c>
      <c r="J216" s="27" t="n"/>
      <c r="K216" s="27" t="inlineStr">
        <is>
          <t>https://novopsych.com/assessments/formulation/perfectionistic-cognitions-inventory-pci/</t>
        </is>
      </c>
    </row>
    <row r="217" ht="23.85" customHeight="1" s="17">
      <c r="A217" s="27" t="inlineStr">
        <is>
          <t>PCI</t>
        </is>
      </c>
      <c r="B217" s="27" t="inlineStr">
        <is>
          <t>Perfectionism Cognitions Inventory</t>
        </is>
      </c>
      <c r="C217" s="27" t="inlineStr">
        <is>
          <t>5. Self talk, thinking patterns and personality</t>
        </is>
      </c>
      <c r="D217" s="28" t="n">
        <v>16</v>
      </c>
      <c r="E217" s="27" t="inlineStr">
        <is>
          <t>Why can't things be perfect?</t>
        </is>
      </c>
      <c r="F217" s="27" t="inlineStr">
        <is>
          <t>Not stated on source</t>
        </is>
      </c>
      <c r="G217" s="27" t="inlineStr">
        <is>
          <t>FALSE</t>
        </is>
      </c>
      <c r="H217" s="27" t="inlineStr">
        <is>
          <t>FALSE</t>
        </is>
      </c>
      <c r="I217" s="27" t="inlineStr">
        <is>
          <t>Not At All = 0 | Sometimes = 1 | Moderately Often = 2 | Often = 3 | All of the time = 4</t>
        </is>
      </c>
      <c r="J217" s="27" t="n"/>
      <c r="K217" s="27" t="inlineStr">
        <is>
          <t>https://novopsych.com/assessments/formulation/perfectionistic-cognitions-inventory-pci/</t>
        </is>
      </c>
    </row>
    <row r="218" ht="23.85" customHeight="1" s="17">
      <c r="A218" s="27" t="inlineStr">
        <is>
          <t>PCI</t>
        </is>
      </c>
      <c r="B218" s="27" t="inlineStr">
        <is>
          <t>Perfectionism Cognitions Inventory</t>
        </is>
      </c>
      <c r="C218" s="27" t="inlineStr">
        <is>
          <t>5. Self talk, thinking patterns and personality</t>
        </is>
      </c>
      <c r="D218" s="28" t="n">
        <v>17</v>
      </c>
      <c r="E218" s="27" t="inlineStr">
        <is>
          <t>My work has to be superior</t>
        </is>
      </c>
      <c r="F218" s="27" t="inlineStr">
        <is>
          <t>Not stated on source</t>
        </is>
      </c>
      <c r="G218" s="27" t="inlineStr">
        <is>
          <t>FALSE</t>
        </is>
      </c>
      <c r="H218" s="27" t="inlineStr">
        <is>
          <t>FALSE</t>
        </is>
      </c>
      <c r="I218" s="27" t="inlineStr">
        <is>
          <t>Not At All = 0 | Sometimes = 1 | Moderately Often = 2 | Often = 3 | All of the time = 4</t>
        </is>
      </c>
      <c r="J218" s="27" t="n"/>
      <c r="K218" s="27" t="inlineStr">
        <is>
          <t>https://novopsych.com/assessments/formulation/perfectionistic-cognitions-inventory-pci/</t>
        </is>
      </c>
    </row>
    <row r="219" ht="23.85" customHeight="1" s="17">
      <c r="A219" s="27" t="inlineStr">
        <is>
          <t>PCI</t>
        </is>
      </c>
      <c r="B219" s="27" t="inlineStr">
        <is>
          <t>Perfectionism Cognitions Inventory</t>
        </is>
      </c>
      <c r="C219" s="27" t="inlineStr">
        <is>
          <t>5. Self talk, thinking patterns and personality</t>
        </is>
      </c>
      <c r="D219" s="28" t="n">
        <v>18</v>
      </c>
      <c r="E219" s="27" t="inlineStr">
        <is>
          <t>It would be great if everything in my life was perfect</t>
        </is>
      </c>
      <c r="F219" s="27" t="inlineStr">
        <is>
          <t>Not stated on source</t>
        </is>
      </c>
      <c r="G219" s="27" t="inlineStr">
        <is>
          <t>FALSE</t>
        </is>
      </c>
      <c r="H219" s="27" t="inlineStr">
        <is>
          <t>FALSE</t>
        </is>
      </c>
      <c r="I219" s="27" t="inlineStr">
        <is>
          <t>Not At All = 0 | Sometimes = 1 | Moderately Often = 2 | Often = 3 | All of the time = 4</t>
        </is>
      </c>
      <c r="J219" s="27" t="n"/>
      <c r="K219" s="27" t="inlineStr">
        <is>
          <t>https://novopsych.com/assessments/formulation/perfectionistic-cognitions-inventory-pci/</t>
        </is>
      </c>
    </row>
    <row r="220" ht="23.85" customHeight="1" s="17">
      <c r="A220" s="27" t="inlineStr">
        <is>
          <t>PCI</t>
        </is>
      </c>
      <c r="B220" s="27" t="inlineStr">
        <is>
          <t>Perfectionism Cognitions Inventory</t>
        </is>
      </c>
      <c r="C220" s="27" t="inlineStr">
        <is>
          <t>5. Self talk, thinking patterns and personality</t>
        </is>
      </c>
      <c r="D220" s="28" t="n">
        <v>19</v>
      </c>
      <c r="E220" s="27" t="inlineStr">
        <is>
          <t>My work should be flawless</t>
        </is>
      </c>
      <c r="F220" s="27" t="inlineStr">
        <is>
          <t>Not stated on source</t>
        </is>
      </c>
      <c r="G220" s="27" t="inlineStr">
        <is>
          <t>FALSE</t>
        </is>
      </c>
      <c r="H220" s="27" t="inlineStr">
        <is>
          <t>FALSE</t>
        </is>
      </c>
      <c r="I220" s="27" t="inlineStr">
        <is>
          <t>Not At All = 0 | Sometimes = 1 | Moderately Often = 2 | Often = 3 | All of the time = 4</t>
        </is>
      </c>
      <c r="J220" s="27" t="n"/>
      <c r="K220" s="27" t="inlineStr">
        <is>
          <t>https://novopsych.com/assessments/formulation/perfectionistic-cognitions-inventory-pci/</t>
        </is>
      </c>
    </row>
    <row r="221" ht="23.85" customHeight="1" s="17">
      <c r="A221" s="27" t="inlineStr">
        <is>
          <t>PCI</t>
        </is>
      </c>
      <c r="B221" s="27" t="inlineStr">
        <is>
          <t>Perfectionism Cognitions Inventory</t>
        </is>
      </c>
      <c r="C221" s="27" t="inlineStr">
        <is>
          <t>5. Self talk, thinking patterns and personality</t>
        </is>
      </c>
      <c r="D221" s="28" t="n">
        <v>20</v>
      </c>
      <c r="E221" s="27" t="inlineStr">
        <is>
          <t>Things are seldom ideal</t>
        </is>
      </c>
      <c r="F221" s="27" t="inlineStr">
        <is>
          <t>Not stated on source</t>
        </is>
      </c>
      <c r="G221" s="27" t="inlineStr">
        <is>
          <t>FALSE</t>
        </is>
      </c>
      <c r="H221" s="27" t="inlineStr">
        <is>
          <t>FALSE</t>
        </is>
      </c>
      <c r="I221" s="27" t="inlineStr">
        <is>
          <t>Not At All = 0 | Sometimes = 1 | Moderately Often = 2 | Often = 3 | All of the time = 4</t>
        </is>
      </c>
      <c r="J221" s="27" t="n"/>
      <c r="K221" s="27" t="inlineStr">
        <is>
          <t>https://novopsych.com/assessments/formulation/perfectionistic-cognitions-inventory-pci/</t>
        </is>
      </c>
    </row>
    <row r="222" ht="23.85" customHeight="1" s="17">
      <c r="A222" s="27" t="inlineStr">
        <is>
          <t>PCI</t>
        </is>
      </c>
      <c r="B222" s="27" t="inlineStr">
        <is>
          <t>Perfectionism Cognitions Inventory</t>
        </is>
      </c>
      <c r="C222" s="27" t="inlineStr">
        <is>
          <t>5. Self talk, thinking patterns and personality</t>
        </is>
      </c>
      <c r="D222" s="28" t="n">
        <v>21</v>
      </c>
      <c r="E222" s="27" t="inlineStr">
        <is>
          <t>How well am I doing?</t>
        </is>
      </c>
      <c r="F222" s="27" t="inlineStr">
        <is>
          <t>Not stated on source</t>
        </is>
      </c>
      <c r="G222" s="27" t="inlineStr">
        <is>
          <t>FALSE</t>
        </is>
      </c>
      <c r="H222" s="27" t="inlineStr">
        <is>
          <t>FALSE</t>
        </is>
      </c>
      <c r="I222" s="27" t="inlineStr">
        <is>
          <t>Not At All = 0 | Sometimes = 1 | Moderately Often = 2 | Often = 3 | All of the time = 4</t>
        </is>
      </c>
      <c r="J222" s="27" t="n"/>
      <c r="K222" s="27" t="inlineStr">
        <is>
          <t>https://novopsych.com/assessments/formulation/perfectionistic-cognitions-inventory-pci/</t>
        </is>
      </c>
    </row>
    <row r="223" ht="23.85" customHeight="1" s="17">
      <c r="A223" s="27" t="inlineStr">
        <is>
          <t>PCI</t>
        </is>
      </c>
      <c r="B223" s="27" t="inlineStr">
        <is>
          <t>Perfectionism Cognitions Inventory</t>
        </is>
      </c>
      <c r="C223" s="27" t="inlineStr">
        <is>
          <t>5. Self talk, thinking patterns and personality</t>
        </is>
      </c>
      <c r="D223" s="28" t="n">
        <v>22</v>
      </c>
      <c r="E223" s="27" t="inlineStr">
        <is>
          <t>I can't do this perfectly</t>
        </is>
      </c>
      <c r="F223" s="27" t="inlineStr">
        <is>
          <t>Not stated on source</t>
        </is>
      </c>
      <c r="G223" s="27" t="inlineStr">
        <is>
          <t>FALSE</t>
        </is>
      </c>
      <c r="H223" s="27" t="inlineStr">
        <is>
          <t>FALSE</t>
        </is>
      </c>
      <c r="I223" s="27" t="inlineStr">
        <is>
          <t>Not At All = 0 | Sometimes = 1 | Moderately Often = 2 | Often = 3 | All of the time = 4</t>
        </is>
      </c>
      <c r="J223" s="27" t="n"/>
      <c r="K223" s="27" t="inlineStr">
        <is>
          <t>https://novopsych.com/assessments/formulation/perfectionistic-cognitions-inventory-pci/</t>
        </is>
      </c>
    </row>
    <row r="224" ht="23.85" customHeight="1" s="17">
      <c r="A224" s="27" t="inlineStr">
        <is>
          <t>PCI</t>
        </is>
      </c>
      <c r="B224" s="27" t="inlineStr">
        <is>
          <t>Perfectionism Cognitions Inventory</t>
        </is>
      </c>
      <c r="C224" s="27" t="inlineStr">
        <is>
          <t>5. Self talk, thinking patterns and personality</t>
        </is>
      </c>
      <c r="D224" s="28" t="n">
        <v>23</v>
      </c>
      <c r="E224" s="27" t="inlineStr">
        <is>
          <t>I certainly have high standards</t>
        </is>
      </c>
      <c r="F224" s="27" t="inlineStr">
        <is>
          <t>Not stated on source</t>
        </is>
      </c>
      <c r="G224" s="27" t="inlineStr">
        <is>
          <t>FALSE</t>
        </is>
      </c>
      <c r="H224" s="27" t="inlineStr">
        <is>
          <t>FALSE</t>
        </is>
      </c>
      <c r="I224" s="27" t="inlineStr">
        <is>
          <t>Not At All = 0 | Sometimes = 1 | Moderately Often = 2 | Often = 3 | All of the time = 4</t>
        </is>
      </c>
      <c r="J224" s="27" t="n"/>
      <c r="K224" s="27" t="inlineStr">
        <is>
          <t>https://novopsych.com/assessments/formulation/perfectionistic-cognitions-inventory-pci/</t>
        </is>
      </c>
    </row>
    <row r="225" ht="23.85" customHeight="1" s="17">
      <c r="A225" s="27" t="inlineStr">
        <is>
          <t>PCI</t>
        </is>
      </c>
      <c r="B225" s="27" t="inlineStr">
        <is>
          <t>Perfectionism Cognitions Inventory</t>
        </is>
      </c>
      <c r="C225" s="27" t="inlineStr">
        <is>
          <t>5. Self talk, thinking patterns and personality</t>
        </is>
      </c>
      <c r="D225" s="28" t="n">
        <v>24</v>
      </c>
      <c r="E225" s="27" t="inlineStr">
        <is>
          <t>Maybe I should lower my goals</t>
        </is>
      </c>
      <c r="F225" s="27" t="inlineStr">
        <is>
          <t>Not stated on source</t>
        </is>
      </c>
      <c r="G225" s="27" t="inlineStr">
        <is>
          <t>FALSE</t>
        </is>
      </c>
      <c r="H225" s="27" t="inlineStr">
        <is>
          <t>FALSE</t>
        </is>
      </c>
      <c r="I225" s="27" t="inlineStr">
        <is>
          <t>Not At All = 0 | Sometimes = 1 | Moderately Often = 2 | Often = 3 | All of the time = 4</t>
        </is>
      </c>
      <c r="J225" s="27" t="n"/>
      <c r="K225" s="27" t="inlineStr">
        <is>
          <t>https://novopsych.com/assessments/formulation/perfectionistic-cognitions-inventory-pci/</t>
        </is>
      </c>
    </row>
    <row r="226" ht="23.85" customHeight="1" s="17">
      <c r="A226" s="27" t="inlineStr">
        <is>
          <t>PCI</t>
        </is>
      </c>
      <c r="B226" s="27" t="inlineStr">
        <is>
          <t>Perfectionism Cognitions Inventory</t>
        </is>
      </c>
      <c r="C226" s="27" t="inlineStr">
        <is>
          <t>5. Self talk, thinking patterns and personality</t>
        </is>
      </c>
      <c r="D226" s="28" t="n">
        <v>25</v>
      </c>
      <c r="E226" s="27" t="inlineStr">
        <is>
          <t>I am too much of a perfectionist</t>
        </is>
      </c>
      <c r="F226" s="27" t="inlineStr">
        <is>
          <t>Not stated on source</t>
        </is>
      </c>
      <c r="G226" s="27" t="inlineStr">
        <is>
          <t>FALSE</t>
        </is>
      </c>
      <c r="H226" s="27" t="inlineStr">
        <is>
          <t>FALSE</t>
        </is>
      </c>
      <c r="I226" s="27" t="inlineStr">
        <is>
          <t>Not At All = 0 | Sometimes = 1 | Moderately Often = 2 | Often = 3 | All of the time = 4</t>
        </is>
      </c>
      <c r="J226" s="27" t="n"/>
      <c r="K226" s="27" t="inlineStr">
        <is>
          <t>https://novopsych.com/assessments/formulation/perfectionistic-cognitions-inventory-pci/</t>
        </is>
      </c>
    </row>
    <row r="227" ht="23.85" customHeight="1" s="17">
      <c r="A227" s="27" t="inlineStr">
        <is>
          <t>SCS-SF</t>
        </is>
      </c>
      <c r="B227" s="27" t="inlineStr">
        <is>
          <t>Self-Compassion Scale – Short Form</t>
        </is>
      </c>
      <c r="C227" s="27" t="inlineStr">
        <is>
          <t>5. Self talk, thinking patterns and personality</t>
        </is>
      </c>
      <c r="D227" s="28" t="n">
        <v>1</v>
      </c>
      <c r="E227" s="27" t="inlineStr">
        <is>
          <t>When I fail at something important to me I become consumed by feelings of inadequacy.</t>
        </is>
      </c>
      <c r="F227" s="27" t="inlineStr">
        <is>
          <t>Over-Identification</t>
        </is>
      </c>
      <c r="G227" s="34" t="inlineStr">
        <is>
          <t>TRUE</t>
        </is>
      </c>
      <c r="H227" s="27" t="inlineStr">
        <is>
          <t>FALSE</t>
        </is>
      </c>
      <c r="I227" s="27" t="inlineStr">
        <is>
          <t>Almost never = 1 | 2 = 2 | 3 = 3 | 4 = 4 | Almost always = 5</t>
        </is>
      </c>
      <c r="J227" s="27" t="n"/>
      <c r="K227" s="27" t="inlineStr">
        <is>
          <t>https://self-compassion.org/wp-content/uploads/2015/02/ShortSCS.pdf</t>
        </is>
      </c>
    </row>
    <row r="228" ht="23.85" customHeight="1" s="17">
      <c r="A228" s="27" t="inlineStr">
        <is>
          <t>SCS-SF</t>
        </is>
      </c>
      <c r="B228" s="27" t="inlineStr">
        <is>
          <t>Self-Compassion Scale – Short Form</t>
        </is>
      </c>
      <c r="C228" s="27" t="inlineStr">
        <is>
          <t>5. Self talk, thinking patterns and personality</t>
        </is>
      </c>
      <c r="D228" s="28" t="n">
        <v>2</v>
      </c>
      <c r="E228" s="27" t="inlineStr">
        <is>
          <t>I try to be understanding and patient towards those aspects of my personality I don't like.</t>
        </is>
      </c>
      <c r="F228" s="27" t="inlineStr">
        <is>
          <t>Self-Kindness</t>
        </is>
      </c>
      <c r="G228" s="27" t="inlineStr">
        <is>
          <t>FALSE</t>
        </is>
      </c>
      <c r="H228" s="27" t="inlineStr">
        <is>
          <t>FALSE</t>
        </is>
      </c>
      <c r="I228" s="27" t="inlineStr">
        <is>
          <t>Almost never = 1 | 2 = 2 | 3 = 3 | 4 = 4 | Almost always = 5</t>
        </is>
      </c>
      <c r="J228" s="27" t="n"/>
      <c r="K228" s="27" t="inlineStr">
        <is>
          <t>https://self-compassion.org/wp-content/uploads/2015/02/ShortSCS.pdf</t>
        </is>
      </c>
    </row>
    <row r="229" ht="23.85" customHeight="1" s="17">
      <c r="A229" s="27" t="inlineStr">
        <is>
          <t>SCS-SF</t>
        </is>
      </c>
      <c r="B229" s="27" t="inlineStr">
        <is>
          <t>Self-Compassion Scale – Short Form</t>
        </is>
      </c>
      <c r="C229" s="27" t="inlineStr">
        <is>
          <t>5. Self talk, thinking patterns and personality</t>
        </is>
      </c>
      <c r="D229" s="28" t="n">
        <v>3</v>
      </c>
      <c r="E229" s="27" t="inlineStr">
        <is>
          <t>When something painful happens I try to take a balanced view of the situation.</t>
        </is>
      </c>
      <c r="F229" s="27" t="inlineStr">
        <is>
          <t>Mindfulness</t>
        </is>
      </c>
      <c r="G229" s="27" t="inlineStr">
        <is>
          <t>FALSE</t>
        </is>
      </c>
      <c r="H229" s="27" t="inlineStr">
        <is>
          <t>FALSE</t>
        </is>
      </c>
      <c r="I229" s="27" t="inlineStr">
        <is>
          <t>Almost never = 1 | 2 = 2 | 3 = 3 | 4 = 4 | Almost always = 5</t>
        </is>
      </c>
      <c r="J229" s="27" t="n"/>
      <c r="K229" s="27" t="inlineStr">
        <is>
          <t>https://self-compassion.org/wp-content/uploads/2015/02/ShortSCS.pdf</t>
        </is>
      </c>
    </row>
    <row r="230" ht="23.85" customHeight="1" s="17">
      <c r="A230" s="27" t="inlineStr">
        <is>
          <t>SCS-SF</t>
        </is>
      </c>
      <c r="B230" s="27" t="inlineStr">
        <is>
          <t>Self-Compassion Scale – Short Form</t>
        </is>
      </c>
      <c r="C230" s="27" t="inlineStr">
        <is>
          <t>5. Self talk, thinking patterns and personality</t>
        </is>
      </c>
      <c r="D230" s="28" t="n">
        <v>4</v>
      </c>
      <c r="E230" s="27" t="inlineStr">
        <is>
          <t>When I'm feeling down, I tend to feel like most other people are probably happier than I am.</t>
        </is>
      </c>
      <c r="F230" s="27" t="inlineStr">
        <is>
          <t>Isolation</t>
        </is>
      </c>
      <c r="G230" s="34" t="inlineStr">
        <is>
          <t>TRUE</t>
        </is>
      </c>
      <c r="H230" s="27" t="inlineStr">
        <is>
          <t>FALSE</t>
        </is>
      </c>
      <c r="I230" s="27" t="inlineStr">
        <is>
          <t>Almost never = 1 | 2 = 2 | 3 = 3 | 4 = 4 | Almost always = 5</t>
        </is>
      </c>
      <c r="J230" s="27" t="n"/>
      <c r="K230" s="27" t="inlineStr">
        <is>
          <t>https://self-compassion.org/wp-content/uploads/2015/02/ShortSCS.pdf</t>
        </is>
      </c>
    </row>
    <row r="231" ht="23.85" customHeight="1" s="17">
      <c r="A231" s="27" t="inlineStr">
        <is>
          <t>SCS-SF</t>
        </is>
      </c>
      <c r="B231" s="27" t="inlineStr">
        <is>
          <t>Self-Compassion Scale – Short Form</t>
        </is>
      </c>
      <c r="C231" s="27" t="inlineStr">
        <is>
          <t>5. Self talk, thinking patterns and personality</t>
        </is>
      </c>
      <c r="D231" s="28" t="n">
        <v>5</v>
      </c>
      <c r="E231" s="27" t="inlineStr">
        <is>
          <t>I try to see my failings as part of the human condition.</t>
        </is>
      </c>
      <c r="F231" s="27" t="inlineStr">
        <is>
          <t>Common Humanity</t>
        </is>
      </c>
      <c r="G231" s="27" t="inlineStr">
        <is>
          <t>FALSE</t>
        </is>
      </c>
      <c r="H231" s="27" t="inlineStr">
        <is>
          <t>FALSE</t>
        </is>
      </c>
      <c r="I231" s="27" t="inlineStr">
        <is>
          <t>Almost never = 1 | 2 = 2 | 3 = 3 | 4 = 4 | Almost always = 5</t>
        </is>
      </c>
      <c r="J231" s="27" t="n"/>
      <c r="K231" s="27" t="inlineStr">
        <is>
          <t>https://self-compassion.org/wp-content/uploads/2015/02/ShortSCS.pdf</t>
        </is>
      </c>
    </row>
    <row r="232" ht="23.85" customHeight="1" s="17">
      <c r="A232" s="27" t="inlineStr">
        <is>
          <t>SCS-SF</t>
        </is>
      </c>
      <c r="B232" s="27" t="inlineStr">
        <is>
          <t>Self-Compassion Scale – Short Form</t>
        </is>
      </c>
      <c r="C232" s="27" t="inlineStr">
        <is>
          <t>5. Self talk, thinking patterns and personality</t>
        </is>
      </c>
      <c r="D232" s="28" t="n">
        <v>6</v>
      </c>
      <c r="E232" s="27" t="inlineStr">
        <is>
          <t>When I'm going through a very hard time, I give myself the caring and tenderness I need.</t>
        </is>
      </c>
      <c r="F232" s="27" t="inlineStr">
        <is>
          <t>Self-Kindness</t>
        </is>
      </c>
      <c r="G232" s="27" t="inlineStr">
        <is>
          <t>FALSE</t>
        </is>
      </c>
      <c r="H232" s="27" t="inlineStr">
        <is>
          <t>FALSE</t>
        </is>
      </c>
      <c r="I232" s="27" t="inlineStr">
        <is>
          <t>Almost never = 1 | 2 = 2 | 3 = 3 | 4 = 4 | Almost always = 5</t>
        </is>
      </c>
      <c r="J232" s="27" t="n"/>
      <c r="K232" s="27" t="inlineStr">
        <is>
          <t>https://self-compassion.org/wp-content/uploads/2015/02/ShortSCS.pdf</t>
        </is>
      </c>
    </row>
    <row r="233" ht="23.85" customHeight="1" s="17">
      <c r="A233" s="27" t="inlineStr">
        <is>
          <t>SCS-SF</t>
        </is>
      </c>
      <c r="B233" s="27" t="inlineStr">
        <is>
          <t>Self-Compassion Scale – Short Form</t>
        </is>
      </c>
      <c r="C233" s="27" t="inlineStr">
        <is>
          <t>5. Self talk, thinking patterns and personality</t>
        </is>
      </c>
      <c r="D233" s="28" t="n">
        <v>7</v>
      </c>
      <c r="E233" s="27" t="inlineStr">
        <is>
          <t>When something upsets me I try to keep my emotions in balance.</t>
        </is>
      </c>
      <c r="F233" s="27" t="inlineStr">
        <is>
          <t>Mindfulness</t>
        </is>
      </c>
      <c r="G233" s="27" t="inlineStr">
        <is>
          <t>FALSE</t>
        </is>
      </c>
      <c r="H233" s="27" t="inlineStr">
        <is>
          <t>FALSE</t>
        </is>
      </c>
      <c r="I233" s="27" t="inlineStr">
        <is>
          <t>Almost never = 1 | 2 = 2 | 3 = 3 | 4 = 4 | Almost always = 5</t>
        </is>
      </c>
      <c r="J233" s="27" t="n"/>
      <c r="K233" s="27" t="inlineStr">
        <is>
          <t>https://self-compassion.org/wp-content/uploads/2015/02/ShortSCS.pdf</t>
        </is>
      </c>
    </row>
    <row r="234" ht="23.85" customHeight="1" s="17">
      <c r="A234" s="27" t="inlineStr">
        <is>
          <t>SCS-SF</t>
        </is>
      </c>
      <c r="B234" s="27" t="inlineStr">
        <is>
          <t>Self-Compassion Scale – Short Form</t>
        </is>
      </c>
      <c r="C234" s="27" t="inlineStr">
        <is>
          <t>5. Self talk, thinking patterns and personality</t>
        </is>
      </c>
      <c r="D234" s="28" t="n">
        <v>8</v>
      </c>
      <c r="E234" s="27" t="inlineStr">
        <is>
          <t>When I fail at something that's important to me, I tend to feel alone in my failure.</t>
        </is>
      </c>
      <c r="F234" s="27" t="inlineStr">
        <is>
          <t>Isolation</t>
        </is>
      </c>
      <c r="G234" s="34" t="inlineStr">
        <is>
          <t>TRUE</t>
        </is>
      </c>
      <c r="H234" s="27" t="inlineStr">
        <is>
          <t>FALSE</t>
        </is>
      </c>
      <c r="I234" s="27" t="inlineStr">
        <is>
          <t>Almost never = 1 | 2 = 2 | 3 = 3 | 4 = 4 | Almost always = 5</t>
        </is>
      </c>
      <c r="J234" s="27" t="n"/>
      <c r="K234" s="27" t="inlineStr">
        <is>
          <t>https://self-compassion.org/wp-content/uploads/2015/02/ShortSCS.pdf</t>
        </is>
      </c>
    </row>
    <row r="235" ht="23.85" customHeight="1" s="17">
      <c r="A235" s="27" t="inlineStr">
        <is>
          <t>SCS-SF</t>
        </is>
      </c>
      <c r="B235" s="27" t="inlineStr">
        <is>
          <t>Self-Compassion Scale – Short Form</t>
        </is>
      </c>
      <c r="C235" s="27" t="inlineStr">
        <is>
          <t>5. Self talk, thinking patterns and personality</t>
        </is>
      </c>
      <c r="D235" s="28" t="n">
        <v>9</v>
      </c>
      <c r="E235" s="27" t="inlineStr">
        <is>
          <t>When I'm feeling down I tend to obsess and fixate on everything that's wrong.</t>
        </is>
      </c>
      <c r="F235" s="27" t="inlineStr">
        <is>
          <t>Over-Identification</t>
        </is>
      </c>
      <c r="G235" s="34" t="inlineStr">
        <is>
          <t>TRUE</t>
        </is>
      </c>
      <c r="H235" s="27" t="inlineStr">
        <is>
          <t>FALSE</t>
        </is>
      </c>
      <c r="I235" s="27" t="inlineStr">
        <is>
          <t>Almost never = 1 | 2 = 2 | 3 = 3 | 4 = 4 | Almost always = 5</t>
        </is>
      </c>
      <c r="J235" s="27" t="n"/>
      <c r="K235" s="27" t="inlineStr">
        <is>
          <t>https://self-compassion.org/wp-content/uploads/2015/02/ShortSCS.pdf</t>
        </is>
      </c>
    </row>
    <row r="236" ht="23.85" customHeight="1" s="17">
      <c r="A236" s="27" t="inlineStr">
        <is>
          <t>SCS-SF</t>
        </is>
      </c>
      <c r="B236" s="27" t="inlineStr">
        <is>
          <t>Self-Compassion Scale – Short Form</t>
        </is>
      </c>
      <c r="C236" s="27" t="inlineStr">
        <is>
          <t>5. Self talk, thinking patterns and personality</t>
        </is>
      </c>
      <c r="D236" s="28" t="n">
        <v>10</v>
      </c>
      <c r="E236" s="27" t="inlineStr">
        <is>
          <t>When I feel inadequate in some way, I try to remind myself that feelings of inadequacy are shared by most people.</t>
        </is>
      </c>
      <c r="F236" s="27" t="inlineStr">
        <is>
          <t>Common Humanity</t>
        </is>
      </c>
      <c r="G236" s="27" t="inlineStr">
        <is>
          <t>FALSE</t>
        </is>
      </c>
      <c r="H236" s="27" t="inlineStr">
        <is>
          <t>FALSE</t>
        </is>
      </c>
      <c r="I236" s="27" t="inlineStr">
        <is>
          <t>Almost never = 1 | 2 = 2 | 3 = 3 | 4 = 4 | Almost always = 5</t>
        </is>
      </c>
      <c r="J236" s="27" t="n"/>
      <c r="K236" s="27" t="inlineStr">
        <is>
          <t>https://self-compassion.org/wp-content/uploads/2015/02/ShortSCS.pdf</t>
        </is>
      </c>
    </row>
    <row r="237" ht="23.85" customHeight="1" s="17">
      <c r="A237" s="27" t="inlineStr">
        <is>
          <t>SCS-SF</t>
        </is>
      </c>
      <c r="B237" s="27" t="inlineStr">
        <is>
          <t>Self-Compassion Scale – Short Form</t>
        </is>
      </c>
      <c r="C237" s="27" t="inlineStr">
        <is>
          <t>5. Self talk, thinking patterns and personality</t>
        </is>
      </c>
      <c r="D237" s="28" t="n">
        <v>11</v>
      </c>
      <c r="E237" s="27" t="inlineStr">
        <is>
          <t>I'm disapproving and judgmental about my own flaws and inadequacies.</t>
        </is>
      </c>
      <c r="F237" s="27" t="inlineStr">
        <is>
          <t>Self-Judgment</t>
        </is>
      </c>
      <c r="G237" s="34" t="inlineStr">
        <is>
          <t>TRUE</t>
        </is>
      </c>
      <c r="H237" s="27" t="inlineStr">
        <is>
          <t>FALSE</t>
        </is>
      </c>
      <c r="I237" s="27" t="inlineStr">
        <is>
          <t>Almost never = 1 | 2 = 2 | 3 = 3 | 4 = 4 | Almost always = 5</t>
        </is>
      </c>
      <c r="J237" s="27" t="n"/>
      <c r="K237" s="27" t="inlineStr">
        <is>
          <t>https://self-compassion.org/wp-content/uploads/2015/02/ShortSCS.pdf</t>
        </is>
      </c>
    </row>
    <row r="238" ht="23.85" customHeight="1" s="17">
      <c r="A238" s="27" t="inlineStr">
        <is>
          <t>SCS-SF</t>
        </is>
      </c>
      <c r="B238" s="27" t="inlineStr">
        <is>
          <t>Self-Compassion Scale – Short Form</t>
        </is>
      </c>
      <c r="C238" s="27" t="inlineStr">
        <is>
          <t>5. Self talk, thinking patterns and personality</t>
        </is>
      </c>
      <c r="D238" s="28" t="n">
        <v>12</v>
      </c>
      <c r="E238" s="27" t="inlineStr">
        <is>
          <t>I'm intolerant and impatient towards those aspects of my personality I don't like.</t>
        </is>
      </c>
      <c r="F238" s="27" t="inlineStr">
        <is>
          <t>Self-Judgment</t>
        </is>
      </c>
      <c r="G238" s="34" t="inlineStr">
        <is>
          <t>TRUE</t>
        </is>
      </c>
      <c r="H238" s="27" t="inlineStr">
        <is>
          <t>FALSE</t>
        </is>
      </c>
      <c r="I238" s="27" t="inlineStr">
        <is>
          <t>Almost never = 1 | 2 = 2 | 3 = 3 | 4 = 4 | Almost always = 5</t>
        </is>
      </c>
      <c r="J238" s="27" t="n"/>
      <c r="K238" s="27" t="inlineStr">
        <is>
          <t>https://self-compassion.org/wp-content/uploads/2015/02/ShortSCS.pdf</t>
        </is>
      </c>
    </row>
    <row r="239" ht="23.85" customHeight="1" s="17">
      <c r="A239" s="27" t="inlineStr">
        <is>
          <t>BPNSFS</t>
        </is>
      </c>
      <c r="B239" s="27" t="inlineStr">
        <is>
          <t>Basic Psychological Need Satisfaction and Frustration Scale (BPNSFS)</t>
        </is>
      </c>
      <c r="C239" s="27" t="inlineStr">
        <is>
          <t>6. Motivation, self determination and goal pursuit</t>
        </is>
      </c>
      <c r="D239" s="28" t="n">
        <v>1</v>
      </c>
      <c r="E239" s="27" t="inlineStr">
        <is>
          <t>I feel a sense of choice and freedom in the things I undertake.</t>
        </is>
      </c>
      <c r="F239" s="27" t="inlineStr">
        <is>
          <t>Autonomy satisfaction</t>
        </is>
      </c>
      <c r="G239" s="27" t="inlineStr">
        <is>
          <t>FALSE</t>
        </is>
      </c>
      <c r="H239" s="27" t="inlineStr">
        <is>
          <t>FALSE</t>
        </is>
      </c>
      <c r="I239" s="27" t="inlineStr">
        <is>
          <t>Not true at all = 1 | 2 = 2 | 3 = 3 | 4 = 4 | Completely true = 5</t>
        </is>
      </c>
      <c r="J239" s="27" t="n"/>
      <c r="K239" s="27" t="inlineStr">
        <is>
          <t>https://selfdeterminationtheory.org/basic-psychological-need-satisfaction-and-frustration-scale/</t>
        </is>
      </c>
    </row>
    <row r="240" ht="23.85" customHeight="1" s="17">
      <c r="A240" s="27" t="inlineStr">
        <is>
          <t>BPNSFS</t>
        </is>
      </c>
      <c r="B240" s="27" t="inlineStr">
        <is>
          <t>Basic Psychological Need Satisfaction and Frustration Scale (BPNSFS)</t>
        </is>
      </c>
      <c r="C240" s="27" t="inlineStr">
        <is>
          <t>6. Motivation, self determination and goal pursuit</t>
        </is>
      </c>
      <c r="D240" s="28" t="n">
        <v>2</v>
      </c>
      <c r="E240" s="27" t="inlineStr">
        <is>
          <t>Most of the things I do feel like "I have to".</t>
        </is>
      </c>
      <c r="F240" s="27" t="inlineStr">
        <is>
          <t>Autonomy frustration</t>
        </is>
      </c>
      <c r="G240" s="27" t="inlineStr">
        <is>
          <t>FALSE</t>
        </is>
      </c>
      <c r="H240" s="27" t="inlineStr">
        <is>
          <t>FALSE</t>
        </is>
      </c>
      <c r="I240" s="27" t="inlineStr">
        <is>
          <t>Not true at all = 1 | 2 = 2 | 3 = 3 | 4 = 4 | Completely true = 5</t>
        </is>
      </c>
      <c r="J240" s="27" t="n"/>
      <c r="K240" s="27" t="inlineStr">
        <is>
          <t>https://selfdeterminationtheory.org/basic-psychological-need-satisfaction-and-frustration-scale/</t>
        </is>
      </c>
    </row>
    <row r="241" ht="23.85" customHeight="1" s="17">
      <c r="A241" s="27" t="inlineStr">
        <is>
          <t>BPNSFS</t>
        </is>
      </c>
      <c r="B241" s="27" t="inlineStr">
        <is>
          <t>Basic Psychological Need Satisfaction and Frustration Scale (BPNSFS)</t>
        </is>
      </c>
      <c r="C241" s="27" t="inlineStr">
        <is>
          <t>6. Motivation, self determination and goal pursuit</t>
        </is>
      </c>
      <c r="D241" s="28" t="n">
        <v>3</v>
      </c>
      <c r="E241" s="27" t="inlineStr">
        <is>
          <t>I feel that the people I care about also care about me.</t>
        </is>
      </c>
      <c r="F241" s="27" t="inlineStr">
        <is>
          <t>Relatedness satisfaction</t>
        </is>
      </c>
      <c r="G241" s="27" t="inlineStr">
        <is>
          <t>FALSE</t>
        </is>
      </c>
      <c r="H241" s="27" t="inlineStr">
        <is>
          <t>FALSE</t>
        </is>
      </c>
      <c r="I241" s="27" t="inlineStr">
        <is>
          <t>Not true at all = 1 | 2 = 2 | 3 = 3 | 4 = 4 | Completely true = 5</t>
        </is>
      </c>
      <c r="J241" s="27" t="n"/>
      <c r="K241" s="27" t="inlineStr">
        <is>
          <t>https://selfdeterminationtheory.org/basic-psychological-need-satisfaction-and-frustration-scale/</t>
        </is>
      </c>
    </row>
    <row r="242" ht="23.85" customHeight="1" s="17">
      <c r="A242" s="27" t="inlineStr">
        <is>
          <t>BPNSFS</t>
        </is>
      </c>
      <c r="B242" s="27" t="inlineStr">
        <is>
          <t>Basic Psychological Need Satisfaction and Frustration Scale (BPNSFS)</t>
        </is>
      </c>
      <c r="C242" s="27" t="inlineStr">
        <is>
          <t>6. Motivation, self determination and goal pursuit</t>
        </is>
      </c>
      <c r="D242" s="28" t="n">
        <v>4</v>
      </c>
      <c r="E242" s="27" t="inlineStr">
        <is>
          <t>I feel excluded from the group I want to belong to.</t>
        </is>
      </c>
      <c r="F242" s="27" t="inlineStr">
        <is>
          <t>Relatedness frustration</t>
        </is>
      </c>
      <c r="G242" s="27" t="inlineStr">
        <is>
          <t>FALSE</t>
        </is>
      </c>
      <c r="H242" s="27" t="inlineStr">
        <is>
          <t>FALSE</t>
        </is>
      </c>
      <c r="I242" s="27" t="inlineStr">
        <is>
          <t>Not true at all = 1 | 2 = 2 | 3 = 3 | 4 = 4 | Completely true = 5</t>
        </is>
      </c>
      <c r="J242" s="27" t="n"/>
      <c r="K242" s="27" t="inlineStr">
        <is>
          <t>https://selfdeterminationtheory.org/basic-psychological-need-satisfaction-and-frustration-scale/</t>
        </is>
      </c>
    </row>
    <row r="243" ht="23.85" customHeight="1" s="17">
      <c r="A243" s="27" t="inlineStr">
        <is>
          <t>BPNSFS</t>
        </is>
      </c>
      <c r="B243" s="27" t="inlineStr">
        <is>
          <t>Basic Psychological Need Satisfaction and Frustration Scale (BPNSFS)</t>
        </is>
      </c>
      <c r="C243" s="27" t="inlineStr">
        <is>
          <t>6. Motivation, self determination and goal pursuit</t>
        </is>
      </c>
      <c r="D243" s="28" t="n">
        <v>5</v>
      </c>
      <c r="E243" s="27" t="inlineStr">
        <is>
          <t>I feel confident that I can do things well.</t>
        </is>
      </c>
      <c r="F243" s="27" t="inlineStr">
        <is>
          <t>Competence satisfaction</t>
        </is>
      </c>
      <c r="G243" s="27" t="inlineStr">
        <is>
          <t>FALSE</t>
        </is>
      </c>
      <c r="H243" s="27" t="inlineStr">
        <is>
          <t>FALSE</t>
        </is>
      </c>
      <c r="I243" s="27" t="inlineStr">
        <is>
          <t>Not true at all = 1 | 2 = 2 | 3 = 3 | 4 = 4 | Completely true = 5</t>
        </is>
      </c>
      <c r="J243" s="27" t="n"/>
      <c r="K243" s="27" t="inlineStr">
        <is>
          <t>https://selfdeterminationtheory.org/basic-psychological-need-satisfaction-and-frustration-scale/</t>
        </is>
      </c>
    </row>
    <row r="244" ht="23.85" customHeight="1" s="17">
      <c r="A244" s="27" t="inlineStr">
        <is>
          <t>BPNSFS</t>
        </is>
      </c>
      <c r="B244" s="27" t="inlineStr">
        <is>
          <t>Basic Psychological Need Satisfaction and Frustration Scale (BPNSFS)</t>
        </is>
      </c>
      <c r="C244" s="27" t="inlineStr">
        <is>
          <t>6. Motivation, self determination and goal pursuit</t>
        </is>
      </c>
      <c r="D244" s="28" t="n">
        <v>6</v>
      </c>
      <c r="E244" s="27" t="inlineStr">
        <is>
          <t>I have serious doubts about whether I can do things well.</t>
        </is>
      </c>
      <c r="F244" s="27" t="inlineStr">
        <is>
          <t>Competence frustration</t>
        </is>
      </c>
      <c r="G244" s="27" t="inlineStr">
        <is>
          <t>FALSE</t>
        </is>
      </c>
      <c r="H244" s="27" t="inlineStr">
        <is>
          <t>FALSE</t>
        </is>
      </c>
      <c r="I244" s="27" t="inlineStr">
        <is>
          <t>Not true at all = 1 | 2 = 2 | 3 = 3 | 4 = 4 | Completely true = 5</t>
        </is>
      </c>
      <c r="J244" s="27" t="n"/>
      <c r="K244" s="27" t="inlineStr">
        <is>
          <t>https://selfdeterminationtheory.org/basic-psychological-need-satisfaction-and-frustration-scale/</t>
        </is>
      </c>
    </row>
    <row r="245" ht="23.85" customHeight="1" s="17">
      <c r="A245" s="27" t="inlineStr">
        <is>
          <t>BPNSFS</t>
        </is>
      </c>
      <c r="B245" s="27" t="inlineStr">
        <is>
          <t>Basic Psychological Need Satisfaction and Frustration Scale (BPNSFS)</t>
        </is>
      </c>
      <c r="C245" s="27" t="inlineStr">
        <is>
          <t>6. Motivation, self determination and goal pursuit</t>
        </is>
      </c>
      <c r="D245" s="28" t="n">
        <v>7</v>
      </c>
      <c r="E245" s="27" t="inlineStr">
        <is>
          <t>I feel that my decisions reflect what I really want.</t>
        </is>
      </c>
      <c r="F245" s="27" t="inlineStr">
        <is>
          <t>Autonomy satisfaction</t>
        </is>
      </c>
      <c r="G245" s="27" t="inlineStr">
        <is>
          <t>FALSE</t>
        </is>
      </c>
      <c r="H245" s="27" t="inlineStr">
        <is>
          <t>FALSE</t>
        </is>
      </c>
      <c r="I245" s="27" t="inlineStr">
        <is>
          <t>Not true at all = 1 | 2 = 2 | 3 = 3 | 4 = 4 | Completely true = 5</t>
        </is>
      </c>
      <c r="J245" s="27" t="n"/>
      <c r="K245" s="27" t="inlineStr">
        <is>
          <t>https://selfdeterminationtheory.org/basic-psychological-need-satisfaction-and-frustration-scale/</t>
        </is>
      </c>
    </row>
    <row r="246" ht="23.85" customHeight="1" s="17">
      <c r="A246" s="27" t="inlineStr">
        <is>
          <t>BPNSFS</t>
        </is>
      </c>
      <c r="B246" s="27" t="inlineStr">
        <is>
          <t>Basic Psychological Need Satisfaction and Frustration Scale (BPNSFS)</t>
        </is>
      </c>
      <c r="C246" s="27" t="inlineStr">
        <is>
          <t>6. Motivation, self determination and goal pursuit</t>
        </is>
      </c>
      <c r="D246" s="28" t="n">
        <v>8</v>
      </c>
      <c r="E246" s="27" t="inlineStr">
        <is>
          <t>I feel forced to do many things I wouldn't choose to do.</t>
        </is>
      </c>
      <c r="F246" s="27" t="inlineStr">
        <is>
          <t>Autonomy frustration</t>
        </is>
      </c>
      <c r="G246" s="27" t="inlineStr">
        <is>
          <t>FALSE</t>
        </is>
      </c>
      <c r="H246" s="27" t="inlineStr">
        <is>
          <t>FALSE</t>
        </is>
      </c>
      <c r="I246" s="27" t="inlineStr">
        <is>
          <t>Not true at all = 1 | 2 = 2 | 3 = 3 | 4 = 4 | Completely true = 5</t>
        </is>
      </c>
      <c r="J246" s="27" t="n"/>
      <c r="K246" s="27" t="inlineStr">
        <is>
          <t>https://selfdeterminationtheory.org/basic-psychological-need-satisfaction-and-frustration-scale/</t>
        </is>
      </c>
    </row>
    <row r="247" ht="23.85" customHeight="1" s="17">
      <c r="A247" s="27" t="inlineStr">
        <is>
          <t>BPNSFS</t>
        </is>
      </c>
      <c r="B247" s="27" t="inlineStr">
        <is>
          <t>Basic Psychological Need Satisfaction and Frustration Scale (BPNSFS)</t>
        </is>
      </c>
      <c r="C247" s="27" t="inlineStr">
        <is>
          <t>6. Motivation, self determination and goal pursuit</t>
        </is>
      </c>
      <c r="D247" s="28" t="n">
        <v>9</v>
      </c>
      <c r="E247" s="27" t="inlineStr">
        <is>
          <t>I feel connected with people who care for me, and for whom I care.</t>
        </is>
      </c>
      <c r="F247" s="27" t="inlineStr">
        <is>
          <t>Relatedness satisfaction</t>
        </is>
      </c>
      <c r="G247" s="27" t="inlineStr">
        <is>
          <t>FALSE</t>
        </is>
      </c>
      <c r="H247" s="27" t="inlineStr">
        <is>
          <t>FALSE</t>
        </is>
      </c>
      <c r="I247" s="27" t="inlineStr">
        <is>
          <t>Not true at all = 1 | 2 = 2 | 3 = 3 | 4 = 4 | Completely true = 5</t>
        </is>
      </c>
      <c r="J247" s="27" t="n"/>
      <c r="K247" s="27" t="inlineStr">
        <is>
          <t>https://selfdeterminationtheory.org/basic-psychological-need-satisfaction-and-frustration-scale/</t>
        </is>
      </c>
    </row>
    <row r="248" ht="23.85" customHeight="1" s="17">
      <c r="A248" s="27" t="inlineStr">
        <is>
          <t>BPNSFS</t>
        </is>
      </c>
      <c r="B248" s="27" t="inlineStr">
        <is>
          <t>Basic Psychological Need Satisfaction and Frustration Scale (BPNSFS)</t>
        </is>
      </c>
      <c r="C248" s="27" t="inlineStr">
        <is>
          <t>6. Motivation, self determination and goal pursuit</t>
        </is>
      </c>
      <c r="D248" s="28" t="n">
        <v>10</v>
      </c>
      <c r="E248" s="27" t="inlineStr">
        <is>
          <t>I feel that people who are important to me are cold and distant towards me.</t>
        </is>
      </c>
      <c r="F248" s="27" t="inlineStr">
        <is>
          <t>Relatedness frustration</t>
        </is>
      </c>
      <c r="G248" s="27" t="inlineStr">
        <is>
          <t>FALSE</t>
        </is>
      </c>
      <c r="H248" s="27" t="inlineStr">
        <is>
          <t>FALSE</t>
        </is>
      </c>
      <c r="I248" s="27" t="inlineStr">
        <is>
          <t>Not true at all = 1 | 2 = 2 | 3 = 3 | 4 = 4 | Completely true = 5</t>
        </is>
      </c>
      <c r="J248" s="27" t="n"/>
      <c r="K248" s="27" t="inlineStr">
        <is>
          <t>https://selfdeterminationtheory.org/basic-psychological-need-satisfaction-and-frustration-scale/</t>
        </is>
      </c>
    </row>
    <row r="249" ht="23.85" customHeight="1" s="17">
      <c r="A249" s="27" t="inlineStr">
        <is>
          <t>BPNSFS</t>
        </is>
      </c>
      <c r="B249" s="27" t="inlineStr">
        <is>
          <t>Basic Psychological Need Satisfaction and Frustration Scale (BPNSFS)</t>
        </is>
      </c>
      <c r="C249" s="27" t="inlineStr">
        <is>
          <t>6. Motivation, self determination and goal pursuit</t>
        </is>
      </c>
      <c r="D249" s="28" t="n">
        <v>11</v>
      </c>
      <c r="E249" s="27" t="inlineStr">
        <is>
          <t>I feel capable at what I do.</t>
        </is>
      </c>
      <c r="F249" s="27" t="inlineStr">
        <is>
          <t>Competence satisfaction</t>
        </is>
      </c>
      <c r="G249" s="27" t="inlineStr">
        <is>
          <t>FALSE</t>
        </is>
      </c>
      <c r="H249" s="27" t="inlineStr">
        <is>
          <t>FALSE</t>
        </is>
      </c>
      <c r="I249" s="27" t="inlineStr">
        <is>
          <t>Not true at all = 1 | 2 = 2 | 3 = 3 | 4 = 4 | Completely true = 5</t>
        </is>
      </c>
      <c r="J249" s="27" t="n"/>
      <c r="K249" s="27" t="inlineStr">
        <is>
          <t>https://selfdeterminationtheory.org/basic-psychological-need-satisfaction-and-frustration-scale/</t>
        </is>
      </c>
    </row>
    <row r="250" ht="23.85" customHeight="1" s="17">
      <c r="A250" s="27" t="inlineStr">
        <is>
          <t>BPNSFS</t>
        </is>
      </c>
      <c r="B250" s="27" t="inlineStr">
        <is>
          <t>Basic Psychological Need Satisfaction and Frustration Scale (BPNSFS)</t>
        </is>
      </c>
      <c r="C250" s="27" t="inlineStr">
        <is>
          <t>6. Motivation, self determination and goal pursuit</t>
        </is>
      </c>
      <c r="D250" s="28" t="n">
        <v>12</v>
      </c>
      <c r="E250" s="27" t="inlineStr">
        <is>
          <t>I feel disappointed with many of my performances.</t>
        </is>
      </c>
      <c r="F250" s="27" t="inlineStr">
        <is>
          <t>Competence frustration</t>
        </is>
      </c>
      <c r="G250" s="27" t="inlineStr">
        <is>
          <t>FALSE</t>
        </is>
      </c>
      <c r="H250" s="27" t="inlineStr">
        <is>
          <t>FALSE</t>
        </is>
      </c>
      <c r="I250" s="27" t="inlineStr">
        <is>
          <t>Not true at all = 1 | 2 = 2 | 3 = 3 | 4 = 4 | Completely true = 5</t>
        </is>
      </c>
      <c r="J250" s="27" t="n"/>
      <c r="K250" s="27" t="inlineStr">
        <is>
          <t>https://selfdeterminationtheory.org/basic-psychological-need-satisfaction-and-frustration-scale/</t>
        </is>
      </c>
    </row>
    <row r="251" ht="23.85" customHeight="1" s="17">
      <c r="A251" s="27" t="inlineStr">
        <is>
          <t>BPNSFS</t>
        </is>
      </c>
      <c r="B251" s="27" t="inlineStr">
        <is>
          <t>Basic Psychological Need Satisfaction and Frustration Scale (BPNSFS)</t>
        </is>
      </c>
      <c r="C251" s="27" t="inlineStr">
        <is>
          <t>6. Motivation, self determination and goal pursuit</t>
        </is>
      </c>
      <c r="D251" s="28" t="n">
        <v>13</v>
      </c>
      <c r="E251" s="27" t="inlineStr">
        <is>
          <t>I feel my choices express who I really am.</t>
        </is>
      </c>
      <c r="F251" s="27" t="inlineStr">
        <is>
          <t>Autonomy satisfaction</t>
        </is>
      </c>
      <c r="G251" s="27" t="inlineStr">
        <is>
          <t>FALSE</t>
        </is>
      </c>
      <c r="H251" s="27" t="inlineStr">
        <is>
          <t>FALSE</t>
        </is>
      </c>
      <c r="I251" s="27" t="inlineStr">
        <is>
          <t>Not true at all = 1 | 2 = 2 | 3 = 3 | 4 = 4 | Completely true = 5</t>
        </is>
      </c>
      <c r="J251" s="27" t="n"/>
      <c r="K251" s="27" t="inlineStr">
        <is>
          <t>https://selfdeterminationtheory.org/basic-psychological-need-satisfaction-and-frustration-scale/</t>
        </is>
      </c>
    </row>
    <row r="252" ht="23.85" customHeight="1" s="17">
      <c r="A252" s="27" t="inlineStr">
        <is>
          <t>BPNSFS</t>
        </is>
      </c>
      <c r="B252" s="27" t="inlineStr">
        <is>
          <t>Basic Psychological Need Satisfaction and Frustration Scale (BPNSFS)</t>
        </is>
      </c>
      <c r="C252" s="27" t="inlineStr">
        <is>
          <t>6. Motivation, self determination and goal pursuit</t>
        </is>
      </c>
      <c r="D252" s="28" t="n">
        <v>14</v>
      </c>
      <c r="E252" s="27" t="inlineStr">
        <is>
          <t>I feel pressured to do too many things.</t>
        </is>
      </c>
      <c r="F252" s="27" t="inlineStr">
        <is>
          <t>Autonomy frustration</t>
        </is>
      </c>
      <c r="G252" s="27" t="inlineStr">
        <is>
          <t>FALSE</t>
        </is>
      </c>
      <c r="H252" s="27" t="inlineStr">
        <is>
          <t>FALSE</t>
        </is>
      </c>
      <c r="I252" s="27" t="inlineStr">
        <is>
          <t>Not true at all = 1 | 2 = 2 | 3 = 3 | 4 = 4 | Completely true = 5</t>
        </is>
      </c>
      <c r="J252" s="27" t="n"/>
      <c r="K252" s="27" t="inlineStr">
        <is>
          <t>https://selfdeterminationtheory.org/basic-psychological-need-satisfaction-and-frustration-scale/</t>
        </is>
      </c>
    </row>
    <row r="253" ht="23.85" customHeight="1" s="17">
      <c r="A253" s="27" t="inlineStr">
        <is>
          <t>BPNSFS</t>
        </is>
      </c>
      <c r="B253" s="27" t="inlineStr">
        <is>
          <t>Basic Psychological Need Satisfaction and Frustration Scale (BPNSFS)</t>
        </is>
      </c>
      <c r="C253" s="27" t="inlineStr">
        <is>
          <t>6. Motivation, self determination and goal pursuit</t>
        </is>
      </c>
      <c r="D253" s="28" t="n">
        <v>15</v>
      </c>
      <c r="E253" s="27" t="inlineStr">
        <is>
          <t>I feel close and connected with other people who are important to me.</t>
        </is>
      </c>
      <c r="F253" s="27" t="inlineStr">
        <is>
          <t>Relatedness satisfaction</t>
        </is>
      </c>
      <c r="G253" s="27" t="inlineStr">
        <is>
          <t>FALSE</t>
        </is>
      </c>
      <c r="H253" s="27" t="inlineStr">
        <is>
          <t>FALSE</t>
        </is>
      </c>
      <c r="I253" s="27" t="inlineStr">
        <is>
          <t>Not true at all = 1 | 2 = 2 | 3 = 3 | 4 = 4 | Completely true = 5</t>
        </is>
      </c>
      <c r="J253" s="27" t="n"/>
      <c r="K253" s="27" t="inlineStr">
        <is>
          <t>https://selfdeterminationtheory.org/basic-psychological-need-satisfaction-and-frustration-scale/</t>
        </is>
      </c>
    </row>
    <row r="254" ht="23.85" customHeight="1" s="17">
      <c r="A254" s="27" t="inlineStr">
        <is>
          <t>BPNSFS</t>
        </is>
      </c>
      <c r="B254" s="27" t="inlineStr">
        <is>
          <t>Basic Psychological Need Satisfaction and Frustration Scale (BPNSFS)</t>
        </is>
      </c>
      <c r="C254" s="27" t="inlineStr">
        <is>
          <t>6. Motivation, self determination and goal pursuit</t>
        </is>
      </c>
      <c r="D254" s="28" t="n">
        <v>16</v>
      </c>
      <c r="E254" s="27" t="inlineStr">
        <is>
          <t>I have the impression that people I spend time with dislike me.</t>
        </is>
      </c>
      <c r="F254" s="27" t="inlineStr">
        <is>
          <t>Relatedness frustration</t>
        </is>
      </c>
      <c r="G254" s="27" t="inlineStr">
        <is>
          <t>FALSE</t>
        </is>
      </c>
      <c r="H254" s="27" t="inlineStr">
        <is>
          <t>FALSE</t>
        </is>
      </c>
      <c r="I254" s="27" t="inlineStr">
        <is>
          <t>Not true at all = 1 | 2 = 2 | 3 = 3 | 4 = 4 | Completely true = 5</t>
        </is>
      </c>
      <c r="J254" s="27" t="n"/>
      <c r="K254" s="27" t="inlineStr">
        <is>
          <t>https://selfdeterminationtheory.org/basic-psychological-need-satisfaction-and-frustration-scale/</t>
        </is>
      </c>
    </row>
    <row r="255" ht="23.85" customHeight="1" s="17">
      <c r="A255" s="27" t="inlineStr">
        <is>
          <t>BPNSFS</t>
        </is>
      </c>
      <c r="B255" s="27" t="inlineStr">
        <is>
          <t>Basic Psychological Need Satisfaction and Frustration Scale (BPNSFS)</t>
        </is>
      </c>
      <c r="C255" s="27" t="inlineStr">
        <is>
          <t>6. Motivation, self determination and goal pursuit</t>
        </is>
      </c>
      <c r="D255" s="28" t="n">
        <v>17</v>
      </c>
      <c r="E255" s="27" t="inlineStr">
        <is>
          <t>I feel competent to achieve my goals.</t>
        </is>
      </c>
      <c r="F255" s="27" t="inlineStr">
        <is>
          <t>Competence satisfaction</t>
        </is>
      </c>
      <c r="G255" s="27" t="inlineStr">
        <is>
          <t>FALSE</t>
        </is>
      </c>
      <c r="H255" s="27" t="inlineStr">
        <is>
          <t>FALSE</t>
        </is>
      </c>
      <c r="I255" s="27" t="inlineStr">
        <is>
          <t>Not true at all = 1 | 2 = 2 | 3 = 3 | 4 = 4 | Completely true = 5</t>
        </is>
      </c>
      <c r="J255" s="27" t="n"/>
      <c r="K255" s="27" t="inlineStr">
        <is>
          <t>https://selfdeterminationtheory.org/basic-psychological-need-satisfaction-and-frustration-scale/</t>
        </is>
      </c>
    </row>
    <row r="256" ht="23.85" customHeight="1" s="17">
      <c r="A256" s="27" t="inlineStr">
        <is>
          <t>BPNSFS</t>
        </is>
      </c>
      <c r="B256" s="27" t="inlineStr">
        <is>
          <t>Basic Psychological Need Satisfaction and Frustration Scale (BPNSFS)</t>
        </is>
      </c>
      <c r="C256" s="27" t="inlineStr">
        <is>
          <t>6. Motivation, self determination and goal pursuit</t>
        </is>
      </c>
      <c r="D256" s="28" t="n">
        <v>18</v>
      </c>
      <c r="E256" s="27" t="inlineStr">
        <is>
          <t>I feel insecure about my abilities.</t>
        </is>
      </c>
      <c r="F256" s="27" t="inlineStr">
        <is>
          <t>Competence frustration</t>
        </is>
      </c>
      <c r="G256" s="27" t="inlineStr">
        <is>
          <t>FALSE</t>
        </is>
      </c>
      <c r="H256" s="27" t="inlineStr">
        <is>
          <t>FALSE</t>
        </is>
      </c>
      <c r="I256" s="27" t="inlineStr">
        <is>
          <t>Not true at all = 1 | 2 = 2 | 3 = 3 | 4 = 4 | Completely true = 5</t>
        </is>
      </c>
      <c r="J256" s="27" t="n"/>
      <c r="K256" s="27" t="inlineStr">
        <is>
          <t>https://selfdeterminationtheory.org/basic-psychological-need-satisfaction-and-frustration-scale/</t>
        </is>
      </c>
    </row>
    <row r="257" ht="23.85" customHeight="1" s="17">
      <c r="A257" s="27" t="inlineStr">
        <is>
          <t>BPNSFS</t>
        </is>
      </c>
      <c r="B257" s="27" t="inlineStr">
        <is>
          <t>Basic Psychological Need Satisfaction and Frustration Scale (BPNSFS)</t>
        </is>
      </c>
      <c r="C257" s="27" t="inlineStr">
        <is>
          <t>6. Motivation, self determination and goal pursuit</t>
        </is>
      </c>
      <c r="D257" s="28" t="n">
        <v>19</v>
      </c>
      <c r="E257" s="27" t="inlineStr">
        <is>
          <t>I feel I have been doing what really interests me.</t>
        </is>
      </c>
      <c r="F257" s="27" t="inlineStr">
        <is>
          <t>Autonomy satisfaction</t>
        </is>
      </c>
      <c r="G257" s="27" t="inlineStr">
        <is>
          <t>FALSE</t>
        </is>
      </c>
      <c r="H257" s="27" t="inlineStr">
        <is>
          <t>FALSE</t>
        </is>
      </c>
      <c r="I257" s="27" t="inlineStr">
        <is>
          <t>Not true at all = 1 | 2 = 2 | 3 = 3 | 4 = 4 | Completely true = 5</t>
        </is>
      </c>
      <c r="J257" s="27" t="n"/>
      <c r="K257" s="27" t="inlineStr">
        <is>
          <t>https://selfdeterminationtheory.org/basic-psychological-need-satisfaction-and-frustration-scale/</t>
        </is>
      </c>
    </row>
    <row r="258" ht="23.85" customHeight="1" s="17">
      <c r="A258" s="27" t="inlineStr">
        <is>
          <t>BPNSFS</t>
        </is>
      </c>
      <c r="B258" s="27" t="inlineStr">
        <is>
          <t>Basic Psychological Need Satisfaction and Frustration Scale (BPNSFS)</t>
        </is>
      </c>
      <c r="C258" s="27" t="inlineStr">
        <is>
          <t>6. Motivation, self determination and goal pursuit</t>
        </is>
      </c>
      <c r="D258" s="28" t="n">
        <v>20</v>
      </c>
      <c r="E258" s="27" t="inlineStr">
        <is>
          <t>My daily activities feel like a chain of obligations.</t>
        </is>
      </c>
      <c r="F258" s="27" t="inlineStr">
        <is>
          <t>Autonomy frustration</t>
        </is>
      </c>
      <c r="G258" s="27" t="inlineStr">
        <is>
          <t>FALSE</t>
        </is>
      </c>
      <c r="H258" s="27" t="inlineStr">
        <is>
          <t>FALSE</t>
        </is>
      </c>
      <c r="I258" s="27" t="inlineStr">
        <is>
          <t>Not true at all = 1 | 2 = 2 | 3 = 3 | 4 = 4 | Completely true = 5</t>
        </is>
      </c>
      <c r="J258" s="27" t="n"/>
      <c r="K258" s="27" t="inlineStr">
        <is>
          <t>https://selfdeterminationtheory.org/basic-psychological-need-satisfaction-and-frustration-scale/</t>
        </is>
      </c>
    </row>
    <row r="259" ht="23.85" customHeight="1" s="17">
      <c r="A259" s="27" t="inlineStr">
        <is>
          <t>BPNSFS</t>
        </is>
      </c>
      <c r="B259" s="27" t="inlineStr">
        <is>
          <t>Basic Psychological Need Satisfaction and Frustration Scale (BPNSFS)</t>
        </is>
      </c>
      <c r="C259" s="27" t="inlineStr">
        <is>
          <t>6. Motivation, self determination and goal pursuit</t>
        </is>
      </c>
      <c r="D259" s="28" t="n">
        <v>21</v>
      </c>
      <c r="E259" s="27" t="inlineStr">
        <is>
          <t>I experience a warm feeling with the people I spend time with.</t>
        </is>
      </c>
      <c r="F259" s="27" t="inlineStr">
        <is>
          <t>Relatedness satisfaction</t>
        </is>
      </c>
      <c r="G259" s="27" t="inlineStr">
        <is>
          <t>FALSE</t>
        </is>
      </c>
      <c r="H259" s="27" t="inlineStr">
        <is>
          <t>FALSE</t>
        </is>
      </c>
      <c r="I259" s="27" t="inlineStr">
        <is>
          <t>Not true at all = 1 | 2 = 2 | 3 = 3 | 4 = 4 | Completely true = 5</t>
        </is>
      </c>
      <c r="J259" s="27" t="n"/>
      <c r="K259" s="27" t="inlineStr">
        <is>
          <t>https://selfdeterminationtheory.org/basic-psychological-need-satisfaction-and-frustration-scale/</t>
        </is>
      </c>
    </row>
    <row r="260" ht="23.85" customHeight="1" s="17">
      <c r="A260" s="27" t="inlineStr">
        <is>
          <t>BPNSFS</t>
        </is>
      </c>
      <c r="B260" s="27" t="inlineStr">
        <is>
          <t>Basic Psychological Need Satisfaction and Frustration Scale (BPNSFS)</t>
        </is>
      </c>
      <c r="C260" s="27" t="inlineStr">
        <is>
          <t>6. Motivation, self determination and goal pursuit</t>
        </is>
      </c>
      <c r="D260" s="28" t="n">
        <v>22</v>
      </c>
      <c r="E260" s="27" t="inlineStr">
        <is>
          <t>I feel the relationships I have are just superficial.</t>
        </is>
      </c>
      <c r="F260" s="27" t="inlineStr">
        <is>
          <t>Relatedness frustration</t>
        </is>
      </c>
      <c r="G260" s="27" t="inlineStr">
        <is>
          <t>FALSE</t>
        </is>
      </c>
      <c r="H260" s="27" t="inlineStr">
        <is>
          <t>FALSE</t>
        </is>
      </c>
      <c r="I260" s="27" t="inlineStr">
        <is>
          <t>Not true at all = 1 | 2 = 2 | 3 = 3 | 4 = 4 | Completely true = 5</t>
        </is>
      </c>
      <c r="J260" s="27" t="n"/>
      <c r="K260" s="27" t="inlineStr">
        <is>
          <t>https://selfdeterminationtheory.org/basic-psychological-need-satisfaction-and-frustration-scale/</t>
        </is>
      </c>
    </row>
    <row r="261" ht="23.85" customHeight="1" s="17">
      <c r="A261" s="27" t="inlineStr">
        <is>
          <t>BPNSFS</t>
        </is>
      </c>
      <c r="B261" s="27" t="inlineStr">
        <is>
          <t>Basic Psychological Need Satisfaction and Frustration Scale (BPNSFS)</t>
        </is>
      </c>
      <c r="C261" s="27" t="inlineStr">
        <is>
          <t>6. Motivation, self determination and goal pursuit</t>
        </is>
      </c>
      <c r="D261" s="28" t="n">
        <v>23</v>
      </c>
      <c r="E261" s="27" t="inlineStr">
        <is>
          <t>I feel I can successfully complete difficult tasks.</t>
        </is>
      </c>
      <c r="F261" s="27" t="inlineStr">
        <is>
          <t>Competence satisfaction</t>
        </is>
      </c>
      <c r="G261" s="27" t="inlineStr">
        <is>
          <t>FALSE</t>
        </is>
      </c>
      <c r="H261" s="27" t="inlineStr">
        <is>
          <t>FALSE</t>
        </is>
      </c>
      <c r="I261" s="27" t="inlineStr">
        <is>
          <t>Not true at all = 1 | 2 = 2 | 3 = 3 | 4 = 4 | Completely true = 5</t>
        </is>
      </c>
      <c r="J261" s="27" t="n"/>
      <c r="K261" s="27" t="inlineStr">
        <is>
          <t>https://selfdeterminationtheory.org/basic-psychological-need-satisfaction-and-frustration-scale/</t>
        </is>
      </c>
    </row>
    <row r="262" ht="23.85" customHeight="1" s="17">
      <c r="A262" s="27" t="inlineStr">
        <is>
          <t>BPNSFS</t>
        </is>
      </c>
      <c r="B262" s="27" t="inlineStr">
        <is>
          <t>Basic Psychological Need Satisfaction and Frustration Scale (BPNSFS)</t>
        </is>
      </c>
      <c r="C262" s="27" t="inlineStr">
        <is>
          <t>6. Motivation, self determination and goal pursuit</t>
        </is>
      </c>
      <c r="D262" s="28" t="n">
        <v>24</v>
      </c>
      <c r="E262" s="27" t="inlineStr">
        <is>
          <t>I feel like a failure because of the mistakes I make.</t>
        </is>
      </c>
      <c r="F262" s="27" t="inlineStr">
        <is>
          <t>Competence frustration</t>
        </is>
      </c>
      <c r="G262" s="27" t="inlineStr">
        <is>
          <t>FALSE</t>
        </is>
      </c>
      <c r="H262" s="27" t="inlineStr">
        <is>
          <t>FALSE</t>
        </is>
      </c>
      <c r="I262" s="27" t="inlineStr">
        <is>
          <t>Not true at all = 1 | 2 = 2 | 3 = 3 | 4 = 4 | Completely true = 5</t>
        </is>
      </c>
      <c r="J262" s="27" t="n"/>
      <c r="K262" s="27" t="inlineStr">
        <is>
          <t>https://selfdeterminationtheory.org/basic-psychological-need-satisfaction-and-frustration-scale/</t>
        </is>
      </c>
    </row>
    <row r="263" ht="23.85" customHeight="1" s="17">
      <c r="A263" s="27" t="inlineStr">
        <is>
          <t>PPS</t>
        </is>
      </c>
      <c r="B263" s="27" t="inlineStr">
        <is>
          <t>Pure Procrastination Scale</t>
        </is>
      </c>
      <c r="C263" s="27" t="inlineStr">
        <is>
          <t>6. Motivation, self determination and goal pursuit</t>
        </is>
      </c>
      <c r="D263" s="28" t="n">
        <v>1</v>
      </c>
      <c r="E263" s="27" t="inlineStr">
        <is>
          <t>I delay making decision until it's too late</t>
        </is>
      </c>
      <c r="F263" s="27" t="inlineStr">
        <is>
          <t>Pure Procrastination (total scale)</t>
        </is>
      </c>
      <c r="G263" s="27" t="inlineStr">
        <is>
          <t>FALSE</t>
        </is>
      </c>
      <c r="H263" s="27" t="inlineStr">
        <is>
          <t>FALSE</t>
        </is>
      </c>
      <c r="I263" s="27" t="inlineStr">
        <is>
          <t>Very seldom or not true of me = 1 | 2 = 2 | 3 = 3 | 4 = 4 | Very often true, or true of me = 5</t>
        </is>
      </c>
      <c r="J263" s="27" t="inlineStr">
        <is>
          <t>Verbatim from Table 1, Svartdal &amp; Steel (2017); sourced from the Decisional Procrastination Scale (DPS).</t>
        </is>
      </c>
      <c r="K263" s="27" t="inlineStr">
        <is>
          <t>https://www.frontiersin.org/articles/10.3389/fpsyg.2017.01927/full</t>
        </is>
      </c>
    </row>
    <row r="264" ht="23.85" customHeight="1" s="17">
      <c r="A264" s="27" t="inlineStr">
        <is>
          <t>PPS</t>
        </is>
      </c>
      <c r="B264" s="27" t="inlineStr">
        <is>
          <t>Pure Procrastination Scale</t>
        </is>
      </c>
      <c r="C264" s="27" t="inlineStr">
        <is>
          <t>6. Motivation, self determination and goal pursuit</t>
        </is>
      </c>
      <c r="D264" s="28" t="n">
        <v>2</v>
      </c>
      <c r="E264" s="27" t="inlineStr">
        <is>
          <t>Even after I make a decision I delay acting upon it</t>
        </is>
      </c>
      <c r="F264" s="27" t="inlineStr">
        <is>
          <t>Pure Procrastination (total scale)</t>
        </is>
      </c>
      <c r="G264" s="27" t="inlineStr">
        <is>
          <t>FALSE</t>
        </is>
      </c>
      <c r="H264" s="27" t="inlineStr">
        <is>
          <t>FALSE</t>
        </is>
      </c>
      <c r="I264" s="27" t="inlineStr">
        <is>
          <t>Very seldom or not true of me = 1 | 2 = 2 | 3 = 3 | 4 = 4 | Very often true, or true of me = 5</t>
        </is>
      </c>
      <c r="J264" s="27" t="inlineStr">
        <is>
          <t>Verbatim from Table 1, Svartdal &amp; Steel (2017); sourced from the Decisional Procrastination Scale (DPS).</t>
        </is>
      </c>
      <c r="K264" s="27" t="inlineStr">
        <is>
          <t>https://www.frontiersin.org/articles/10.3389/fpsyg.2017.01927/full</t>
        </is>
      </c>
    </row>
    <row r="265" ht="23.85" customHeight="1" s="17">
      <c r="A265" s="27" t="inlineStr">
        <is>
          <t>PPS</t>
        </is>
      </c>
      <c r="B265" s="27" t="inlineStr">
        <is>
          <t>Pure Procrastination Scale</t>
        </is>
      </c>
      <c r="C265" s="27" t="inlineStr">
        <is>
          <t>6. Motivation, self determination and goal pursuit</t>
        </is>
      </c>
      <c r="D265" s="28" t="n">
        <v>3</v>
      </c>
      <c r="E265" s="27" t="inlineStr">
        <is>
          <t>I waste a lot of time on trivial matters before getting to final decisions</t>
        </is>
      </c>
      <c r="F265" s="27" t="inlineStr">
        <is>
          <t>Pure Procrastination (total scale)</t>
        </is>
      </c>
      <c r="G265" s="27" t="inlineStr">
        <is>
          <t>FALSE</t>
        </is>
      </c>
      <c r="H265" s="27" t="inlineStr">
        <is>
          <t>FALSE</t>
        </is>
      </c>
      <c r="I265" s="27" t="inlineStr">
        <is>
          <t>Very seldom or not true of me = 1 | 2 = 2 | 3 = 3 | 4 = 4 | Very often true, or true of me = 5</t>
        </is>
      </c>
      <c r="J265" s="27" t="inlineStr">
        <is>
          <t>Verbatim from Table 1, Svartdal &amp; Steel (2017); sourced from the Decisional Procrastination Scale (DPS).</t>
        </is>
      </c>
      <c r="K265" s="27" t="inlineStr">
        <is>
          <t>https://www.frontiersin.org/articles/10.3389/fpsyg.2017.01927/full</t>
        </is>
      </c>
    </row>
    <row r="266" ht="23.85" customHeight="1" s="17">
      <c r="A266" s="27" t="inlineStr">
        <is>
          <t>PPS</t>
        </is>
      </c>
      <c r="B266" s="27" t="inlineStr">
        <is>
          <t>Pure Procrastination Scale</t>
        </is>
      </c>
      <c r="C266" s="27" t="inlineStr">
        <is>
          <t>6. Motivation, self determination and goal pursuit</t>
        </is>
      </c>
      <c r="D266" s="28" t="n">
        <v>4</v>
      </c>
      <c r="E266" s="27" t="inlineStr">
        <is>
          <t>In preparation for some deadlines, I often waste time by doing other things</t>
        </is>
      </c>
      <c r="F266" s="27" t="inlineStr">
        <is>
          <t>Pure Procrastination (total scale)</t>
        </is>
      </c>
      <c r="G266" s="27" t="inlineStr">
        <is>
          <t>FALSE</t>
        </is>
      </c>
      <c r="H266" s="27" t="inlineStr">
        <is>
          <t>FALSE</t>
        </is>
      </c>
      <c r="I266" s="27" t="inlineStr">
        <is>
          <t>Very seldom or not true of me = 1 | 2 = 2 | 3 = 3 | 4 = 4 | Very often true, or true of me = 5</t>
        </is>
      </c>
      <c r="J266" s="27" t="inlineStr">
        <is>
          <t>Verbatim from Table 1, Svartdal &amp; Steel (2017); sourced from the General Procrastination Scale (GPS).</t>
        </is>
      </c>
      <c r="K266" s="27" t="inlineStr">
        <is>
          <t>https://www.frontiersin.org/articles/10.3389/fpsyg.2017.01927/full</t>
        </is>
      </c>
    </row>
    <row r="267" ht="23.85" customHeight="1" s="17">
      <c r="A267" s="27" t="inlineStr">
        <is>
          <t>PPS</t>
        </is>
      </c>
      <c r="B267" s="27" t="inlineStr">
        <is>
          <t>Pure Procrastination Scale</t>
        </is>
      </c>
      <c r="C267" s="27" t="inlineStr">
        <is>
          <t>6. Motivation, self determination and goal pursuit</t>
        </is>
      </c>
      <c r="D267" s="28" t="n">
        <v>5</v>
      </c>
      <c r="E267" s="27" t="inlineStr">
        <is>
          <t>Even jobs that require little else except sitting down and doing them, I find they seldom get done for days</t>
        </is>
      </c>
      <c r="F267" s="27" t="inlineStr">
        <is>
          <t>Pure Procrastination (total scale)</t>
        </is>
      </c>
      <c r="G267" s="27" t="inlineStr">
        <is>
          <t>FALSE</t>
        </is>
      </c>
      <c r="H267" s="27" t="inlineStr">
        <is>
          <t>FALSE</t>
        </is>
      </c>
      <c r="I267" s="27" t="inlineStr">
        <is>
          <t>Very seldom or not true of me = 1 | 2 = 2 | 3 = 3 | 4 = 4 | Very often true, or true of me = 5</t>
        </is>
      </c>
      <c r="J267" s="27" t="inlineStr">
        <is>
          <t>Verbatim from Table 1, Svartdal &amp; Steel (2017); sourced from the General Procrastination Scale (GPS).</t>
        </is>
      </c>
      <c r="K267" s="27" t="inlineStr">
        <is>
          <t>https://www.frontiersin.org/articles/10.3389/fpsyg.2017.01927/full</t>
        </is>
      </c>
    </row>
    <row r="268" ht="23.85" customHeight="1" s="17">
      <c r="A268" s="27" t="inlineStr">
        <is>
          <t>PPS</t>
        </is>
      </c>
      <c r="B268" s="27" t="inlineStr">
        <is>
          <t>Pure Procrastination Scale</t>
        </is>
      </c>
      <c r="C268" s="27" t="inlineStr">
        <is>
          <t>6. Motivation, self determination and goal pursuit</t>
        </is>
      </c>
      <c r="D268" s="28" t="n">
        <v>6</v>
      </c>
      <c r="E268" s="27" t="inlineStr">
        <is>
          <t>I often find myself performing tasks that I had intended to do days before</t>
        </is>
      </c>
      <c r="F268" s="27" t="inlineStr">
        <is>
          <t>Pure Procrastination (total scale)</t>
        </is>
      </c>
      <c r="G268" s="27" t="inlineStr">
        <is>
          <t>FALSE</t>
        </is>
      </c>
      <c r="H268" s="27" t="inlineStr">
        <is>
          <t>FALSE</t>
        </is>
      </c>
      <c r="I268" s="27" t="inlineStr">
        <is>
          <t>Very seldom or not true of me = 1 | 2 = 2 | 3 = 3 | 4 = 4 | Very often true, or true of me = 5</t>
        </is>
      </c>
      <c r="J268" s="27" t="inlineStr">
        <is>
          <t>Verbatim from Table 1, Svartdal &amp; Steel (2017); sourced from the General Procrastination Scale (GPS).</t>
        </is>
      </c>
      <c r="K268" s="27" t="inlineStr">
        <is>
          <t>https://www.frontiersin.org/articles/10.3389/fpsyg.2017.01927/full</t>
        </is>
      </c>
    </row>
    <row r="269" ht="23.85" customHeight="1" s="17">
      <c r="A269" s="27" t="inlineStr">
        <is>
          <t>PPS</t>
        </is>
      </c>
      <c r="B269" s="27" t="inlineStr">
        <is>
          <t>Pure Procrastination Scale</t>
        </is>
      </c>
      <c r="C269" s="27" t="inlineStr">
        <is>
          <t>6. Motivation, self determination and goal pursuit</t>
        </is>
      </c>
      <c r="D269" s="28" t="n">
        <v>7</v>
      </c>
      <c r="E269" s="27" t="inlineStr">
        <is>
          <t>I am continually saying 'I'll do it tomorrow'</t>
        </is>
      </c>
      <c r="F269" s="27" t="inlineStr">
        <is>
          <t>Pure Procrastination (total scale)</t>
        </is>
      </c>
      <c r="G269" s="27" t="inlineStr">
        <is>
          <t>FALSE</t>
        </is>
      </c>
      <c r="H269" s="27" t="inlineStr">
        <is>
          <t>FALSE</t>
        </is>
      </c>
      <c r="I269" s="27" t="inlineStr">
        <is>
          <t>Very seldom or not true of me = 1 | 2 = 2 | 3 = 3 | 4 = 4 | Very often true, or true of me = 5</t>
        </is>
      </c>
      <c r="J269" s="27" t="inlineStr">
        <is>
          <t>Verbatim from Table 1, Svartdal &amp; Steel (2017); sourced from the General Procrastination Scale (GPS).</t>
        </is>
      </c>
      <c r="K269" s="27" t="inlineStr">
        <is>
          <t>https://www.frontiersin.org/articles/10.3389/fpsyg.2017.01927/full</t>
        </is>
      </c>
    </row>
    <row r="270" ht="23.85" customHeight="1" s="17">
      <c r="A270" s="27" t="inlineStr">
        <is>
          <t>PPS</t>
        </is>
      </c>
      <c r="B270" s="27" t="inlineStr">
        <is>
          <t>Pure Procrastination Scale</t>
        </is>
      </c>
      <c r="C270" s="27" t="inlineStr">
        <is>
          <t>6. Motivation, self determination and goal pursuit</t>
        </is>
      </c>
      <c r="D270" s="28" t="n">
        <v>8</v>
      </c>
      <c r="E270" s="27" t="inlineStr">
        <is>
          <t>I generally delay before starting on work I have to do</t>
        </is>
      </c>
      <c r="F270" s="27" t="inlineStr">
        <is>
          <t>Pure Procrastination (total scale)</t>
        </is>
      </c>
      <c r="G270" s="27" t="inlineStr">
        <is>
          <t>FALSE</t>
        </is>
      </c>
      <c r="H270" s="27" t="inlineStr">
        <is>
          <t>FALSE</t>
        </is>
      </c>
      <c r="I270" s="27" t="inlineStr">
        <is>
          <t>Very seldom or not true of me = 1 | 2 = 2 | 3 = 3 | 4 = 4 | Very often true, or true of me = 5</t>
        </is>
      </c>
      <c r="J270" s="27" t="inlineStr">
        <is>
          <t>Verbatim from Table 1, Svartdal &amp; Steel (2017); sourced from the General Procrastination Scale (GPS).</t>
        </is>
      </c>
      <c r="K270" s="27" t="inlineStr">
        <is>
          <t>https://www.frontiersin.org/articles/10.3389/fpsyg.2017.01927/full</t>
        </is>
      </c>
    </row>
    <row r="271" ht="23.85" customHeight="1" s="17">
      <c r="A271" s="27" t="inlineStr">
        <is>
          <t>PPS</t>
        </is>
      </c>
      <c r="B271" s="27" t="inlineStr">
        <is>
          <t>Pure Procrastination Scale</t>
        </is>
      </c>
      <c r="C271" s="27" t="inlineStr">
        <is>
          <t>6. Motivation, self determination and goal pursuit</t>
        </is>
      </c>
      <c r="D271" s="28" t="n">
        <v>9</v>
      </c>
      <c r="E271" s="27" t="inlineStr">
        <is>
          <t>I find myself running out of time</t>
        </is>
      </c>
      <c r="F271" s="27" t="inlineStr">
        <is>
          <t>Pure Procrastination (total scale)</t>
        </is>
      </c>
      <c r="G271" s="27" t="inlineStr">
        <is>
          <t>FALSE</t>
        </is>
      </c>
      <c r="H271" s="27" t="inlineStr">
        <is>
          <t>FALSE</t>
        </is>
      </c>
      <c r="I271" s="27" t="inlineStr">
        <is>
          <t>Very seldom or not true of me = 1 | 2 = 2 | 3 = 3 | 4 = 4 | Very often true, or true of me = 5</t>
        </is>
      </c>
      <c r="J271" s="27" t="inlineStr">
        <is>
          <t>Verbatim from Table 1, Svartdal &amp; Steel (2017); sourced from the Adult Inventory of Procrastination (AIP).</t>
        </is>
      </c>
      <c r="K271" s="27" t="inlineStr">
        <is>
          <t>https://www.frontiersin.org/articles/10.3389/fpsyg.2017.01927/full</t>
        </is>
      </c>
    </row>
    <row r="272" ht="23.85" customHeight="1" s="17">
      <c r="A272" s="27" t="inlineStr">
        <is>
          <t>PPS</t>
        </is>
      </c>
      <c r="B272" s="27" t="inlineStr">
        <is>
          <t>Pure Procrastination Scale</t>
        </is>
      </c>
      <c r="C272" s="27" t="inlineStr">
        <is>
          <t>6. Motivation, self determination and goal pursuit</t>
        </is>
      </c>
      <c r="D272" s="28" t="n">
        <v>10</v>
      </c>
      <c r="E272" s="27" t="inlineStr">
        <is>
          <t>I don't get things done on time</t>
        </is>
      </c>
      <c r="F272" s="27" t="inlineStr">
        <is>
          <t>Pure Procrastination (total scale)</t>
        </is>
      </c>
      <c r="G272" s="27" t="inlineStr">
        <is>
          <t>FALSE</t>
        </is>
      </c>
      <c r="H272" s="27" t="inlineStr">
        <is>
          <t>FALSE</t>
        </is>
      </c>
      <c r="I272" s="27" t="inlineStr">
        <is>
          <t>Very seldom or not true of me = 1 | 2 = 2 | 3 = 3 | 4 = 4 | Very often true, or true of me = 5</t>
        </is>
      </c>
      <c r="J272" s="27" t="inlineStr">
        <is>
          <t>Verbatim from Table 1, Svartdal &amp; Steel (2017); sourced from the Adult Inventory of Procrastination (AIP).</t>
        </is>
      </c>
      <c r="K272" s="27" t="inlineStr">
        <is>
          <t>https://www.frontiersin.org/articles/10.3389/fpsyg.2017.01927/full</t>
        </is>
      </c>
    </row>
    <row r="273" ht="23.85" customHeight="1" s="17">
      <c r="A273" s="27" t="inlineStr">
        <is>
          <t>PPS</t>
        </is>
      </c>
      <c r="B273" s="27" t="inlineStr">
        <is>
          <t>Pure Procrastination Scale</t>
        </is>
      </c>
      <c r="C273" s="27" t="inlineStr">
        <is>
          <t>6. Motivation, self determination and goal pursuit</t>
        </is>
      </c>
      <c r="D273" s="28" t="n">
        <v>11</v>
      </c>
      <c r="E273" s="27" t="inlineStr">
        <is>
          <t>I am not very good at meeting deadlines</t>
        </is>
      </c>
      <c r="F273" s="27" t="inlineStr">
        <is>
          <t>Pure Procrastination (total scale)</t>
        </is>
      </c>
      <c r="G273" s="27" t="inlineStr">
        <is>
          <t>FALSE</t>
        </is>
      </c>
      <c r="H273" s="27" t="inlineStr">
        <is>
          <t>FALSE</t>
        </is>
      </c>
      <c r="I273" s="27" t="inlineStr">
        <is>
          <t>Very seldom or not true of me = 1 | 2 = 2 | 3 = 3 | 4 = 4 | Very often true, or true of me = 5</t>
        </is>
      </c>
      <c r="J273" s="27" t="inlineStr">
        <is>
          <t>Verbatim from Table 1, Svartdal &amp; Steel (2017); sourced from the Adult Inventory of Procrastination (AIP).</t>
        </is>
      </c>
      <c r="K273" s="27" t="inlineStr">
        <is>
          <t>https://www.frontiersin.org/articles/10.3389/fpsyg.2017.01927/full</t>
        </is>
      </c>
    </row>
    <row r="274" ht="23.85" customHeight="1" s="17">
      <c r="A274" s="27" t="inlineStr">
        <is>
          <t>PPS</t>
        </is>
      </c>
      <c r="B274" s="27" t="inlineStr">
        <is>
          <t>Pure Procrastination Scale</t>
        </is>
      </c>
      <c r="C274" s="27" t="inlineStr">
        <is>
          <t>6. Motivation, self determination and goal pursuit</t>
        </is>
      </c>
      <c r="D274" s="28" t="n">
        <v>12</v>
      </c>
      <c r="E274" s="27" t="inlineStr">
        <is>
          <t>Putting things off till the last minute has cost me money in the past</t>
        </is>
      </c>
      <c r="F274" s="27" t="inlineStr">
        <is>
          <t>Pure Procrastination (total scale)</t>
        </is>
      </c>
      <c r="G274" s="27" t="inlineStr">
        <is>
          <t>FALSE</t>
        </is>
      </c>
      <c r="H274" s="27" t="inlineStr">
        <is>
          <t>FALSE</t>
        </is>
      </c>
      <c r="I274" s="27" t="inlineStr">
        <is>
          <t>Very seldom or not true of me = 1 | 2 = 2 | 3 = 3 | 4 = 4 | Very often true, or true of me = 5</t>
        </is>
      </c>
      <c r="J274" s="27" t="inlineStr">
        <is>
          <t>Verbatim from Table 1, Svartdal &amp; Steel (2017); sourced from the Adult Inventory of Procrastination (AIP).</t>
        </is>
      </c>
      <c r="K274" s="27" t="inlineStr">
        <is>
          <t>https://www.frontiersin.org/articles/10.3389/fpsyg.2017.01927/full</t>
        </is>
      </c>
    </row>
    <row r="275" ht="23.85" customHeight="1" s="17">
      <c r="A275" s="27" t="inlineStr">
        <is>
          <t>IPS</t>
        </is>
      </c>
      <c r="B275" s="27" t="inlineStr">
        <is>
          <t>Irrational Procrastination Scale</t>
        </is>
      </c>
      <c r="C275" s="27" t="inlineStr">
        <is>
          <t>6. Motivation, self determination and goal pursuit</t>
        </is>
      </c>
      <c r="D275" s="28" t="n">
        <v>1</v>
      </c>
      <c r="E275" s="27" t="inlineStr">
        <is>
          <t>I put things off so long that my well-being or efficiency unnecessarily suffers</t>
        </is>
      </c>
      <c r="F275" s="27" t="inlineStr">
        <is>
          <t>Irrational Procrastination (total scale)</t>
        </is>
      </c>
      <c r="G275" s="27" t="inlineStr">
        <is>
          <t>FALSE</t>
        </is>
      </c>
      <c r="H275" s="27" t="inlineStr">
        <is>
          <t>FALSE</t>
        </is>
      </c>
      <c r="I275" s="27" t="inlineStr">
        <is>
          <t>Very seldom or not true of me = 1 | 2 = 2 | 3 = 3 | 4 = 4 | Very often true, or true of me = 5</t>
        </is>
      </c>
      <c r="J275" s="27" t="inlineStr">
        <is>
          <t>Verbatim from Table 1, Svartdal &amp; Steel (2017).</t>
        </is>
      </c>
      <c r="K275" s="27" t="inlineStr">
        <is>
          <t>https://www.frontiersin.org/articles/10.3389/fpsyg.2017.01927/full</t>
        </is>
      </c>
    </row>
    <row r="276" ht="23.85" customHeight="1" s="17">
      <c r="A276" s="27" t="inlineStr">
        <is>
          <t>IPS</t>
        </is>
      </c>
      <c r="B276" s="27" t="inlineStr">
        <is>
          <t>Irrational Procrastination Scale</t>
        </is>
      </c>
      <c r="C276" s="27" t="inlineStr">
        <is>
          <t>6. Motivation, self determination and goal pursuit</t>
        </is>
      </c>
      <c r="D276" s="28" t="n">
        <v>2</v>
      </c>
      <c r="E276" s="27" t="inlineStr">
        <is>
          <t>If there is something I should do, I get to it before attending to lesser tasks</t>
        </is>
      </c>
      <c r="F276" s="27" t="inlineStr">
        <is>
          <t>Irrational Procrastination (total scale)</t>
        </is>
      </c>
      <c r="G276" s="34" t="inlineStr">
        <is>
          <t>TRUE</t>
        </is>
      </c>
      <c r="H276" s="27" t="inlineStr">
        <is>
          <t>FALSE</t>
        </is>
      </c>
      <c r="I276" s="27" t="inlineStr">
        <is>
          <t>Very seldom or not true of me = 1 | 2 = 2 | 3 = 3 | 4 = 4 | Very often true, or true of me = 5</t>
        </is>
      </c>
      <c r="J276" s="27" t="inlineStr">
        <is>
          <t>Verbatim from Table 1, Svartdal &amp; Steel (2017); marked '(R)' (reverse-scored) in the source table.</t>
        </is>
      </c>
      <c r="K276" s="27" t="inlineStr">
        <is>
          <t>https://www.frontiersin.org/articles/10.3389/fpsyg.2017.01927/full</t>
        </is>
      </c>
    </row>
    <row r="277" ht="23.85" customHeight="1" s="17">
      <c r="A277" s="27" t="inlineStr">
        <is>
          <t>IPS</t>
        </is>
      </c>
      <c r="B277" s="27" t="inlineStr">
        <is>
          <t>Irrational Procrastination Scale</t>
        </is>
      </c>
      <c r="C277" s="27" t="inlineStr">
        <is>
          <t>6. Motivation, self determination and goal pursuit</t>
        </is>
      </c>
      <c r="D277" s="28" t="n">
        <v>3</v>
      </c>
      <c r="E277" s="27" t="inlineStr">
        <is>
          <t>My life would be better if I did some activities or tasks earlier</t>
        </is>
      </c>
      <c r="F277" s="27" t="inlineStr">
        <is>
          <t>Irrational Procrastination (total scale)</t>
        </is>
      </c>
      <c r="G277" s="27" t="inlineStr">
        <is>
          <t>FALSE</t>
        </is>
      </c>
      <c r="H277" s="27" t="inlineStr">
        <is>
          <t>FALSE</t>
        </is>
      </c>
      <c r="I277" s="27" t="inlineStr">
        <is>
          <t>Very seldom or not true of me = 1 | 2 = 2 | 3 = 3 | 4 = 4 | Very often true, or true of me = 5</t>
        </is>
      </c>
      <c r="J277" s="27" t="inlineStr">
        <is>
          <t>Verbatim from Table 1, Svartdal &amp; Steel (2017).</t>
        </is>
      </c>
      <c r="K277" s="27" t="inlineStr">
        <is>
          <t>https://www.frontiersin.org/articles/10.3389/fpsyg.2017.01927/full</t>
        </is>
      </c>
    </row>
    <row r="278" ht="23.85" customHeight="1" s="17">
      <c r="A278" s="27" t="inlineStr">
        <is>
          <t>IPS</t>
        </is>
      </c>
      <c r="B278" s="27" t="inlineStr">
        <is>
          <t>Irrational Procrastination Scale</t>
        </is>
      </c>
      <c r="C278" s="27" t="inlineStr">
        <is>
          <t>6. Motivation, self determination and goal pursuit</t>
        </is>
      </c>
      <c r="D278" s="28" t="n">
        <v>4</v>
      </c>
      <c r="E278" s="27" t="inlineStr">
        <is>
          <t>When I should be doing one thing, I will do another</t>
        </is>
      </c>
      <c r="F278" s="27" t="inlineStr">
        <is>
          <t>Irrational Procrastination (total scale)</t>
        </is>
      </c>
      <c r="G278" s="27" t="inlineStr">
        <is>
          <t>FALSE</t>
        </is>
      </c>
      <c r="H278" s="27" t="inlineStr">
        <is>
          <t>FALSE</t>
        </is>
      </c>
      <c r="I278" s="27" t="inlineStr">
        <is>
          <t>Very seldom or not true of me = 1 | 2 = 2 | 3 = 3 | 4 = 4 | Very often true, or true of me = 5</t>
        </is>
      </c>
      <c r="J278" s="27" t="inlineStr">
        <is>
          <t>Verbatim from Table 1, Svartdal &amp; Steel (2017).</t>
        </is>
      </c>
      <c r="K278" s="27" t="inlineStr">
        <is>
          <t>https://www.frontiersin.org/articles/10.3389/fpsyg.2017.01927/full</t>
        </is>
      </c>
    </row>
    <row r="279" ht="23.85" customHeight="1" s="17">
      <c r="A279" s="27" t="inlineStr">
        <is>
          <t>IPS</t>
        </is>
      </c>
      <c r="B279" s="27" t="inlineStr">
        <is>
          <t>Irrational Procrastination Scale</t>
        </is>
      </c>
      <c r="C279" s="27" t="inlineStr">
        <is>
          <t>6. Motivation, self determination and goal pursuit</t>
        </is>
      </c>
      <c r="D279" s="28" t="n">
        <v>5</v>
      </c>
      <c r="E279" s="27" t="inlineStr">
        <is>
          <t>At the end of the day, I know I could have spent the time better</t>
        </is>
      </c>
      <c r="F279" s="27" t="inlineStr">
        <is>
          <t>Irrational Procrastination (total scale)</t>
        </is>
      </c>
      <c r="G279" s="27" t="inlineStr">
        <is>
          <t>FALSE</t>
        </is>
      </c>
      <c r="H279" s="27" t="inlineStr">
        <is>
          <t>FALSE</t>
        </is>
      </c>
      <c r="I279" s="27" t="inlineStr">
        <is>
          <t>Very seldom or not true of me = 1 | 2 = 2 | 3 = 3 | 4 = 4 | Very often true, or true of me = 5</t>
        </is>
      </c>
      <c r="J279" s="27" t="inlineStr">
        <is>
          <t>Verbatim from Table 1, Svartdal &amp; Steel (2017).</t>
        </is>
      </c>
      <c r="K279" s="27" t="inlineStr">
        <is>
          <t>https://www.frontiersin.org/articles/10.3389/fpsyg.2017.01927/full</t>
        </is>
      </c>
    </row>
    <row r="280" ht="23.85" customHeight="1" s="17">
      <c r="A280" s="27" t="inlineStr">
        <is>
          <t>IPS</t>
        </is>
      </c>
      <c r="B280" s="27" t="inlineStr">
        <is>
          <t>Irrational Procrastination Scale</t>
        </is>
      </c>
      <c r="C280" s="27" t="inlineStr">
        <is>
          <t>6. Motivation, self determination and goal pursuit</t>
        </is>
      </c>
      <c r="D280" s="28" t="n">
        <v>6</v>
      </c>
      <c r="E280" s="27" t="inlineStr">
        <is>
          <t>I spend my time wisely</t>
        </is>
      </c>
      <c r="F280" s="27" t="inlineStr">
        <is>
          <t>Irrational Procrastination (total scale)</t>
        </is>
      </c>
      <c r="G280" s="34" t="inlineStr">
        <is>
          <t>TRUE</t>
        </is>
      </c>
      <c r="H280" s="27" t="inlineStr">
        <is>
          <t>FALSE</t>
        </is>
      </c>
      <c r="I280" s="27" t="inlineStr">
        <is>
          <t>Very seldom or not true of me = 1 | 2 = 2 | 3 = 3 | 4 = 4 | Very often true, or true of me = 5</t>
        </is>
      </c>
      <c r="J280" s="27" t="inlineStr">
        <is>
          <t>Verbatim from Table 1, Svartdal &amp; Steel (2017); marked '(R)' (reverse-scored) in the source table.</t>
        </is>
      </c>
      <c r="K280" s="27" t="inlineStr">
        <is>
          <t>https://www.frontiersin.org/articles/10.3389/fpsyg.2017.01927/full</t>
        </is>
      </c>
    </row>
    <row r="281" ht="23.85" customHeight="1" s="17">
      <c r="A281" s="27" t="inlineStr">
        <is>
          <t>IPS</t>
        </is>
      </c>
      <c r="B281" s="27" t="inlineStr">
        <is>
          <t>Irrational Procrastination Scale</t>
        </is>
      </c>
      <c r="C281" s="27" t="inlineStr">
        <is>
          <t>6. Motivation, self determination and goal pursuit</t>
        </is>
      </c>
      <c r="D281" s="28" t="n">
        <v>7</v>
      </c>
      <c r="E281" s="27" t="inlineStr">
        <is>
          <t>I delay tasks beyond what is reasonable</t>
        </is>
      </c>
      <c r="F281" s="27" t="inlineStr">
        <is>
          <t>Irrational Procrastination (total scale)</t>
        </is>
      </c>
      <c r="G281" s="27" t="inlineStr">
        <is>
          <t>FALSE</t>
        </is>
      </c>
      <c r="H281" s="27" t="inlineStr">
        <is>
          <t>FALSE</t>
        </is>
      </c>
      <c r="I281" s="27" t="inlineStr">
        <is>
          <t>Very seldom or not true of me = 1 | 2 = 2 | 3 = 3 | 4 = 4 | Very often true, or true of me = 5</t>
        </is>
      </c>
      <c r="J281" s="27" t="inlineStr">
        <is>
          <t>Verbatim from Table 1, Svartdal &amp; Steel (2017).</t>
        </is>
      </c>
      <c r="K281" s="27" t="inlineStr">
        <is>
          <t>https://www.frontiersin.org/articles/10.3389/fpsyg.2017.01927/full</t>
        </is>
      </c>
    </row>
    <row r="282" ht="23.85" customHeight="1" s="17">
      <c r="A282" s="27" t="inlineStr">
        <is>
          <t>IPS</t>
        </is>
      </c>
      <c r="B282" s="27" t="inlineStr">
        <is>
          <t>Irrational Procrastination Scale</t>
        </is>
      </c>
      <c r="C282" s="27" t="inlineStr">
        <is>
          <t>6. Motivation, self determination and goal pursuit</t>
        </is>
      </c>
      <c r="D282" s="28" t="n">
        <v>8</v>
      </c>
      <c r="E282" s="27" t="inlineStr">
        <is>
          <t>I procrastinate</t>
        </is>
      </c>
      <c r="F282" s="27" t="inlineStr">
        <is>
          <t>Irrational Procrastination (total scale)</t>
        </is>
      </c>
      <c r="G282" s="27" t="inlineStr">
        <is>
          <t>FALSE</t>
        </is>
      </c>
      <c r="H282" s="27" t="inlineStr">
        <is>
          <t>FALSE</t>
        </is>
      </c>
      <c r="I282" s="27" t="inlineStr">
        <is>
          <t>Very seldom or not true of me = 1 | 2 = 2 | 3 = 3 | 4 = 4 | Very often true, or true of me = 5</t>
        </is>
      </c>
      <c r="J282" s="27" t="inlineStr">
        <is>
          <t>Verbatim from Table 1, Svartdal &amp; Steel (2017).</t>
        </is>
      </c>
      <c r="K282" s="27" t="inlineStr">
        <is>
          <t>https://www.frontiersin.org/articles/10.3389/fpsyg.2017.01927/full</t>
        </is>
      </c>
    </row>
    <row r="283" ht="23.85" customHeight="1" s="17">
      <c r="A283" s="27" t="inlineStr">
        <is>
          <t>IPS</t>
        </is>
      </c>
      <c r="B283" s="27" t="inlineStr">
        <is>
          <t>Irrational Procrastination Scale</t>
        </is>
      </c>
      <c r="C283" s="27" t="inlineStr">
        <is>
          <t>6. Motivation, self determination and goal pursuit</t>
        </is>
      </c>
      <c r="D283" s="28" t="n">
        <v>9</v>
      </c>
      <c r="E283" s="27" t="inlineStr">
        <is>
          <t>I do everything when I believe it needs to be done</t>
        </is>
      </c>
      <c r="F283" s="27" t="inlineStr">
        <is>
          <t>Irrational Procrastination (total scale)</t>
        </is>
      </c>
      <c r="G283" s="34" t="inlineStr">
        <is>
          <t>TRUE</t>
        </is>
      </c>
      <c r="H283" s="27" t="inlineStr">
        <is>
          <t>FALSE</t>
        </is>
      </c>
      <c r="I283" s="27" t="inlineStr">
        <is>
          <t>Very seldom or not true of me = 1 | 2 = 2 | 3 = 3 | 4 = 4 | Very often true, or true of me = 5</t>
        </is>
      </c>
      <c r="J283" s="27" t="inlineStr">
        <is>
          <t>Verbatim from Table 1, Svartdal &amp; Steel (2017); marked '(R)' (reverse-scored) in the source table.</t>
        </is>
      </c>
      <c r="K283" s="27" t="inlineStr">
        <is>
          <t>https://www.frontiersin.org/articles/10.3389/fpsyg.2017.01927/full</t>
        </is>
      </c>
    </row>
    <row r="284" ht="23.85" customHeight="1" s="17">
      <c r="A284" s="27" t="inlineStr">
        <is>
          <t>GSE</t>
        </is>
      </c>
      <c r="B284" s="27" t="inlineStr">
        <is>
          <t>General Self-Efficacy Scale</t>
        </is>
      </c>
      <c r="C284" s="27" t="inlineStr">
        <is>
          <t>6. Motivation, self determination and goal pursuit</t>
        </is>
      </c>
      <c r="D284" s="28" t="n">
        <v>1</v>
      </c>
      <c r="E284" s="27" t="inlineStr">
        <is>
          <t>I can always manage to solve difficult problems if I try hard enough.</t>
        </is>
      </c>
      <c r="F284" s="27" t="inlineStr">
        <is>
          <t>General Self-Efficacy (total scale)</t>
        </is>
      </c>
      <c r="G284" s="27" t="inlineStr">
        <is>
          <t>FALSE</t>
        </is>
      </c>
      <c r="H284" s="27" t="inlineStr">
        <is>
          <t>FALSE</t>
        </is>
      </c>
      <c r="I284" s="27" t="inlineStr">
        <is>
          <t>Not at all true = 1 | Hardly true = 2 | Moderately true = 3 | Exactly true = 4</t>
        </is>
      </c>
      <c r="J284" s="27" t="inlineStr">
        <is>
          <t>Verbatim from the official FU Berlin page, https://userpage.fu-berlin.de/~health/engscal.htm.</t>
        </is>
      </c>
      <c r="K284" s="27" t="inlineStr">
        <is>
          <t>https://userpage.fu-berlin.de/~health/engscal.htm</t>
        </is>
      </c>
    </row>
    <row r="285" ht="23.85" customHeight="1" s="17">
      <c r="A285" s="27" t="inlineStr">
        <is>
          <t>GSE</t>
        </is>
      </c>
      <c r="B285" s="27" t="inlineStr">
        <is>
          <t>General Self-Efficacy Scale</t>
        </is>
      </c>
      <c r="C285" s="27" t="inlineStr">
        <is>
          <t>6. Motivation, self determination and goal pursuit</t>
        </is>
      </c>
      <c r="D285" s="28" t="n">
        <v>2</v>
      </c>
      <c r="E285" s="27" t="inlineStr">
        <is>
          <t>If someone opposes me, I can find the means and ways to get what I want.</t>
        </is>
      </c>
      <c r="F285" s="27" t="inlineStr">
        <is>
          <t>General Self-Efficacy (total scale)</t>
        </is>
      </c>
      <c r="G285" s="27" t="inlineStr">
        <is>
          <t>FALSE</t>
        </is>
      </c>
      <c r="H285" s="27" t="inlineStr">
        <is>
          <t>FALSE</t>
        </is>
      </c>
      <c r="I285" s="27" t="inlineStr">
        <is>
          <t>Not at all true = 1 | Hardly true = 2 | Moderately true = 3 | Exactly true = 4</t>
        </is>
      </c>
      <c r="J285" s="27" t="inlineStr">
        <is>
          <t>Verbatim from the official FU Berlin page.</t>
        </is>
      </c>
      <c r="K285" s="27" t="inlineStr">
        <is>
          <t>https://userpage.fu-berlin.de/~health/engscal.htm</t>
        </is>
      </c>
    </row>
    <row r="286" ht="23.85" customHeight="1" s="17">
      <c r="A286" s="27" t="inlineStr">
        <is>
          <t>GSE</t>
        </is>
      </c>
      <c r="B286" s="27" t="inlineStr">
        <is>
          <t>General Self-Efficacy Scale</t>
        </is>
      </c>
      <c r="C286" s="27" t="inlineStr">
        <is>
          <t>6. Motivation, self determination and goal pursuit</t>
        </is>
      </c>
      <c r="D286" s="28" t="n">
        <v>3</v>
      </c>
      <c r="E286" s="27" t="inlineStr">
        <is>
          <t>It is easy for me to stick to my aims and accomplish my goals.</t>
        </is>
      </c>
      <c r="F286" s="27" t="inlineStr">
        <is>
          <t>General Self-Efficacy (total scale)</t>
        </is>
      </c>
      <c r="G286" s="27" t="inlineStr">
        <is>
          <t>FALSE</t>
        </is>
      </c>
      <c r="H286" s="27" t="inlineStr">
        <is>
          <t>FALSE</t>
        </is>
      </c>
      <c r="I286" s="27" t="inlineStr">
        <is>
          <t>Not at all true = 1 | Hardly true = 2 | Moderately true = 3 | Exactly true = 4</t>
        </is>
      </c>
      <c r="J286" s="27" t="inlineStr">
        <is>
          <t>Verbatim from the official FU Berlin page.</t>
        </is>
      </c>
      <c r="K286" s="27" t="inlineStr">
        <is>
          <t>https://userpage.fu-berlin.de/~health/engscal.htm</t>
        </is>
      </c>
    </row>
    <row r="287" ht="23.85" customHeight="1" s="17">
      <c r="A287" s="27" t="inlineStr">
        <is>
          <t>GSE</t>
        </is>
      </c>
      <c r="B287" s="27" t="inlineStr">
        <is>
          <t>General Self-Efficacy Scale</t>
        </is>
      </c>
      <c r="C287" s="27" t="inlineStr">
        <is>
          <t>6. Motivation, self determination and goal pursuit</t>
        </is>
      </c>
      <c r="D287" s="28" t="n">
        <v>4</v>
      </c>
      <c r="E287" s="27" t="inlineStr">
        <is>
          <t>I am confident that I could deal efficiently with unexpected events.</t>
        </is>
      </c>
      <c r="F287" s="27" t="inlineStr">
        <is>
          <t>General Self-Efficacy (total scale)</t>
        </is>
      </c>
      <c r="G287" s="27" t="inlineStr">
        <is>
          <t>FALSE</t>
        </is>
      </c>
      <c r="H287" s="27" t="inlineStr">
        <is>
          <t>FALSE</t>
        </is>
      </c>
      <c r="I287" s="27" t="inlineStr">
        <is>
          <t>Not at all true = 1 | Hardly true = 2 | Moderately true = 3 | Exactly true = 4</t>
        </is>
      </c>
      <c r="J287" s="27" t="inlineStr">
        <is>
          <t>Verbatim from the official FU Berlin page.</t>
        </is>
      </c>
      <c r="K287" s="27" t="inlineStr">
        <is>
          <t>https://userpage.fu-berlin.de/~health/engscal.htm</t>
        </is>
      </c>
    </row>
    <row r="288" ht="23.85" customHeight="1" s="17">
      <c r="A288" s="27" t="inlineStr">
        <is>
          <t>GSE</t>
        </is>
      </c>
      <c r="B288" s="27" t="inlineStr">
        <is>
          <t>General Self-Efficacy Scale</t>
        </is>
      </c>
      <c r="C288" s="27" t="inlineStr">
        <is>
          <t>6. Motivation, self determination and goal pursuit</t>
        </is>
      </c>
      <c r="D288" s="28" t="n">
        <v>5</v>
      </c>
      <c r="E288" s="27" t="inlineStr">
        <is>
          <t>Thanks to my resourcefulness, I know how to handle unforeseen situations.</t>
        </is>
      </c>
      <c r="F288" s="27" t="inlineStr">
        <is>
          <t>General Self-Efficacy (total scale)</t>
        </is>
      </c>
      <c r="G288" s="27" t="inlineStr">
        <is>
          <t>FALSE</t>
        </is>
      </c>
      <c r="H288" s="27" t="inlineStr">
        <is>
          <t>FALSE</t>
        </is>
      </c>
      <c r="I288" s="27" t="inlineStr">
        <is>
          <t>Not at all true = 1 | Hardly true = 2 | Moderately true = 3 | Exactly true = 4</t>
        </is>
      </c>
      <c r="J288" s="27" t="inlineStr">
        <is>
          <t>Verbatim from the official FU Berlin page.</t>
        </is>
      </c>
      <c r="K288" s="27" t="inlineStr">
        <is>
          <t>https://userpage.fu-berlin.de/~health/engscal.htm</t>
        </is>
      </c>
    </row>
    <row r="289" ht="23.85" customHeight="1" s="17">
      <c r="A289" s="27" t="inlineStr">
        <is>
          <t>GSE</t>
        </is>
      </c>
      <c r="B289" s="27" t="inlineStr">
        <is>
          <t>General Self-Efficacy Scale</t>
        </is>
      </c>
      <c r="C289" s="27" t="inlineStr">
        <is>
          <t>6. Motivation, self determination and goal pursuit</t>
        </is>
      </c>
      <c r="D289" s="28" t="n">
        <v>6</v>
      </c>
      <c r="E289" s="27" t="inlineStr">
        <is>
          <t>I can solve most problems if I invest the necessary effort.</t>
        </is>
      </c>
      <c r="F289" s="27" t="inlineStr">
        <is>
          <t>General Self-Efficacy (total scale)</t>
        </is>
      </c>
      <c r="G289" s="27" t="inlineStr">
        <is>
          <t>FALSE</t>
        </is>
      </c>
      <c r="H289" s="27" t="inlineStr">
        <is>
          <t>FALSE</t>
        </is>
      </c>
      <c r="I289" s="27" t="inlineStr">
        <is>
          <t>Not at all true = 1 | Hardly true = 2 | Moderately true = 3 | Exactly true = 4</t>
        </is>
      </c>
      <c r="J289" s="27" t="inlineStr">
        <is>
          <t>Verbatim from the official FU Berlin page.</t>
        </is>
      </c>
      <c r="K289" s="27" t="inlineStr">
        <is>
          <t>https://userpage.fu-berlin.de/~health/engscal.htm</t>
        </is>
      </c>
    </row>
    <row r="290" ht="23.85" customHeight="1" s="17">
      <c r="A290" s="27" t="inlineStr">
        <is>
          <t>GSE</t>
        </is>
      </c>
      <c r="B290" s="27" t="inlineStr">
        <is>
          <t>General Self-Efficacy Scale</t>
        </is>
      </c>
      <c r="C290" s="27" t="inlineStr">
        <is>
          <t>6. Motivation, self determination and goal pursuit</t>
        </is>
      </c>
      <c r="D290" s="28" t="n">
        <v>7</v>
      </c>
      <c r="E290" s="27" t="inlineStr">
        <is>
          <t>I can remain calm when facing difficulties because I can rely on my coping abilities.</t>
        </is>
      </c>
      <c r="F290" s="27" t="inlineStr">
        <is>
          <t>General Self-Efficacy (total scale)</t>
        </is>
      </c>
      <c r="G290" s="27" t="inlineStr">
        <is>
          <t>FALSE</t>
        </is>
      </c>
      <c r="H290" s="27" t="inlineStr">
        <is>
          <t>FALSE</t>
        </is>
      </c>
      <c r="I290" s="27" t="inlineStr">
        <is>
          <t>Not at all true = 1 | Hardly true = 2 | Moderately true = 3 | Exactly true = 4</t>
        </is>
      </c>
      <c r="J290" s="27" t="inlineStr">
        <is>
          <t>Verbatim from the official FU Berlin page.</t>
        </is>
      </c>
      <c r="K290" s="27" t="inlineStr">
        <is>
          <t>https://userpage.fu-berlin.de/~health/engscal.htm</t>
        </is>
      </c>
    </row>
    <row r="291" ht="23.85" customHeight="1" s="17">
      <c r="A291" s="27" t="inlineStr">
        <is>
          <t>GSE</t>
        </is>
      </c>
      <c r="B291" s="27" t="inlineStr">
        <is>
          <t>General Self-Efficacy Scale</t>
        </is>
      </c>
      <c r="C291" s="27" t="inlineStr">
        <is>
          <t>6. Motivation, self determination and goal pursuit</t>
        </is>
      </c>
      <c r="D291" s="28" t="n">
        <v>8</v>
      </c>
      <c r="E291" s="27" t="inlineStr">
        <is>
          <t>When I am confronted with a problem, I can usually find several solutions.</t>
        </is>
      </c>
      <c r="F291" s="27" t="inlineStr">
        <is>
          <t>General Self-Efficacy (total scale)</t>
        </is>
      </c>
      <c r="G291" s="27" t="inlineStr">
        <is>
          <t>FALSE</t>
        </is>
      </c>
      <c r="H291" s="27" t="inlineStr">
        <is>
          <t>FALSE</t>
        </is>
      </c>
      <c r="I291" s="27" t="inlineStr">
        <is>
          <t>Not at all true = 1 | Hardly true = 2 | Moderately true = 3 | Exactly true = 4</t>
        </is>
      </c>
      <c r="J291" s="27" t="inlineStr">
        <is>
          <t>Verbatim from the official FU Berlin page.</t>
        </is>
      </c>
      <c r="K291" s="27" t="inlineStr">
        <is>
          <t>https://userpage.fu-berlin.de/~health/engscal.htm</t>
        </is>
      </c>
    </row>
    <row r="292" ht="23.85" customHeight="1" s="17">
      <c r="A292" s="27" t="inlineStr">
        <is>
          <t>GSE</t>
        </is>
      </c>
      <c r="B292" s="27" t="inlineStr">
        <is>
          <t>General Self-Efficacy Scale</t>
        </is>
      </c>
      <c r="C292" s="27" t="inlineStr">
        <is>
          <t>6. Motivation, self determination and goal pursuit</t>
        </is>
      </c>
      <c r="D292" s="28" t="n">
        <v>9</v>
      </c>
      <c r="E292" s="27" t="inlineStr">
        <is>
          <t>If I am in trouble, I can usually think of a solution.</t>
        </is>
      </c>
      <c r="F292" s="27" t="inlineStr">
        <is>
          <t>General Self-Efficacy (total scale)</t>
        </is>
      </c>
      <c r="G292" s="27" t="inlineStr">
        <is>
          <t>FALSE</t>
        </is>
      </c>
      <c r="H292" s="27" t="inlineStr">
        <is>
          <t>FALSE</t>
        </is>
      </c>
      <c r="I292" s="27" t="inlineStr">
        <is>
          <t>Not at all true = 1 | Hardly true = 2 | Moderately true = 3 | Exactly true = 4</t>
        </is>
      </c>
      <c r="J292" s="27" t="inlineStr">
        <is>
          <t>Verbatim from the official FU Berlin page.</t>
        </is>
      </c>
      <c r="K292" s="27" t="inlineStr">
        <is>
          <t>https://userpage.fu-berlin.de/~health/engscal.htm</t>
        </is>
      </c>
    </row>
    <row r="293" ht="23.85" customHeight="1" s="17">
      <c r="A293" s="27" t="inlineStr">
        <is>
          <t>GSE</t>
        </is>
      </c>
      <c r="B293" s="27" t="inlineStr">
        <is>
          <t>General Self-Efficacy Scale</t>
        </is>
      </c>
      <c r="C293" s="27" t="inlineStr">
        <is>
          <t>6. Motivation, self determination and goal pursuit</t>
        </is>
      </c>
      <c r="D293" s="28" t="n">
        <v>10</v>
      </c>
      <c r="E293" s="27" t="inlineStr">
        <is>
          <t>I can usually handle whatever comes my way.</t>
        </is>
      </c>
      <c r="F293" s="27" t="inlineStr">
        <is>
          <t>General Self-Efficacy (total scale)</t>
        </is>
      </c>
      <c r="G293" s="27" t="inlineStr">
        <is>
          <t>FALSE</t>
        </is>
      </c>
      <c r="H293" s="27" t="inlineStr">
        <is>
          <t>FALSE</t>
        </is>
      </c>
      <c r="I293" s="27" t="inlineStr">
        <is>
          <t>Not at all true = 1 | Hardly true = 2 | Moderately true = 3 | Exactly true = 4</t>
        </is>
      </c>
      <c r="J293" s="27" t="inlineStr">
        <is>
          <t>Verbatim from the official FU Berlin page.</t>
        </is>
      </c>
      <c r="K293" s="27" t="inlineStr">
        <is>
          <t>https://userpage.fu-berlin.de/~health/engscal.htm</t>
        </is>
      </c>
    </row>
    <row r="294" ht="46.25" customHeight="1" s="17">
      <c r="A294" s="27" t="inlineStr">
        <is>
          <t>GCS</t>
        </is>
      </c>
      <c r="B294" s="27" t="inlineStr">
        <is>
          <t>Goal Commitment Scale (5-item unidimensional version)</t>
        </is>
      </c>
      <c r="C294" s="27" t="inlineStr">
        <is>
          <t>6. Motivation, self determination and goal pursuit</t>
        </is>
      </c>
      <c r="D294" s="28" t="n">
        <v>1</v>
      </c>
      <c r="E294" s="27" t="inlineStr">
        <is>
          <t>It's hard to take this goal seriously.</t>
        </is>
      </c>
      <c r="F294" s="27" t="inlineStr">
        <is>
          <t>Goal Commitment</t>
        </is>
      </c>
      <c r="G294" s="34" t="inlineStr">
        <is>
          <t>TRUE</t>
        </is>
      </c>
      <c r="H294" s="27" t="inlineStr">
        <is>
          <t>FALSE</t>
        </is>
      </c>
      <c r="I294" s="27" t="inlineStr">
        <is>
          <t>Strongly Disagree = 1 | Moderately Disagree = 2 | Neutral = 3 | Moderately Agree = 4 | Strongly Agree = 5</t>
        </is>
      </c>
      <c r="J294" s="27" t="inlineStr">
        <is>
          <t>Item wording and reverse keying per Klein et al. (2001, p. 34) as quoted in Missouri State University thesis https://bearworks.missouristate.edu/cgi/viewcontent.cgi?article=4229&amp;context=theses.</t>
        </is>
      </c>
      <c r="K294" s="27" t="inlineStr">
        <is>
          <t>https://bearworks.missouristate.edu/cgi/viewcontent.cgi?article=4229&amp;context=theses</t>
        </is>
      </c>
    </row>
    <row r="295" ht="46.25" customHeight="1" s="17">
      <c r="A295" s="27" t="inlineStr">
        <is>
          <t>GCS</t>
        </is>
      </c>
      <c r="B295" s="27" t="inlineStr">
        <is>
          <t>Goal Commitment Scale (5-item unidimensional version)</t>
        </is>
      </c>
      <c r="C295" s="27" t="inlineStr">
        <is>
          <t>6. Motivation, self determination and goal pursuit</t>
        </is>
      </c>
      <c r="D295" s="28" t="n">
        <v>2</v>
      </c>
      <c r="E295" s="27" t="inlineStr">
        <is>
          <t>Quite frankly, I don't care if I achieve this goal or not.</t>
        </is>
      </c>
      <c r="F295" s="27" t="inlineStr">
        <is>
          <t>Goal Commitment</t>
        </is>
      </c>
      <c r="G295" s="34" t="inlineStr">
        <is>
          <t>TRUE</t>
        </is>
      </c>
      <c r="H295" s="27" t="inlineStr">
        <is>
          <t>FALSE</t>
        </is>
      </c>
      <c r="I295" s="27" t="inlineStr">
        <is>
          <t>Strongly Disagree = 1 | Moderately Disagree = 2 | Neutral = 3 | Moderately Agree = 4 | Strongly Agree = 5</t>
        </is>
      </c>
      <c r="J295" s="27" t="inlineStr">
        <is>
          <t>Item wording and reverse keying per Klein et al. (2001, p. 34) as quoted in Missouri State University thesis https://bearworks.missouristate.edu/cgi/viewcontent.cgi?article=4229&amp;context=theses.</t>
        </is>
      </c>
      <c r="K295" s="27" t="inlineStr">
        <is>
          <t>https://bearworks.missouristate.edu/cgi/viewcontent.cgi?article=4229&amp;context=theses</t>
        </is>
      </c>
    </row>
    <row r="296" ht="46.25" customHeight="1" s="17">
      <c r="A296" s="27" t="inlineStr">
        <is>
          <t>GCS</t>
        </is>
      </c>
      <c r="B296" s="27" t="inlineStr">
        <is>
          <t>Goal Commitment Scale (5-item unidimensional version)</t>
        </is>
      </c>
      <c r="C296" s="27" t="inlineStr">
        <is>
          <t>6. Motivation, self determination and goal pursuit</t>
        </is>
      </c>
      <c r="D296" s="28" t="n">
        <v>3</v>
      </c>
      <c r="E296" s="27" t="inlineStr">
        <is>
          <t>I am strongly committed to pursuing this goal.</t>
        </is>
      </c>
      <c r="F296" s="27" t="inlineStr">
        <is>
          <t>Goal Commitment</t>
        </is>
      </c>
      <c r="G296" s="27" t="inlineStr">
        <is>
          <t>FALSE</t>
        </is>
      </c>
      <c r="H296" s="27" t="inlineStr">
        <is>
          <t>FALSE</t>
        </is>
      </c>
      <c r="I296" s="27" t="inlineStr">
        <is>
          <t>Strongly Disagree = 1 | Moderately Disagree = 2 | Neutral = 3 | Moderately Agree = 4 | Strongly Agree = 5</t>
        </is>
      </c>
      <c r="J296" s="27" t="inlineStr">
        <is>
          <t>Item wording and reverse keying per Klein et al. (2001, p. 34) as quoted in Missouri State University thesis https://bearworks.missouristate.edu/cgi/viewcontent.cgi?article=4229&amp;context=theses.</t>
        </is>
      </c>
      <c r="K296" s="27" t="inlineStr">
        <is>
          <t>https://bearworks.missouristate.edu/cgi/viewcontent.cgi?article=4229&amp;context=theses</t>
        </is>
      </c>
    </row>
    <row r="297" ht="46.25" customHeight="1" s="17">
      <c r="A297" s="27" t="inlineStr">
        <is>
          <t>GCS</t>
        </is>
      </c>
      <c r="B297" s="27" t="inlineStr">
        <is>
          <t>Goal Commitment Scale (5-item unidimensional version)</t>
        </is>
      </c>
      <c r="C297" s="27" t="inlineStr">
        <is>
          <t>6. Motivation, self determination and goal pursuit</t>
        </is>
      </c>
      <c r="D297" s="28" t="n">
        <v>4</v>
      </c>
      <c r="E297" s="27" t="inlineStr">
        <is>
          <t>It wouldn't take much to make me abandon this goal.</t>
        </is>
      </c>
      <c r="F297" s="27" t="inlineStr">
        <is>
          <t>Goal Commitment</t>
        </is>
      </c>
      <c r="G297" s="34" t="inlineStr">
        <is>
          <t>TRUE</t>
        </is>
      </c>
      <c r="H297" s="27" t="inlineStr">
        <is>
          <t>FALSE</t>
        </is>
      </c>
      <c r="I297" s="27" t="inlineStr">
        <is>
          <t>Strongly Disagree = 1 | Moderately Disagree = 2 | Neutral = 3 | Moderately Agree = 4 | Strongly Agree = 5</t>
        </is>
      </c>
      <c r="J297" s="27" t="inlineStr">
        <is>
          <t>Item wording and reverse keying per Klein et al. (2001, p. 34) as quoted in Missouri State University thesis https://bearworks.missouristate.edu/cgi/viewcontent.cgi?article=4229&amp;context=theses.</t>
        </is>
      </c>
      <c r="K297" s="27" t="inlineStr">
        <is>
          <t>https://bearworks.missouristate.edu/cgi/viewcontent.cgi?article=4229&amp;context=theses</t>
        </is>
      </c>
    </row>
    <row r="298" ht="46.25" customHeight="1" s="17">
      <c r="A298" s="27" t="inlineStr">
        <is>
          <t>GCS</t>
        </is>
      </c>
      <c r="B298" s="27" t="inlineStr">
        <is>
          <t>Goal Commitment Scale (5-item unidimensional version)</t>
        </is>
      </c>
      <c r="C298" s="27" t="inlineStr">
        <is>
          <t>6. Motivation, self determination and goal pursuit</t>
        </is>
      </c>
      <c r="D298" s="28" t="n">
        <v>5</v>
      </c>
      <c r="E298" s="27" t="inlineStr">
        <is>
          <t>I think this is a good goal to shoot for.</t>
        </is>
      </c>
      <c r="F298" s="27" t="inlineStr">
        <is>
          <t>Goal Commitment</t>
        </is>
      </c>
      <c r="G298" s="27" t="inlineStr">
        <is>
          <t>FALSE</t>
        </is>
      </c>
      <c r="H298" s="27" t="inlineStr">
        <is>
          <t>FALSE</t>
        </is>
      </c>
      <c r="I298" s="27" t="inlineStr">
        <is>
          <t>Strongly Disagree = 1 | Moderately Disagree = 2 | Neutral = 3 | Moderately Agree = 4 | Strongly Agree = 5</t>
        </is>
      </c>
      <c r="J298" s="27" t="inlineStr">
        <is>
          <t>Item wording and reverse keying per Klein et al. (2001, p. 34) as quoted in Missouri State University thesis https://bearworks.missouristate.edu/cgi/viewcontent.cgi?article=4229&amp;context=theses.</t>
        </is>
      </c>
      <c r="K298" s="27" t="inlineStr">
        <is>
          <t>https://bearworks.missouristate.edu/cgi/viewcontent.cgi?article=4229&amp;context=theses</t>
        </is>
      </c>
    </row>
    <row r="299" ht="23.85" customHeight="1" s="17">
      <c r="A299" s="27" t="inlineStr">
        <is>
          <t>GADJ</t>
        </is>
      </c>
      <c r="B299" s="27" t="inlineStr">
        <is>
          <t>Goal Adjustment Scale</t>
        </is>
      </c>
      <c r="C299" s="27" t="inlineStr">
        <is>
          <t>6. Motivation, self determination and goal pursuit</t>
        </is>
      </c>
      <c r="D299" s="28" t="n">
        <v>1</v>
      </c>
      <c r="E299" s="27" t="inlineStr">
        <is>
          <t>It's easy for me to reduce my effort toward the goal.</t>
        </is>
      </c>
      <c r="F299" s="27" t="inlineStr">
        <is>
          <t>Goal Disengagement</t>
        </is>
      </c>
      <c r="G299" s="27" t="inlineStr">
        <is>
          <t>FALSE</t>
        </is>
      </c>
      <c r="H299" s="27" t="inlineStr">
        <is>
          <t>FALSE</t>
        </is>
      </c>
      <c r="I299" s="27" t="inlineStr">
        <is>
          <t>Almost never true = 1 | 2 = 2 | 3 = 3 | 4 = 4 | Almost always true = 5</t>
        </is>
      </c>
      <c r="J299" s="27" t="inlineStr">
        <is>
          <t>Verbatim from Table 1, Wrosch et al. (2003), fetched from the Carnegie Mellon-hosted copy of the original article.</t>
        </is>
      </c>
      <c r="K299" s="27" t="inlineStr">
        <is>
          <t>https://www.cmu.edu/dietrich/psychology/pdf/scales/GAS_article.pdf</t>
        </is>
      </c>
    </row>
    <row r="300" ht="35.05" customHeight="1" s="17">
      <c r="A300" s="27" t="inlineStr">
        <is>
          <t>GADJ</t>
        </is>
      </c>
      <c r="B300" s="27" t="inlineStr">
        <is>
          <t>Goal Adjustment Scale</t>
        </is>
      </c>
      <c r="C300" s="27" t="inlineStr">
        <is>
          <t>6. Motivation, self determination and goal pursuit</t>
        </is>
      </c>
      <c r="D300" s="28" t="n">
        <v>2</v>
      </c>
      <c r="E300" s="27" t="inlineStr">
        <is>
          <t>I find it difficult to stop trying to achieve the goal.</t>
        </is>
      </c>
      <c r="F300" s="27" t="inlineStr">
        <is>
          <t>Goal Disengagement</t>
        </is>
      </c>
      <c r="G300" s="34" t="inlineStr">
        <is>
          <t>TRUE</t>
        </is>
      </c>
      <c r="H300" s="27" t="inlineStr">
        <is>
          <t>FALSE</t>
        </is>
      </c>
      <c r="I300" s="27" t="inlineStr">
        <is>
          <t>Almost never true = 1 | 2 = 2 | 3 = 3 | 4 = 4 | Almost always true = 5</t>
        </is>
      </c>
      <c r="J300" s="27" t="inlineStr">
        <is>
          <t>Verbatim from Table 1, Wrosch et al. (2003); marked with a reverse-scoring symbol in the original table because it is worded in the direction of persistence, not disengagement.</t>
        </is>
      </c>
      <c r="K300" s="27" t="inlineStr">
        <is>
          <t>https://www.cmu.edu/dietrich/psychology/pdf/scales/GAS_article.pdf</t>
        </is>
      </c>
    </row>
    <row r="301" ht="23.85" customHeight="1" s="17">
      <c r="A301" s="27" t="inlineStr">
        <is>
          <t>GADJ</t>
        </is>
      </c>
      <c r="B301" s="27" t="inlineStr">
        <is>
          <t>Goal Adjustment Scale</t>
        </is>
      </c>
      <c r="C301" s="27" t="inlineStr">
        <is>
          <t>6. Motivation, self determination and goal pursuit</t>
        </is>
      </c>
      <c r="D301" s="28" t="n">
        <v>3</v>
      </c>
      <c r="E301" s="27" t="inlineStr">
        <is>
          <t>I stay committed to the goal for a long time; I can't let it go.</t>
        </is>
      </c>
      <c r="F301" s="27" t="inlineStr">
        <is>
          <t>Goal Disengagement</t>
        </is>
      </c>
      <c r="G301" s="34" t="inlineStr">
        <is>
          <t>TRUE</t>
        </is>
      </c>
      <c r="H301" s="27" t="inlineStr">
        <is>
          <t>FALSE</t>
        </is>
      </c>
      <c r="I301" s="27" t="inlineStr">
        <is>
          <t>Almost never true = 1 | 2 = 2 | 3 = 3 | 4 = 4 | Almost always true = 5</t>
        </is>
      </c>
      <c r="J301" s="27" t="inlineStr">
        <is>
          <t>Verbatim from Table 1, Wrosch et al. (2003); marked with a reverse-scoring symbol in the original table for the same reason as item 2.</t>
        </is>
      </c>
      <c r="K301" s="27" t="inlineStr">
        <is>
          <t>https://www.cmu.edu/dietrich/psychology/pdf/scales/GAS_article.pdf</t>
        </is>
      </c>
    </row>
    <row r="302" ht="23.85" customHeight="1" s="17">
      <c r="A302" s="27" t="inlineStr">
        <is>
          <t>GADJ</t>
        </is>
      </c>
      <c r="B302" s="27" t="inlineStr">
        <is>
          <t>Goal Adjustment Scale</t>
        </is>
      </c>
      <c r="C302" s="27" t="inlineStr">
        <is>
          <t>6. Motivation, self determination and goal pursuit</t>
        </is>
      </c>
      <c r="D302" s="28" t="n">
        <v>4</v>
      </c>
      <c r="E302" s="27" t="inlineStr">
        <is>
          <t>It's easy for me to stop thinking about the goal and let it go.</t>
        </is>
      </c>
      <c r="F302" s="27" t="inlineStr">
        <is>
          <t>Goal Disengagement</t>
        </is>
      </c>
      <c r="G302" s="27" t="inlineStr">
        <is>
          <t>FALSE</t>
        </is>
      </c>
      <c r="H302" s="27" t="inlineStr">
        <is>
          <t>FALSE</t>
        </is>
      </c>
      <c r="I302" s="27" t="inlineStr">
        <is>
          <t>Almost never true = 1 | 2 = 2 | 3 = 3 | 4 = 4 | Almost always true = 5</t>
        </is>
      </c>
      <c r="J302" s="27" t="inlineStr">
        <is>
          <t>Verbatim from Table 1, Wrosch et al. (2003).</t>
        </is>
      </c>
      <c r="K302" s="27" t="inlineStr">
        <is>
          <t>https://www.cmu.edu/dietrich/psychology/pdf/scales/GAS_article.pdf</t>
        </is>
      </c>
    </row>
    <row r="303" ht="23.85" customHeight="1" s="17">
      <c r="A303" s="27" t="inlineStr">
        <is>
          <t>GADJ</t>
        </is>
      </c>
      <c r="B303" s="27" t="inlineStr">
        <is>
          <t>Goal Adjustment Scale</t>
        </is>
      </c>
      <c r="C303" s="27" t="inlineStr">
        <is>
          <t>6. Motivation, self determination and goal pursuit</t>
        </is>
      </c>
      <c r="D303" s="28" t="n">
        <v>5</v>
      </c>
      <c r="E303" s="27" t="inlineStr">
        <is>
          <t>I think about other new goals to pursue.</t>
        </is>
      </c>
      <c r="F303" s="27" t="inlineStr">
        <is>
          <t>Goal Reengagement</t>
        </is>
      </c>
      <c r="G303" s="27" t="inlineStr">
        <is>
          <t>FALSE</t>
        </is>
      </c>
      <c r="H303" s="27" t="inlineStr">
        <is>
          <t>FALSE</t>
        </is>
      </c>
      <c r="I303" s="27" t="inlineStr">
        <is>
          <t>Almost never true = 1 | 2 = 2 | 3 = 3 | 4 = 4 | Almost always true = 5</t>
        </is>
      </c>
      <c r="J303" s="27" t="inlineStr">
        <is>
          <t>Verbatim from Table 1, Wrosch et al. (2003).</t>
        </is>
      </c>
      <c r="K303" s="27" t="inlineStr">
        <is>
          <t>https://www.cmu.edu/dietrich/psychology/pdf/scales/GAS_article.pdf</t>
        </is>
      </c>
    </row>
    <row r="304" ht="23.85" customHeight="1" s="17">
      <c r="A304" s="27" t="inlineStr">
        <is>
          <t>GADJ</t>
        </is>
      </c>
      <c r="B304" s="27" t="inlineStr">
        <is>
          <t>Goal Adjustment Scale</t>
        </is>
      </c>
      <c r="C304" s="27" t="inlineStr">
        <is>
          <t>6. Motivation, self determination and goal pursuit</t>
        </is>
      </c>
      <c r="D304" s="28" t="n">
        <v>6</v>
      </c>
      <c r="E304" s="27" t="inlineStr">
        <is>
          <t>I seek other meaningful goals.</t>
        </is>
      </c>
      <c r="F304" s="27" t="inlineStr">
        <is>
          <t>Goal Reengagement</t>
        </is>
      </c>
      <c r="G304" s="27" t="inlineStr">
        <is>
          <t>FALSE</t>
        </is>
      </c>
      <c r="H304" s="27" t="inlineStr">
        <is>
          <t>FALSE</t>
        </is>
      </c>
      <c r="I304" s="27" t="inlineStr">
        <is>
          <t>Almost never true = 1 | 2 = 2 | 3 = 3 | 4 = 4 | Almost always true = 5</t>
        </is>
      </c>
      <c r="J304" s="27" t="inlineStr">
        <is>
          <t>Verbatim from Table 1, Wrosch et al. (2003).</t>
        </is>
      </c>
      <c r="K304" s="27" t="inlineStr">
        <is>
          <t>https://www.cmu.edu/dietrich/psychology/pdf/scales/GAS_article.pdf</t>
        </is>
      </c>
    </row>
    <row r="305" ht="23.85" customHeight="1" s="17">
      <c r="A305" s="27" t="inlineStr">
        <is>
          <t>GADJ</t>
        </is>
      </c>
      <c r="B305" s="27" t="inlineStr">
        <is>
          <t>Goal Adjustment Scale</t>
        </is>
      </c>
      <c r="C305" s="27" t="inlineStr">
        <is>
          <t>6. Motivation, self determination and goal pursuit</t>
        </is>
      </c>
      <c r="D305" s="28" t="n">
        <v>7</v>
      </c>
      <c r="E305" s="27" t="inlineStr">
        <is>
          <t>I convince myself that I have other meaningful goals to pursue.</t>
        </is>
      </c>
      <c r="F305" s="27" t="inlineStr">
        <is>
          <t>Goal Reengagement</t>
        </is>
      </c>
      <c r="G305" s="27" t="inlineStr">
        <is>
          <t>FALSE</t>
        </is>
      </c>
      <c r="H305" s="27" t="inlineStr">
        <is>
          <t>FALSE</t>
        </is>
      </c>
      <c r="I305" s="27" t="inlineStr">
        <is>
          <t>Almost never true = 1 | 2 = 2 | 3 = 3 | 4 = 4 | Almost always true = 5</t>
        </is>
      </c>
      <c r="J305" s="27" t="inlineStr">
        <is>
          <t>Verbatim from Table 1, Wrosch et al. (2003).</t>
        </is>
      </c>
      <c r="K305" s="27" t="inlineStr">
        <is>
          <t>https://www.cmu.edu/dietrich/psychology/pdf/scales/GAS_article.pdf</t>
        </is>
      </c>
    </row>
    <row r="306" ht="23.85" customHeight="1" s="17">
      <c r="A306" s="27" t="inlineStr">
        <is>
          <t>GADJ</t>
        </is>
      </c>
      <c r="B306" s="27" t="inlineStr">
        <is>
          <t>Goal Adjustment Scale</t>
        </is>
      </c>
      <c r="C306" s="27" t="inlineStr">
        <is>
          <t>6. Motivation, self determination and goal pursuit</t>
        </is>
      </c>
      <c r="D306" s="28" t="n">
        <v>8</v>
      </c>
      <c r="E306" s="27" t="inlineStr">
        <is>
          <t>I tell myself that I have a number of other new goals to draw on.</t>
        </is>
      </c>
      <c r="F306" s="27" t="inlineStr">
        <is>
          <t>Goal Reengagement</t>
        </is>
      </c>
      <c r="G306" s="27" t="inlineStr">
        <is>
          <t>FALSE</t>
        </is>
      </c>
      <c r="H306" s="27" t="inlineStr">
        <is>
          <t>FALSE</t>
        </is>
      </c>
      <c r="I306" s="27" t="inlineStr">
        <is>
          <t>Almost never true = 1 | 2 = 2 | 3 = 3 | 4 = 4 | Almost always true = 5</t>
        </is>
      </c>
      <c r="J306" s="27" t="inlineStr">
        <is>
          <t>Verbatim from Table 1, Wrosch et al. (2003).</t>
        </is>
      </c>
      <c r="K306" s="27" t="inlineStr">
        <is>
          <t>https://www.cmu.edu/dietrich/psychology/pdf/scales/GAS_article.pdf</t>
        </is>
      </c>
    </row>
    <row r="307" ht="23.85" customHeight="1" s="17">
      <c r="A307" s="27" t="inlineStr">
        <is>
          <t>GADJ</t>
        </is>
      </c>
      <c r="B307" s="27" t="inlineStr">
        <is>
          <t>Goal Adjustment Scale</t>
        </is>
      </c>
      <c r="C307" s="27" t="inlineStr">
        <is>
          <t>6. Motivation, self determination and goal pursuit</t>
        </is>
      </c>
      <c r="D307" s="28" t="n">
        <v>9</v>
      </c>
      <c r="E307" s="27" t="inlineStr">
        <is>
          <t>I start working on other new goals.</t>
        </is>
      </c>
      <c r="F307" s="27" t="inlineStr">
        <is>
          <t>Goal Reengagement</t>
        </is>
      </c>
      <c r="G307" s="27" t="inlineStr">
        <is>
          <t>FALSE</t>
        </is>
      </c>
      <c r="H307" s="27" t="inlineStr">
        <is>
          <t>FALSE</t>
        </is>
      </c>
      <c r="I307" s="27" t="inlineStr">
        <is>
          <t>Almost never true = 1 | 2 = 2 | 3 = 3 | 4 = 4 | Almost always true = 5</t>
        </is>
      </c>
      <c r="J307" s="27" t="inlineStr">
        <is>
          <t>Verbatim from Table 1, Wrosch et al. (2003).</t>
        </is>
      </c>
      <c r="K307" s="27" t="inlineStr">
        <is>
          <t>https://www.cmu.edu/dietrich/psychology/pdf/scales/GAS_article.pdf</t>
        </is>
      </c>
    </row>
    <row r="308" ht="23.85" customHeight="1" s="17">
      <c r="A308" s="27" t="inlineStr">
        <is>
          <t>GADJ</t>
        </is>
      </c>
      <c r="B308" s="27" t="inlineStr">
        <is>
          <t>Goal Adjustment Scale</t>
        </is>
      </c>
      <c r="C308" s="27" t="inlineStr">
        <is>
          <t>6. Motivation, self determination and goal pursuit</t>
        </is>
      </c>
      <c r="D308" s="28" t="n">
        <v>10</v>
      </c>
      <c r="E308" s="27" t="inlineStr">
        <is>
          <t>I put effort toward other meaningful goals.</t>
        </is>
      </c>
      <c r="F308" s="27" t="inlineStr">
        <is>
          <t>Goal Reengagement</t>
        </is>
      </c>
      <c r="G308" s="27" t="inlineStr">
        <is>
          <t>FALSE</t>
        </is>
      </c>
      <c r="H308" s="27" t="inlineStr">
        <is>
          <t>FALSE</t>
        </is>
      </c>
      <c r="I308" s="27" t="inlineStr">
        <is>
          <t>Almost never true = 1 | 2 = 2 | 3 = 3 | 4 = 4 | Almost always true = 5</t>
        </is>
      </c>
      <c r="J308" s="27" t="inlineStr">
        <is>
          <t>Verbatim from Table 1, Wrosch et al. (2003).</t>
        </is>
      </c>
      <c r="K308" s="27" t="inlineStr">
        <is>
          <t>https://www.cmu.edu/dietrich/psychology/pdf/scales/GAS_article.pdf</t>
        </is>
      </c>
    </row>
    <row r="309">
      <c r="A309" t="inlineStr">
        <is>
          <t>ADEXI</t>
        </is>
      </c>
      <c r="B309" t="inlineStr">
        <is>
          <t>Adult Executive Functioning Inventory</t>
        </is>
      </c>
      <c r="C309" t="inlineStr">
        <is>
          <t>1. Executive functioning and ADHD</t>
        </is>
      </c>
      <c r="D309" t="n">
        <v>1</v>
      </c>
      <c r="E309" t="inlineStr">
        <is>
          <t>I have difficulty remembering lengthy instructions</t>
        </is>
      </c>
      <c r="F309" t="inlineStr">
        <is>
          <t>Working Memory</t>
        </is>
      </c>
      <c r="G309" t="inlineStr">
        <is>
          <t>FALSE</t>
        </is>
      </c>
      <c r="H309" t="inlineStr">
        <is>
          <t>FALSE</t>
        </is>
      </c>
      <c r="I309" t="inlineStr">
        <is>
          <t>Definitely not true = 1 | Not true = 2 | Partially true = 3 | True = 4 | Definitely true = 5</t>
        </is>
      </c>
      <c r="K309" t="inlineStr">
        <is>
          <t>https://chexi.se/onewebmedia/English%20ADEXI%20self-report.pdf</t>
        </is>
      </c>
    </row>
    <row r="310">
      <c r="A310" t="inlineStr">
        <is>
          <t>ADEXI</t>
        </is>
      </c>
      <c r="B310" t="inlineStr">
        <is>
          <t>Adult Executive Functioning Inventory</t>
        </is>
      </c>
      <c r="C310" t="inlineStr">
        <is>
          <t>1. Executive functioning and ADHD</t>
        </is>
      </c>
      <c r="D310" t="n">
        <v>2</v>
      </c>
      <c r="E310" t="inlineStr">
        <is>
          <t>I have difficulty remembering what I am doing in the middle of an activity</t>
        </is>
      </c>
      <c r="F310" t="inlineStr">
        <is>
          <t>Working Memory</t>
        </is>
      </c>
      <c r="G310" t="inlineStr">
        <is>
          <t>FALSE</t>
        </is>
      </c>
      <c r="H310" t="inlineStr">
        <is>
          <t>FALSE</t>
        </is>
      </c>
      <c r="I310" t="inlineStr">
        <is>
          <t>Definitely not true = 1 | Not true = 2 | Partially true = 3 | True = 4 | Definitely true = 5</t>
        </is>
      </c>
      <c r="K310" t="inlineStr">
        <is>
          <t>https://chexi.se/onewebmedia/English%20ADEXI%20self-report.pdf</t>
        </is>
      </c>
    </row>
    <row r="311">
      <c r="A311" t="inlineStr">
        <is>
          <t>ADEXI</t>
        </is>
      </c>
      <c r="B311" t="inlineStr">
        <is>
          <t>Adult Executive Functioning Inventory</t>
        </is>
      </c>
      <c r="C311" t="inlineStr">
        <is>
          <t>1. Executive functioning and ADHD</t>
        </is>
      </c>
      <c r="D311" t="n">
        <v>3</v>
      </c>
      <c r="E311" t="inlineStr">
        <is>
          <t>I have a tendency to do things without first thinking about what could happen</t>
        </is>
      </c>
      <c r="F311" t="inlineStr">
        <is>
          <t>Inhibition</t>
        </is>
      </c>
      <c r="G311" t="inlineStr">
        <is>
          <t>FALSE</t>
        </is>
      </c>
      <c r="H311" t="inlineStr">
        <is>
          <t>FALSE</t>
        </is>
      </c>
      <c r="I311" t="inlineStr">
        <is>
          <t>Definitely not true = 1 | Not true = 2 | Partially true = 3 | True = 4 | Definitely true = 5</t>
        </is>
      </c>
      <c r="K311" t="inlineStr">
        <is>
          <t>https://chexi.se/onewebmedia/English%20ADEXI%20self-report.pdf</t>
        </is>
      </c>
    </row>
    <row r="312">
      <c r="A312" t="inlineStr">
        <is>
          <t>ADEXI</t>
        </is>
      </c>
      <c r="B312" t="inlineStr">
        <is>
          <t>Adult Executive Functioning Inventory</t>
        </is>
      </c>
      <c r="C312" t="inlineStr">
        <is>
          <t>1. Executive functioning and ADHD</t>
        </is>
      </c>
      <c r="D312" t="n">
        <v>4</v>
      </c>
      <c r="E312" t="inlineStr">
        <is>
          <t>I have difficulty stopping myself from doing something that I like even though someone tells me that it is not allowed.</t>
        </is>
      </c>
      <c r="F312" t="inlineStr">
        <is>
          <t>Inhibition</t>
        </is>
      </c>
      <c r="G312" t="inlineStr">
        <is>
          <t>FALSE</t>
        </is>
      </c>
      <c r="H312" t="inlineStr">
        <is>
          <t>FALSE</t>
        </is>
      </c>
      <c r="I312" t="inlineStr">
        <is>
          <t>Definitely not true = 1 | Not true = 2 | Partially true = 3 | True = 4 | Definitely true = 5</t>
        </is>
      </c>
      <c r="K312" t="inlineStr">
        <is>
          <t>https://chexi.se/onewebmedia/English%20ADEXI%20self-report.pdf</t>
        </is>
      </c>
    </row>
    <row r="313">
      <c r="A313" t="inlineStr">
        <is>
          <t>ADEXI</t>
        </is>
      </c>
      <c r="B313" t="inlineStr">
        <is>
          <t>Adult Executive Functioning Inventory</t>
        </is>
      </c>
      <c r="C313" t="inlineStr">
        <is>
          <t>1. Executive functioning and ADHD</t>
        </is>
      </c>
      <c r="D313" t="n">
        <v>5</v>
      </c>
      <c r="E313" t="inlineStr">
        <is>
          <t>When someone asks me to do several things, I remember only the first or last</t>
        </is>
      </c>
      <c r="F313" t="inlineStr">
        <is>
          <t>Working Memory</t>
        </is>
      </c>
      <c r="G313" t="inlineStr">
        <is>
          <t>FALSE</t>
        </is>
      </c>
      <c r="H313" t="inlineStr">
        <is>
          <t>FALSE</t>
        </is>
      </c>
      <c r="I313" t="inlineStr">
        <is>
          <t>Definitely not true = 1 | Not true = 2 | Partially true = 3 | True = 4 | Definitely true = 5</t>
        </is>
      </c>
      <c r="K313" t="inlineStr">
        <is>
          <t>https://chexi.se/onewebmedia/English%20ADEXI%20self-report.pdf</t>
        </is>
      </c>
    </row>
    <row r="314">
      <c r="A314" t="inlineStr">
        <is>
          <t>ADEXI</t>
        </is>
      </c>
      <c r="B314" t="inlineStr">
        <is>
          <t>Adult Executive Functioning Inventory</t>
        </is>
      </c>
      <c r="C314" t="inlineStr">
        <is>
          <t>1. Executive functioning and ADHD</t>
        </is>
      </c>
      <c r="D314" t="n">
        <v>6</v>
      </c>
      <c r="E314" t="inlineStr">
        <is>
          <t>I have difficulty refraining for smiling or laughing in situations where it is inappropriate</t>
        </is>
      </c>
      <c r="F314" t="inlineStr">
        <is>
          <t>Inhibition</t>
        </is>
      </c>
      <c r="G314" t="inlineStr">
        <is>
          <t>FALSE</t>
        </is>
      </c>
      <c r="H314" t="inlineStr">
        <is>
          <t>FALSE</t>
        </is>
      </c>
      <c r="I314" t="inlineStr">
        <is>
          <t>Definitely not true = 1 | Not true = 2 | Partially true = 3 | True = 4 | Definitely true = 5</t>
        </is>
      </c>
      <c r="K314" t="inlineStr">
        <is>
          <t>https://chexi.se/onewebmedia/English%20ADEXI%20self-report.pdf</t>
        </is>
      </c>
    </row>
    <row r="315">
      <c r="A315" t="inlineStr">
        <is>
          <t>ADEXI</t>
        </is>
      </c>
      <c r="B315" t="inlineStr">
        <is>
          <t>Adult Executive Functioning Inventory</t>
        </is>
      </c>
      <c r="C315" t="inlineStr">
        <is>
          <t>1. Executive functioning and ADHD</t>
        </is>
      </c>
      <c r="D315" t="n">
        <v>7</v>
      </c>
      <c r="E315" t="inlineStr">
        <is>
          <t>I have difficulty coming up with a different way of solving a problem when I get stuck</t>
        </is>
      </c>
      <c r="F315" t="inlineStr">
        <is>
          <t>Working Memory</t>
        </is>
      </c>
      <c r="G315" t="inlineStr">
        <is>
          <t>FALSE</t>
        </is>
      </c>
      <c r="H315" t="inlineStr">
        <is>
          <t>FALSE</t>
        </is>
      </c>
      <c r="I315" t="inlineStr">
        <is>
          <t>Definitely not true = 1 | Not true = 2 | Partially true = 3 | True = 4 | Definitely true = 5</t>
        </is>
      </c>
      <c r="K315" t="inlineStr">
        <is>
          <t>https://chexi.se/onewebmedia/English%20ADEXI%20self-report.pdf</t>
        </is>
      </c>
    </row>
    <row r="316">
      <c r="A316" t="inlineStr">
        <is>
          <t>ADEXI</t>
        </is>
      </c>
      <c r="B316" t="inlineStr">
        <is>
          <t>Adult Executive Functioning Inventory</t>
        </is>
      </c>
      <c r="C316" t="inlineStr">
        <is>
          <t>1. Executive functioning and ADHD</t>
        </is>
      </c>
      <c r="D316" t="n">
        <v>8</v>
      </c>
      <c r="E316" t="inlineStr">
        <is>
          <t>When someone asks me to fetch something, I forget what I am supposed to fetch</t>
        </is>
      </c>
      <c r="F316" t="inlineStr">
        <is>
          <t>Working Memory</t>
        </is>
      </c>
      <c r="G316" t="inlineStr">
        <is>
          <t>FALSE</t>
        </is>
      </c>
      <c r="H316" t="inlineStr">
        <is>
          <t>FALSE</t>
        </is>
      </c>
      <c r="I316" t="inlineStr">
        <is>
          <t>Definitely not true = 1 | Not true = 2 | Partially true = 3 | True = 4 | Definitely true = 5</t>
        </is>
      </c>
      <c r="K316" t="inlineStr">
        <is>
          <t>https://chexi.se/onewebmedia/English%20ADEXI%20self-report.pdf</t>
        </is>
      </c>
    </row>
    <row r="317">
      <c r="A317" t="inlineStr">
        <is>
          <t>ADEXI</t>
        </is>
      </c>
      <c r="B317" t="inlineStr">
        <is>
          <t>Adult Executive Functioning Inventory</t>
        </is>
      </c>
      <c r="C317" t="inlineStr">
        <is>
          <t>1. Executive functioning and ADHD</t>
        </is>
      </c>
      <c r="D317" t="n">
        <v>9</v>
      </c>
      <c r="E317" t="inlineStr">
        <is>
          <t>I have difficulty planning for an activity (e.g., remembering to bring everything necessary when going on a trip/to work/to school)</t>
        </is>
      </c>
      <c r="F317" t="inlineStr">
        <is>
          <t>Working Memory</t>
        </is>
      </c>
      <c r="G317" t="inlineStr">
        <is>
          <t>FALSE</t>
        </is>
      </c>
      <c r="H317" t="inlineStr">
        <is>
          <t>FALSE</t>
        </is>
      </c>
      <c r="I317" t="inlineStr">
        <is>
          <t>Definitely not true = 1 | Not true = 2 | Partially true = 3 | True = 4 | Definitely true = 5</t>
        </is>
      </c>
      <c r="K317" t="inlineStr">
        <is>
          <t>https://chexi.se/onewebmedia/English%20ADEXI%20self-report.pdf</t>
        </is>
      </c>
    </row>
    <row r="318">
      <c r="A318" t="inlineStr">
        <is>
          <t>ADEXI</t>
        </is>
      </c>
      <c r="B318" t="inlineStr">
        <is>
          <t>Adult Executive Functioning Inventory</t>
        </is>
      </c>
      <c r="C318" t="inlineStr">
        <is>
          <t>1. Executive functioning and ADHD</t>
        </is>
      </c>
      <c r="D318" t="n">
        <v>10</v>
      </c>
      <c r="E318" t="inlineStr">
        <is>
          <t>I have difficulty stopping an activity that I like (e.g., I watch TV or sit in front of the computer in the evening even though it is time to go to bed)</t>
        </is>
      </c>
      <c r="F318" t="inlineStr">
        <is>
          <t>Inhibition</t>
        </is>
      </c>
      <c r="G318" t="inlineStr">
        <is>
          <t>FALSE</t>
        </is>
      </c>
      <c r="H318" t="inlineStr">
        <is>
          <t>FALSE</t>
        </is>
      </c>
      <c r="I318" t="inlineStr">
        <is>
          <t>Definitely not true = 1 | Not true = 2 | Partially true = 3 | True = 4 | Definitely true = 5</t>
        </is>
      </c>
      <c r="K318" t="inlineStr">
        <is>
          <t>https://chexi.se/onewebmedia/English%20ADEXI%20self-report.pdf</t>
        </is>
      </c>
    </row>
    <row r="319">
      <c r="A319" t="inlineStr">
        <is>
          <t>ADEXI</t>
        </is>
      </c>
      <c r="B319" t="inlineStr">
        <is>
          <t>Adult Executive Functioning Inventory</t>
        </is>
      </c>
      <c r="C319" t="inlineStr">
        <is>
          <t>1. Executive functioning and ADHD</t>
        </is>
      </c>
      <c r="D319" t="n">
        <v>11</v>
      </c>
      <c r="E319" t="inlineStr">
        <is>
          <t>I have difficulty understanding verbal instructions unless I am also shown how to do something</t>
        </is>
      </c>
      <c r="F319" t="inlineStr">
        <is>
          <t>Working Memory</t>
        </is>
      </c>
      <c r="G319" t="inlineStr">
        <is>
          <t>FALSE</t>
        </is>
      </c>
      <c r="H319" t="inlineStr">
        <is>
          <t>FALSE</t>
        </is>
      </c>
      <c r="I319" t="inlineStr">
        <is>
          <t>Definitely not true = 1 | Not true = 2 | Partially true = 3 | True = 4 | Definitely true = 5</t>
        </is>
      </c>
      <c r="K319" t="inlineStr">
        <is>
          <t>https://chexi.se/onewebmedia/English%20ADEXI%20self-report.pdf</t>
        </is>
      </c>
    </row>
    <row r="320">
      <c r="A320" t="inlineStr">
        <is>
          <t>ADEXI</t>
        </is>
      </c>
      <c r="B320" t="inlineStr">
        <is>
          <t>Adult Executive Functioning Inventory</t>
        </is>
      </c>
      <c r="C320" t="inlineStr">
        <is>
          <t>1. Executive functioning and ADHD</t>
        </is>
      </c>
      <c r="D320" t="n">
        <v>12</v>
      </c>
      <c r="E320" t="inlineStr">
        <is>
          <t>I have difficulties with tasks or activities that involve several steps</t>
        </is>
      </c>
      <c r="F320" t="inlineStr">
        <is>
          <t>Working Memory</t>
        </is>
      </c>
      <c r="G320" t="inlineStr">
        <is>
          <t>FALSE</t>
        </is>
      </c>
      <c r="H320" t="inlineStr">
        <is>
          <t>FALSE</t>
        </is>
      </c>
      <c r="I320" t="inlineStr">
        <is>
          <t>Definitely not true = 1 | Not true = 2 | Partially true = 3 | True = 4 | Definitely true = 5</t>
        </is>
      </c>
      <c r="K320" t="inlineStr">
        <is>
          <t>https://chexi.se/onewebmedia/English%20ADEXI%20self-report.pdf</t>
        </is>
      </c>
    </row>
    <row r="321">
      <c r="A321" t="inlineStr">
        <is>
          <t>ADEXI</t>
        </is>
      </c>
      <c r="B321" t="inlineStr">
        <is>
          <t>Adult Executive Functioning Inventory</t>
        </is>
      </c>
      <c r="C321" t="inlineStr">
        <is>
          <t>1. Executive functioning and ADHD</t>
        </is>
      </c>
      <c r="D321" t="n">
        <v>13</v>
      </c>
      <c r="E321" t="inlineStr">
        <is>
          <t>I have difficulty thinking ahead or learning from experience</t>
        </is>
      </c>
      <c r="F321" t="inlineStr">
        <is>
          <t>Working Memory</t>
        </is>
      </c>
      <c r="G321" t="inlineStr">
        <is>
          <t>FALSE</t>
        </is>
      </c>
      <c r="H321" t="inlineStr">
        <is>
          <t>FALSE</t>
        </is>
      </c>
      <c r="I321" t="inlineStr">
        <is>
          <t>Definitely not true = 1 | Not true = 2 | Partially true = 3 | True = 4 | Definitely true = 5</t>
        </is>
      </c>
      <c r="K321" t="inlineStr">
        <is>
          <t>https://chexi.se/onewebmedia/English%20ADEXI%20self-report.pdf</t>
        </is>
      </c>
    </row>
    <row r="322">
      <c r="A322" t="inlineStr">
        <is>
          <t>ADEXI</t>
        </is>
      </c>
      <c r="B322" t="inlineStr">
        <is>
          <t>Adult Executive Functioning Inventory</t>
        </is>
      </c>
      <c r="C322" t="inlineStr">
        <is>
          <t>1. Executive functioning and ADHD</t>
        </is>
      </c>
      <c r="D322" t="n">
        <v>14</v>
      </c>
      <c r="E322" t="inlineStr">
        <is>
          <t>People that I meet seem to think that I am more lively/wilder compared to other people my age</t>
        </is>
      </c>
      <c r="F322" t="inlineStr">
        <is>
          <t>Inhibition</t>
        </is>
      </c>
      <c r="G322" t="inlineStr">
        <is>
          <t>FALSE</t>
        </is>
      </c>
      <c r="H322" t="inlineStr">
        <is>
          <t>FALSE</t>
        </is>
      </c>
      <c r="I322" t="inlineStr">
        <is>
          <t>Definitely not true = 1 | Not true = 2 | Partially true = 3 | True = 4 | Definitely true = 5</t>
        </is>
      </c>
      <c r="K322" t="inlineStr">
        <is>
          <t>https://chexi.se/onewebmedia/English%20ADEXI%20self-report.pdf</t>
        </is>
      </c>
    </row>
    <row r="323">
      <c r="A323" t="inlineStr">
        <is>
          <t>AMS-C</t>
        </is>
      </c>
      <c r="B323" t="inlineStr">
        <is>
          <t>Academic Motivation Scale (College version, AMS-C 28)</t>
        </is>
      </c>
      <c r="C323" t="inlineStr">
        <is>
          <t>3. Adjacent occupational and wellbeing</t>
        </is>
      </c>
      <c r="D323" t="n">
        <v>1</v>
      </c>
      <c r="E323" t="inlineStr">
        <is>
          <t>Because with only a high-school degree I would not find a high-paying job later on.</t>
        </is>
      </c>
      <c r="F323" t="inlineStr">
        <is>
          <t>Extrinsic motivation - external regulation</t>
        </is>
      </c>
      <c r="G323" t="inlineStr">
        <is>
          <t>FALSE</t>
        </is>
      </c>
      <c r="H323" t="inlineStr">
        <is>
          <t>FALSE</t>
        </is>
      </c>
      <c r="I323" t="inlineStr">
        <is>
          <t>Does not correspond at all = 1 | Corresponds a little = 2 | Corresponds a little = 3 | Corresponds moderately = 4 | Corresponds a lot = 5 | Corresponds a lot = 6 | Corresponds exactly = 7</t>
        </is>
      </c>
      <c r="K323" t="inlineStr">
        <is>
          <t>https://www.lrcs.uqam.ca/wp-content/uploads/2017/08/emec_en.pdf</t>
        </is>
      </c>
    </row>
    <row r="324">
      <c r="A324" t="inlineStr">
        <is>
          <t>AMS-C</t>
        </is>
      </c>
      <c r="B324" t="inlineStr">
        <is>
          <t>Academic Motivation Scale (College version, AMS-C 28)</t>
        </is>
      </c>
      <c r="C324" t="inlineStr">
        <is>
          <t>3. Adjacent occupational and wellbeing</t>
        </is>
      </c>
      <c r="D324" t="n">
        <v>2</v>
      </c>
      <c r="E324" t="inlineStr">
        <is>
          <t>Because I experience pleasure and satisfaction while learning new things.</t>
        </is>
      </c>
      <c r="F324" t="inlineStr">
        <is>
          <t>Intrinsic motivation - to know</t>
        </is>
      </c>
      <c r="G324" t="inlineStr">
        <is>
          <t>FALSE</t>
        </is>
      </c>
      <c r="H324" t="inlineStr">
        <is>
          <t>FALSE</t>
        </is>
      </c>
      <c r="I324" t="inlineStr">
        <is>
          <t>Does not correspond at all = 1 | Corresponds a little = 2 | Corresponds a little = 3 | Corresponds moderately = 4 | Corresponds a lot = 5 | Corresponds a lot = 6 | Corresponds exactly = 7</t>
        </is>
      </c>
      <c r="K324" t="inlineStr">
        <is>
          <t>https://www.lrcs.uqam.ca/wp-content/uploads/2017/08/emec_en.pdf</t>
        </is>
      </c>
    </row>
    <row r="325">
      <c r="A325" t="inlineStr">
        <is>
          <t>AMS-C</t>
        </is>
      </c>
      <c r="B325" t="inlineStr">
        <is>
          <t>Academic Motivation Scale (College version, AMS-C 28)</t>
        </is>
      </c>
      <c r="C325" t="inlineStr">
        <is>
          <t>3. Adjacent occupational and wellbeing</t>
        </is>
      </c>
      <c r="D325" t="n">
        <v>3</v>
      </c>
      <c r="E325" t="inlineStr">
        <is>
          <t>Because I think that a college education will help me better prepare for the career I have chosen.</t>
        </is>
      </c>
      <c r="F325" t="inlineStr">
        <is>
          <t>Extrinsic motivation - identified</t>
        </is>
      </c>
      <c r="G325" t="inlineStr">
        <is>
          <t>FALSE</t>
        </is>
      </c>
      <c r="H325" t="inlineStr">
        <is>
          <t>FALSE</t>
        </is>
      </c>
      <c r="I325" t="inlineStr">
        <is>
          <t>Does not correspond at all = 1 | Corresponds a little = 2 | Corresponds a little = 3 | Corresponds moderately = 4 | Corresponds a lot = 5 | Corresponds a lot = 6 | Corresponds exactly = 7</t>
        </is>
      </c>
      <c r="K325" t="inlineStr">
        <is>
          <t>https://www.lrcs.uqam.ca/wp-content/uploads/2017/08/emec_en.pdf</t>
        </is>
      </c>
    </row>
    <row r="326">
      <c r="A326" t="inlineStr">
        <is>
          <t>AMS-C</t>
        </is>
      </c>
      <c r="B326" t="inlineStr">
        <is>
          <t>Academic Motivation Scale (College version, AMS-C 28)</t>
        </is>
      </c>
      <c r="C326" t="inlineStr">
        <is>
          <t>3. Adjacent occupational and wellbeing</t>
        </is>
      </c>
      <c r="D326" t="n">
        <v>4</v>
      </c>
      <c r="E326" t="inlineStr">
        <is>
          <t>For the intense feelings I experience when I am communicating my own ideas to others.</t>
        </is>
      </c>
      <c r="F326" t="inlineStr">
        <is>
          <t>Intrinsic motivation - to experience stimulation</t>
        </is>
      </c>
      <c r="G326" t="inlineStr">
        <is>
          <t>FALSE</t>
        </is>
      </c>
      <c r="H326" t="inlineStr">
        <is>
          <t>FALSE</t>
        </is>
      </c>
      <c r="I326" t="inlineStr">
        <is>
          <t>Does not correspond at all = 1 | Corresponds a little = 2 | Corresponds a little = 3 | Corresponds moderately = 4 | Corresponds a lot = 5 | Corresponds a lot = 6 | Corresponds exactly = 7</t>
        </is>
      </c>
      <c r="K326" t="inlineStr">
        <is>
          <t>https://www.lrcs.uqam.ca/wp-content/uploads/2017/08/emec_en.pdf</t>
        </is>
      </c>
    </row>
    <row r="327">
      <c r="A327" t="inlineStr">
        <is>
          <t>AMS-C</t>
        </is>
      </c>
      <c r="B327" t="inlineStr">
        <is>
          <t>Academic Motivation Scale (College version, AMS-C 28)</t>
        </is>
      </c>
      <c r="C327" t="inlineStr">
        <is>
          <t>3. Adjacent occupational and wellbeing</t>
        </is>
      </c>
      <c r="D327" t="n">
        <v>5</v>
      </c>
      <c r="E327" t="inlineStr">
        <is>
          <t>Honestly, I don't know; I really feel that I am wasting my time in school.</t>
        </is>
      </c>
      <c r="F327" t="inlineStr">
        <is>
          <t>Amotivation</t>
        </is>
      </c>
      <c r="G327" t="inlineStr">
        <is>
          <t>FALSE</t>
        </is>
      </c>
      <c r="H327" t="inlineStr">
        <is>
          <t>FALSE</t>
        </is>
      </c>
      <c r="I327" t="inlineStr">
        <is>
          <t>Does not correspond at all = 1 | Corresponds a little = 2 | Corresponds a little = 3 | Corresponds moderately = 4 | Corresponds a lot = 5 | Corresponds a lot = 6 | Corresponds exactly = 7</t>
        </is>
      </c>
      <c r="K327" t="inlineStr">
        <is>
          <t>https://www.lrcs.uqam.ca/wp-content/uploads/2017/08/emec_en.pdf</t>
        </is>
      </c>
    </row>
    <row r="328">
      <c r="A328" t="inlineStr">
        <is>
          <t>AMS-C</t>
        </is>
      </c>
      <c r="B328" t="inlineStr">
        <is>
          <t>Academic Motivation Scale (College version, AMS-C 28)</t>
        </is>
      </c>
      <c r="C328" t="inlineStr">
        <is>
          <t>3. Adjacent occupational and wellbeing</t>
        </is>
      </c>
      <c r="D328" t="n">
        <v>6</v>
      </c>
      <c r="E328" t="inlineStr">
        <is>
          <t>For the pleasure I experience while surpassing myself in my studies.</t>
        </is>
      </c>
      <c r="F328" t="inlineStr">
        <is>
          <t>Intrinsic motivation - toward accomplishment</t>
        </is>
      </c>
      <c r="G328" t="inlineStr">
        <is>
          <t>FALSE</t>
        </is>
      </c>
      <c r="H328" t="inlineStr">
        <is>
          <t>FALSE</t>
        </is>
      </c>
      <c r="I328" t="inlineStr">
        <is>
          <t>Does not correspond at all = 1 | Corresponds a little = 2 | Corresponds a little = 3 | Corresponds moderately = 4 | Corresponds a lot = 5 | Corresponds a lot = 6 | Corresponds exactly = 7</t>
        </is>
      </c>
      <c r="K328" t="inlineStr">
        <is>
          <t>https://www.lrcs.uqam.ca/wp-content/uploads/2017/08/emec_en.pdf</t>
        </is>
      </c>
    </row>
    <row r="329">
      <c r="A329" t="inlineStr">
        <is>
          <t>AMS-C</t>
        </is>
      </c>
      <c r="B329" t="inlineStr">
        <is>
          <t>Academic Motivation Scale (College version, AMS-C 28)</t>
        </is>
      </c>
      <c r="C329" t="inlineStr">
        <is>
          <t>3. Adjacent occupational and wellbeing</t>
        </is>
      </c>
      <c r="D329" t="n">
        <v>7</v>
      </c>
      <c r="E329" t="inlineStr">
        <is>
          <t>To prove to myself that I am capable of completing my college degree.</t>
        </is>
      </c>
      <c r="F329" t="inlineStr">
        <is>
          <t>Extrinsic motivation - introjected</t>
        </is>
      </c>
      <c r="G329" t="inlineStr">
        <is>
          <t>FALSE</t>
        </is>
      </c>
      <c r="H329" t="inlineStr">
        <is>
          <t>FALSE</t>
        </is>
      </c>
      <c r="I329" t="inlineStr">
        <is>
          <t>Does not correspond at all = 1 | Corresponds a little = 2 | Corresponds a little = 3 | Corresponds moderately = 4 | Corresponds a lot = 5 | Corresponds a lot = 6 | Corresponds exactly = 7</t>
        </is>
      </c>
      <c r="K329" t="inlineStr">
        <is>
          <t>https://www.lrcs.uqam.ca/wp-content/uploads/2017/08/emec_en.pdf</t>
        </is>
      </c>
    </row>
    <row r="330">
      <c r="A330" t="inlineStr">
        <is>
          <t>AMS-C</t>
        </is>
      </c>
      <c r="B330" t="inlineStr">
        <is>
          <t>Academic Motivation Scale (College version, AMS-C 28)</t>
        </is>
      </c>
      <c r="C330" t="inlineStr">
        <is>
          <t>3. Adjacent occupational and wellbeing</t>
        </is>
      </c>
      <c r="D330" t="n">
        <v>8</v>
      </c>
      <c r="E330" t="inlineStr">
        <is>
          <t>In order to obtain a more prestigious job later on.</t>
        </is>
      </c>
      <c r="F330" t="inlineStr">
        <is>
          <t>Extrinsic motivation - external regulation</t>
        </is>
      </c>
      <c r="G330" t="inlineStr">
        <is>
          <t>FALSE</t>
        </is>
      </c>
      <c r="H330" t="inlineStr">
        <is>
          <t>FALSE</t>
        </is>
      </c>
      <c r="I330" t="inlineStr">
        <is>
          <t>Does not correspond at all = 1 | Corresponds a little = 2 | Corresponds a little = 3 | Corresponds moderately = 4 | Corresponds a lot = 5 | Corresponds a lot = 6 | Corresponds exactly = 7</t>
        </is>
      </c>
      <c r="K330" t="inlineStr">
        <is>
          <t>https://www.lrcs.uqam.ca/wp-content/uploads/2017/08/emec_en.pdf</t>
        </is>
      </c>
    </row>
    <row r="331">
      <c r="A331" t="inlineStr">
        <is>
          <t>AMS-C</t>
        </is>
      </c>
      <c r="B331" t="inlineStr">
        <is>
          <t>Academic Motivation Scale (College version, AMS-C 28)</t>
        </is>
      </c>
      <c r="C331" t="inlineStr">
        <is>
          <t>3. Adjacent occupational and wellbeing</t>
        </is>
      </c>
      <c r="D331" t="n">
        <v>9</v>
      </c>
      <c r="E331" t="inlineStr">
        <is>
          <t>For the pleasure I experience when I discover new things never seen before.</t>
        </is>
      </c>
      <c r="F331" t="inlineStr">
        <is>
          <t>Intrinsic motivation - to know</t>
        </is>
      </c>
      <c r="G331" t="inlineStr">
        <is>
          <t>FALSE</t>
        </is>
      </c>
      <c r="H331" t="inlineStr">
        <is>
          <t>FALSE</t>
        </is>
      </c>
      <c r="I331" t="inlineStr">
        <is>
          <t>Does not correspond at all = 1 | Corresponds a little = 2 | Corresponds a little = 3 | Corresponds moderately = 4 | Corresponds a lot = 5 | Corresponds a lot = 6 | Corresponds exactly = 7</t>
        </is>
      </c>
      <c r="K331" t="inlineStr">
        <is>
          <t>https://www.lrcs.uqam.ca/wp-content/uploads/2017/08/emec_en.pdf</t>
        </is>
      </c>
    </row>
    <row r="332">
      <c r="A332" t="inlineStr">
        <is>
          <t>AMS-C</t>
        </is>
      </c>
      <c r="B332" t="inlineStr">
        <is>
          <t>Academic Motivation Scale (College version, AMS-C 28)</t>
        </is>
      </c>
      <c r="C332" t="inlineStr">
        <is>
          <t>3. Adjacent occupational and wellbeing</t>
        </is>
      </c>
      <c r="D332" t="n">
        <v>10</v>
      </c>
      <c r="E332" t="inlineStr">
        <is>
          <t>Because eventually it will enable me to enter the job market in a field that I like.</t>
        </is>
      </c>
      <c r="F332" t="inlineStr">
        <is>
          <t>Extrinsic motivation - identified</t>
        </is>
      </c>
      <c r="G332" t="inlineStr">
        <is>
          <t>FALSE</t>
        </is>
      </c>
      <c r="H332" t="inlineStr">
        <is>
          <t>FALSE</t>
        </is>
      </c>
      <c r="I332" t="inlineStr">
        <is>
          <t>Does not correspond at all = 1 | Corresponds a little = 2 | Corresponds a little = 3 | Corresponds moderately = 4 | Corresponds a lot = 5 | Corresponds a lot = 6 | Corresponds exactly = 7</t>
        </is>
      </c>
      <c r="K332" t="inlineStr">
        <is>
          <t>https://www.lrcs.uqam.ca/wp-content/uploads/2017/08/emec_en.pdf</t>
        </is>
      </c>
    </row>
    <row r="333">
      <c r="A333" t="inlineStr">
        <is>
          <t>AMS-C</t>
        </is>
      </c>
      <c r="B333" t="inlineStr">
        <is>
          <t>Academic Motivation Scale (College version, AMS-C 28)</t>
        </is>
      </c>
      <c r="C333" t="inlineStr">
        <is>
          <t>3. Adjacent occupational and wellbeing</t>
        </is>
      </c>
      <c r="D333" t="n">
        <v>11</v>
      </c>
      <c r="E333" t="inlineStr">
        <is>
          <t>For the pleasure that I experience when I read interesting authors.</t>
        </is>
      </c>
      <c r="F333" t="inlineStr">
        <is>
          <t>Intrinsic motivation - to experience stimulation</t>
        </is>
      </c>
      <c r="G333" t="inlineStr">
        <is>
          <t>FALSE</t>
        </is>
      </c>
      <c r="H333" t="inlineStr">
        <is>
          <t>FALSE</t>
        </is>
      </c>
      <c r="I333" t="inlineStr">
        <is>
          <t>Does not correspond at all = 1 | Corresponds a little = 2 | Corresponds a little = 3 | Corresponds moderately = 4 | Corresponds a lot = 5 | Corresponds a lot = 6 | Corresponds exactly = 7</t>
        </is>
      </c>
      <c r="K333" t="inlineStr">
        <is>
          <t>https://www.lrcs.uqam.ca/wp-content/uploads/2017/08/emec_en.pdf</t>
        </is>
      </c>
    </row>
    <row r="334">
      <c r="A334" t="inlineStr">
        <is>
          <t>AMS-C</t>
        </is>
      </c>
      <c r="B334" t="inlineStr">
        <is>
          <t>Academic Motivation Scale (College version, AMS-C 28)</t>
        </is>
      </c>
      <c r="C334" t="inlineStr">
        <is>
          <t>3. Adjacent occupational and wellbeing</t>
        </is>
      </c>
      <c r="D334" t="n">
        <v>12</v>
      </c>
      <c r="E334" t="inlineStr">
        <is>
          <t>I once had good reasons for going to college; however, now I wonder whether I should continue.</t>
        </is>
      </c>
      <c r="F334" t="inlineStr">
        <is>
          <t>Amotivation</t>
        </is>
      </c>
      <c r="G334" t="inlineStr">
        <is>
          <t>FALSE</t>
        </is>
      </c>
      <c r="H334" t="inlineStr">
        <is>
          <t>FALSE</t>
        </is>
      </c>
      <c r="I334" t="inlineStr">
        <is>
          <t>Does not correspond at all = 1 | Corresponds a little = 2 | Corresponds a little = 3 | Corresponds moderately = 4 | Corresponds a lot = 5 | Corresponds a lot = 6 | Corresponds exactly = 7</t>
        </is>
      </c>
      <c r="K334" t="inlineStr">
        <is>
          <t>https://www.lrcs.uqam.ca/wp-content/uploads/2017/08/emec_en.pdf</t>
        </is>
      </c>
    </row>
    <row r="335">
      <c r="A335" t="inlineStr">
        <is>
          <t>AMS-C</t>
        </is>
      </c>
      <c r="B335" t="inlineStr">
        <is>
          <t>Academic Motivation Scale (College version, AMS-C 28)</t>
        </is>
      </c>
      <c r="C335" t="inlineStr">
        <is>
          <t>3. Adjacent occupational and wellbeing</t>
        </is>
      </c>
      <c r="D335" t="n">
        <v>13</v>
      </c>
      <c r="E335" t="inlineStr">
        <is>
          <t>For the pleasure that I experience while I am surpassing myself in one of my personal accomplishments.</t>
        </is>
      </c>
      <c r="F335" t="inlineStr">
        <is>
          <t>Intrinsic motivation - toward accomplishment</t>
        </is>
      </c>
      <c r="G335" t="inlineStr">
        <is>
          <t>FALSE</t>
        </is>
      </c>
      <c r="H335" t="inlineStr">
        <is>
          <t>FALSE</t>
        </is>
      </c>
      <c r="I335" t="inlineStr">
        <is>
          <t>Does not correspond at all = 1 | Corresponds a little = 2 | Corresponds a little = 3 | Corresponds moderately = 4 | Corresponds a lot = 5 | Corresponds a lot = 6 | Corresponds exactly = 7</t>
        </is>
      </c>
      <c r="K335" t="inlineStr">
        <is>
          <t>https://www.lrcs.uqam.ca/wp-content/uploads/2017/08/emec_en.pdf</t>
        </is>
      </c>
    </row>
    <row r="336">
      <c r="A336" t="inlineStr">
        <is>
          <t>AMS-C</t>
        </is>
      </c>
      <c r="B336" t="inlineStr">
        <is>
          <t>Academic Motivation Scale (College version, AMS-C 28)</t>
        </is>
      </c>
      <c r="C336" t="inlineStr">
        <is>
          <t>3. Adjacent occupational and wellbeing</t>
        </is>
      </c>
      <c r="D336" t="n">
        <v>14</v>
      </c>
      <c r="E336" t="inlineStr">
        <is>
          <t>Because of the fact that when I succeed in college I feel important.</t>
        </is>
      </c>
      <c r="F336" t="inlineStr">
        <is>
          <t>Extrinsic motivation - introjected</t>
        </is>
      </c>
      <c r="G336" t="inlineStr">
        <is>
          <t>FALSE</t>
        </is>
      </c>
      <c r="H336" t="inlineStr">
        <is>
          <t>FALSE</t>
        </is>
      </c>
      <c r="I336" t="inlineStr">
        <is>
          <t>Does not correspond at all = 1 | Corresponds a little = 2 | Corresponds a little = 3 | Corresponds moderately = 4 | Corresponds a lot = 5 | Corresponds a lot = 6 | Corresponds exactly = 7</t>
        </is>
      </c>
      <c r="K336" t="inlineStr">
        <is>
          <t>https://www.lrcs.uqam.ca/wp-content/uploads/2017/08/emec_en.pdf</t>
        </is>
      </c>
    </row>
    <row r="337">
      <c r="A337" t="inlineStr">
        <is>
          <t>AMS-C</t>
        </is>
      </c>
      <c r="B337" t="inlineStr">
        <is>
          <t>Academic Motivation Scale (College version, AMS-C 28)</t>
        </is>
      </c>
      <c r="C337" t="inlineStr">
        <is>
          <t>3. Adjacent occupational and wellbeing</t>
        </is>
      </c>
      <c r="D337" t="n">
        <v>15</v>
      </c>
      <c r="E337" t="inlineStr">
        <is>
          <t>Because I want to have "the good life" later on.</t>
        </is>
      </c>
      <c r="F337" t="inlineStr">
        <is>
          <t>Extrinsic motivation - external regulation</t>
        </is>
      </c>
      <c r="G337" t="inlineStr">
        <is>
          <t>FALSE</t>
        </is>
      </c>
      <c r="H337" t="inlineStr">
        <is>
          <t>FALSE</t>
        </is>
      </c>
      <c r="I337" t="inlineStr">
        <is>
          <t>Does not correspond at all = 1 | Corresponds a little = 2 | Corresponds a little = 3 | Corresponds moderately = 4 | Corresponds a lot = 5 | Corresponds a lot = 6 | Corresponds exactly = 7</t>
        </is>
      </c>
      <c r="K337" t="inlineStr">
        <is>
          <t>https://www.lrcs.uqam.ca/wp-content/uploads/2017/08/emec_en.pdf</t>
        </is>
      </c>
    </row>
    <row r="338">
      <c r="A338" t="inlineStr">
        <is>
          <t>AMS-C</t>
        </is>
      </c>
      <c r="B338" t="inlineStr">
        <is>
          <t>Academic Motivation Scale (College version, AMS-C 28)</t>
        </is>
      </c>
      <c r="C338" t="inlineStr">
        <is>
          <t>3. Adjacent occupational and wellbeing</t>
        </is>
      </c>
      <c r="D338" t="n">
        <v>16</v>
      </c>
      <c r="E338" t="inlineStr">
        <is>
          <t>For the pleasure that I experience in broadening my knowledge about subjects which appeal to me.</t>
        </is>
      </c>
      <c r="F338" t="inlineStr">
        <is>
          <t>Intrinsic motivation - to know</t>
        </is>
      </c>
      <c r="G338" t="inlineStr">
        <is>
          <t>FALSE</t>
        </is>
      </c>
      <c r="H338" t="inlineStr">
        <is>
          <t>FALSE</t>
        </is>
      </c>
      <c r="I338" t="inlineStr">
        <is>
          <t>Does not correspond at all = 1 | Corresponds a little = 2 | Corresponds a little = 3 | Corresponds moderately = 4 | Corresponds a lot = 5 | Corresponds a lot = 6 | Corresponds exactly = 7</t>
        </is>
      </c>
      <c r="K338" t="inlineStr">
        <is>
          <t>https://www.lrcs.uqam.ca/wp-content/uploads/2017/08/emec_en.pdf</t>
        </is>
      </c>
    </row>
    <row r="339">
      <c r="A339" t="inlineStr">
        <is>
          <t>AMS-C</t>
        </is>
      </c>
      <c r="B339" t="inlineStr">
        <is>
          <t>Academic Motivation Scale (College version, AMS-C 28)</t>
        </is>
      </c>
      <c r="C339" t="inlineStr">
        <is>
          <t>3. Adjacent occupational and wellbeing</t>
        </is>
      </c>
      <c r="D339" t="n">
        <v>17</v>
      </c>
      <c r="E339" t="inlineStr">
        <is>
          <t>Because this will help me make a better choice regarding my career orientation.</t>
        </is>
      </c>
      <c r="F339" t="inlineStr">
        <is>
          <t>Extrinsic motivation - identified</t>
        </is>
      </c>
      <c r="G339" t="inlineStr">
        <is>
          <t>FALSE</t>
        </is>
      </c>
      <c r="H339" t="inlineStr">
        <is>
          <t>FALSE</t>
        </is>
      </c>
      <c r="I339" t="inlineStr">
        <is>
          <t>Does not correspond at all = 1 | Corresponds a little = 2 | Corresponds a little = 3 | Corresponds moderately = 4 | Corresponds a lot = 5 | Corresponds a lot = 6 | Corresponds exactly = 7</t>
        </is>
      </c>
      <c r="K339" t="inlineStr">
        <is>
          <t>https://www.lrcs.uqam.ca/wp-content/uploads/2017/08/emec_en.pdf</t>
        </is>
      </c>
    </row>
    <row r="340">
      <c r="A340" t="inlineStr">
        <is>
          <t>AMS-C</t>
        </is>
      </c>
      <c r="B340" t="inlineStr">
        <is>
          <t>Academic Motivation Scale (College version, AMS-C 28)</t>
        </is>
      </c>
      <c r="C340" t="inlineStr">
        <is>
          <t>3. Adjacent occupational and wellbeing</t>
        </is>
      </c>
      <c r="D340" t="n">
        <v>18</v>
      </c>
      <c r="E340" t="inlineStr">
        <is>
          <t>For the pleasure that I experience when I feel completely absorbed by what certain authors have written.</t>
        </is>
      </c>
      <c r="F340" t="inlineStr">
        <is>
          <t>Intrinsic motivation - to experience stimulation</t>
        </is>
      </c>
      <c r="G340" t="inlineStr">
        <is>
          <t>FALSE</t>
        </is>
      </c>
      <c r="H340" t="inlineStr">
        <is>
          <t>FALSE</t>
        </is>
      </c>
      <c r="I340" t="inlineStr">
        <is>
          <t>Does not correspond at all = 1 | Corresponds a little = 2 | Corresponds a little = 3 | Corresponds moderately = 4 | Corresponds a lot = 5 | Corresponds a lot = 6 | Corresponds exactly = 7</t>
        </is>
      </c>
      <c r="K340" t="inlineStr">
        <is>
          <t>https://www.lrcs.uqam.ca/wp-content/uploads/2017/08/emec_en.pdf</t>
        </is>
      </c>
    </row>
    <row r="341">
      <c r="A341" t="inlineStr">
        <is>
          <t>AMS-C</t>
        </is>
      </c>
      <c r="B341" t="inlineStr">
        <is>
          <t>Academic Motivation Scale (College version, AMS-C 28)</t>
        </is>
      </c>
      <c r="C341" t="inlineStr">
        <is>
          <t>3. Adjacent occupational and wellbeing</t>
        </is>
      </c>
      <c r="D341" t="n">
        <v>19</v>
      </c>
      <c r="E341" t="inlineStr">
        <is>
          <t>I can't see why I go to college and frankly, I couldn't care less.</t>
        </is>
      </c>
      <c r="F341" t="inlineStr">
        <is>
          <t>Amotivation</t>
        </is>
      </c>
      <c r="G341" t="inlineStr">
        <is>
          <t>FALSE</t>
        </is>
      </c>
      <c r="H341" t="inlineStr">
        <is>
          <t>FALSE</t>
        </is>
      </c>
      <c r="I341" t="inlineStr">
        <is>
          <t>Does not correspond at all = 1 | Corresponds a little = 2 | Corresponds a little = 3 | Corresponds moderately = 4 | Corresponds a lot = 5 | Corresponds a lot = 6 | Corresponds exactly = 7</t>
        </is>
      </c>
      <c r="K341" t="inlineStr">
        <is>
          <t>https://www.lrcs.uqam.ca/wp-content/uploads/2017/08/emec_en.pdf</t>
        </is>
      </c>
    </row>
    <row r="342">
      <c r="A342" t="inlineStr">
        <is>
          <t>AMS-C</t>
        </is>
      </c>
      <c r="B342" t="inlineStr">
        <is>
          <t>Academic Motivation Scale (College version, AMS-C 28)</t>
        </is>
      </c>
      <c r="C342" t="inlineStr">
        <is>
          <t>3. Adjacent occupational and wellbeing</t>
        </is>
      </c>
      <c r="D342" t="n">
        <v>20</v>
      </c>
      <c r="E342" t="inlineStr">
        <is>
          <t>For the satisfaction I feel when I am in the process of accomplishing difficult academic activities.</t>
        </is>
      </c>
      <c r="F342" t="inlineStr">
        <is>
          <t>Intrinsic motivation - toward accomplishment</t>
        </is>
      </c>
      <c r="G342" t="inlineStr">
        <is>
          <t>FALSE</t>
        </is>
      </c>
      <c r="H342" t="inlineStr">
        <is>
          <t>FALSE</t>
        </is>
      </c>
      <c r="I342" t="inlineStr">
        <is>
          <t>Does not correspond at all = 1 | Corresponds a little = 2 | Corresponds a little = 3 | Corresponds moderately = 4 | Corresponds a lot = 5 | Corresponds a lot = 6 | Corresponds exactly = 7</t>
        </is>
      </c>
      <c r="K342" t="inlineStr">
        <is>
          <t>https://www.lrcs.uqam.ca/wp-content/uploads/2017/08/emec_en.pdf</t>
        </is>
      </c>
    </row>
    <row r="343">
      <c r="A343" t="inlineStr">
        <is>
          <t>AMS-C</t>
        </is>
      </c>
      <c r="B343" t="inlineStr">
        <is>
          <t>Academic Motivation Scale (College version, AMS-C 28)</t>
        </is>
      </c>
      <c r="C343" t="inlineStr">
        <is>
          <t>3. Adjacent occupational and wellbeing</t>
        </is>
      </c>
      <c r="D343" t="n">
        <v>21</v>
      </c>
      <c r="E343" t="inlineStr">
        <is>
          <t>To show myself that I am an intelligent person.</t>
        </is>
      </c>
      <c r="F343" t="inlineStr">
        <is>
          <t>Extrinsic motivation - introjected</t>
        </is>
      </c>
      <c r="G343" t="inlineStr">
        <is>
          <t>FALSE</t>
        </is>
      </c>
      <c r="H343" t="inlineStr">
        <is>
          <t>FALSE</t>
        </is>
      </c>
      <c r="I343" t="inlineStr">
        <is>
          <t>Does not correspond at all = 1 | Corresponds a little = 2 | Corresponds a little = 3 | Corresponds moderately = 4 | Corresponds a lot = 5 | Corresponds a lot = 6 | Corresponds exactly = 7</t>
        </is>
      </c>
      <c r="K343" t="inlineStr">
        <is>
          <t>https://www.lrcs.uqam.ca/wp-content/uploads/2017/08/emec_en.pdf</t>
        </is>
      </c>
    </row>
    <row r="344">
      <c r="A344" t="inlineStr">
        <is>
          <t>AMS-C</t>
        </is>
      </c>
      <c r="B344" t="inlineStr">
        <is>
          <t>Academic Motivation Scale (College version, AMS-C 28)</t>
        </is>
      </c>
      <c r="C344" t="inlineStr">
        <is>
          <t>3. Adjacent occupational and wellbeing</t>
        </is>
      </c>
      <c r="D344" t="n">
        <v>22</v>
      </c>
      <c r="E344" t="inlineStr">
        <is>
          <t>In order to have a better salary later on.</t>
        </is>
      </c>
      <c r="F344" t="inlineStr">
        <is>
          <t>Extrinsic motivation - external regulation</t>
        </is>
      </c>
      <c r="G344" t="inlineStr">
        <is>
          <t>FALSE</t>
        </is>
      </c>
      <c r="H344" t="inlineStr">
        <is>
          <t>FALSE</t>
        </is>
      </c>
      <c r="I344" t="inlineStr">
        <is>
          <t>Does not correspond at all = 1 | Corresponds a little = 2 | Corresponds a little = 3 | Corresponds moderately = 4 | Corresponds a lot = 5 | Corresponds a lot = 6 | Corresponds exactly = 7</t>
        </is>
      </c>
      <c r="K344" t="inlineStr">
        <is>
          <t>https://www.lrcs.uqam.ca/wp-content/uploads/2017/08/emec_en.pdf</t>
        </is>
      </c>
    </row>
    <row r="345">
      <c r="A345" t="inlineStr">
        <is>
          <t>AMS-C</t>
        </is>
      </c>
      <c r="B345" t="inlineStr">
        <is>
          <t>Academic Motivation Scale (College version, AMS-C 28)</t>
        </is>
      </c>
      <c r="C345" t="inlineStr">
        <is>
          <t>3. Adjacent occupational and wellbeing</t>
        </is>
      </c>
      <c r="D345" t="n">
        <v>23</v>
      </c>
      <c r="E345" t="inlineStr">
        <is>
          <t>Because my studies allow me to continue to learn about many things that interest me.</t>
        </is>
      </c>
      <c r="F345" t="inlineStr">
        <is>
          <t>Intrinsic motivation - to know</t>
        </is>
      </c>
      <c r="G345" t="inlineStr">
        <is>
          <t>FALSE</t>
        </is>
      </c>
      <c r="H345" t="inlineStr">
        <is>
          <t>FALSE</t>
        </is>
      </c>
      <c r="I345" t="inlineStr">
        <is>
          <t>Does not correspond at all = 1 | Corresponds a little = 2 | Corresponds a little = 3 | Corresponds moderately = 4 | Corresponds a lot = 5 | Corresponds a lot = 6 | Corresponds exactly = 7</t>
        </is>
      </c>
      <c r="K345" t="inlineStr">
        <is>
          <t>https://www.lrcs.uqam.ca/wp-content/uploads/2017/08/emec_en.pdf</t>
        </is>
      </c>
    </row>
    <row r="346">
      <c r="A346" t="inlineStr">
        <is>
          <t>AMS-C</t>
        </is>
      </c>
      <c r="B346" t="inlineStr">
        <is>
          <t>Academic Motivation Scale (College version, AMS-C 28)</t>
        </is>
      </c>
      <c r="C346" t="inlineStr">
        <is>
          <t>3. Adjacent occupational and wellbeing</t>
        </is>
      </c>
      <c r="D346" t="n">
        <v>24</v>
      </c>
      <c r="E346" t="inlineStr">
        <is>
          <t>Because I believe that a few additional years of education will improve my competence as a worker.</t>
        </is>
      </c>
      <c r="F346" t="inlineStr">
        <is>
          <t>Extrinsic motivation - identified</t>
        </is>
      </c>
      <c r="G346" t="inlineStr">
        <is>
          <t>FALSE</t>
        </is>
      </c>
      <c r="H346" t="inlineStr">
        <is>
          <t>FALSE</t>
        </is>
      </c>
      <c r="I346" t="inlineStr">
        <is>
          <t>Does not correspond at all = 1 | Corresponds a little = 2 | Corresponds a little = 3 | Corresponds moderately = 4 | Corresponds a lot = 5 | Corresponds a lot = 6 | Corresponds exactly = 7</t>
        </is>
      </c>
      <c r="K346" t="inlineStr">
        <is>
          <t>https://www.lrcs.uqam.ca/wp-content/uploads/2017/08/emec_en.pdf</t>
        </is>
      </c>
    </row>
    <row r="347">
      <c r="A347" t="inlineStr">
        <is>
          <t>AMS-C</t>
        </is>
      </c>
      <c r="B347" t="inlineStr">
        <is>
          <t>Academic Motivation Scale (College version, AMS-C 28)</t>
        </is>
      </c>
      <c r="C347" t="inlineStr">
        <is>
          <t>3. Adjacent occupational and wellbeing</t>
        </is>
      </c>
      <c r="D347" t="n">
        <v>25</v>
      </c>
      <c r="E347" t="inlineStr">
        <is>
          <t>For the "high" feeling that I experience while reading about various interesting subjects.</t>
        </is>
      </c>
      <c r="F347" t="inlineStr">
        <is>
          <t>Intrinsic motivation - to experience stimulation</t>
        </is>
      </c>
      <c r="G347" t="inlineStr">
        <is>
          <t>FALSE</t>
        </is>
      </c>
      <c r="H347" t="inlineStr">
        <is>
          <t>FALSE</t>
        </is>
      </c>
      <c r="I347" t="inlineStr">
        <is>
          <t>Does not correspond at all = 1 | Corresponds a little = 2 | Corresponds a little = 3 | Corresponds moderately = 4 | Corresponds a lot = 5 | Corresponds a lot = 6 | Corresponds exactly = 7</t>
        </is>
      </c>
      <c r="K347" t="inlineStr">
        <is>
          <t>https://www.lrcs.uqam.ca/wp-content/uploads/2017/08/emec_en.pdf</t>
        </is>
      </c>
    </row>
    <row r="348">
      <c r="A348" t="inlineStr">
        <is>
          <t>AMS-C</t>
        </is>
      </c>
      <c r="B348" t="inlineStr">
        <is>
          <t>Academic Motivation Scale (College version, AMS-C 28)</t>
        </is>
      </c>
      <c r="C348" t="inlineStr">
        <is>
          <t>3. Adjacent occupational and wellbeing</t>
        </is>
      </c>
      <c r="D348" t="n">
        <v>26</v>
      </c>
      <c r="E348" t="inlineStr">
        <is>
          <t>I don't know; I can't understand what I am doing in school.</t>
        </is>
      </c>
      <c r="F348" t="inlineStr">
        <is>
          <t>Amotivation</t>
        </is>
      </c>
      <c r="G348" t="inlineStr">
        <is>
          <t>FALSE</t>
        </is>
      </c>
      <c r="H348" t="inlineStr">
        <is>
          <t>FALSE</t>
        </is>
      </c>
      <c r="I348" t="inlineStr">
        <is>
          <t>Does not correspond at all = 1 | Corresponds a little = 2 | Corresponds a little = 3 | Corresponds moderately = 4 | Corresponds a lot = 5 | Corresponds a lot = 6 | Corresponds exactly = 7</t>
        </is>
      </c>
      <c r="K348" t="inlineStr">
        <is>
          <t>https://www.lrcs.uqam.ca/wp-content/uploads/2017/08/emec_en.pdf</t>
        </is>
      </c>
    </row>
    <row r="349">
      <c r="A349" t="inlineStr">
        <is>
          <t>AMS-C</t>
        </is>
      </c>
      <c r="B349" t="inlineStr">
        <is>
          <t>Academic Motivation Scale (College version, AMS-C 28)</t>
        </is>
      </c>
      <c r="C349" t="inlineStr">
        <is>
          <t>3. Adjacent occupational and wellbeing</t>
        </is>
      </c>
      <c r="D349" t="n">
        <v>27</v>
      </c>
      <c r="E349" t="inlineStr">
        <is>
          <t>Because college allows me to experience a personal satisfaction in my quest for excellence in my studies.</t>
        </is>
      </c>
      <c r="F349" t="inlineStr">
        <is>
          <t>Intrinsic motivation - toward accomplishment</t>
        </is>
      </c>
      <c r="G349" t="inlineStr">
        <is>
          <t>FALSE</t>
        </is>
      </c>
      <c r="H349" t="inlineStr">
        <is>
          <t>FALSE</t>
        </is>
      </c>
      <c r="I349" t="inlineStr">
        <is>
          <t>Does not correspond at all = 1 | Corresponds a little = 2 | Corresponds a little = 3 | Corresponds moderately = 4 | Corresponds a lot = 5 | Corresponds a lot = 6 | Corresponds exactly = 7</t>
        </is>
      </c>
      <c r="K349" t="inlineStr">
        <is>
          <t>https://www.lrcs.uqam.ca/wp-content/uploads/2017/08/emec_en.pdf</t>
        </is>
      </c>
    </row>
    <row r="350">
      <c r="A350" t="inlineStr">
        <is>
          <t>AMS-C</t>
        </is>
      </c>
      <c r="B350" t="inlineStr">
        <is>
          <t>Academic Motivation Scale (College version, AMS-C 28)</t>
        </is>
      </c>
      <c r="C350" t="inlineStr">
        <is>
          <t>3. Adjacent occupational and wellbeing</t>
        </is>
      </c>
      <c r="D350" t="n">
        <v>28</v>
      </c>
      <c r="E350" t="inlineStr">
        <is>
          <t>Because I want to show myself that I can succeed in my studies.</t>
        </is>
      </c>
      <c r="F350" t="inlineStr">
        <is>
          <t>Extrinsic motivation - introjected</t>
        </is>
      </c>
      <c r="G350" t="inlineStr">
        <is>
          <t>FALSE</t>
        </is>
      </c>
      <c r="H350" t="inlineStr">
        <is>
          <t>FALSE</t>
        </is>
      </c>
      <c r="I350" t="inlineStr">
        <is>
          <t>Does not correspond at all = 1 | Corresponds a little = 2 | Corresponds a little = 3 | Corresponds moderately = 4 | Corresponds a lot = 5 | Corresponds a lot = 6 | Corresponds exactly = 7</t>
        </is>
      </c>
      <c r="K350" t="inlineStr">
        <is>
          <t>https://www.lrcs.uqam.ca/wp-content/uploads/2017/08/emec_en.pdf</t>
        </is>
      </c>
    </row>
    <row r="351">
      <c r="A351" t="inlineStr">
        <is>
          <t>APS-R</t>
        </is>
      </c>
      <c r="B351" t="inlineStr">
        <is>
          <t>Almost Perfect Scale Revised</t>
        </is>
      </c>
      <c r="C351" t="inlineStr">
        <is>
          <t>5. Self talk, thinking patterns and personality</t>
        </is>
      </c>
      <c r="D351" t="n">
        <v>1</v>
      </c>
      <c r="E351" t="inlineStr">
        <is>
          <t>I have high standards for my performance at work or at school.</t>
        </is>
      </c>
      <c r="F351" t="inlineStr">
        <is>
          <t>Standards</t>
        </is>
      </c>
      <c r="G351" t="inlineStr">
        <is>
          <t>FALSE</t>
        </is>
      </c>
      <c r="H351" t="inlineStr">
        <is>
          <t>FALSE</t>
        </is>
      </c>
      <c r="I351" t="inlineStr">
        <is>
          <t>Strongly Disagree = 1 | Disagree = 2 | Slightly Disagree = 3 | Neutral = 4 | Slightly Agree = 5 | Agree = 6 | Strongly Agree = 7</t>
        </is>
      </c>
      <c r="K351" t="inlineStr">
        <is>
          <t>https://www.kennethwang.com/apsr/scales/APSR-English.pdf</t>
        </is>
      </c>
    </row>
    <row r="352">
      <c r="A352" t="inlineStr">
        <is>
          <t>APS-R</t>
        </is>
      </c>
      <c r="B352" t="inlineStr">
        <is>
          <t>Almost Perfect Scale Revised</t>
        </is>
      </c>
      <c r="C352" t="inlineStr">
        <is>
          <t>5. Self talk, thinking patterns and personality</t>
        </is>
      </c>
      <c r="D352" t="n">
        <v>2</v>
      </c>
      <c r="E352" t="inlineStr">
        <is>
          <t>I am an orderly person.</t>
        </is>
      </c>
      <c r="F352" t="inlineStr">
        <is>
          <t>Order</t>
        </is>
      </c>
      <c r="G352" t="inlineStr">
        <is>
          <t>FALSE</t>
        </is>
      </c>
      <c r="H352" t="inlineStr">
        <is>
          <t>FALSE</t>
        </is>
      </c>
      <c r="I352" t="inlineStr">
        <is>
          <t>Strongly Disagree = 1 | Disagree = 2 | Slightly Disagree = 3 | Neutral = 4 | Slightly Agree = 5 | Agree = 6 | Strongly Agree = 7</t>
        </is>
      </c>
      <c r="K352" t="inlineStr">
        <is>
          <t>https://www.kennethwang.com/apsr/scales/APSR-English.pdf</t>
        </is>
      </c>
    </row>
    <row r="353">
      <c r="A353" t="inlineStr">
        <is>
          <t>APS-R</t>
        </is>
      </c>
      <c r="B353" t="inlineStr">
        <is>
          <t>Almost Perfect Scale Revised</t>
        </is>
      </c>
      <c r="C353" t="inlineStr">
        <is>
          <t>5. Self talk, thinking patterns and personality</t>
        </is>
      </c>
      <c r="D353" t="n">
        <v>3</v>
      </c>
      <c r="E353" t="inlineStr">
        <is>
          <t>I often feel frustrated because I can’t meet my goals.</t>
        </is>
      </c>
      <c r="F353" t="inlineStr">
        <is>
          <t>Discrepancy</t>
        </is>
      </c>
      <c r="G353" t="inlineStr">
        <is>
          <t>FALSE</t>
        </is>
      </c>
      <c r="H353" t="inlineStr">
        <is>
          <t>FALSE</t>
        </is>
      </c>
      <c r="I353" t="inlineStr">
        <is>
          <t>Strongly Disagree = 1 | Disagree = 2 | Slightly Disagree = 3 | Neutral = 4 | Slightly Agree = 5 | Agree = 6 | Strongly Agree = 7</t>
        </is>
      </c>
      <c r="K353" t="inlineStr">
        <is>
          <t>https://www.kennethwang.com/apsr/scales/APSR-English.pdf</t>
        </is>
      </c>
    </row>
    <row r="354">
      <c r="A354" t="inlineStr">
        <is>
          <t>APS-R</t>
        </is>
      </c>
      <c r="B354" t="inlineStr">
        <is>
          <t>Almost Perfect Scale Revised</t>
        </is>
      </c>
      <c r="C354" t="inlineStr">
        <is>
          <t>5. Self talk, thinking patterns and personality</t>
        </is>
      </c>
      <c r="D354" t="n">
        <v>4</v>
      </c>
      <c r="E354" t="inlineStr">
        <is>
          <t>Neatness is important to me.</t>
        </is>
      </c>
      <c r="F354" t="inlineStr">
        <is>
          <t>Order</t>
        </is>
      </c>
      <c r="G354" t="inlineStr">
        <is>
          <t>FALSE</t>
        </is>
      </c>
      <c r="H354" t="inlineStr">
        <is>
          <t>FALSE</t>
        </is>
      </c>
      <c r="I354" t="inlineStr">
        <is>
          <t>Strongly Disagree = 1 | Disagree = 2 | Slightly Disagree = 3 | Neutral = 4 | Slightly Agree = 5 | Agree = 6 | Strongly Agree = 7</t>
        </is>
      </c>
      <c r="K354" t="inlineStr">
        <is>
          <t>https://www.kennethwang.com/apsr/scales/APSR-English.pdf</t>
        </is>
      </c>
    </row>
    <row r="355">
      <c r="A355" t="inlineStr">
        <is>
          <t>APS-R</t>
        </is>
      </c>
      <c r="B355" t="inlineStr">
        <is>
          <t>Almost Perfect Scale Revised</t>
        </is>
      </c>
      <c r="C355" t="inlineStr">
        <is>
          <t>5. Self talk, thinking patterns and personality</t>
        </is>
      </c>
      <c r="D355" t="n">
        <v>5</v>
      </c>
      <c r="E355" t="inlineStr">
        <is>
          <t>If you don’t expect much out of yourself, you will never succeed.</t>
        </is>
      </c>
      <c r="F355" t="inlineStr">
        <is>
          <t>Standards</t>
        </is>
      </c>
      <c r="G355" t="inlineStr">
        <is>
          <t>FALSE</t>
        </is>
      </c>
      <c r="H355" t="inlineStr">
        <is>
          <t>FALSE</t>
        </is>
      </c>
      <c r="I355" t="inlineStr">
        <is>
          <t>Strongly Disagree = 1 | Disagree = 2 | Slightly Disagree = 3 | Neutral = 4 | Slightly Agree = 5 | Agree = 6 | Strongly Agree = 7</t>
        </is>
      </c>
      <c r="K355" t="inlineStr">
        <is>
          <t>https://www.kennethwang.com/apsr/scales/APSR-English.pdf</t>
        </is>
      </c>
    </row>
    <row r="356">
      <c r="A356" t="inlineStr">
        <is>
          <t>APS-R</t>
        </is>
      </c>
      <c r="B356" t="inlineStr">
        <is>
          <t>Almost Perfect Scale Revised</t>
        </is>
      </c>
      <c r="C356" t="inlineStr">
        <is>
          <t>5. Self talk, thinking patterns and personality</t>
        </is>
      </c>
      <c r="D356" t="n">
        <v>6</v>
      </c>
      <c r="E356" t="inlineStr">
        <is>
          <t>My best just never seems to be good enough for me.</t>
        </is>
      </c>
      <c r="F356" t="inlineStr">
        <is>
          <t>Discrepancy</t>
        </is>
      </c>
      <c r="G356" t="inlineStr">
        <is>
          <t>FALSE</t>
        </is>
      </c>
      <c r="H356" t="inlineStr">
        <is>
          <t>FALSE</t>
        </is>
      </c>
      <c r="I356" t="inlineStr">
        <is>
          <t>Strongly Disagree = 1 | Disagree = 2 | Slightly Disagree = 3 | Neutral = 4 | Slightly Agree = 5 | Agree = 6 | Strongly Agree = 7</t>
        </is>
      </c>
      <c r="K356" t="inlineStr">
        <is>
          <t>https://www.kennethwang.com/apsr/scales/APSR-English.pdf</t>
        </is>
      </c>
    </row>
    <row r="357">
      <c r="A357" t="inlineStr">
        <is>
          <t>APS-R</t>
        </is>
      </c>
      <c r="B357" t="inlineStr">
        <is>
          <t>Almost Perfect Scale Revised</t>
        </is>
      </c>
      <c r="C357" t="inlineStr">
        <is>
          <t>5. Self talk, thinking patterns and personality</t>
        </is>
      </c>
      <c r="D357" t="n">
        <v>7</v>
      </c>
      <c r="E357" t="inlineStr">
        <is>
          <t>I think things should be put away in their place</t>
        </is>
      </c>
      <c r="F357" t="inlineStr">
        <is>
          <t>Order</t>
        </is>
      </c>
      <c r="G357" t="inlineStr">
        <is>
          <t>FALSE</t>
        </is>
      </c>
      <c r="H357" t="inlineStr">
        <is>
          <t>FALSE</t>
        </is>
      </c>
      <c r="I357" t="inlineStr">
        <is>
          <t>Strongly Disagree = 1 | Disagree = 2 | Slightly Disagree = 3 | Neutral = 4 | Slightly Agree = 5 | Agree = 6 | Strongly Agree = 7</t>
        </is>
      </c>
      <c r="K357" t="inlineStr">
        <is>
          <t>https://www.kennethwang.com/apsr/scales/APSR-English.pdf</t>
        </is>
      </c>
    </row>
    <row r="358">
      <c r="A358" t="inlineStr">
        <is>
          <t>APS-R</t>
        </is>
      </c>
      <c r="B358" t="inlineStr">
        <is>
          <t>Almost Perfect Scale Revised</t>
        </is>
      </c>
      <c r="C358" t="inlineStr">
        <is>
          <t>5. Self talk, thinking patterns and personality</t>
        </is>
      </c>
      <c r="D358" t="n">
        <v>8</v>
      </c>
      <c r="E358" t="inlineStr">
        <is>
          <t>I have high expectations for myself.</t>
        </is>
      </c>
      <c r="F358" t="inlineStr">
        <is>
          <t>Standards</t>
        </is>
      </c>
      <c r="G358" t="inlineStr">
        <is>
          <t>FALSE</t>
        </is>
      </c>
      <c r="H358" t="inlineStr">
        <is>
          <t>FALSE</t>
        </is>
      </c>
      <c r="I358" t="inlineStr">
        <is>
          <t>Strongly Disagree = 1 | Disagree = 2 | Slightly Disagree = 3 | Neutral = 4 | Slightly Agree = 5 | Agree = 6 | Strongly Agree = 7</t>
        </is>
      </c>
      <c r="K358" t="inlineStr">
        <is>
          <t>https://www.kennethwang.com/apsr/scales/APSR-English.pdf</t>
        </is>
      </c>
    </row>
    <row r="359">
      <c r="A359" t="inlineStr">
        <is>
          <t>APS-R</t>
        </is>
      </c>
      <c r="B359" t="inlineStr">
        <is>
          <t>Almost Perfect Scale Revised</t>
        </is>
      </c>
      <c r="C359" t="inlineStr">
        <is>
          <t>5. Self talk, thinking patterns and personality</t>
        </is>
      </c>
      <c r="D359" t="n">
        <v>9</v>
      </c>
      <c r="E359" t="inlineStr">
        <is>
          <t>I rarely live up to my high standards.</t>
        </is>
      </c>
      <c r="F359" t="inlineStr">
        <is>
          <t>Discrepancy</t>
        </is>
      </c>
      <c r="G359" t="inlineStr">
        <is>
          <t>FALSE</t>
        </is>
      </c>
      <c r="H359" t="inlineStr">
        <is>
          <t>FALSE</t>
        </is>
      </c>
      <c r="I359" t="inlineStr">
        <is>
          <t>Strongly Disagree = 1 | Disagree = 2 | Slightly Disagree = 3 | Neutral = 4 | Slightly Agree = 5 | Agree = 6 | Strongly Agree = 7</t>
        </is>
      </c>
      <c r="K359" t="inlineStr">
        <is>
          <t>https://www.kennethwang.com/apsr/scales/APSR-English.pdf</t>
        </is>
      </c>
    </row>
    <row r="360">
      <c r="A360" t="inlineStr">
        <is>
          <t>APS-R</t>
        </is>
      </c>
      <c r="B360" t="inlineStr">
        <is>
          <t>Almost Perfect Scale Revised</t>
        </is>
      </c>
      <c r="C360" t="inlineStr">
        <is>
          <t>5. Self talk, thinking patterns and personality</t>
        </is>
      </c>
      <c r="D360" t="n">
        <v>10</v>
      </c>
      <c r="E360" t="inlineStr">
        <is>
          <t>I like to always be organized and disciplined.</t>
        </is>
      </c>
      <c r="F360" t="inlineStr">
        <is>
          <t>Order</t>
        </is>
      </c>
      <c r="G360" t="inlineStr">
        <is>
          <t>FALSE</t>
        </is>
      </c>
      <c r="H360" t="inlineStr">
        <is>
          <t>FALSE</t>
        </is>
      </c>
      <c r="I360" t="inlineStr">
        <is>
          <t>Strongly Disagree = 1 | Disagree = 2 | Slightly Disagree = 3 | Neutral = 4 | Slightly Agree = 5 | Agree = 6 | Strongly Agree = 7</t>
        </is>
      </c>
      <c r="K360" t="inlineStr">
        <is>
          <t>https://www.kennethwang.com/apsr/scales/APSR-English.pdf</t>
        </is>
      </c>
    </row>
    <row r="361">
      <c r="A361" t="inlineStr">
        <is>
          <t>APS-R</t>
        </is>
      </c>
      <c r="B361" t="inlineStr">
        <is>
          <t>Almost Perfect Scale Revised</t>
        </is>
      </c>
      <c r="C361" t="inlineStr">
        <is>
          <t>5. Self talk, thinking patterns and personality</t>
        </is>
      </c>
      <c r="D361" t="n">
        <v>11</v>
      </c>
      <c r="E361" t="inlineStr">
        <is>
          <t>Doing my best never seems to be enough.</t>
        </is>
      </c>
      <c r="F361" t="inlineStr">
        <is>
          <t>Discrepancy</t>
        </is>
      </c>
      <c r="G361" t="inlineStr">
        <is>
          <t>FALSE</t>
        </is>
      </c>
      <c r="H361" t="inlineStr">
        <is>
          <t>FALSE</t>
        </is>
      </c>
      <c r="I361" t="inlineStr">
        <is>
          <t>Strongly Disagree = 1 | Disagree = 2 | Slightly Disagree = 3 | Neutral = 4 | Slightly Agree = 5 | Agree = 6 | Strongly Agree = 7</t>
        </is>
      </c>
      <c r="K361" t="inlineStr">
        <is>
          <t>https://www.kennethwang.com/apsr/scales/APSR-English.pdf</t>
        </is>
      </c>
    </row>
    <row r="362">
      <c r="A362" t="inlineStr">
        <is>
          <t>APS-R</t>
        </is>
      </c>
      <c r="B362" t="inlineStr">
        <is>
          <t>Almost Perfect Scale Revised</t>
        </is>
      </c>
      <c r="C362" t="inlineStr">
        <is>
          <t>5. Self talk, thinking patterns and personality</t>
        </is>
      </c>
      <c r="D362" t="n">
        <v>12</v>
      </c>
      <c r="E362" t="inlineStr">
        <is>
          <t>I set very high standards for myself.</t>
        </is>
      </c>
      <c r="F362" t="inlineStr">
        <is>
          <t>Standards</t>
        </is>
      </c>
      <c r="G362" t="inlineStr">
        <is>
          <t>FALSE</t>
        </is>
      </c>
      <c r="H362" t="inlineStr">
        <is>
          <t>FALSE</t>
        </is>
      </c>
      <c r="I362" t="inlineStr">
        <is>
          <t>Strongly Disagree = 1 | Disagree = 2 | Slightly Disagree = 3 | Neutral = 4 | Slightly Agree = 5 | Agree = 6 | Strongly Agree = 7</t>
        </is>
      </c>
      <c r="K362" t="inlineStr">
        <is>
          <t>https://www.kennethwang.com/apsr/scales/APSR-English.pdf</t>
        </is>
      </c>
    </row>
    <row r="363">
      <c r="A363" t="inlineStr">
        <is>
          <t>APS-R</t>
        </is>
      </c>
      <c r="B363" t="inlineStr">
        <is>
          <t>Almost Perfect Scale Revised</t>
        </is>
      </c>
      <c r="C363" t="inlineStr">
        <is>
          <t>5. Self talk, thinking patterns and personality</t>
        </is>
      </c>
      <c r="D363" t="n">
        <v>13</v>
      </c>
      <c r="E363" t="inlineStr">
        <is>
          <t>I am never satisfied with my accomplishments.</t>
        </is>
      </c>
      <c r="F363" t="inlineStr">
        <is>
          <t>Discrepancy</t>
        </is>
      </c>
      <c r="G363" t="inlineStr">
        <is>
          <t>FALSE</t>
        </is>
      </c>
      <c r="H363" t="inlineStr">
        <is>
          <t>FALSE</t>
        </is>
      </c>
      <c r="I363" t="inlineStr">
        <is>
          <t>Strongly Disagree = 1 | Disagree = 2 | Slightly Disagree = 3 | Neutral = 4 | Slightly Agree = 5 | Agree = 6 | Strongly Agree = 7</t>
        </is>
      </c>
      <c r="K363" t="inlineStr">
        <is>
          <t>https://www.kennethwang.com/apsr/scales/APSR-English.pdf</t>
        </is>
      </c>
    </row>
    <row r="364">
      <c r="A364" t="inlineStr">
        <is>
          <t>APS-R</t>
        </is>
      </c>
      <c r="B364" t="inlineStr">
        <is>
          <t>Almost Perfect Scale Revised</t>
        </is>
      </c>
      <c r="C364" t="inlineStr">
        <is>
          <t>5. Self talk, thinking patterns and personality</t>
        </is>
      </c>
      <c r="D364" t="n">
        <v>14</v>
      </c>
      <c r="E364" t="inlineStr">
        <is>
          <t>I expect the best from myself.</t>
        </is>
      </c>
      <c r="F364" t="inlineStr">
        <is>
          <t>Standards</t>
        </is>
      </c>
      <c r="G364" t="inlineStr">
        <is>
          <t>FALSE</t>
        </is>
      </c>
      <c r="H364" t="inlineStr">
        <is>
          <t>FALSE</t>
        </is>
      </c>
      <c r="I364" t="inlineStr">
        <is>
          <t>Strongly Disagree = 1 | Disagree = 2 | Slightly Disagree = 3 | Neutral = 4 | Slightly Agree = 5 | Agree = 6 | Strongly Agree = 7</t>
        </is>
      </c>
      <c r="K364" t="inlineStr">
        <is>
          <t>https://www.kennethwang.com/apsr/scales/APSR-English.pdf</t>
        </is>
      </c>
    </row>
    <row r="365">
      <c r="A365" t="inlineStr">
        <is>
          <t>APS-R</t>
        </is>
      </c>
      <c r="B365" t="inlineStr">
        <is>
          <t>Almost Perfect Scale Revised</t>
        </is>
      </c>
      <c r="C365" t="inlineStr">
        <is>
          <t>5. Self talk, thinking patterns and personality</t>
        </is>
      </c>
      <c r="D365" t="n">
        <v>15</v>
      </c>
      <c r="E365" t="inlineStr">
        <is>
          <t>I often worry about not measuring up to my own expectations.</t>
        </is>
      </c>
      <c r="F365" t="inlineStr">
        <is>
          <t>Discrepancy</t>
        </is>
      </c>
      <c r="G365" t="inlineStr">
        <is>
          <t>FALSE</t>
        </is>
      </c>
      <c r="H365" t="inlineStr">
        <is>
          <t>FALSE</t>
        </is>
      </c>
      <c r="I365" t="inlineStr">
        <is>
          <t>Strongly Disagree = 1 | Disagree = 2 | Slightly Disagree = 3 | Neutral = 4 | Slightly Agree = 5 | Agree = 6 | Strongly Agree = 7</t>
        </is>
      </c>
      <c r="K365" t="inlineStr">
        <is>
          <t>https://www.kennethwang.com/apsr/scales/APSR-English.pdf</t>
        </is>
      </c>
    </row>
    <row r="366">
      <c r="A366" t="inlineStr">
        <is>
          <t>APS-R</t>
        </is>
      </c>
      <c r="B366" t="inlineStr">
        <is>
          <t>Almost Perfect Scale Revised</t>
        </is>
      </c>
      <c r="C366" t="inlineStr">
        <is>
          <t>5. Self talk, thinking patterns and personality</t>
        </is>
      </c>
      <c r="D366" t="n">
        <v>16</v>
      </c>
      <c r="E366" t="inlineStr">
        <is>
          <t>My performance rarely measures up to my standards.</t>
        </is>
      </c>
      <c r="F366" t="inlineStr">
        <is>
          <t>Discrepancy</t>
        </is>
      </c>
      <c r="G366" t="inlineStr">
        <is>
          <t>FALSE</t>
        </is>
      </c>
      <c r="H366" t="inlineStr">
        <is>
          <t>FALSE</t>
        </is>
      </c>
      <c r="I366" t="inlineStr">
        <is>
          <t>Strongly Disagree = 1 | Disagree = 2 | Slightly Disagree = 3 | Neutral = 4 | Slightly Agree = 5 | Agree = 6 | Strongly Agree = 7</t>
        </is>
      </c>
      <c r="K366" t="inlineStr">
        <is>
          <t>https://www.kennethwang.com/apsr/scales/APSR-English.pdf</t>
        </is>
      </c>
    </row>
    <row r="367">
      <c r="A367" t="inlineStr">
        <is>
          <t>APS-R</t>
        </is>
      </c>
      <c r="B367" t="inlineStr">
        <is>
          <t>Almost Perfect Scale Revised</t>
        </is>
      </c>
      <c r="C367" t="inlineStr">
        <is>
          <t>5. Self talk, thinking patterns and personality</t>
        </is>
      </c>
      <c r="D367" t="n">
        <v>17</v>
      </c>
      <c r="E367" t="inlineStr">
        <is>
          <t>I am not satisfied even when I know I have done my best.</t>
        </is>
      </c>
      <c r="F367" t="inlineStr">
        <is>
          <t>Discrepancy</t>
        </is>
      </c>
      <c r="G367" t="inlineStr">
        <is>
          <t>FALSE</t>
        </is>
      </c>
      <c r="H367" t="inlineStr">
        <is>
          <t>FALSE</t>
        </is>
      </c>
      <c r="I367" t="inlineStr">
        <is>
          <t>Strongly Disagree = 1 | Disagree = 2 | Slightly Disagree = 3 | Neutral = 4 | Slightly Agree = 5 | Agree = 6 | Strongly Agree = 7</t>
        </is>
      </c>
      <c r="K367" t="inlineStr">
        <is>
          <t>https://www.kennethwang.com/apsr/scales/APSR-English.pdf</t>
        </is>
      </c>
    </row>
    <row r="368">
      <c r="A368" t="inlineStr">
        <is>
          <t>APS-R</t>
        </is>
      </c>
      <c r="B368" t="inlineStr">
        <is>
          <t>Almost Perfect Scale Revised</t>
        </is>
      </c>
      <c r="C368" t="inlineStr">
        <is>
          <t>5. Self talk, thinking patterns and personality</t>
        </is>
      </c>
      <c r="D368" t="n">
        <v>18</v>
      </c>
      <c r="E368" t="inlineStr">
        <is>
          <t>I try to do my best at everything I do.</t>
        </is>
      </c>
      <c r="F368" t="inlineStr">
        <is>
          <t>Standards</t>
        </is>
      </c>
      <c r="G368" t="inlineStr">
        <is>
          <t>FALSE</t>
        </is>
      </c>
      <c r="H368" t="inlineStr">
        <is>
          <t>FALSE</t>
        </is>
      </c>
      <c r="I368" t="inlineStr">
        <is>
          <t>Strongly Disagree = 1 | Disagree = 2 | Slightly Disagree = 3 | Neutral = 4 | Slightly Agree = 5 | Agree = 6 | Strongly Agree = 7</t>
        </is>
      </c>
      <c r="K368" t="inlineStr">
        <is>
          <t>https://www.kennethwang.com/apsr/scales/APSR-English.pdf</t>
        </is>
      </c>
    </row>
    <row r="369">
      <c r="A369" t="inlineStr">
        <is>
          <t>APS-R</t>
        </is>
      </c>
      <c r="B369" t="inlineStr">
        <is>
          <t>Almost Perfect Scale Revised</t>
        </is>
      </c>
      <c r="C369" t="inlineStr">
        <is>
          <t>5. Self talk, thinking patterns and personality</t>
        </is>
      </c>
      <c r="D369" t="n">
        <v>19</v>
      </c>
      <c r="E369" t="inlineStr">
        <is>
          <t>I am seldom able to meet my own high standards of performance.</t>
        </is>
      </c>
      <c r="F369" t="inlineStr">
        <is>
          <t>Discrepancy</t>
        </is>
      </c>
      <c r="G369" t="inlineStr">
        <is>
          <t>FALSE</t>
        </is>
      </c>
      <c r="H369" t="inlineStr">
        <is>
          <t>FALSE</t>
        </is>
      </c>
      <c r="I369" t="inlineStr">
        <is>
          <t>Strongly Disagree = 1 | Disagree = 2 | Slightly Disagree = 3 | Neutral = 4 | Slightly Agree = 5 | Agree = 6 | Strongly Agree = 7</t>
        </is>
      </c>
      <c r="K369" t="inlineStr">
        <is>
          <t>https://www.kennethwang.com/apsr/scales/APSR-English.pdf</t>
        </is>
      </c>
    </row>
    <row r="370">
      <c r="A370" t="inlineStr">
        <is>
          <t>APS-R</t>
        </is>
      </c>
      <c r="B370" t="inlineStr">
        <is>
          <t>Almost Perfect Scale Revised</t>
        </is>
      </c>
      <c r="C370" t="inlineStr">
        <is>
          <t>5. Self talk, thinking patterns and personality</t>
        </is>
      </c>
      <c r="D370" t="n">
        <v>20</v>
      </c>
      <c r="E370" t="inlineStr">
        <is>
          <t>I am hardly ever satisfied with my performance.</t>
        </is>
      </c>
      <c r="F370" t="inlineStr">
        <is>
          <t>Discrepancy</t>
        </is>
      </c>
      <c r="G370" t="inlineStr">
        <is>
          <t>FALSE</t>
        </is>
      </c>
      <c r="H370" t="inlineStr">
        <is>
          <t>FALSE</t>
        </is>
      </c>
      <c r="I370" t="inlineStr">
        <is>
          <t>Strongly Disagree = 1 | Disagree = 2 | Slightly Disagree = 3 | Neutral = 4 | Slightly Agree = 5 | Agree = 6 | Strongly Agree = 7</t>
        </is>
      </c>
      <c r="K370" t="inlineStr">
        <is>
          <t>https://www.kennethwang.com/apsr/scales/APSR-English.pdf</t>
        </is>
      </c>
    </row>
    <row r="371">
      <c r="A371" t="inlineStr">
        <is>
          <t>APS-R</t>
        </is>
      </c>
      <c r="B371" t="inlineStr">
        <is>
          <t>Almost Perfect Scale Revised</t>
        </is>
      </c>
      <c r="C371" t="inlineStr">
        <is>
          <t>5. Self talk, thinking patterns and personality</t>
        </is>
      </c>
      <c r="D371" t="n">
        <v>21</v>
      </c>
      <c r="E371" t="inlineStr">
        <is>
          <t>I hardly ever feel that what I’ve done is good enough.</t>
        </is>
      </c>
      <c r="F371" t="inlineStr">
        <is>
          <t>Discrepancy</t>
        </is>
      </c>
      <c r="G371" t="inlineStr">
        <is>
          <t>FALSE</t>
        </is>
      </c>
      <c r="H371" t="inlineStr">
        <is>
          <t>FALSE</t>
        </is>
      </c>
      <c r="I371" t="inlineStr">
        <is>
          <t>Strongly Disagree = 1 | Disagree = 2 | Slightly Disagree = 3 | Neutral = 4 | Slightly Agree = 5 | Agree = 6 | Strongly Agree = 7</t>
        </is>
      </c>
      <c r="K371" t="inlineStr">
        <is>
          <t>https://www.kennethwang.com/apsr/scales/APSR-English.pdf</t>
        </is>
      </c>
    </row>
    <row r="372">
      <c r="A372" t="inlineStr">
        <is>
          <t>APS-R</t>
        </is>
      </c>
      <c r="B372" t="inlineStr">
        <is>
          <t>Almost Perfect Scale Revised</t>
        </is>
      </c>
      <c r="C372" t="inlineStr">
        <is>
          <t>5. Self talk, thinking patterns and personality</t>
        </is>
      </c>
      <c r="D372" t="n">
        <v>22</v>
      </c>
      <c r="E372" t="inlineStr">
        <is>
          <t>I have a strong need to strive for excellence.</t>
        </is>
      </c>
      <c r="F372" t="inlineStr">
        <is>
          <t>Standards</t>
        </is>
      </c>
      <c r="G372" t="inlineStr">
        <is>
          <t>FALSE</t>
        </is>
      </c>
      <c r="H372" t="inlineStr">
        <is>
          <t>FALSE</t>
        </is>
      </c>
      <c r="I372" t="inlineStr">
        <is>
          <t>Strongly Disagree = 1 | Disagree = 2 | Slightly Disagree = 3 | Neutral = 4 | Slightly Agree = 5 | Agree = 6 | Strongly Agree = 7</t>
        </is>
      </c>
      <c r="K372" t="inlineStr">
        <is>
          <t>https://www.kennethwang.com/apsr/scales/APSR-English.pdf</t>
        </is>
      </c>
    </row>
    <row r="373">
      <c r="A373" t="inlineStr">
        <is>
          <t>APS-R</t>
        </is>
      </c>
      <c r="B373" t="inlineStr">
        <is>
          <t>Almost Perfect Scale Revised</t>
        </is>
      </c>
      <c r="C373" t="inlineStr">
        <is>
          <t>5. Self talk, thinking patterns and personality</t>
        </is>
      </c>
      <c r="D373" t="n">
        <v>23</v>
      </c>
      <c r="E373" t="inlineStr">
        <is>
          <t>I often feel disappointment after completing a task because I know I could have done better.</t>
        </is>
      </c>
      <c r="F373" t="inlineStr">
        <is>
          <t>Discrepancy</t>
        </is>
      </c>
      <c r="G373" t="inlineStr">
        <is>
          <t>FALSE</t>
        </is>
      </c>
      <c r="H373" t="inlineStr">
        <is>
          <t>FALSE</t>
        </is>
      </c>
      <c r="I373" t="inlineStr">
        <is>
          <t>Strongly Disagree = 1 | Disagree = 2 | Slightly Disagree = 3 | Neutral = 4 | Slightly Agree = 5 | Agree = 6 | Strongly Agree = 7</t>
        </is>
      </c>
      <c r="K373" t="inlineStr">
        <is>
          <t>https://www.kennethwang.com/apsr/scales/APSR-English.pdf</t>
        </is>
      </c>
    </row>
    <row r="374">
      <c r="A374" t="inlineStr">
        <is>
          <t>AUDIT-C</t>
        </is>
      </c>
      <c r="B374" t="inlineStr">
        <is>
          <t>AUDIT Consumption</t>
        </is>
      </c>
      <c r="C374" t="inlineStr">
        <is>
          <t>4. Clinical and distress screening</t>
        </is>
      </c>
      <c r="D374" t="n">
        <v>1</v>
      </c>
      <c r="E374" t="inlineStr">
        <is>
          <t>How often do you have a drink containing alcohol?</t>
        </is>
      </c>
      <c r="F374" t="inlineStr">
        <is>
          <t>Total</t>
        </is>
      </c>
      <c r="G374" t="inlineStr">
        <is>
          <t>FALSE</t>
        </is>
      </c>
      <c r="H374" t="inlineStr">
        <is>
          <t>FALSE</t>
        </is>
      </c>
      <c r="I374" t="inlineStr">
        <is>
          <t>Never = 0 | Monthly or less = 1 | 2 to 4 times a month = 2 | 2 to 3 times a week = 3 | 4 or more times a week = 4</t>
        </is>
      </c>
      <c r="J374" t="inlineStr">
        <is>
          <t>Options: Never (0), Monthly or less (1), Two to four times a month (2), Two to three times per week (3), Four or more times a week (4). WHO form prints these as 2 to 4 times a month, 2 to 3 times a week, 4 or more times a week.</t>
        </is>
      </c>
      <c r="K374" t="inlineStr">
        <is>
          <t>https://integrationacademy.ahrq.gov/sites/default/files/2020-07/AUDIT-C.pdf</t>
        </is>
      </c>
    </row>
    <row r="375">
      <c r="A375" t="inlineStr">
        <is>
          <t>AUDIT-C</t>
        </is>
      </c>
      <c r="B375" t="inlineStr">
        <is>
          <t>AUDIT Consumption</t>
        </is>
      </c>
      <c r="C375" t="inlineStr">
        <is>
          <t>4. Clinical and distress screening</t>
        </is>
      </c>
      <c r="D375" t="n">
        <v>2</v>
      </c>
      <c r="E375" t="inlineStr">
        <is>
          <t>How many drinks containing alcohol do you have on a typical day when you are drinking?</t>
        </is>
      </c>
      <c r="F375" t="inlineStr">
        <is>
          <t>Total</t>
        </is>
      </c>
      <c r="G375" t="inlineStr">
        <is>
          <t>FALSE</t>
        </is>
      </c>
      <c r="H375" t="inlineStr">
        <is>
          <t>FALSE</t>
        </is>
      </c>
      <c r="I375" t="inlineStr">
        <is>
          <t>1 or 2 = 0 | 3 or 4 = 1 | 5 or 6 = 2 | 7 to 9 = 3 | 10 or more = 4</t>
        </is>
      </c>
      <c r="J375" t="inlineStr">
        <is>
          <t>Options: 1 or 2 (0), 3 or 4 (1), 5 or 6 (2), 7 to 9 (3), 10 or more (4). Some forms say standard drinks.</t>
        </is>
      </c>
      <c r="K375" t="inlineStr">
        <is>
          <t>https://integrationacademy.ahrq.gov/sites/default/files/2020-07/AUDIT-C.pdf</t>
        </is>
      </c>
    </row>
    <row r="376">
      <c r="A376" t="inlineStr">
        <is>
          <t>AUDIT-C</t>
        </is>
      </c>
      <c r="B376" t="inlineStr">
        <is>
          <t>AUDIT Consumption</t>
        </is>
      </c>
      <c r="C376" t="inlineStr">
        <is>
          <t>4. Clinical and distress screening</t>
        </is>
      </c>
      <c r="D376" t="n">
        <v>3</v>
      </c>
      <c r="E376" t="inlineStr">
        <is>
          <t>How often do you have six or more drinks on one occasion?</t>
        </is>
      </c>
      <c r="F376" t="inlineStr">
        <is>
          <t>Total</t>
        </is>
      </c>
      <c r="G376" t="inlineStr">
        <is>
          <t>FALSE</t>
        </is>
      </c>
      <c r="H376" t="inlineStr">
        <is>
          <t>FALSE</t>
        </is>
      </c>
      <c r="I376" t="inlineStr">
        <is>
          <t>Never = 0 | Less than monthly = 1 | Monthly = 2 | Weekly = 3 | Daily or almost daily = 4</t>
        </is>
      </c>
      <c r="J376" t="inlineStr">
        <is>
          <t>Options (WHO wording): Never (0), Less than monthly (1), Monthly (2), Weekly (3), Daily or almost daily (4). The AHRQ copy prints Two to three times per week and Four or more times a week for options 3 and 4 instead; US adaptations change six to five drinks.</t>
        </is>
      </c>
      <c r="K376" t="inlineStr">
        <is>
          <t>https://integrationacademy.ahrq.gov/sites/default/files/2020-07/AUDIT-C.pdf</t>
        </is>
      </c>
    </row>
    <row r="377">
      <c r="A377" t="inlineStr">
        <is>
          <t>BIS-11</t>
        </is>
      </c>
      <c r="B377" t="inlineStr">
        <is>
          <t>Barratt Impulsiveness Scale, version 11</t>
        </is>
      </c>
      <c r="C377" t="inlineStr">
        <is>
          <t>1. Executive functioning and ADHD</t>
        </is>
      </c>
      <c r="D377" t="n">
        <v>1</v>
      </c>
      <c r="E377" t="inlineStr">
        <is>
          <t>I plan tasks carefully.</t>
        </is>
      </c>
      <c r="F377" t="inlineStr">
        <is>
          <t>Self-Control</t>
        </is>
      </c>
      <c r="G377" t="inlineStr">
        <is>
          <t>TRUE</t>
        </is>
      </c>
      <c r="H377" t="inlineStr">
        <is>
          <t>FALSE</t>
        </is>
      </c>
      <c r="I377" t="inlineStr">
        <is>
          <t>Rarely/Never = 1 | Occasionally = 2 | Often = 3 | Almost Always/Always = 4</t>
        </is>
      </c>
      <c r="J377" t="inlineStr">
        <is>
          <t>Second order factor: Nonplanning</t>
        </is>
      </c>
      <c r="K377" t="inlineStr">
        <is>
          <t>https://psytoolkit.org/survey-library/impulsiveness-barratt.html</t>
        </is>
      </c>
    </row>
    <row r="378">
      <c r="A378" t="inlineStr">
        <is>
          <t>BIS-11</t>
        </is>
      </c>
      <c r="B378" t="inlineStr">
        <is>
          <t>Barratt Impulsiveness Scale, version 11</t>
        </is>
      </c>
      <c r="C378" t="inlineStr">
        <is>
          <t>1. Executive functioning and ADHD</t>
        </is>
      </c>
      <c r="D378" t="n">
        <v>2</v>
      </c>
      <c r="E378" t="inlineStr">
        <is>
          <t>I do things without thinking.</t>
        </is>
      </c>
      <c r="F378" t="inlineStr">
        <is>
          <t>Motor</t>
        </is>
      </c>
      <c r="G378" t="inlineStr">
        <is>
          <t>FALSE</t>
        </is>
      </c>
      <c r="H378" t="inlineStr">
        <is>
          <t>FALSE</t>
        </is>
      </c>
      <c r="I378" t="inlineStr">
        <is>
          <t>Rarely/Never = 1 | Occasionally = 2 | Often = 3 | Almost Always/Always = 4</t>
        </is>
      </c>
      <c r="J378" t="inlineStr">
        <is>
          <t>Second order factor: Motor</t>
        </is>
      </c>
      <c r="K378" t="inlineStr">
        <is>
          <t>https://psytoolkit.org/survey-library/impulsiveness-barratt.html</t>
        </is>
      </c>
    </row>
    <row r="379">
      <c r="A379" t="inlineStr">
        <is>
          <t>BIS-11</t>
        </is>
      </c>
      <c r="B379" t="inlineStr">
        <is>
          <t>Barratt Impulsiveness Scale, version 11</t>
        </is>
      </c>
      <c r="C379" t="inlineStr">
        <is>
          <t>1. Executive functioning and ADHD</t>
        </is>
      </c>
      <c r="D379" t="n">
        <v>3</v>
      </c>
      <c r="E379" t="inlineStr">
        <is>
          <t>I make-up my mind quickly.</t>
        </is>
      </c>
      <c r="F379" t="inlineStr">
        <is>
          <t>Motor</t>
        </is>
      </c>
      <c r="G379" t="inlineStr">
        <is>
          <t>FALSE</t>
        </is>
      </c>
      <c r="H379" t="inlineStr">
        <is>
          <t>FALSE</t>
        </is>
      </c>
      <c r="I379" t="inlineStr">
        <is>
          <t>Rarely/Never = 1 | Occasionally = 2 | Often = 3 | Almost Always/Always = 4</t>
        </is>
      </c>
      <c r="J379" t="inlineStr">
        <is>
          <t>Second order factor: Motor</t>
        </is>
      </c>
      <c r="K379" t="inlineStr">
        <is>
          <t>https://psytoolkit.org/survey-library/impulsiveness-barratt.html</t>
        </is>
      </c>
    </row>
    <row r="380">
      <c r="A380" t="inlineStr">
        <is>
          <t>BIS-11</t>
        </is>
      </c>
      <c r="B380" t="inlineStr">
        <is>
          <t>Barratt Impulsiveness Scale, version 11</t>
        </is>
      </c>
      <c r="C380" t="inlineStr">
        <is>
          <t>1. Executive functioning and ADHD</t>
        </is>
      </c>
      <c r="D380" t="n">
        <v>4</v>
      </c>
      <c r="E380" t="inlineStr">
        <is>
          <t>I am happy-go-lucky.</t>
        </is>
      </c>
      <c r="F380" t="inlineStr">
        <is>
          <t>Motor</t>
        </is>
      </c>
      <c r="G380" t="inlineStr">
        <is>
          <t>FALSE</t>
        </is>
      </c>
      <c r="H380" t="inlineStr">
        <is>
          <t>FALSE</t>
        </is>
      </c>
      <c r="I380" t="inlineStr">
        <is>
          <t>Rarely/Never = 1 | Occasionally = 2 | Often = 3 | Almost Always/Always = 4</t>
        </is>
      </c>
      <c r="J380" t="inlineStr">
        <is>
          <t>Second order factor: Motor</t>
        </is>
      </c>
      <c r="K380" t="inlineStr">
        <is>
          <t>https://psytoolkit.org/survey-library/impulsiveness-barratt.html</t>
        </is>
      </c>
    </row>
    <row r="381">
      <c r="A381" t="inlineStr">
        <is>
          <t>BIS-11</t>
        </is>
      </c>
      <c r="B381" t="inlineStr">
        <is>
          <t>Barratt Impulsiveness Scale, version 11</t>
        </is>
      </c>
      <c r="C381" t="inlineStr">
        <is>
          <t>1. Executive functioning and ADHD</t>
        </is>
      </c>
      <c r="D381" t="n">
        <v>5</v>
      </c>
      <c r="E381" t="inlineStr">
        <is>
          <t>I don't "pay attention."</t>
        </is>
      </c>
      <c r="F381" t="inlineStr">
        <is>
          <t>Attention</t>
        </is>
      </c>
      <c r="G381" t="inlineStr">
        <is>
          <t>FALSE</t>
        </is>
      </c>
      <c r="H381" t="inlineStr">
        <is>
          <t>FALSE</t>
        </is>
      </c>
      <c r="I381" t="inlineStr">
        <is>
          <t>Rarely/Never = 1 | Occasionally = 2 | Often = 3 | Almost Always/Always = 4</t>
        </is>
      </c>
      <c r="J381" t="inlineStr">
        <is>
          <t>Second order factor: Attentional</t>
        </is>
      </c>
      <c r="K381" t="inlineStr">
        <is>
          <t>https://psytoolkit.org/survey-library/impulsiveness-barratt.html</t>
        </is>
      </c>
    </row>
    <row r="382">
      <c r="A382" t="inlineStr">
        <is>
          <t>BIS-11</t>
        </is>
      </c>
      <c r="B382" t="inlineStr">
        <is>
          <t>Barratt Impulsiveness Scale, version 11</t>
        </is>
      </c>
      <c r="C382" t="inlineStr">
        <is>
          <t>1. Executive functioning and ADHD</t>
        </is>
      </c>
      <c r="D382" t="n">
        <v>6</v>
      </c>
      <c r="E382" t="inlineStr">
        <is>
          <t>I have "racing" thoughts.</t>
        </is>
      </c>
      <c r="F382" t="inlineStr">
        <is>
          <t>Cognitive Instability</t>
        </is>
      </c>
      <c r="G382" t="inlineStr">
        <is>
          <t>FALSE</t>
        </is>
      </c>
      <c r="H382" t="inlineStr">
        <is>
          <t>FALSE</t>
        </is>
      </c>
      <c r="I382" t="inlineStr">
        <is>
          <t>Rarely/Never = 1 | Occasionally = 2 | Often = 3 | Almost Always/Always = 4</t>
        </is>
      </c>
      <c r="J382" t="inlineStr">
        <is>
          <t>Second order factor: Attentional</t>
        </is>
      </c>
      <c r="K382" t="inlineStr">
        <is>
          <t>https://psytoolkit.org/survey-library/impulsiveness-barratt.html</t>
        </is>
      </c>
    </row>
    <row r="383">
      <c r="A383" t="inlineStr">
        <is>
          <t>BIS-11</t>
        </is>
      </c>
      <c r="B383" t="inlineStr">
        <is>
          <t>Barratt Impulsiveness Scale, version 11</t>
        </is>
      </c>
      <c r="C383" t="inlineStr">
        <is>
          <t>1. Executive functioning and ADHD</t>
        </is>
      </c>
      <c r="D383" t="n">
        <v>7</v>
      </c>
      <c r="E383" t="inlineStr">
        <is>
          <t>I plan trips well ahead of time.</t>
        </is>
      </c>
      <c r="F383" t="inlineStr">
        <is>
          <t>Self-Control</t>
        </is>
      </c>
      <c r="G383" t="inlineStr">
        <is>
          <t>TRUE</t>
        </is>
      </c>
      <c r="H383" t="inlineStr">
        <is>
          <t>FALSE</t>
        </is>
      </c>
      <c r="I383" t="inlineStr">
        <is>
          <t>Rarely/Never = 1 | Occasionally = 2 | Often = 3 | Almost Always/Always = 4</t>
        </is>
      </c>
      <c r="J383" t="inlineStr">
        <is>
          <t>Second order factor: Nonplanning</t>
        </is>
      </c>
      <c r="K383" t="inlineStr">
        <is>
          <t>https://psytoolkit.org/survey-library/impulsiveness-barratt.html</t>
        </is>
      </c>
    </row>
    <row r="384">
      <c r="A384" t="inlineStr">
        <is>
          <t>BIS-11</t>
        </is>
      </c>
      <c r="B384" t="inlineStr">
        <is>
          <t>Barratt Impulsiveness Scale, version 11</t>
        </is>
      </c>
      <c r="C384" t="inlineStr">
        <is>
          <t>1. Executive functioning and ADHD</t>
        </is>
      </c>
      <c r="D384" t="n">
        <v>8</v>
      </c>
      <c r="E384" t="inlineStr">
        <is>
          <t>I am self controlled.</t>
        </is>
      </c>
      <c r="F384" t="inlineStr">
        <is>
          <t>Self-Control</t>
        </is>
      </c>
      <c r="G384" t="inlineStr">
        <is>
          <t>TRUE</t>
        </is>
      </c>
      <c r="H384" t="inlineStr">
        <is>
          <t>FALSE</t>
        </is>
      </c>
      <c r="I384" t="inlineStr">
        <is>
          <t>Rarely/Never = 1 | Occasionally = 2 | Often = 3 | Almost Always/Always = 4</t>
        </is>
      </c>
      <c r="J384" t="inlineStr">
        <is>
          <t>Second order factor: Nonplanning</t>
        </is>
      </c>
      <c r="K384" t="inlineStr">
        <is>
          <t>https://psytoolkit.org/survey-library/impulsiveness-barratt.html</t>
        </is>
      </c>
    </row>
    <row r="385">
      <c r="A385" t="inlineStr">
        <is>
          <t>BIS-11</t>
        </is>
      </c>
      <c r="B385" t="inlineStr">
        <is>
          <t>Barratt Impulsiveness Scale, version 11</t>
        </is>
      </c>
      <c r="C385" t="inlineStr">
        <is>
          <t>1. Executive functioning and ADHD</t>
        </is>
      </c>
      <c r="D385" t="n">
        <v>9</v>
      </c>
      <c r="E385" t="inlineStr">
        <is>
          <t>I concentrate easily.</t>
        </is>
      </c>
      <c r="F385" t="inlineStr">
        <is>
          <t>Attention</t>
        </is>
      </c>
      <c r="G385" t="inlineStr">
        <is>
          <t>TRUE</t>
        </is>
      </c>
      <c r="H385" t="inlineStr">
        <is>
          <t>FALSE</t>
        </is>
      </c>
      <c r="I385" t="inlineStr">
        <is>
          <t>Rarely/Never = 1 | Occasionally = 2 | Often = 3 | Almost Always/Always = 4</t>
        </is>
      </c>
      <c r="J385" t="inlineStr">
        <is>
          <t>Second order factor: Attentional</t>
        </is>
      </c>
      <c r="K385" t="inlineStr">
        <is>
          <t>https://psytoolkit.org/survey-library/impulsiveness-barratt.html</t>
        </is>
      </c>
    </row>
    <row r="386">
      <c r="A386" t="inlineStr">
        <is>
          <t>BIS-11</t>
        </is>
      </c>
      <c r="B386" t="inlineStr">
        <is>
          <t>Barratt Impulsiveness Scale, version 11</t>
        </is>
      </c>
      <c r="C386" t="inlineStr">
        <is>
          <t>1. Executive functioning and ADHD</t>
        </is>
      </c>
      <c r="D386" t="n">
        <v>10</v>
      </c>
      <c r="E386" t="inlineStr">
        <is>
          <t>I save regularly.</t>
        </is>
      </c>
      <c r="F386" t="inlineStr">
        <is>
          <t>Cognitive Complexity</t>
        </is>
      </c>
      <c r="G386" t="inlineStr">
        <is>
          <t>TRUE</t>
        </is>
      </c>
      <c r="H386" t="inlineStr">
        <is>
          <t>FALSE</t>
        </is>
      </c>
      <c r="I386" t="inlineStr">
        <is>
          <t>Rarely/Never = 1 | Occasionally = 2 | Often = 3 | Almost Always/Always = 4</t>
        </is>
      </c>
      <c r="J386" t="inlineStr">
        <is>
          <t>Second order factor: Nonplanning</t>
        </is>
      </c>
      <c r="K386" t="inlineStr">
        <is>
          <t>https://psytoolkit.org/survey-library/impulsiveness-barratt.html</t>
        </is>
      </c>
    </row>
    <row r="387">
      <c r="A387" t="inlineStr">
        <is>
          <t>BIS-11</t>
        </is>
      </c>
      <c r="B387" t="inlineStr">
        <is>
          <t>Barratt Impulsiveness Scale, version 11</t>
        </is>
      </c>
      <c r="C387" t="inlineStr">
        <is>
          <t>1. Executive functioning and ADHD</t>
        </is>
      </c>
      <c r="D387" t="n">
        <v>11</v>
      </c>
      <c r="E387" t="inlineStr">
        <is>
          <t>I "squirm" at plays or lectures.</t>
        </is>
      </c>
      <c r="F387" t="inlineStr">
        <is>
          <t>Attention</t>
        </is>
      </c>
      <c r="G387" t="inlineStr">
        <is>
          <t>FALSE</t>
        </is>
      </c>
      <c r="H387" t="inlineStr">
        <is>
          <t>FALSE</t>
        </is>
      </c>
      <c r="I387" t="inlineStr">
        <is>
          <t>Rarely/Never = 1 | Occasionally = 2 | Often = 3 | Almost Always/Always = 4</t>
        </is>
      </c>
      <c r="J387" t="inlineStr">
        <is>
          <t>Second order factor: Attentional</t>
        </is>
      </c>
      <c r="K387" t="inlineStr">
        <is>
          <t>https://psytoolkit.org/survey-library/impulsiveness-barratt.html</t>
        </is>
      </c>
    </row>
    <row r="388">
      <c r="A388" t="inlineStr">
        <is>
          <t>BIS-11</t>
        </is>
      </c>
      <c r="B388" t="inlineStr">
        <is>
          <t>Barratt Impulsiveness Scale, version 11</t>
        </is>
      </c>
      <c r="C388" t="inlineStr">
        <is>
          <t>1. Executive functioning and ADHD</t>
        </is>
      </c>
      <c r="D388" t="n">
        <v>12</v>
      </c>
      <c r="E388" t="inlineStr">
        <is>
          <t>I am a careful thinker.</t>
        </is>
      </c>
      <c r="F388" t="inlineStr">
        <is>
          <t>Self-Control</t>
        </is>
      </c>
      <c r="G388" t="inlineStr">
        <is>
          <t>TRUE</t>
        </is>
      </c>
      <c r="H388" t="inlineStr">
        <is>
          <t>FALSE</t>
        </is>
      </c>
      <c r="I388" t="inlineStr">
        <is>
          <t>Rarely/Never = 1 | Occasionally = 2 | Often = 3 | Almost Always/Always = 4</t>
        </is>
      </c>
      <c r="J388" t="inlineStr">
        <is>
          <t>Second order factor: Nonplanning</t>
        </is>
      </c>
      <c r="K388" t="inlineStr">
        <is>
          <t>https://psytoolkit.org/survey-library/impulsiveness-barratt.html</t>
        </is>
      </c>
    </row>
    <row r="389">
      <c r="A389" t="inlineStr">
        <is>
          <t>BIS-11</t>
        </is>
      </c>
      <c r="B389" t="inlineStr">
        <is>
          <t>Barratt Impulsiveness Scale, version 11</t>
        </is>
      </c>
      <c r="C389" t="inlineStr">
        <is>
          <t>1. Executive functioning and ADHD</t>
        </is>
      </c>
      <c r="D389" t="n">
        <v>13</v>
      </c>
      <c r="E389" t="inlineStr">
        <is>
          <t>I plan for job security.</t>
        </is>
      </c>
      <c r="F389" t="inlineStr">
        <is>
          <t>Self-Control</t>
        </is>
      </c>
      <c r="G389" t="inlineStr">
        <is>
          <t>TRUE</t>
        </is>
      </c>
      <c r="H389" t="inlineStr">
        <is>
          <t>FALSE</t>
        </is>
      </c>
      <c r="I389" t="inlineStr">
        <is>
          <t>Rarely/Never = 1 | Occasionally = 2 | Often = 3 | Almost Always/Always = 4</t>
        </is>
      </c>
      <c r="J389" t="inlineStr">
        <is>
          <t>Second order factor: Nonplanning</t>
        </is>
      </c>
      <c r="K389" t="inlineStr">
        <is>
          <t>https://psytoolkit.org/survey-library/impulsiveness-barratt.html</t>
        </is>
      </c>
    </row>
    <row r="390">
      <c r="A390" t="inlineStr">
        <is>
          <t>BIS-11</t>
        </is>
      </c>
      <c r="B390" t="inlineStr">
        <is>
          <t>Barratt Impulsiveness Scale, version 11</t>
        </is>
      </c>
      <c r="C390" t="inlineStr">
        <is>
          <t>1. Executive functioning and ADHD</t>
        </is>
      </c>
      <c r="D390" t="n">
        <v>14</v>
      </c>
      <c r="E390" t="inlineStr">
        <is>
          <t>I say things without thinking.</t>
        </is>
      </c>
      <c r="F390" t="inlineStr">
        <is>
          <t>Self-Control</t>
        </is>
      </c>
      <c r="G390" t="inlineStr">
        <is>
          <t>FALSE</t>
        </is>
      </c>
      <c r="H390" t="inlineStr">
        <is>
          <t>FALSE</t>
        </is>
      </c>
      <c r="I390" t="inlineStr">
        <is>
          <t>Rarely/Never = 1 | Occasionally = 2 | Often = 3 | Almost Always/Always = 4</t>
        </is>
      </c>
      <c r="J390" t="inlineStr">
        <is>
          <t>Second order factor: Nonplanning</t>
        </is>
      </c>
      <c r="K390" t="inlineStr">
        <is>
          <t>https://psytoolkit.org/survey-library/impulsiveness-barratt.html</t>
        </is>
      </c>
    </row>
    <row r="391">
      <c r="A391" t="inlineStr">
        <is>
          <t>BIS-11</t>
        </is>
      </c>
      <c r="B391" t="inlineStr">
        <is>
          <t>Barratt Impulsiveness Scale, version 11</t>
        </is>
      </c>
      <c r="C391" t="inlineStr">
        <is>
          <t>1. Executive functioning and ADHD</t>
        </is>
      </c>
      <c r="D391" t="n">
        <v>15</v>
      </c>
      <c r="E391" t="inlineStr">
        <is>
          <t>I like to think about complex problems.</t>
        </is>
      </c>
      <c r="F391" t="inlineStr">
        <is>
          <t>Cognitive Complexity</t>
        </is>
      </c>
      <c r="G391" t="inlineStr">
        <is>
          <t>TRUE</t>
        </is>
      </c>
      <c r="H391" t="inlineStr">
        <is>
          <t>FALSE</t>
        </is>
      </c>
      <c r="I391" t="inlineStr">
        <is>
          <t>Rarely/Never = 1 | Occasionally = 2 | Often = 3 | Almost Always/Always = 4</t>
        </is>
      </c>
      <c r="J391" t="inlineStr">
        <is>
          <t>Second order factor: Nonplanning</t>
        </is>
      </c>
      <c r="K391" t="inlineStr">
        <is>
          <t>https://psytoolkit.org/survey-library/impulsiveness-barratt.html</t>
        </is>
      </c>
    </row>
    <row r="392">
      <c r="A392" t="inlineStr">
        <is>
          <t>BIS-11</t>
        </is>
      </c>
      <c r="B392" t="inlineStr">
        <is>
          <t>Barratt Impulsiveness Scale, version 11</t>
        </is>
      </c>
      <c r="C392" t="inlineStr">
        <is>
          <t>1. Executive functioning and ADHD</t>
        </is>
      </c>
      <c r="D392" t="n">
        <v>16</v>
      </c>
      <c r="E392" t="inlineStr">
        <is>
          <t>I change jobs.</t>
        </is>
      </c>
      <c r="F392" t="inlineStr">
        <is>
          <t>Perseverance</t>
        </is>
      </c>
      <c r="G392" t="inlineStr">
        <is>
          <t>FALSE</t>
        </is>
      </c>
      <c r="H392" t="inlineStr">
        <is>
          <t>FALSE</t>
        </is>
      </c>
      <c r="I392" t="inlineStr">
        <is>
          <t>Rarely/Never = 1 | Occasionally = 2 | Often = 3 | Almost Always/Always = 4</t>
        </is>
      </c>
      <c r="J392" t="inlineStr">
        <is>
          <t>Second order factor: Motor</t>
        </is>
      </c>
      <c r="K392" t="inlineStr">
        <is>
          <t>https://psytoolkit.org/survey-library/impulsiveness-barratt.html</t>
        </is>
      </c>
    </row>
    <row r="393">
      <c r="A393" t="inlineStr">
        <is>
          <t>BIS-11</t>
        </is>
      </c>
      <c r="B393" t="inlineStr">
        <is>
          <t>Barratt Impulsiveness Scale, version 11</t>
        </is>
      </c>
      <c r="C393" t="inlineStr">
        <is>
          <t>1. Executive functioning and ADHD</t>
        </is>
      </c>
      <c r="D393" t="n">
        <v>17</v>
      </c>
      <c r="E393" t="inlineStr">
        <is>
          <t>I act "on impulse".</t>
        </is>
      </c>
      <c r="F393" t="inlineStr">
        <is>
          <t>Motor</t>
        </is>
      </c>
      <c r="G393" t="inlineStr">
        <is>
          <t>FALSE</t>
        </is>
      </c>
      <c r="H393" t="inlineStr">
        <is>
          <t>FALSE</t>
        </is>
      </c>
      <c r="I393" t="inlineStr">
        <is>
          <t>Rarely/Never = 1 | Occasionally = 2 | Often = 3 | Almost Always/Always = 4</t>
        </is>
      </c>
      <c r="J393" t="inlineStr">
        <is>
          <t>Second order factor: Motor</t>
        </is>
      </c>
      <c r="K393" t="inlineStr">
        <is>
          <t>https://psytoolkit.org/survey-library/impulsiveness-barratt.html</t>
        </is>
      </c>
    </row>
    <row r="394">
      <c r="A394" t="inlineStr">
        <is>
          <t>BIS-11</t>
        </is>
      </c>
      <c r="B394" t="inlineStr">
        <is>
          <t>Barratt Impulsiveness Scale, version 11</t>
        </is>
      </c>
      <c r="C394" t="inlineStr">
        <is>
          <t>1. Executive functioning and ADHD</t>
        </is>
      </c>
      <c r="D394" t="n">
        <v>18</v>
      </c>
      <c r="E394" t="inlineStr">
        <is>
          <t>I get easily bored when solving thought problems.</t>
        </is>
      </c>
      <c r="F394" t="inlineStr">
        <is>
          <t>Cognitive Complexity</t>
        </is>
      </c>
      <c r="G394" t="inlineStr">
        <is>
          <t>FALSE</t>
        </is>
      </c>
      <c r="H394" t="inlineStr">
        <is>
          <t>FALSE</t>
        </is>
      </c>
      <c r="I394" t="inlineStr">
        <is>
          <t>Rarely/Never = 1 | Occasionally = 2 | Often = 3 | Almost Always/Always = 4</t>
        </is>
      </c>
      <c r="J394" t="inlineStr">
        <is>
          <t>Second order factor: Nonplanning</t>
        </is>
      </c>
      <c r="K394" t="inlineStr">
        <is>
          <t>https://psytoolkit.org/survey-library/impulsiveness-barratt.html</t>
        </is>
      </c>
    </row>
    <row r="395">
      <c r="A395" t="inlineStr">
        <is>
          <t>BIS-11</t>
        </is>
      </c>
      <c r="B395" t="inlineStr">
        <is>
          <t>Barratt Impulsiveness Scale, version 11</t>
        </is>
      </c>
      <c r="C395" t="inlineStr">
        <is>
          <t>1. Executive functioning and ADHD</t>
        </is>
      </c>
      <c r="D395" t="n">
        <v>19</v>
      </c>
      <c r="E395" t="inlineStr">
        <is>
          <t>I act on the spur of the moment.</t>
        </is>
      </c>
      <c r="F395" t="inlineStr">
        <is>
          <t>Motor</t>
        </is>
      </c>
      <c r="G395" t="inlineStr">
        <is>
          <t>FALSE</t>
        </is>
      </c>
      <c r="H395" t="inlineStr">
        <is>
          <t>FALSE</t>
        </is>
      </c>
      <c r="I395" t="inlineStr">
        <is>
          <t>Rarely/Never = 1 | Occasionally = 2 | Often = 3 | Almost Always/Always = 4</t>
        </is>
      </c>
      <c r="J395" t="inlineStr">
        <is>
          <t>Second order factor: Motor</t>
        </is>
      </c>
      <c r="K395" t="inlineStr">
        <is>
          <t>https://psytoolkit.org/survey-library/impulsiveness-barratt.html</t>
        </is>
      </c>
    </row>
    <row r="396">
      <c r="A396" t="inlineStr">
        <is>
          <t>BIS-11</t>
        </is>
      </c>
      <c r="B396" t="inlineStr">
        <is>
          <t>Barratt Impulsiveness Scale, version 11</t>
        </is>
      </c>
      <c r="C396" t="inlineStr">
        <is>
          <t>1. Executive functioning and ADHD</t>
        </is>
      </c>
      <c r="D396" t="n">
        <v>20</v>
      </c>
      <c r="E396" t="inlineStr">
        <is>
          <t>I am a steady thinker.</t>
        </is>
      </c>
      <c r="F396" t="inlineStr">
        <is>
          <t>Attention</t>
        </is>
      </c>
      <c r="G396" t="inlineStr">
        <is>
          <t>TRUE</t>
        </is>
      </c>
      <c r="H396" t="inlineStr">
        <is>
          <t>FALSE</t>
        </is>
      </c>
      <c r="I396" t="inlineStr">
        <is>
          <t>Rarely/Never = 1 | Occasionally = 2 | Often = 3 | Almost Always/Always = 4</t>
        </is>
      </c>
      <c r="J396" t="inlineStr">
        <is>
          <t>Second order factor: Attentional</t>
        </is>
      </c>
      <c r="K396" t="inlineStr">
        <is>
          <t>https://psytoolkit.org/survey-library/impulsiveness-barratt.html</t>
        </is>
      </c>
    </row>
    <row r="397">
      <c r="A397" t="inlineStr">
        <is>
          <t>BIS-11</t>
        </is>
      </c>
      <c r="B397" t="inlineStr">
        <is>
          <t>Barratt Impulsiveness Scale, version 11</t>
        </is>
      </c>
      <c r="C397" t="inlineStr">
        <is>
          <t>1. Executive functioning and ADHD</t>
        </is>
      </c>
      <c r="D397" t="n">
        <v>21</v>
      </c>
      <c r="E397" t="inlineStr">
        <is>
          <t>I change residences.</t>
        </is>
      </c>
      <c r="F397" t="inlineStr">
        <is>
          <t>Perseverance</t>
        </is>
      </c>
      <c r="G397" t="inlineStr">
        <is>
          <t>FALSE</t>
        </is>
      </c>
      <c r="H397" t="inlineStr">
        <is>
          <t>FALSE</t>
        </is>
      </c>
      <c r="I397" t="inlineStr">
        <is>
          <t>Rarely/Never = 1 | Occasionally = 2 | Often = 3 | Almost Always/Always = 4</t>
        </is>
      </c>
      <c r="J397" t="inlineStr">
        <is>
          <t>Second order factor: Motor</t>
        </is>
      </c>
      <c r="K397" t="inlineStr">
        <is>
          <t>https://psytoolkit.org/survey-library/impulsiveness-barratt.html</t>
        </is>
      </c>
    </row>
    <row r="398">
      <c r="A398" t="inlineStr">
        <is>
          <t>BIS-11</t>
        </is>
      </c>
      <c r="B398" t="inlineStr">
        <is>
          <t>Barratt Impulsiveness Scale, version 11</t>
        </is>
      </c>
      <c r="C398" t="inlineStr">
        <is>
          <t>1. Executive functioning and ADHD</t>
        </is>
      </c>
      <c r="D398" t="n">
        <v>22</v>
      </c>
      <c r="E398" t="inlineStr">
        <is>
          <t>I buy things on impulse.</t>
        </is>
      </c>
      <c r="F398" t="inlineStr">
        <is>
          <t>Motor</t>
        </is>
      </c>
      <c r="G398" t="inlineStr">
        <is>
          <t>FALSE</t>
        </is>
      </c>
      <c r="H398" t="inlineStr">
        <is>
          <t>FALSE</t>
        </is>
      </c>
      <c r="I398" t="inlineStr">
        <is>
          <t>Rarely/Never = 1 | Occasionally = 2 | Often = 3 | Almost Always/Always = 4</t>
        </is>
      </c>
      <c r="J398" t="inlineStr">
        <is>
          <t>Second order factor: Motor</t>
        </is>
      </c>
      <c r="K398" t="inlineStr">
        <is>
          <t>https://psytoolkit.org/survey-library/impulsiveness-barratt.html</t>
        </is>
      </c>
    </row>
    <row r="399">
      <c r="A399" t="inlineStr">
        <is>
          <t>BIS-11</t>
        </is>
      </c>
      <c r="B399" t="inlineStr">
        <is>
          <t>Barratt Impulsiveness Scale, version 11</t>
        </is>
      </c>
      <c r="C399" t="inlineStr">
        <is>
          <t>1. Executive functioning and ADHD</t>
        </is>
      </c>
      <c r="D399" t="n">
        <v>23</v>
      </c>
      <c r="E399" t="inlineStr">
        <is>
          <t>I can only think about one thing at a time.</t>
        </is>
      </c>
      <c r="F399" t="inlineStr">
        <is>
          <t>Perseverance</t>
        </is>
      </c>
      <c r="G399" t="inlineStr">
        <is>
          <t>FALSE</t>
        </is>
      </c>
      <c r="H399" t="inlineStr">
        <is>
          <t>FALSE</t>
        </is>
      </c>
      <c r="I399" t="inlineStr">
        <is>
          <t>Rarely/Never = 1 | Occasionally = 2 | Often = 3 | Almost Always/Always = 4</t>
        </is>
      </c>
      <c r="J399" t="inlineStr">
        <is>
          <t>Second order factor: Motor</t>
        </is>
      </c>
      <c r="K399" t="inlineStr">
        <is>
          <t>https://psytoolkit.org/survey-library/impulsiveness-barratt.html</t>
        </is>
      </c>
    </row>
    <row r="400">
      <c r="A400" t="inlineStr">
        <is>
          <t>BIS-11</t>
        </is>
      </c>
      <c r="B400" t="inlineStr">
        <is>
          <t>Barratt Impulsiveness Scale, version 11</t>
        </is>
      </c>
      <c r="C400" t="inlineStr">
        <is>
          <t>1. Executive functioning and ADHD</t>
        </is>
      </c>
      <c r="D400" t="n">
        <v>24</v>
      </c>
      <c r="E400" t="inlineStr">
        <is>
          <t>I change hobbies.</t>
        </is>
      </c>
      <c r="F400" t="inlineStr">
        <is>
          <t>Cognitive Instability</t>
        </is>
      </c>
      <c r="G400" t="inlineStr">
        <is>
          <t>FALSE</t>
        </is>
      </c>
      <c r="H400" t="inlineStr">
        <is>
          <t>FALSE</t>
        </is>
      </c>
      <c r="I400" t="inlineStr">
        <is>
          <t>Rarely/Never = 1 | Occasionally = 2 | Often = 3 | Almost Always/Always = 4</t>
        </is>
      </c>
      <c r="J400" t="inlineStr">
        <is>
          <t>Second order factor: Attentional</t>
        </is>
      </c>
      <c r="K400" t="inlineStr">
        <is>
          <t>https://psytoolkit.org/survey-library/impulsiveness-barratt.html</t>
        </is>
      </c>
    </row>
    <row r="401">
      <c r="A401" t="inlineStr">
        <is>
          <t>BIS-11</t>
        </is>
      </c>
      <c r="B401" t="inlineStr">
        <is>
          <t>Barratt Impulsiveness Scale, version 11</t>
        </is>
      </c>
      <c r="C401" t="inlineStr">
        <is>
          <t>1. Executive functioning and ADHD</t>
        </is>
      </c>
      <c r="D401" t="n">
        <v>25</v>
      </c>
      <c r="E401" t="inlineStr">
        <is>
          <t>I spend or charge more than I earn.</t>
        </is>
      </c>
      <c r="F401" t="inlineStr">
        <is>
          <t>Motor</t>
        </is>
      </c>
      <c r="G401" t="inlineStr">
        <is>
          <t>FALSE</t>
        </is>
      </c>
      <c r="H401" t="inlineStr">
        <is>
          <t>FALSE</t>
        </is>
      </c>
      <c r="I401" t="inlineStr">
        <is>
          <t>Rarely/Never = 1 | Occasionally = 2 | Often = 3 | Almost Always/Always = 4</t>
        </is>
      </c>
      <c r="J401" t="inlineStr">
        <is>
          <t>Second order factor: Motor</t>
        </is>
      </c>
      <c r="K401" t="inlineStr">
        <is>
          <t>https://psytoolkit.org/survey-library/impulsiveness-barratt.html</t>
        </is>
      </c>
    </row>
    <row r="402">
      <c r="A402" t="inlineStr">
        <is>
          <t>BIS-11</t>
        </is>
      </c>
      <c r="B402" t="inlineStr">
        <is>
          <t>Barratt Impulsiveness Scale, version 11</t>
        </is>
      </c>
      <c r="C402" t="inlineStr">
        <is>
          <t>1. Executive functioning and ADHD</t>
        </is>
      </c>
      <c r="D402" t="n">
        <v>26</v>
      </c>
      <c r="E402" t="inlineStr">
        <is>
          <t>I often have extraneous thoughts when thinking.</t>
        </is>
      </c>
      <c r="F402" t="inlineStr">
        <is>
          <t>Cognitive Instability</t>
        </is>
      </c>
      <c r="G402" t="inlineStr">
        <is>
          <t>FALSE</t>
        </is>
      </c>
      <c r="H402" t="inlineStr">
        <is>
          <t>FALSE</t>
        </is>
      </c>
      <c r="I402" t="inlineStr">
        <is>
          <t>Rarely/Never = 1 | Occasionally = 2 | Often = 3 | Almost Always/Always = 4</t>
        </is>
      </c>
      <c r="J402" t="inlineStr">
        <is>
          <t>Second order factor: Attentional</t>
        </is>
      </c>
      <c r="K402" t="inlineStr">
        <is>
          <t>https://psytoolkit.org/survey-library/impulsiveness-barratt.html</t>
        </is>
      </c>
    </row>
    <row r="403">
      <c r="A403" t="inlineStr">
        <is>
          <t>BIS-11</t>
        </is>
      </c>
      <c r="B403" t="inlineStr">
        <is>
          <t>Barratt Impulsiveness Scale, version 11</t>
        </is>
      </c>
      <c r="C403" t="inlineStr">
        <is>
          <t>1. Executive functioning and ADHD</t>
        </is>
      </c>
      <c r="D403" t="n">
        <v>27</v>
      </c>
      <c r="E403" t="inlineStr">
        <is>
          <t>I am more interested in the present than the future.</t>
        </is>
      </c>
      <c r="F403" t="inlineStr">
        <is>
          <t>Cognitive Complexity</t>
        </is>
      </c>
      <c r="G403" t="inlineStr">
        <is>
          <t>FALSE</t>
        </is>
      </c>
      <c r="H403" t="inlineStr">
        <is>
          <t>FALSE</t>
        </is>
      </c>
      <c r="I403" t="inlineStr">
        <is>
          <t>Rarely/Never = 1 | Occasionally = 2 | Often = 3 | Almost Always/Always = 4</t>
        </is>
      </c>
      <c r="J403" t="inlineStr">
        <is>
          <t>Second order factor: Nonplanning</t>
        </is>
      </c>
      <c r="K403" t="inlineStr">
        <is>
          <t>https://psytoolkit.org/survey-library/impulsiveness-barratt.html</t>
        </is>
      </c>
    </row>
    <row r="404">
      <c r="A404" t="inlineStr">
        <is>
          <t>BIS-11</t>
        </is>
      </c>
      <c r="B404" t="inlineStr">
        <is>
          <t>Barratt Impulsiveness Scale, version 11</t>
        </is>
      </c>
      <c r="C404" t="inlineStr">
        <is>
          <t>1. Executive functioning and ADHD</t>
        </is>
      </c>
      <c r="D404" t="n">
        <v>28</v>
      </c>
      <c r="E404" t="inlineStr">
        <is>
          <t>I am restless at the theater or lectures.</t>
        </is>
      </c>
      <c r="F404" t="inlineStr">
        <is>
          <t>Attention</t>
        </is>
      </c>
      <c r="G404" t="inlineStr">
        <is>
          <t>FALSE</t>
        </is>
      </c>
      <c r="H404" t="inlineStr">
        <is>
          <t>FALSE</t>
        </is>
      </c>
      <c r="I404" t="inlineStr">
        <is>
          <t>Rarely/Never = 1 | Occasionally = 2 | Often = 3 | Almost Always/Always = 4</t>
        </is>
      </c>
      <c r="J404" t="inlineStr">
        <is>
          <t>Second order factor: Attentional</t>
        </is>
      </c>
      <c r="K404" t="inlineStr">
        <is>
          <t>https://psytoolkit.org/survey-library/impulsiveness-barratt.html</t>
        </is>
      </c>
    </row>
    <row r="405">
      <c r="A405" t="inlineStr">
        <is>
          <t>BIS-11</t>
        </is>
      </c>
      <c r="B405" t="inlineStr">
        <is>
          <t>Barratt Impulsiveness Scale, version 11</t>
        </is>
      </c>
      <c r="C405" t="inlineStr">
        <is>
          <t>1. Executive functioning and ADHD</t>
        </is>
      </c>
      <c r="D405" t="n">
        <v>29</v>
      </c>
      <c r="E405" t="inlineStr">
        <is>
          <t>I like puzzles.</t>
        </is>
      </c>
      <c r="F405" t="inlineStr">
        <is>
          <t>Cognitive Complexity</t>
        </is>
      </c>
      <c r="G405" t="inlineStr">
        <is>
          <t>TRUE</t>
        </is>
      </c>
      <c r="H405" t="inlineStr">
        <is>
          <t>FALSE</t>
        </is>
      </c>
      <c r="I405" t="inlineStr">
        <is>
          <t>Rarely/Never = 1 | Occasionally = 2 | Often = 3 | Almost Always/Always = 4</t>
        </is>
      </c>
      <c r="J405" t="inlineStr">
        <is>
          <t>Second order factor: Nonplanning</t>
        </is>
      </c>
      <c r="K405" t="inlineStr">
        <is>
          <t>https://psytoolkit.org/survey-library/impulsiveness-barratt.html</t>
        </is>
      </c>
    </row>
    <row r="406">
      <c r="A406" t="inlineStr">
        <is>
          <t>BIS-11</t>
        </is>
      </c>
      <c r="B406" t="inlineStr">
        <is>
          <t>Barratt Impulsiveness Scale, version 11</t>
        </is>
      </c>
      <c r="C406" t="inlineStr">
        <is>
          <t>1. Executive functioning and ADHD</t>
        </is>
      </c>
      <c r="D406" t="n">
        <v>30</v>
      </c>
      <c r="E406" t="inlineStr">
        <is>
          <t>I am future oriented.</t>
        </is>
      </c>
      <c r="F406" t="inlineStr">
        <is>
          <t>Perseverance</t>
        </is>
      </c>
      <c r="G406" t="inlineStr">
        <is>
          <t>TRUE</t>
        </is>
      </c>
      <c r="H406" t="inlineStr">
        <is>
          <t>FALSE</t>
        </is>
      </c>
      <c r="I406" t="inlineStr">
        <is>
          <t>Rarely/Never = 1 | Occasionally = 2 | Often = 3 | Almost Always/Always = 4</t>
        </is>
      </c>
      <c r="J406" t="inlineStr">
        <is>
          <t>Second order factor: Motor</t>
        </is>
      </c>
      <c r="K406" t="inlineStr">
        <is>
          <t>https://psytoolkit.org/survey-library/impulsiveness-barratt.html</t>
        </is>
      </c>
    </row>
    <row r="407">
      <c r="A407" t="inlineStr">
        <is>
          <t>BIS-BRIEF</t>
        </is>
      </c>
      <c r="B407" t="inlineStr">
        <is>
          <t>Barratt Impulsiveness Scale, Brief</t>
        </is>
      </c>
      <c r="C407" t="inlineStr">
        <is>
          <t>1. Executive functioning and ADHD</t>
        </is>
      </c>
      <c r="D407" t="n">
        <v>1</v>
      </c>
      <c r="E407" t="inlineStr">
        <is>
          <t>I plan tasks carefully.</t>
        </is>
      </c>
      <c r="F407" t="inlineStr">
        <is>
          <t>Total</t>
        </is>
      </c>
      <c r="G407" t="inlineStr">
        <is>
          <t>TRUE</t>
        </is>
      </c>
      <c r="H407" t="inlineStr">
        <is>
          <t>FALSE</t>
        </is>
      </c>
      <c r="I407" t="inlineStr">
        <is>
          <t>Rarely/Never = 1 | Occasionally = 2 | Often = 3 | Almost Always/Always = 4</t>
        </is>
      </c>
      <c r="J407" t="inlineStr">
        <is>
          <t>BIS-11 item 1</t>
        </is>
      </c>
      <c r="K407" t="inlineStr">
        <is>
          <t>https://www.uh.edu/class/psychology/clinical-psych/research/dpl/_files/publications/steinberg-sharp-stanford-tharp-2013.pdf</t>
        </is>
      </c>
    </row>
    <row r="408">
      <c r="A408" t="inlineStr">
        <is>
          <t>BIS-BRIEF</t>
        </is>
      </c>
      <c r="B408" t="inlineStr">
        <is>
          <t>Barratt Impulsiveness Scale, Brief</t>
        </is>
      </c>
      <c r="C408" t="inlineStr">
        <is>
          <t>1. Executive functioning and ADHD</t>
        </is>
      </c>
      <c r="D408" t="n">
        <v>2</v>
      </c>
      <c r="E408" t="inlineStr">
        <is>
          <t>I do things without thinking.</t>
        </is>
      </c>
      <c r="F408" t="inlineStr">
        <is>
          <t>Total</t>
        </is>
      </c>
      <c r="G408" t="inlineStr">
        <is>
          <t>FALSE</t>
        </is>
      </c>
      <c r="H408" t="inlineStr">
        <is>
          <t>FALSE</t>
        </is>
      </c>
      <c r="I408" t="inlineStr">
        <is>
          <t>Rarely/Never = 1 | Occasionally = 2 | Often = 3 | Almost Always/Always = 4</t>
        </is>
      </c>
      <c r="J408" t="inlineStr">
        <is>
          <t>BIS-11 item 2</t>
        </is>
      </c>
      <c r="K408" t="inlineStr">
        <is>
          <t>https://www.uh.edu/class/psychology/clinical-psych/research/dpl/_files/publications/steinberg-sharp-stanford-tharp-2013.pdf</t>
        </is>
      </c>
    </row>
    <row r="409">
      <c r="A409" t="inlineStr">
        <is>
          <t>BIS-BRIEF</t>
        </is>
      </c>
      <c r="B409" t="inlineStr">
        <is>
          <t>Barratt Impulsiveness Scale, Brief</t>
        </is>
      </c>
      <c r="C409" t="inlineStr">
        <is>
          <t>1. Executive functioning and ADHD</t>
        </is>
      </c>
      <c r="D409" t="n">
        <v>3</v>
      </c>
      <c r="E409" t="inlineStr">
        <is>
          <t>I don’t “pay attention.”</t>
        </is>
      </c>
      <c r="F409" t="inlineStr">
        <is>
          <t>Total</t>
        </is>
      </c>
      <c r="G409" t="inlineStr">
        <is>
          <t>FALSE</t>
        </is>
      </c>
      <c r="H409" t="inlineStr">
        <is>
          <t>FALSE</t>
        </is>
      </c>
      <c r="I409" t="inlineStr">
        <is>
          <t>Rarely/Never = 1 | Occasionally = 2 | Often = 3 | Almost Always/Always = 4</t>
        </is>
      </c>
      <c r="J409" t="inlineStr">
        <is>
          <t>BIS-11 item 5</t>
        </is>
      </c>
      <c r="K409" t="inlineStr">
        <is>
          <t>https://www.uh.edu/class/psychology/clinical-psych/research/dpl/_files/publications/steinberg-sharp-stanford-tharp-2013.pdf</t>
        </is>
      </c>
    </row>
    <row r="410">
      <c r="A410" t="inlineStr">
        <is>
          <t>BIS-BRIEF</t>
        </is>
      </c>
      <c r="B410" t="inlineStr">
        <is>
          <t>Barratt Impulsiveness Scale, Brief</t>
        </is>
      </c>
      <c r="C410" t="inlineStr">
        <is>
          <t>1. Executive functioning and ADHD</t>
        </is>
      </c>
      <c r="D410" t="n">
        <v>4</v>
      </c>
      <c r="E410" t="inlineStr">
        <is>
          <t>I am self-controlled.</t>
        </is>
      </c>
      <c r="F410" t="inlineStr">
        <is>
          <t>Total</t>
        </is>
      </c>
      <c r="G410" t="inlineStr">
        <is>
          <t>TRUE</t>
        </is>
      </c>
      <c r="H410" t="inlineStr">
        <is>
          <t>FALSE</t>
        </is>
      </c>
      <c r="I410" t="inlineStr">
        <is>
          <t>Rarely/Never = 1 | Occasionally = 2 | Often = 3 | Almost Always/Always = 4</t>
        </is>
      </c>
      <c r="J410" t="inlineStr">
        <is>
          <t>BIS-11 item 8</t>
        </is>
      </c>
      <c r="K410" t="inlineStr">
        <is>
          <t>https://www.uh.edu/class/psychology/clinical-psych/research/dpl/_files/publications/steinberg-sharp-stanford-tharp-2013.pdf</t>
        </is>
      </c>
    </row>
    <row r="411">
      <c r="A411" t="inlineStr">
        <is>
          <t>BIS-BRIEF</t>
        </is>
      </c>
      <c r="B411" t="inlineStr">
        <is>
          <t>Barratt Impulsiveness Scale, Brief</t>
        </is>
      </c>
      <c r="C411" t="inlineStr">
        <is>
          <t>1. Executive functioning and ADHD</t>
        </is>
      </c>
      <c r="D411" t="n">
        <v>5</v>
      </c>
      <c r="E411" t="inlineStr">
        <is>
          <t>I concentrate easily.</t>
        </is>
      </c>
      <c r="F411" t="inlineStr">
        <is>
          <t>Total</t>
        </is>
      </c>
      <c r="G411" t="inlineStr">
        <is>
          <t>TRUE</t>
        </is>
      </c>
      <c r="H411" t="inlineStr">
        <is>
          <t>FALSE</t>
        </is>
      </c>
      <c r="I411" t="inlineStr">
        <is>
          <t>Rarely/Never = 1 | Occasionally = 2 | Often = 3 | Almost Always/Always = 4</t>
        </is>
      </c>
      <c r="J411" t="inlineStr">
        <is>
          <t>BIS-11 item 9</t>
        </is>
      </c>
      <c r="K411" t="inlineStr">
        <is>
          <t>https://www.uh.edu/class/psychology/clinical-psych/research/dpl/_files/publications/steinberg-sharp-stanford-tharp-2013.pdf</t>
        </is>
      </c>
    </row>
    <row r="412">
      <c r="A412" t="inlineStr">
        <is>
          <t>BIS-BRIEF</t>
        </is>
      </c>
      <c r="B412" t="inlineStr">
        <is>
          <t>Barratt Impulsiveness Scale, Brief</t>
        </is>
      </c>
      <c r="C412" t="inlineStr">
        <is>
          <t>1. Executive functioning and ADHD</t>
        </is>
      </c>
      <c r="D412" t="n">
        <v>6</v>
      </c>
      <c r="E412" t="inlineStr">
        <is>
          <t>I am a careful thinker.</t>
        </is>
      </c>
      <c r="F412" t="inlineStr">
        <is>
          <t>Total</t>
        </is>
      </c>
      <c r="G412" t="inlineStr">
        <is>
          <t>TRUE</t>
        </is>
      </c>
      <c r="H412" t="inlineStr">
        <is>
          <t>FALSE</t>
        </is>
      </c>
      <c r="I412" t="inlineStr">
        <is>
          <t>Rarely/Never = 1 | Occasionally = 2 | Often = 3 | Almost Always/Always = 4</t>
        </is>
      </c>
      <c r="J412" t="inlineStr">
        <is>
          <t>BIS-11 item 12</t>
        </is>
      </c>
      <c r="K412" t="inlineStr">
        <is>
          <t>https://www.uh.edu/class/psychology/clinical-psych/research/dpl/_files/publications/steinberg-sharp-stanford-tharp-2013.pdf</t>
        </is>
      </c>
    </row>
    <row r="413">
      <c r="A413" t="inlineStr">
        <is>
          <t>BIS-BRIEF</t>
        </is>
      </c>
      <c r="B413" t="inlineStr">
        <is>
          <t>Barratt Impulsiveness Scale, Brief</t>
        </is>
      </c>
      <c r="C413" t="inlineStr">
        <is>
          <t>1. Executive functioning and ADHD</t>
        </is>
      </c>
      <c r="D413" t="n">
        <v>7</v>
      </c>
      <c r="E413" t="inlineStr">
        <is>
          <t>I say things without thinking.</t>
        </is>
      </c>
      <c r="F413" t="inlineStr">
        <is>
          <t>Total</t>
        </is>
      </c>
      <c r="G413" t="inlineStr">
        <is>
          <t>FALSE</t>
        </is>
      </c>
      <c r="H413" t="inlineStr">
        <is>
          <t>FALSE</t>
        </is>
      </c>
      <c r="I413" t="inlineStr">
        <is>
          <t>Rarely/Never = 1 | Occasionally = 2 | Often = 3 | Almost Always/Always = 4</t>
        </is>
      </c>
      <c r="J413" t="inlineStr">
        <is>
          <t>BIS-11 item 14</t>
        </is>
      </c>
      <c r="K413" t="inlineStr">
        <is>
          <t>https://www.uh.edu/class/psychology/clinical-psych/research/dpl/_files/publications/steinberg-sharp-stanford-tharp-2013.pdf</t>
        </is>
      </c>
    </row>
    <row r="414">
      <c r="A414" t="inlineStr">
        <is>
          <t>BIS-BRIEF</t>
        </is>
      </c>
      <c r="B414" t="inlineStr">
        <is>
          <t>Barratt Impulsiveness Scale, Brief</t>
        </is>
      </c>
      <c r="C414" t="inlineStr">
        <is>
          <t>1. Executive functioning and ADHD</t>
        </is>
      </c>
      <c r="D414" t="n">
        <v>8</v>
      </c>
      <c r="E414" t="inlineStr">
        <is>
          <t>I act on the spur of the moment.</t>
        </is>
      </c>
      <c r="F414" t="inlineStr">
        <is>
          <t>Total</t>
        </is>
      </c>
      <c r="G414" t="inlineStr">
        <is>
          <t>FALSE</t>
        </is>
      </c>
      <c r="H414" t="inlineStr">
        <is>
          <t>FALSE</t>
        </is>
      </c>
      <c r="I414" t="inlineStr">
        <is>
          <t>Rarely/Never = 1 | Occasionally = 2 | Often = 3 | Almost Always/Always = 4</t>
        </is>
      </c>
      <c r="J414" t="inlineStr">
        <is>
          <t>BIS-11 item 19</t>
        </is>
      </c>
      <c r="K414" t="inlineStr">
        <is>
          <t>https://www.uh.edu/class/psychology/clinical-psych/research/dpl/_files/publications/steinberg-sharp-stanford-tharp-2013.pdf</t>
        </is>
      </c>
    </row>
    <row r="415">
      <c r="A415" t="inlineStr">
        <is>
          <t>BTQ</t>
        </is>
      </c>
      <c r="B415" t="inlineStr">
        <is>
          <t>Brief Trauma Questionnaire</t>
        </is>
      </c>
      <c r="C415" t="inlineStr">
        <is>
          <t>4. Clinical and distress screening</t>
        </is>
      </c>
      <c r="D415" t="n">
        <v>1</v>
      </c>
      <c r="E415" t="inlineStr">
        <is>
          <t>Have you ever served in a war zone, or have you ever served in a noncombat job that exposed you to war-related casualties (for example, as a medic or on graves registration duty?)</t>
        </is>
      </c>
      <c r="F415" t="inlineStr">
        <is>
          <t>Trauma exposure</t>
        </is>
      </c>
      <c r="G415" t="inlineStr">
        <is>
          <t>FALSE</t>
        </is>
      </c>
      <c r="H415" t="inlineStr">
        <is>
          <t>FALSE</t>
        </is>
      </c>
      <c r="I415" t="inlineStr">
        <is>
          <t>No = 0 | Yes = 1</t>
        </is>
      </c>
      <c r="J415" t="inlineStr">
        <is>
          <t>Follow up columns: life threat (No/Yes) and serious injury (No/Yes).</t>
        </is>
      </c>
      <c r="K415" t="inlineStr">
        <is>
          <t>https://www.ptsd.va.gov/professional/assessment/documents/BTQ.pdf</t>
        </is>
      </c>
    </row>
    <row r="416">
      <c r="A416" t="inlineStr">
        <is>
          <t>BTQ</t>
        </is>
      </c>
      <c r="B416" t="inlineStr">
        <is>
          <t>Brief Trauma Questionnaire</t>
        </is>
      </c>
      <c r="C416" t="inlineStr">
        <is>
          <t>4. Clinical and distress screening</t>
        </is>
      </c>
      <c r="D416" t="n">
        <v>2</v>
      </c>
      <c r="E416" t="inlineStr">
        <is>
          <t>Have you ever been in a serious car accident, or a serious accident at work or somewhere else?</t>
        </is>
      </c>
      <c r="F416" t="inlineStr">
        <is>
          <t>Trauma exposure</t>
        </is>
      </c>
      <c r="G416" t="inlineStr">
        <is>
          <t>FALSE</t>
        </is>
      </c>
      <c r="H416" t="inlineStr">
        <is>
          <t>FALSE</t>
        </is>
      </c>
      <c r="I416" t="inlineStr">
        <is>
          <t>No = 0 | Yes = 1</t>
        </is>
      </c>
      <c r="J416" t="inlineStr">
        <is>
          <t>Follow up columns: life threat (No/Yes) and serious injury (No/Yes).</t>
        </is>
      </c>
      <c r="K416" t="inlineStr">
        <is>
          <t>https://www.ptsd.va.gov/professional/assessment/documents/BTQ.pdf</t>
        </is>
      </c>
    </row>
    <row r="417">
      <c r="A417" t="inlineStr">
        <is>
          <t>BTQ</t>
        </is>
      </c>
      <c r="B417" t="inlineStr">
        <is>
          <t>Brief Trauma Questionnaire</t>
        </is>
      </c>
      <c r="C417" t="inlineStr">
        <is>
          <t>4. Clinical and distress screening</t>
        </is>
      </c>
      <c r="D417" t="n">
        <v>3</v>
      </c>
      <c r="E417" t="inlineStr">
        <is>
          <t>Have you ever been in a major natural or technological disaster, such as a fire, tornado, hurricane, flood, earthquake, or chemical spill?</t>
        </is>
      </c>
      <c r="F417" t="inlineStr">
        <is>
          <t>Trauma exposure</t>
        </is>
      </c>
      <c r="G417" t="inlineStr">
        <is>
          <t>FALSE</t>
        </is>
      </c>
      <c r="H417" t="inlineStr">
        <is>
          <t>FALSE</t>
        </is>
      </c>
      <c r="I417" t="inlineStr">
        <is>
          <t>No = 0 | Yes = 1</t>
        </is>
      </c>
      <c r="J417" t="inlineStr">
        <is>
          <t>Follow up columns: life threat (No/Yes) and serious injury (No/Yes).</t>
        </is>
      </c>
      <c r="K417" t="inlineStr">
        <is>
          <t>https://www.ptsd.va.gov/professional/assessment/documents/BTQ.pdf</t>
        </is>
      </c>
    </row>
    <row r="418">
      <c r="A418" t="inlineStr">
        <is>
          <t>BTQ</t>
        </is>
      </c>
      <c r="B418" t="inlineStr">
        <is>
          <t>Brief Trauma Questionnaire</t>
        </is>
      </c>
      <c r="C418" t="inlineStr">
        <is>
          <t>4. Clinical and distress screening</t>
        </is>
      </c>
      <c r="D418" t="n">
        <v>4</v>
      </c>
      <c r="E418" t="inlineStr">
        <is>
          <t>Have you ever had a life-threatening illness such as cancer, a heart attack, leukemia, AIDS, multiple sclerosis, etc.?</t>
        </is>
      </c>
      <c r="F418" t="inlineStr">
        <is>
          <t>Trauma exposure</t>
        </is>
      </c>
      <c r="G418" t="inlineStr">
        <is>
          <t>FALSE</t>
        </is>
      </c>
      <c r="H418" t="inlineStr">
        <is>
          <t>FALSE</t>
        </is>
      </c>
      <c r="I418" t="inlineStr">
        <is>
          <t>No = 0 | Yes = 1</t>
        </is>
      </c>
      <c r="J418" t="inlineStr">
        <is>
          <t>Follow up column: life threat (No/Yes). Serious injury column is N/A.</t>
        </is>
      </c>
      <c r="K418" t="inlineStr">
        <is>
          <t>https://www.ptsd.va.gov/professional/assessment/documents/BTQ.pdf</t>
        </is>
      </c>
    </row>
    <row r="419">
      <c r="A419" t="inlineStr">
        <is>
          <t>BTQ</t>
        </is>
      </c>
      <c r="B419" t="inlineStr">
        <is>
          <t>Brief Trauma Questionnaire</t>
        </is>
      </c>
      <c r="C419" t="inlineStr">
        <is>
          <t>4. Clinical and distress screening</t>
        </is>
      </c>
      <c r="D419" t="n">
        <v>5</v>
      </c>
      <c r="E419" t="inlineStr">
        <is>
          <t>Before age 18, were you ever physically punished or beaten by a parent, caretaker, or teacher so that: you were very frightened; or you thought you would be injured; or you received bruises, cuts, welts, lumps or other injuries?</t>
        </is>
      </c>
      <c r="F419" t="inlineStr">
        <is>
          <t>Trauma exposure</t>
        </is>
      </c>
      <c r="G419" t="inlineStr">
        <is>
          <t>FALSE</t>
        </is>
      </c>
      <c r="H419" t="inlineStr">
        <is>
          <t>FALSE</t>
        </is>
      </c>
      <c r="I419" t="inlineStr">
        <is>
          <t>No = 0 | Yes = 1</t>
        </is>
      </c>
      <c r="J419" t="inlineStr">
        <is>
          <t>Follow up columns: life threat (No/Yes) and serious injury (No/Yes).</t>
        </is>
      </c>
      <c r="K419" t="inlineStr">
        <is>
          <t>https://www.ptsd.va.gov/professional/assessment/documents/BTQ.pdf</t>
        </is>
      </c>
    </row>
    <row r="420">
      <c r="A420" t="inlineStr">
        <is>
          <t>BTQ</t>
        </is>
      </c>
      <c r="B420" t="inlineStr">
        <is>
          <t>Brief Trauma Questionnaire</t>
        </is>
      </c>
      <c r="C420" t="inlineStr">
        <is>
          <t>4. Clinical and distress screening</t>
        </is>
      </c>
      <c r="D420" t="n">
        <v>6</v>
      </c>
      <c r="E420" t="inlineStr">
        <is>
          <t>Not including any punishments or beatings you already reported in Question 5, have you ever been attacked, beaten, or mugged by anyone, including friends, family members or strangers?</t>
        </is>
      </c>
      <c r="F420" t="inlineStr">
        <is>
          <t>Trauma exposure</t>
        </is>
      </c>
      <c r="G420" t="inlineStr">
        <is>
          <t>FALSE</t>
        </is>
      </c>
      <c r="H420" t="inlineStr">
        <is>
          <t>FALSE</t>
        </is>
      </c>
      <c r="I420" t="inlineStr">
        <is>
          <t>No = 0 | Yes = 1</t>
        </is>
      </c>
      <c r="J420" t="inlineStr">
        <is>
          <t>Follow up columns: life threat (No/Yes) and serious injury (No/Yes).</t>
        </is>
      </c>
      <c r="K420" t="inlineStr">
        <is>
          <t>https://www.ptsd.va.gov/professional/assessment/documents/BTQ.pdf</t>
        </is>
      </c>
    </row>
    <row r="421">
      <c r="A421" t="inlineStr">
        <is>
          <t>BTQ</t>
        </is>
      </c>
      <c r="B421" t="inlineStr">
        <is>
          <t>Brief Trauma Questionnaire</t>
        </is>
      </c>
      <c r="C421" t="inlineStr">
        <is>
          <t>4. Clinical and distress screening</t>
        </is>
      </c>
      <c r="D421" t="n">
        <v>7</v>
      </c>
      <c r="E421" t="inlineStr">
        <is>
          <t>Has anyone ever made or pressured you into having some type of unwanted sexual contact? Note: By sexual contact we mean any contact between someone else and your private parts or between you and some else's private parts</t>
        </is>
      </c>
      <c r="F421" t="inlineStr">
        <is>
          <t>Trauma exposure</t>
        </is>
      </c>
      <c r="G421" t="inlineStr">
        <is>
          <t>FALSE</t>
        </is>
      </c>
      <c r="H421" t="inlineStr">
        <is>
          <t>FALSE</t>
        </is>
      </c>
      <c r="I421" t="inlineStr">
        <is>
          <t>No = 0 | Yes = 1</t>
        </is>
      </c>
      <c r="J421" t="inlineStr">
        <is>
          <t>Follow up columns: life threat (No/Yes) and serious injury (No/Yes). Source reads "some else's" as printed.</t>
        </is>
      </c>
      <c r="K421" t="inlineStr">
        <is>
          <t>https://www.ptsd.va.gov/professional/assessment/documents/BTQ.pdf</t>
        </is>
      </c>
    </row>
    <row r="422">
      <c r="A422" t="inlineStr">
        <is>
          <t>BTQ</t>
        </is>
      </c>
      <c r="B422" t="inlineStr">
        <is>
          <t>Brief Trauma Questionnaire</t>
        </is>
      </c>
      <c r="C422" t="inlineStr">
        <is>
          <t>4. Clinical and distress screening</t>
        </is>
      </c>
      <c r="D422" t="n">
        <v>8</v>
      </c>
      <c r="E422" t="inlineStr">
        <is>
          <t>Have you ever been in any other situation in which you were seriously injured, or have you ever been in any other situation in which you feared you might be seriously injured or killed?</t>
        </is>
      </c>
      <c r="F422" t="inlineStr">
        <is>
          <t>Trauma exposure</t>
        </is>
      </c>
      <c r="G422" t="inlineStr">
        <is>
          <t>FALSE</t>
        </is>
      </c>
      <c r="H422" t="inlineStr">
        <is>
          <t>FALSE</t>
        </is>
      </c>
      <c r="I422" t="inlineStr">
        <is>
          <t>No = 0 | Yes = 1</t>
        </is>
      </c>
      <c r="J422" t="inlineStr">
        <is>
          <t>Follow up column: serious injury (No/Yes). Life threat column is N/A.</t>
        </is>
      </c>
      <c r="K422" t="inlineStr">
        <is>
          <t>https://www.ptsd.va.gov/professional/assessment/documents/BTQ.pdf</t>
        </is>
      </c>
    </row>
    <row r="423">
      <c r="A423" t="inlineStr">
        <is>
          <t>BTQ</t>
        </is>
      </c>
      <c r="B423" t="inlineStr">
        <is>
          <t>Brief Trauma Questionnaire</t>
        </is>
      </c>
      <c r="C423" t="inlineStr">
        <is>
          <t>4. Clinical and distress screening</t>
        </is>
      </c>
      <c r="D423" t="n">
        <v>9</v>
      </c>
      <c r="E423" t="inlineStr">
        <is>
          <t>Has a close family member or friend died violently, for example, in a serious car crash, mugging, or attack?</t>
        </is>
      </c>
      <c r="F423" t="inlineStr">
        <is>
          <t>Trauma exposure</t>
        </is>
      </c>
      <c r="G423" t="inlineStr">
        <is>
          <t>FALSE</t>
        </is>
      </c>
      <c r="H423" t="inlineStr">
        <is>
          <t>FALSE</t>
        </is>
      </c>
      <c r="I423" t="inlineStr">
        <is>
          <t>No = 0 | Yes = 1</t>
        </is>
      </c>
      <c r="J423" t="inlineStr">
        <is>
          <t>Follow up columns: life threat N/A; serious injury (No/Yes).</t>
        </is>
      </c>
      <c r="K423" t="inlineStr">
        <is>
          <t>https://www.ptsd.va.gov/professional/assessment/documents/BTQ.pdf</t>
        </is>
      </c>
    </row>
    <row r="424">
      <c r="A424" t="inlineStr">
        <is>
          <t>BTQ</t>
        </is>
      </c>
      <c r="B424" t="inlineStr">
        <is>
          <t>Brief Trauma Questionnaire</t>
        </is>
      </c>
      <c r="C424" t="inlineStr">
        <is>
          <t>4. Clinical and distress screening</t>
        </is>
      </c>
      <c r="D424" t="n">
        <v>10</v>
      </c>
      <c r="E424" t="inlineStr">
        <is>
          <t>Have you ever witnessed a situation in which someone was seriously injured or killed, or have you ever witnessed a situation in which you feared someone would be seriously injured or killed? Note: Do not answer "yes" for any event you already reported in Questions 1-9</t>
        </is>
      </c>
      <c r="F424" t="inlineStr">
        <is>
          <t>Trauma exposure</t>
        </is>
      </c>
      <c r="G424" t="inlineStr">
        <is>
          <t>FALSE</t>
        </is>
      </c>
      <c r="H424" t="inlineStr">
        <is>
          <t>FALSE</t>
        </is>
      </c>
      <c r="I424" t="inlineStr">
        <is>
          <t>No = 0 | Yes = 1</t>
        </is>
      </c>
      <c r="J424" t="inlineStr">
        <is>
          <t>No follow up columns apply (both N/A); scored on the event question alone.</t>
        </is>
      </c>
      <c r="K424" t="inlineStr">
        <is>
          <t>https://www.ptsd.va.gov/professional/assessment/documents/BTQ.pdf</t>
        </is>
      </c>
    </row>
    <row r="425">
      <c r="A425" t="inlineStr">
        <is>
          <t>CAGE</t>
        </is>
      </c>
      <c r="B425" t="inlineStr">
        <is>
          <t>CAGE Questionnaire</t>
        </is>
      </c>
      <c r="C425" t="inlineStr">
        <is>
          <t>4. Clinical and distress screening</t>
        </is>
      </c>
      <c r="D425" t="n">
        <v>1</v>
      </c>
      <c r="E425" t="inlineStr">
        <is>
          <t>Have you ever felt you should cut down on your drinking?</t>
        </is>
      </c>
      <c r="F425" t="inlineStr">
        <is>
          <t>Total</t>
        </is>
      </c>
      <c r="G425" t="inlineStr">
        <is>
          <t>FALSE</t>
        </is>
      </c>
      <c r="H425" t="inlineStr">
        <is>
          <t>FALSE</t>
        </is>
      </c>
      <c r="I425" t="inlineStr">
        <is>
          <t>No = 0 | Yes = 1</t>
        </is>
      </c>
      <c r="K425" t="inlineStr">
        <is>
          <t>https://scireproject.com/wp-content/uploads/2022/04/CAGE-Substance-Screening-Tool.pdf</t>
        </is>
      </c>
    </row>
    <row r="426">
      <c r="A426" t="inlineStr">
        <is>
          <t>CAGE</t>
        </is>
      </c>
      <c r="B426" t="inlineStr">
        <is>
          <t>CAGE Questionnaire</t>
        </is>
      </c>
      <c r="C426" t="inlineStr">
        <is>
          <t>4. Clinical and distress screening</t>
        </is>
      </c>
      <c r="D426" t="n">
        <v>2</v>
      </c>
      <c r="E426" t="inlineStr">
        <is>
          <t>Have people annoyed you by criticizing your drinking?</t>
        </is>
      </c>
      <c r="F426" t="inlineStr">
        <is>
          <t>Total</t>
        </is>
      </c>
      <c r="G426" t="inlineStr">
        <is>
          <t>FALSE</t>
        </is>
      </c>
      <c r="H426" t="inlineStr">
        <is>
          <t>FALSE</t>
        </is>
      </c>
      <c r="I426" t="inlineStr">
        <is>
          <t>No = 0 | Yes = 1</t>
        </is>
      </c>
      <c r="K426" t="inlineStr">
        <is>
          <t>https://scireproject.com/wp-content/uploads/2022/04/CAGE-Substance-Screening-Tool.pdf</t>
        </is>
      </c>
    </row>
    <row r="427">
      <c r="A427" t="inlineStr">
        <is>
          <t>CAGE</t>
        </is>
      </c>
      <c r="B427" t="inlineStr">
        <is>
          <t>CAGE Questionnaire</t>
        </is>
      </c>
      <c r="C427" t="inlineStr">
        <is>
          <t>4. Clinical and distress screening</t>
        </is>
      </c>
      <c r="D427" t="n">
        <v>3</v>
      </c>
      <c r="E427" t="inlineStr">
        <is>
          <t>Have you ever felt bad or guilty about your drinking?</t>
        </is>
      </c>
      <c r="F427" t="inlineStr">
        <is>
          <t>Total</t>
        </is>
      </c>
      <c r="G427" t="inlineStr">
        <is>
          <t>FALSE</t>
        </is>
      </c>
      <c r="H427" t="inlineStr">
        <is>
          <t>FALSE</t>
        </is>
      </c>
      <c r="I427" t="inlineStr">
        <is>
          <t>No = 0 | Yes = 1</t>
        </is>
      </c>
      <c r="K427" t="inlineStr">
        <is>
          <t>https://scireproject.com/wp-content/uploads/2022/04/CAGE-Substance-Screening-Tool.pdf</t>
        </is>
      </c>
    </row>
    <row r="428">
      <c r="A428" t="inlineStr">
        <is>
          <t>CAGE</t>
        </is>
      </c>
      <c r="B428" t="inlineStr">
        <is>
          <t>CAGE Questionnaire</t>
        </is>
      </c>
      <c r="C428" t="inlineStr">
        <is>
          <t>4. Clinical and distress screening</t>
        </is>
      </c>
      <c r="D428" t="n">
        <v>4</v>
      </c>
      <c r="E428" t="inlineStr">
        <is>
          <t>Have you ever had a drink first thing in the morning to steady your nerves or to get rid of a hangover (eye-opener)?</t>
        </is>
      </c>
      <c r="F428" t="inlineStr">
        <is>
          <t>Total</t>
        </is>
      </c>
      <c r="G428" t="inlineStr">
        <is>
          <t>FALSE</t>
        </is>
      </c>
      <c r="H428" t="inlineStr">
        <is>
          <t>FALSE</t>
        </is>
      </c>
      <c r="I428" t="inlineStr">
        <is>
          <t>No = 0 | Yes = 1</t>
        </is>
      </c>
      <c r="K428" t="inlineStr">
        <is>
          <t>https://scireproject.com/wp-content/uploads/2022/04/CAGE-Substance-Screening-Tool.pdf</t>
        </is>
      </c>
    </row>
    <row r="429">
      <c r="A429" t="inlineStr">
        <is>
          <t>CAPE-42</t>
        </is>
      </c>
      <c r="B429" t="inlineStr">
        <is>
          <t>Community Assessment of Psychic Experiences</t>
        </is>
      </c>
      <c r="C429" t="inlineStr">
        <is>
          <t>4. Clinical and distress screening</t>
        </is>
      </c>
      <c r="D429" t="n">
        <v>1</v>
      </c>
      <c r="E429" t="inlineStr">
        <is>
          <t>Do you ever feel sad?</t>
        </is>
      </c>
      <c r="F429" t="inlineStr">
        <is>
          <t>Depressive</t>
        </is>
      </c>
      <c r="G429" t="inlineStr">
        <is>
          <t>FALSE</t>
        </is>
      </c>
      <c r="H429" t="inlineStr">
        <is>
          <t>FALSE</t>
        </is>
      </c>
      <c r="I429" t="inlineStr">
        <is>
          <t>Never = 1 | Sometimes = 2 | Often = 3 | Nearly always = 4</t>
        </is>
      </c>
      <c r="J429" t="inlineStr">
        <is>
          <t>Depressive dimension membership from the CamCOPS cape42.py task source. Paired distress item: "Please indicate how distressed you are by this experience:" rated 1 Not distressed to 4 Very distressed, answered only when frequency is Sometimes or above.</t>
        </is>
      </c>
      <c r="K429" t="inlineStr">
        <is>
          <t>https://camcops.readthedocs.io/en/latest/autodoc/server/camcops_server/extra_strings/cape42.xml.html</t>
        </is>
      </c>
    </row>
    <row r="430">
      <c r="A430" t="inlineStr">
        <is>
          <t>CAPE-42</t>
        </is>
      </c>
      <c r="B430" t="inlineStr">
        <is>
          <t>Community Assessment of Psychic Experiences</t>
        </is>
      </c>
      <c r="C430" t="inlineStr">
        <is>
          <t>4. Clinical and distress screening</t>
        </is>
      </c>
      <c r="D430" t="n">
        <v>2</v>
      </c>
      <c r="E430" t="inlineStr">
        <is>
          <t>Do you ever feel as if people seem to drop hints about you or say things with a double meaning?</t>
        </is>
      </c>
      <c r="F430" t="inlineStr">
        <is>
          <t>Positive</t>
        </is>
      </c>
      <c r="G430" t="inlineStr">
        <is>
          <t>FALSE</t>
        </is>
      </c>
      <c r="H430" t="inlineStr">
        <is>
          <t>FALSE</t>
        </is>
      </c>
      <c r="I430" t="inlineStr">
        <is>
          <t>Never = 1 | Sometimes = 2 | Often = 3 | Nearly always = 4</t>
        </is>
      </c>
      <c r="J430"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0" t="inlineStr">
        <is>
          <t>https://camcops.readthedocs.io/en/latest/autodoc/server/camcops_server/extra_strings/cape42.xml.html</t>
        </is>
      </c>
    </row>
    <row r="431">
      <c r="A431" t="inlineStr">
        <is>
          <t>CAPE-42</t>
        </is>
      </c>
      <c r="B431" t="inlineStr">
        <is>
          <t>Community Assessment of Psychic Experiences</t>
        </is>
      </c>
      <c r="C431" t="inlineStr">
        <is>
          <t>4. Clinical and distress screening</t>
        </is>
      </c>
      <c r="D431" t="n">
        <v>3</v>
      </c>
      <c r="E431" t="inlineStr">
        <is>
          <t>Do you ever feel that you are not a very animated person?</t>
        </is>
      </c>
      <c r="F431" t="inlineStr">
        <is>
          <t>Negative</t>
        </is>
      </c>
      <c r="G431" t="inlineStr">
        <is>
          <t>FALSE</t>
        </is>
      </c>
      <c r="H431" t="inlineStr">
        <is>
          <t>FALSE</t>
        </is>
      </c>
      <c r="I431" t="inlineStr">
        <is>
          <t>Never = 1 | Sometimes = 2 | Often = 3 | Nearly always = 4</t>
        </is>
      </c>
      <c r="J431" t="inlineStr">
        <is>
          <t>Negative dimension membership from the CamCOPS cape42.py task source. Paired distress item: "Please indicate how distressed you are by this experience:" rated 1 Not distressed to 4 Very distressed, answered only when frequency is Sometimes or above.</t>
        </is>
      </c>
      <c r="K431" t="inlineStr">
        <is>
          <t>https://camcops.readthedocs.io/en/latest/autodoc/server/camcops_server/extra_strings/cape42.xml.html</t>
        </is>
      </c>
    </row>
    <row r="432">
      <c r="A432" t="inlineStr">
        <is>
          <t>CAPE-42</t>
        </is>
      </c>
      <c r="B432" t="inlineStr">
        <is>
          <t>Community Assessment of Psychic Experiences</t>
        </is>
      </c>
      <c r="C432" t="inlineStr">
        <is>
          <t>4. Clinical and distress screening</t>
        </is>
      </c>
      <c r="D432" t="n">
        <v>4</v>
      </c>
      <c r="E432" t="inlineStr">
        <is>
          <t>Do you ever feel that you are not much of a talker when you are conversing with other people?</t>
        </is>
      </c>
      <c r="F432" t="inlineStr">
        <is>
          <t>Negative</t>
        </is>
      </c>
      <c r="G432" t="inlineStr">
        <is>
          <t>FALSE</t>
        </is>
      </c>
      <c r="H432" t="inlineStr">
        <is>
          <t>FALSE</t>
        </is>
      </c>
      <c r="I432" t="inlineStr">
        <is>
          <t>Never = 1 | Sometimes = 2 | Often = 3 | Nearly always = 4</t>
        </is>
      </c>
      <c r="J432" t="inlineStr">
        <is>
          <t>Negative dimension membership from the CamCOPS cape42.py task source. Paired distress item: "Please indicate how distressed you are by this experience:" rated 1 Not distressed to 4 Very distressed, answered only when frequency is Sometimes or above.</t>
        </is>
      </c>
      <c r="K432" t="inlineStr">
        <is>
          <t>https://camcops.readthedocs.io/en/latest/autodoc/server/camcops_server/extra_strings/cape42.xml.html</t>
        </is>
      </c>
    </row>
    <row r="433">
      <c r="A433" t="inlineStr">
        <is>
          <t>CAPE-42</t>
        </is>
      </c>
      <c r="B433" t="inlineStr">
        <is>
          <t>Community Assessment of Psychic Experiences</t>
        </is>
      </c>
      <c r="C433" t="inlineStr">
        <is>
          <t>4. Clinical and distress screening</t>
        </is>
      </c>
      <c r="D433" t="n">
        <v>5</v>
      </c>
      <c r="E433" t="inlineStr">
        <is>
          <t>Do you ever feel as if things in magazines or on TV were written especially for you?</t>
        </is>
      </c>
      <c r="F433" t="inlineStr">
        <is>
          <t>Positive</t>
        </is>
      </c>
      <c r="G433" t="inlineStr">
        <is>
          <t>FALSE</t>
        </is>
      </c>
      <c r="H433" t="inlineStr">
        <is>
          <t>FALSE</t>
        </is>
      </c>
      <c r="I433" t="inlineStr">
        <is>
          <t>Never = 1 | Sometimes = 2 | Often = 3 | Nearly always = 4</t>
        </is>
      </c>
      <c r="J433"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3" t="inlineStr">
        <is>
          <t>https://camcops.readthedocs.io/en/latest/autodoc/server/camcops_server/extra_strings/cape42.xml.html</t>
        </is>
      </c>
    </row>
    <row r="434">
      <c r="A434" t="inlineStr">
        <is>
          <t>CAPE-42</t>
        </is>
      </c>
      <c r="B434" t="inlineStr">
        <is>
          <t>Community Assessment of Psychic Experiences</t>
        </is>
      </c>
      <c r="C434" t="inlineStr">
        <is>
          <t>4. Clinical and distress screening</t>
        </is>
      </c>
      <c r="D434" t="n">
        <v>6</v>
      </c>
      <c r="E434" t="inlineStr">
        <is>
          <t>Do you ever feel as if some people are not what they seem to be?</t>
        </is>
      </c>
      <c r="F434" t="inlineStr">
        <is>
          <t>Positive</t>
        </is>
      </c>
      <c r="G434" t="inlineStr">
        <is>
          <t>FALSE</t>
        </is>
      </c>
      <c r="H434" t="inlineStr">
        <is>
          <t>FALSE</t>
        </is>
      </c>
      <c r="I434" t="inlineStr">
        <is>
          <t>Never = 1 | Sometimes = 2 | Often = 3 | Nearly always = 4</t>
        </is>
      </c>
      <c r="J43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4" t="inlineStr">
        <is>
          <t>https://camcops.readthedocs.io/en/latest/autodoc/server/camcops_server/extra_strings/cape42.xml.html</t>
        </is>
      </c>
    </row>
    <row r="435">
      <c r="A435" t="inlineStr">
        <is>
          <t>CAPE-42</t>
        </is>
      </c>
      <c r="B435" t="inlineStr">
        <is>
          <t>Community Assessment of Psychic Experiences</t>
        </is>
      </c>
      <c r="C435" t="inlineStr">
        <is>
          <t>4. Clinical and distress screening</t>
        </is>
      </c>
      <c r="D435" t="n">
        <v>7</v>
      </c>
      <c r="E435" t="inlineStr">
        <is>
          <t>Do you ever feel as if you are being persecuted in some way?</t>
        </is>
      </c>
      <c r="F435" t="inlineStr">
        <is>
          <t>Positive</t>
        </is>
      </c>
      <c r="G435" t="inlineStr">
        <is>
          <t>FALSE</t>
        </is>
      </c>
      <c r="H435" t="inlineStr">
        <is>
          <t>FALSE</t>
        </is>
      </c>
      <c r="I435" t="inlineStr">
        <is>
          <t>Never = 1 | Sometimes = 2 | Often = 3 | Nearly always = 4</t>
        </is>
      </c>
      <c r="J435"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5" t="inlineStr">
        <is>
          <t>https://camcops.readthedocs.io/en/latest/autodoc/server/camcops_server/extra_strings/cape42.xml.html</t>
        </is>
      </c>
    </row>
    <row r="436">
      <c r="A436" t="inlineStr">
        <is>
          <t>CAPE-42</t>
        </is>
      </c>
      <c r="B436" t="inlineStr">
        <is>
          <t>Community Assessment of Psychic Experiences</t>
        </is>
      </c>
      <c r="C436" t="inlineStr">
        <is>
          <t>4. Clinical and distress screening</t>
        </is>
      </c>
      <c r="D436" t="n">
        <v>8</v>
      </c>
      <c r="E436" t="inlineStr">
        <is>
          <t>Do you ever feel that you experience few or no emotions at important events?</t>
        </is>
      </c>
      <c r="F436" t="inlineStr">
        <is>
          <t>Negative</t>
        </is>
      </c>
      <c r="G436" t="inlineStr">
        <is>
          <t>FALSE</t>
        </is>
      </c>
      <c r="H436" t="inlineStr">
        <is>
          <t>FALSE</t>
        </is>
      </c>
      <c r="I436" t="inlineStr">
        <is>
          <t>Never = 1 | Sometimes = 2 | Often = 3 | Nearly always = 4</t>
        </is>
      </c>
      <c r="J436" t="inlineStr">
        <is>
          <t>Negative dimension membership from the CamCOPS cape42.py task source. Paired distress item: "Please indicate how distressed you are by this experience:" rated 1 Not distressed to 4 Very distressed, answered only when frequency is Sometimes or above.</t>
        </is>
      </c>
      <c r="K436" t="inlineStr">
        <is>
          <t>https://camcops.readthedocs.io/en/latest/autodoc/server/camcops_server/extra_strings/cape42.xml.html</t>
        </is>
      </c>
    </row>
    <row r="437">
      <c r="A437" t="inlineStr">
        <is>
          <t>CAPE-42</t>
        </is>
      </c>
      <c r="B437" t="inlineStr">
        <is>
          <t>Community Assessment of Psychic Experiences</t>
        </is>
      </c>
      <c r="C437" t="inlineStr">
        <is>
          <t>4. Clinical and distress screening</t>
        </is>
      </c>
      <c r="D437" t="n">
        <v>9</v>
      </c>
      <c r="E437" t="inlineStr">
        <is>
          <t>Do you ever feel pessimistic about everything?</t>
        </is>
      </c>
      <c r="F437" t="inlineStr">
        <is>
          <t>Depressive</t>
        </is>
      </c>
      <c r="G437" t="inlineStr">
        <is>
          <t>FALSE</t>
        </is>
      </c>
      <c r="H437" t="inlineStr">
        <is>
          <t>FALSE</t>
        </is>
      </c>
      <c r="I437" t="inlineStr">
        <is>
          <t>Never = 1 | Sometimes = 2 | Often = 3 | Nearly always = 4</t>
        </is>
      </c>
      <c r="J437" t="inlineStr">
        <is>
          <t>Depressive dimension membership from the CamCOPS cape42.py task source. Paired distress item: "Please indicate how distressed you are by this experience:" rated 1 Not distressed to 4 Very distressed, answered only when frequency is Sometimes or above.</t>
        </is>
      </c>
      <c r="K437" t="inlineStr">
        <is>
          <t>https://camcops.readthedocs.io/en/latest/autodoc/server/camcops_server/extra_strings/cape42.xml.html</t>
        </is>
      </c>
    </row>
    <row r="438">
      <c r="A438" t="inlineStr">
        <is>
          <t>CAPE-42</t>
        </is>
      </c>
      <c r="B438" t="inlineStr">
        <is>
          <t>Community Assessment of Psychic Experiences</t>
        </is>
      </c>
      <c r="C438" t="inlineStr">
        <is>
          <t>4. Clinical and distress screening</t>
        </is>
      </c>
      <c r="D438" t="n">
        <v>10</v>
      </c>
      <c r="E438" t="inlineStr">
        <is>
          <t>Do you ever feel as if there is a conspiracy against you?</t>
        </is>
      </c>
      <c r="F438" t="inlineStr">
        <is>
          <t>Positive</t>
        </is>
      </c>
      <c r="G438" t="inlineStr">
        <is>
          <t>FALSE</t>
        </is>
      </c>
      <c r="H438" t="inlineStr">
        <is>
          <t>FALSE</t>
        </is>
      </c>
      <c r="I438" t="inlineStr">
        <is>
          <t>Never = 1 | Sometimes = 2 | Often = 3 | Nearly always = 4</t>
        </is>
      </c>
      <c r="J438"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8" t="inlineStr">
        <is>
          <t>https://camcops.readthedocs.io/en/latest/autodoc/server/camcops_server/extra_strings/cape42.xml.html</t>
        </is>
      </c>
    </row>
    <row r="439">
      <c r="A439" t="inlineStr">
        <is>
          <t>CAPE-42</t>
        </is>
      </c>
      <c r="B439" t="inlineStr">
        <is>
          <t>Community Assessment of Psychic Experiences</t>
        </is>
      </c>
      <c r="C439" t="inlineStr">
        <is>
          <t>4. Clinical and distress screening</t>
        </is>
      </c>
      <c r="D439" t="n">
        <v>11</v>
      </c>
      <c r="E439" t="inlineStr">
        <is>
          <t>Do you ever feel as if you are destined to be someone very important?</t>
        </is>
      </c>
      <c r="F439" t="inlineStr">
        <is>
          <t>Positive</t>
        </is>
      </c>
      <c r="G439" t="inlineStr">
        <is>
          <t>FALSE</t>
        </is>
      </c>
      <c r="H439" t="inlineStr">
        <is>
          <t>FALSE</t>
        </is>
      </c>
      <c r="I439" t="inlineStr">
        <is>
          <t>Never = 1 | Sometimes = 2 | Often = 3 | Nearly always = 4</t>
        </is>
      </c>
      <c r="J439"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39" t="inlineStr">
        <is>
          <t>https://camcops.readthedocs.io/en/latest/autodoc/server/camcops_server/extra_strings/cape42.xml.html</t>
        </is>
      </c>
    </row>
    <row r="440">
      <c r="A440" t="inlineStr">
        <is>
          <t>CAPE-42</t>
        </is>
      </c>
      <c r="B440" t="inlineStr">
        <is>
          <t>Community Assessment of Psychic Experiences</t>
        </is>
      </c>
      <c r="C440" t="inlineStr">
        <is>
          <t>4. Clinical and distress screening</t>
        </is>
      </c>
      <c r="D440" t="n">
        <v>12</v>
      </c>
      <c r="E440" t="inlineStr">
        <is>
          <t>Do you ever feel as if there is no future for you?</t>
        </is>
      </c>
      <c r="F440" t="inlineStr">
        <is>
          <t>Depressive</t>
        </is>
      </c>
      <c r="G440" t="inlineStr">
        <is>
          <t>FALSE</t>
        </is>
      </c>
      <c r="H440" t="inlineStr">
        <is>
          <t>FALSE</t>
        </is>
      </c>
      <c r="I440" t="inlineStr">
        <is>
          <t>Never = 1 | Sometimes = 2 | Often = 3 | Nearly always = 4</t>
        </is>
      </c>
      <c r="J440" t="inlineStr">
        <is>
          <t>Depressive dimension membership from the CamCOPS cape42.py task source. Paired distress item: "Please indicate how distressed you are by this experience:" rated 1 Not distressed to 4 Very distressed, answered only when frequency is Sometimes or above.</t>
        </is>
      </c>
      <c r="K440" t="inlineStr">
        <is>
          <t>https://camcops.readthedocs.io/en/latest/autodoc/server/camcops_server/extra_strings/cape42.xml.html</t>
        </is>
      </c>
    </row>
    <row r="441">
      <c r="A441" t="inlineStr">
        <is>
          <t>CAPE-42</t>
        </is>
      </c>
      <c r="B441" t="inlineStr">
        <is>
          <t>Community Assessment of Psychic Experiences</t>
        </is>
      </c>
      <c r="C441" t="inlineStr">
        <is>
          <t>4. Clinical and distress screening</t>
        </is>
      </c>
      <c r="D441" t="n">
        <v>13</v>
      </c>
      <c r="E441" t="inlineStr">
        <is>
          <t>Do you ever feel that you are a very special or unusual person?</t>
        </is>
      </c>
      <c r="F441" t="inlineStr">
        <is>
          <t>Positive</t>
        </is>
      </c>
      <c r="G441" t="inlineStr">
        <is>
          <t>FALSE</t>
        </is>
      </c>
      <c r="H441" t="inlineStr">
        <is>
          <t>FALSE</t>
        </is>
      </c>
      <c r="I441" t="inlineStr">
        <is>
          <t>Never = 1 | Sometimes = 2 | Often = 3 | Nearly always = 4</t>
        </is>
      </c>
      <c r="J441"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1" t="inlineStr">
        <is>
          <t>https://camcops.readthedocs.io/en/latest/autodoc/server/camcops_server/extra_strings/cape42.xml.html</t>
        </is>
      </c>
    </row>
    <row r="442">
      <c r="A442" t="inlineStr">
        <is>
          <t>CAPE-42</t>
        </is>
      </c>
      <c r="B442" t="inlineStr">
        <is>
          <t>Community Assessment of Psychic Experiences</t>
        </is>
      </c>
      <c r="C442" t="inlineStr">
        <is>
          <t>4. Clinical and distress screening</t>
        </is>
      </c>
      <c r="D442" t="n">
        <v>14</v>
      </c>
      <c r="E442" t="inlineStr">
        <is>
          <t>Do you ever feel as if you do not want to live anymore?</t>
        </is>
      </c>
      <c r="F442" t="inlineStr">
        <is>
          <t>Depressive</t>
        </is>
      </c>
      <c r="G442" t="inlineStr">
        <is>
          <t>FALSE</t>
        </is>
      </c>
      <c r="H442" t="inlineStr">
        <is>
          <t>FALSE</t>
        </is>
      </c>
      <c r="I442" t="inlineStr">
        <is>
          <t>Never = 1 | Sometimes = 2 | Often = 3 | Nearly always = 4</t>
        </is>
      </c>
      <c r="J442" t="inlineStr">
        <is>
          <t>Depressive dimension membership from the CamCOPS cape42.py task source. Paired distress item: "Please indicate how distressed you are by this experience:" rated 1 Not distressed to 4 Very distressed, answered only when frequency is Sometimes or above.</t>
        </is>
      </c>
      <c r="K442" t="inlineStr">
        <is>
          <t>https://camcops.readthedocs.io/en/latest/autodoc/server/camcops_server/extra_strings/cape42.xml.html</t>
        </is>
      </c>
    </row>
    <row r="443">
      <c r="A443" t="inlineStr">
        <is>
          <t>CAPE-42</t>
        </is>
      </c>
      <c r="B443" t="inlineStr">
        <is>
          <t>Community Assessment of Psychic Experiences</t>
        </is>
      </c>
      <c r="C443" t="inlineStr">
        <is>
          <t>4. Clinical and distress screening</t>
        </is>
      </c>
      <c r="D443" t="n">
        <v>15</v>
      </c>
      <c r="E443" t="inlineStr">
        <is>
          <t>Do you ever think that people can communicate telepathically?</t>
        </is>
      </c>
      <c r="F443" t="inlineStr">
        <is>
          <t>Positive</t>
        </is>
      </c>
      <c r="G443" t="inlineStr">
        <is>
          <t>FALSE</t>
        </is>
      </c>
      <c r="H443" t="inlineStr">
        <is>
          <t>FALSE</t>
        </is>
      </c>
      <c r="I443" t="inlineStr">
        <is>
          <t>Never = 1 | Sometimes = 2 | Often = 3 | Nearly always = 4</t>
        </is>
      </c>
      <c r="J443"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3" t="inlineStr">
        <is>
          <t>https://camcops.readthedocs.io/en/latest/autodoc/server/camcops_server/extra_strings/cape42.xml.html</t>
        </is>
      </c>
    </row>
    <row r="444">
      <c r="A444" t="inlineStr">
        <is>
          <t>CAPE-42</t>
        </is>
      </c>
      <c r="B444" t="inlineStr">
        <is>
          <t>Community Assessment of Psychic Experiences</t>
        </is>
      </c>
      <c r="C444" t="inlineStr">
        <is>
          <t>4. Clinical and distress screening</t>
        </is>
      </c>
      <c r="D444" t="n">
        <v>16</v>
      </c>
      <c r="E444" t="inlineStr">
        <is>
          <t>Do you ever feel that you have no interest to be with other people?</t>
        </is>
      </c>
      <c r="F444" t="inlineStr">
        <is>
          <t>Negative</t>
        </is>
      </c>
      <c r="G444" t="inlineStr">
        <is>
          <t>FALSE</t>
        </is>
      </c>
      <c r="H444" t="inlineStr">
        <is>
          <t>FALSE</t>
        </is>
      </c>
      <c r="I444" t="inlineStr">
        <is>
          <t>Never = 1 | Sometimes = 2 | Often = 3 | Nearly always = 4</t>
        </is>
      </c>
      <c r="J444" t="inlineStr">
        <is>
          <t>Negative dimension membership from the CamCOPS cape42.py task source. Paired distress item: "Please indicate how distressed you are by this experience:" rated 1 Not distressed to 4 Very distressed, answered only when frequency is Sometimes or above.</t>
        </is>
      </c>
      <c r="K444" t="inlineStr">
        <is>
          <t>https://camcops.readthedocs.io/en/latest/autodoc/server/camcops_server/extra_strings/cape42.xml.html</t>
        </is>
      </c>
    </row>
    <row r="445">
      <c r="A445" t="inlineStr">
        <is>
          <t>CAPE-42</t>
        </is>
      </c>
      <c r="B445" t="inlineStr">
        <is>
          <t>Community Assessment of Psychic Experiences</t>
        </is>
      </c>
      <c r="C445" t="inlineStr">
        <is>
          <t>4. Clinical and distress screening</t>
        </is>
      </c>
      <c r="D445" t="n">
        <v>17</v>
      </c>
      <c r="E445" t="inlineStr">
        <is>
          <t>Do you ever feel as if electrical devices such as computers can influence the way you think?</t>
        </is>
      </c>
      <c r="F445" t="inlineStr">
        <is>
          <t>Positive</t>
        </is>
      </c>
      <c r="G445" t="inlineStr">
        <is>
          <t>FALSE</t>
        </is>
      </c>
      <c r="H445" t="inlineStr">
        <is>
          <t>FALSE</t>
        </is>
      </c>
      <c r="I445" t="inlineStr">
        <is>
          <t>Never = 1 | Sometimes = 2 | Often = 3 | Nearly always = 4</t>
        </is>
      </c>
      <c r="J445"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5" t="inlineStr">
        <is>
          <t>https://camcops.readthedocs.io/en/latest/autodoc/server/camcops_server/extra_strings/cape42.xml.html</t>
        </is>
      </c>
    </row>
    <row r="446">
      <c r="A446" t="inlineStr">
        <is>
          <t>CAPE-42</t>
        </is>
      </c>
      <c r="B446" t="inlineStr">
        <is>
          <t>Community Assessment of Psychic Experiences</t>
        </is>
      </c>
      <c r="C446" t="inlineStr">
        <is>
          <t>4. Clinical and distress screening</t>
        </is>
      </c>
      <c r="D446" t="n">
        <v>18</v>
      </c>
      <c r="E446" t="inlineStr">
        <is>
          <t>Do you ever feel that you are lacking in motivation to do things?</t>
        </is>
      </c>
      <c r="F446" t="inlineStr">
        <is>
          <t>Negative</t>
        </is>
      </c>
      <c r="G446" t="inlineStr">
        <is>
          <t>FALSE</t>
        </is>
      </c>
      <c r="H446" t="inlineStr">
        <is>
          <t>FALSE</t>
        </is>
      </c>
      <c r="I446" t="inlineStr">
        <is>
          <t>Never = 1 | Sometimes = 2 | Often = 3 | Nearly always = 4</t>
        </is>
      </c>
      <c r="J446" t="inlineStr">
        <is>
          <t>Negative dimension membership from the CamCOPS cape42.py task source. Paired distress item: "Please indicate how distressed you are by this experience:" rated 1 Not distressed to 4 Very distressed, answered only when frequency is Sometimes or above.</t>
        </is>
      </c>
      <c r="K446" t="inlineStr">
        <is>
          <t>https://camcops.readthedocs.io/en/latest/autodoc/server/camcops_server/extra_strings/cape42.xml.html</t>
        </is>
      </c>
    </row>
    <row r="447">
      <c r="A447" t="inlineStr">
        <is>
          <t>CAPE-42</t>
        </is>
      </c>
      <c r="B447" t="inlineStr">
        <is>
          <t>Community Assessment of Psychic Experiences</t>
        </is>
      </c>
      <c r="C447" t="inlineStr">
        <is>
          <t>4. Clinical and distress screening</t>
        </is>
      </c>
      <c r="D447" t="n">
        <v>19</v>
      </c>
      <c r="E447" t="inlineStr">
        <is>
          <t>Do you ever cry about nothing?</t>
        </is>
      </c>
      <c r="F447" t="inlineStr">
        <is>
          <t>Depressive</t>
        </is>
      </c>
      <c r="G447" t="inlineStr">
        <is>
          <t>FALSE</t>
        </is>
      </c>
      <c r="H447" t="inlineStr">
        <is>
          <t>FALSE</t>
        </is>
      </c>
      <c r="I447" t="inlineStr">
        <is>
          <t>Never = 1 | Sometimes = 2 | Often = 3 | Nearly always = 4</t>
        </is>
      </c>
      <c r="J447" t="inlineStr">
        <is>
          <t>Depressive dimension membership from the CamCOPS cape42.py task source. Paired distress item: "Please indicate how distressed you are by this experience:" rated 1 Not distressed to 4 Very distressed, answered only when frequency is Sometimes or above.</t>
        </is>
      </c>
      <c r="K447" t="inlineStr">
        <is>
          <t>https://camcops.readthedocs.io/en/latest/autodoc/server/camcops_server/extra_strings/cape42.xml.html</t>
        </is>
      </c>
    </row>
    <row r="448">
      <c r="A448" t="inlineStr">
        <is>
          <t>CAPE-42</t>
        </is>
      </c>
      <c r="B448" t="inlineStr">
        <is>
          <t>Community Assessment of Psychic Experiences</t>
        </is>
      </c>
      <c r="C448" t="inlineStr">
        <is>
          <t>4. Clinical and distress screening</t>
        </is>
      </c>
      <c r="D448" t="n">
        <v>20</v>
      </c>
      <c r="E448" t="inlineStr">
        <is>
          <t>Do you believe in the power of witchcraft, voodoo or the occult?</t>
        </is>
      </c>
      <c r="F448" t="inlineStr">
        <is>
          <t>Positive</t>
        </is>
      </c>
      <c r="G448" t="inlineStr">
        <is>
          <t>FALSE</t>
        </is>
      </c>
      <c r="H448" t="inlineStr">
        <is>
          <t>FALSE</t>
        </is>
      </c>
      <c r="I448" t="inlineStr">
        <is>
          <t>Never = 1 | Sometimes = 2 | Often = 3 | Nearly always = 4</t>
        </is>
      </c>
      <c r="J448"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48" t="inlineStr">
        <is>
          <t>https://camcops.readthedocs.io/en/latest/autodoc/server/camcops_server/extra_strings/cape42.xml.html</t>
        </is>
      </c>
    </row>
    <row r="449">
      <c r="A449" t="inlineStr">
        <is>
          <t>CAPE-42</t>
        </is>
      </c>
      <c r="B449" t="inlineStr">
        <is>
          <t>Community Assessment of Psychic Experiences</t>
        </is>
      </c>
      <c r="C449" t="inlineStr">
        <is>
          <t>4. Clinical and distress screening</t>
        </is>
      </c>
      <c r="D449" t="n">
        <v>21</v>
      </c>
      <c r="E449" t="inlineStr">
        <is>
          <t>Do you ever feel that you are lacking in energy?</t>
        </is>
      </c>
      <c r="F449" t="inlineStr">
        <is>
          <t>Negative</t>
        </is>
      </c>
      <c r="G449" t="inlineStr">
        <is>
          <t>FALSE</t>
        </is>
      </c>
      <c r="H449" t="inlineStr">
        <is>
          <t>FALSE</t>
        </is>
      </c>
      <c r="I449" t="inlineStr">
        <is>
          <t>Never = 1 | Sometimes = 2 | Often = 3 | Nearly always = 4</t>
        </is>
      </c>
      <c r="J449" t="inlineStr">
        <is>
          <t>Negative dimension membership from the CamCOPS cape42.py task source. Paired distress item: "Please indicate how distressed you are by this experience:" rated 1 Not distressed to 4 Very distressed, answered only when frequency is Sometimes or above.</t>
        </is>
      </c>
      <c r="K449" t="inlineStr">
        <is>
          <t>https://camcops.readthedocs.io/en/latest/autodoc/server/camcops_server/extra_strings/cape42.xml.html</t>
        </is>
      </c>
    </row>
    <row r="450">
      <c r="A450" t="inlineStr">
        <is>
          <t>CAPE-42</t>
        </is>
      </c>
      <c r="B450" t="inlineStr">
        <is>
          <t>Community Assessment of Psychic Experiences</t>
        </is>
      </c>
      <c r="C450" t="inlineStr">
        <is>
          <t>4. Clinical and distress screening</t>
        </is>
      </c>
      <c r="D450" t="n">
        <v>22</v>
      </c>
      <c r="E450" t="inlineStr">
        <is>
          <t>Do you ever feel that people look at you oddly because of your appearance?</t>
        </is>
      </c>
      <c r="F450" t="inlineStr">
        <is>
          <t>Positive</t>
        </is>
      </c>
      <c r="G450" t="inlineStr">
        <is>
          <t>FALSE</t>
        </is>
      </c>
      <c r="H450" t="inlineStr">
        <is>
          <t>FALSE</t>
        </is>
      </c>
      <c r="I450" t="inlineStr">
        <is>
          <t>Never = 1 | Sometimes = 2 | Often = 3 | Nearly always = 4</t>
        </is>
      </c>
      <c r="J450"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0" t="inlineStr">
        <is>
          <t>https://camcops.readthedocs.io/en/latest/autodoc/server/camcops_server/extra_strings/cape42.xml.html</t>
        </is>
      </c>
    </row>
    <row r="451">
      <c r="A451" t="inlineStr">
        <is>
          <t>CAPE-42</t>
        </is>
      </c>
      <c r="B451" t="inlineStr">
        <is>
          <t>Community Assessment of Psychic Experiences</t>
        </is>
      </c>
      <c r="C451" t="inlineStr">
        <is>
          <t>4. Clinical and distress screening</t>
        </is>
      </c>
      <c r="D451" t="n">
        <v>23</v>
      </c>
      <c r="E451" t="inlineStr">
        <is>
          <t>Do you ever feel that your mind is empty?</t>
        </is>
      </c>
      <c r="F451" t="inlineStr">
        <is>
          <t>Negative</t>
        </is>
      </c>
      <c r="G451" t="inlineStr">
        <is>
          <t>FALSE</t>
        </is>
      </c>
      <c r="H451" t="inlineStr">
        <is>
          <t>FALSE</t>
        </is>
      </c>
      <c r="I451" t="inlineStr">
        <is>
          <t>Never = 1 | Sometimes = 2 | Often = 3 | Nearly always = 4</t>
        </is>
      </c>
      <c r="J451" t="inlineStr">
        <is>
          <t>Negative dimension membership from the CamCOPS cape42.py task source. Paired distress item: "Please indicate how distressed you are by this experience:" rated 1 Not distressed to 4 Very distressed, answered only when frequency is Sometimes or above.</t>
        </is>
      </c>
      <c r="K451" t="inlineStr">
        <is>
          <t>https://camcops.readthedocs.io/en/latest/autodoc/server/camcops_server/extra_strings/cape42.xml.html</t>
        </is>
      </c>
    </row>
    <row r="452">
      <c r="A452" t="inlineStr">
        <is>
          <t>CAPE-42</t>
        </is>
      </c>
      <c r="B452" t="inlineStr">
        <is>
          <t>Community Assessment of Psychic Experiences</t>
        </is>
      </c>
      <c r="C452" t="inlineStr">
        <is>
          <t>4. Clinical and distress screening</t>
        </is>
      </c>
      <c r="D452" t="n">
        <v>24</v>
      </c>
      <c r="E452" t="inlineStr">
        <is>
          <t>Do you ever feel as if the thoughts in your head are being taken away from you?</t>
        </is>
      </c>
      <c r="F452" t="inlineStr">
        <is>
          <t>Positive</t>
        </is>
      </c>
      <c r="G452" t="inlineStr">
        <is>
          <t>FALSE</t>
        </is>
      </c>
      <c r="H452" t="inlineStr">
        <is>
          <t>FALSE</t>
        </is>
      </c>
      <c r="I452" t="inlineStr">
        <is>
          <t>Never = 1 | Sometimes = 2 | Often = 3 | Nearly always = 4</t>
        </is>
      </c>
      <c r="J452"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2" t="inlineStr">
        <is>
          <t>https://camcops.readthedocs.io/en/latest/autodoc/server/camcops_server/extra_strings/cape42.xml.html</t>
        </is>
      </c>
    </row>
    <row r="453">
      <c r="A453" t="inlineStr">
        <is>
          <t>CAPE-42</t>
        </is>
      </c>
      <c r="B453" t="inlineStr">
        <is>
          <t>Community Assessment of Psychic Experiences</t>
        </is>
      </c>
      <c r="C453" t="inlineStr">
        <is>
          <t>4. Clinical and distress screening</t>
        </is>
      </c>
      <c r="D453" t="n">
        <v>25</v>
      </c>
      <c r="E453" t="inlineStr">
        <is>
          <t>Do you ever feel that you are spending all your days doing nothing?</t>
        </is>
      </c>
      <c r="F453" t="inlineStr">
        <is>
          <t>Negative</t>
        </is>
      </c>
      <c r="G453" t="inlineStr">
        <is>
          <t>FALSE</t>
        </is>
      </c>
      <c r="H453" t="inlineStr">
        <is>
          <t>FALSE</t>
        </is>
      </c>
      <c r="I453" t="inlineStr">
        <is>
          <t>Never = 1 | Sometimes = 2 | Often = 3 | Nearly always = 4</t>
        </is>
      </c>
      <c r="J453" t="inlineStr">
        <is>
          <t>Negative dimension membership from the CamCOPS cape42.py task source. Paired distress item: "Please indicate how distressed you are by this experience:" rated 1 Not distressed to 4 Very distressed, answered only when frequency is Sometimes or above.</t>
        </is>
      </c>
      <c r="K453" t="inlineStr">
        <is>
          <t>https://camcops.readthedocs.io/en/latest/autodoc/server/camcops_server/extra_strings/cape42.xml.html</t>
        </is>
      </c>
    </row>
    <row r="454">
      <c r="A454" t="inlineStr">
        <is>
          <t>CAPE-42</t>
        </is>
      </c>
      <c r="B454" t="inlineStr">
        <is>
          <t>Community Assessment of Psychic Experiences</t>
        </is>
      </c>
      <c r="C454" t="inlineStr">
        <is>
          <t>4. Clinical and distress screening</t>
        </is>
      </c>
      <c r="D454" t="n">
        <v>26</v>
      </c>
      <c r="E454" t="inlineStr">
        <is>
          <t>Do you ever feel as if the thoughts in your head are not your own?</t>
        </is>
      </c>
      <c r="F454" t="inlineStr">
        <is>
          <t>Positive</t>
        </is>
      </c>
      <c r="G454" t="inlineStr">
        <is>
          <t>FALSE</t>
        </is>
      </c>
      <c r="H454" t="inlineStr">
        <is>
          <t>FALSE</t>
        </is>
      </c>
      <c r="I454" t="inlineStr">
        <is>
          <t>Never = 1 | Sometimes = 2 | Often = 3 | Nearly always = 4</t>
        </is>
      </c>
      <c r="J45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4" t="inlineStr">
        <is>
          <t>https://camcops.readthedocs.io/en/latest/autodoc/server/camcops_server/extra_strings/cape42.xml.html</t>
        </is>
      </c>
    </row>
    <row r="455">
      <c r="A455" t="inlineStr">
        <is>
          <t>CAPE-42</t>
        </is>
      </c>
      <c r="B455" t="inlineStr">
        <is>
          <t>Community Assessment of Psychic Experiences</t>
        </is>
      </c>
      <c r="C455" t="inlineStr">
        <is>
          <t>4. Clinical and distress screening</t>
        </is>
      </c>
      <c r="D455" t="n">
        <v>27</v>
      </c>
      <c r="E455" t="inlineStr">
        <is>
          <t>Do you ever feel that your feelings are lacking in intensity?</t>
        </is>
      </c>
      <c r="F455" t="inlineStr">
        <is>
          <t>Negative</t>
        </is>
      </c>
      <c r="G455" t="inlineStr">
        <is>
          <t>FALSE</t>
        </is>
      </c>
      <c r="H455" t="inlineStr">
        <is>
          <t>FALSE</t>
        </is>
      </c>
      <c r="I455" t="inlineStr">
        <is>
          <t>Never = 1 | Sometimes = 2 | Often = 3 | Nearly always = 4</t>
        </is>
      </c>
      <c r="J455" t="inlineStr">
        <is>
          <t>Negative dimension membership from the CamCOPS cape42.py task source. Paired distress item: "Please indicate how distressed you are by this experience:" rated 1 Not distressed to 4 Very distressed, answered only when frequency is Sometimes or above.</t>
        </is>
      </c>
      <c r="K455" t="inlineStr">
        <is>
          <t>https://camcops.readthedocs.io/en/latest/autodoc/server/camcops_server/extra_strings/cape42.xml.html</t>
        </is>
      </c>
    </row>
    <row r="456">
      <c r="A456" t="inlineStr">
        <is>
          <t>CAPE-42</t>
        </is>
      </c>
      <c r="B456" t="inlineStr">
        <is>
          <t>Community Assessment of Psychic Experiences</t>
        </is>
      </c>
      <c r="C456" t="inlineStr">
        <is>
          <t>4. Clinical and distress screening</t>
        </is>
      </c>
      <c r="D456" t="n">
        <v>28</v>
      </c>
      <c r="E456" t="inlineStr">
        <is>
          <t>Have your thoughts ever been so vivid that you were worried other people would hear them?</t>
        </is>
      </c>
      <c r="F456" t="inlineStr">
        <is>
          <t>Positive</t>
        </is>
      </c>
      <c r="G456" t="inlineStr">
        <is>
          <t>FALSE</t>
        </is>
      </c>
      <c r="H456" t="inlineStr">
        <is>
          <t>FALSE</t>
        </is>
      </c>
      <c r="I456" t="inlineStr">
        <is>
          <t>Never = 1 | Sometimes = 2 | Often = 3 | Nearly always = 4</t>
        </is>
      </c>
      <c r="J456"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6" t="inlineStr">
        <is>
          <t>https://camcops.readthedocs.io/en/latest/autodoc/server/camcops_server/extra_strings/cape42.xml.html</t>
        </is>
      </c>
    </row>
    <row r="457">
      <c r="A457" t="inlineStr">
        <is>
          <t>CAPE-42</t>
        </is>
      </c>
      <c r="B457" t="inlineStr">
        <is>
          <t>Community Assessment of Psychic Experiences</t>
        </is>
      </c>
      <c r="C457" t="inlineStr">
        <is>
          <t>4. Clinical and distress screening</t>
        </is>
      </c>
      <c r="D457" t="n">
        <v>29</v>
      </c>
      <c r="E457" t="inlineStr">
        <is>
          <t>Do you ever feel that you are lacking in spontaneity?</t>
        </is>
      </c>
      <c r="F457" t="inlineStr">
        <is>
          <t>Negative</t>
        </is>
      </c>
      <c r="G457" t="inlineStr">
        <is>
          <t>FALSE</t>
        </is>
      </c>
      <c r="H457" t="inlineStr">
        <is>
          <t>FALSE</t>
        </is>
      </c>
      <c r="I457" t="inlineStr">
        <is>
          <t>Never = 1 | Sometimes = 2 | Often = 3 | Nearly always = 4</t>
        </is>
      </c>
      <c r="J457" t="inlineStr">
        <is>
          <t>Negative dimension membership from the CamCOPS cape42.py task source. Paired distress item: "Please indicate how distressed you are by this experience:" rated 1 Not distressed to 4 Very distressed, answered only when frequency is Sometimes or above.</t>
        </is>
      </c>
      <c r="K457" t="inlineStr">
        <is>
          <t>https://camcops.readthedocs.io/en/latest/autodoc/server/camcops_server/extra_strings/cape42.xml.html</t>
        </is>
      </c>
    </row>
    <row r="458">
      <c r="A458" t="inlineStr">
        <is>
          <t>CAPE-42</t>
        </is>
      </c>
      <c r="B458" t="inlineStr">
        <is>
          <t>Community Assessment of Psychic Experiences</t>
        </is>
      </c>
      <c r="C458" t="inlineStr">
        <is>
          <t>4. Clinical and distress screening</t>
        </is>
      </c>
      <c r="D458" t="n">
        <v>30</v>
      </c>
      <c r="E458" t="inlineStr">
        <is>
          <t>Do you ever hear your own thoughts being echoed back to you?</t>
        </is>
      </c>
      <c r="F458" t="inlineStr">
        <is>
          <t>Positive</t>
        </is>
      </c>
      <c r="G458" t="inlineStr">
        <is>
          <t>FALSE</t>
        </is>
      </c>
      <c r="H458" t="inlineStr">
        <is>
          <t>FALSE</t>
        </is>
      </c>
      <c r="I458" t="inlineStr">
        <is>
          <t>Never = 1 | Sometimes = 2 | Often = 3 | Nearly always = 4</t>
        </is>
      </c>
      <c r="J458"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8" t="inlineStr">
        <is>
          <t>https://camcops.readthedocs.io/en/latest/autodoc/server/camcops_server/extra_strings/cape42.xml.html</t>
        </is>
      </c>
    </row>
    <row r="459">
      <c r="A459" t="inlineStr">
        <is>
          <t>CAPE-42</t>
        </is>
      </c>
      <c r="B459" t="inlineStr">
        <is>
          <t>Community Assessment of Psychic Experiences</t>
        </is>
      </c>
      <c r="C459" t="inlineStr">
        <is>
          <t>4. Clinical and distress screening</t>
        </is>
      </c>
      <c r="D459" t="n">
        <v>31</v>
      </c>
      <c r="E459" t="inlineStr">
        <is>
          <t>Do you ever feel as if you are under the control of some force or power other than yourself?</t>
        </is>
      </c>
      <c r="F459" t="inlineStr">
        <is>
          <t>Positive</t>
        </is>
      </c>
      <c r="G459" t="inlineStr">
        <is>
          <t>FALSE</t>
        </is>
      </c>
      <c r="H459" t="inlineStr">
        <is>
          <t>FALSE</t>
        </is>
      </c>
      <c r="I459" t="inlineStr">
        <is>
          <t>Never = 1 | Sometimes = 2 | Often = 3 | Nearly always = 4</t>
        </is>
      </c>
      <c r="J459"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59" t="inlineStr">
        <is>
          <t>https://camcops.readthedocs.io/en/latest/autodoc/server/camcops_server/extra_strings/cape42.xml.html</t>
        </is>
      </c>
    </row>
    <row r="460">
      <c r="A460" t="inlineStr">
        <is>
          <t>CAPE-42</t>
        </is>
      </c>
      <c r="B460" t="inlineStr">
        <is>
          <t>Community Assessment of Psychic Experiences</t>
        </is>
      </c>
      <c r="C460" t="inlineStr">
        <is>
          <t>4. Clinical and distress screening</t>
        </is>
      </c>
      <c r="D460" t="n">
        <v>32</v>
      </c>
      <c r="E460" t="inlineStr">
        <is>
          <t>Do you ever feel that your emotions are blunted?</t>
        </is>
      </c>
      <c r="F460" t="inlineStr">
        <is>
          <t>Negative</t>
        </is>
      </c>
      <c r="G460" t="inlineStr">
        <is>
          <t>FALSE</t>
        </is>
      </c>
      <c r="H460" t="inlineStr">
        <is>
          <t>FALSE</t>
        </is>
      </c>
      <c r="I460" t="inlineStr">
        <is>
          <t>Never = 1 | Sometimes = 2 | Often = 3 | Nearly always = 4</t>
        </is>
      </c>
      <c r="J460" t="inlineStr">
        <is>
          <t>Negative dimension membership from the CamCOPS cape42.py task source. Paired distress item: "Please indicate how distressed you are by this experience:" rated 1 Not distressed to 4 Very distressed, answered only when frequency is Sometimes or above.</t>
        </is>
      </c>
      <c r="K460" t="inlineStr">
        <is>
          <t>https://camcops.readthedocs.io/en/latest/autodoc/server/camcops_server/extra_strings/cape42.xml.html</t>
        </is>
      </c>
    </row>
    <row r="461">
      <c r="A461" t="inlineStr">
        <is>
          <t>CAPE-42</t>
        </is>
      </c>
      <c r="B461" t="inlineStr">
        <is>
          <t>Community Assessment of Psychic Experiences</t>
        </is>
      </c>
      <c r="C461" t="inlineStr">
        <is>
          <t>4. Clinical and distress screening</t>
        </is>
      </c>
      <c r="D461" t="n">
        <v>33</v>
      </c>
      <c r="E461" t="inlineStr">
        <is>
          <t>Do you ever hear voices when you are alone?</t>
        </is>
      </c>
      <c r="F461" t="inlineStr">
        <is>
          <t>Positive</t>
        </is>
      </c>
      <c r="G461" t="inlineStr">
        <is>
          <t>FALSE</t>
        </is>
      </c>
      <c r="H461" t="inlineStr">
        <is>
          <t>FALSE</t>
        </is>
      </c>
      <c r="I461" t="inlineStr">
        <is>
          <t>Never = 1 | Sometimes = 2 | Often = 3 | Nearly always = 4</t>
        </is>
      </c>
      <c r="J461"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61" t="inlineStr">
        <is>
          <t>https://camcops.readthedocs.io/en/latest/autodoc/server/camcops_server/extra_strings/cape42.xml.html</t>
        </is>
      </c>
    </row>
    <row r="462">
      <c r="A462" t="inlineStr">
        <is>
          <t>CAPE-42</t>
        </is>
      </c>
      <c r="B462" t="inlineStr">
        <is>
          <t>Community Assessment of Psychic Experiences</t>
        </is>
      </c>
      <c r="C462" t="inlineStr">
        <is>
          <t>4. Clinical and distress screening</t>
        </is>
      </c>
      <c r="D462" t="n">
        <v>34</v>
      </c>
      <c r="E462" t="inlineStr">
        <is>
          <t>Do you ever hear voices talking to each other when you are alone?</t>
        </is>
      </c>
      <c r="F462" t="inlineStr">
        <is>
          <t>Positive</t>
        </is>
      </c>
      <c r="G462" t="inlineStr">
        <is>
          <t>FALSE</t>
        </is>
      </c>
      <c r="H462" t="inlineStr">
        <is>
          <t>FALSE</t>
        </is>
      </c>
      <c r="I462" t="inlineStr">
        <is>
          <t>Never = 1 | Sometimes = 2 | Often = 3 | Nearly always = 4</t>
        </is>
      </c>
      <c r="J462"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62" t="inlineStr">
        <is>
          <t>https://camcops.readthedocs.io/en/latest/autodoc/server/camcops_server/extra_strings/cape42.xml.html</t>
        </is>
      </c>
    </row>
    <row r="463">
      <c r="A463" t="inlineStr">
        <is>
          <t>CAPE-42</t>
        </is>
      </c>
      <c r="B463" t="inlineStr">
        <is>
          <t>Community Assessment of Psychic Experiences</t>
        </is>
      </c>
      <c r="C463" t="inlineStr">
        <is>
          <t>4. Clinical and distress screening</t>
        </is>
      </c>
      <c r="D463" t="n">
        <v>35</v>
      </c>
      <c r="E463" t="inlineStr">
        <is>
          <t>Do you ever feel that you are neglecting your appearance or personal hygiene?</t>
        </is>
      </c>
      <c r="F463" t="inlineStr">
        <is>
          <t>Negative</t>
        </is>
      </c>
      <c r="G463" t="inlineStr">
        <is>
          <t>FALSE</t>
        </is>
      </c>
      <c r="H463" t="inlineStr">
        <is>
          <t>FALSE</t>
        </is>
      </c>
      <c r="I463" t="inlineStr">
        <is>
          <t>Never = 1 | Sometimes = 2 | Often = 3 | Nearly always = 4</t>
        </is>
      </c>
      <c r="J463" t="inlineStr">
        <is>
          <t>Negative dimension membership from the CamCOPS cape42.py task source. Paired distress item: "Please indicate how distressed you are by this experience:" rated 1 Not distressed to 4 Very distressed, answered only when frequency is Sometimes or above.</t>
        </is>
      </c>
      <c r="K463" t="inlineStr">
        <is>
          <t>https://camcops.readthedocs.io/en/latest/autodoc/server/camcops_server/extra_strings/cape42.xml.html</t>
        </is>
      </c>
    </row>
    <row r="464">
      <c r="A464" t="inlineStr">
        <is>
          <t>CAPE-42</t>
        </is>
      </c>
      <c r="B464" t="inlineStr">
        <is>
          <t>Community Assessment of Psychic Experiences</t>
        </is>
      </c>
      <c r="C464" t="inlineStr">
        <is>
          <t>4. Clinical and distress screening</t>
        </is>
      </c>
      <c r="D464" t="n">
        <v>36</v>
      </c>
      <c r="E464" t="inlineStr">
        <is>
          <t>Do you ever feel that you can never get things done?</t>
        </is>
      </c>
      <c r="F464" t="inlineStr">
        <is>
          <t>Negative</t>
        </is>
      </c>
      <c r="G464" t="inlineStr">
        <is>
          <t>FALSE</t>
        </is>
      </c>
      <c r="H464" t="inlineStr">
        <is>
          <t>FALSE</t>
        </is>
      </c>
      <c r="I464" t="inlineStr">
        <is>
          <t>Never = 1 | Sometimes = 2 | Often = 3 | Nearly always = 4</t>
        </is>
      </c>
      <c r="J464" t="inlineStr">
        <is>
          <t>Negative dimension membership from the CamCOPS cape42.py task source. Paired distress item: "Please indicate how distressed you are by this experience:" rated 1 Not distressed to 4 Very distressed, answered only when frequency is Sometimes or above.</t>
        </is>
      </c>
      <c r="K464" t="inlineStr">
        <is>
          <t>https://camcops.readthedocs.io/en/latest/autodoc/server/camcops_server/extra_strings/cape42.xml.html</t>
        </is>
      </c>
    </row>
    <row r="465">
      <c r="A465" t="inlineStr">
        <is>
          <t>CAPE-42</t>
        </is>
      </c>
      <c r="B465" t="inlineStr">
        <is>
          <t>Community Assessment of Psychic Experiences</t>
        </is>
      </c>
      <c r="C465" t="inlineStr">
        <is>
          <t>4. Clinical and distress screening</t>
        </is>
      </c>
      <c r="D465" t="n">
        <v>37</v>
      </c>
      <c r="E465" t="inlineStr">
        <is>
          <t>Do you ever feel that you have only few hobbies or interests?</t>
        </is>
      </c>
      <c r="F465" t="inlineStr">
        <is>
          <t>Negative</t>
        </is>
      </c>
      <c r="G465" t="inlineStr">
        <is>
          <t>FALSE</t>
        </is>
      </c>
      <c r="H465" t="inlineStr">
        <is>
          <t>FALSE</t>
        </is>
      </c>
      <c r="I465" t="inlineStr">
        <is>
          <t>Never = 1 | Sometimes = 2 | Often = 3 | Nearly always = 4</t>
        </is>
      </c>
      <c r="J465" t="inlineStr">
        <is>
          <t>Negative dimension membership from the CamCOPS cape42.py task source. Paired distress item: "Please indicate how distressed you are by this experience:" rated 1 Not distressed to 4 Very distressed, answered only when frequency is Sometimes or above.</t>
        </is>
      </c>
      <c r="K465" t="inlineStr">
        <is>
          <t>https://camcops.readthedocs.io/en/latest/autodoc/server/camcops_server/extra_strings/cape42.xml.html</t>
        </is>
      </c>
    </row>
    <row r="466">
      <c r="A466" t="inlineStr">
        <is>
          <t>CAPE-42</t>
        </is>
      </c>
      <c r="B466" t="inlineStr">
        <is>
          <t>Community Assessment of Psychic Experiences</t>
        </is>
      </c>
      <c r="C466" t="inlineStr">
        <is>
          <t>4. Clinical and distress screening</t>
        </is>
      </c>
      <c r="D466" t="n">
        <v>38</v>
      </c>
      <c r="E466" t="inlineStr">
        <is>
          <t>Do you ever feel guilty?</t>
        </is>
      </c>
      <c r="F466" t="inlineStr">
        <is>
          <t>Depressive</t>
        </is>
      </c>
      <c r="G466" t="inlineStr">
        <is>
          <t>FALSE</t>
        </is>
      </c>
      <c r="H466" t="inlineStr">
        <is>
          <t>FALSE</t>
        </is>
      </c>
      <c r="I466" t="inlineStr">
        <is>
          <t>Never = 1 | Sometimes = 2 | Often = 3 | Nearly always = 4</t>
        </is>
      </c>
      <c r="J466" t="inlineStr">
        <is>
          <t>Depressive dimension membership from the CamCOPS cape42.py task source. Paired distress item: "Please indicate how distressed you are by this experience:" rated 1 Not distressed to 4 Very distressed, answered only when frequency is Sometimes or above.</t>
        </is>
      </c>
      <c r="K466" t="inlineStr">
        <is>
          <t>https://camcops.readthedocs.io/en/latest/autodoc/server/camcops_server/extra_strings/cape42.xml.html</t>
        </is>
      </c>
    </row>
    <row r="467">
      <c r="A467" t="inlineStr">
        <is>
          <t>CAPE-42</t>
        </is>
      </c>
      <c r="B467" t="inlineStr">
        <is>
          <t>Community Assessment of Psychic Experiences</t>
        </is>
      </c>
      <c r="C467" t="inlineStr">
        <is>
          <t>4. Clinical and distress screening</t>
        </is>
      </c>
      <c r="D467" t="n">
        <v>39</v>
      </c>
      <c r="E467" t="inlineStr">
        <is>
          <t>Do you ever feel like a failure?</t>
        </is>
      </c>
      <c r="F467" t="inlineStr">
        <is>
          <t>Depressive</t>
        </is>
      </c>
      <c r="G467" t="inlineStr">
        <is>
          <t>FALSE</t>
        </is>
      </c>
      <c r="H467" t="inlineStr">
        <is>
          <t>FALSE</t>
        </is>
      </c>
      <c r="I467" t="inlineStr">
        <is>
          <t>Never = 1 | Sometimes = 2 | Often = 3 | Nearly always = 4</t>
        </is>
      </c>
      <c r="J467" t="inlineStr">
        <is>
          <t>Depressive dimension membership from the CamCOPS cape42.py task source. Paired distress item: "Please indicate how distressed you are by this experience:" rated 1 Not distressed to 4 Very distressed, answered only when frequency is Sometimes or above.</t>
        </is>
      </c>
      <c r="K467" t="inlineStr">
        <is>
          <t>https://camcops.readthedocs.io/en/latest/autodoc/server/camcops_server/extra_strings/cape42.xml.html</t>
        </is>
      </c>
    </row>
    <row r="468">
      <c r="A468" t="inlineStr">
        <is>
          <t>CAPE-42</t>
        </is>
      </c>
      <c r="B468" t="inlineStr">
        <is>
          <t>Community Assessment of Psychic Experiences</t>
        </is>
      </c>
      <c r="C468" t="inlineStr">
        <is>
          <t>4. Clinical and distress screening</t>
        </is>
      </c>
      <c r="D468" t="n">
        <v>40</v>
      </c>
      <c r="E468" t="inlineStr">
        <is>
          <t>Do you ever feel tense?</t>
        </is>
      </c>
      <c r="F468" t="inlineStr">
        <is>
          <t>Depressive</t>
        </is>
      </c>
      <c r="G468" t="inlineStr">
        <is>
          <t>FALSE</t>
        </is>
      </c>
      <c r="H468" t="inlineStr">
        <is>
          <t>FALSE</t>
        </is>
      </c>
      <c r="I468" t="inlineStr">
        <is>
          <t>Never = 1 | Sometimes = 2 | Often = 3 | Nearly always = 4</t>
        </is>
      </c>
      <c r="J468" t="inlineStr">
        <is>
          <t>Depressive dimension membership from the CamCOPS cape42.py task source. Paired distress item: "Please indicate how distressed you are by this experience:" rated 1 Not distressed to 4 Very distressed, answered only when frequency is Sometimes or above.</t>
        </is>
      </c>
      <c r="K468" t="inlineStr">
        <is>
          <t>https://camcops.readthedocs.io/en/latest/autodoc/server/camcops_server/extra_strings/cape42.xml.html</t>
        </is>
      </c>
    </row>
    <row r="469">
      <c r="A469" t="inlineStr">
        <is>
          <t>CAPE-42</t>
        </is>
      </c>
      <c r="B469" t="inlineStr">
        <is>
          <t>Community Assessment of Psychic Experiences</t>
        </is>
      </c>
      <c r="C469" t="inlineStr">
        <is>
          <t>4. Clinical and distress screening</t>
        </is>
      </c>
      <c r="D469" t="n">
        <v>41</v>
      </c>
      <c r="E469" t="inlineStr">
        <is>
          <t>Do you ever feel as if a double has taken the place of a family member, friend or acquaintance?</t>
        </is>
      </c>
      <c r="F469" t="inlineStr">
        <is>
          <t>Positive</t>
        </is>
      </c>
      <c r="G469" t="inlineStr">
        <is>
          <t>FALSE</t>
        </is>
      </c>
      <c r="H469" t="inlineStr">
        <is>
          <t>FALSE</t>
        </is>
      </c>
      <c r="I469" t="inlineStr">
        <is>
          <t>Never = 1 | Sometimes = 2 | Often = 3 | Nearly always = 4</t>
        </is>
      </c>
      <c r="J469"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69" t="inlineStr">
        <is>
          <t>https://camcops.readthedocs.io/en/latest/autodoc/server/camcops_server/extra_strings/cape42.xml.html</t>
        </is>
      </c>
    </row>
    <row r="470">
      <c r="A470" t="inlineStr">
        <is>
          <t>CAPE-42</t>
        </is>
      </c>
      <c r="B470" t="inlineStr">
        <is>
          <t>Community Assessment of Psychic Experiences</t>
        </is>
      </c>
      <c r="C470" t="inlineStr">
        <is>
          <t>4. Clinical and distress screening</t>
        </is>
      </c>
      <c r="D470" t="n">
        <v>42</v>
      </c>
      <c r="E470" t="inlineStr">
        <is>
          <t>Do you ever see objects, people or animals that other people cannot see?</t>
        </is>
      </c>
      <c r="F470" t="inlineStr">
        <is>
          <t>Positive</t>
        </is>
      </c>
      <c r="G470" t="inlineStr">
        <is>
          <t>FALSE</t>
        </is>
      </c>
      <c r="H470" t="inlineStr">
        <is>
          <t>FALSE</t>
        </is>
      </c>
      <c r="I470" t="inlineStr">
        <is>
          <t>Never = 1 | Sometimes = 2 | Often = 3 | Nearly always = 4</t>
        </is>
      </c>
      <c r="J470"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K470" t="inlineStr">
        <is>
          <t>https://camcops.readthedocs.io/en/latest/autodoc/server/camcops_server/extra_strings/cape42.xml.html</t>
        </is>
      </c>
    </row>
    <row r="471">
      <c r="A471" t="inlineStr">
        <is>
          <t>CBI</t>
        </is>
      </c>
      <c r="B471" t="inlineStr">
        <is>
          <t>Copenhagen Burnout Inventory</t>
        </is>
      </c>
      <c r="C471" t="inlineStr">
        <is>
          <t>3. Adjacent occupational and wellbeing</t>
        </is>
      </c>
      <c r="D471" t="n">
        <v>1</v>
      </c>
      <c r="E471" t="inlineStr">
        <is>
          <t>How often do you feel tired?</t>
        </is>
      </c>
      <c r="F471" t="inlineStr">
        <is>
          <t>Personal burnout</t>
        </is>
      </c>
      <c r="G471" t="inlineStr">
        <is>
          <t>FALSE</t>
        </is>
      </c>
      <c r="H471" t="inlineStr">
        <is>
          <t>FALSE</t>
        </is>
      </c>
      <c r="I471" t="inlineStr">
        <is>
          <t>Always = 100 | Often = 75 | Sometimes = 50 | Seldom = 25 | Never/almost never = 0</t>
        </is>
      </c>
      <c r="J471" t="inlineStr">
        <is>
          <t>Frequency scale: Always (100), Often (75), Sometimes (50), Seldom (25), Never/almost never (0)</t>
        </is>
      </c>
      <c r="K471" t="inlineStr">
        <is>
          <t>https://nfa.dk/media/hl5nbers/cbi-first-edition.pdf</t>
        </is>
      </c>
    </row>
    <row r="472">
      <c r="A472" t="inlineStr">
        <is>
          <t>CBI</t>
        </is>
      </c>
      <c r="B472" t="inlineStr">
        <is>
          <t>Copenhagen Burnout Inventory</t>
        </is>
      </c>
      <c r="C472" t="inlineStr">
        <is>
          <t>3. Adjacent occupational and wellbeing</t>
        </is>
      </c>
      <c r="D472" t="n">
        <v>2</v>
      </c>
      <c r="E472" t="inlineStr">
        <is>
          <t>How often are you physically exhausted?</t>
        </is>
      </c>
      <c r="F472" t="inlineStr">
        <is>
          <t>Personal burnout</t>
        </is>
      </c>
      <c r="G472" t="inlineStr">
        <is>
          <t>FALSE</t>
        </is>
      </c>
      <c r="H472" t="inlineStr">
        <is>
          <t>FALSE</t>
        </is>
      </c>
      <c r="I472" t="inlineStr">
        <is>
          <t>Always = 100 | Often = 75 | Sometimes = 50 | Seldom = 25 | Never/almost never = 0</t>
        </is>
      </c>
      <c r="J472" t="inlineStr">
        <is>
          <t>Frequency scale: Always (100), Often (75), Sometimes (50), Seldom (25), Never/almost never (0)</t>
        </is>
      </c>
      <c r="K472" t="inlineStr">
        <is>
          <t>https://nfa.dk/media/hl5nbers/cbi-first-edition.pdf</t>
        </is>
      </c>
    </row>
    <row r="473">
      <c r="A473" t="inlineStr">
        <is>
          <t>CBI</t>
        </is>
      </c>
      <c r="B473" t="inlineStr">
        <is>
          <t>Copenhagen Burnout Inventory</t>
        </is>
      </c>
      <c r="C473" t="inlineStr">
        <is>
          <t>3. Adjacent occupational and wellbeing</t>
        </is>
      </c>
      <c r="D473" t="n">
        <v>3</v>
      </c>
      <c r="E473" t="inlineStr">
        <is>
          <t>How often are you emotionally exhausted?</t>
        </is>
      </c>
      <c r="F473" t="inlineStr">
        <is>
          <t>Personal burnout</t>
        </is>
      </c>
      <c r="G473" t="inlineStr">
        <is>
          <t>FALSE</t>
        </is>
      </c>
      <c r="H473" t="inlineStr">
        <is>
          <t>FALSE</t>
        </is>
      </c>
      <c r="I473" t="inlineStr">
        <is>
          <t>Always = 100 | Often = 75 | Sometimes = 50 | Seldom = 25 | Never/almost never = 0</t>
        </is>
      </c>
      <c r="J473" t="inlineStr">
        <is>
          <t>Frequency scale: Always (100), Often (75), Sometimes (50), Seldom (25), Never/almost never (0)</t>
        </is>
      </c>
      <c r="K473" t="inlineStr">
        <is>
          <t>https://nfa.dk/media/hl5nbers/cbi-first-edition.pdf</t>
        </is>
      </c>
    </row>
    <row r="474">
      <c r="A474" t="inlineStr">
        <is>
          <t>CBI</t>
        </is>
      </c>
      <c r="B474" t="inlineStr">
        <is>
          <t>Copenhagen Burnout Inventory</t>
        </is>
      </c>
      <c r="C474" t="inlineStr">
        <is>
          <t>3. Adjacent occupational and wellbeing</t>
        </is>
      </c>
      <c r="D474" t="n">
        <v>4</v>
      </c>
      <c r="E474" t="inlineStr">
        <is>
          <t>How often do you think: ”I can’t take it anymore”?</t>
        </is>
      </c>
      <c r="F474" t="inlineStr">
        <is>
          <t>Personal burnout</t>
        </is>
      </c>
      <c r="G474" t="inlineStr">
        <is>
          <t>FALSE</t>
        </is>
      </c>
      <c r="H474" t="inlineStr">
        <is>
          <t>FALSE</t>
        </is>
      </c>
      <c r="I474" t="inlineStr">
        <is>
          <t>Always = 100 | Often = 75 | Sometimes = 50 | Seldom = 25 | Never/almost never = 0</t>
        </is>
      </c>
      <c r="J474" t="inlineStr">
        <is>
          <t>Frequency scale: Always (100), Often (75), Sometimes (50), Seldom (25), Never/almost never (0)</t>
        </is>
      </c>
      <c r="K474" t="inlineStr">
        <is>
          <t>https://nfa.dk/media/hl5nbers/cbi-first-edition.pdf</t>
        </is>
      </c>
    </row>
    <row r="475">
      <c r="A475" t="inlineStr">
        <is>
          <t>CBI</t>
        </is>
      </c>
      <c r="B475" t="inlineStr">
        <is>
          <t>Copenhagen Burnout Inventory</t>
        </is>
      </c>
      <c r="C475" t="inlineStr">
        <is>
          <t>3. Adjacent occupational and wellbeing</t>
        </is>
      </c>
      <c r="D475" t="n">
        <v>5</v>
      </c>
      <c r="E475" t="inlineStr">
        <is>
          <t>How often do you feel worn out?</t>
        </is>
      </c>
      <c r="F475" t="inlineStr">
        <is>
          <t>Personal burnout</t>
        </is>
      </c>
      <c r="G475" t="inlineStr">
        <is>
          <t>FALSE</t>
        </is>
      </c>
      <c r="H475" t="inlineStr">
        <is>
          <t>FALSE</t>
        </is>
      </c>
      <c r="I475" t="inlineStr">
        <is>
          <t>Always = 100 | Often = 75 | Sometimes = 50 | Seldom = 25 | Never/almost never = 0</t>
        </is>
      </c>
      <c r="J475" t="inlineStr">
        <is>
          <t>Frequency scale: Always (100), Often (75), Sometimes (50), Seldom (25), Never/almost never (0)</t>
        </is>
      </c>
      <c r="K475" t="inlineStr">
        <is>
          <t>https://nfa.dk/media/hl5nbers/cbi-first-edition.pdf</t>
        </is>
      </c>
    </row>
    <row r="476">
      <c r="A476" t="inlineStr">
        <is>
          <t>CBI</t>
        </is>
      </c>
      <c r="B476" t="inlineStr">
        <is>
          <t>Copenhagen Burnout Inventory</t>
        </is>
      </c>
      <c r="C476" t="inlineStr">
        <is>
          <t>3. Adjacent occupational and wellbeing</t>
        </is>
      </c>
      <c r="D476" t="n">
        <v>6</v>
      </c>
      <c r="E476" t="inlineStr">
        <is>
          <t>How often do you feel weak and susceptible to illness?</t>
        </is>
      </c>
      <c r="F476" t="inlineStr">
        <is>
          <t>Personal burnout</t>
        </is>
      </c>
      <c r="G476" t="inlineStr">
        <is>
          <t>FALSE</t>
        </is>
      </c>
      <c r="H476" t="inlineStr">
        <is>
          <t>FALSE</t>
        </is>
      </c>
      <c r="I476" t="inlineStr">
        <is>
          <t>Always = 100 | Often = 75 | Sometimes = 50 | Seldom = 25 | Never/almost never = 0</t>
        </is>
      </c>
      <c r="J476" t="inlineStr">
        <is>
          <t>Frequency scale: Always (100), Often (75), Sometimes (50), Seldom (25), Never/almost never (0)</t>
        </is>
      </c>
      <c r="K476" t="inlineStr">
        <is>
          <t>https://nfa.dk/media/hl5nbers/cbi-first-edition.pdf</t>
        </is>
      </c>
    </row>
    <row r="477">
      <c r="A477" t="inlineStr">
        <is>
          <t>CBI</t>
        </is>
      </c>
      <c r="B477" t="inlineStr">
        <is>
          <t>Copenhagen Burnout Inventory</t>
        </is>
      </c>
      <c r="C477" t="inlineStr">
        <is>
          <t>3. Adjacent occupational and wellbeing</t>
        </is>
      </c>
      <c r="D477" t="n">
        <v>7</v>
      </c>
      <c r="E477" t="inlineStr">
        <is>
          <t>Is your work emotionally exhausting?</t>
        </is>
      </c>
      <c r="F477" t="inlineStr">
        <is>
          <t>Work related burnout</t>
        </is>
      </c>
      <c r="G477" t="inlineStr">
        <is>
          <t>FALSE</t>
        </is>
      </c>
      <c r="H477" t="inlineStr">
        <is>
          <t>FALSE</t>
        </is>
      </c>
      <c r="I477" t="inlineStr">
        <is>
          <t>To a very high degree = 100 | To a high degree = 75 | Somewhat = 50 | To a low degree = 25 | To a very low degree = 0</t>
        </is>
      </c>
      <c r="J477" t="inlineStr">
        <is>
          <t>Degree scale: To a very high degree (100), To a high degree (75), Somewhat (50), To a low degree (25), To a very low degree (0)</t>
        </is>
      </c>
      <c r="K477" t="inlineStr">
        <is>
          <t>https://nfa.dk/media/hl5nbers/cbi-first-edition.pdf</t>
        </is>
      </c>
    </row>
    <row r="478">
      <c r="A478" t="inlineStr">
        <is>
          <t>CBI</t>
        </is>
      </c>
      <c r="B478" t="inlineStr">
        <is>
          <t>Copenhagen Burnout Inventory</t>
        </is>
      </c>
      <c r="C478" t="inlineStr">
        <is>
          <t>3. Adjacent occupational and wellbeing</t>
        </is>
      </c>
      <c r="D478" t="n">
        <v>8</v>
      </c>
      <c r="E478" t="inlineStr">
        <is>
          <t>Do you feel burnt out because of your work?</t>
        </is>
      </c>
      <c r="F478" t="inlineStr">
        <is>
          <t>Work related burnout</t>
        </is>
      </c>
      <c r="G478" t="inlineStr">
        <is>
          <t>FALSE</t>
        </is>
      </c>
      <c r="H478" t="inlineStr">
        <is>
          <t>FALSE</t>
        </is>
      </c>
      <c r="I478" t="inlineStr">
        <is>
          <t>To a very high degree = 100 | To a high degree = 75 | Somewhat = 50 | To a low degree = 25 | To a very low degree = 0</t>
        </is>
      </c>
      <c r="J478" t="inlineStr">
        <is>
          <t>Degree scale: To a very high degree (100), To a high degree (75), Somewhat (50), To a low degree (25), To a very low degree (0)</t>
        </is>
      </c>
      <c r="K478" t="inlineStr">
        <is>
          <t>https://nfa.dk/media/hl5nbers/cbi-first-edition.pdf</t>
        </is>
      </c>
    </row>
    <row r="479">
      <c r="A479" t="inlineStr">
        <is>
          <t>CBI</t>
        </is>
      </c>
      <c r="B479" t="inlineStr">
        <is>
          <t>Copenhagen Burnout Inventory</t>
        </is>
      </c>
      <c r="C479" t="inlineStr">
        <is>
          <t>3. Adjacent occupational and wellbeing</t>
        </is>
      </c>
      <c r="D479" t="n">
        <v>9</v>
      </c>
      <c r="E479" t="inlineStr">
        <is>
          <t>Does your work frustrate you?</t>
        </is>
      </c>
      <c r="F479" t="inlineStr">
        <is>
          <t>Work related burnout</t>
        </is>
      </c>
      <c r="G479" t="inlineStr">
        <is>
          <t>FALSE</t>
        </is>
      </c>
      <c r="H479" t="inlineStr">
        <is>
          <t>FALSE</t>
        </is>
      </c>
      <c r="I479" t="inlineStr">
        <is>
          <t>To a very high degree = 100 | To a high degree = 75 | Somewhat = 50 | To a low degree = 25 | To a very low degree = 0</t>
        </is>
      </c>
      <c r="J479" t="inlineStr">
        <is>
          <t>Degree scale: To a very high degree (100), To a high degree (75), Somewhat (50), To a low degree (25), To a very low degree (0)</t>
        </is>
      </c>
      <c r="K479" t="inlineStr">
        <is>
          <t>https://nfa.dk/media/hl5nbers/cbi-first-edition.pdf</t>
        </is>
      </c>
    </row>
    <row r="480">
      <c r="A480" t="inlineStr">
        <is>
          <t>CBI</t>
        </is>
      </c>
      <c r="B480" t="inlineStr">
        <is>
          <t>Copenhagen Burnout Inventory</t>
        </is>
      </c>
      <c r="C480" t="inlineStr">
        <is>
          <t>3. Adjacent occupational and wellbeing</t>
        </is>
      </c>
      <c r="D480" t="n">
        <v>10</v>
      </c>
      <c r="E480" t="inlineStr">
        <is>
          <t>Do you feel worn out at the end of the working day?</t>
        </is>
      </c>
      <c r="F480" t="inlineStr">
        <is>
          <t>Work related burnout</t>
        </is>
      </c>
      <c r="G480" t="inlineStr">
        <is>
          <t>FALSE</t>
        </is>
      </c>
      <c r="H480" t="inlineStr">
        <is>
          <t>FALSE</t>
        </is>
      </c>
      <c r="I480" t="inlineStr">
        <is>
          <t>Always = 100 | Often = 75 | Sometimes = 50 | Seldom = 25 | Never/almost never = 0</t>
        </is>
      </c>
      <c r="J480" t="inlineStr">
        <is>
          <t>Frequency scale: Always (100), Often (75), Sometimes (50), Seldom (25), Never/almost never (0)</t>
        </is>
      </c>
      <c r="K480" t="inlineStr">
        <is>
          <t>https://nfa.dk/media/hl5nbers/cbi-first-edition.pdf</t>
        </is>
      </c>
    </row>
    <row r="481">
      <c r="A481" t="inlineStr">
        <is>
          <t>CBI</t>
        </is>
      </c>
      <c r="B481" t="inlineStr">
        <is>
          <t>Copenhagen Burnout Inventory</t>
        </is>
      </c>
      <c r="C481" t="inlineStr">
        <is>
          <t>3. Adjacent occupational and wellbeing</t>
        </is>
      </c>
      <c r="D481" t="n">
        <v>11</v>
      </c>
      <c r="E481" t="inlineStr">
        <is>
          <t>Are you exhausted in the morning at the thought of another day at work?</t>
        </is>
      </c>
      <c r="F481" t="inlineStr">
        <is>
          <t>Work related burnout</t>
        </is>
      </c>
      <c r="G481" t="inlineStr">
        <is>
          <t>FALSE</t>
        </is>
      </c>
      <c r="H481" t="inlineStr">
        <is>
          <t>FALSE</t>
        </is>
      </c>
      <c r="I481" t="inlineStr">
        <is>
          <t>Always = 100 | Often = 75 | Sometimes = 50 | Seldom = 25 | Never/almost never = 0</t>
        </is>
      </c>
      <c r="J481" t="inlineStr">
        <is>
          <t>Frequency scale: Always (100), Often (75), Sometimes (50), Seldom (25), Never/almost never (0)</t>
        </is>
      </c>
      <c r="K481" t="inlineStr">
        <is>
          <t>https://nfa.dk/media/hl5nbers/cbi-first-edition.pdf</t>
        </is>
      </c>
    </row>
    <row r="482">
      <c r="A482" t="inlineStr">
        <is>
          <t>CBI</t>
        </is>
      </c>
      <c r="B482" t="inlineStr">
        <is>
          <t>Copenhagen Burnout Inventory</t>
        </is>
      </c>
      <c r="C482" t="inlineStr">
        <is>
          <t>3. Adjacent occupational and wellbeing</t>
        </is>
      </c>
      <c r="D482" t="n">
        <v>12</v>
      </c>
      <c r="E482" t="inlineStr">
        <is>
          <t>Do you feel that every working hour is tiring for you?</t>
        </is>
      </c>
      <c r="F482" t="inlineStr">
        <is>
          <t>Work related burnout</t>
        </is>
      </c>
      <c r="G482" t="inlineStr">
        <is>
          <t>FALSE</t>
        </is>
      </c>
      <c r="H482" t="inlineStr">
        <is>
          <t>FALSE</t>
        </is>
      </c>
      <c r="I482" t="inlineStr">
        <is>
          <t>Always = 100 | Often = 75 | Sometimes = 50 | Seldom = 25 | Never/almost never = 0</t>
        </is>
      </c>
      <c r="J482" t="inlineStr">
        <is>
          <t>Frequency scale: Always (100), Often (75), Sometimes (50), Seldom (25), Never/almost never (0)</t>
        </is>
      </c>
      <c r="K482" t="inlineStr">
        <is>
          <t>https://nfa.dk/media/hl5nbers/cbi-first-edition.pdf</t>
        </is>
      </c>
    </row>
    <row r="483">
      <c r="A483" t="inlineStr">
        <is>
          <t>CBI</t>
        </is>
      </c>
      <c r="B483" t="inlineStr">
        <is>
          <t>Copenhagen Burnout Inventory</t>
        </is>
      </c>
      <c r="C483" t="inlineStr">
        <is>
          <t>3. Adjacent occupational and wellbeing</t>
        </is>
      </c>
      <c r="D483" t="n">
        <v>13</v>
      </c>
      <c r="E483" t="inlineStr">
        <is>
          <t>Do you have enough energy for family and friends during leisure time?</t>
        </is>
      </c>
      <c r="F483" t="inlineStr">
        <is>
          <t>Work related burnout</t>
        </is>
      </c>
      <c r="G483" t="inlineStr">
        <is>
          <t>TRUE</t>
        </is>
      </c>
      <c r="H483" t="inlineStr">
        <is>
          <t>FALSE</t>
        </is>
      </c>
      <c r="I483" t="inlineStr">
        <is>
          <t>Always = 100 | Often = 75 | Sometimes = 50 | Seldom = 25 | Never/almost never = 0</t>
        </is>
      </c>
      <c r="J483" t="inlineStr">
        <is>
          <t>Frequency scale: Always (100), Often (75), Sometimes (50), Seldom (25), Never/almost never (0); reversed: Always (0) to Never/almost never (100)</t>
        </is>
      </c>
      <c r="K483" t="inlineStr">
        <is>
          <t>https://nfa.dk/media/hl5nbers/cbi-first-edition.pdf</t>
        </is>
      </c>
    </row>
    <row r="484">
      <c r="A484" t="inlineStr">
        <is>
          <t>CBI</t>
        </is>
      </c>
      <c r="B484" t="inlineStr">
        <is>
          <t>Copenhagen Burnout Inventory</t>
        </is>
      </c>
      <c r="C484" t="inlineStr">
        <is>
          <t>3. Adjacent occupational and wellbeing</t>
        </is>
      </c>
      <c r="D484" t="n">
        <v>14</v>
      </c>
      <c r="E484" t="inlineStr">
        <is>
          <t>Do you find it hard to work with clients?</t>
        </is>
      </c>
      <c r="F484" t="inlineStr">
        <is>
          <t>Client related burnout</t>
        </is>
      </c>
      <c r="G484" t="inlineStr">
        <is>
          <t>FALSE</t>
        </is>
      </c>
      <c r="H484" t="inlineStr">
        <is>
          <t>FALSE</t>
        </is>
      </c>
      <c r="I484" t="inlineStr">
        <is>
          <t>To a very high degree = 100 | To a high degree = 75 | Somewhat = 50 | To a low degree = 25 | To a very low degree = 0</t>
        </is>
      </c>
      <c r="J484" t="inlineStr">
        <is>
          <t>Degree scale: To a very high degree (100), To a high degree (75), Somewhat (50), To a low degree (25), To a very low degree (0)</t>
        </is>
      </c>
      <c r="K484" t="inlineStr">
        <is>
          <t>https://nfa.dk/media/hl5nbers/cbi-first-edition.pdf</t>
        </is>
      </c>
    </row>
    <row r="485">
      <c r="A485" t="inlineStr">
        <is>
          <t>CBI</t>
        </is>
      </c>
      <c r="B485" t="inlineStr">
        <is>
          <t>Copenhagen Burnout Inventory</t>
        </is>
      </c>
      <c r="C485" t="inlineStr">
        <is>
          <t>3. Adjacent occupational and wellbeing</t>
        </is>
      </c>
      <c r="D485" t="n">
        <v>15</v>
      </c>
      <c r="E485" t="inlineStr">
        <is>
          <t>Do you find it frustrating to work with clients?</t>
        </is>
      </c>
      <c r="F485" t="inlineStr">
        <is>
          <t>Client related burnout</t>
        </is>
      </c>
      <c r="G485" t="inlineStr">
        <is>
          <t>FALSE</t>
        </is>
      </c>
      <c r="H485" t="inlineStr">
        <is>
          <t>FALSE</t>
        </is>
      </c>
      <c r="I485" t="inlineStr">
        <is>
          <t>To a very high degree = 100 | To a high degree = 75 | Somewhat = 50 | To a low degree = 25 | To a very low degree = 0</t>
        </is>
      </c>
      <c r="J485" t="inlineStr">
        <is>
          <t>Degree scale: To a very high degree (100), To a high degree (75), Somewhat (50), To a low degree (25), To a very low degree (0)</t>
        </is>
      </c>
      <c r="K485" t="inlineStr">
        <is>
          <t>https://nfa.dk/media/hl5nbers/cbi-first-edition.pdf</t>
        </is>
      </c>
    </row>
    <row r="486">
      <c r="A486" t="inlineStr">
        <is>
          <t>CBI</t>
        </is>
      </c>
      <c r="B486" t="inlineStr">
        <is>
          <t>Copenhagen Burnout Inventory</t>
        </is>
      </c>
      <c r="C486" t="inlineStr">
        <is>
          <t>3. Adjacent occupational and wellbeing</t>
        </is>
      </c>
      <c r="D486" t="n">
        <v>16</v>
      </c>
      <c r="E486" t="inlineStr">
        <is>
          <t>Does it drain your energy to work with clients?</t>
        </is>
      </c>
      <c r="F486" t="inlineStr">
        <is>
          <t>Client related burnout</t>
        </is>
      </c>
      <c r="G486" t="inlineStr">
        <is>
          <t>FALSE</t>
        </is>
      </c>
      <c r="H486" t="inlineStr">
        <is>
          <t>FALSE</t>
        </is>
      </c>
      <c r="I486" t="inlineStr">
        <is>
          <t>To a very high degree = 100 | To a high degree = 75 | Somewhat = 50 | To a low degree = 25 | To a very low degree = 0</t>
        </is>
      </c>
      <c r="J486" t="inlineStr">
        <is>
          <t>Degree scale: To a very high degree (100), To a high degree (75), Somewhat (50), To a low degree (25), To a very low degree (0)</t>
        </is>
      </c>
      <c r="K486" t="inlineStr">
        <is>
          <t>https://nfa.dk/media/hl5nbers/cbi-first-edition.pdf</t>
        </is>
      </c>
    </row>
    <row r="487">
      <c r="A487" t="inlineStr">
        <is>
          <t>CBI</t>
        </is>
      </c>
      <c r="B487" t="inlineStr">
        <is>
          <t>Copenhagen Burnout Inventory</t>
        </is>
      </c>
      <c r="C487" t="inlineStr">
        <is>
          <t>3. Adjacent occupational and wellbeing</t>
        </is>
      </c>
      <c r="D487" t="n">
        <v>17</v>
      </c>
      <c r="E487" t="inlineStr">
        <is>
          <t>Do you feel that you give more than you get back when you work with clients?</t>
        </is>
      </c>
      <c r="F487" t="inlineStr">
        <is>
          <t>Client related burnout</t>
        </is>
      </c>
      <c r="G487" t="inlineStr">
        <is>
          <t>FALSE</t>
        </is>
      </c>
      <c r="H487" t="inlineStr">
        <is>
          <t>FALSE</t>
        </is>
      </c>
      <c r="I487" t="inlineStr">
        <is>
          <t>To a very high degree = 100 | To a high degree = 75 | Somewhat = 50 | To a low degree = 25 | To a very low degree = 0</t>
        </is>
      </c>
      <c r="J487" t="inlineStr">
        <is>
          <t>Degree scale: To a very high degree (100), To a high degree (75), Somewhat (50), To a low degree (25), To a very low degree (0)</t>
        </is>
      </c>
      <c r="K487" t="inlineStr">
        <is>
          <t>https://nfa.dk/media/hl5nbers/cbi-first-edition.pdf</t>
        </is>
      </c>
    </row>
    <row r="488">
      <c r="A488" t="inlineStr">
        <is>
          <t>CBI</t>
        </is>
      </c>
      <c r="B488" t="inlineStr">
        <is>
          <t>Copenhagen Burnout Inventory</t>
        </is>
      </c>
      <c r="C488" t="inlineStr">
        <is>
          <t>3. Adjacent occupational and wellbeing</t>
        </is>
      </c>
      <c r="D488" t="n">
        <v>18</v>
      </c>
      <c r="E488" t="inlineStr">
        <is>
          <t>Are you tired of working with clients?</t>
        </is>
      </c>
      <c r="F488" t="inlineStr">
        <is>
          <t>Client related burnout</t>
        </is>
      </c>
      <c r="G488" t="inlineStr">
        <is>
          <t>FALSE</t>
        </is>
      </c>
      <c r="H488" t="inlineStr">
        <is>
          <t>FALSE</t>
        </is>
      </c>
      <c r="I488" t="inlineStr">
        <is>
          <t>Always = 100 | Often = 75 | Sometimes = 50 | Seldom = 25 | Never/almost never = 0</t>
        </is>
      </c>
      <c r="J488" t="inlineStr">
        <is>
          <t>Frequency scale: Always (100), Often (75), Sometimes (50), Seldom (25), Never/almost never (0)</t>
        </is>
      </c>
      <c r="K488" t="inlineStr">
        <is>
          <t>https://nfa.dk/media/hl5nbers/cbi-first-edition.pdf</t>
        </is>
      </c>
    </row>
    <row r="489">
      <c r="A489" t="inlineStr">
        <is>
          <t>CBI</t>
        </is>
      </c>
      <c r="B489" t="inlineStr">
        <is>
          <t>Copenhagen Burnout Inventory</t>
        </is>
      </c>
      <c r="C489" t="inlineStr">
        <is>
          <t>3. Adjacent occupational and wellbeing</t>
        </is>
      </c>
      <c r="D489" t="n">
        <v>19</v>
      </c>
      <c r="E489" t="inlineStr">
        <is>
          <t>Do you sometimes wonder how long you will be able to continue working with clients?</t>
        </is>
      </c>
      <c r="F489" t="inlineStr">
        <is>
          <t>Client related burnout</t>
        </is>
      </c>
      <c r="G489" t="inlineStr">
        <is>
          <t>FALSE</t>
        </is>
      </c>
      <c r="H489" t="inlineStr">
        <is>
          <t>FALSE</t>
        </is>
      </c>
      <c r="I489" t="inlineStr">
        <is>
          <t>Always = 100 | Often = 75 | Sometimes = 50 | Seldom = 25 | Never/almost never = 0</t>
        </is>
      </c>
      <c r="J489" t="inlineStr">
        <is>
          <t>Frequency scale: Always (100), Often (75), Sometimes (50), Seldom (25), Never/almost never (0)</t>
        </is>
      </c>
      <c r="K489" t="inlineStr">
        <is>
          <t>https://nfa.dk/media/hl5nbers/cbi-first-edition.pdf</t>
        </is>
      </c>
    </row>
    <row r="490">
      <c r="A490" t="inlineStr">
        <is>
          <t>CES-D</t>
        </is>
      </c>
      <c r="B490" t="inlineStr">
        <is>
          <t>Center for Epidemiologic Studies Depression Scale</t>
        </is>
      </c>
      <c r="C490" t="inlineStr">
        <is>
          <t>4. Clinical and distress screening</t>
        </is>
      </c>
      <c r="D490" t="n">
        <v>1</v>
      </c>
      <c r="E490" t="inlineStr">
        <is>
          <t>I was bothered by things that usually don't bother me.</t>
        </is>
      </c>
      <c r="F490" t="inlineStr">
        <is>
          <t>Somatic and retarded activity</t>
        </is>
      </c>
      <c r="G490" t="inlineStr">
        <is>
          <t>FALSE</t>
        </is>
      </c>
      <c r="H490" t="inlineStr">
        <is>
          <t>FALSE</t>
        </is>
      </c>
      <c r="I490" t="inlineStr">
        <is>
          <t>Rarely or none of the time (less than 1 day) = 0 | Some or a little of the time (1-2 days) = 1 | Occasionally or a moderate amount of time (3-4 days) = 2 | Most or all of the time (5-7 days) = 3</t>
        </is>
      </c>
      <c r="K490" t="inlineStr">
        <is>
          <t>https://www.apa.org/depression-guideline/epidemiologic-studies-scale.pdf</t>
        </is>
      </c>
    </row>
    <row r="491">
      <c r="A491" t="inlineStr">
        <is>
          <t>CES-D</t>
        </is>
      </c>
      <c r="B491" t="inlineStr">
        <is>
          <t>Center for Epidemiologic Studies Depression Scale</t>
        </is>
      </c>
      <c r="C491" t="inlineStr">
        <is>
          <t>4. Clinical and distress screening</t>
        </is>
      </c>
      <c r="D491" t="n">
        <v>2</v>
      </c>
      <c r="E491" t="inlineStr">
        <is>
          <t>I did not feel like eating; my appetite was poor.</t>
        </is>
      </c>
      <c r="F491" t="inlineStr">
        <is>
          <t>Somatic and retarded activity</t>
        </is>
      </c>
      <c r="G491" t="inlineStr">
        <is>
          <t>FALSE</t>
        </is>
      </c>
      <c r="H491" t="inlineStr">
        <is>
          <t>FALSE</t>
        </is>
      </c>
      <c r="I491" t="inlineStr">
        <is>
          <t>Rarely or none of the time (less than 1 day) = 0 | Some or a little of the time (1-2 days) = 1 | Occasionally or a moderate amount of time (3-4 days) = 2 | Most or all of the time (5-7 days) = 3</t>
        </is>
      </c>
      <c r="K491" t="inlineStr">
        <is>
          <t>https://www.apa.org/depression-guideline/epidemiologic-studies-scale.pdf</t>
        </is>
      </c>
    </row>
    <row r="492">
      <c r="A492" t="inlineStr">
        <is>
          <t>CES-D</t>
        </is>
      </c>
      <c r="B492" t="inlineStr">
        <is>
          <t>Center for Epidemiologic Studies Depression Scale</t>
        </is>
      </c>
      <c r="C492" t="inlineStr">
        <is>
          <t>4. Clinical and distress screening</t>
        </is>
      </c>
      <c r="D492" t="n">
        <v>3</v>
      </c>
      <c r="E492" t="inlineStr">
        <is>
          <t>I felt that I could not shake off the blues even with help from my family or friends.</t>
        </is>
      </c>
      <c r="F492" t="inlineStr">
        <is>
          <t>Depressed affect</t>
        </is>
      </c>
      <c r="G492" t="inlineStr">
        <is>
          <t>FALSE</t>
        </is>
      </c>
      <c r="H492" t="inlineStr">
        <is>
          <t>FALSE</t>
        </is>
      </c>
      <c r="I492" t="inlineStr">
        <is>
          <t>Rarely or none of the time (less than 1 day) = 0 | Some or a little of the time (1-2 days) = 1 | Occasionally or a moderate amount of time (3-4 days) = 2 | Most or all of the time (5-7 days) = 3</t>
        </is>
      </c>
      <c r="K492" t="inlineStr">
        <is>
          <t>https://www.apa.org/depression-guideline/epidemiologic-studies-scale.pdf</t>
        </is>
      </c>
    </row>
    <row r="493">
      <c r="A493" t="inlineStr">
        <is>
          <t>CES-D</t>
        </is>
      </c>
      <c r="B493" t="inlineStr">
        <is>
          <t>Center for Epidemiologic Studies Depression Scale</t>
        </is>
      </c>
      <c r="C493" t="inlineStr">
        <is>
          <t>4. Clinical and distress screening</t>
        </is>
      </c>
      <c r="D493" t="n">
        <v>4</v>
      </c>
      <c r="E493" t="inlineStr">
        <is>
          <t>I felt I was just as good as other people.</t>
        </is>
      </c>
      <c r="F493" t="inlineStr">
        <is>
          <t>Positive affect</t>
        </is>
      </c>
      <c r="G493" t="inlineStr">
        <is>
          <t>TRUE</t>
        </is>
      </c>
      <c r="H493" t="inlineStr">
        <is>
          <t>FALSE</t>
        </is>
      </c>
      <c r="I493" t="inlineStr">
        <is>
          <t>Rarely or none of the time (less than 1 day) = 0 | Some or a little of the time (1-2 days) = 1 | Occasionally or a moderate amount of time (3-4 days) = 2 | Most or all of the time (5-7 days) = 3</t>
        </is>
      </c>
      <c r="J493" t="inlineStr">
        <is>
          <t>Positively worded; scoring reversed (3, 2, 1, 0)</t>
        </is>
      </c>
      <c r="K493" t="inlineStr">
        <is>
          <t>https://www.apa.org/depression-guideline/epidemiologic-studies-scale.pdf</t>
        </is>
      </c>
    </row>
    <row r="494">
      <c r="A494" t="inlineStr">
        <is>
          <t>CES-D</t>
        </is>
      </c>
      <c r="B494" t="inlineStr">
        <is>
          <t>Center for Epidemiologic Studies Depression Scale</t>
        </is>
      </c>
      <c r="C494" t="inlineStr">
        <is>
          <t>4. Clinical and distress screening</t>
        </is>
      </c>
      <c r="D494" t="n">
        <v>5</v>
      </c>
      <c r="E494" t="inlineStr">
        <is>
          <t>I had trouble keeping my mind on what I was doing.</t>
        </is>
      </c>
      <c r="F494" t="inlineStr">
        <is>
          <t>Somatic and retarded activity</t>
        </is>
      </c>
      <c r="G494" t="inlineStr">
        <is>
          <t>FALSE</t>
        </is>
      </c>
      <c r="H494" t="inlineStr">
        <is>
          <t>FALSE</t>
        </is>
      </c>
      <c r="I494" t="inlineStr">
        <is>
          <t>Rarely or none of the time (less than 1 day) = 0 | Some or a little of the time (1-2 days) = 1 | Occasionally or a moderate amount of time (3-4 days) = 2 | Most or all of the time (5-7 days) = 3</t>
        </is>
      </c>
      <c r="K494" t="inlineStr">
        <is>
          <t>https://www.apa.org/depression-guideline/epidemiologic-studies-scale.pdf</t>
        </is>
      </c>
    </row>
    <row r="495">
      <c r="A495" t="inlineStr">
        <is>
          <t>CES-D</t>
        </is>
      </c>
      <c r="B495" t="inlineStr">
        <is>
          <t>Center for Epidemiologic Studies Depression Scale</t>
        </is>
      </c>
      <c r="C495" t="inlineStr">
        <is>
          <t>4. Clinical and distress screening</t>
        </is>
      </c>
      <c r="D495" t="n">
        <v>6</v>
      </c>
      <c r="E495" t="inlineStr">
        <is>
          <t>I felt depressed.</t>
        </is>
      </c>
      <c r="F495" t="inlineStr">
        <is>
          <t>Depressed affect</t>
        </is>
      </c>
      <c r="G495" t="inlineStr">
        <is>
          <t>FALSE</t>
        </is>
      </c>
      <c r="H495" t="inlineStr">
        <is>
          <t>FALSE</t>
        </is>
      </c>
      <c r="I495" t="inlineStr">
        <is>
          <t>Rarely or none of the time (less than 1 day) = 0 | Some or a little of the time (1-2 days) = 1 | Occasionally or a moderate amount of time (3-4 days) = 2 | Most or all of the time (5-7 days) = 3</t>
        </is>
      </c>
      <c r="K495" t="inlineStr">
        <is>
          <t>https://www.apa.org/depression-guideline/epidemiologic-studies-scale.pdf</t>
        </is>
      </c>
    </row>
    <row r="496">
      <c r="A496" t="inlineStr">
        <is>
          <t>CES-D</t>
        </is>
      </c>
      <c r="B496" t="inlineStr">
        <is>
          <t>Center for Epidemiologic Studies Depression Scale</t>
        </is>
      </c>
      <c r="C496" t="inlineStr">
        <is>
          <t>4. Clinical and distress screening</t>
        </is>
      </c>
      <c r="D496" t="n">
        <v>7</v>
      </c>
      <c r="E496" t="inlineStr">
        <is>
          <t>I felt that everything I did was an effort.</t>
        </is>
      </c>
      <c r="F496" t="inlineStr">
        <is>
          <t>Somatic and retarded activity</t>
        </is>
      </c>
      <c r="G496" t="inlineStr">
        <is>
          <t>FALSE</t>
        </is>
      </c>
      <c r="H496" t="inlineStr">
        <is>
          <t>FALSE</t>
        </is>
      </c>
      <c r="I496" t="inlineStr">
        <is>
          <t>Rarely or none of the time (less than 1 day) = 0 | Some or a little of the time (1-2 days) = 1 | Occasionally or a moderate amount of time (3-4 days) = 2 | Most or all of the time (5-7 days) = 3</t>
        </is>
      </c>
      <c r="K496" t="inlineStr">
        <is>
          <t>https://www.apa.org/depression-guideline/epidemiologic-studies-scale.pdf</t>
        </is>
      </c>
    </row>
    <row r="497">
      <c r="A497" t="inlineStr">
        <is>
          <t>CES-D</t>
        </is>
      </c>
      <c r="B497" t="inlineStr">
        <is>
          <t>Center for Epidemiologic Studies Depression Scale</t>
        </is>
      </c>
      <c r="C497" t="inlineStr">
        <is>
          <t>4. Clinical and distress screening</t>
        </is>
      </c>
      <c r="D497" t="n">
        <v>8</v>
      </c>
      <c r="E497" t="inlineStr">
        <is>
          <t>I felt hopeful about the future.</t>
        </is>
      </c>
      <c r="F497" t="inlineStr">
        <is>
          <t>Positive affect</t>
        </is>
      </c>
      <c r="G497" t="inlineStr">
        <is>
          <t>TRUE</t>
        </is>
      </c>
      <c r="H497" t="inlineStr">
        <is>
          <t>FALSE</t>
        </is>
      </c>
      <c r="I497" t="inlineStr">
        <is>
          <t>Rarely or none of the time (less than 1 day) = 0 | Some or a little of the time (1-2 days) = 1 | Occasionally or a moderate amount of time (3-4 days) = 2 | Most or all of the time (5-7 days) = 3</t>
        </is>
      </c>
      <c r="J497" t="inlineStr">
        <is>
          <t>Positively worded; scoring reversed (3, 2, 1, 0)</t>
        </is>
      </c>
      <c r="K497" t="inlineStr">
        <is>
          <t>https://www.apa.org/depression-guideline/epidemiologic-studies-scale.pdf</t>
        </is>
      </c>
    </row>
    <row r="498">
      <c r="A498" t="inlineStr">
        <is>
          <t>CES-D</t>
        </is>
      </c>
      <c r="B498" t="inlineStr">
        <is>
          <t>Center for Epidemiologic Studies Depression Scale</t>
        </is>
      </c>
      <c r="C498" t="inlineStr">
        <is>
          <t>4. Clinical and distress screening</t>
        </is>
      </c>
      <c r="D498" t="n">
        <v>9</v>
      </c>
      <c r="E498" t="inlineStr">
        <is>
          <t>I thought my life had been a failure.</t>
        </is>
      </c>
      <c r="F498" t="inlineStr">
        <is>
          <t>Depressed affect</t>
        </is>
      </c>
      <c r="G498" t="inlineStr">
        <is>
          <t>FALSE</t>
        </is>
      </c>
      <c r="H498" t="inlineStr">
        <is>
          <t>FALSE</t>
        </is>
      </c>
      <c r="I498" t="inlineStr">
        <is>
          <t>Rarely or none of the time (less than 1 day) = 0 | Some or a little of the time (1-2 days) = 1 | Occasionally or a moderate amount of time (3-4 days) = 2 | Most or all of the time (5-7 days) = 3</t>
        </is>
      </c>
      <c r="K498" t="inlineStr">
        <is>
          <t>https://www.apa.org/depression-guideline/epidemiologic-studies-scale.pdf</t>
        </is>
      </c>
    </row>
    <row r="499">
      <c r="A499" t="inlineStr">
        <is>
          <t>CES-D</t>
        </is>
      </c>
      <c r="B499" t="inlineStr">
        <is>
          <t>Center for Epidemiologic Studies Depression Scale</t>
        </is>
      </c>
      <c r="C499" t="inlineStr">
        <is>
          <t>4. Clinical and distress screening</t>
        </is>
      </c>
      <c r="D499" t="n">
        <v>10</v>
      </c>
      <c r="E499" t="inlineStr">
        <is>
          <t>I felt fearful.</t>
        </is>
      </c>
      <c r="F499" t="inlineStr">
        <is>
          <t>Depressed affect</t>
        </is>
      </c>
      <c r="G499" t="inlineStr">
        <is>
          <t>FALSE</t>
        </is>
      </c>
      <c r="H499" t="inlineStr">
        <is>
          <t>FALSE</t>
        </is>
      </c>
      <c r="I499" t="inlineStr">
        <is>
          <t>Rarely or none of the time (less than 1 day) = 0 | Some or a little of the time (1-2 days) = 1 | Occasionally or a moderate amount of time (3-4 days) = 2 | Most or all of the time (5-7 days) = 3</t>
        </is>
      </c>
      <c r="K499" t="inlineStr">
        <is>
          <t>https://www.apa.org/depression-guideline/epidemiologic-studies-scale.pdf</t>
        </is>
      </c>
    </row>
    <row r="500">
      <c r="A500" t="inlineStr">
        <is>
          <t>CES-D</t>
        </is>
      </c>
      <c r="B500" t="inlineStr">
        <is>
          <t>Center for Epidemiologic Studies Depression Scale</t>
        </is>
      </c>
      <c r="C500" t="inlineStr">
        <is>
          <t>4. Clinical and distress screening</t>
        </is>
      </c>
      <c r="D500" t="n">
        <v>11</v>
      </c>
      <c r="E500" t="inlineStr">
        <is>
          <t>My sleep was restless.</t>
        </is>
      </c>
      <c r="F500" t="inlineStr">
        <is>
          <t>Somatic and retarded activity</t>
        </is>
      </c>
      <c r="G500" t="inlineStr">
        <is>
          <t>FALSE</t>
        </is>
      </c>
      <c r="H500" t="inlineStr">
        <is>
          <t>FALSE</t>
        </is>
      </c>
      <c r="I500" t="inlineStr">
        <is>
          <t>Rarely or none of the time (less than 1 day) = 0 | Some or a little of the time (1-2 days) = 1 | Occasionally or a moderate amount of time (3-4 days) = 2 | Most or all of the time (5-7 days) = 3</t>
        </is>
      </c>
      <c r="K500" t="inlineStr">
        <is>
          <t>https://www.apa.org/depression-guideline/epidemiologic-studies-scale.pdf</t>
        </is>
      </c>
    </row>
    <row r="501">
      <c r="A501" t="inlineStr">
        <is>
          <t>CES-D</t>
        </is>
      </c>
      <c r="B501" t="inlineStr">
        <is>
          <t>Center for Epidemiologic Studies Depression Scale</t>
        </is>
      </c>
      <c r="C501" t="inlineStr">
        <is>
          <t>4. Clinical and distress screening</t>
        </is>
      </c>
      <c r="D501" t="n">
        <v>12</v>
      </c>
      <c r="E501" t="inlineStr">
        <is>
          <t>I was happy.</t>
        </is>
      </c>
      <c r="F501" t="inlineStr">
        <is>
          <t>Positive affect</t>
        </is>
      </c>
      <c r="G501" t="inlineStr">
        <is>
          <t>TRUE</t>
        </is>
      </c>
      <c r="H501" t="inlineStr">
        <is>
          <t>FALSE</t>
        </is>
      </c>
      <c r="I501" t="inlineStr">
        <is>
          <t>Rarely or none of the time (less than 1 day) = 0 | Some or a little of the time (1-2 days) = 1 | Occasionally or a moderate amount of time (3-4 days) = 2 | Most or all of the time (5-7 days) = 3</t>
        </is>
      </c>
      <c r="J501" t="inlineStr">
        <is>
          <t>Positively worded; scoring reversed (3, 2, 1, 0)</t>
        </is>
      </c>
      <c r="K501" t="inlineStr">
        <is>
          <t>https://www.apa.org/depression-guideline/epidemiologic-studies-scale.pdf</t>
        </is>
      </c>
    </row>
    <row r="502">
      <c r="A502" t="inlineStr">
        <is>
          <t>CES-D</t>
        </is>
      </c>
      <c r="B502" t="inlineStr">
        <is>
          <t>Center for Epidemiologic Studies Depression Scale</t>
        </is>
      </c>
      <c r="C502" t="inlineStr">
        <is>
          <t>4. Clinical and distress screening</t>
        </is>
      </c>
      <c r="D502" t="n">
        <v>13</v>
      </c>
      <c r="E502" t="inlineStr">
        <is>
          <t>I talked less than usual.</t>
        </is>
      </c>
      <c r="F502" t="inlineStr">
        <is>
          <t>Somatic and retarded activity</t>
        </is>
      </c>
      <c r="G502" t="inlineStr">
        <is>
          <t>FALSE</t>
        </is>
      </c>
      <c r="H502" t="inlineStr">
        <is>
          <t>FALSE</t>
        </is>
      </c>
      <c r="I502" t="inlineStr">
        <is>
          <t>Rarely or none of the time (less than 1 day) = 0 | Some or a little of the time (1-2 days) = 1 | Occasionally or a moderate amount of time (3-4 days) = 2 | Most or all of the time (5-7 days) = 3</t>
        </is>
      </c>
      <c r="K502" t="inlineStr">
        <is>
          <t>https://www.apa.org/depression-guideline/epidemiologic-studies-scale.pdf</t>
        </is>
      </c>
    </row>
    <row r="503">
      <c r="A503" t="inlineStr">
        <is>
          <t>CES-D</t>
        </is>
      </c>
      <c r="B503" t="inlineStr">
        <is>
          <t>Center for Epidemiologic Studies Depression Scale</t>
        </is>
      </c>
      <c r="C503" t="inlineStr">
        <is>
          <t>4. Clinical and distress screening</t>
        </is>
      </c>
      <c r="D503" t="n">
        <v>14</v>
      </c>
      <c r="E503" t="inlineStr">
        <is>
          <t>I felt lonely.</t>
        </is>
      </c>
      <c r="F503" t="inlineStr">
        <is>
          <t>Depressed affect</t>
        </is>
      </c>
      <c r="G503" t="inlineStr">
        <is>
          <t>FALSE</t>
        </is>
      </c>
      <c r="H503" t="inlineStr">
        <is>
          <t>FALSE</t>
        </is>
      </c>
      <c r="I503" t="inlineStr">
        <is>
          <t>Rarely or none of the time (less than 1 day) = 0 | Some or a little of the time (1-2 days) = 1 | Occasionally or a moderate amount of time (3-4 days) = 2 | Most or all of the time (5-7 days) = 3</t>
        </is>
      </c>
      <c r="K503" t="inlineStr">
        <is>
          <t>https://www.apa.org/depression-guideline/epidemiologic-studies-scale.pdf</t>
        </is>
      </c>
    </row>
    <row r="504">
      <c r="A504" t="inlineStr">
        <is>
          <t>CES-D</t>
        </is>
      </c>
      <c r="B504" t="inlineStr">
        <is>
          <t>Center for Epidemiologic Studies Depression Scale</t>
        </is>
      </c>
      <c r="C504" t="inlineStr">
        <is>
          <t>4. Clinical and distress screening</t>
        </is>
      </c>
      <c r="D504" t="n">
        <v>15</v>
      </c>
      <c r="E504" t="inlineStr">
        <is>
          <t>People were unfriendly.</t>
        </is>
      </c>
      <c r="F504" t="inlineStr">
        <is>
          <t>Interpersonal</t>
        </is>
      </c>
      <c r="G504" t="inlineStr">
        <is>
          <t>FALSE</t>
        </is>
      </c>
      <c r="H504" t="inlineStr">
        <is>
          <t>FALSE</t>
        </is>
      </c>
      <c r="I504" t="inlineStr">
        <is>
          <t>Rarely or none of the time (less than 1 day) = 0 | Some or a little of the time (1-2 days) = 1 | Occasionally or a moderate amount of time (3-4 days) = 2 | Most or all of the time (5-7 days) = 3</t>
        </is>
      </c>
      <c r="K504" t="inlineStr">
        <is>
          <t>https://www.apa.org/depression-guideline/epidemiologic-studies-scale.pdf</t>
        </is>
      </c>
    </row>
    <row r="505">
      <c r="A505" t="inlineStr">
        <is>
          <t>CES-D</t>
        </is>
      </c>
      <c r="B505" t="inlineStr">
        <is>
          <t>Center for Epidemiologic Studies Depression Scale</t>
        </is>
      </c>
      <c r="C505" t="inlineStr">
        <is>
          <t>4. Clinical and distress screening</t>
        </is>
      </c>
      <c r="D505" t="n">
        <v>16</v>
      </c>
      <c r="E505" t="inlineStr">
        <is>
          <t>I enjoyed life.</t>
        </is>
      </c>
      <c r="F505" t="inlineStr">
        <is>
          <t>Positive affect</t>
        </is>
      </c>
      <c r="G505" t="inlineStr">
        <is>
          <t>TRUE</t>
        </is>
      </c>
      <c r="H505" t="inlineStr">
        <is>
          <t>FALSE</t>
        </is>
      </c>
      <c r="I505" t="inlineStr">
        <is>
          <t>Rarely or none of the time (less than 1 day) = 0 | Some or a little of the time (1-2 days) = 1 | Occasionally or a moderate amount of time (3-4 days) = 2 | Most or all of the time (5-7 days) = 3</t>
        </is>
      </c>
      <c r="J505" t="inlineStr">
        <is>
          <t>Positively worded; scoring reversed (3, 2, 1, 0)</t>
        </is>
      </c>
      <c r="K505" t="inlineStr">
        <is>
          <t>https://www.apa.org/depression-guideline/epidemiologic-studies-scale.pdf</t>
        </is>
      </c>
    </row>
    <row r="506">
      <c r="A506" t="inlineStr">
        <is>
          <t>CES-D</t>
        </is>
      </c>
      <c r="B506" t="inlineStr">
        <is>
          <t>Center for Epidemiologic Studies Depression Scale</t>
        </is>
      </c>
      <c r="C506" t="inlineStr">
        <is>
          <t>4. Clinical and distress screening</t>
        </is>
      </c>
      <c r="D506" t="n">
        <v>17</v>
      </c>
      <c r="E506" t="inlineStr">
        <is>
          <t>I had crying spells.</t>
        </is>
      </c>
      <c r="F506" t="inlineStr">
        <is>
          <t>Depressed affect</t>
        </is>
      </c>
      <c r="G506" t="inlineStr">
        <is>
          <t>FALSE</t>
        </is>
      </c>
      <c r="H506" t="inlineStr">
        <is>
          <t>FALSE</t>
        </is>
      </c>
      <c r="I506" t="inlineStr">
        <is>
          <t>Rarely or none of the time (less than 1 day) = 0 | Some or a little of the time (1-2 days) = 1 | Occasionally or a moderate amount of time (3-4 days) = 2 | Most or all of the time (5-7 days) = 3</t>
        </is>
      </c>
      <c r="K506" t="inlineStr">
        <is>
          <t>https://www.apa.org/depression-guideline/epidemiologic-studies-scale.pdf</t>
        </is>
      </c>
    </row>
    <row r="507">
      <c r="A507" t="inlineStr">
        <is>
          <t>CES-D</t>
        </is>
      </c>
      <c r="B507" t="inlineStr">
        <is>
          <t>Center for Epidemiologic Studies Depression Scale</t>
        </is>
      </c>
      <c r="C507" t="inlineStr">
        <is>
          <t>4. Clinical and distress screening</t>
        </is>
      </c>
      <c r="D507" t="n">
        <v>18</v>
      </c>
      <c r="E507" t="inlineStr">
        <is>
          <t>I felt sad.</t>
        </is>
      </c>
      <c r="F507" t="inlineStr">
        <is>
          <t>Depressed affect</t>
        </is>
      </c>
      <c r="G507" t="inlineStr">
        <is>
          <t>FALSE</t>
        </is>
      </c>
      <c r="H507" t="inlineStr">
        <is>
          <t>FALSE</t>
        </is>
      </c>
      <c r="I507" t="inlineStr">
        <is>
          <t>Rarely or none of the time (less than 1 day) = 0 | Some or a little of the time (1-2 days) = 1 | Occasionally or a moderate amount of time (3-4 days) = 2 | Most or all of the time (5-7 days) = 3</t>
        </is>
      </c>
      <c r="K507" t="inlineStr">
        <is>
          <t>https://www.apa.org/depression-guideline/epidemiologic-studies-scale.pdf</t>
        </is>
      </c>
    </row>
    <row r="508">
      <c r="A508" t="inlineStr">
        <is>
          <t>CES-D</t>
        </is>
      </c>
      <c r="B508" t="inlineStr">
        <is>
          <t>Center for Epidemiologic Studies Depression Scale</t>
        </is>
      </c>
      <c r="C508" t="inlineStr">
        <is>
          <t>4. Clinical and distress screening</t>
        </is>
      </c>
      <c r="D508" t="n">
        <v>19</v>
      </c>
      <c r="E508" t="inlineStr">
        <is>
          <t>I felt that people dislike me.</t>
        </is>
      </c>
      <c r="F508" t="inlineStr">
        <is>
          <t>Interpersonal</t>
        </is>
      </c>
      <c r="G508" t="inlineStr">
        <is>
          <t>FALSE</t>
        </is>
      </c>
      <c r="H508" t="inlineStr">
        <is>
          <t>FALSE</t>
        </is>
      </c>
      <c r="I508" t="inlineStr">
        <is>
          <t>Rarely or none of the time (less than 1 day) = 0 | Some or a little of the time (1-2 days) = 1 | Occasionally or a moderate amount of time (3-4 days) = 2 | Most or all of the time (5-7 days) = 3</t>
        </is>
      </c>
      <c r="K508" t="inlineStr">
        <is>
          <t>https://www.apa.org/depression-guideline/epidemiologic-studies-scale.pdf</t>
        </is>
      </c>
    </row>
    <row r="509">
      <c r="A509" t="inlineStr">
        <is>
          <t>CES-D</t>
        </is>
      </c>
      <c r="B509" t="inlineStr">
        <is>
          <t>Center for Epidemiologic Studies Depression Scale</t>
        </is>
      </c>
      <c r="C509" t="inlineStr">
        <is>
          <t>4. Clinical and distress screening</t>
        </is>
      </c>
      <c r="D509" t="n">
        <v>20</v>
      </c>
      <c r="E509" t="inlineStr">
        <is>
          <t>I could not get “going.”</t>
        </is>
      </c>
      <c r="F509" t="inlineStr">
        <is>
          <t>Somatic and retarded activity</t>
        </is>
      </c>
      <c r="G509" t="inlineStr">
        <is>
          <t>FALSE</t>
        </is>
      </c>
      <c r="H509" t="inlineStr">
        <is>
          <t>FALSE</t>
        </is>
      </c>
      <c r="I509" t="inlineStr">
        <is>
          <t>Rarely or none of the time (less than 1 day) = 0 | Some or a little of the time (1-2 days) = 1 | Occasionally or a moderate amount of time (3-4 days) = 2 | Most or all of the time (5-7 days) = 3</t>
        </is>
      </c>
      <c r="K509" t="inlineStr">
        <is>
          <t>https://www.apa.org/depression-guideline/epidemiologic-studies-scale.pdf</t>
        </is>
      </c>
    </row>
    <row r="510">
      <c r="A510" t="inlineStr">
        <is>
          <t>CFC-14</t>
        </is>
      </c>
      <c r="B510" t="inlineStr">
        <is>
          <t>Consideration of Future Consequences Scale, 14 item</t>
        </is>
      </c>
      <c r="C510" t="inlineStr">
        <is>
          <t>6. Motivation, self determination and goal pursuit</t>
        </is>
      </c>
      <c r="D510" t="n">
        <v>1</v>
      </c>
      <c r="E510" t="inlineStr">
        <is>
          <t>I consider how things might be in the future, and try to influence those things with my day-to-day behavior.</t>
        </is>
      </c>
      <c r="F510" t="inlineStr">
        <is>
          <t>CFC Future</t>
        </is>
      </c>
      <c r="G510" t="inlineStr">
        <is>
          <t>FALSE</t>
        </is>
      </c>
      <c r="H510" t="inlineStr">
        <is>
          <t>FALSE</t>
        </is>
      </c>
      <c r="I510" t="inlineStr">
        <is>
          <t>extremely uncharacteristic = 1 | 2 = 2 | 3 = 3 | 4 = 4 | 5 = 5 | 6 = 6 | extremely characteristic = 7</t>
        </is>
      </c>
      <c r="K510" t="inlineStr">
        <is>
          <t>https://digfir-published.macmillanusa.com/myers_pel_assess_your_strengths2/myers_ays_ch6a.html</t>
        </is>
      </c>
    </row>
    <row r="511">
      <c r="A511" t="inlineStr">
        <is>
          <t>CFC-14</t>
        </is>
      </c>
      <c r="B511" t="inlineStr">
        <is>
          <t>Consideration of Future Consequences Scale, 14 item</t>
        </is>
      </c>
      <c r="C511" t="inlineStr">
        <is>
          <t>6. Motivation, self determination and goal pursuit</t>
        </is>
      </c>
      <c r="D511" t="n">
        <v>2</v>
      </c>
      <c r="E511" t="inlineStr">
        <is>
          <t>Often I engage in a particular behavior in order to achieve outcomes that may not result for many years.</t>
        </is>
      </c>
      <c r="F511" t="inlineStr">
        <is>
          <t>CFC Future</t>
        </is>
      </c>
      <c r="G511" t="inlineStr">
        <is>
          <t>FALSE</t>
        </is>
      </c>
      <c r="H511" t="inlineStr">
        <is>
          <t>FALSE</t>
        </is>
      </c>
      <c r="I511" t="inlineStr">
        <is>
          <t>extremely uncharacteristic = 1 | 2 = 2 | 3 = 3 | 4 = 4 | 5 = 5 | 6 = 6 | extremely characteristic = 7</t>
        </is>
      </c>
      <c r="K511" t="inlineStr">
        <is>
          <t>https://digfir-published.macmillanusa.com/myers_pel_assess_your_strengths2/myers_ays_ch6a.html</t>
        </is>
      </c>
    </row>
    <row r="512">
      <c r="A512" t="inlineStr">
        <is>
          <t>CFC-14</t>
        </is>
      </c>
      <c r="B512" t="inlineStr">
        <is>
          <t>Consideration of Future Consequences Scale, 14 item</t>
        </is>
      </c>
      <c r="C512" t="inlineStr">
        <is>
          <t>6. Motivation, self determination and goal pursuit</t>
        </is>
      </c>
      <c r="D512" t="n">
        <v>3</v>
      </c>
      <c r="E512" t="inlineStr">
        <is>
          <t>I only act to satisfy immediate concerns, figuring the future will take care of itself.</t>
        </is>
      </c>
      <c r="F512" t="inlineStr">
        <is>
          <t>CFC Immediate</t>
        </is>
      </c>
      <c r="G512" t="inlineStr">
        <is>
          <t>FALSE</t>
        </is>
      </c>
      <c r="H512" t="inlineStr">
        <is>
          <t>FALSE</t>
        </is>
      </c>
      <c r="I512" t="inlineStr">
        <is>
          <t>extremely uncharacteristic = 1 | 2 = 2 | 3 = 3 | 4 = 4 | 5 = 5 | 6 = 6 | extremely characteristic = 7</t>
        </is>
      </c>
      <c r="J512" t="inlineStr">
        <is>
          <t>Reverse scored for the total; CFC-Immediate item</t>
        </is>
      </c>
      <c r="K512" t="inlineStr">
        <is>
          <t>https://digfir-published.macmillanusa.com/myers_pel_assess_your_strengths2/myers_ays_ch6a.html</t>
        </is>
      </c>
    </row>
    <row r="513">
      <c r="A513" t="inlineStr">
        <is>
          <t>CFC-14</t>
        </is>
      </c>
      <c r="B513" t="inlineStr">
        <is>
          <t>Consideration of Future Consequences Scale, 14 item</t>
        </is>
      </c>
      <c r="C513" t="inlineStr">
        <is>
          <t>6. Motivation, self determination and goal pursuit</t>
        </is>
      </c>
      <c r="D513" t="n">
        <v>4</v>
      </c>
      <c r="E513" t="inlineStr">
        <is>
          <t>My behavior is only influenced by the immediate (i.e., a matter of days or weeks) outcomes of my actions.</t>
        </is>
      </c>
      <c r="F513" t="inlineStr">
        <is>
          <t>CFC Immediate</t>
        </is>
      </c>
      <c r="G513" t="inlineStr">
        <is>
          <t>FALSE</t>
        </is>
      </c>
      <c r="H513" t="inlineStr">
        <is>
          <t>FALSE</t>
        </is>
      </c>
      <c r="I513" t="inlineStr">
        <is>
          <t>extremely uncharacteristic = 1 | 2 = 2 | 3 = 3 | 4 = 4 | 5 = 5 | 6 = 6 | extremely characteristic = 7</t>
        </is>
      </c>
      <c r="J513" t="inlineStr">
        <is>
          <t>Reverse scored for the total; CFC-Immediate item</t>
        </is>
      </c>
      <c r="K513" t="inlineStr">
        <is>
          <t>https://digfir-published.macmillanusa.com/myers_pel_assess_your_strengths2/myers_ays_ch6a.html</t>
        </is>
      </c>
    </row>
    <row r="514">
      <c r="A514" t="inlineStr">
        <is>
          <t>CFC-14</t>
        </is>
      </c>
      <c r="B514" t="inlineStr">
        <is>
          <t>Consideration of Future Consequences Scale, 14 item</t>
        </is>
      </c>
      <c r="C514" t="inlineStr">
        <is>
          <t>6. Motivation, self determination and goal pursuit</t>
        </is>
      </c>
      <c r="D514" t="n">
        <v>5</v>
      </c>
      <c r="E514" t="inlineStr">
        <is>
          <t>My convenience is a big factor in the decisions I make or the actions I take.</t>
        </is>
      </c>
      <c r="F514" t="inlineStr">
        <is>
          <t>CFC Immediate</t>
        </is>
      </c>
      <c r="G514" t="inlineStr">
        <is>
          <t>FALSE</t>
        </is>
      </c>
      <c r="H514" t="inlineStr">
        <is>
          <t>FALSE</t>
        </is>
      </c>
      <c r="I514" t="inlineStr">
        <is>
          <t>extremely uncharacteristic = 1 | 2 = 2 | 3 = 3 | 4 = 4 | 5 = 5 | 6 = 6 | extremely characteristic = 7</t>
        </is>
      </c>
      <c r="J514" t="inlineStr">
        <is>
          <t>Reverse scored for the total; CFC-Immediate item</t>
        </is>
      </c>
      <c r="K514" t="inlineStr">
        <is>
          <t>https://digfir-published.macmillanusa.com/myers_pel_assess_your_strengths2/myers_ays_ch6a.html</t>
        </is>
      </c>
    </row>
    <row r="515">
      <c r="A515" t="inlineStr">
        <is>
          <t>CFC-14</t>
        </is>
      </c>
      <c r="B515" t="inlineStr">
        <is>
          <t>Consideration of Future Consequences Scale, 14 item</t>
        </is>
      </c>
      <c r="C515" t="inlineStr">
        <is>
          <t>6. Motivation, self determination and goal pursuit</t>
        </is>
      </c>
      <c r="D515" t="n">
        <v>6</v>
      </c>
      <c r="E515" t="inlineStr">
        <is>
          <t>I am willing to sacrifice my immediate happiness or well-being in order to achieve future outcomes.</t>
        </is>
      </c>
      <c r="F515" t="inlineStr">
        <is>
          <t>CFC Future</t>
        </is>
      </c>
      <c r="G515" t="inlineStr">
        <is>
          <t>FALSE</t>
        </is>
      </c>
      <c r="H515" t="inlineStr">
        <is>
          <t>FALSE</t>
        </is>
      </c>
      <c r="I515" t="inlineStr">
        <is>
          <t>extremely uncharacteristic = 1 | 2 = 2 | 3 = 3 | 4 = 4 | 5 = 5 | 6 = 6 | extremely characteristic = 7</t>
        </is>
      </c>
      <c r="K515" t="inlineStr">
        <is>
          <t>https://digfir-published.macmillanusa.com/myers_pel_assess_your_strengths2/myers_ays_ch6a.html</t>
        </is>
      </c>
    </row>
    <row r="516">
      <c r="A516" t="inlineStr">
        <is>
          <t>CFC-14</t>
        </is>
      </c>
      <c r="B516" t="inlineStr">
        <is>
          <t>Consideration of Future Consequences Scale, 14 item</t>
        </is>
      </c>
      <c r="C516" t="inlineStr">
        <is>
          <t>6. Motivation, self determination and goal pursuit</t>
        </is>
      </c>
      <c r="D516" t="n">
        <v>7</v>
      </c>
      <c r="E516" t="inlineStr">
        <is>
          <t>I think it is important to take warnings about negative outcomes seriously even if the negative outcome will not occur for many years.</t>
        </is>
      </c>
      <c r="F516" t="inlineStr">
        <is>
          <t>CFC Future</t>
        </is>
      </c>
      <c r="G516" t="inlineStr">
        <is>
          <t>FALSE</t>
        </is>
      </c>
      <c r="H516" t="inlineStr">
        <is>
          <t>FALSE</t>
        </is>
      </c>
      <c r="I516" t="inlineStr">
        <is>
          <t>extremely uncharacteristic = 1 | 2 = 2 | 3 = 3 | 4 = 4 | 5 = 5 | 6 = 6 | extremely characteristic = 7</t>
        </is>
      </c>
      <c r="K516" t="inlineStr">
        <is>
          <t>https://digfir-published.macmillanusa.com/myers_pel_assess_your_strengths2/myers_ays_ch6a.html</t>
        </is>
      </c>
    </row>
    <row r="517">
      <c r="A517" t="inlineStr">
        <is>
          <t>CFC-14</t>
        </is>
      </c>
      <c r="B517" t="inlineStr">
        <is>
          <t>Consideration of Future Consequences Scale, 14 item</t>
        </is>
      </c>
      <c r="C517" t="inlineStr">
        <is>
          <t>6. Motivation, self determination and goal pursuit</t>
        </is>
      </c>
      <c r="D517" t="n">
        <v>8</v>
      </c>
      <c r="E517" t="inlineStr">
        <is>
          <t>I think it is more important to perform a behavior with important distant consequences than a behavior with less important immediate consequences.</t>
        </is>
      </c>
      <c r="F517" t="inlineStr">
        <is>
          <t>CFC Future</t>
        </is>
      </c>
      <c r="G517" t="inlineStr">
        <is>
          <t>FALSE</t>
        </is>
      </c>
      <c r="H517" t="inlineStr">
        <is>
          <t>FALSE</t>
        </is>
      </c>
      <c r="I517" t="inlineStr">
        <is>
          <t>extremely uncharacteristic = 1 | 2 = 2 | 3 = 3 | 4 = 4 | 5 = 5 | 6 = 6 | extremely characteristic = 7</t>
        </is>
      </c>
      <c r="K517" t="inlineStr">
        <is>
          <t>https://digfir-published.macmillanusa.com/myers_pel_assess_your_strengths2/myers_ays_ch6a.html</t>
        </is>
      </c>
    </row>
    <row r="518">
      <c r="A518" t="inlineStr">
        <is>
          <t>CFC-14</t>
        </is>
      </c>
      <c r="B518" t="inlineStr">
        <is>
          <t>Consideration of Future Consequences Scale, 14 item</t>
        </is>
      </c>
      <c r="C518" t="inlineStr">
        <is>
          <t>6. Motivation, self determination and goal pursuit</t>
        </is>
      </c>
      <c r="D518" t="n">
        <v>9</v>
      </c>
      <c r="E518" t="inlineStr">
        <is>
          <t>I generally ignore warnings about possible future problems because I think the problems will be resolved before they reach crisis level.</t>
        </is>
      </c>
      <c r="F518" t="inlineStr">
        <is>
          <t>CFC Immediate</t>
        </is>
      </c>
      <c r="G518" t="inlineStr">
        <is>
          <t>FALSE</t>
        </is>
      </c>
      <c r="H518" t="inlineStr">
        <is>
          <t>FALSE</t>
        </is>
      </c>
      <c r="I518" t="inlineStr">
        <is>
          <t>extremely uncharacteristic = 1 | 2 = 2 | 3 = 3 | 4 = 4 | 5 = 5 | 6 = 6 | extremely characteristic = 7</t>
        </is>
      </c>
      <c r="J518" t="inlineStr">
        <is>
          <t>Reverse scored for the total; CFC-Immediate item</t>
        </is>
      </c>
      <c r="K518" t="inlineStr">
        <is>
          <t>https://digfir-published.macmillanusa.com/myers_pel_assess_your_strengths2/myers_ays_ch6a.html</t>
        </is>
      </c>
    </row>
    <row r="519">
      <c r="A519" t="inlineStr">
        <is>
          <t>CFC-14</t>
        </is>
      </c>
      <c r="B519" t="inlineStr">
        <is>
          <t>Consideration of Future Consequences Scale, 14 item</t>
        </is>
      </c>
      <c r="C519" t="inlineStr">
        <is>
          <t>6. Motivation, self determination and goal pursuit</t>
        </is>
      </c>
      <c r="D519" t="n">
        <v>10</v>
      </c>
      <c r="E519" t="inlineStr">
        <is>
          <t>I think that sacrificing now is usually unnecessary since future outcomes can be dealt with at a later time.</t>
        </is>
      </c>
      <c r="F519" t="inlineStr">
        <is>
          <t>CFC Immediate</t>
        </is>
      </c>
      <c r="G519" t="inlineStr">
        <is>
          <t>FALSE</t>
        </is>
      </c>
      <c r="H519" t="inlineStr">
        <is>
          <t>FALSE</t>
        </is>
      </c>
      <c r="I519" t="inlineStr">
        <is>
          <t>extremely uncharacteristic = 1 | 2 = 2 | 3 = 3 | 4 = 4 | 5 = 5 | 6 = 6 | extremely characteristic = 7</t>
        </is>
      </c>
      <c r="J519" t="inlineStr">
        <is>
          <t>Reverse scored for the total; CFC-Immediate item</t>
        </is>
      </c>
      <c r="K519" t="inlineStr">
        <is>
          <t>https://digfir-published.macmillanusa.com/myers_pel_assess_your_strengths2/myers_ays_ch6a.html</t>
        </is>
      </c>
    </row>
    <row r="520">
      <c r="A520" t="inlineStr">
        <is>
          <t>CFC-14</t>
        </is>
      </c>
      <c r="B520" t="inlineStr">
        <is>
          <t>Consideration of Future Consequences Scale, 14 item</t>
        </is>
      </c>
      <c r="C520" t="inlineStr">
        <is>
          <t>6. Motivation, self determination and goal pursuit</t>
        </is>
      </c>
      <c r="D520" t="n">
        <v>11</v>
      </c>
      <c r="E520" t="inlineStr">
        <is>
          <t>I only act to satisfy immediate concerns, figuring that I will take care of future problems that may occur at a later date.</t>
        </is>
      </c>
      <c r="F520" t="inlineStr">
        <is>
          <t>CFC Immediate</t>
        </is>
      </c>
      <c r="G520" t="inlineStr">
        <is>
          <t>FALSE</t>
        </is>
      </c>
      <c r="H520" t="inlineStr">
        <is>
          <t>FALSE</t>
        </is>
      </c>
      <c r="I520" t="inlineStr">
        <is>
          <t>extremely uncharacteristic = 1 | 2 = 2 | 3 = 3 | 4 = 4 | 5 = 5 | 6 = 6 | extremely characteristic = 7</t>
        </is>
      </c>
      <c r="J520" t="inlineStr">
        <is>
          <t>Reverse scored for the total; CFC-Immediate item</t>
        </is>
      </c>
      <c r="K520" t="inlineStr">
        <is>
          <t>https://digfir-published.macmillanusa.com/myers_pel_assess_your_strengths2/myers_ays_ch6a.html</t>
        </is>
      </c>
    </row>
    <row r="521">
      <c r="A521" t="inlineStr">
        <is>
          <t>CFC-14</t>
        </is>
      </c>
      <c r="B521" t="inlineStr">
        <is>
          <t>Consideration of Future Consequences Scale, 14 item</t>
        </is>
      </c>
      <c r="C521" t="inlineStr">
        <is>
          <t>6. Motivation, self determination and goal pursuit</t>
        </is>
      </c>
      <c r="D521" t="n">
        <v>12</v>
      </c>
      <c r="E521" t="inlineStr">
        <is>
          <t>Since my day-to-day work has specific outcomes, it is more important to me than behavior that has distant outcomes.</t>
        </is>
      </c>
      <c r="F521" t="inlineStr">
        <is>
          <t>CFC Immediate</t>
        </is>
      </c>
      <c r="G521" t="inlineStr">
        <is>
          <t>FALSE</t>
        </is>
      </c>
      <c r="H521" t="inlineStr">
        <is>
          <t>FALSE</t>
        </is>
      </c>
      <c r="I521" t="inlineStr">
        <is>
          <t>extremely uncharacteristic = 1 | 2 = 2 | 3 = 3 | 4 = 4 | 5 = 5 | 6 = 6 | extremely characteristic = 7</t>
        </is>
      </c>
      <c r="J521" t="inlineStr">
        <is>
          <t>Reverse scored for the total; CFC-Immediate item</t>
        </is>
      </c>
      <c r="K521" t="inlineStr">
        <is>
          <t>https://digfir-published.macmillanusa.com/myers_pel_assess_your_strengths2/myers_ays_ch6a.html</t>
        </is>
      </c>
    </row>
    <row r="522">
      <c r="A522" t="inlineStr">
        <is>
          <t>CFC-14</t>
        </is>
      </c>
      <c r="B522" t="inlineStr">
        <is>
          <t>Consideration of Future Consequences Scale, 14 item</t>
        </is>
      </c>
      <c r="C522" t="inlineStr">
        <is>
          <t>6. Motivation, self determination and goal pursuit</t>
        </is>
      </c>
      <c r="D522" t="n">
        <v>13</v>
      </c>
      <c r="E522" t="inlineStr">
        <is>
          <t>When I make a decision, I think about how it might affect me in the future.</t>
        </is>
      </c>
      <c r="F522" t="inlineStr">
        <is>
          <t>CFC Future</t>
        </is>
      </c>
      <c r="G522" t="inlineStr">
        <is>
          <t>FALSE</t>
        </is>
      </c>
      <c r="H522" t="inlineStr">
        <is>
          <t>FALSE</t>
        </is>
      </c>
      <c r="I522" t="inlineStr">
        <is>
          <t>extremely uncharacteristic = 1 | 2 = 2 | 3 = 3 | 4 = 4 | 5 = 5 | 6 = 6 | extremely characteristic = 7</t>
        </is>
      </c>
      <c r="K522" t="inlineStr">
        <is>
          <t>https://digfir-published.macmillanusa.com/myers_pel_assess_your_strengths2/myers_ays_ch6a.html</t>
        </is>
      </c>
    </row>
    <row r="523">
      <c r="A523" t="inlineStr">
        <is>
          <t>CFC-14</t>
        </is>
      </c>
      <c r="B523" t="inlineStr">
        <is>
          <t>Consideration of Future Consequences Scale, 14 item</t>
        </is>
      </c>
      <c r="C523" t="inlineStr">
        <is>
          <t>6. Motivation, self determination and goal pursuit</t>
        </is>
      </c>
      <c r="D523" t="n">
        <v>14</v>
      </c>
      <c r="E523" t="inlineStr">
        <is>
          <t>My behavior is generally influenced by future consequences.</t>
        </is>
      </c>
      <c r="F523" t="inlineStr">
        <is>
          <t>CFC Future</t>
        </is>
      </c>
      <c r="G523" t="inlineStr">
        <is>
          <t>FALSE</t>
        </is>
      </c>
      <c r="H523" t="inlineStr">
        <is>
          <t>FALSE</t>
        </is>
      </c>
      <c r="I523" t="inlineStr">
        <is>
          <t>extremely uncharacteristic = 1 | 2 = 2 | 3 = 3 | 4 = 4 | 5 = 5 | 6 = 6 | extremely characteristic = 7</t>
        </is>
      </c>
      <c r="K523" t="inlineStr">
        <is>
          <t>https://digfir-published.macmillanusa.com/myers_pel_assess_your_strengths2/myers_ays_ch6a.html</t>
        </is>
      </c>
    </row>
    <row r="524">
      <c r="A524" t="inlineStr">
        <is>
          <t>CFQ</t>
        </is>
      </c>
      <c r="B524" t="inlineStr">
        <is>
          <t>Cognitive Failures Questionnaire</t>
        </is>
      </c>
      <c r="C524" t="inlineStr">
        <is>
          <t>1. Executive functioning and ADHD</t>
        </is>
      </c>
      <c r="D524" t="n">
        <v>1</v>
      </c>
      <c r="E524" t="inlineStr">
        <is>
          <t>Do you read something and find you haven’t been thinking about it and must read it again?</t>
        </is>
      </c>
      <c r="F524" t="inlineStr">
        <is>
          <t>Total</t>
        </is>
      </c>
      <c r="G524" t="inlineStr">
        <is>
          <t>FALSE</t>
        </is>
      </c>
      <c r="H524" t="inlineStr">
        <is>
          <t>FALSE</t>
        </is>
      </c>
      <c r="I524" t="inlineStr">
        <is>
          <t>Never = 0 | Very rarely = 1 | Occasionally = 2 | Quite often = 3 | Very often = 4</t>
        </is>
      </c>
      <c r="K524" t="inlineStr">
        <is>
          <t>https://www.psytoolkit.org/survey-library/cognitive-failures-cfq.html</t>
        </is>
      </c>
    </row>
    <row r="525">
      <c r="A525" t="inlineStr">
        <is>
          <t>CFQ</t>
        </is>
      </c>
      <c r="B525" t="inlineStr">
        <is>
          <t>Cognitive Failures Questionnaire</t>
        </is>
      </c>
      <c r="C525" t="inlineStr">
        <is>
          <t>1. Executive functioning and ADHD</t>
        </is>
      </c>
      <c r="D525" t="n">
        <v>2</v>
      </c>
      <c r="E525" t="inlineStr">
        <is>
          <t>Do you find you forget why you went from one part of the house to the other?</t>
        </is>
      </c>
      <c r="F525" t="inlineStr">
        <is>
          <t>Total</t>
        </is>
      </c>
      <c r="G525" t="inlineStr">
        <is>
          <t>FALSE</t>
        </is>
      </c>
      <c r="H525" t="inlineStr">
        <is>
          <t>FALSE</t>
        </is>
      </c>
      <c r="I525" t="inlineStr">
        <is>
          <t>Never = 0 | Very rarely = 1 | Occasionally = 2 | Quite often = 3 | Very often = 4</t>
        </is>
      </c>
      <c r="K525" t="inlineStr">
        <is>
          <t>https://www.psytoolkit.org/survey-library/cognitive-failures-cfq.html</t>
        </is>
      </c>
    </row>
    <row r="526">
      <c r="A526" t="inlineStr">
        <is>
          <t>CFQ</t>
        </is>
      </c>
      <c r="B526" t="inlineStr">
        <is>
          <t>Cognitive Failures Questionnaire</t>
        </is>
      </c>
      <c r="C526" t="inlineStr">
        <is>
          <t>1. Executive functioning and ADHD</t>
        </is>
      </c>
      <c r="D526" t="n">
        <v>3</v>
      </c>
      <c r="E526" t="inlineStr">
        <is>
          <t>Do you fail to notice signposts on the road?</t>
        </is>
      </c>
      <c r="F526" t="inlineStr">
        <is>
          <t>Total</t>
        </is>
      </c>
      <c r="G526" t="inlineStr">
        <is>
          <t>FALSE</t>
        </is>
      </c>
      <c r="H526" t="inlineStr">
        <is>
          <t>FALSE</t>
        </is>
      </c>
      <c r="I526" t="inlineStr">
        <is>
          <t>Never = 0 | Very rarely = 1 | Occasionally = 2 | Quite often = 3 | Very often = 4</t>
        </is>
      </c>
      <c r="K526" t="inlineStr">
        <is>
          <t>https://www.psytoolkit.org/survey-library/cognitive-failures-cfq.html</t>
        </is>
      </c>
    </row>
    <row r="527">
      <c r="A527" t="inlineStr">
        <is>
          <t>CFQ</t>
        </is>
      </c>
      <c r="B527" t="inlineStr">
        <is>
          <t>Cognitive Failures Questionnaire</t>
        </is>
      </c>
      <c r="C527" t="inlineStr">
        <is>
          <t>1. Executive functioning and ADHD</t>
        </is>
      </c>
      <c r="D527" t="n">
        <v>4</v>
      </c>
      <c r="E527" t="inlineStr">
        <is>
          <t>Do you find you confuse right and left when giving directions?</t>
        </is>
      </c>
      <c r="F527" t="inlineStr">
        <is>
          <t>Total</t>
        </is>
      </c>
      <c r="G527" t="inlineStr">
        <is>
          <t>FALSE</t>
        </is>
      </c>
      <c r="H527" t="inlineStr">
        <is>
          <t>FALSE</t>
        </is>
      </c>
      <c r="I527" t="inlineStr">
        <is>
          <t>Never = 0 | Very rarely = 1 | Occasionally = 2 | Quite often = 3 | Very often = 4</t>
        </is>
      </c>
      <c r="K527" t="inlineStr">
        <is>
          <t>https://www.psytoolkit.org/survey-library/cognitive-failures-cfq.html</t>
        </is>
      </c>
    </row>
    <row r="528">
      <c r="A528" t="inlineStr">
        <is>
          <t>CFQ</t>
        </is>
      </c>
      <c r="B528" t="inlineStr">
        <is>
          <t>Cognitive Failures Questionnaire</t>
        </is>
      </c>
      <c r="C528" t="inlineStr">
        <is>
          <t>1. Executive functioning and ADHD</t>
        </is>
      </c>
      <c r="D528" t="n">
        <v>5</v>
      </c>
      <c r="E528" t="inlineStr">
        <is>
          <t>Do you bump into people?</t>
        </is>
      </c>
      <c r="F528" t="inlineStr">
        <is>
          <t>Total</t>
        </is>
      </c>
      <c r="G528" t="inlineStr">
        <is>
          <t>FALSE</t>
        </is>
      </c>
      <c r="H528" t="inlineStr">
        <is>
          <t>FALSE</t>
        </is>
      </c>
      <c r="I528" t="inlineStr">
        <is>
          <t>Never = 0 | Very rarely = 1 | Occasionally = 2 | Quite often = 3 | Very often = 4</t>
        </is>
      </c>
      <c r="K528" t="inlineStr">
        <is>
          <t>https://www.psytoolkit.org/survey-library/cognitive-failures-cfq.html</t>
        </is>
      </c>
    </row>
    <row r="529">
      <c r="A529" t="inlineStr">
        <is>
          <t>CFQ</t>
        </is>
      </c>
      <c r="B529" t="inlineStr">
        <is>
          <t>Cognitive Failures Questionnaire</t>
        </is>
      </c>
      <c r="C529" t="inlineStr">
        <is>
          <t>1. Executive functioning and ADHD</t>
        </is>
      </c>
      <c r="D529" t="n">
        <v>6</v>
      </c>
      <c r="E529" t="inlineStr">
        <is>
          <t>Do you find you forget whether you’ve turned off a light or a fire or locked the door?</t>
        </is>
      </c>
      <c r="F529" t="inlineStr">
        <is>
          <t>Total</t>
        </is>
      </c>
      <c r="G529" t="inlineStr">
        <is>
          <t>FALSE</t>
        </is>
      </c>
      <c r="H529" t="inlineStr">
        <is>
          <t>FALSE</t>
        </is>
      </c>
      <c r="I529" t="inlineStr">
        <is>
          <t>Never = 0 | Very rarely = 1 | Occasionally = 2 | Quite often = 3 | Very often = 4</t>
        </is>
      </c>
      <c r="K529" t="inlineStr">
        <is>
          <t>https://www.psytoolkit.org/survey-library/cognitive-failures-cfq.html</t>
        </is>
      </c>
    </row>
    <row r="530">
      <c r="A530" t="inlineStr">
        <is>
          <t>CFQ</t>
        </is>
      </c>
      <c r="B530" t="inlineStr">
        <is>
          <t>Cognitive Failures Questionnaire</t>
        </is>
      </c>
      <c r="C530" t="inlineStr">
        <is>
          <t>1. Executive functioning and ADHD</t>
        </is>
      </c>
      <c r="D530" t="n">
        <v>7</v>
      </c>
      <c r="E530" t="inlineStr">
        <is>
          <t>Do you fail to listen to people’s names when you are meeting them?</t>
        </is>
      </c>
      <c r="F530" t="inlineStr">
        <is>
          <t>Total</t>
        </is>
      </c>
      <c r="G530" t="inlineStr">
        <is>
          <t>FALSE</t>
        </is>
      </c>
      <c r="H530" t="inlineStr">
        <is>
          <t>FALSE</t>
        </is>
      </c>
      <c r="I530" t="inlineStr">
        <is>
          <t>Never = 0 | Very rarely = 1 | Occasionally = 2 | Quite often = 3 | Very often = 4</t>
        </is>
      </c>
      <c r="K530" t="inlineStr">
        <is>
          <t>https://www.psytoolkit.org/survey-library/cognitive-failures-cfq.html</t>
        </is>
      </c>
    </row>
    <row r="531">
      <c r="A531" t="inlineStr">
        <is>
          <t>CFQ</t>
        </is>
      </c>
      <c r="B531" t="inlineStr">
        <is>
          <t>Cognitive Failures Questionnaire</t>
        </is>
      </c>
      <c r="C531" t="inlineStr">
        <is>
          <t>1. Executive functioning and ADHD</t>
        </is>
      </c>
      <c r="D531" t="n">
        <v>8</v>
      </c>
      <c r="E531" t="inlineStr">
        <is>
          <t>Do you say something and realize afterwards that it might be taken as insulting?</t>
        </is>
      </c>
      <c r="F531" t="inlineStr">
        <is>
          <t>Total</t>
        </is>
      </c>
      <c r="G531" t="inlineStr">
        <is>
          <t>FALSE</t>
        </is>
      </c>
      <c r="H531" t="inlineStr">
        <is>
          <t>FALSE</t>
        </is>
      </c>
      <c r="I531" t="inlineStr">
        <is>
          <t>Never = 0 | Very rarely = 1 | Occasionally = 2 | Quite often = 3 | Very often = 4</t>
        </is>
      </c>
      <c r="K531" t="inlineStr">
        <is>
          <t>https://www.psytoolkit.org/survey-library/cognitive-failures-cfq.html</t>
        </is>
      </c>
    </row>
    <row r="532">
      <c r="A532" t="inlineStr">
        <is>
          <t>CFQ</t>
        </is>
      </c>
      <c r="B532" t="inlineStr">
        <is>
          <t>Cognitive Failures Questionnaire</t>
        </is>
      </c>
      <c r="C532" t="inlineStr">
        <is>
          <t>1. Executive functioning and ADHD</t>
        </is>
      </c>
      <c r="D532" t="n">
        <v>9</v>
      </c>
      <c r="E532" t="inlineStr">
        <is>
          <t>Do you fail to hear people speaking to you when you are doing something else?</t>
        </is>
      </c>
      <c r="F532" t="inlineStr">
        <is>
          <t>Total</t>
        </is>
      </c>
      <c r="G532" t="inlineStr">
        <is>
          <t>FALSE</t>
        </is>
      </c>
      <c r="H532" t="inlineStr">
        <is>
          <t>FALSE</t>
        </is>
      </c>
      <c r="I532" t="inlineStr">
        <is>
          <t>Never = 0 | Very rarely = 1 | Occasionally = 2 | Quite often = 3 | Very often = 4</t>
        </is>
      </c>
      <c r="K532" t="inlineStr">
        <is>
          <t>https://www.psytoolkit.org/survey-library/cognitive-failures-cfq.html</t>
        </is>
      </c>
    </row>
    <row r="533">
      <c r="A533" t="inlineStr">
        <is>
          <t>CFQ</t>
        </is>
      </c>
      <c r="B533" t="inlineStr">
        <is>
          <t>Cognitive Failures Questionnaire</t>
        </is>
      </c>
      <c r="C533" t="inlineStr">
        <is>
          <t>1. Executive functioning and ADHD</t>
        </is>
      </c>
      <c r="D533" t="n">
        <v>10</v>
      </c>
      <c r="E533" t="inlineStr">
        <is>
          <t>Do you lose your temper and regret it?</t>
        </is>
      </c>
      <c r="F533" t="inlineStr">
        <is>
          <t>Total</t>
        </is>
      </c>
      <c r="G533" t="inlineStr">
        <is>
          <t>FALSE</t>
        </is>
      </c>
      <c r="H533" t="inlineStr">
        <is>
          <t>FALSE</t>
        </is>
      </c>
      <c r="I533" t="inlineStr">
        <is>
          <t>Never = 0 | Very rarely = 1 | Occasionally = 2 | Quite often = 3 | Very often = 4</t>
        </is>
      </c>
      <c r="K533" t="inlineStr">
        <is>
          <t>https://www.psytoolkit.org/survey-library/cognitive-failures-cfq.html</t>
        </is>
      </c>
    </row>
    <row r="534">
      <c r="A534" t="inlineStr">
        <is>
          <t>CFQ</t>
        </is>
      </c>
      <c r="B534" t="inlineStr">
        <is>
          <t>Cognitive Failures Questionnaire</t>
        </is>
      </c>
      <c r="C534" t="inlineStr">
        <is>
          <t>1. Executive functioning and ADHD</t>
        </is>
      </c>
      <c r="D534" t="n">
        <v>11</v>
      </c>
      <c r="E534" t="inlineStr">
        <is>
          <t>Do you leave important letters unanswered for days?</t>
        </is>
      </c>
      <c r="F534" t="inlineStr">
        <is>
          <t>Total</t>
        </is>
      </c>
      <c r="G534" t="inlineStr">
        <is>
          <t>FALSE</t>
        </is>
      </c>
      <c r="H534" t="inlineStr">
        <is>
          <t>FALSE</t>
        </is>
      </c>
      <c r="I534" t="inlineStr">
        <is>
          <t>Never = 0 | Very rarely = 1 | Occasionally = 2 | Quite often = 3 | Very often = 4</t>
        </is>
      </c>
      <c r="K534" t="inlineStr">
        <is>
          <t>https://www.psytoolkit.org/survey-library/cognitive-failures-cfq.html</t>
        </is>
      </c>
    </row>
    <row r="535">
      <c r="A535" t="inlineStr">
        <is>
          <t>CFQ</t>
        </is>
      </c>
      <c r="B535" t="inlineStr">
        <is>
          <t>Cognitive Failures Questionnaire</t>
        </is>
      </c>
      <c r="C535" t="inlineStr">
        <is>
          <t>1. Executive functioning and ADHD</t>
        </is>
      </c>
      <c r="D535" t="n">
        <v>12</v>
      </c>
      <c r="E535" t="inlineStr">
        <is>
          <t>Do you find you forget which way to turn on a road you know well but rarely use?</t>
        </is>
      </c>
      <c r="F535" t="inlineStr">
        <is>
          <t>Total</t>
        </is>
      </c>
      <c r="G535" t="inlineStr">
        <is>
          <t>FALSE</t>
        </is>
      </c>
      <c r="H535" t="inlineStr">
        <is>
          <t>FALSE</t>
        </is>
      </c>
      <c r="I535" t="inlineStr">
        <is>
          <t>Never = 0 | Very rarely = 1 | Occasionally = 2 | Quite often = 3 | Very often = 4</t>
        </is>
      </c>
      <c r="K535" t="inlineStr">
        <is>
          <t>https://www.psytoolkit.org/survey-library/cognitive-failures-cfq.html</t>
        </is>
      </c>
    </row>
    <row r="536">
      <c r="A536" t="inlineStr">
        <is>
          <t>CFQ</t>
        </is>
      </c>
      <c r="B536" t="inlineStr">
        <is>
          <t>Cognitive Failures Questionnaire</t>
        </is>
      </c>
      <c r="C536" t="inlineStr">
        <is>
          <t>1. Executive functioning and ADHD</t>
        </is>
      </c>
      <c r="D536" t="n">
        <v>13</v>
      </c>
      <c r="E536" t="inlineStr">
        <is>
          <t>Do you fail to see what you want in a supermarket (although it’s there)?</t>
        </is>
      </c>
      <c r="F536" t="inlineStr">
        <is>
          <t>Total</t>
        </is>
      </c>
      <c r="G536" t="inlineStr">
        <is>
          <t>FALSE</t>
        </is>
      </c>
      <c r="H536" t="inlineStr">
        <is>
          <t>FALSE</t>
        </is>
      </c>
      <c r="I536" t="inlineStr">
        <is>
          <t>Never = 0 | Very rarely = 1 | Occasionally = 2 | Quite often = 3 | Very often = 4</t>
        </is>
      </c>
      <c r="K536" t="inlineStr">
        <is>
          <t>https://www.psytoolkit.org/survey-library/cognitive-failures-cfq.html</t>
        </is>
      </c>
    </row>
    <row r="537">
      <c r="A537" t="inlineStr">
        <is>
          <t>CFQ</t>
        </is>
      </c>
      <c r="B537" t="inlineStr">
        <is>
          <t>Cognitive Failures Questionnaire</t>
        </is>
      </c>
      <c r="C537" t="inlineStr">
        <is>
          <t>1. Executive functioning and ADHD</t>
        </is>
      </c>
      <c r="D537" t="n">
        <v>14</v>
      </c>
      <c r="E537" t="inlineStr">
        <is>
          <t>Do you find yourself suddenly wondering whether you’ve used a word correctly?</t>
        </is>
      </c>
      <c r="F537" t="inlineStr">
        <is>
          <t>Total</t>
        </is>
      </c>
      <c r="G537" t="inlineStr">
        <is>
          <t>FALSE</t>
        </is>
      </c>
      <c r="H537" t="inlineStr">
        <is>
          <t>FALSE</t>
        </is>
      </c>
      <c r="I537" t="inlineStr">
        <is>
          <t>Never = 0 | Very rarely = 1 | Occasionally = 2 | Quite often = 3 | Very often = 4</t>
        </is>
      </c>
      <c r="K537" t="inlineStr">
        <is>
          <t>https://www.psytoolkit.org/survey-library/cognitive-failures-cfq.html</t>
        </is>
      </c>
    </row>
    <row r="538">
      <c r="A538" t="inlineStr">
        <is>
          <t>CFQ</t>
        </is>
      </c>
      <c r="B538" t="inlineStr">
        <is>
          <t>Cognitive Failures Questionnaire</t>
        </is>
      </c>
      <c r="C538" t="inlineStr">
        <is>
          <t>1. Executive functioning and ADHD</t>
        </is>
      </c>
      <c r="D538" t="n">
        <v>15</v>
      </c>
      <c r="E538" t="inlineStr">
        <is>
          <t>Do you have trouble making up your mind?</t>
        </is>
      </c>
      <c r="F538" t="inlineStr">
        <is>
          <t>Total</t>
        </is>
      </c>
      <c r="G538" t="inlineStr">
        <is>
          <t>FALSE</t>
        </is>
      </c>
      <c r="H538" t="inlineStr">
        <is>
          <t>FALSE</t>
        </is>
      </c>
      <c r="I538" t="inlineStr">
        <is>
          <t>Never = 0 | Very rarely = 1 | Occasionally = 2 | Quite often = 3 | Very often = 4</t>
        </is>
      </c>
      <c r="K538" t="inlineStr">
        <is>
          <t>https://www.psytoolkit.org/survey-library/cognitive-failures-cfq.html</t>
        </is>
      </c>
    </row>
    <row r="539">
      <c r="A539" t="inlineStr">
        <is>
          <t>CFQ</t>
        </is>
      </c>
      <c r="B539" t="inlineStr">
        <is>
          <t>Cognitive Failures Questionnaire</t>
        </is>
      </c>
      <c r="C539" t="inlineStr">
        <is>
          <t>1. Executive functioning and ADHD</t>
        </is>
      </c>
      <c r="D539" t="n">
        <v>16</v>
      </c>
      <c r="E539" t="inlineStr">
        <is>
          <t>Do you find you forget appointments?</t>
        </is>
      </c>
      <c r="F539" t="inlineStr">
        <is>
          <t>Total</t>
        </is>
      </c>
      <c r="G539" t="inlineStr">
        <is>
          <t>FALSE</t>
        </is>
      </c>
      <c r="H539" t="inlineStr">
        <is>
          <t>FALSE</t>
        </is>
      </c>
      <c r="I539" t="inlineStr">
        <is>
          <t>Never = 0 | Very rarely = 1 | Occasionally = 2 | Quite often = 3 | Very often = 4</t>
        </is>
      </c>
      <c r="K539" t="inlineStr">
        <is>
          <t>https://www.psytoolkit.org/survey-library/cognitive-failures-cfq.html</t>
        </is>
      </c>
    </row>
    <row r="540">
      <c r="A540" t="inlineStr">
        <is>
          <t>CFQ</t>
        </is>
      </c>
      <c r="B540" t="inlineStr">
        <is>
          <t>Cognitive Failures Questionnaire</t>
        </is>
      </c>
      <c r="C540" t="inlineStr">
        <is>
          <t>1. Executive functioning and ADHD</t>
        </is>
      </c>
      <c r="D540" t="n">
        <v>17</v>
      </c>
      <c r="E540" t="inlineStr">
        <is>
          <t>Do you forget where you put something like a newspaper or a book?</t>
        </is>
      </c>
      <c r="F540" t="inlineStr">
        <is>
          <t>Total</t>
        </is>
      </c>
      <c r="G540" t="inlineStr">
        <is>
          <t>FALSE</t>
        </is>
      </c>
      <c r="H540" t="inlineStr">
        <is>
          <t>FALSE</t>
        </is>
      </c>
      <c r="I540" t="inlineStr">
        <is>
          <t>Never = 0 | Very rarely = 1 | Occasionally = 2 | Quite often = 3 | Very often = 4</t>
        </is>
      </c>
      <c r="K540" t="inlineStr">
        <is>
          <t>https://www.psytoolkit.org/survey-library/cognitive-failures-cfq.html</t>
        </is>
      </c>
    </row>
    <row r="541">
      <c r="A541" t="inlineStr">
        <is>
          <t>CFQ</t>
        </is>
      </c>
      <c r="B541" t="inlineStr">
        <is>
          <t>Cognitive Failures Questionnaire</t>
        </is>
      </c>
      <c r="C541" t="inlineStr">
        <is>
          <t>1. Executive functioning and ADHD</t>
        </is>
      </c>
      <c r="D541" t="n">
        <v>18</v>
      </c>
      <c r="E541" t="inlineStr">
        <is>
          <t>Do you find you accidentally throw away the thing you want and keep what you meant to throw away – as in the example of throwing away the matchbox and putting the used match in your pocket?</t>
        </is>
      </c>
      <c r="F541" t="inlineStr">
        <is>
          <t>Total</t>
        </is>
      </c>
      <c r="G541" t="inlineStr">
        <is>
          <t>FALSE</t>
        </is>
      </c>
      <c r="H541" t="inlineStr">
        <is>
          <t>FALSE</t>
        </is>
      </c>
      <c r="I541" t="inlineStr">
        <is>
          <t>Never = 0 | Very rarely = 1 | Occasionally = 2 | Quite often = 3 | Very often = 4</t>
        </is>
      </c>
      <c r="K541" t="inlineStr">
        <is>
          <t>https://www.psytoolkit.org/survey-library/cognitive-failures-cfq.html</t>
        </is>
      </c>
    </row>
    <row r="542">
      <c r="A542" t="inlineStr">
        <is>
          <t>CFQ</t>
        </is>
      </c>
      <c r="B542" t="inlineStr">
        <is>
          <t>Cognitive Failures Questionnaire</t>
        </is>
      </c>
      <c r="C542" t="inlineStr">
        <is>
          <t>1. Executive functioning and ADHD</t>
        </is>
      </c>
      <c r="D542" t="n">
        <v>19</v>
      </c>
      <c r="E542" t="inlineStr">
        <is>
          <t>Do you daydream when you ought to be listening to something?</t>
        </is>
      </c>
      <c r="F542" t="inlineStr">
        <is>
          <t>Total</t>
        </is>
      </c>
      <c r="G542" t="inlineStr">
        <is>
          <t>FALSE</t>
        </is>
      </c>
      <c r="H542" t="inlineStr">
        <is>
          <t>FALSE</t>
        </is>
      </c>
      <c r="I542" t="inlineStr">
        <is>
          <t>Never = 0 | Very rarely = 1 | Occasionally = 2 | Quite often = 3 | Very often = 4</t>
        </is>
      </c>
      <c r="K542" t="inlineStr">
        <is>
          <t>https://www.psytoolkit.org/survey-library/cognitive-failures-cfq.html</t>
        </is>
      </c>
    </row>
    <row r="543">
      <c r="A543" t="inlineStr">
        <is>
          <t>CFQ</t>
        </is>
      </c>
      <c r="B543" t="inlineStr">
        <is>
          <t>Cognitive Failures Questionnaire</t>
        </is>
      </c>
      <c r="C543" t="inlineStr">
        <is>
          <t>1. Executive functioning and ADHD</t>
        </is>
      </c>
      <c r="D543" t="n">
        <v>20</v>
      </c>
      <c r="E543" t="inlineStr">
        <is>
          <t>Do you find you forget people’s names?</t>
        </is>
      </c>
      <c r="F543" t="inlineStr">
        <is>
          <t>Total</t>
        </is>
      </c>
      <c r="G543" t="inlineStr">
        <is>
          <t>FALSE</t>
        </is>
      </c>
      <c r="H543" t="inlineStr">
        <is>
          <t>FALSE</t>
        </is>
      </c>
      <c r="I543" t="inlineStr">
        <is>
          <t>Never = 0 | Very rarely = 1 | Occasionally = 2 | Quite often = 3 | Very often = 4</t>
        </is>
      </c>
      <c r="K543" t="inlineStr">
        <is>
          <t>https://www.psytoolkit.org/survey-library/cognitive-failures-cfq.html</t>
        </is>
      </c>
    </row>
    <row r="544">
      <c r="A544" t="inlineStr">
        <is>
          <t>CFQ</t>
        </is>
      </c>
      <c r="B544" t="inlineStr">
        <is>
          <t>Cognitive Failures Questionnaire</t>
        </is>
      </c>
      <c r="C544" t="inlineStr">
        <is>
          <t>1. Executive functioning and ADHD</t>
        </is>
      </c>
      <c r="D544" t="n">
        <v>21</v>
      </c>
      <c r="E544" t="inlineStr">
        <is>
          <t>Do you start doing one thing at home and get distracted into doing something else (unintentionally)?</t>
        </is>
      </c>
      <c r="F544" t="inlineStr">
        <is>
          <t>Total</t>
        </is>
      </c>
      <c r="G544" t="inlineStr">
        <is>
          <t>FALSE</t>
        </is>
      </c>
      <c r="H544" t="inlineStr">
        <is>
          <t>FALSE</t>
        </is>
      </c>
      <c r="I544" t="inlineStr">
        <is>
          <t>Never = 0 | Very rarely = 1 | Occasionally = 2 | Quite often = 3 | Very often = 4</t>
        </is>
      </c>
      <c r="K544" t="inlineStr">
        <is>
          <t>https://www.psytoolkit.org/survey-library/cognitive-failures-cfq.html</t>
        </is>
      </c>
    </row>
    <row r="545">
      <c r="A545" t="inlineStr">
        <is>
          <t>CFQ</t>
        </is>
      </c>
      <c r="B545" t="inlineStr">
        <is>
          <t>Cognitive Failures Questionnaire</t>
        </is>
      </c>
      <c r="C545" t="inlineStr">
        <is>
          <t>1. Executive functioning and ADHD</t>
        </is>
      </c>
      <c r="D545" t="n">
        <v>22</v>
      </c>
      <c r="E545" t="inlineStr">
        <is>
          <t>Do you find you can’t quite remember something although it’s “on the tip of your tongue”?</t>
        </is>
      </c>
      <c r="F545" t="inlineStr">
        <is>
          <t>Total</t>
        </is>
      </c>
      <c r="G545" t="inlineStr">
        <is>
          <t>FALSE</t>
        </is>
      </c>
      <c r="H545" t="inlineStr">
        <is>
          <t>FALSE</t>
        </is>
      </c>
      <c r="I545" t="inlineStr">
        <is>
          <t>Never = 0 | Very rarely = 1 | Occasionally = 2 | Quite often = 3 | Very often = 4</t>
        </is>
      </c>
      <c r="K545" t="inlineStr">
        <is>
          <t>https://www.psytoolkit.org/survey-library/cognitive-failures-cfq.html</t>
        </is>
      </c>
    </row>
    <row r="546">
      <c r="A546" t="inlineStr">
        <is>
          <t>CFQ</t>
        </is>
      </c>
      <c r="B546" t="inlineStr">
        <is>
          <t>Cognitive Failures Questionnaire</t>
        </is>
      </c>
      <c r="C546" t="inlineStr">
        <is>
          <t>1. Executive functioning and ADHD</t>
        </is>
      </c>
      <c r="D546" t="n">
        <v>23</v>
      </c>
      <c r="E546" t="inlineStr">
        <is>
          <t>Do you find you forget what you came to the shops to buy?</t>
        </is>
      </c>
      <c r="F546" t="inlineStr">
        <is>
          <t>Total</t>
        </is>
      </c>
      <c r="G546" t="inlineStr">
        <is>
          <t>FALSE</t>
        </is>
      </c>
      <c r="H546" t="inlineStr">
        <is>
          <t>FALSE</t>
        </is>
      </c>
      <c r="I546" t="inlineStr">
        <is>
          <t>Never = 0 | Very rarely = 1 | Occasionally = 2 | Quite often = 3 | Very often = 4</t>
        </is>
      </c>
      <c r="K546" t="inlineStr">
        <is>
          <t>https://www.psytoolkit.org/survey-library/cognitive-failures-cfq.html</t>
        </is>
      </c>
    </row>
    <row r="547">
      <c r="A547" t="inlineStr">
        <is>
          <t>CFQ</t>
        </is>
      </c>
      <c r="B547" t="inlineStr">
        <is>
          <t>Cognitive Failures Questionnaire</t>
        </is>
      </c>
      <c r="C547" t="inlineStr">
        <is>
          <t>1. Executive functioning and ADHD</t>
        </is>
      </c>
      <c r="D547" t="n">
        <v>24</v>
      </c>
      <c r="E547" t="inlineStr">
        <is>
          <t>Do you drop things?</t>
        </is>
      </c>
      <c r="F547" t="inlineStr">
        <is>
          <t>Total</t>
        </is>
      </c>
      <c r="G547" t="inlineStr">
        <is>
          <t>FALSE</t>
        </is>
      </c>
      <c r="H547" t="inlineStr">
        <is>
          <t>FALSE</t>
        </is>
      </c>
      <c r="I547" t="inlineStr">
        <is>
          <t>Never = 0 | Very rarely = 1 | Occasionally = 2 | Quite often = 3 | Very often = 4</t>
        </is>
      </c>
      <c r="K547" t="inlineStr">
        <is>
          <t>https://www.psytoolkit.org/survey-library/cognitive-failures-cfq.html</t>
        </is>
      </c>
    </row>
    <row r="548">
      <c r="A548" t="inlineStr">
        <is>
          <t>CFQ</t>
        </is>
      </c>
      <c r="B548" t="inlineStr">
        <is>
          <t>Cognitive Failures Questionnaire</t>
        </is>
      </c>
      <c r="C548" t="inlineStr">
        <is>
          <t>1. Executive functioning and ADHD</t>
        </is>
      </c>
      <c r="D548" t="n">
        <v>25</v>
      </c>
      <c r="E548" t="inlineStr">
        <is>
          <t>Do you find you can’t think of anything to say?</t>
        </is>
      </c>
      <c r="F548" t="inlineStr">
        <is>
          <t>Total</t>
        </is>
      </c>
      <c r="G548" t="inlineStr">
        <is>
          <t>FALSE</t>
        </is>
      </c>
      <c r="H548" t="inlineStr">
        <is>
          <t>FALSE</t>
        </is>
      </c>
      <c r="I548" t="inlineStr">
        <is>
          <t>Never = 0 | Very rarely = 1 | Occasionally = 2 | Quite often = 3 | Very often = 4</t>
        </is>
      </c>
      <c r="K548" t="inlineStr">
        <is>
          <t>https://www.psytoolkit.org/survey-library/cognitive-failures-cfq.html</t>
        </is>
      </c>
    </row>
    <row r="549">
      <c r="A549" t="inlineStr">
        <is>
          <t>COHS</t>
        </is>
      </c>
      <c r="B549" t="inlineStr">
        <is>
          <t>Creature of Habit Scale</t>
        </is>
      </c>
      <c r="C549" t="inlineStr">
        <is>
          <t>6. Motivation, self determination and goal pursuit</t>
        </is>
      </c>
      <c r="D549" t="n">
        <v>1</v>
      </c>
      <c r="E549" t="inlineStr">
        <is>
          <t>I tend to like routine.</t>
        </is>
      </c>
      <c r="F549" t="inlineStr">
        <is>
          <t>Routine</t>
        </is>
      </c>
      <c r="G549" t="inlineStr">
        <is>
          <t>FALSE</t>
        </is>
      </c>
      <c r="H549" t="inlineStr">
        <is>
          <t>FALSE</t>
        </is>
      </c>
      <c r="I549" t="inlineStr">
        <is>
          <t>strongly disagree = 1 | 2 = 2 | 3 = 3 | 4 = 4 | strongly agree = 5</t>
        </is>
      </c>
      <c r="J549" t="inlineStr">
        <is>
          <t>Source item label COHS-16</t>
        </is>
      </c>
      <c r="K549" t="inlineStr">
        <is>
          <t>https://pmc.ncbi.nlm.nih.gov/articles/PMC5473478/</t>
        </is>
      </c>
    </row>
    <row r="550">
      <c r="A550" t="inlineStr">
        <is>
          <t>COHS</t>
        </is>
      </c>
      <c r="B550" t="inlineStr">
        <is>
          <t>Creature of Habit Scale</t>
        </is>
      </c>
      <c r="C550" t="inlineStr">
        <is>
          <t>6. Motivation, self determination and goal pursuit</t>
        </is>
      </c>
      <c r="D550" t="n">
        <v>2</v>
      </c>
      <c r="E550" t="inlineStr">
        <is>
          <t>I find comfort in regularity.</t>
        </is>
      </c>
      <c r="F550" t="inlineStr">
        <is>
          <t>Routine</t>
        </is>
      </c>
      <c r="G550" t="inlineStr">
        <is>
          <t>FALSE</t>
        </is>
      </c>
      <c r="H550" t="inlineStr">
        <is>
          <t>FALSE</t>
        </is>
      </c>
      <c r="I550" t="inlineStr">
        <is>
          <t>strongly disagree = 1 | 2 = 2 | 3 = 3 | 4 = 4 | strongly agree = 5</t>
        </is>
      </c>
      <c r="J550" t="inlineStr">
        <is>
          <t>Source item label COHS-27</t>
        </is>
      </c>
      <c r="K550" t="inlineStr">
        <is>
          <t>https://pmc.ncbi.nlm.nih.gov/articles/PMC5473478/</t>
        </is>
      </c>
    </row>
    <row r="551">
      <c r="A551" t="inlineStr">
        <is>
          <t>COHS</t>
        </is>
      </c>
      <c r="B551" t="inlineStr">
        <is>
          <t>Creature of Habit Scale</t>
        </is>
      </c>
      <c r="C551" t="inlineStr">
        <is>
          <t>6. Motivation, self determination and goal pursuit</t>
        </is>
      </c>
      <c r="D551" t="n">
        <v>3</v>
      </c>
      <c r="E551" t="inlineStr">
        <is>
          <t>I rely on what is tried and tested rather than exploring something new.</t>
        </is>
      </c>
      <c r="F551" t="inlineStr">
        <is>
          <t>Routine</t>
        </is>
      </c>
      <c r="G551" t="inlineStr">
        <is>
          <t>FALSE</t>
        </is>
      </c>
      <c r="H551" t="inlineStr">
        <is>
          <t>FALSE</t>
        </is>
      </c>
      <c r="I551" t="inlineStr">
        <is>
          <t>strongly disagree = 1 | 2 = 2 | 3 = 3 | 4 = 4 | strongly agree = 5</t>
        </is>
      </c>
      <c r="J551" t="inlineStr">
        <is>
          <t>Source item label COHS-13</t>
        </is>
      </c>
      <c r="K551" t="inlineStr">
        <is>
          <t>https://pmc.ncbi.nlm.nih.gov/articles/PMC5473478/</t>
        </is>
      </c>
    </row>
    <row r="552">
      <c r="A552" t="inlineStr">
        <is>
          <t>COHS</t>
        </is>
      </c>
      <c r="B552" t="inlineStr">
        <is>
          <t>Creature of Habit Scale</t>
        </is>
      </c>
      <c r="C552" t="inlineStr">
        <is>
          <t>6. Motivation, self determination and goal pursuit</t>
        </is>
      </c>
      <c r="D552" t="n">
        <v>4</v>
      </c>
      <c r="E552" t="inlineStr">
        <is>
          <t>I quite happily work within my comfort zone rather than challenging myself.</t>
        </is>
      </c>
      <c r="F552" t="inlineStr">
        <is>
          <t>Routine</t>
        </is>
      </c>
      <c r="G552" t="inlineStr">
        <is>
          <t>FALSE</t>
        </is>
      </c>
      <c r="H552" t="inlineStr">
        <is>
          <t>FALSE</t>
        </is>
      </c>
      <c r="I552" t="inlineStr">
        <is>
          <t>strongly disagree = 1 | 2 = 2 | 3 = 3 | 4 = 4 | strongly agree = 5</t>
        </is>
      </c>
      <c r="J552" t="inlineStr">
        <is>
          <t>Source item label COHS-25</t>
        </is>
      </c>
      <c r="K552" t="inlineStr">
        <is>
          <t>https://pmc.ncbi.nlm.nih.gov/articles/PMC5473478/</t>
        </is>
      </c>
    </row>
    <row r="553">
      <c r="A553" t="inlineStr">
        <is>
          <t>COHS</t>
        </is>
      </c>
      <c r="B553" t="inlineStr">
        <is>
          <t>Creature of Habit Scale</t>
        </is>
      </c>
      <c r="C553" t="inlineStr">
        <is>
          <t>6. Motivation, self determination and goal pursuit</t>
        </is>
      </c>
      <c r="D553" t="n">
        <v>5</v>
      </c>
      <c r="E553" t="inlineStr">
        <is>
          <t>I tend to stick with the version of the software package that I am familiar with for as long as I can.</t>
        </is>
      </c>
      <c r="F553" t="inlineStr">
        <is>
          <t>Routine</t>
        </is>
      </c>
      <c r="G553" t="inlineStr">
        <is>
          <t>FALSE</t>
        </is>
      </c>
      <c r="H553" t="inlineStr">
        <is>
          <t>FALSE</t>
        </is>
      </c>
      <c r="I553" t="inlineStr">
        <is>
          <t>strongly disagree = 1 | 2 = 2 | 3 = 3 | 4 = 4 | strongly agree = 5</t>
        </is>
      </c>
      <c r="J553" t="inlineStr">
        <is>
          <t>Source item label COHS-24</t>
        </is>
      </c>
      <c r="K553" t="inlineStr">
        <is>
          <t>https://pmc.ncbi.nlm.nih.gov/articles/PMC5473478/</t>
        </is>
      </c>
    </row>
    <row r="554">
      <c r="A554" t="inlineStr">
        <is>
          <t>COHS</t>
        </is>
      </c>
      <c r="B554" t="inlineStr">
        <is>
          <t>Creature of Habit Scale</t>
        </is>
      </c>
      <c r="C554" t="inlineStr">
        <is>
          <t>6. Motivation, self determination and goal pursuit</t>
        </is>
      </c>
      <c r="D554" t="n">
        <v>6</v>
      </c>
      <c r="E554" t="inlineStr">
        <is>
          <t>I generally cook with the same spices/flavourings.</t>
        </is>
      </c>
      <c r="F554" t="inlineStr">
        <is>
          <t>Routine</t>
        </is>
      </c>
      <c r="G554" t="inlineStr">
        <is>
          <t>FALSE</t>
        </is>
      </c>
      <c r="H554" t="inlineStr">
        <is>
          <t>FALSE</t>
        </is>
      </c>
      <c r="I554" t="inlineStr">
        <is>
          <t>strongly disagree = 1 | 2 = 2 | 3 = 3 | 4 = 4 | strongly agree = 5</t>
        </is>
      </c>
      <c r="J554" t="inlineStr">
        <is>
          <t>Source item label COHSF-16</t>
        </is>
      </c>
      <c r="K554" t="inlineStr">
        <is>
          <t>https://pmc.ncbi.nlm.nih.gov/articles/PMC5473478/</t>
        </is>
      </c>
    </row>
    <row r="555">
      <c r="A555" t="inlineStr">
        <is>
          <t>COHS</t>
        </is>
      </c>
      <c r="B555" t="inlineStr">
        <is>
          <t>Creature of Habit Scale</t>
        </is>
      </c>
      <c r="C555" t="inlineStr">
        <is>
          <t>6. Motivation, self determination and goal pursuit</t>
        </is>
      </c>
      <c r="D555" t="n">
        <v>7</v>
      </c>
      <c r="E555" t="inlineStr">
        <is>
          <t>I normally buy the same foods from the same grocery store.</t>
        </is>
      </c>
      <c r="F555" t="inlineStr">
        <is>
          <t>Routine</t>
        </is>
      </c>
      <c r="G555" t="inlineStr">
        <is>
          <t>FALSE</t>
        </is>
      </c>
      <c r="H555" t="inlineStr">
        <is>
          <t>FALSE</t>
        </is>
      </c>
      <c r="I555" t="inlineStr">
        <is>
          <t>strongly disagree = 1 | 2 = 2 | 3 = 3 | 4 = 4 | strongly agree = 5</t>
        </is>
      </c>
      <c r="J555" t="inlineStr">
        <is>
          <t>Source item label COHSF-28</t>
        </is>
      </c>
      <c r="K555" t="inlineStr">
        <is>
          <t>https://pmc.ncbi.nlm.nih.gov/articles/PMC5473478/</t>
        </is>
      </c>
    </row>
    <row r="556">
      <c r="A556" t="inlineStr">
        <is>
          <t>COHS</t>
        </is>
      </c>
      <c r="B556" t="inlineStr">
        <is>
          <t>Creature of Habit Scale</t>
        </is>
      </c>
      <c r="C556" t="inlineStr">
        <is>
          <t>6. Motivation, self determination and goal pursuit</t>
        </is>
      </c>
      <c r="D556" t="n">
        <v>8</v>
      </c>
      <c r="E556" t="inlineStr">
        <is>
          <t>In a restaurant, I tend to order dishes that I am familiar with.</t>
        </is>
      </c>
      <c r="F556" t="inlineStr">
        <is>
          <t>Routine</t>
        </is>
      </c>
      <c r="G556" t="inlineStr">
        <is>
          <t>FALSE</t>
        </is>
      </c>
      <c r="H556" t="inlineStr">
        <is>
          <t>FALSE</t>
        </is>
      </c>
      <c r="I556" t="inlineStr">
        <is>
          <t>strongly disagree = 1 | 2 = 2 | 3 = 3 | 4 = 4 | strongly agree = 5</t>
        </is>
      </c>
      <c r="J556" t="inlineStr">
        <is>
          <t>Source item label COHSF-3</t>
        </is>
      </c>
      <c r="K556" t="inlineStr">
        <is>
          <t>https://pmc.ncbi.nlm.nih.gov/articles/PMC5473478/</t>
        </is>
      </c>
    </row>
    <row r="557">
      <c r="A557" t="inlineStr">
        <is>
          <t>COHS</t>
        </is>
      </c>
      <c r="B557" t="inlineStr">
        <is>
          <t>Creature of Habit Scale</t>
        </is>
      </c>
      <c r="C557" t="inlineStr">
        <is>
          <t>6. Motivation, self determination and goal pursuit</t>
        </is>
      </c>
      <c r="D557" t="n">
        <v>9</v>
      </c>
      <c r="E557" t="inlineStr">
        <is>
          <t>I tend to do things in the same order every morning (e.g. get up, go to the bathroom, have a coffee…).</t>
        </is>
      </c>
      <c r="F557" t="inlineStr">
        <is>
          <t>Routine</t>
        </is>
      </c>
      <c r="G557" t="inlineStr">
        <is>
          <t>FALSE</t>
        </is>
      </c>
      <c r="H557" t="inlineStr">
        <is>
          <t>FALSE</t>
        </is>
      </c>
      <c r="I557" t="inlineStr">
        <is>
          <t>strongly disagree = 1 | 2 = 2 | 3 = 3 | 4 = 4 | strongly agree = 5</t>
        </is>
      </c>
      <c r="J557" t="inlineStr">
        <is>
          <t>Source item label COHS-7</t>
        </is>
      </c>
      <c r="K557" t="inlineStr">
        <is>
          <t>https://pmc.ncbi.nlm.nih.gov/articles/PMC5473478/</t>
        </is>
      </c>
    </row>
    <row r="558">
      <c r="A558" t="inlineStr">
        <is>
          <t>COHS</t>
        </is>
      </c>
      <c r="B558" t="inlineStr">
        <is>
          <t>Creature of Habit Scale</t>
        </is>
      </c>
      <c r="C558" t="inlineStr">
        <is>
          <t>6. Motivation, self determination and goal pursuit</t>
        </is>
      </c>
      <c r="D558" t="n">
        <v>10</v>
      </c>
      <c r="E558" t="inlineStr">
        <is>
          <t>I always try to get the same seat in places such as on the bus, in the cinema, or in church.</t>
        </is>
      </c>
      <c r="F558" t="inlineStr">
        <is>
          <t>Routine</t>
        </is>
      </c>
      <c r="G558" t="inlineStr">
        <is>
          <t>FALSE</t>
        </is>
      </c>
      <c r="H558" t="inlineStr">
        <is>
          <t>FALSE</t>
        </is>
      </c>
      <c r="I558" t="inlineStr">
        <is>
          <t>strongly disagree = 1 | 2 = 2 | 3 = 3 | 4 = 4 | strongly agree = 5</t>
        </is>
      </c>
      <c r="J558" t="inlineStr">
        <is>
          <t>Source item label COHS-9</t>
        </is>
      </c>
      <c r="K558" t="inlineStr">
        <is>
          <t>https://pmc.ncbi.nlm.nih.gov/articles/PMC5473478/</t>
        </is>
      </c>
    </row>
    <row r="559">
      <c r="A559" t="inlineStr">
        <is>
          <t>COHS</t>
        </is>
      </c>
      <c r="B559" t="inlineStr">
        <is>
          <t>Creature of Habit Scale</t>
        </is>
      </c>
      <c r="C559" t="inlineStr">
        <is>
          <t>6. Motivation, self determination and goal pursuit</t>
        </is>
      </c>
      <c r="D559" t="n">
        <v>11</v>
      </c>
      <c r="E559" t="inlineStr">
        <is>
          <t>I usually sit at the same place at the dinner table.</t>
        </is>
      </c>
      <c r="F559" t="inlineStr">
        <is>
          <t>Routine</t>
        </is>
      </c>
      <c r="G559" t="inlineStr">
        <is>
          <t>FALSE</t>
        </is>
      </c>
      <c r="H559" t="inlineStr">
        <is>
          <t>FALSE</t>
        </is>
      </c>
      <c r="I559" t="inlineStr">
        <is>
          <t>strongly disagree = 1 | 2 = 2 | 3 = 3 | 4 = 4 | strongly agree = 5</t>
        </is>
      </c>
      <c r="J559" t="inlineStr">
        <is>
          <t>Source item label COHSF-14</t>
        </is>
      </c>
      <c r="K559" t="inlineStr">
        <is>
          <t>https://pmc.ncbi.nlm.nih.gov/articles/PMC5473478/</t>
        </is>
      </c>
    </row>
    <row r="560">
      <c r="A560" t="inlineStr">
        <is>
          <t>COHS</t>
        </is>
      </c>
      <c r="B560" t="inlineStr">
        <is>
          <t>Creature of Habit Scale</t>
        </is>
      </c>
      <c r="C560" t="inlineStr">
        <is>
          <t>6. Motivation, self determination and goal pursuit</t>
        </is>
      </c>
      <c r="D560" t="n">
        <v>12</v>
      </c>
      <c r="E560" t="inlineStr">
        <is>
          <t>I like to park my car or bike always in the same place.</t>
        </is>
      </c>
      <c r="F560" t="inlineStr">
        <is>
          <t>Routine</t>
        </is>
      </c>
      <c r="G560" t="inlineStr">
        <is>
          <t>FALSE</t>
        </is>
      </c>
      <c r="H560" t="inlineStr">
        <is>
          <t>FALSE</t>
        </is>
      </c>
      <c r="I560" t="inlineStr">
        <is>
          <t>strongly disagree = 1 | 2 = 2 | 3 = 3 | 4 = 4 | strongly agree = 5</t>
        </is>
      </c>
      <c r="J560" t="inlineStr">
        <is>
          <t>Source item label COHS-1</t>
        </is>
      </c>
      <c r="K560" t="inlineStr">
        <is>
          <t>https://pmc.ncbi.nlm.nih.gov/articles/PMC5473478/</t>
        </is>
      </c>
    </row>
    <row r="561">
      <c r="A561" t="inlineStr">
        <is>
          <t>COHS</t>
        </is>
      </c>
      <c r="B561" t="inlineStr">
        <is>
          <t>Creature of Habit Scale</t>
        </is>
      </c>
      <c r="C561" t="inlineStr">
        <is>
          <t>6. Motivation, self determination and goal pursuit</t>
        </is>
      </c>
      <c r="D561" t="n">
        <v>13</v>
      </c>
      <c r="E561" t="inlineStr">
        <is>
          <t>I always follow a certain order when preparing a meal.</t>
        </is>
      </c>
      <c r="F561" t="inlineStr">
        <is>
          <t>Routine</t>
        </is>
      </c>
      <c r="G561" t="inlineStr">
        <is>
          <t>FALSE</t>
        </is>
      </c>
      <c r="H561" t="inlineStr">
        <is>
          <t>FALSE</t>
        </is>
      </c>
      <c r="I561" t="inlineStr">
        <is>
          <t>strongly disagree = 1 | 2 = 2 | 3 = 3 | 4 = 4 | strongly agree = 5</t>
        </is>
      </c>
      <c r="J561" t="inlineStr">
        <is>
          <t>Source item label COHSF-17</t>
        </is>
      </c>
      <c r="K561" t="inlineStr">
        <is>
          <t>https://pmc.ncbi.nlm.nih.gov/articles/PMC5473478/</t>
        </is>
      </c>
    </row>
    <row r="562">
      <c r="A562" t="inlineStr">
        <is>
          <t>COHS</t>
        </is>
      </c>
      <c r="B562" t="inlineStr">
        <is>
          <t>Creature of Habit Scale</t>
        </is>
      </c>
      <c r="C562" t="inlineStr">
        <is>
          <t>6. Motivation, self determination and goal pursuit</t>
        </is>
      </c>
      <c r="D562" t="n">
        <v>14</v>
      </c>
      <c r="E562" t="inlineStr">
        <is>
          <t>I am one of those people who get really annoyed by last minute cancellations.</t>
        </is>
      </c>
      <c r="F562" t="inlineStr">
        <is>
          <t>Routine</t>
        </is>
      </c>
      <c r="G562" t="inlineStr">
        <is>
          <t>FALSE</t>
        </is>
      </c>
      <c r="H562" t="inlineStr">
        <is>
          <t>FALSE</t>
        </is>
      </c>
      <c r="I562" t="inlineStr">
        <is>
          <t>strongly disagree = 1 | 2 = 2 | 3 = 3 | 4 = 4 | strongly agree = 5</t>
        </is>
      </c>
      <c r="J562" t="inlineStr">
        <is>
          <t>Source item label COHS-20</t>
        </is>
      </c>
      <c r="K562" t="inlineStr">
        <is>
          <t>https://pmc.ncbi.nlm.nih.gov/articles/PMC5473478/</t>
        </is>
      </c>
    </row>
    <row r="563">
      <c r="A563" t="inlineStr">
        <is>
          <t>COHS</t>
        </is>
      </c>
      <c r="B563" t="inlineStr">
        <is>
          <t>Creature of Habit Scale</t>
        </is>
      </c>
      <c r="C563" t="inlineStr">
        <is>
          <t>6. Motivation, self determination and goal pursuit</t>
        </is>
      </c>
      <c r="D563" t="n">
        <v>15</v>
      </c>
      <c r="E563" t="inlineStr">
        <is>
          <t>I tend to go to bed at roughly the same time every night.</t>
        </is>
      </c>
      <c r="F563" t="inlineStr">
        <is>
          <t>Routine</t>
        </is>
      </c>
      <c r="G563" t="inlineStr">
        <is>
          <t>FALSE</t>
        </is>
      </c>
      <c r="H563" t="inlineStr">
        <is>
          <t>FALSE</t>
        </is>
      </c>
      <c r="I563" t="inlineStr">
        <is>
          <t>strongly disagree = 1 | 2 = 2 | 3 = 3 | 4 = 4 | strongly agree = 5</t>
        </is>
      </c>
      <c r="J563" t="inlineStr">
        <is>
          <t>Source item label COHS-3</t>
        </is>
      </c>
      <c r="K563" t="inlineStr">
        <is>
          <t>https://pmc.ncbi.nlm.nih.gov/articles/PMC5473478/</t>
        </is>
      </c>
    </row>
    <row r="564">
      <c r="A564" t="inlineStr">
        <is>
          <t>COHS</t>
        </is>
      </c>
      <c r="B564" t="inlineStr">
        <is>
          <t>Creature of Habit Scale</t>
        </is>
      </c>
      <c r="C564" t="inlineStr">
        <is>
          <t>6. Motivation, self determination and goal pursuit</t>
        </is>
      </c>
      <c r="D564" t="n">
        <v>16</v>
      </c>
      <c r="E564" t="inlineStr">
        <is>
          <t>I generally eat the same things for breakfast every day.</t>
        </is>
      </c>
      <c r="F564" t="inlineStr">
        <is>
          <t>Routine</t>
        </is>
      </c>
      <c r="G564" t="inlineStr">
        <is>
          <t>FALSE</t>
        </is>
      </c>
      <c r="H564" t="inlineStr">
        <is>
          <t>FALSE</t>
        </is>
      </c>
      <c r="I564" t="inlineStr">
        <is>
          <t>strongly disagree = 1 | 2 = 2 | 3 = 3 | 4 = 4 | strongly agree = 5</t>
        </is>
      </c>
      <c r="J564" t="inlineStr">
        <is>
          <t>Source item label COHS-2</t>
        </is>
      </c>
      <c r="K564" t="inlineStr">
        <is>
          <t>https://pmc.ncbi.nlm.nih.gov/articles/PMC5473478/</t>
        </is>
      </c>
    </row>
    <row r="565">
      <c r="A565" t="inlineStr">
        <is>
          <t>COHS</t>
        </is>
      </c>
      <c r="B565" t="inlineStr">
        <is>
          <t>Creature of Habit Scale</t>
        </is>
      </c>
      <c r="C565" t="inlineStr">
        <is>
          <t>6. Motivation, self determination and goal pursuit</t>
        </is>
      </c>
      <c r="D565" t="n">
        <v>17</v>
      </c>
      <c r="E565" t="inlineStr">
        <is>
          <t>I often find myself finishing off a packet of biscuits just because it is lying there.</t>
        </is>
      </c>
      <c r="F565" t="inlineStr">
        <is>
          <t>Automaticity</t>
        </is>
      </c>
      <c r="G565" t="inlineStr">
        <is>
          <t>FALSE</t>
        </is>
      </c>
      <c r="H565" t="inlineStr">
        <is>
          <t>FALSE</t>
        </is>
      </c>
      <c r="I565" t="inlineStr">
        <is>
          <t>strongly disagree = 1 | 2 = 2 | 3 = 3 | 4 = 4 | strongly agree = 5</t>
        </is>
      </c>
      <c r="J565" t="inlineStr">
        <is>
          <t>Source item label COHSF-9</t>
        </is>
      </c>
      <c r="K565" t="inlineStr">
        <is>
          <t>https://pmc.ncbi.nlm.nih.gov/articles/PMC5473478/</t>
        </is>
      </c>
    </row>
    <row r="566">
      <c r="A566" t="inlineStr">
        <is>
          <t>COHS</t>
        </is>
      </c>
      <c r="B566" t="inlineStr">
        <is>
          <t>Creature of Habit Scale</t>
        </is>
      </c>
      <c r="C566" t="inlineStr">
        <is>
          <t>6. Motivation, self determination and goal pursuit</t>
        </is>
      </c>
      <c r="D566" t="n">
        <v>18</v>
      </c>
      <c r="E566" t="inlineStr">
        <is>
          <t>I often find myself opening up the cabinet to take a snack.</t>
        </is>
      </c>
      <c r="F566" t="inlineStr">
        <is>
          <t>Automaticity</t>
        </is>
      </c>
      <c r="G566" t="inlineStr">
        <is>
          <t>FALSE</t>
        </is>
      </c>
      <c r="H566" t="inlineStr">
        <is>
          <t>FALSE</t>
        </is>
      </c>
      <c r="I566" t="inlineStr">
        <is>
          <t>strongly disagree = 1 | 2 = 2 | 3 = 3 | 4 = 4 | strongly agree = 5</t>
        </is>
      </c>
      <c r="J566" t="inlineStr">
        <is>
          <t>Source item label COHSF-11</t>
        </is>
      </c>
      <c r="K566" t="inlineStr">
        <is>
          <t>https://pmc.ncbi.nlm.nih.gov/articles/PMC5473478/</t>
        </is>
      </c>
    </row>
    <row r="567">
      <c r="A567" t="inlineStr">
        <is>
          <t>COHS</t>
        </is>
      </c>
      <c r="B567" t="inlineStr">
        <is>
          <t>Creature of Habit Scale</t>
        </is>
      </c>
      <c r="C567" t="inlineStr">
        <is>
          <t>6. Motivation, self determination and goal pursuit</t>
        </is>
      </c>
      <c r="D567" t="n">
        <v>19</v>
      </c>
      <c r="E567" t="inlineStr">
        <is>
          <t>When walking past a plate of sweets or biscuits, I can't resist taking one.</t>
        </is>
      </c>
      <c r="F567" t="inlineStr">
        <is>
          <t>Automaticity</t>
        </is>
      </c>
      <c r="G567" t="inlineStr">
        <is>
          <t>FALSE</t>
        </is>
      </c>
      <c r="H567" t="inlineStr">
        <is>
          <t>FALSE</t>
        </is>
      </c>
      <c r="I567" t="inlineStr">
        <is>
          <t>strongly disagree = 1 | 2 = 2 | 3 = 3 | 4 = 4 | strongly agree = 5</t>
        </is>
      </c>
      <c r="J567" t="inlineStr">
        <is>
          <t>Source item label COHSF-12</t>
        </is>
      </c>
      <c r="K567" t="inlineStr">
        <is>
          <t>https://pmc.ncbi.nlm.nih.gov/articles/PMC5473478/</t>
        </is>
      </c>
    </row>
    <row r="568">
      <c r="A568" t="inlineStr">
        <is>
          <t>COHS</t>
        </is>
      </c>
      <c r="B568" t="inlineStr">
        <is>
          <t>Creature of Habit Scale</t>
        </is>
      </c>
      <c r="C568" t="inlineStr">
        <is>
          <t>6. Motivation, self determination and goal pursuit</t>
        </is>
      </c>
      <c r="D568" t="n">
        <v>20</v>
      </c>
      <c r="E568" t="inlineStr">
        <is>
          <t>Television makes me particularly prone to uncontrolled eating.</t>
        </is>
      </c>
      <c r="F568" t="inlineStr">
        <is>
          <t>Automaticity</t>
        </is>
      </c>
      <c r="G568" t="inlineStr">
        <is>
          <t>FALSE</t>
        </is>
      </c>
      <c r="H568" t="inlineStr">
        <is>
          <t>FALSE</t>
        </is>
      </c>
      <c r="I568" t="inlineStr">
        <is>
          <t>strongly disagree = 1 | 2 = 2 | 3 = 3 | 4 = 4 | strongly agree = 5</t>
        </is>
      </c>
      <c r="J568" t="inlineStr">
        <is>
          <t>Source item label COHSF-26</t>
        </is>
      </c>
      <c r="K568" t="inlineStr">
        <is>
          <t>https://pmc.ncbi.nlm.nih.gov/articles/PMC5473478/</t>
        </is>
      </c>
    </row>
    <row r="569">
      <c r="A569" t="inlineStr">
        <is>
          <t>COHS</t>
        </is>
      </c>
      <c r="B569" t="inlineStr">
        <is>
          <t>Creature of Habit Scale</t>
        </is>
      </c>
      <c r="C569" t="inlineStr">
        <is>
          <t>6. Motivation, self determination and goal pursuit</t>
        </is>
      </c>
      <c r="D569" t="n">
        <v>21</v>
      </c>
      <c r="E569" t="inlineStr">
        <is>
          <t>I often find myself eating without being aware of it.</t>
        </is>
      </c>
      <c r="F569" t="inlineStr">
        <is>
          <t>Automaticity</t>
        </is>
      </c>
      <c r="G569" t="inlineStr">
        <is>
          <t>FALSE</t>
        </is>
      </c>
      <c r="H569" t="inlineStr">
        <is>
          <t>FALSE</t>
        </is>
      </c>
      <c r="I569" t="inlineStr">
        <is>
          <t>strongly disagree = 1 | 2 = 2 | 3 = 3 | 4 = 4 | strongly agree = 5</t>
        </is>
      </c>
      <c r="J569" t="inlineStr">
        <is>
          <t>Source item label COHSF-27</t>
        </is>
      </c>
      <c r="K569" t="inlineStr">
        <is>
          <t>https://pmc.ncbi.nlm.nih.gov/articles/PMC5473478/</t>
        </is>
      </c>
    </row>
    <row r="570">
      <c r="A570" t="inlineStr">
        <is>
          <t>COHS</t>
        </is>
      </c>
      <c r="B570" t="inlineStr">
        <is>
          <t>Creature of Habit Scale</t>
        </is>
      </c>
      <c r="C570" t="inlineStr">
        <is>
          <t>6. Motivation, self determination and goal pursuit</t>
        </is>
      </c>
      <c r="D570" t="n">
        <v>22</v>
      </c>
      <c r="E570" t="inlineStr">
        <is>
          <t>I am prone to eating more when I feel stressed.</t>
        </is>
      </c>
      <c r="F570" t="inlineStr">
        <is>
          <t>Automaticity</t>
        </is>
      </c>
      <c r="G570" t="inlineStr">
        <is>
          <t>FALSE</t>
        </is>
      </c>
      <c r="H570" t="inlineStr">
        <is>
          <t>FALSE</t>
        </is>
      </c>
      <c r="I570" t="inlineStr">
        <is>
          <t>strongly disagree = 1 | 2 = 2 | 3 = 3 | 4 = 4 | strongly agree = 5</t>
        </is>
      </c>
      <c r="J570" t="inlineStr">
        <is>
          <t>Source item label COHSF-1</t>
        </is>
      </c>
      <c r="K570" t="inlineStr">
        <is>
          <t>https://pmc.ncbi.nlm.nih.gov/articles/PMC5473478/</t>
        </is>
      </c>
    </row>
    <row r="571">
      <c r="A571" t="inlineStr">
        <is>
          <t>COHS</t>
        </is>
      </c>
      <c r="B571" t="inlineStr">
        <is>
          <t>Creature of Habit Scale</t>
        </is>
      </c>
      <c r="C571" t="inlineStr">
        <is>
          <t>6. Motivation, self determination and goal pursuit</t>
        </is>
      </c>
      <c r="D571" t="n">
        <v>23</v>
      </c>
      <c r="E571" t="inlineStr">
        <is>
          <t>Eating crisps or biscuits straight out of the packet is typical of me.</t>
        </is>
      </c>
      <c r="F571" t="inlineStr">
        <is>
          <t>Automaticity</t>
        </is>
      </c>
      <c r="G571" t="inlineStr">
        <is>
          <t>FALSE</t>
        </is>
      </c>
      <c r="H571" t="inlineStr">
        <is>
          <t>FALSE</t>
        </is>
      </c>
      <c r="I571" t="inlineStr">
        <is>
          <t>strongly disagree = 1 | 2 = 2 | 3 = 3 | 4 = 4 | strongly agree = 5</t>
        </is>
      </c>
      <c r="J571" t="inlineStr">
        <is>
          <t>Source item label COHSF-24</t>
        </is>
      </c>
      <c r="K571" t="inlineStr">
        <is>
          <t>https://pmc.ncbi.nlm.nih.gov/articles/PMC5473478/</t>
        </is>
      </c>
    </row>
    <row r="572">
      <c r="A572" t="inlineStr">
        <is>
          <t>COHS</t>
        </is>
      </c>
      <c r="B572" t="inlineStr">
        <is>
          <t>Creature of Habit Scale</t>
        </is>
      </c>
      <c r="C572" t="inlineStr">
        <is>
          <t>6. Motivation, self determination and goal pursuit</t>
        </is>
      </c>
      <c r="D572" t="n">
        <v>24</v>
      </c>
      <c r="E572" t="inlineStr">
        <is>
          <t>Whenever I go into the kitchen, I typically look in the fridge.</t>
        </is>
      </c>
      <c r="F572" t="inlineStr">
        <is>
          <t>Automaticity</t>
        </is>
      </c>
      <c r="G572" t="inlineStr">
        <is>
          <t>FALSE</t>
        </is>
      </c>
      <c r="H572" t="inlineStr">
        <is>
          <t>FALSE</t>
        </is>
      </c>
      <c r="I572" t="inlineStr">
        <is>
          <t>strongly disagree = 1 | 2 = 2 | 3 = 3 | 4 = 4 | strongly agree = 5</t>
        </is>
      </c>
      <c r="J572" t="inlineStr">
        <is>
          <t>Source item label COHSF-18</t>
        </is>
      </c>
      <c r="K572" t="inlineStr">
        <is>
          <t>https://pmc.ncbi.nlm.nih.gov/articles/PMC5473478/</t>
        </is>
      </c>
    </row>
    <row r="573">
      <c r="A573" t="inlineStr">
        <is>
          <t>COHS</t>
        </is>
      </c>
      <c r="B573" t="inlineStr">
        <is>
          <t>Creature of Habit Scale</t>
        </is>
      </c>
      <c r="C573" t="inlineStr">
        <is>
          <t>6. Motivation, self determination and goal pursuit</t>
        </is>
      </c>
      <c r="D573" t="n">
        <v>25</v>
      </c>
      <c r="E573" t="inlineStr">
        <is>
          <t>I usually treat myself to a snack at the end of the workday.</t>
        </is>
      </c>
      <c r="F573" t="inlineStr">
        <is>
          <t>Automaticity</t>
        </is>
      </c>
      <c r="G573" t="inlineStr">
        <is>
          <t>FALSE</t>
        </is>
      </c>
      <c r="H573" t="inlineStr">
        <is>
          <t>FALSE</t>
        </is>
      </c>
      <c r="I573" t="inlineStr">
        <is>
          <t>strongly disagree = 1 | 2 = 2 | 3 = 3 | 4 = 4 | strongly agree = 5</t>
        </is>
      </c>
      <c r="J573" t="inlineStr">
        <is>
          <t>Source item label COHSF-15</t>
        </is>
      </c>
      <c r="K573" t="inlineStr">
        <is>
          <t>https://pmc.ncbi.nlm.nih.gov/articles/PMC5473478/</t>
        </is>
      </c>
    </row>
    <row r="574">
      <c r="A574" t="inlineStr">
        <is>
          <t>COHS</t>
        </is>
      </c>
      <c r="B574" t="inlineStr">
        <is>
          <t>Creature of Habit Scale</t>
        </is>
      </c>
      <c r="C574" t="inlineStr">
        <is>
          <t>6. Motivation, self determination and goal pursuit</t>
        </is>
      </c>
      <c r="D574" t="n">
        <v>26</v>
      </c>
      <c r="E574" t="inlineStr">
        <is>
          <t>I often take a snack while on the go (e.g. when driving, walking down the street, or surfing the web).</t>
        </is>
      </c>
      <c r="F574" t="inlineStr">
        <is>
          <t>Automaticity</t>
        </is>
      </c>
      <c r="G574" t="inlineStr">
        <is>
          <t>FALSE</t>
        </is>
      </c>
      <c r="H574" t="inlineStr">
        <is>
          <t>FALSE</t>
        </is>
      </c>
      <c r="I574" t="inlineStr">
        <is>
          <t>strongly disagree = 1 | 2 = 2 | 3 = 3 | 4 = 4 | strongly agree = 5</t>
        </is>
      </c>
      <c r="J574" t="inlineStr">
        <is>
          <t>Source item label COHSF-30</t>
        </is>
      </c>
      <c r="K574" t="inlineStr">
        <is>
          <t>https://pmc.ncbi.nlm.nih.gov/articles/PMC5473478/</t>
        </is>
      </c>
    </row>
    <row r="575">
      <c r="A575" t="inlineStr">
        <is>
          <t>COHS</t>
        </is>
      </c>
      <c r="B575" t="inlineStr">
        <is>
          <t>Creature of Habit Scale</t>
        </is>
      </c>
      <c r="C575" t="inlineStr">
        <is>
          <t>6. Motivation, self determination and goal pursuit</t>
        </is>
      </c>
      <c r="D575" t="n">
        <v>27</v>
      </c>
      <c r="E575" t="inlineStr">
        <is>
          <t>I often find myself running on 'autopilot', and then wonder why I ended up in a particular place or doing something that I did not intend to do.</t>
        </is>
      </c>
      <c r="F575" t="inlineStr">
        <is>
          <t>Automaticity</t>
        </is>
      </c>
      <c r="G575" t="inlineStr">
        <is>
          <t>FALSE</t>
        </is>
      </c>
      <c r="H575" t="inlineStr">
        <is>
          <t>FALSE</t>
        </is>
      </c>
      <c r="I575" t="inlineStr">
        <is>
          <t>strongly disagree = 1 | 2 = 2 | 3 = 3 | 4 = 4 | strongly agree = 5</t>
        </is>
      </c>
      <c r="J575" t="inlineStr">
        <is>
          <t>Source item label COHS-8</t>
        </is>
      </c>
      <c r="K575" t="inlineStr">
        <is>
          <t>https://pmc.ncbi.nlm.nih.gov/articles/PMC5473478/</t>
        </is>
      </c>
    </row>
    <row r="576">
      <c r="A576" t="inlineStr">
        <is>
          <t>CPC-12</t>
        </is>
      </c>
      <c r="B576" t="inlineStr">
        <is>
          <t>Compound PsyCap Scale</t>
        </is>
      </c>
      <c r="C576" t="inlineStr">
        <is>
          <t>3. Adjacent occupational and wellbeing</t>
        </is>
      </c>
      <c r="D576" t="n">
        <v>1</v>
      </c>
      <c r="E576" t="inlineStr">
        <is>
          <t>If I should find myself in a jam, I could think of many ways to get out of it.</t>
        </is>
      </c>
      <c r="F576" t="inlineStr">
        <is>
          <t>Hope</t>
        </is>
      </c>
      <c r="G576" t="inlineStr">
        <is>
          <t>FALSE</t>
        </is>
      </c>
      <c r="H576" t="inlineStr">
        <is>
          <t>FALSE</t>
        </is>
      </c>
      <c r="I576" t="inlineStr">
        <is>
          <t>strongly disagree = 1 | 2 = 2 | 3 = 3 | 4 = 4 | 5 = 5 | strongly agree = 6</t>
        </is>
      </c>
      <c r="K576" t="inlineStr">
        <is>
          <t>https://pmc.ncbi.nlm.nih.gov/articles/PMC9896786/table/tab2 (hope, optimism and self efficacy items) and https://journals.plos.org/plosone/article?id=10.1371/journal.pone.0247114 (original resilience items 7 to 9)</t>
        </is>
      </c>
    </row>
    <row r="577">
      <c r="A577" t="inlineStr">
        <is>
          <t>CPC-12</t>
        </is>
      </c>
      <c r="B577" t="inlineStr">
        <is>
          <t>Compound PsyCap Scale</t>
        </is>
      </c>
      <c r="C577" t="inlineStr">
        <is>
          <t>3. Adjacent occupational and wellbeing</t>
        </is>
      </c>
      <c r="D577" t="n">
        <v>2</v>
      </c>
      <c r="E577" t="inlineStr">
        <is>
          <t>Right now, I see myself as being pretty successful.</t>
        </is>
      </c>
      <c r="F577" t="inlineStr">
        <is>
          <t>Hope</t>
        </is>
      </c>
      <c r="G577" t="inlineStr">
        <is>
          <t>FALSE</t>
        </is>
      </c>
      <c r="H577" t="inlineStr">
        <is>
          <t>FALSE</t>
        </is>
      </c>
      <c r="I577" t="inlineStr">
        <is>
          <t>strongly disagree = 1 | 2 = 2 | 3 = 3 | 4 = 4 | 5 = 5 | strongly agree = 6</t>
        </is>
      </c>
      <c r="K577" t="inlineStr">
        <is>
          <t>https://pmc.ncbi.nlm.nih.gov/articles/PMC9896786/table/tab2 (hope, optimism and self efficacy items) and https://journals.plos.org/plosone/article?id=10.1371/journal.pone.0247114 (original resilience items 7 to 9)</t>
        </is>
      </c>
    </row>
    <row r="578">
      <c r="A578" t="inlineStr">
        <is>
          <t>CPC-12</t>
        </is>
      </c>
      <c r="B578" t="inlineStr">
        <is>
          <t>Compound PsyCap Scale</t>
        </is>
      </c>
      <c r="C578" t="inlineStr">
        <is>
          <t>3. Adjacent occupational and wellbeing</t>
        </is>
      </c>
      <c r="D578" t="n">
        <v>3</v>
      </c>
      <c r="E578" t="inlineStr">
        <is>
          <t>I can think of many ways to reach my current goals.</t>
        </is>
      </c>
      <c r="F578" t="inlineStr">
        <is>
          <t>Hope</t>
        </is>
      </c>
      <c r="G578" t="inlineStr">
        <is>
          <t>FALSE</t>
        </is>
      </c>
      <c r="H578" t="inlineStr">
        <is>
          <t>FALSE</t>
        </is>
      </c>
      <c r="I578" t="inlineStr">
        <is>
          <t>strongly disagree = 1 | 2 = 2 | 3 = 3 | 4 = 4 | 5 = 5 | strongly agree = 6</t>
        </is>
      </c>
      <c r="K578" t="inlineStr">
        <is>
          <t>https://pmc.ncbi.nlm.nih.gov/articles/PMC9896786/table/tab2 (hope, optimism and self efficacy items) and https://journals.plos.org/plosone/article?id=10.1371/journal.pone.0247114 (original resilience items 7 to 9)</t>
        </is>
      </c>
    </row>
    <row r="579">
      <c r="A579" t="inlineStr">
        <is>
          <t>CPC-12</t>
        </is>
      </c>
      <c r="B579" t="inlineStr">
        <is>
          <t>Compound PsyCap Scale</t>
        </is>
      </c>
      <c r="C579" t="inlineStr">
        <is>
          <t>3. Adjacent occupational and wellbeing</t>
        </is>
      </c>
      <c r="D579" t="n">
        <v>4</v>
      </c>
      <c r="E579" t="inlineStr">
        <is>
          <t>I am looking forward to the life ahead of me.</t>
        </is>
      </c>
      <c r="F579" t="inlineStr">
        <is>
          <t>Optimism</t>
        </is>
      </c>
      <c r="G579" t="inlineStr">
        <is>
          <t>FALSE</t>
        </is>
      </c>
      <c r="H579" t="inlineStr">
        <is>
          <t>FALSE</t>
        </is>
      </c>
      <c r="I579" t="inlineStr">
        <is>
          <t>strongly disagree = 1 | 2 = 2 | 3 = 3 | 4 = 4 | 5 = 5 | strongly agree = 6</t>
        </is>
      </c>
      <c r="K579" t="inlineStr">
        <is>
          <t>https://pmc.ncbi.nlm.nih.gov/articles/PMC9896786/table/tab2 (hope, optimism and self efficacy items) and https://journals.plos.org/plosone/article?id=10.1371/journal.pone.0247114 (original resilience items 7 to 9)</t>
        </is>
      </c>
    </row>
    <row r="580">
      <c r="A580" t="inlineStr">
        <is>
          <t>CPC-12</t>
        </is>
      </c>
      <c r="B580" t="inlineStr">
        <is>
          <t>Compound PsyCap Scale</t>
        </is>
      </c>
      <c r="C580" t="inlineStr">
        <is>
          <t>3. Adjacent occupational and wellbeing</t>
        </is>
      </c>
      <c r="D580" t="n">
        <v>5</v>
      </c>
      <c r="E580" t="inlineStr">
        <is>
          <t>The future holds a lot of good in store for me.</t>
        </is>
      </c>
      <c r="F580" t="inlineStr">
        <is>
          <t>Optimism</t>
        </is>
      </c>
      <c r="G580" t="inlineStr">
        <is>
          <t>FALSE</t>
        </is>
      </c>
      <c r="H580" t="inlineStr">
        <is>
          <t>FALSE</t>
        </is>
      </c>
      <c r="I580" t="inlineStr">
        <is>
          <t>strongly disagree = 1 | 2 = 2 | 3 = 3 | 4 = 4 | 5 = 5 | strongly agree = 6</t>
        </is>
      </c>
      <c r="K580" t="inlineStr">
        <is>
          <t>https://pmc.ncbi.nlm.nih.gov/articles/PMC9896786/table/tab2 (hope, optimism and self efficacy items) and https://journals.plos.org/plosone/article?id=10.1371/journal.pone.0247114 (original resilience items 7 to 9)</t>
        </is>
      </c>
    </row>
    <row r="581">
      <c r="A581" t="inlineStr">
        <is>
          <t>CPC-12</t>
        </is>
      </c>
      <c r="B581" t="inlineStr">
        <is>
          <t>Compound PsyCap Scale</t>
        </is>
      </c>
      <c r="C581" t="inlineStr">
        <is>
          <t>3. Adjacent occupational and wellbeing</t>
        </is>
      </c>
      <c r="D581" t="n">
        <v>6</v>
      </c>
      <c r="E581" t="inlineStr">
        <is>
          <t>Overall, I expect more good things to happen to me than bad.</t>
        </is>
      </c>
      <c r="F581" t="inlineStr">
        <is>
          <t>Optimism</t>
        </is>
      </c>
      <c r="G581" t="inlineStr">
        <is>
          <t>FALSE</t>
        </is>
      </c>
      <c r="H581" t="inlineStr">
        <is>
          <t>FALSE</t>
        </is>
      </c>
      <c r="I581" t="inlineStr">
        <is>
          <t>strongly disagree = 1 | 2 = 2 | 3 = 3 | 4 = 4 | 5 = 5 | strongly agree = 6</t>
        </is>
      </c>
      <c r="K581" t="inlineStr">
        <is>
          <t>https://pmc.ncbi.nlm.nih.gov/articles/PMC9896786/table/tab2 (hope, optimism and self efficacy items) and https://journals.plos.org/plosone/article?id=10.1371/journal.pone.0247114 (original resilience items 7 to 9)</t>
        </is>
      </c>
    </row>
    <row r="582">
      <c r="A582" t="inlineStr">
        <is>
          <t>CPC-12</t>
        </is>
      </c>
      <c r="B582" t="inlineStr">
        <is>
          <t>Compound PsyCap Scale</t>
        </is>
      </c>
      <c r="C582" t="inlineStr">
        <is>
          <t>3. Adjacent occupational and wellbeing</t>
        </is>
      </c>
      <c r="D582" t="n">
        <v>7</v>
      </c>
      <c r="E582" t="inlineStr">
        <is>
          <t>Sometimes I make myself do things whether I want to or not.</t>
        </is>
      </c>
      <c r="F582" t="inlineStr">
        <is>
          <t>Resilience</t>
        </is>
      </c>
      <c r="G582" t="inlineStr">
        <is>
          <t>FALSE</t>
        </is>
      </c>
      <c r="H582" t="inlineStr">
        <is>
          <t>FALSE</t>
        </is>
      </c>
      <c r="I582" t="inlineStr">
        <is>
          <t>strongly disagree = 1 | 2 = 2 | 3 = 3 | 4 = 4 | 5 = 5 | strongly agree = 6</t>
        </is>
      </c>
      <c r="K582" t="inlineStr">
        <is>
          <t>https://pmc.ncbi.nlm.nih.gov/articles/PMC9896786/table/tab2 (hope, optimism and self efficacy items) and https://journals.plos.org/plosone/article?id=10.1371/journal.pone.0247114 (original resilience items 7 to 9)</t>
        </is>
      </c>
    </row>
    <row r="583">
      <c r="A583" t="inlineStr">
        <is>
          <t>CPC-12</t>
        </is>
      </c>
      <c r="B583" t="inlineStr">
        <is>
          <t>Compound PsyCap Scale</t>
        </is>
      </c>
      <c r="C583" t="inlineStr">
        <is>
          <t>3. Adjacent occupational and wellbeing</t>
        </is>
      </c>
      <c r="D583" t="n">
        <v>8</v>
      </c>
      <c r="E583" t="inlineStr">
        <is>
          <t>When I’m in a difficult situation, I can usually find my way out of it.</t>
        </is>
      </c>
      <c r="F583" t="inlineStr">
        <is>
          <t>Resilience</t>
        </is>
      </c>
      <c r="G583" t="inlineStr">
        <is>
          <t>FALSE</t>
        </is>
      </c>
      <c r="H583" t="inlineStr">
        <is>
          <t>FALSE</t>
        </is>
      </c>
      <c r="I583" t="inlineStr">
        <is>
          <t>strongly disagree = 1 | 2 = 2 | 3 = 3 | 4 = 4 | 5 = 5 | strongly agree = 6</t>
        </is>
      </c>
      <c r="K583" t="inlineStr">
        <is>
          <t>https://pmc.ncbi.nlm.nih.gov/articles/PMC9896786/table/tab2 (hope, optimism and self efficacy items) and https://journals.plos.org/plosone/article?id=10.1371/journal.pone.0247114 (original resilience items 7 to 9)</t>
        </is>
      </c>
    </row>
    <row r="584">
      <c r="A584" t="inlineStr">
        <is>
          <t>CPC-12</t>
        </is>
      </c>
      <c r="B584" t="inlineStr">
        <is>
          <t>Compound PsyCap Scale</t>
        </is>
      </c>
      <c r="C584" t="inlineStr">
        <is>
          <t>3. Adjacent occupational and wellbeing</t>
        </is>
      </c>
      <c r="D584" t="n">
        <v>9</v>
      </c>
      <c r="E584" t="inlineStr">
        <is>
          <t>It’s okay if there are people who don’t like me.</t>
        </is>
      </c>
      <c r="F584" t="inlineStr">
        <is>
          <t>Resilience</t>
        </is>
      </c>
      <c r="G584" t="inlineStr">
        <is>
          <t>FALSE</t>
        </is>
      </c>
      <c r="H584" t="inlineStr">
        <is>
          <t>FALSE</t>
        </is>
      </c>
      <c r="I584" t="inlineStr">
        <is>
          <t>strongly disagree = 1 | 2 = 2 | 3 = 3 | 4 = 4 | 5 = 5 | strongly agree = 6</t>
        </is>
      </c>
      <c r="K584" t="inlineStr">
        <is>
          <t>https://pmc.ncbi.nlm.nih.gov/articles/PMC9896786/table/tab2 (hope, optimism and self efficacy items) and https://journals.plos.org/plosone/article?id=10.1371/journal.pone.0247114 (original resilience items 7 to 9)</t>
        </is>
      </c>
    </row>
    <row r="585">
      <c r="A585" t="inlineStr">
        <is>
          <t>CPC-12</t>
        </is>
      </c>
      <c r="B585" t="inlineStr">
        <is>
          <t>Compound PsyCap Scale</t>
        </is>
      </c>
      <c r="C585" t="inlineStr">
        <is>
          <t>3. Adjacent occupational and wellbeing</t>
        </is>
      </c>
      <c r="D585" t="n">
        <v>10</v>
      </c>
      <c r="E585" t="inlineStr">
        <is>
          <t>I am confident that I could deal efficiently with unexpected events.</t>
        </is>
      </c>
      <c r="F585" t="inlineStr">
        <is>
          <t>Self-efficacy</t>
        </is>
      </c>
      <c r="G585" t="inlineStr">
        <is>
          <t>FALSE</t>
        </is>
      </c>
      <c r="H585" t="inlineStr">
        <is>
          <t>FALSE</t>
        </is>
      </c>
      <c r="I585" t="inlineStr">
        <is>
          <t>strongly disagree = 1 | 2 = 2 | 3 = 3 | 4 = 4 | 5 = 5 | strongly agree = 6</t>
        </is>
      </c>
      <c r="K585" t="inlineStr">
        <is>
          <t>https://pmc.ncbi.nlm.nih.gov/articles/PMC9896786/table/tab2 (hope, optimism and self efficacy items) and https://journals.plos.org/plosone/article?id=10.1371/journal.pone.0247114 (original resilience items 7 to 9)</t>
        </is>
      </c>
    </row>
    <row r="586">
      <c r="A586" t="inlineStr">
        <is>
          <t>CPC-12</t>
        </is>
      </c>
      <c r="B586" t="inlineStr">
        <is>
          <t>Compound PsyCap Scale</t>
        </is>
      </c>
      <c r="C586" t="inlineStr">
        <is>
          <t>3. Adjacent occupational and wellbeing</t>
        </is>
      </c>
      <c r="D586" t="n">
        <v>11</v>
      </c>
      <c r="E586" t="inlineStr">
        <is>
          <t>I can solve most problems if I invest the necessary effort.</t>
        </is>
      </c>
      <c r="F586" t="inlineStr">
        <is>
          <t>Self-efficacy</t>
        </is>
      </c>
      <c r="G586" t="inlineStr">
        <is>
          <t>FALSE</t>
        </is>
      </c>
      <c r="H586" t="inlineStr">
        <is>
          <t>FALSE</t>
        </is>
      </c>
      <c r="I586" t="inlineStr">
        <is>
          <t>strongly disagree = 1 | 2 = 2 | 3 = 3 | 4 = 4 | 5 = 5 | strongly agree = 6</t>
        </is>
      </c>
      <c r="K586" t="inlineStr">
        <is>
          <t>https://pmc.ncbi.nlm.nih.gov/articles/PMC9896786/table/tab2 (hope, optimism and self efficacy items) and https://journals.plos.org/plosone/article?id=10.1371/journal.pone.0247114 (original resilience items 7 to 9)</t>
        </is>
      </c>
    </row>
    <row r="587">
      <c r="A587" t="inlineStr">
        <is>
          <t>CPC-12</t>
        </is>
      </c>
      <c r="B587" t="inlineStr">
        <is>
          <t>Compound PsyCap Scale</t>
        </is>
      </c>
      <c r="C587" t="inlineStr">
        <is>
          <t>3. Adjacent occupational and wellbeing</t>
        </is>
      </c>
      <c r="D587" t="n">
        <v>12</v>
      </c>
      <c r="E587" t="inlineStr">
        <is>
          <t>I can remain calm when facing difficulties because I can rely on my coping abilities.</t>
        </is>
      </c>
      <c r="F587" t="inlineStr">
        <is>
          <t>Self-efficacy</t>
        </is>
      </c>
      <c r="G587" t="inlineStr">
        <is>
          <t>FALSE</t>
        </is>
      </c>
      <c r="H587" t="inlineStr">
        <is>
          <t>FALSE</t>
        </is>
      </c>
      <c r="I587" t="inlineStr">
        <is>
          <t>strongly disagree = 1 | 2 = 2 | 3 = 3 | 4 = 4 | 5 = 5 | strongly agree = 6</t>
        </is>
      </c>
      <c r="K587" t="inlineStr">
        <is>
          <t>https://pmc.ncbi.nlm.nih.gov/articles/PMC9896786/table/tab2 (hope, optimism and self efficacy items) and https://journals.plos.org/plosone/article?id=10.1371/journal.pone.0247114 (original resilience items 7 to 9)</t>
        </is>
      </c>
    </row>
    <row r="588">
      <c r="A588" t="inlineStr">
        <is>
          <t>CUDIT-R</t>
        </is>
      </c>
      <c r="B588" t="inlineStr">
        <is>
          <t>Cannabis Use Disorders Identification Test, Revised</t>
        </is>
      </c>
      <c r="C588" t="inlineStr">
        <is>
          <t>4. Clinical and distress screening</t>
        </is>
      </c>
      <c r="D588" t="n">
        <v>1</v>
      </c>
      <c r="E588" t="inlineStr">
        <is>
          <t>How often do you use cannabis?</t>
        </is>
      </c>
      <c r="F588" t="inlineStr">
        <is>
          <t>Total</t>
        </is>
      </c>
      <c r="G588" t="inlineStr">
        <is>
          <t>FALSE</t>
        </is>
      </c>
      <c r="H588" t="inlineStr">
        <is>
          <t>FALSE</t>
        </is>
      </c>
      <c r="I588" t="inlineStr">
        <is>
          <t>Never = 0 | Monthly or less = 1 | 2-4 times a month = 2 | 2-3 times a week = 3 | 4 or more times a week = 4</t>
        </is>
      </c>
      <c r="J588" t="inlineStr">
        <is>
          <t>Response options: Never = 0; Monthly or less = 1; 2-4 times a month = 2; 2-3 times a week = 3; 4 or more times a week = 4</t>
        </is>
      </c>
      <c r="K588" t="inlineStr">
        <is>
          <t>https://phenxtoolkit.org/protocols/view/510310</t>
        </is>
      </c>
    </row>
    <row r="589">
      <c r="A589" t="inlineStr">
        <is>
          <t>CUDIT-R</t>
        </is>
      </c>
      <c r="B589" t="inlineStr">
        <is>
          <t>Cannabis Use Disorders Identification Test, Revised</t>
        </is>
      </c>
      <c r="C589" t="inlineStr">
        <is>
          <t>4. Clinical and distress screening</t>
        </is>
      </c>
      <c r="D589" t="n">
        <v>2</v>
      </c>
      <c r="E589" t="inlineStr">
        <is>
          <t>How many hours were you "stoned" on a typical day when you had been using cannabis?</t>
        </is>
      </c>
      <c r="F589" t="inlineStr">
        <is>
          <t>Total</t>
        </is>
      </c>
      <c r="G589" t="inlineStr">
        <is>
          <t>FALSE</t>
        </is>
      </c>
      <c r="H589" t="inlineStr">
        <is>
          <t>FALSE</t>
        </is>
      </c>
      <c r="I589" t="inlineStr">
        <is>
          <t>Less than 1 = 0 | 1 or 2 = 1 | 3 or 4 = 2 | 5 or 6 = 3 | 7 or more = 4</t>
        </is>
      </c>
      <c r="J589" t="inlineStr">
        <is>
          <t>Response options: Less than 1 = 0; 1 or 2 = 1; 3 or 4 = 2; 5 or 6 = 3; 7 or more = 4</t>
        </is>
      </c>
      <c r="K589" t="inlineStr">
        <is>
          <t>https://phenxtoolkit.org/protocols/view/510310</t>
        </is>
      </c>
    </row>
    <row r="590">
      <c r="A590" t="inlineStr">
        <is>
          <t>CUDIT-R</t>
        </is>
      </c>
      <c r="B590" t="inlineStr">
        <is>
          <t>Cannabis Use Disorders Identification Test, Revised</t>
        </is>
      </c>
      <c r="C590" t="inlineStr">
        <is>
          <t>4. Clinical and distress screening</t>
        </is>
      </c>
      <c r="D590" t="n">
        <v>3</v>
      </c>
      <c r="E590" t="inlineStr">
        <is>
          <t>How often during the past 6 months did you find that you were not able to stop using cannabis once you had started?</t>
        </is>
      </c>
      <c r="F590" t="inlineStr">
        <is>
          <t>Total</t>
        </is>
      </c>
      <c r="G590" t="inlineStr">
        <is>
          <t>FALSE</t>
        </is>
      </c>
      <c r="H590" t="inlineStr">
        <is>
          <t>FALSE</t>
        </is>
      </c>
      <c r="I590" t="inlineStr">
        <is>
          <t>Never = 0 | Less than monthly = 1 | Monthly = 2 | Weekly = 3 | Daily or almost daily = 4</t>
        </is>
      </c>
      <c r="J590" t="inlineStr">
        <is>
          <t>Response options: Never = 0; Less than monthly = 1; Monthly = 2; Weekly = 3; Daily or almost daily = 4</t>
        </is>
      </c>
      <c r="K590" t="inlineStr">
        <is>
          <t>https://phenxtoolkit.org/protocols/view/510310</t>
        </is>
      </c>
    </row>
    <row r="591">
      <c r="A591" t="inlineStr">
        <is>
          <t>CUDIT-R</t>
        </is>
      </c>
      <c r="B591" t="inlineStr">
        <is>
          <t>Cannabis Use Disorders Identification Test, Revised</t>
        </is>
      </c>
      <c r="C591" t="inlineStr">
        <is>
          <t>4. Clinical and distress screening</t>
        </is>
      </c>
      <c r="D591" t="n">
        <v>4</v>
      </c>
      <c r="E591" t="inlineStr">
        <is>
          <t>How often during the past 6 months did you fail to do what was normally expected from you because of using cannabis?</t>
        </is>
      </c>
      <c r="F591" t="inlineStr">
        <is>
          <t>Total</t>
        </is>
      </c>
      <c r="G591" t="inlineStr">
        <is>
          <t>FALSE</t>
        </is>
      </c>
      <c r="H591" t="inlineStr">
        <is>
          <t>FALSE</t>
        </is>
      </c>
      <c r="I591" t="inlineStr">
        <is>
          <t>Never = 0 | Less than monthly = 1 | Monthly = 2 | Weekly = 3 | Daily or almost daily = 4</t>
        </is>
      </c>
      <c r="J591" t="inlineStr">
        <is>
          <t>Response options: Never = 0; Less than monthly = 1; Monthly = 2; Weekly = 3; Daily or almost daily = 4</t>
        </is>
      </c>
      <c r="K591" t="inlineStr">
        <is>
          <t>https://phenxtoolkit.org/protocols/view/510310</t>
        </is>
      </c>
    </row>
    <row r="592">
      <c r="A592" t="inlineStr">
        <is>
          <t>CUDIT-R</t>
        </is>
      </c>
      <c r="B592" t="inlineStr">
        <is>
          <t>Cannabis Use Disorders Identification Test, Revised</t>
        </is>
      </c>
      <c r="C592" t="inlineStr">
        <is>
          <t>4. Clinical and distress screening</t>
        </is>
      </c>
      <c r="D592" t="n">
        <v>5</v>
      </c>
      <c r="E592" t="inlineStr">
        <is>
          <t>How often in the past 6 months have you devoted a great deal of your time to getting, using, or recovering from cannabis?</t>
        </is>
      </c>
      <c r="F592" t="inlineStr">
        <is>
          <t>Total</t>
        </is>
      </c>
      <c r="G592" t="inlineStr">
        <is>
          <t>FALSE</t>
        </is>
      </c>
      <c r="H592" t="inlineStr">
        <is>
          <t>FALSE</t>
        </is>
      </c>
      <c r="I592" t="inlineStr">
        <is>
          <t>Never = 0 | Less than monthly = 1 | Monthly = 2 | Weekly = 3 | Daily or almost daily = 4</t>
        </is>
      </c>
      <c r="J592" t="inlineStr">
        <is>
          <t>Response options: Never = 0; Less than monthly = 1; Monthly = 2; Weekly = 3; Daily or almost daily = 4</t>
        </is>
      </c>
      <c r="K592" t="inlineStr">
        <is>
          <t>https://phenxtoolkit.org/protocols/view/510310</t>
        </is>
      </c>
    </row>
    <row r="593">
      <c r="A593" t="inlineStr">
        <is>
          <t>CUDIT-R</t>
        </is>
      </c>
      <c r="B593" t="inlineStr">
        <is>
          <t>Cannabis Use Disorders Identification Test, Revised</t>
        </is>
      </c>
      <c r="C593" t="inlineStr">
        <is>
          <t>4. Clinical and distress screening</t>
        </is>
      </c>
      <c r="D593" t="n">
        <v>6</v>
      </c>
      <c r="E593" t="inlineStr">
        <is>
          <t>How often in the past 6 months have you had a problem with your memory or concentration after using cannabis?</t>
        </is>
      </c>
      <c r="F593" t="inlineStr">
        <is>
          <t>Total</t>
        </is>
      </c>
      <c r="G593" t="inlineStr">
        <is>
          <t>FALSE</t>
        </is>
      </c>
      <c r="H593" t="inlineStr">
        <is>
          <t>FALSE</t>
        </is>
      </c>
      <c r="I593" t="inlineStr">
        <is>
          <t>Never = 0 | Less than monthly = 1 | Monthly = 2 | Weekly = 3 | Daily or almost daily = 4</t>
        </is>
      </c>
      <c r="J593" t="inlineStr">
        <is>
          <t>Response options: Never = 0; Less than monthly = 1; Monthly = 2; Weekly = 3; Daily or almost daily = 4</t>
        </is>
      </c>
      <c r="K593" t="inlineStr">
        <is>
          <t>https://phenxtoolkit.org/protocols/view/510310</t>
        </is>
      </c>
    </row>
    <row r="594">
      <c r="A594" t="inlineStr">
        <is>
          <t>CUDIT-R</t>
        </is>
      </c>
      <c r="B594" t="inlineStr">
        <is>
          <t>Cannabis Use Disorders Identification Test, Revised</t>
        </is>
      </c>
      <c r="C594" t="inlineStr">
        <is>
          <t>4. Clinical and distress screening</t>
        </is>
      </c>
      <c r="D594" t="n">
        <v>7</v>
      </c>
      <c r="E594" t="inlineStr">
        <is>
          <t>How often do you use cannabis in situations that could be physically hazardous, such as driving, operating machinery, or caring for children:</t>
        </is>
      </c>
      <c r="F594" t="inlineStr">
        <is>
          <t>Total</t>
        </is>
      </c>
      <c r="G594" t="inlineStr">
        <is>
          <t>FALSE</t>
        </is>
      </c>
      <c r="H594" t="inlineStr">
        <is>
          <t>FALSE</t>
        </is>
      </c>
      <c r="I594" t="inlineStr">
        <is>
          <t>Never = 0 | Less than monthly = 1 | Monthly = 2 | Weekly = 3 | Daily or almost daily = 4</t>
        </is>
      </c>
      <c r="J594" t="inlineStr">
        <is>
          <t>Response options: Never = 0; Less than monthly = 1; Monthly = 2; Weekly = 3; Daily or almost daily = 4</t>
        </is>
      </c>
      <c r="K594" t="inlineStr">
        <is>
          <t>https://phenxtoolkit.org/protocols/view/510310</t>
        </is>
      </c>
    </row>
    <row r="595">
      <c r="A595" t="inlineStr">
        <is>
          <t>CUDIT-R</t>
        </is>
      </c>
      <c r="B595" t="inlineStr">
        <is>
          <t>Cannabis Use Disorders Identification Test, Revised</t>
        </is>
      </c>
      <c r="C595" t="inlineStr">
        <is>
          <t>4. Clinical and distress screening</t>
        </is>
      </c>
      <c r="D595" t="n">
        <v>8</v>
      </c>
      <c r="E595" t="inlineStr">
        <is>
          <t>Have you ever thought about cutting down, or stopping, your use of cannabis?</t>
        </is>
      </c>
      <c r="F595" t="inlineStr">
        <is>
          <t>Total</t>
        </is>
      </c>
      <c r="G595" t="inlineStr">
        <is>
          <t>FALSE</t>
        </is>
      </c>
      <c r="H595" t="inlineStr">
        <is>
          <t>FALSE</t>
        </is>
      </c>
      <c r="I595" t="inlineStr">
        <is>
          <t>Never = 0 | Yes, but not in the past 6 months = 2 | Yes, during the past 6 months = 4</t>
        </is>
      </c>
      <c r="J595" t="inlineStr">
        <is>
          <t>Response options: Never = 0; Yes, but not in the past 6 months = 2; Yes, during the past 6 months = 4</t>
        </is>
      </c>
      <c r="K595" t="inlineStr">
        <is>
          <t>https://phenxtoolkit.org/protocols/view/510310</t>
        </is>
      </c>
    </row>
    <row r="596">
      <c r="A596" t="inlineStr">
        <is>
          <t>DES-II</t>
        </is>
      </c>
      <c r="B596" t="inlineStr">
        <is>
          <t>Dissociative Experiences Scale II</t>
        </is>
      </c>
      <c r="C596" t="inlineStr">
        <is>
          <t>4. Clinical and distress screening</t>
        </is>
      </c>
      <c r="D596" t="n">
        <v>1</v>
      </c>
      <c r="E596" t="inlineStr">
        <is>
          <t>Some people have the experience of driving or riding in a car or bus or subway and suddenly realizing that they don’t remember what has happened during all or part of the trip.</t>
        </is>
      </c>
      <c r="F596" t="inlineStr">
        <is>
          <t>Total</t>
        </is>
      </c>
      <c r="G596" t="inlineStr">
        <is>
          <t>FALSE</t>
        </is>
      </c>
      <c r="H596" t="inlineStr">
        <is>
          <t>FALSE</t>
        </is>
      </c>
      <c r="I596" t="inlineStr">
        <is>
          <t>0% (Never) = 0 | 10 = 10 | 20 = 20 | 30 = 30 | 40 = 40 | 50 = 50 | 60 = 60 | 70 = 70 | 80 = 80 | 90 = 90 | 100% (Always) = 100</t>
        </is>
      </c>
      <c r="K596" t="inlineStr">
        <is>
          <t>https://www.psychdb.com/_media/dissociative-disorders/des-ii.pdf</t>
        </is>
      </c>
    </row>
    <row r="597">
      <c r="A597" t="inlineStr">
        <is>
          <t>DES-II</t>
        </is>
      </c>
      <c r="B597" t="inlineStr">
        <is>
          <t>Dissociative Experiences Scale II</t>
        </is>
      </c>
      <c r="C597" t="inlineStr">
        <is>
          <t>4. Clinical and distress screening</t>
        </is>
      </c>
      <c r="D597" t="n">
        <v>2</v>
      </c>
      <c r="E597" t="inlineStr">
        <is>
          <t>Some people find that sometimes they are listening to someone talk and they suddenly realize that they did not hear part or all of what was said.</t>
        </is>
      </c>
      <c r="F597" t="inlineStr">
        <is>
          <t>Total</t>
        </is>
      </c>
      <c r="G597" t="inlineStr">
        <is>
          <t>FALSE</t>
        </is>
      </c>
      <c r="H597" t="inlineStr">
        <is>
          <t>FALSE</t>
        </is>
      </c>
      <c r="I597" t="inlineStr">
        <is>
          <t>0% (Never) = 0 | 10 = 10 | 20 = 20 | 30 = 30 | 40 = 40 | 50 = 50 | 60 = 60 | 70 = 70 | 80 = 80 | 90 = 90 | 100% (Always) = 100</t>
        </is>
      </c>
      <c r="K597" t="inlineStr">
        <is>
          <t>https://www.psychdb.com/_media/dissociative-disorders/des-ii.pdf</t>
        </is>
      </c>
    </row>
    <row r="598">
      <c r="A598" t="inlineStr">
        <is>
          <t>DES-II</t>
        </is>
      </c>
      <c r="B598" t="inlineStr">
        <is>
          <t>Dissociative Experiences Scale II</t>
        </is>
      </c>
      <c r="C598" t="inlineStr">
        <is>
          <t>4. Clinical and distress screening</t>
        </is>
      </c>
      <c r="D598" t="n">
        <v>3</v>
      </c>
      <c r="E598" t="inlineStr">
        <is>
          <t>Some people have the experience of finding themselves in a place and have no idea how they got there.</t>
        </is>
      </c>
      <c r="F598" t="inlineStr">
        <is>
          <t>Total</t>
        </is>
      </c>
      <c r="G598" t="inlineStr">
        <is>
          <t>FALSE</t>
        </is>
      </c>
      <c r="H598" t="inlineStr">
        <is>
          <t>FALSE</t>
        </is>
      </c>
      <c r="I598" t="inlineStr">
        <is>
          <t>0% (Never) = 0 | 10 = 10 | 20 = 20 | 30 = 30 | 40 = 40 | 50 = 50 | 60 = 60 | 70 = 70 | 80 = 80 | 90 = 90 | 100% (Always) = 100</t>
        </is>
      </c>
      <c r="K598" t="inlineStr">
        <is>
          <t>https://www.psychdb.com/_media/dissociative-disorders/des-ii.pdf</t>
        </is>
      </c>
    </row>
    <row r="599">
      <c r="A599" t="inlineStr">
        <is>
          <t>DES-II</t>
        </is>
      </c>
      <c r="B599" t="inlineStr">
        <is>
          <t>Dissociative Experiences Scale II</t>
        </is>
      </c>
      <c r="C599" t="inlineStr">
        <is>
          <t>4. Clinical and distress screening</t>
        </is>
      </c>
      <c r="D599" t="n">
        <v>4</v>
      </c>
      <c r="E599" t="inlineStr">
        <is>
          <t>Some people have the experience of finding themselves dressed in clothes that they don’t remember putting on.</t>
        </is>
      </c>
      <c r="F599" t="inlineStr">
        <is>
          <t>Total</t>
        </is>
      </c>
      <c r="G599" t="inlineStr">
        <is>
          <t>FALSE</t>
        </is>
      </c>
      <c r="H599" t="inlineStr">
        <is>
          <t>FALSE</t>
        </is>
      </c>
      <c r="I599" t="inlineStr">
        <is>
          <t>0% (Never) = 0 | 10 = 10 | 20 = 20 | 30 = 30 | 40 = 40 | 50 = 50 | 60 = 60 | 70 = 70 | 80 = 80 | 90 = 90 | 100% (Always) = 100</t>
        </is>
      </c>
      <c r="K599" t="inlineStr">
        <is>
          <t>https://www.psychdb.com/_media/dissociative-disorders/des-ii.pdf</t>
        </is>
      </c>
    </row>
    <row r="600">
      <c r="A600" t="inlineStr">
        <is>
          <t>DES-II</t>
        </is>
      </c>
      <c r="B600" t="inlineStr">
        <is>
          <t>Dissociative Experiences Scale II</t>
        </is>
      </c>
      <c r="C600" t="inlineStr">
        <is>
          <t>4. Clinical and distress screening</t>
        </is>
      </c>
      <c r="D600" t="n">
        <v>5</v>
      </c>
      <c r="E600" t="inlineStr">
        <is>
          <t>Some people have the experience of finding new things among their belongings that they do not remember buying.</t>
        </is>
      </c>
      <c r="F600" t="inlineStr">
        <is>
          <t>Total</t>
        </is>
      </c>
      <c r="G600" t="inlineStr">
        <is>
          <t>FALSE</t>
        </is>
      </c>
      <c r="H600" t="inlineStr">
        <is>
          <t>FALSE</t>
        </is>
      </c>
      <c r="I600" t="inlineStr">
        <is>
          <t>0% (Never) = 0 | 10 = 10 | 20 = 20 | 30 = 30 | 40 = 40 | 50 = 50 | 60 = 60 | 70 = 70 | 80 = 80 | 90 = 90 | 100% (Always) = 100</t>
        </is>
      </c>
      <c r="K600" t="inlineStr">
        <is>
          <t>https://www.psychdb.com/_media/dissociative-disorders/des-ii.pdf</t>
        </is>
      </c>
    </row>
    <row r="601">
      <c r="A601" t="inlineStr">
        <is>
          <t>DES-II</t>
        </is>
      </c>
      <c r="B601" t="inlineStr">
        <is>
          <t>Dissociative Experiences Scale II</t>
        </is>
      </c>
      <c r="C601" t="inlineStr">
        <is>
          <t>4. Clinical and distress screening</t>
        </is>
      </c>
      <c r="D601" t="n">
        <v>6</v>
      </c>
      <c r="E601" t="inlineStr">
        <is>
          <t>Some people sometimes find that they are approached by people that they do not know, who call them by another name or insist that they have met them before.</t>
        </is>
      </c>
      <c r="F601" t="inlineStr">
        <is>
          <t>Total</t>
        </is>
      </c>
      <c r="G601" t="inlineStr">
        <is>
          <t>FALSE</t>
        </is>
      </c>
      <c r="H601" t="inlineStr">
        <is>
          <t>FALSE</t>
        </is>
      </c>
      <c r="I601" t="inlineStr">
        <is>
          <t>0% (Never) = 0 | 10 = 10 | 20 = 20 | 30 = 30 | 40 = 40 | 50 = 50 | 60 = 60 | 70 = 70 | 80 = 80 | 90 = 90 | 100% (Always) = 100</t>
        </is>
      </c>
      <c r="K601" t="inlineStr">
        <is>
          <t>https://www.psychdb.com/_media/dissociative-disorders/des-ii.pdf</t>
        </is>
      </c>
    </row>
    <row r="602">
      <c r="A602" t="inlineStr">
        <is>
          <t>DES-II</t>
        </is>
      </c>
      <c r="B602" t="inlineStr">
        <is>
          <t>Dissociative Experiences Scale II</t>
        </is>
      </c>
      <c r="C602" t="inlineStr">
        <is>
          <t>4. Clinical and distress screening</t>
        </is>
      </c>
      <c r="D602" t="n">
        <v>7</v>
      </c>
      <c r="E602" t="inlineStr">
        <is>
          <t>Some people sometimes have the experience of feeling as though they are standing next to themselves or watching themselves do something and they actually see themselves as if they were looking at another person.</t>
        </is>
      </c>
      <c r="F602" t="inlineStr">
        <is>
          <t>Total</t>
        </is>
      </c>
      <c r="G602" t="inlineStr">
        <is>
          <t>FALSE</t>
        </is>
      </c>
      <c r="H602" t="inlineStr">
        <is>
          <t>FALSE</t>
        </is>
      </c>
      <c r="I602" t="inlineStr">
        <is>
          <t>0% (Never) = 0 | 10 = 10 | 20 = 20 | 30 = 30 | 40 = 40 | 50 = 50 | 60 = 60 | 70 = 70 | 80 = 80 | 90 = 90 | 100% (Always) = 100</t>
        </is>
      </c>
      <c r="K602" t="inlineStr">
        <is>
          <t>https://www.psychdb.com/_media/dissociative-disorders/des-ii.pdf</t>
        </is>
      </c>
    </row>
    <row r="603">
      <c r="A603" t="inlineStr">
        <is>
          <t>DES-II</t>
        </is>
      </c>
      <c r="B603" t="inlineStr">
        <is>
          <t>Dissociative Experiences Scale II</t>
        </is>
      </c>
      <c r="C603" t="inlineStr">
        <is>
          <t>4. Clinical and distress screening</t>
        </is>
      </c>
      <c r="D603" t="n">
        <v>8</v>
      </c>
      <c r="E603" t="inlineStr">
        <is>
          <t>Some people are told that they sometimes do not recognize friends of family members.</t>
        </is>
      </c>
      <c r="F603" t="inlineStr">
        <is>
          <t>Total</t>
        </is>
      </c>
      <c r="G603" t="inlineStr">
        <is>
          <t>FALSE</t>
        </is>
      </c>
      <c r="H603" t="inlineStr">
        <is>
          <t>FALSE</t>
        </is>
      </c>
      <c r="I603" t="inlineStr">
        <is>
          <t>0% (Never) = 0 | 10 = 10 | 20 = 20 | 30 = 30 | 40 = 40 | 50 = 50 | 60 = 60 | 70 = 70 | 80 = 80 | 90 = 90 | 100% (Always) = 100</t>
        </is>
      </c>
      <c r="J603" t="inlineStr">
        <is>
          <t>'friends of family members' as printed on the psychdb form; the original reads 'friends or family members'.</t>
        </is>
      </c>
      <c r="K603" t="inlineStr">
        <is>
          <t>https://www.psychdb.com/_media/dissociative-disorders/des-ii.pdf</t>
        </is>
      </c>
    </row>
    <row r="604">
      <c r="A604" t="inlineStr">
        <is>
          <t>DES-II</t>
        </is>
      </c>
      <c r="B604" t="inlineStr">
        <is>
          <t>Dissociative Experiences Scale II</t>
        </is>
      </c>
      <c r="C604" t="inlineStr">
        <is>
          <t>4. Clinical and distress screening</t>
        </is>
      </c>
      <c r="D604" t="n">
        <v>9</v>
      </c>
      <c r="E604" t="inlineStr">
        <is>
          <t>Some people find that they have no memory for some important events in their lives (for example, a wedding or graduation).</t>
        </is>
      </c>
      <c r="F604" t="inlineStr">
        <is>
          <t>Total</t>
        </is>
      </c>
      <c r="G604" t="inlineStr">
        <is>
          <t>FALSE</t>
        </is>
      </c>
      <c r="H604" t="inlineStr">
        <is>
          <t>FALSE</t>
        </is>
      </c>
      <c r="I604" t="inlineStr">
        <is>
          <t>0% (Never) = 0 | 10 = 10 | 20 = 20 | 30 = 30 | 40 = 40 | 50 = 50 | 60 = 60 | 70 = 70 | 80 = 80 | 90 = 90 | 100% (Always) = 100</t>
        </is>
      </c>
      <c r="K604" t="inlineStr">
        <is>
          <t>https://www.psychdb.com/_media/dissociative-disorders/des-ii.pdf</t>
        </is>
      </c>
    </row>
    <row r="605">
      <c r="A605" t="inlineStr">
        <is>
          <t>DES-II</t>
        </is>
      </c>
      <c r="B605" t="inlineStr">
        <is>
          <t>Dissociative Experiences Scale II</t>
        </is>
      </c>
      <c r="C605" t="inlineStr">
        <is>
          <t>4. Clinical and distress screening</t>
        </is>
      </c>
      <c r="D605" t="n">
        <v>10</v>
      </c>
      <c r="E605" t="inlineStr">
        <is>
          <t>Some people have the experience of being accused of lying when they do not think that they have lied.</t>
        </is>
      </c>
      <c r="F605" t="inlineStr">
        <is>
          <t>Total</t>
        </is>
      </c>
      <c r="G605" t="inlineStr">
        <is>
          <t>FALSE</t>
        </is>
      </c>
      <c r="H605" t="inlineStr">
        <is>
          <t>FALSE</t>
        </is>
      </c>
      <c r="I605" t="inlineStr">
        <is>
          <t>0% (Never) = 0 | 10 = 10 | 20 = 20 | 30 = 30 | 40 = 40 | 50 = 50 | 60 = 60 | 70 = 70 | 80 = 80 | 90 = 90 | 100% (Always) = 100</t>
        </is>
      </c>
      <c r="K605" t="inlineStr">
        <is>
          <t>https://www.psychdb.com/_media/dissociative-disorders/des-ii.pdf</t>
        </is>
      </c>
    </row>
    <row r="606">
      <c r="A606" t="inlineStr">
        <is>
          <t>DES-II</t>
        </is>
      </c>
      <c r="B606" t="inlineStr">
        <is>
          <t>Dissociative Experiences Scale II</t>
        </is>
      </c>
      <c r="C606" t="inlineStr">
        <is>
          <t>4. Clinical and distress screening</t>
        </is>
      </c>
      <c r="D606" t="n">
        <v>11</v>
      </c>
      <c r="E606" t="inlineStr">
        <is>
          <t>Some people have the experience of looking in a mirror and not recognizing themselves.</t>
        </is>
      </c>
      <c r="F606" t="inlineStr">
        <is>
          <t>Total</t>
        </is>
      </c>
      <c r="G606" t="inlineStr">
        <is>
          <t>FALSE</t>
        </is>
      </c>
      <c r="H606" t="inlineStr">
        <is>
          <t>FALSE</t>
        </is>
      </c>
      <c r="I606" t="inlineStr">
        <is>
          <t>0% (Never) = 0 | 10 = 10 | 20 = 20 | 30 = 30 | 40 = 40 | 50 = 50 | 60 = 60 | 70 = 70 | 80 = 80 | 90 = 90 | 100% (Always) = 100</t>
        </is>
      </c>
      <c r="K606" t="inlineStr">
        <is>
          <t>https://www.psychdb.com/_media/dissociative-disorders/des-ii.pdf</t>
        </is>
      </c>
    </row>
    <row r="607">
      <c r="A607" t="inlineStr">
        <is>
          <t>DES-II</t>
        </is>
      </c>
      <c r="B607" t="inlineStr">
        <is>
          <t>Dissociative Experiences Scale II</t>
        </is>
      </c>
      <c r="C607" t="inlineStr">
        <is>
          <t>4. Clinical and distress screening</t>
        </is>
      </c>
      <c r="D607" t="n">
        <v>12</v>
      </c>
      <c r="E607" t="inlineStr">
        <is>
          <t>Some people have the experience of feeling that other people, objects, and the world around them are not real.</t>
        </is>
      </c>
      <c r="F607" t="inlineStr">
        <is>
          <t>Total</t>
        </is>
      </c>
      <c r="G607" t="inlineStr">
        <is>
          <t>FALSE</t>
        </is>
      </c>
      <c r="H607" t="inlineStr">
        <is>
          <t>FALSE</t>
        </is>
      </c>
      <c r="I607" t="inlineStr">
        <is>
          <t>0% (Never) = 0 | 10 = 10 | 20 = 20 | 30 = 30 | 40 = 40 | 50 = 50 | 60 = 60 | 70 = 70 | 80 = 80 | 90 = 90 | 100% (Always) = 100</t>
        </is>
      </c>
      <c r="K607" t="inlineStr">
        <is>
          <t>https://www.psychdb.com/_media/dissociative-disorders/des-ii.pdf</t>
        </is>
      </c>
    </row>
    <row r="608">
      <c r="A608" t="inlineStr">
        <is>
          <t>DES-II</t>
        </is>
      </c>
      <c r="B608" t="inlineStr">
        <is>
          <t>Dissociative Experiences Scale II</t>
        </is>
      </c>
      <c r="C608" t="inlineStr">
        <is>
          <t>4. Clinical and distress screening</t>
        </is>
      </c>
      <c r="D608" t="n">
        <v>13</v>
      </c>
      <c r="E608" t="inlineStr">
        <is>
          <t>Some people have the experience of feeling that their body does not seem to belong to them.</t>
        </is>
      </c>
      <c r="F608" t="inlineStr">
        <is>
          <t>Total</t>
        </is>
      </c>
      <c r="G608" t="inlineStr">
        <is>
          <t>FALSE</t>
        </is>
      </c>
      <c r="H608" t="inlineStr">
        <is>
          <t>FALSE</t>
        </is>
      </c>
      <c r="I608" t="inlineStr">
        <is>
          <t>0% (Never) = 0 | 10 = 10 | 20 = 20 | 30 = 30 | 40 = 40 | 50 = 50 | 60 = 60 | 70 = 70 | 80 = 80 | 90 = 90 | 100% (Always) = 100</t>
        </is>
      </c>
      <c r="K608" t="inlineStr">
        <is>
          <t>https://www.psychdb.com/_media/dissociative-disorders/des-ii.pdf</t>
        </is>
      </c>
    </row>
    <row r="609">
      <c r="A609" t="inlineStr">
        <is>
          <t>DES-II</t>
        </is>
      </c>
      <c r="B609" t="inlineStr">
        <is>
          <t>Dissociative Experiences Scale II</t>
        </is>
      </c>
      <c r="C609" t="inlineStr">
        <is>
          <t>4. Clinical and distress screening</t>
        </is>
      </c>
      <c r="D609" t="n">
        <v>14</v>
      </c>
      <c r="E609" t="inlineStr">
        <is>
          <t>Some people have the experience of sometimes remembering a past event so vividly that they feel as if they were reliving that event.</t>
        </is>
      </c>
      <c r="F609" t="inlineStr">
        <is>
          <t>Total</t>
        </is>
      </c>
      <c r="G609" t="inlineStr">
        <is>
          <t>FALSE</t>
        </is>
      </c>
      <c r="H609" t="inlineStr">
        <is>
          <t>FALSE</t>
        </is>
      </c>
      <c r="I609" t="inlineStr">
        <is>
          <t>0% (Never) = 0 | 10 = 10 | 20 = 20 | 30 = 30 | 40 = 40 | 50 = 50 | 60 = 60 | 70 = 70 | 80 = 80 | 90 = 90 | 100% (Always) = 100</t>
        </is>
      </c>
      <c r="K609" t="inlineStr">
        <is>
          <t>https://www.psychdb.com/_media/dissociative-disorders/des-ii.pdf</t>
        </is>
      </c>
    </row>
    <row r="610">
      <c r="A610" t="inlineStr">
        <is>
          <t>DES-II</t>
        </is>
      </c>
      <c r="B610" t="inlineStr">
        <is>
          <t>Dissociative Experiences Scale II</t>
        </is>
      </c>
      <c r="C610" t="inlineStr">
        <is>
          <t>4. Clinical and distress screening</t>
        </is>
      </c>
      <c r="D610" t="n">
        <v>15</v>
      </c>
      <c r="E610" t="inlineStr">
        <is>
          <t>Some people have the experience of not being sure whether things that they remember happening really did happen or whether they just dreamed them.</t>
        </is>
      </c>
      <c r="F610" t="inlineStr">
        <is>
          <t>Total</t>
        </is>
      </c>
      <c r="G610" t="inlineStr">
        <is>
          <t>FALSE</t>
        </is>
      </c>
      <c r="H610" t="inlineStr">
        <is>
          <t>FALSE</t>
        </is>
      </c>
      <c r="I610" t="inlineStr">
        <is>
          <t>0% (Never) = 0 | 10 = 10 | 20 = 20 | 30 = 30 | 40 = 40 | 50 = 50 | 60 = 60 | 70 = 70 | 80 = 80 | 90 = 90 | 100% (Always) = 100</t>
        </is>
      </c>
      <c r="K610" t="inlineStr">
        <is>
          <t>https://www.psychdb.com/_media/dissociative-disorders/des-ii.pdf</t>
        </is>
      </c>
    </row>
    <row r="611">
      <c r="A611" t="inlineStr">
        <is>
          <t>DES-II</t>
        </is>
      </c>
      <c r="B611" t="inlineStr">
        <is>
          <t>Dissociative Experiences Scale II</t>
        </is>
      </c>
      <c r="C611" t="inlineStr">
        <is>
          <t>4. Clinical and distress screening</t>
        </is>
      </c>
      <c r="D611" t="n">
        <v>16</v>
      </c>
      <c r="E611" t="inlineStr">
        <is>
          <t>Some people have the experience of being in a familiar place but finding it strange and unfamiliar.</t>
        </is>
      </c>
      <c r="F611" t="inlineStr">
        <is>
          <t>Total</t>
        </is>
      </c>
      <c r="G611" t="inlineStr">
        <is>
          <t>FALSE</t>
        </is>
      </c>
      <c r="H611" t="inlineStr">
        <is>
          <t>FALSE</t>
        </is>
      </c>
      <c r="I611" t="inlineStr">
        <is>
          <t>0% (Never) = 0 | 10 = 10 | 20 = 20 | 30 = 30 | 40 = 40 | 50 = 50 | 60 = 60 | 70 = 70 | 80 = 80 | 90 = 90 | 100% (Always) = 100</t>
        </is>
      </c>
      <c r="K611" t="inlineStr">
        <is>
          <t>https://www.psychdb.com/_media/dissociative-disorders/des-ii.pdf</t>
        </is>
      </c>
    </row>
    <row r="612">
      <c r="A612" t="inlineStr">
        <is>
          <t>DES-II</t>
        </is>
      </c>
      <c r="B612" t="inlineStr">
        <is>
          <t>Dissociative Experiences Scale II</t>
        </is>
      </c>
      <c r="C612" t="inlineStr">
        <is>
          <t>4. Clinical and distress screening</t>
        </is>
      </c>
      <c r="D612" t="n">
        <v>17</v>
      </c>
      <c r="E612" t="inlineStr">
        <is>
          <t>Some people find that when they are watching television or a movie they become so absorbed in the story that they are unaware of other events happening around them.</t>
        </is>
      </c>
      <c r="F612" t="inlineStr">
        <is>
          <t>Total</t>
        </is>
      </c>
      <c r="G612" t="inlineStr">
        <is>
          <t>FALSE</t>
        </is>
      </c>
      <c r="H612" t="inlineStr">
        <is>
          <t>FALSE</t>
        </is>
      </c>
      <c r="I612" t="inlineStr">
        <is>
          <t>0% (Never) = 0 | 10 = 10 | 20 = 20 | 30 = 30 | 40 = 40 | 50 = 50 | 60 = 60 | 70 = 70 | 80 = 80 | 90 = 90 | 100% (Always) = 100</t>
        </is>
      </c>
      <c r="K612" t="inlineStr">
        <is>
          <t>https://www.psychdb.com/_media/dissociative-disorders/des-ii.pdf</t>
        </is>
      </c>
    </row>
    <row r="613">
      <c r="A613" t="inlineStr">
        <is>
          <t>DES-II</t>
        </is>
      </c>
      <c r="B613" t="inlineStr">
        <is>
          <t>Dissociative Experiences Scale II</t>
        </is>
      </c>
      <c r="C613" t="inlineStr">
        <is>
          <t>4. Clinical and distress screening</t>
        </is>
      </c>
      <c r="D613" t="n">
        <v>18</v>
      </c>
      <c r="E613" t="inlineStr">
        <is>
          <t>Some people find that they become so involved in a fantasy or daydream that it feels as though it were really happening to them.</t>
        </is>
      </c>
      <c r="F613" t="inlineStr">
        <is>
          <t>Total</t>
        </is>
      </c>
      <c r="G613" t="inlineStr">
        <is>
          <t>FALSE</t>
        </is>
      </c>
      <c r="H613" t="inlineStr">
        <is>
          <t>FALSE</t>
        </is>
      </c>
      <c r="I613" t="inlineStr">
        <is>
          <t>0% (Never) = 0 | 10 = 10 | 20 = 20 | 30 = 30 | 40 = 40 | 50 = 50 | 60 = 60 | 70 = 70 | 80 = 80 | 90 = 90 | 100% (Always) = 100</t>
        </is>
      </c>
      <c r="K613" t="inlineStr">
        <is>
          <t>https://www.psychdb.com/_media/dissociative-disorders/des-ii.pdf</t>
        </is>
      </c>
    </row>
    <row r="614">
      <c r="A614" t="inlineStr">
        <is>
          <t>DES-II</t>
        </is>
      </c>
      <c r="B614" t="inlineStr">
        <is>
          <t>Dissociative Experiences Scale II</t>
        </is>
      </c>
      <c r="C614" t="inlineStr">
        <is>
          <t>4. Clinical and distress screening</t>
        </is>
      </c>
      <c r="D614" t="n">
        <v>19</v>
      </c>
      <c r="E614" t="inlineStr">
        <is>
          <t>Some people find that they sometimes are able to ignore pain.</t>
        </is>
      </c>
      <c r="F614" t="inlineStr">
        <is>
          <t>Total</t>
        </is>
      </c>
      <c r="G614" t="inlineStr">
        <is>
          <t>FALSE</t>
        </is>
      </c>
      <c r="H614" t="inlineStr">
        <is>
          <t>FALSE</t>
        </is>
      </c>
      <c r="I614" t="inlineStr">
        <is>
          <t>0% (Never) = 0 | 10 = 10 | 20 = 20 | 30 = 30 | 40 = 40 | 50 = 50 | 60 = 60 | 70 = 70 | 80 = 80 | 90 = 90 | 100% (Always) = 100</t>
        </is>
      </c>
      <c r="K614" t="inlineStr">
        <is>
          <t>https://www.psychdb.com/_media/dissociative-disorders/des-ii.pdf</t>
        </is>
      </c>
    </row>
    <row r="615">
      <c r="A615" t="inlineStr">
        <is>
          <t>DES-II</t>
        </is>
      </c>
      <c r="B615" t="inlineStr">
        <is>
          <t>Dissociative Experiences Scale II</t>
        </is>
      </c>
      <c r="C615" t="inlineStr">
        <is>
          <t>4. Clinical and distress screening</t>
        </is>
      </c>
      <c r="D615" t="n">
        <v>20</v>
      </c>
      <c r="E615" t="inlineStr">
        <is>
          <t>Some people find that they sometimes sit staring off into space, thinking of nothing, and are not aware of the passage of time.</t>
        </is>
      </c>
      <c r="F615" t="inlineStr">
        <is>
          <t>Total</t>
        </is>
      </c>
      <c r="G615" t="inlineStr">
        <is>
          <t>FALSE</t>
        </is>
      </c>
      <c r="H615" t="inlineStr">
        <is>
          <t>FALSE</t>
        </is>
      </c>
      <c r="I615" t="inlineStr">
        <is>
          <t>0% (Never) = 0 | 10 = 10 | 20 = 20 | 30 = 30 | 40 = 40 | 50 = 50 | 60 = 60 | 70 = 70 | 80 = 80 | 90 = 90 | 100% (Always) = 100</t>
        </is>
      </c>
      <c r="K615" t="inlineStr">
        <is>
          <t>https://www.psychdb.com/_media/dissociative-disorders/des-ii.pdf</t>
        </is>
      </c>
    </row>
    <row r="616">
      <c r="A616" t="inlineStr">
        <is>
          <t>DES-II</t>
        </is>
      </c>
      <c r="B616" t="inlineStr">
        <is>
          <t>Dissociative Experiences Scale II</t>
        </is>
      </c>
      <c r="C616" t="inlineStr">
        <is>
          <t>4. Clinical and distress screening</t>
        </is>
      </c>
      <c r="D616" t="n">
        <v>21</v>
      </c>
      <c r="E616" t="inlineStr">
        <is>
          <t>Some people sometimes find that when they are alone they talk out loud to themselves.</t>
        </is>
      </c>
      <c r="F616" t="inlineStr">
        <is>
          <t>Total</t>
        </is>
      </c>
      <c r="G616" t="inlineStr">
        <is>
          <t>FALSE</t>
        </is>
      </c>
      <c r="H616" t="inlineStr">
        <is>
          <t>FALSE</t>
        </is>
      </c>
      <c r="I616" t="inlineStr">
        <is>
          <t>0% (Never) = 0 | 10 = 10 | 20 = 20 | 30 = 30 | 40 = 40 | 50 = 50 | 60 = 60 | 70 = 70 | 80 = 80 | 90 = 90 | 100% (Always) = 100</t>
        </is>
      </c>
      <c r="K616" t="inlineStr">
        <is>
          <t>https://www.psychdb.com/_media/dissociative-disorders/des-ii.pdf</t>
        </is>
      </c>
    </row>
    <row r="617">
      <c r="A617" t="inlineStr">
        <is>
          <t>DES-II</t>
        </is>
      </c>
      <c r="B617" t="inlineStr">
        <is>
          <t>Dissociative Experiences Scale II</t>
        </is>
      </c>
      <c r="C617" t="inlineStr">
        <is>
          <t>4. Clinical and distress screening</t>
        </is>
      </c>
      <c r="D617" t="n">
        <v>22</v>
      </c>
      <c r="E617" t="inlineStr">
        <is>
          <t>Some people find that in one situation they may act so differently compared with another situation that they feel almost as if they were two different people.</t>
        </is>
      </c>
      <c r="F617" t="inlineStr">
        <is>
          <t>Total</t>
        </is>
      </c>
      <c r="G617" t="inlineStr">
        <is>
          <t>FALSE</t>
        </is>
      </c>
      <c r="H617" t="inlineStr">
        <is>
          <t>FALSE</t>
        </is>
      </c>
      <c r="I617" t="inlineStr">
        <is>
          <t>0% (Never) = 0 | 10 = 10 | 20 = 20 | 30 = 30 | 40 = 40 | 50 = 50 | 60 = 60 | 70 = 70 | 80 = 80 | 90 = 90 | 100% (Always) = 100</t>
        </is>
      </c>
      <c r="K617" t="inlineStr">
        <is>
          <t>https://www.psychdb.com/_media/dissociative-disorders/des-ii.pdf</t>
        </is>
      </c>
    </row>
    <row r="618">
      <c r="A618" t="inlineStr">
        <is>
          <t>DES-II</t>
        </is>
      </c>
      <c r="B618" t="inlineStr">
        <is>
          <t>Dissociative Experiences Scale II</t>
        </is>
      </c>
      <c r="C618" t="inlineStr">
        <is>
          <t>4. Clinical and distress screening</t>
        </is>
      </c>
      <c r="D618" t="n">
        <v>23</v>
      </c>
      <c r="E618" t="inlineStr">
        <is>
          <t>Some people sometimes find that in certain situations they are able to do things with amazing ease and spontaneity that would usually be difficult for them (for example, sports, work, social situations, etc.).</t>
        </is>
      </c>
      <c r="F618" t="inlineStr">
        <is>
          <t>Total</t>
        </is>
      </c>
      <c r="G618" t="inlineStr">
        <is>
          <t>FALSE</t>
        </is>
      </c>
      <c r="H618" t="inlineStr">
        <is>
          <t>FALSE</t>
        </is>
      </c>
      <c r="I618" t="inlineStr">
        <is>
          <t>0% (Never) = 0 | 10 = 10 | 20 = 20 | 30 = 30 | 40 = 40 | 50 = 50 | 60 = 60 | 70 = 70 | 80 = 80 | 90 = 90 | 100% (Always) = 100</t>
        </is>
      </c>
      <c r="K618" t="inlineStr">
        <is>
          <t>https://www.psychdb.com/_media/dissociative-disorders/des-ii.pdf</t>
        </is>
      </c>
    </row>
    <row r="619">
      <c r="A619" t="inlineStr">
        <is>
          <t>DES-II</t>
        </is>
      </c>
      <c r="B619" t="inlineStr">
        <is>
          <t>Dissociative Experiences Scale II</t>
        </is>
      </c>
      <c r="C619" t="inlineStr">
        <is>
          <t>4. Clinical and distress screening</t>
        </is>
      </c>
      <c r="D619" t="n">
        <v>24</v>
      </c>
      <c r="E619" t="inlineStr">
        <is>
          <t>Some people sometimes find that they cannot remember whether they have done something or have just thought about doing that thing (for example, not knowing whether they have just mailed a letter or have just thought about mailing it).</t>
        </is>
      </c>
      <c r="F619" t="inlineStr">
        <is>
          <t>Total</t>
        </is>
      </c>
      <c r="G619" t="inlineStr">
        <is>
          <t>FALSE</t>
        </is>
      </c>
      <c r="H619" t="inlineStr">
        <is>
          <t>FALSE</t>
        </is>
      </c>
      <c r="I619" t="inlineStr">
        <is>
          <t>0% (Never) = 0 | 10 = 10 | 20 = 20 | 30 = 30 | 40 = 40 | 50 = 50 | 60 = 60 | 70 = 70 | 80 = 80 | 90 = 90 | 100% (Always) = 100</t>
        </is>
      </c>
      <c r="K619" t="inlineStr">
        <is>
          <t>https://www.psychdb.com/_media/dissociative-disorders/des-ii.pdf</t>
        </is>
      </c>
    </row>
    <row r="620">
      <c r="A620" t="inlineStr">
        <is>
          <t>DES-II</t>
        </is>
      </c>
      <c r="B620" t="inlineStr">
        <is>
          <t>Dissociative Experiences Scale II</t>
        </is>
      </c>
      <c r="C620" t="inlineStr">
        <is>
          <t>4. Clinical and distress screening</t>
        </is>
      </c>
      <c r="D620" t="n">
        <v>25</v>
      </c>
      <c r="E620" t="inlineStr">
        <is>
          <t>Some people find evidence that they have done things that they do not remember doing.</t>
        </is>
      </c>
      <c r="F620" t="inlineStr">
        <is>
          <t>Total</t>
        </is>
      </c>
      <c r="G620" t="inlineStr">
        <is>
          <t>FALSE</t>
        </is>
      </c>
      <c r="H620" t="inlineStr">
        <is>
          <t>FALSE</t>
        </is>
      </c>
      <c r="I620" t="inlineStr">
        <is>
          <t>0% (Never) = 0 | 10 = 10 | 20 = 20 | 30 = 30 | 40 = 40 | 50 = 50 | 60 = 60 | 70 = 70 | 80 = 80 | 90 = 90 | 100% (Always) = 100</t>
        </is>
      </c>
      <c r="K620" t="inlineStr">
        <is>
          <t>https://www.psychdb.com/_media/dissociative-disorders/des-ii.pdf</t>
        </is>
      </c>
    </row>
    <row r="621">
      <c r="A621" t="inlineStr">
        <is>
          <t>DES-II</t>
        </is>
      </c>
      <c r="B621" t="inlineStr">
        <is>
          <t>Dissociative Experiences Scale II</t>
        </is>
      </c>
      <c r="C621" t="inlineStr">
        <is>
          <t>4. Clinical and distress screening</t>
        </is>
      </c>
      <c r="D621" t="n">
        <v>26</v>
      </c>
      <c r="E621" t="inlineStr">
        <is>
          <t>Some people sometimes find writings, drawings, or notes among their belongings that they must have done but cannot remember doing.</t>
        </is>
      </c>
      <c r="F621" t="inlineStr">
        <is>
          <t>Total</t>
        </is>
      </c>
      <c r="G621" t="inlineStr">
        <is>
          <t>FALSE</t>
        </is>
      </c>
      <c r="H621" t="inlineStr">
        <is>
          <t>FALSE</t>
        </is>
      </c>
      <c r="I621" t="inlineStr">
        <is>
          <t>0% (Never) = 0 | 10 = 10 | 20 = 20 | 30 = 30 | 40 = 40 | 50 = 50 | 60 = 60 | 70 = 70 | 80 = 80 | 90 = 90 | 100% (Always) = 100</t>
        </is>
      </c>
      <c r="K621" t="inlineStr">
        <is>
          <t>https://www.psychdb.com/_media/dissociative-disorders/des-ii.pdf</t>
        </is>
      </c>
    </row>
    <row r="622">
      <c r="A622" t="inlineStr">
        <is>
          <t>DES-II</t>
        </is>
      </c>
      <c r="B622" t="inlineStr">
        <is>
          <t>Dissociative Experiences Scale II</t>
        </is>
      </c>
      <c r="C622" t="inlineStr">
        <is>
          <t>4. Clinical and distress screening</t>
        </is>
      </c>
      <c r="D622" t="n">
        <v>27</v>
      </c>
      <c r="E622" t="inlineStr">
        <is>
          <t>Some people sometimes find that they hear voices inside their head that tell them to do things or comment on things that they are doing.</t>
        </is>
      </c>
      <c r="F622" t="inlineStr">
        <is>
          <t>Total</t>
        </is>
      </c>
      <c r="G622" t="inlineStr">
        <is>
          <t>FALSE</t>
        </is>
      </c>
      <c r="H622" t="inlineStr">
        <is>
          <t>FALSE</t>
        </is>
      </c>
      <c r="I622" t="inlineStr">
        <is>
          <t>0% (Never) = 0 | 10 = 10 | 20 = 20 | 30 = 30 | 40 = 40 | 50 = 50 | 60 = 60 | 70 = 70 | 80 = 80 | 90 = 90 | 100% (Always) = 100</t>
        </is>
      </c>
      <c r="K622" t="inlineStr">
        <is>
          <t>https://www.psychdb.com/_media/dissociative-disorders/des-ii.pdf</t>
        </is>
      </c>
    </row>
    <row r="623">
      <c r="A623" t="inlineStr">
        <is>
          <t>DES-II</t>
        </is>
      </c>
      <c r="B623" t="inlineStr">
        <is>
          <t>Dissociative Experiences Scale II</t>
        </is>
      </c>
      <c r="C623" t="inlineStr">
        <is>
          <t>4. Clinical and distress screening</t>
        </is>
      </c>
      <c r="D623" t="n">
        <v>28</v>
      </c>
      <c r="E623" t="inlineStr">
        <is>
          <t>Some people sometimes feel as if they are looking at the world through a fog, so that people and objects appear far away or unclear.</t>
        </is>
      </c>
      <c r="F623" t="inlineStr">
        <is>
          <t>Total</t>
        </is>
      </c>
      <c r="G623" t="inlineStr">
        <is>
          <t>FALSE</t>
        </is>
      </c>
      <c r="H623" t="inlineStr">
        <is>
          <t>FALSE</t>
        </is>
      </c>
      <c r="I623" t="inlineStr">
        <is>
          <t>0% (Never) = 0 | 10 = 10 | 20 = 20 | 30 = 30 | 40 = 40 | 50 = 50 | 60 = 60 | 70 = 70 | 80 = 80 | 90 = 90 | 100% (Always) = 100</t>
        </is>
      </c>
      <c r="K623" t="inlineStr">
        <is>
          <t>https://www.psychdb.com/_media/dissociative-disorders/des-ii.pdf</t>
        </is>
      </c>
    </row>
    <row r="624">
      <c r="A624" t="inlineStr">
        <is>
          <t>FMPS-B</t>
        </is>
      </c>
      <c r="B624" t="inlineStr">
        <is>
          <t>Frost Multidimensional Perfectionism Scale, Brief</t>
        </is>
      </c>
      <c r="C624" t="inlineStr">
        <is>
          <t>5. Self talk, thinking patterns and personality</t>
        </is>
      </c>
      <c r="D624" t="n">
        <v>1</v>
      </c>
      <c r="E624" t="inlineStr">
        <is>
          <t>If I fail at work/school, I am a failure as a person</t>
        </is>
      </c>
      <c r="F624" t="inlineStr">
        <is>
          <t>Evaluative Concerns</t>
        </is>
      </c>
      <c r="G624" t="inlineStr">
        <is>
          <t>FALSE</t>
        </is>
      </c>
      <c r="H624" t="inlineStr">
        <is>
          <t>FALSE</t>
        </is>
      </c>
      <c r="I624" t="inlineStr">
        <is>
          <t>Strongly disagree = 1 | Disagree = 2 | Neither agree nor disagree = 3 | Agree = 4 | Strongly agree = 5</t>
        </is>
      </c>
      <c r="K624" t="inlineStr">
        <is>
          <t>https://www.frontiersin.org/journals/psychology/articles/10.3389/fpsyg.2020.01860/full</t>
        </is>
      </c>
    </row>
    <row r="625">
      <c r="A625" t="inlineStr">
        <is>
          <t>FMPS-B</t>
        </is>
      </c>
      <c r="B625" t="inlineStr">
        <is>
          <t>Frost Multidimensional Perfectionism Scale, Brief</t>
        </is>
      </c>
      <c r="C625" t="inlineStr">
        <is>
          <t>5. Self talk, thinking patterns and personality</t>
        </is>
      </c>
      <c r="D625" t="n">
        <v>2</v>
      </c>
      <c r="E625" t="inlineStr">
        <is>
          <t>I set higher goals for myself than most people</t>
        </is>
      </c>
      <c r="F625" t="inlineStr">
        <is>
          <t>Strivings</t>
        </is>
      </c>
      <c r="G625" t="inlineStr">
        <is>
          <t>FALSE</t>
        </is>
      </c>
      <c r="H625" t="inlineStr">
        <is>
          <t>FALSE</t>
        </is>
      </c>
      <c r="I625" t="inlineStr">
        <is>
          <t>Strongly disagree = 1 | Disagree = 2 | Neither agree nor disagree = 3 | Agree = 4 | Strongly agree = 5</t>
        </is>
      </c>
      <c r="K625" t="inlineStr">
        <is>
          <t>https://www.frontiersin.org/journals/psychology/articles/10.3389/fpsyg.2020.01860/full</t>
        </is>
      </c>
    </row>
    <row r="626">
      <c r="A626" t="inlineStr">
        <is>
          <t>FMPS-B</t>
        </is>
      </c>
      <c r="B626" t="inlineStr">
        <is>
          <t>Frost Multidimensional Perfectionism Scale, Brief</t>
        </is>
      </c>
      <c r="C626" t="inlineStr">
        <is>
          <t>5. Self talk, thinking patterns and personality</t>
        </is>
      </c>
      <c r="D626" t="n">
        <v>3</v>
      </c>
      <c r="E626" t="inlineStr">
        <is>
          <t>If someone does a task at work/school better than me, then I feel like I failed at the whole task</t>
        </is>
      </c>
      <c r="F626" t="inlineStr">
        <is>
          <t>Evaluative Concerns</t>
        </is>
      </c>
      <c r="G626" t="inlineStr">
        <is>
          <t>FALSE</t>
        </is>
      </c>
      <c r="H626" t="inlineStr">
        <is>
          <t>FALSE</t>
        </is>
      </c>
      <c r="I626" t="inlineStr">
        <is>
          <t>Strongly disagree = 1 | Disagree = 2 | Neither agree nor disagree = 3 | Agree = 4 | Strongly agree = 5</t>
        </is>
      </c>
      <c r="K626" t="inlineStr">
        <is>
          <t>https://www.frontiersin.org/journals/psychology/articles/10.3389/fpsyg.2020.01860/full</t>
        </is>
      </c>
    </row>
    <row r="627">
      <c r="A627" t="inlineStr">
        <is>
          <t>FMPS-B</t>
        </is>
      </c>
      <c r="B627" t="inlineStr">
        <is>
          <t>Frost Multidimensional Perfectionism Scale, Brief</t>
        </is>
      </c>
      <c r="C627" t="inlineStr">
        <is>
          <t>5. Self talk, thinking patterns and personality</t>
        </is>
      </c>
      <c r="D627" t="n">
        <v>4</v>
      </c>
      <c r="E627" t="inlineStr">
        <is>
          <t>I have extremely high goals</t>
        </is>
      </c>
      <c r="F627" t="inlineStr">
        <is>
          <t>Strivings</t>
        </is>
      </c>
      <c r="G627" t="inlineStr">
        <is>
          <t>FALSE</t>
        </is>
      </c>
      <c r="H627" t="inlineStr">
        <is>
          <t>FALSE</t>
        </is>
      </c>
      <c r="I627" t="inlineStr">
        <is>
          <t>Strongly disagree = 1 | Disagree = 2 | Neither agree nor disagree = 3 | Agree = 4 | Strongly agree = 5</t>
        </is>
      </c>
      <c r="K627" t="inlineStr">
        <is>
          <t>https://www.frontiersin.org/journals/psychology/articles/10.3389/fpsyg.2020.01860/full</t>
        </is>
      </c>
    </row>
    <row r="628">
      <c r="A628" t="inlineStr">
        <is>
          <t>FMPS-B</t>
        </is>
      </c>
      <c r="B628" t="inlineStr">
        <is>
          <t>Frost Multidimensional Perfectionism Scale, Brief</t>
        </is>
      </c>
      <c r="C628" t="inlineStr">
        <is>
          <t>5. Self talk, thinking patterns and personality</t>
        </is>
      </c>
      <c r="D628" t="n">
        <v>5</v>
      </c>
      <c r="E628" t="inlineStr">
        <is>
          <t>Other people seem to accept lower standards from themselves than I do</t>
        </is>
      </c>
      <c r="F628" t="inlineStr">
        <is>
          <t>Strivings</t>
        </is>
      </c>
      <c r="G628" t="inlineStr">
        <is>
          <t>FALSE</t>
        </is>
      </c>
      <c r="H628" t="inlineStr">
        <is>
          <t>FALSE</t>
        </is>
      </c>
      <c r="I628" t="inlineStr">
        <is>
          <t>Strongly disagree = 1 | Disagree = 2 | Neither agree nor disagree = 3 | Agree = 4 | Strongly agree = 5</t>
        </is>
      </c>
      <c r="K628" t="inlineStr">
        <is>
          <t>https://www.frontiersin.org/journals/psychology/articles/10.3389/fpsyg.2020.01860/full</t>
        </is>
      </c>
    </row>
    <row r="629">
      <c r="A629" t="inlineStr">
        <is>
          <t>FMPS-B</t>
        </is>
      </c>
      <c r="B629" t="inlineStr">
        <is>
          <t>Frost Multidimensional Perfectionism Scale, Brief</t>
        </is>
      </c>
      <c r="C629" t="inlineStr">
        <is>
          <t>5. Self talk, thinking patterns and personality</t>
        </is>
      </c>
      <c r="D629" t="n">
        <v>6</v>
      </c>
      <c r="E629" t="inlineStr">
        <is>
          <t>If I do not do well all the time, people will not respect me</t>
        </is>
      </c>
      <c r="F629" t="inlineStr">
        <is>
          <t>Evaluative Concerns</t>
        </is>
      </c>
      <c r="G629" t="inlineStr">
        <is>
          <t>FALSE</t>
        </is>
      </c>
      <c r="H629" t="inlineStr">
        <is>
          <t>FALSE</t>
        </is>
      </c>
      <c r="I629" t="inlineStr">
        <is>
          <t>Strongly disagree = 1 | Disagree = 2 | Neither agree nor disagree = 3 | Agree = 4 | Strongly agree = 5</t>
        </is>
      </c>
      <c r="K629" t="inlineStr">
        <is>
          <t>https://www.frontiersin.org/journals/psychology/articles/10.3389/fpsyg.2020.01860/full</t>
        </is>
      </c>
    </row>
    <row r="630">
      <c r="A630" t="inlineStr">
        <is>
          <t>FMPS-B</t>
        </is>
      </c>
      <c r="B630" t="inlineStr">
        <is>
          <t>Frost Multidimensional Perfectionism Scale, Brief</t>
        </is>
      </c>
      <c r="C630" t="inlineStr">
        <is>
          <t>5. Self talk, thinking patterns and personality</t>
        </is>
      </c>
      <c r="D630" t="n">
        <v>7</v>
      </c>
      <c r="E630" t="inlineStr">
        <is>
          <t>I expect higher performance in my daily tasks than most people</t>
        </is>
      </c>
      <c r="F630" t="inlineStr">
        <is>
          <t>Strivings</t>
        </is>
      </c>
      <c r="G630" t="inlineStr">
        <is>
          <t>FALSE</t>
        </is>
      </c>
      <c r="H630" t="inlineStr">
        <is>
          <t>FALSE</t>
        </is>
      </c>
      <c r="I630" t="inlineStr">
        <is>
          <t>Strongly disagree = 1 | Disagree = 2 | Neither agree nor disagree = 3 | Agree = 4 | Strongly agree = 5</t>
        </is>
      </c>
      <c r="K630" t="inlineStr">
        <is>
          <t>https://www.frontiersin.org/journals/psychology/articles/10.3389/fpsyg.2020.01860/full</t>
        </is>
      </c>
    </row>
    <row r="631">
      <c r="A631" t="inlineStr">
        <is>
          <t>FMPS-B</t>
        </is>
      </c>
      <c r="B631" t="inlineStr">
        <is>
          <t>Frost Multidimensional Perfectionism Scale, Brief</t>
        </is>
      </c>
      <c r="C631" t="inlineStr">
        <is>
          <t>5. Self talk, thinking patterns and personality</t>
        </is>
      </c>
      <c r="D631" t="n">
        <v>8</v>
      </c>
      <c r="E631" t="inlineStr">
        <is>
          <t>The fewer mistakes I make, the more people will like me</t>
        </is>
      </c>
      <c r="F631" t="inlineStr">
        <is>
          <t>Evaluative Concerns</t>
        </is>
      </c>
      <c r="G631" t="inlineStr">
        <is>
          <t>FALSE</t>
        </is>
      </c>
      <c r="H631" t="inlineStr">
        <is>
          <t>FALSE</t>
        </is>
      </c>
      <c r="I631" t="inlineStr">
        <is>
          <t>Strongly disagree = 1 | Disagree = 2 | Neither agree nor disagree = 3 | Agree = 4 | Strongly agree = 5</t>
        </is>
      </c>
      <c r="K631" t="inlineStr">
        <is>
          <t>https://www.frontiersin.org/journals/psychology/articles/10.3389/fpsyg.2020.01860/full</t>
        </is>
      </c>
    </row>
    <row r="632">
      <c r="A632" t="inlineStr">
        <is>
          <t>GAD-7</t>
        </is>
      </c>
      <c r="B632" t="inlineStr">
        <is>
          <t>Generalized Anxiety Disorder 7</t>
        </is>
      </c>
      <c r="C632" t="inlineStr">
        <is>
          <t>4. Clinical and distress screening</t>
        </is>
      </c>
      <c r="D632" t="n">
        <v>1</v>
      </c>
      <c r="E632" t="inlineStr">
        <is>
          <t>Feeling nervous, anxious or on edge</t>
        </is>
      </c>
      <c r="F632" t="inlineStr">
        <is>
          <t>Total</t>
        </is>
      </c>
      <c r="G632" t="inlineStr">
        <is>
          <t>FALSE</t>
        </is>
      </c>
      <c r="H632" t="inlineStr">
        <is>
          <t>FALSE</t>
        </is>
      </c>
      <c r="I632" t="inlineStr">
        <is>
          <t>Not at all = 0 | Several days = 1 | More than half the days = 2 | Nearly every day = 3</t>
        </is>
      </c>
      <c r="K632" t="inlineStr">
        <is>
          <t>https://psytoolkit.org/survey-library/anxiety-gad7.html</t>
        </is>
      </c>
    </row>
    <row r="633">
      <c r="A633" t="inlineStr">
        <is>
          <t>GAD-7</t>
        </is>
      </c>
      <c r="B633" t="inlineStr">
        <is>
          <t>Generalized Anxiety Disorder 7</t>
        </is>
      </c>
      <c r="C633" t="inlineStr">
        <is>
          <t>4. Clinical and distress screening</t>
        </is>
      </c>
      <c r="D633" t="n">
        <v>2</v>
      </c>
      <c r="E633" t="inlineStr">
        <is>
          <t>Not being able to stop or control worrying</t>
        </is>
      </c>
      <c r="F633" t="inlineStr">
        <is>
          <t>Total</t>
        </is>
      </c>
      <c r="G633" t="inlineStr">
        <is>
          <t>FALSE</t>
        </is>
      </c>
      <c r="H633" t="inlineStr">
        <is>
          <t>FALSE</t>
        </is>
      </c>
      <c r="I633" t="inlineStr">
        <is>
          <t>Not at all = 0 | Several days = 1 | More than half the days = 2 | Nearly every day = 3</t>
        </is>
      </c>
      <c r="K633" t="inlineStr">
        <is>
          <t>https://psytoolkit.org/survey-library/anxiety-gad7.html</t>
        </is>
      </c>
    </row>
    <row r="634">
      <c r="A634" t="inlineStr">
        <is>
          <t>GAD-7</t>
        </is>
      </c>
      <c r="B634" t="inlineStr">
        <is>
          <t>Generalized Anxiety Disorder 7</t>
        </is>
      </c>
      <c r="C634" t="inlineStr">
        <is>
          <t>4. Clinical and distress screening</t>
        </is>
      </c>
      <c r="D634" t="n">
        <v>3</v>
      </c>
      <c r="E634" t="inlineStr">
        <is>
          <t>Worrying too much about different things</t>
        </is>
      </c>
      <c r="F634" t="inlineStr">
        <is>
          <t>Total</t>
        </is>
      </c>
      <c r="G634" t="inlineStr">
        <is>
          <t>FALSE</t>
        </is>
      </c>
      <c r="H634" t="inlineStr">
        <is>
          <t>FALSE</t>
        </is>
      </c>
      <c r="I634" t="inlineStr">
        <is>
          <t>Not at all = 0 | Several days = 1 | More than half the days = 2 | Nearly every day = 3</t>
        </is>
      </c>
      <c r="K634" t="inlineStr">
        <is>
          <t>https://psytoolkit.org/survey-library/anxiety-gad7.html</t>
        </is>
      </c>
    </row>
    <row r="635">
      <c r="A635" t="inlineStr">
        <is>
          <t>GAD-7</t>
        </is>
      </c>
      <c r="B635" t="inlineStr">
        <is>
          <t>Generalized Anxiety Disorder 7</t>
        </is>
      </c>
      <c r="C635" t="inlineStr">
        <is>
          <t>4. Clinical and distress screening</t>
        </is>
      </c>
      <c r="D635" t="n">
        <v>4</v>
      </c>
      <c r="E635" t="inlineStr">
        <is>
          <t>Trouble relaxing</t>
        </is>
      </c>
      <c r="F635" t="inlineStr">
        <is>
          <t>Total</t>
        </is>
      </c>
      <c r="G635" t="inlineStr">
        <is>
          <t>FALSE</t>
        </is>
      </c>
      <c r="H635" t="inlineStr">
        <is>
          <t>FALSE</t>
        </is>
      </c>
      <c r="I635" t="inlineStr">
        <is>
          <t>Not at all = 0 | Several days = 1 | More than half the days = 2 | Nearly every day = 3</t>
        </is>
      </c>
      <c r="K635" t="inlineStr">
        <is>
          <t>https://psytoolkit.org/survey-library/anxiety-gad7.html</t>
        </is>
      </c>
    </row>
    <row r="636">
      <c r="A636" t="inlineStr">
        <is>
          <t>GAD-7</t>
        </is>
      </c>
      <c r="B636" t="inlineStr">
        <is>
          <t>Generalized Anxiety Disorder 7</t>
        </is>
      </c>
      <c r="C636" t="inlineStr">
        <is>
          <t>4. Clinical and distress screening</t>
        </is>
      </c>
      <c r="D636" t="n">
        <v>5</v>
      </c>
      <c r="E636" t="inlineStr">
        <is>
          <t>Being so restless that it is hard to sit still</t>
        </is>
      </c>
      <c r="F636" t="inlineStr">
        <is>
          <t>Total</t>
        </is>
      </c>
      <c r="G636" t="inlineStr">
        <is>
          <t>FALSE</t>
        </is>
      </c>
      <c r="H636" t="inlineStr">
        <is>
          <t>FALSE</t>
        </is>
      </c>
      <c r="I636" t="inlineStr">
        <is>
          <t>Not at all = 0 | Several days = 1 | More than half the days = 2 | Nearly every day = 3</t>
        </is>
      </c>
      <c r="K636" t="inlineStr">
        <is>
          <t>https://psytoolkit.org/survey-library/anxiety-gad7.html</t>
        </is>
      </c>
    </row>
    <row r="637">
      <c r="A637" t="inlineStr">
        <is>
          <t>GAD-7</t>
        </is>
      </c>
      <c r="B637" t="inlineStr">
        <is>
          <t>Generalized Anxiety Disorder 7</t>
        </is>
      </c>
      <c r="C637" t="inlineStr">
        <is>
          <t>4. Clinical and distress screening</t>
        </is>
      </c>
      <c r="D637" t="n">
        <v>6</v>
      </c>
      <c r="E637" t="inlineStr">
        <is>
          <t>Becoming easily annoyed or irritable</t>
        </is>
      </c>
      <c r="F637" t="inlineStr">
        <is>
          <t>Total</t>
        </is>
      </c>
      <c r="G637" t="inlineStr">
        <is>
          <t>FALSE</t>
        </is>
      </c>
      <c r="H637" t="inlineStr">
        <is>
          <t>FALSE</t>
        </is>
      </c>
      <c r="I637" t="inlineStr">
        <is>
          <t>Not at all = 0 | Several days = 1 | More than half the days = 2 | Nearly every day = 3</t>
        </is>
      </c>
      <c r="K637" t="inlineStr">
        <is>
          <t>https://psytoolkit.org/survey-library/anxiety-gad7.html</t>
        </is>
      </c>
    </row>
    <row r="638">
      <c r="A638" t="inlineStr">
        <is>
          <t>GAD-7</t>
        </is>
      </c>
      <c r="B638" t="inlineStr">
        <is>
          <t>Generalized Anxiety Disorder 7</t>
        </is>
      </c>
      <c r="C638" t="inlineStr">
        <is>
          <t>4. Clinical and distress screening</t>
        </is>
      </c>
      <c r="D638" t="n">
        <v>7</v>
      </c>
      <c r="E638" t="inlineStr">
        <is>
          <t>Feeling afraid as if something awful might happen</t>
        </is>
      </c>
      <c r="F638" t="inlineStr">
        <is>
          <t>Total</t>
        </is>
      </c>
      <c r="G638" t="inlineStr">
        <is>
          <t>FALSE</t>
        </is>
      </c>
      <c r="H638" t="inlineStr">
        <is>
          <t>FALSE</t>
        </is>
      </c>
      <c r="I638" t="inlineStr">
        <is>
          <t>Not at all = 0 | Several days = 1 | More than half the days = 2 | Nearly every day = 3</t>
        </is>
      </c>
      <c r="K638" t="inlineStr">
        <is>
          <t>https://psytoolkit.org/survey-library/anxiety-gad7.html</t>
        </is>
      </c>
    </row>
    <row r="639">
      <c r="A639" t="inlineStr">
        <is>
          <t>GAD-7</t>
        </is>
      </c>
      <c r="B639" t="inlineStr">
        <is>
          <t>Generalized Anxiety Disorder 7</t>
        </is>
      </c>
      <c r="C639" t="inlineStr">
        <is>
          <t>4. Clinical and distress screening</t>
        </is>
      </c>
      <c r="D639" t="n">
        <v>8</v>
      </c>
      <c r="E639" t="inlineStr">
        <is>
          <t>How difficult have these problems made it for you to do your work, take care of things at home, or get along with other people?</t>
        </is>
      </c>
      <c r="F639" t="inlineStr">
        <is>
          <t>Functional impairment (unscored)</t>
        </is>
      </c>
      <c r="G639" t="inlineStr">
        <is>
          <t>FALSE</t>
        </is>
      </c>
      <c r="H639" t="inlineStr">
        <is>
          <t>TRUE</t>
        </is>
      </c>
      <c r="I639" t="inlineStr">
        <is>
          <t>Not difficult at all = 0 | Somewhat difficult = 1 | Very difficult = 2 | Extremely difficult = 3</t>
        </is>
      </c>
      <c r="J639" t="inlineStr">
        <is>
          <t>Supplementary difficulty question, not part of the 0 to 21 total. Response options: Not difficult at all; Somewhat difficult; Very difficult; Extremely difficult.</t>
        </is>
      </c>
      <c r="K639" t="inlineStr">
        <is>
          <t>https://psytoolkit.org/survey-library/anxiety-gad7.html</t>
        </is>
      </c>
    </row>
    <row r="640">
      <c r="A640" t="inlineStr">
        <is>
          <t>GPS</t>
        </is>
      </c>
      <c r="B640" t="inlineStr">
        <is>
          <t>General Procrastination Scale</t>
        </is>
      </c>
      <c r="C640" t="inlineStr">
        <is>
          <t>6. Motivation, self determination and goal pursuit</t>
        </is>
      </c>
      <c r="D640" t="n">
        <v>1</v>
      </c>
      <c r="E640" t="inlineStr">
        <is>
          <t>I often find myself performing tasks that I had intended to do days before.</t>
        </is>
      </c>
      <c r="F640" t="inlineStr">
        <is>
          <t>Total</t>
        </is>
      </c>
      <c r="G640" t="inlineStr">
        <is>
          <t>FALSE</t>
        </is>
      </c>
      <c r="H640" t="inlineStr">
        <is>
          <t>FALSE</t>
        </is>
      </c>
      <c r="I640" t="inlineStr">
        <is>
          <t>Extremely Uncharacteristic = 1 | Moderately Uncharacteristic = 2 | Neutral = 3 | Moderately Characteristic = 4 | Extremely Characteristic = 5</t>
        </is>
      </c>
      <c r="K640" t="inlineStr">
        <is>
          <t>https://www.yorku.ca/rokada/psyctest/procrast.pdf</t>
        </is>
      </c>
    </row>
    <row r="641">
      <c r="A641" t="inlineStr">
        <is>
          <t>GPS</t>
        </is>
      </c>
      <c r="B641" t="inlineStr">
        <is>
          <t>General Procrastination Scale</t>
        </is>
      </c>
      <c r="C641" t="inlineStr">
        <is>
          <t>6. Motivation, self determination and goal pursuit</t>
        </is>
      </c>
      <c r="D641" t="n">
        <v>2</v>
      </c>
      <c r="E641" t="inlineStr">
        <is>
          <t>I often miss concerts, sporting events, or the like because I don't around to buying tickets on time.</t>
        </is>
      </c>
      <c r="F641" t="inlineStr">
        <is>
          <t>Total</t>
        </is>
      </c>
      <c r="G641" t="inlineStr">
        <is>
          <t>FALSE</t>
        </is>
      </c>
      <c r="H641" t="inlineStr">
        <is>
          <t>FALSE</t>
        </is>
      </c>
      <c r="I641" t="inlineStr">
        <is>
          <t>Extremely Uncharacteristic = 1 | Moderately Uncharacteristic = 2 | Neutral = 3 | Moderately Characteristic = 4 | Extremely Characteristic = 5</t>
        </is>
      </c>
      <c r="J641" t="inlineStr">
        <is>
          <t>Asterisked in source (differs between student and non-student forms). Source text reads "don't around"; likely a typographical omission of "get". Transcribed as printed.</t>
        </is>
      </c>
      <c r="K641" t="inlineStr">
        <is>
          <t>https://www.yorku.ca/rokada/psyctest/procrast.pdf</t>
        </is>
      </c>
    </row>
    <row r="642">
      <c r="A642" t="inlineStr">
        <is>
          <t>GPS</t>
        </is>
      </c>
      <c r="B642" t="inlineStr">
        <is>
          <t>General Procrastination Scale</t>
        </is>
      </c>
      <c r="C642" t="inlineStr">
        <is>
          <t>6. Motivation, self determination and goal pursuit</t>
        </is>
      </c>
      <c r="D642" t="n">
        <v>3</v>
      </c>
      <c r="E642" t="inlineStr">
        <is>
          <t>When planning a party, I make the necessary arrangements well in advance.</t>
        </is>
      </c>
      <c r="F642" t="inlineStr">
        <is>
          <t>Total</t>
        </is>
      </c>
      <c r="G642" t="inlineStr">
        <is>
          <t>TRUE</t>
        </is>
      </c>
      <c r="H642" t="inlineStr">
        <is>
          <t>FALSE</t>
        </is>
      </c>
      <c r="I642" t="inlineStr">
        <is>
          <t>Extremely Uncharacteristic = 1 | Moderately Uncharacteristic = 2 | Neutral = 3 | Moderately Characteristic = 4 | Extremely Characteristic = 5</t>
        </is>
      </c>
      <c r="J642" t="inlineStr">
        <is>
          <t>Asterisked in source (differs between student and non-student forms).</t>
        </is>
      </c>
      <c r="K642" t="inlineStr">
        <is>
          <t>https://www.yorku.ca/rokada/psyctest/procrast.pdf</t>
        </is>
      </c>
    </row>
    <row r="643">
      <c r="A643" t="inlineStr">
        <is>
          <t>GPS</t>
        </is>
      </c>
      <c r="B643" t="inlineStr">
        <is>
          <t>General Procrastination Scale</t>
        </is>
      </c>
      <c r="C643" t="inlineStr">
        <is>
          <t>6. Motivation, self determination and goal pursuit</t>
        </is>
      </c>
      <c r="D643" t="n">
        <v>4</v>
      </c>
      <c r="E643" t="inlineStr">
        <is>
          <t>When it is time to get up in the morning, I most often get right out of bed.</t>
        </is>
      </c>
      <c r="F643" t="inlineStr">
        <is>
          <t>Total</t>
        </is>
      </c>
      <c r="G643" t="inlineStr">
        <is>
          <t>TRUE</t>
        </is>
      </c>
      <c r="H643" t="inlineStr">
        <is>
          <t>FALSE</t>
        </is>
      </c>
      <c r="I643" t="inlineStr">
        <is>
          <t>Extremely Uncharacteristic = 1 | Moderately Uncharacteristic = 2 | Neutral = 3 | Moderately Characteristic = 4 | Extremely Characteristic = 5</t>
        </is>
      </c>
      <c r="K643" t="inlineStr">
        <is>
          <t>https://www.yorku.ca/rokada/psyctest/procrast.pdf</t>
        </is>
      </c>
    </row>
    <row r="644">
      <c r="A644" t="inlineStr">
        <is>
          <t>GPS</t>
        </is>
      </c>
      <c r="B644" t="inlineStr">
        <is>
          <t>General Procrastination Scale</t>
        </is>
      </c>
      <c r="C644" t="inlineStr">
        <is>
          <t>6. Motivation, self determination and goal pursuit</t>
        </is>
      </c>
      <c r="D644" t="n">
        <v>5</v>
      </c>
      <c r="E644" t="inlineStr">
        <is>
          <t>A letter may sit for days after I write it before mailing it.</t>
        </is>
      </c>
      <c r="F644" t="inlineStr">
        <is>
          <t>Total</t>
        </is>
      </c>
      <c r="G644" t="inlineStr">
        <is>
          <t>FALSE</t>
        </is>
      </c>
      <c r="H644" t="inlineStr">
        <is>
          <t>FALSE</t>
        </is>
      </c>
      <c r="I644" t="inlineStr">
        <is>
          <t>Extremely Uncharacteristic = 1 | Moderately Uncharacteristic = 2 | Neutral = 3 | Moderately Characteristic = 4 | Extremely Characteristic = 5</t>
        </is>
      </c>
      <c r="K644" t="inlineStr">
        <is>
          <t>https://www.yorku.ca/rokada/psyctest/procrast.pdf</t>
        </is>
      </c>
    </row>
    <row r="645">
      <c r="A645" t="inlineStr">
        <is>
          <t>GPS</t>
        </is>
      </c>
      <c r="B645" t="inlineStr">
        <is>
          <t>General Procrastination Scale</t>
        </is>
      </c>
      <c r="C645" t="inlineStr">
        <is>
          <t>6. Motivation, self determination and goal pursuit</t>
        </is>
      </c>
      <c r="D645" t="n">
        <v>6</v>
      </c>
      <c r="E645" t="inlineStr">
        <is>
          <t>I generally return phone calls promptly.</t>
        </is>
      </c>
      <c r="F645" t="inlineStr">
        <is>
          <t>Total</t>
        </is>
      </c>
      <c r="G645" t="inlineStr">
        <is>
          <t>TRUE</t>
        </is>
      </c>
      <c r="H645" t="inlineStr">
        <is>
          <t>FALSE</t>
        </is>
      </c>
      <c r="I645" t="inlineStr">
        <is>
          <t>Extremely Uncharacteristic = 1 | Moderately Uncharacteristic = 2 | Neutral = 3 | Moderately Characteristic = 4 | Extremely Characteristic = 5</t>
        </is>
      </c>
      <c r="K645" t="inlineStr">
        <is>
          <t>https://www.yorku.ca/rokada/psyctest/procrast.pdf</t>
        </is>
      </c>
    </row>
    <row r="646">
      <c r="A646" t="inlineStr">
        <is>
          <t>GPS</t>
        </is>
      </c>
      <c r="B646" t="inlineStr">
        <is>
          <t>General Procrastination Scale</t>
        </is>
      </c>
      <c r="C646" t="inlineStr">
        <is>
          <t>6. Motivation, self determination and goal pursuit</t>
        </is>
      </c>
      <c r="D646" t="n">
        <v>7</v>
      </c>
      <c r="E646" t="inlineStr">
        <is>
          <t>Even with jobs that require little else except sitting down and doing them, I find they seldom get done for days.</t>
        </is>
      </c>
      <c r="F646" t="inlineStr">
        <is>
          <t>Total</t>
        </is>
      </c>
      <c r="G646" t="inlineStr">
        <is>
          <t>FALSE</t>
        </is>
      </c>
      <c r="H646" t="inlineStr">
        <is>
          <t>FALSE</t>
        </is>
      </c>
      <c r="I646" t="inlineStr">
        <is>
          <t>Extremely Uncharacteristic = 1 | Moderately Uncharacteristic = 2 | Neutral = 3 | Moderately Characteristic = 4 | Extremely Characteristic = 5</t>
        </is>
      </c>
      <c r="K646" t="inlineStr">
        <is>
          <t>https://www.yorku.ca/rokada/psyctest/procrast.pdf</t>
        </is>
      </c>
    </row>
    <row r="647">
      <c r="A647" t="inlineStr">
        <is>
          <t>GPS</t>
        </is>
      </c>
      <c r="B647" t="inlineStr">
        <is>
          <t>General Procrastination Scale</t>
        </is>
      </c>
      <c r="C647" t="inlineStr">
        <is>
          <t>6. Motivation, self determination and goal pursuit</t>
        </is>
      </c>
      <c r="D647" t="n">
        <v>8</v>
      </c>
      <c r="E647" t="inlineStr">
        <is>
          <t>I usually make decisions as soon as possible.</t>
        </is>
      </c>
      <c r="F647" t="inlineStr">
        <is>
          <t>Total</t>
        </is>
      </c>
      <c r="G647" t="inlineStr">
        <is>
          <t>TRUE</t>
        </is>
      </c>
      <c r="H647" t="inlineStr">
        <is>
          <t>FALSE</t>
        </is>
      </c>
      <c r="I647" t="inlineStr">
        <is>
          <t>Extremely Uncharacteristic = 1 | Moderately Uncharacteristic = 2 | Neutral = 3 | Moderately Characteristic = 4 | Extremely Characteristic = 5</t>
        </is>
      </c>
      <c r="K647" t="inlineStr">
        <is>
          <t>https://www.yorku.ca/rokada/psyctest/procrast.pdf</t>
        </is>
      </c>
    </row>
    <row r="648">
      <c r="A648" t="inlineStr">
        <is>
          <t>GPS</t>
        </is>
      </c>
      <c r="B648" t="inlineStr">
        <is>
          <t>General Procrastination Scale</t>
        </is>
      </c>
      <c r="C648" t="inlineStr">
        <is>
          <t>6. Motivation, self determination and goal pursuit</t>
        </is>
      </c>
      <c r="D648" t="n">
        <v>9</v>
      </c>
      <c r="E648" t="inlineStr">
        <is>
          <t>I generally delay before starting on work I have to do.</t>
        </is>
      </c>
      <c r="F648" t="inlineStr">
        <is>
          <t>Total</t>
        </is>
      </c>
      <c r="G648" t="inlineStr">
        <is>
          <t>FALSE</t>
        </is>
      </c>
      <c r="H648" t="inlineStr">
        <is>
          <t>FALSE</t>
        </is>
      </c>
      <c r="I648" t="inlineStr">
        <is>
          <t>Extremely Uncharacteristic = 1 | Moderately Uncharacteristic = 2 | Neutral = 3 | Moderately Characteristic = 4 | Extremely Characteristic = 5</t>
        </is>
      </c>
      <c r="K648" t="inlineStr">
        <is>
          <t>https://www.yorku.ca/rokada/psyctest/procrast.pdf</t>
        </is>
      </c>
    </row>
    <row r="649">
      <c r="A649" t="inlineStr">
        <is>
          <t>GPS</t>
        </is>
      </c>
      <c r="B649" t="inlineStr">
        <is>
          <t>General Procrastination Scale</t>
        </is>
      </c>
      <c r="C649" t="inlineStr">
        <is>
          <t>6. Motivation, self determination and goal pursuit</t>
        </is>
      </c>
      <c r="D649" t="n">
        <v>10</v>
      </c>
      <c r="E649" t="inlineStr">
        <is>
          <t>When travelling, I usually have to rush in preparing to arrive at the airport or station at the appropriate time.</t>
        </is>
      </c>
      <c r="F649" t="inlineStr">
        <is>
          <t>Total</t>
        </is>
      </c>
      <c r="G649" t="inlineStr">
        <is>
          <t>FALSE</t>
        </is>
      </c>
      <c r="H649" t="inlineStr">
        <is>
          <t>FALSE</t>
        </is>
      </c>
      <c r="I649" t="inlineStr">
        <is>
          <t>Extremely Uncharacteristic = 1 | Moderately Uncharacteristic = 2 | Neutral = 3 | Moderately Characteristic = 4 | Extremely Characteristic = 5</t>
        </is>
      </c>
      <c r="J649" t="inlineStr">
        <is>
          <t>Asterisked in source (differs between student and non-student forms).</t>
        </is>
      </c>
      <c r="K649" t="inlineStr">
        <is>
          <t>https://www.yorku.ca/rokada/psyctest/procrast.pdf</t>
        </is>
      </c>
    </row>
    <row r="650">
      <c r="A650" t="inlineStr">
        <is>
          <t>GPS</t>
        </is>
      </c>
      <c r="B650" t="inlineStr">
        <is>
          <t>General Procrastination Scale</t>
        </is>
      </c>
      <c r="C650" t="inlineStr">
        <is>
          <t>6. Motivation, self determination and goal pursuit</t>
        </is>
      </c>
      <c r="D650" t="n">
        <v>11</v>
      </c>
      <c r="E650" t="inlineStr">
        <is>
          <t>When preparing to go out, I am seldom caught having to do something at the last minute.</t>
        </is>
      </c>
      <c r="F650" t="inlineStr">
        <is>
          <t>Total</t>
        </is>
      </c>
      <c r="G650" t="inlineStr">
        <is>
          <t>TRUE</t>
        </is>
      </c>
      <c r="H650" t="inlineStr">
        <is>
          <t>FALSE</t>
        </is>
      </c>
      <c r="I650" t="inlineStr">
        <is>
          <t>Extremely Uncharacteristic = 1 | Moderately Uncharacteristic = 2 | Neutral = 3 | Moderately Characteristic = 4 | Extremely Characteristic = 5</t>
        </is>
      </c>
      <c r="K650" t="inlineStr">
        <is>
          <t>https://www.yorku.ca/rokada/psyctest/procrast.pdf</t>
        </is>
      </c>
    </row>
    <row r="651">
      <c r="A651" t="inlineStr">
        <is>
          <t>GPS</t>
        </is>
      </c>
      <c r="B651" t="inlineStr">
        <is>
          <t>General Procrastination Scale</t>
        </is>
      </c>
      <c r="C651" t="inlineStr">
        <is>
          <t>6. Motivation, self determination and goal pursuit</t>
        </is>
      </c>
      <c r="D651" t="n">
        <v>12</v>
      </c>
      <c r="E651" t="inlineStr">
        <is>
          <t>In preparing for some deadline, I often waste time by doing other things.</t>
        </is>
      </c>
      <c r="F651" t="inlineStr">
        <is>
          <t>Total</t>
        </is>
      </c>
      <c r="G651" t="inlineStr">
        <is>
          <t>FALSE</t>
        </is>
      </c>
      <c r="H651" t="inlineStr">
        <is>
          <t>FALSE</t>
        </is>
      </c>
      <c r="I651" t="inlineStr">
        <is>
          <t>Extremely Uncharacteristic = 1 | Moderately Uncharacteristic = 2 | Neutral = 3 | Moderately Characteristic = 4 | Extremely Characteristic = 5</t>
        </is>
      </c>
      <c r="K651" t="inlineStr">
        <is>
          <t>https://www.yorku.ca/rokada/psyctest/procrast.pdf</t>
        </is>
      </c>
    </row>
    <row r="652">
      <c r="A652" t="inlineStr">
        <is>
          <t>GPS</t>
        </is>
      </c>
      <c r="B652" t="inlineStr">
        <is>
          <t>General Procrastination Scale</t>
        </is>
      </c>
      <c r="C652" t="inlineStr">
        <is>
          <t>6. Motivation, self determination and goal pursuit</t>
        </is>
      </c>
      <c r="D652" t="n">
        <v>13</v>
      </c>
      <c r="E652" t="inlineStr">
        <is>
          <t>If a bill for a small amount comes, I pay it right away.</t>
        </is>
      </c>
      <c r="F652" t="inlineStr">
        <is>
          <t>Total</t>
        </is>
      </c>
      <c r="G652" t="inlineStr">
        <is>
          <t>TRUE</t>
        </is>
      </c>
      <c r="H652" t="inlineStr">
        <is>
          <t>FALSE</t>
        </is>
      </c>
      <c r="I652" t="inlineStr">
        <is>
          <t>Extremely Uncharacteristic = 1 | Moderately Uncharacteristic = 2 | Neutral = 3 | Moderately Characteristic = 4 | Extremely Characteristic = 5</t>
        </is>
      </c>
      <c r="J652" t="inlineStr">
        <is>
          <t>Asterisked in source (differs between student and non-student forms).</t>
        </is>
      </c>
      <c r="K652" t="inlineStr">
        <is>
          <t>https://www.yorku.ca/rokada/psyctest/procrast.pdf</t>
        </is>
      </c>
    </row>
    <row r="653">
      <c r="A653" t="inlineStr">
        <is>
          <t>GPS</t>
        </is>
      </c>
      <c r="B653" t="inlineStr">
        <is>
          <t>General Procrastination Scale</t>
        </is>
      </c>
      <c r="C653" t="inlineStr">
        <is>
          <t>6. Motivation, self determination and goal pursuit</t>
        </is>
      </c>
      <c r="D653" t="n">
        <v>14</v>
      </c>
      <c r="E653" t="inlineStr">
        <is>
          <t>I usually return an RVSP request very shortly after receiving the invitation.</t>
        </is>
      </c>
      <c r="F653" t="inlineStr">
        <is>
          <t>Total</t>
        </is>
      </c>
      <c r="G653" t="inlineStr">
        <is>
          <t>TRUE</t>
        </is>
      </c>
      <c r="H653" t="inlineStr">
        <is>
          <t>FALSE</t>
        </is>
      </c>
      <c r="I653" t="inlineStr">
        <is>
          <t>Extremely Uncharacteristic = 1 | Moderately Uncharacteristic = 2 | Neutral = 3 | Moderately Characteristic = 4 | Extremely Characteristic = 5</t>
        </is>
      </c>
      <c r="J653" t="inlineStr">
        <is>
          <t>Asterisked in source (differs between student and non-student forms). Source spells "RVSP" as printed.</t>
        </is>
      </c>
      <c r="K653" t="inlineStr">
        <is>
          <t>https://www.yorku.ca/rokada/psyctest/procrast.pdf</t>
        </is>
      </c>
    </row>
    <row r="654">
      <c r="A654" t="inlineStr">
        <is>
          <t>GPS</t>
        </is>
      </c>
      <c r="B654" t="inlineStr">
        <is>
          <t>General Procrastination Scale</t>
        </is>
      </c>
      <c r="C654" t="inlineStr">
        <is>
          <t>6. Motivation, self determination and goal pursuit</t>
        </is>
      </c>
      <c r="D654" t="n">
        <v>15</v>
      </c>
      <c r="E654" t="inlineStr">
        <is>
          <t>I often have a task finished sooner than necessary.</t>
        </is>
      </c>
      <c r="F654" t="inlineStr">
        <is>
          <t>Total</t>
        </is>
      </c>
      <c r="G654" t="inlineStr">
        <is>
          <t>TRUE</t>
        </is>
      </c>
      <c r="H654" t="inlineStr">
        <is>
          <t>FALSE</t>
        </is>
      </c>
      <c r="I654" t="inlineStr">
        <is>
          <t>Extremely Uncharacteristic = 1 | Moderately Uncharacteristic = 2 | Neutral = 3 | Moderately Characteristic = 4 | Extremely Characteristic = 5</t>
        </is>
      </c>
      <c r="K654" t="inlineStr">
        <is>
          <t>https://www.yorku.ca/rokada/psyctest/procrast.pdf</t>
        </is>
      </c>
    </row>
    <row r="655">
      <c r="A655" t="inlineStr">
        <is>
          <t>GPS</t>
        </is>
      </c>
      <c r="B655" t="inlineStr">
        <is>
          <t>General Procrastination Scale</t>
        </is>
      </c>
      <c r="C655" t="inlineStr">
        <is>
          <t>6. Motivation, self determination and goal pursuit</t>
        </is>
      </c>
      <c r="D655" t="n">
        <v>16</v>
      </c>
      <c r="E655" t="inlineStr">
        <is>
          <t>I always seem to end up shopping for birthday or Christmas gifts at the last minute.</t>
        </is>
      </c>
      <c r="F655" t="inlineStr">
        <is>
          <t>Total</t>
        </is>
      </c>
      <c r="G655" t="inlineStr">
        <is>
          <t>FALSE</t>
        </is>
      </c>
      <c r="H655" t="inlineStr">
        <is>
          <t>FALSE</t>
        </is>
      </c>
      <c r="I655" t="inlineStr">
        <is>
          <t>Extremely Uncharacteristic = 1 | Moderately Uncharacteristic = 2 | Neutral = 3 | Moderately Characteristic = 4 | Extremely Characteristic = 5</t>
        </is>
      </c>
      <c r="K655" t="inlineStr">
        <is>
          <t>https://www.yorku.ca/rokada/psyctest/procrast.pdf</t>
        </is>
      </c>
    </row>
    <row r="656">
      <c r="A656" t="inlineStr">
        <is>
          <t>GPS</t>
        </is>
      </c>
      <c r="B656" t="inlineStr">
        <is>
          <t>General Procrastination Scale</t>
        </is>
      </c>
      <c r="C656" t="inlineStr">
        <is>
          <t>6. Motivation, self determination and goal pursuit</t>
        </is>
      </c>
      <c r="D656" t="n">
        <v>17</v>
      </c>
      <c r="E656" t="inlineStr">
        <is>
          <t>I usually buy even an essential item at the last minute.</t>
        </is>
      </c>
      <c r="F656" t="inlineStr">
        <is>
          <t>Total</t>
        </is>
      </c>
      <c r="G656" t="inlineStr">
        <is>
          <t>FALSE</t>
        </is>
      </c>
      <c r="H656" t="inlineStr">
        <is>
          <t>FALSE</t>
        </is>
      </c>
      <c r="I656" t="inlineStr">
        <is>
          <t>Extremely Uncharacteristic = 1 | Moderately Uncharacteristic = 2 | Neutral = 3 | Moderately Characteristic = 4 | Extremely Characteristic = 5</t>
        </is>
      </c>
      <c r="K656" t="inlineStr">
        <is>
          <t>https://www.yorku.ca/rokada/psyctest/procrast.pdf</t>
        </is>
      </c>
    </row>
    <row r="657">
      <c r="A657" t="inlineStr">
        <is>
          <t>GPS</t>
        </is>
      </c>
      <c r="B657" t="inlineStr">
        <is>
          <t>General Procrastination Scale</t>
        </is>
      </c>
      <c r="C657" t="inlineStr">
        <is>
          <t>6. Motivation, self determination and goal pursuit</t>
        </is>
      </c>
      <c r="D657" t="n">
        <v>18</v>
      </c>
      <c r="E657" t="inlineStr">
        <is>
          <t>I usually accomplish all the things I plan to do in a day.</t>
        </is>
      </c>
      <c r="F657" t="inlineStr">
        <is>
          <t>Total</t>
        </is>
      </c>
      <c r="G657" t="inlineStr">
        <is>
          <t>TRUE</t>
        </is>
      </c>
      <c r="H657" t="inlineStr">
        <is>
          <t>FALSE</t>
        </is>
      </c>
      <c r="I657" t="inlineStr">
        <is>
          <t>Extremely Uncharacteristic = 1 | Moderately Uncharacteristic = 2 | Neutral = 3 | Moderately Characteristic = 4 | Extremely Characteristic = 5</t>
        </is>
      </c>
      <c r="K657" t="inlineStr">
        <is>
          <t>https://www.yorku.ca/rokada/psyctest/procrast.pdf</t>
        </is>
      </c>
    </row>
    <row r="658">
      <c r="A658" t="inlineStr">
        <is>
          <t>GPS</t>
        </is>
      </c>
      <c r="B658" t="inlineStr">
        <is>
          <t>General Procrastination Scale</t>
        </is>
      </c>
      <c r="C658" t="inlineStr">
        <is>
          <t>6. Motivation, self determination and goal pursuit</t>
        </is>
      </c>
      <c r="D658" t="n">
        <v>19</v>
      </c>
      <c r="E658" t="inlineStr">
        <is>
          <t>I am continually saying "I'll do it tomorrow".</t>
        </is>
      </c>
      <c r="F658" t="inlineStr">
        <is>
          <t>Total</t>
        </is>
      </c>
      <c r="G658" t="inlineStr">
        <is>
          <t>FALSE</t>
        </is>
      </c>
      <c r="H658" t="inlineStr">
        <is>
          <t>FALSE</t>
        </is>
      </c>
      <c r="I658" t="inlineStr">
        <is>
          <t>Extremely Uncharacteristic = 1 | Moderately Uncharacteristic = 2 | Neutral = 3 | Moderately Characteristic = 4 | Extremely Characteristic = 5</t>
        </is>
      </c>
      <c r="J658" t="inlineStr">
        <is>
          <t>Source PDF renders the quotation marks and apostrophe as encoding artefacts ("AI=ll do it tomorrow@"); the intended wording is as given here.</t>
        </is>
      </c>
      <c r="K658" t="inlineStr">
        <is>
          <t>https://www.yorku.ca/rokada/psyctest/procrast.pdf</t>
        </is>
      </c>
    </row>
    <row r="659">
      <c r="A659" t="inlineStr">
        <is>
          <t>GPS</t>
        </is>
      </c>
      <c r="B659" t="inlineStr">
        <is>
          <t>General Procrastination Scale</t>
        </is>
      </c>
      <c r="C659" t="inlineStr">
        <is>
          <t>6. Motivation, self determination and goal pursuit</t>
        </is>
      </c>
      <c r="D659" t="n">
        <v>20</v>
      </c>
      <c r="E659" t="inlineStr">
        <is>
          <t>I usually take care of all the tasks I have to do before I settle down and relax for the evening.</t>
        </is>
      </c>
      <c r="F659" t="inlineStr">
        <is>
          <t>Total</t>
        </is>
      </c>
      <c r="G659" t="inlineStr">
        <is>
          <t>TRUE</t>
        </is>
      </c>
      <c r="H659" t="inlineStr">
        <is>
          <t>FALSE</t>
        </is>
      </c>
      <c r="I659" t="inlineStr">
        <is>
          <t>Extremely Uncharacteristic = 1 | Moderately Uncharacteristic = 2 | Neutral = 3 | Moderately Characteristic = 4 | Extremely Characteristic = 5</t>
        </is>
      </c>
      <c r="K659" t="inlineStr">
        <is>
          <t>https://www.yorku.ca/rokada/psyctest/procrast.pdf</t>
        </is>
      </c>
    </row>
    <row r="660">
      <c r="A660" t="inlineStr">
        <is>
          <t>HUA-ORANGA</t>
        </is>
      </c>
      <c r="B660" t="inlineStr">
        <is>
          <t>Hua Oranga</t>
        </is>
      </c>
      <c r="C660" t="inlineStr">
        <is>
          <t>7. Wellbeing and life satisfaction</t>
        </is>
      </c>
      <c r="D660" t="n">
        <v>1</v>
      </c>
      <c r="E660" t="inlineStr">
        <is>
          <t>Able to move about without pain or distress</t>
        </is>
      </c>
      <c r="F660" t="inlineStr">
        <is>
          <t>Taha Tinana</t>
        </is>
      </c>
      <c r="G660" t="inlineStr">
        <is>
          <t>FALSE</t>
        </is>
      </c>
      <c r="H660" t="inlineStr">
        <is>
          <t>FALSE</t>
        </is>
      </c>
      <c r="I660" t="inlineStr">
        <is>
          <t>Strongly disagree = 1 | 2 = 2 | 3 = 3 | 4 = 4 | Strongly agree = 5</t>
        </is>
      </c>
      <c r="J660" t="inlineStr">
        <is>
          <t>Factor label from the manual (te reo Māori, English gloss): Herekore (Mobility and pain)</t>
        </is>
      </c>
      <c r="K660" t="inlineStr">
        <is>
          <t>https://www.oradatabase.co.nz/files/appendix_1_tangata_whaiora_questionnaire.pdf</t>
        </is>
      </c>
    </row>
    <row r="661">
      <c r="A661" t="inlineStr">
        <is>
          <t>HUA-ORANGA</t>
        </is>
      </c>
      <c r="B661" t="inlineStr">
        <is>
          <t>Hua Oranga</t>
        </is>
      </c>
      <c r="C661" t="inlineStr">
        <is>
          <t>7. Wellbeing and life satisfaction</t>
        </is>
      </c>
      <c r="D661" t="n">
        <v>2</v>
      </c>
      <c r="E661" t="inlineStr">
        <is>
          <t>I have goals to maintain or improve my physical wellbeing</t>
        </is>
      </c>
      <c r="F661" t="inlineStr">
        <is>
          <t>Taha Tinana</t>
        </is>
      </c>
      <c r="G661" t="inlineStr">
        <is>
          <t>FALSE</t>
        </is>
      </c>
      <c r="H661" t="inlineStr">
        <is>
          <t>FALSE</t>
        </is>
      </c>
      <c r="I661" t="inlineStr">
        <is>
          <t>Strongly disagree = 1 | 2 = 2 | 3 = 3 | 4 = 4 | Strongly agree = 5</t>
        </is>
      </c>
      <c r="J661" t="inlineStr">
        <is>
          <t>Factor label from the manual (te reo Māori, English gloss): Whakapiki Oranga (Opportunity for enhanced health)</t>
        </is>
      </c>
      <c r="K661" t="inlineStr">
        <is>
          <t>https://www.oradatabase.co.nz/files/appendix_1_tangata_whaiora_questionnaire.pdf</t>
        </is>
      </c>
    </row>
    <row r="662">
      <c r="A662" t="inlineStr">
        <is>
          <t>HUA-ORANGA</t>
        </is>
      </c>
      <c r="B662" t="inlineStr">
        <is>
          <t>Hua Oranga</t>
        </is>
      </c>
      <c r="C662" t="inlineStr">
        <is>
          <t>7. Wellbeing and life satisfaction</t>
        </is>
      </c>
      <c r="D662" t="n">
        <v>3</v>
      </c>
      <c r="E662" t="inlineStr">
        <is>
          <t>I believe physical health improves my general wellbeing, including mental wellbeing</t>
        </is>
      </c>
      <c r="F662" t="inlineStr">
        <is>
          <t>Taha Tinana</t>
        </is>
      </c>
      <c r="G662" t="inlineStr">
        <is>
          <t>FALSE</t>
        </is>
      </c>
      <c r="H662" t="inlineStr">
        <is>
          <t>FALSE</t>
        </is>
      </c>
      <c r="I662" t="inlineStr">
        <is>
          <t>Strongly disagree = 1 | 2 = 2 | 3 = 3 | 4 = 4 | Strongly agree = 5</t>
        </is>
      </c>
      <c r="J662" t="inlineStr">
        <is>
          <t>Factor label from the manual (te reo Māori, English gloss): Te whanaungatanga o te hinengaro ki te tinana (Mind and body links)</t>
        </is>
      </c>
      <c r="K662" t="inlineStr">
        <is>
          <t>https://www.oradatabase.co.nz/files/appendix_1_tangata_whaiora_questionnaire.pdf</t>
        </is>
      </c>
    </row>
    <row r="663">
      <c r="A663" t="inlineStr">
        <is>
          <t>HUA-ORANGA</t>
        </is>
      </c>
      <c r="B663" t="inlineStr">
        <is>
          <t>Hua Oranga</t>
        </is>
      </c>
      <c r="C663" t="inlineStr">
        <is>
          <t>7. Wellbeing and life satisfaction</t>
        </is>
      </c>
      <c r="D663" t="n">
        <v>4</v>
      </c>
      <c r="E663" t="inlineStr">
        <is>
          <t>Physically healthy</t>
        </is>
      </c>
      <c r="F663" t="inlineStr">
        <is>
          <t>Taha Tinana</t>
        </is>
      </c>
      <c r="G663" t="inlineStr">
        <is>
          <t>FALSE</t>
        </is>
      </c>
      <c r="H663" t="inlineStr">
        <is>
          <t>FALSE</t>
        </is>
      </c>
      <c r="I663" t="inlineStr">
        <is>
          <t>Strongly disagree = 1 | 2 = 2 | 3 = 3 | 4 = 4 | Strongly agree = 5</t>
        </is>
      </c>
      <c r="J663" t="inlineStr">
        <is>
          <t>Factor label from the manual (te reo Māori, English gloss): Hauora Tinana (Physical health status)</t>
        </is>
      </c>
      <c r="K663" t="inlineStr">
        <is>
          <t>https://www.oradatabase.co.nz/files/appendix_1_tangata_whaiora_questionnaire.pdf</t>
        </is>
      </c>
    </row>
    <row r="664">
      <c r="A664" t="inlineStr">
        <is>
          <t>HUA-ORANGA</t>
        </is>
      </c>
      <c r="B664" t="inlineStr">
        <is>
          <t>Hua Oranga</t>
        </is>
      </c>
      <c r="C664" t="inlineStr">
        <is>
          <t>7. Wellbeing and life satisfaction</t>
        </is>
      </c>
      <c r="D664" t="n">
        <v>5</v>
      </c>
      <c r="E664" t="inlineStr">
        <is>
          <t>My mana is intact and acknowledged/respected</t>
        </is>
      </c>
      <c r="F664" t="inlineStr">
        <is>
          <t>Taha Wairua</t>
        </is>
      </c>
      <c r="G664" t="inlineStr">
        <is>
          <t>FALSE</t>
        </is>
      </c>
      <c r="H664" t="inlineStr">
        <is>
          <t>FALSE</t>
        </is>
      </c>
      <c r="I664" t="inlineStr">
        <is>
          <t>Strongly disagree = 1 | 2 = 2 | 3 = 3 | 4 = 4 | Strongly agree = 5</t>
        </is>
      </c>
      <c r="J664" t="inlineStr">
        <is>
          <t>Factor label from the manual (te reo Māori, English gloss): Whakarangatira (Dignity and respect)</t>
        </is>
      </c>
      <c r="K664" t="inlineStr">
        <is>
          <t>https://www.oradatabase.co.nz/files/appendix_1_tangata_whaiora_questionnaire.pdf</t>
        </is>
      </c>
    </row>
    <row r="665">
      <c r="A665" t="inlineStr">
        <is>
          <t>HUA-ORANGA</t>
        </is>
      </c>
      <c r="B665" t="inlineStr">
        <is>
          <t>Hua Oranga</t>
        </is>
      </c>
      <c r="C665" t="inlineStr">
        <is>
          <t>7. Wellbeing and life satisfaction</t>
        </is>
      </c>
      <c r="D665" t="n">
        <v>6</v>
      </c>
      <c r="E665" t="inlineStr">
        <is>
          <t>Strong in my cultural identity</t>
        </is>
      </c>
      <c r="F665" t="inlineStr">
        <is>
          <t>Taha Wairua</t>
        </is>
      </c>
      <c r="G665" t="inlineStr">
        <is>
          <t>FALSE</t>
        </is>
      </c>
      <c r="H665" t="inlineStr">
        <is>
          <t>FALSE</t>
        </is>
      </c>
      <c r="I665" t="inlineStr">
        <is>
          <t>Strongly disagree = 1 | 2 = 2 | 3 = 3 | 4 = 4 | Strongly agree = 5</t>
        </is>
      </c>
      <c r="J665" t="inlineStr">
        <is>
          <t>Factor label from the manual (te reo Māori, English gloss): Tuakiri (Cultural identity)</t>
        </is>
      </c>
      <c r="K665" t="inlineStr">
        <is>
          <t>https://www.oradatabase.co.nz/files/appendix_1_tangata_whaiora_questionnaire.pdf</t>
        </is>
      </c>
    </row>
    <row r="666">
      <c r="A666" t="inlineStr">
        <is>
          <t>HUA-ORANGA</t>
        </is>
      </c>
      <c r="B666" t="inlineStr">
        <is>
          <t>Hua Oranga</t>
        </is>
      </c>
      <c r="C666" t="inlineStr">
        <is>
          <t>7. Wellbeing and life satisfaction</t>
        </is>
      </c>
      <c r="D666" t="n">
        <v>7</v>
      </c>
      <c r="E666" t="inlineStr">
        <is>
          <t>Content within yourself</t>
        </is>
      </c>
      <c r="F666" t="inlineStr">
        <is>
          <t>Taha Wairua</t>
        </is>
      </c>
      <c r="G666" t="inlineStr">
        <is>
          <t>FALSE</t>
        </is>
      </c>
      <c r="H666" t="inlineStr">
        <is>
          <t>FALSE</t>
        </is>
      </c>
      <c r="I666" t="inlineStr">
        <is>
          <t>Strongly disagree = 1 | 2 = 2 | 3 = 3 | 4 = 4 | Strongly agree = 5</t>
        </is>
      </c>
      <c r="J666" t="inlineStr">
        <is>
          <t>Factor label from the manual (te reo Māori, English gloss): Tino Rangatiratanga (Personal contentment). Appendix 2 reflection tool prints this item as "Content within myself".</t>
        </is>
      </c>
      <c r="K666" t="inlineStr">
        <is>
          <t>https://www.oradatabase.co.nz/files/appendix_1_tangata_whaiora_questionnaire.pdf</t>
        </is>
      </c>
    </row>
    <row r="667">
      <c r="A667" t="inlineStr">
        <is>
          <t>HUA-ORANGA</t>
        </is>
      </c>
      <c r="B667" t="inlineStr">
        <is>
          <t>Hua Oranga</t>
        </is>
      </c>
      <c r="C667" t="inlineStr">
        <is>
          <t>7. Wellbeing and life satisfaction</t>
        </is>
      </c>
      <c r="D667" t="n">
        <v>8</v>
      </c>
      <c r="E667" t="inlineStr">
        <is>
          <t>Connected and healthy from a spiritual (Wairua and Mauri) perspective</t>
        </is>
      </c>
      <c r="F667" t="inlineStr">
        <is>
          <t>Taha Wairua</t>
        </is>
      </c>
      <c r="G667" t="inlineStr">
        <is>
          <t>FALSE</t>
        </is>
      </c>
      <c r="H667" t="inlineStr">
        <is>
          <t>FALSE</t>
        </is>
      </c>
      <c r="I667" t="inlineStr">
        <is>
          <t>Strongly disagree = 1 | 2 = 2 | 3 = 3 | 4 = 4 | Strongly agree = 5</t>
        </is>
      </c>
      <c r="J667" t="inlineStr">
        <is>
          <t>Factor label from the manual (te reo Māori, English gloss): Mauri Ora (Spirituality)</t>
        </is>
      </c>
      <c r="K667" t="inlineStr">
        <is>
          <t>https://www.oradatabase.co.nz/files/appendix_1_tangata_whaiora_questionnaire.pdf</t>
        </is>
      </c>
    </row>
    <row r="668">
      <c r="A668" t="inlineStr">
        <is>
          <t>HUA-ORANGA</t>
        </is>
      </c>
      <c r="B668" t="inlineStr">
        <is>
          <t>Hua Oranga</t>
        </is>
      </c>
      <c r="C668" t="inlineStr">
        <is>
          <t>7. Wellbeing and life satisfaction</t>
        </is>
      </c>
      <c r="D668" t="n">
        <v>9</v>
      </c>
      <c r="E668" t="inlineStr">
        <is>
          <t>Able to talk with my whānau and others</t>
        </is>
      </c>
      <c r="F668" t="inlineStr">
        <is>
          <t>Taha Whānau</t>
        </is>
      </c>
      <c r="G668" t="inlineStr">
        <is>
          <t>FALSE</t>
        </is>
      </c>
      <c r="H668" t="inlineStr">
        <is>
          <t>FALSE</t>
        </is>
      </c>
      <c r="I668" t="inlineStr">
        <is>
          <t>Strongly disagree = 1 | 2 = 2 | 3 = 3 | 4 = 4 | Strongly agree = 5</t>
        </is>
      </c>
      <c r="J668" t="inlineStr">
        <is>
          <t>Factor label from the manual (te reo Māori, English gloss): Whakawhitiwhiti whakaaro (Communication)</t>
        </is>
      </c>
      <c r="K668" t="inlineStr">
        <is>
          <t>https://www.oradatabase.co.nz/files/appendix_1_tangata_whaiora_questionnaire.pdf</t>
        </is>
      </c>
    </row>
    <row r="669">
      <c r="A669" t="inlineStr">
        <is>
          <t>HUA-ORANGA</t>
        </is>
      </c>
      <c r="B669" t="inlineStr">
        <is>
          <t>Hua Oranga</t>
        </is>
      </c>
      <c r="C669" t="inlineStr">
        <is>
          <t>7. Wellbeing and life satisfaction</t>
        </is>
      </c>
      <c r="D669" t="n">
        <v>10</v>
      </c>
      <c r="E669" t="inlineStr">
        <is>
          <t>My relationships with whānau and others are healthy</t>
        </is>
      </c>
      <c r="F669" t="inlineStr">
        <is>
          <t>Taha Whānau</t>
        </is>
      </c>
      <c r="G669" t="inlineStr">
        <is>
          <t>FALSE</t>
        </is>
      </c>
      <c r="H669" t="inlineStr">
        <is>
          <t>FALSE</t>
        </is>
      </c>
      <c r="I669" t="inlineStr">
        <is>
          <t>Strongly disagree = 1 | 2 = 2 | 3 = 3 | 4 = 4 | Strongly agree = 5</t>
        </is>
      </c>
      <c r="J669" t="inlineStr">
        <is>
          <t>Factor label from the manual (te reo Māori, English gloss): Whanaungatanga (Relationships)</t>
        </is>
      </c>
      <c r="K669" t="inlineStr">
        <is>
          <t>https://www.oradatabase.co.nz/files/appendix_1_tangata_whaiora_questionnaire.pdf</t>
        </is>
      </c>
    </row>
    <row r="670">
      <c r="A670" t="inlineStr">
        <is>
          <t>HUA-ORANGA</t>
        </is>
      </c>
      <c r="B670" t="inlineStr">
        <is>
          <t>Hua Oranga</t>
        </is>
      </c>
      <c r="C670" t="inlineStr">
        <is>
          <t>7. Wellbeing and life satisfaction</t>
        </is>
      </c>
      <c r="D670" t="n">
        <v>11</v>
      </c>
      <c r="E670" t="inlineStr">
        <is>
          <t>Clear about my roles within my whānau/family, and how to fulfil them.</t>
        </is>
      </c>
      <c r="F670" t="inlineStr">
        <is>
          <t>Taha Whānau</t>
        </is>
      </c>
      <c r="G670" t="inlineStr">
        <is>
          <t>FALSE</t>
        </is>
      </c>
      <c r="H670" t="inlineStr">
        <is>
          <t>FALSE</t>
        </is>
      </c>
      <c r="I670" t="inlineStr">
        <is>
          <t>Strongly disagree = 1 | 2 = 2 | 3 = 3 | 4 = 4 | Strongly agree = 5</t>
        </is>
      </c>
      <c r="J670" t="inlineStr">
        <is>
          <t>Factor label from the manual (te reo Māori, English gloss): Tauawhiawhi (Mutuality)</t>
        </is>
      </c>
      <c r="K670" t="inlineStr">
        <is>
          <t>https://www.oradatabase.co.nz/files/appendix_1_tangata_whaiora_questionnaire.pdf</t>
        </is>
      </c>
    </row>
    <row r="671">
      <c r="A671" t="inlineStr">
        <is>
          <t>HUA-ORANGA</t>
        </is>
      </c>
      <c r="B671" t="inlineStr">
        <is>
          <t>Hua Oranga</t>
        </is>
      </c>
      <c r="C671" t="inlineStr">
        <is>
          <t>7. Wellbeing and life satisfaction</t>
        </is>
      </c>
      <c r="D671" t="n">
        <v>12</v>
      </c>
      <c r="E671" t="inlineStr">
        <is>
          <t>Able to participate in community, or hapū and iwi activities.</t>
        </is>
      </c>
      <c r="F671" t="inlineStr">
        <is>
          <t>Taha Whānau</t>
        </is>
      </c>
      <c r="G671" t="inlineStr">
        <is>
          <t>FALSE</t>
        </is>
      </c>
      <c r="H671" t="inlineStr">
        <is>
          <t>FALSE</t>
        </is>
      </c>
      <c r="I671" t="inlineStr">
        <is>
          <t>Strongly disagree = 1 | 2 = 2 | 3 = 3 | 4 = 4 | Strongly agree = 5</t>
        </is>
      </c>
      <c r="J671" t="inlineStr">
        <is>
          <t>Factor label from the manual (te reo Māori, English gloss): Tūhono-ā-hapori (Social participation)</t>
        </is>
      </c>
      <c r="K671" t="inlineStr">
        <is>
          <t>https://www.oradatabase.co.nz/files/appendix_1_tangata_whaiora_questionnaire.pdf</t>
        </is>
      </c>
    </row>
    <row r="672">
      <c r="A672" t="inlineStr">
        <is>
          <t>HUA-ORANGA</t>
        </is>
      </c>
      <c r="B672" t="inlineStr">
        <is>
          <t>Hua Oranga</t>
        </is>
      </c>
      <c r="C672" t="inlineStr">
        <is>
          <t>7. Wellbeing and life satisfaction</t>
        </is>
      </c>
      <c r="D672" t="n">
        <v>13</v>
      </c>
      <c r="E672" t="inlineStr">
        <is>
          <t>I want to make changes in my life that contribute to my wellbeing</t>
        </is>
      </c>
      <c r="F672" t="inlineStr">
        <is>
          <t>Taha Hinengaro</t>
        </is>
      </c>
      <c r="G672" t="inlineStr">
        <is>
          <t>FALSE</t>
        </is>
      </c>
      <c r="H672" t="inlineStr">
        <is>
          <t>FALSE</t>
        </is>
      </c>
      <c r="I672" t="inlineStr">
        <is>
          <t>Strongly disagree = 1 | 2 = 2 | 3 = 3 | 4 = 4 | Strongly agree = 5</t>
        </is>
      </c>
      <c r="J672" t="inlineStr">
        <is>
          <t>Factor label from the manual (te reo Māori, English gloss): Whakahihiko (Motivation)</t>
        </is>
      </c>
      <c r="K672" t="inlineStr">
        <is>
          <t>https://www.oradatabase.co.nz/files/appendix_1_tangata_whaiora_questionnaire.pdf</t>
        </is>
      </c>
    </row>
    <row r="673">
      <c r="A673" t="inlineStr">
        <is>
          <t>HUA-ORANGA</t>
        </is>
      </c>
      <c r="B673" t="inlineStr">
        <is>
          <t>Hua Oranga</t>
        </is>
      </c>
      <c r="C673" t="inlineStr">
        <is>
          <t>7. Wellbeing and life satisfaction</t>
        </is>
      </c>
      <c r="D673" t="n">
        <v>14</v>
      </c>
      <c r="E673" t="inlineStr">
        <is>
          <t>Able to think, feel and act in a positive manner</t>
        </is>
      </c>
      <c r="F673" t="inlineStr">
        <is>
          <t>Taha Hinengaro</t>
        </is>
      </c>
      <c r="G673" t="inlineStr">
        <is>
          <t>FALSE</t>
        </is>
      </c>
      <c r="H673" t="inlineStr">
        <is>
          <t>FALSE</t>
        </is>
      </c>
      <c r="I673" t="inlineStr">
        <is>
          <t>Strongly disagree = 1 | 2 = 2 | 3 = 3 | 4 = 4 | Strongly agree = 5</t>
        </is>
      </c>
      <c r="J673" t="inlineStr">
        <is>
          <t>Factor label from the manual (te reo Māori, English gloss): Whai Whakaaro, Whai Whanonga (Cognition and behaviour)</t>
        </is>
      </c>
      <c r="K673" t="inlineStr">
        <is>
          <t>https://www.oradatabase.co.nz/files/appendix_1_tangata_whaiora_questionnaire.pdf</t>
        </is>
      </c>
    </row>
    <row r="674">
      <c r="A674" t="inlineStr">
        <is>
          <t>HUA-ORANGA</t>
        </is>
      </c>
      <c r="B674" t="inlineStr">
        <is>
          <t>Hua Oranga</t>
        </is>
      </c>
      <c r="C674" t="inlineStr">
        <is>
          <t>7. Wellbeing and life satisfaction</t>
        </is>
      </c>
      <c r="D674" t="n">
        <v>15</v>
      </c>
      <c r="E674" t="inlineStr">
        <is>
          <t>Able to manage unwelcome thoughts and feelings</t>
        </is>
      </c>
      <c r="F674" t="inlineStr">
        <is>
          <t>Taha Hinengaro</t>
        </is>
      </c>
      <c r="G674" t="inlineStr">
        <is>
          <t>FALSE</t>
        </is>
      </c>
      <c r="H674" t="inlineStr">
        <is>
          <t>FALSE</t>
        </is>
      </c>
      <c r="I674" t="inlineStr">
        <is>
          <t>Strongly disagree = 1 | 2 = 2 | 3 = 3 | 4 = 4 | Strongly agree = 5</t>
        </is>
      </c>
      <c r="J674" t="inlineStr">
        <is>
          <t>Factor label from the manual (te reo Māori, English gloss): Aro ki ngā kare-ā-roto (Management of thoughts and feelings)</t>
        </is>
      </c>
      <c r="K674" t="inlineStr">
        <is>
          <t>https://www.oradatabase.co.nz/files/appendix_1_tangata_whaiora_questionnaire.pdf</t>
        </is>
      </c>
    </row>
    <row r="675">
      <c r="A675" t="inlineStr">
        <is>
          <t>HUA-ORANGA</t>
        </is>
      </c>
      <c r="B675" t="inlineStr">
        <is>
          <t>Hua Oranga</t>
        </is>
      </c>
      <c r="C675" t="inlineStr">
        <is>
          <t>7. Wellbeing and life satisfaction</t>
        </is>
      </c>
      <c r="D675" t="n">
        <v>16</v>
      </c>
      <c r="E675" t="inlineStr">
        <is>
          <t>I understand what contributes to my concerns and how to address these.</t>
        </is>
      </c>
      <c r="F675" t="inlineStr">
        <is>
          <t>Taha Hinengaro</t>
        </is>
      </c>
      <c r="G675" t="inlineStr">
        <is>
          <t>FALSE</t>
        </is>
      </c>
      <c r="H675" t="inlineStr">
        <is>
          <t>FALSE</t>
        </is>
      </c>
      <c r="I675" t="inlineStr">
        <is>
          <t>Strongly disagree = 1 | 2 = 2 | 3 = 3 | 4 = 4 | Strongly agree = 5</t>
        </is>
      </c>
      <c r="J675" t="inlineStr">
        <is>
          <t>Factor label from the manual (te reo Māori, English gloss): Kia Mōhio, Kia Mārama (Knowledge and understanding)</t>
        </is>
      </c>
      <c r="K675" t="inlineStr">
        <is>
          <t>https://www.oradatabase.co.nz/files/appendix_1_tangata_whaiora_questionnaire.pdf</t>
        </is>
      </c>
    </row>
    <row r="676">
      <c r="A676" t="inlineStr">
        <is>
          <t>JDS</t>
        </is>
      </c>
      <c r="B676" t="inlineStr">
        <is>
          <t>Job Diagnostic Survey (revised 15 item core job characteristics form)</t>
        </is>
      </c>
      <c r="C676" t="inlineStr">
        <is>
          <t>3. Adjacent occupational and wellbeing</t>
        </is>
      </c>
      <c r="D676" t="n">
        <v>1</v>
      </c>
      <c r="E676" t="inlineStr">
        <is>
          <t>How much variety is there in your job? That is, to what extent does the job require you to do many different things at work, using a variety of your skills and talents?</t>
        </is>
      </c>
      <c r="F676" t="inlineStr">
        <is>
          <t>Skill variety</t>
        </is>
      </c>
      <c r="G676" t="inlineStr">
        <is>
          <t>FALSE</t>
        </is>
      </c>
      <c r="H676" t="inlineStr">
        <is>
          <t>FALSE</t>
        </is>
      </c>
      <c r="I676" t="inlineStr">
        <is>
          <t>Very Inaccurate = 1 | Mostly Inaccurate = 2 | Slightly Inaccurate = 3 | Uncertain = 4 | Slightly Accurate = 5 | Mostly Accurate = 6 | Very Accurate = 7</t>
        </is>
      </c>
      <c r="J676" t="inlineStr">
        <is>
          <t>Section One, question 4. 7 point scale with anchors: 1 "Very little; the job requires me to do the same routine things over and over again." 4 "Moderate variety." 7 "Very much; the job requires me to do many different things, using a number of different skills and talents."</t>
        </is>
      </c>
      <c r="K676" t="inlineStr">
        <is>
          <t>https://paulspector.com/assessment-files/other/jds-report.pdf</t>
        </is>
      </c>
    </row>
    <row r="677">
      <c r="A677" t="inlineStr">
        <is>
          <t>JDS</t>
        </is>
      </c>
      <c r="B677" t="inlineStr">
        <is>
          <t>Job Diagnostic Survey (revised 15 item core job characteristics form)</t>
        </is>
      </c>
      <c r="C677" t="inlineStr">
        <is>
          <t>3. Adjacent occupational and wellbeing</t>
        </is>
      </c>
      <c r="D677" t="n">
        <v>2</v>
      </c>
      <c r="E677" t="inlineStr">
        <is>
          <t>To what extent does your job involve doing a "whole" and identifiable piece of work? That is, is the job a complete piece of work that has an obvious beginning and end? Or is it only a small part of the overall piece of work, which is finished by other people or by automatic machines?</t>
        </is>
      </c>
      <c r="F677" t="inlineStr">
        <is>
          <t>Task identity</t>
        </is>
      </c>
      <c r="G677" t="inlineStr">
        <is>
          <t>FALSE</t>
        </is>
      </c>
      <c r="H677" t="inlineStr">
        <is>
          <t>FALSE</t>
        </is>
      </c>
      <c r="I677" t="inlineStr">
        <is>
          <t>Very Inaccurate = 1 | Mostly Inaccurate = 2 | Slightly Inaccurate = 3 | Uncertain = 4 | Slightly Accurate = 5 | Mostly Accurate = 6 | Very Accurate = 7</t>
        </is>
      </c>
      <c r="J677" t="inlineStr">
        <is>
          <t>Section One, question 3. Anchors: 1 "My job is only a tiny part of the overall piece of work; the results of my activities cannot be seen in the final product or service." 4 "My job is a moderate-sized 'chunk' of the overall piece of work; my own contribution can be seen in the final outcome." 7 "My job involves doing the whole piece of work, from start to finish; the results of my activities are easily seen in the final product or service."</t>
        </is>
      </c>
      <c r="K677" t="inlineStr">
        <is>
          <t>https://paulspector.com/assessment-files/other/jds-report.pdf</t>
        </is>
      </c>
    </row>
    <row r="678">
      <c r="A678" t="inlineStr">
        <is>
          <t>JDS</t>
        </is>
      </c>
      <c r="B678" t="inlineStr">
        <is>
          <t>Job Diagnostic Survey (revised 15 item core job characteristics form)</t>
        </is>
      </c>
      <c r="C678" t="inlineStr">
        <is>
          <t>3. Adjacent occupational and wellbeing</t>
        </is>
      </c>
      <c r="D678" t="n">
        <v>3</v>
      </c>
      <c r="E678" t="inlineStr">
        <is>
          <t>In general, how significant or important is your job? That is, are the results of your work likely to significantly affect the lives or well-being of other people?</t>
        </is>
      </c>
      <c r="F678" t="inlineStr">
        <is>
          <t>Task significance</t>
        </is>
      </c>
      <c r="G678" t="inlineStr">
        <is>
          <t>FALSE</t>
        </is>
      </c>
      <c r="H678" t="inlineStr">
        <is>
          <t>FALSE</t>
        </is>
      </c>
      <c r="I678" t="inlineStr">
        <is>
          <t>Very Inaccurate = 1 | Mostly Inaccurate = 2 | Slightly Inaccurate = 3 | Uncertain = 4 | Slightly Accurate = 5 | Mostly Accurate = 6 | Very Accurate = 7</t>
        </is>
      </c>
      <c r="J678" t="inlineStr">
        <is>
          <t>Section One, question 5. Anchors: 1 "Not very significant; the outcomes of my work are not likely to have important effects on other people." 4 "Moderately significant." 7 "Highly significant; the outcomes of my work can affect other people in very important ways."</t>
        </is>
      </c>
      <c r="K678" t="inlineStr">
        <is>
          <t>https://paulspector.com/assessment-files/other/jds-report.pdf</t>
        </is>
      </c>
    </row>
    <row r="679">
      <c r="A679" t="inlineStr">
        <is>
          <t>JDS</t>
        </is>
      </c>
      <c r="B679" t="inlineStr">
        <is>
          <t>Job Diagnostic Survey (revised 15 item core job characteristics form)</t>
        </is>
      </c>
      <c r="C679" t="inlineStr">
        <is>
          <t>3. Adjacent occupational and wellbeing</t>
        </is>
      </c>
      <c r="D679" t="n">
        <v>4</v>
      </c>
      <c r="E679" t="inlineStr">
        <is>
          <t>How much autonomy is there in your job? That is, to what extent does your job permit you to decide on your own how to go about doing the work?</t>
        </is>
      </c>
      <c r="F679" t="inlineStr">
        <is>
          <t>Autonomy</t>
        </is>
      </c>
      <c r="G679" t="inlineStr">
        <is>
          <t>FALSE</t>
        </is>
      </c>
      <c r="H679" t="inlineStr">
        <is>
          <t>FALSE</t>
        </is>
      </c>
      <c r="I679" t="inlineStr">
        <is>
          <t>Very Inaccurate = 1 | Mostly Inaccurate = 2 | Slightly Inaccurate = 3 | Uncertain = 4 | Slightly Accurate = 5 | Mostly Accurate = 6 | Very Accurate = 7</t>
        </is>
      </c>
      <c r="J679" t="inlineStr">
        <is>
          <t>Section One, question 2. Anchors: 1 "Very little; the job gives me almost no personal 'say' about how and when the work is done." 4 "Moderate autonomy; many things are standardized and not under my control, but I can make some decisions about the work." 7 "Very much; the job gives me almost complete responsibility for deciding how and when the work is done."</t>
        </is>
      </c>
      <c r="K679" t="inlineStr">
        <is>
          <t>https://paulspector.com/assessment-files/other/jds-report.pdf</t>
        </is>
      </c>
    </row>
    <row r="680">
      <c r="A680" t="inlineStr">
        <is>
          <t>JDS</t>
        </is>
      </c>
      <c r="B680" t="inlineStr">
        <is>
          <t>Job Diagnostic Survey (revised 15 item core job characteristics form)</t>
        </is>
      </c>
      <c r="C680" t="inlineStr">
        <is>
          <t>3. Adjacent occupational and wellbeing</t>
        </is>
      </c>
      <c r="D680" t="n">
        <v>5</v>
      </c>
      <c r="E680" t="inlineStr">
        <is>
          <t>To what extent does doing the job itself provide you with information about your work performance? That is, does the actual work itself provide clues about how well you are doing aside from any "feedback" co-workers or supervisors may provide?</t>
        </is>
      </c>
      <c r="F680" t="inlineStr">
        <is>
          <t>Feedback from the job</t>
        </is>
      </c>
      <c r="G680" t="inlineStr">
        <is>
          <t>FALSE</t>
        </is>
      </c>
      <c r="H680" t="inlineStr">
        <is>
          <t>FALSE</t>
        </is>
      </c>
      <c r="I680" t="inlineStr">
        <is>
          <t>Very Inaccurate = 1 | Mostly Inaccurate = 2 | Slightly Inaccurate = 3 | Uncertain = 4 | Slightly Accurate = 5 | Mostly Accurate = 6 | Very Accurate = 7</t>
        </is>
      </c>
      <c r="J680" t="inlineStr">
        <is>
          <t>Section One, question 7. Anchors: 1 "Very little; the job itself is set up so I could work forever without finding out how well I am doing." 4 "Moderately; sometimes doing the job provides 'feedback' to me; sometimes it does not." 7 "Very much; the job is set up so I get almost constant 'feedback' as I work about how well I am doing."</t>
        </is>
      </c>
      <c r="K680" t="inlineStr">
        <is>
          <t>https://paulspector.com/assessment-files/other/jds-report.pdf</t>
        </is>
      </c>
    </row>
    <row r="681">
      <c r="A681" t="inlineStr">
        <is>
          <t>JDS</t>
        </is>
      </c>
      <c r="B681" t="inlineStr">
        <is>
          <t>Job Diagnostic Survey (revised 15 item core job characteristics form)</t>
        </is>
      </c>
      <c r="C681" t="inlineStr">
        <is>
          <t>3. Adjacent occupational and wellbeing</t>
        </is>
      </c>
      <c r="D681" t="n">
        <v>6</v>
      </c>
      <c r="E681" t="inlineStr">
        <is>
          <t>The job requires me to use a number of complex or high-level skills.</t>
        </is>
      </c>
      <c r="F681" t="inlineStr">
        <is>
          <t>Skill variety</t>
        </is>
      </c>
      <c r="G681" t="inlineStr">
        <is>
          <t>FALSE</t>
        </is>
      </c>
      <c r="H681" t="inlineStr">
        <is>
          <t>FALSE</t>
        </is>
      </c>
      <c r="I681" t="inlineStr">
        <is>
          <t>Very Inaccurate = 1 | Mostly Inaccurate = 2 | Slightly Inaccurate = 3 | Uncertain = 4 | Slightly Accurate = 5 | Mostly Accurate = 6 | Very Accurate = 7</t>
        </is>
      </c>
      <c r="J681" t="inlineStr">
        <is>
          <t>Section Two, statement 1.</t>
        </is>
      </c>
      <c r="K681" t="inlineStr">
        <is>
          <t>https://paulspector.com/assessment-files/other/jds-report.pdf</t>
        </is>
      </c>
    </row>
    <row r="682">
      <c r="A682" t="inlineStr">
        <is>
          <t>JDS</t>
        </is>
      </c>
      <c r="B682" t="inlineStr">
        <is>
          <t>Job Diagnostic Survey (revised 15 item core job characteristics form)</t>
        </is>
      </c>
      <c r="C682" t="inlineStr">
        <is>
          <t>3. Adjacent occupational and wellbeing</t>
        </is>
      </c>
      <c r="D682" t="n">
        <v>7</v>
      </c>
      <c r="E682" t="inlineStr">
        <is>
          <t>The job is quite simple and repetitive.</t>
        </is>
      </c>
      <c r="F682" t="inlineStr">
        <is>
          <t>Skill variety</t>
        </is>
      </c>
      <c r="G682" t="inlineStr">
        <is>
          <t>TRUE</t>
        </is>
      </c>
      <c r="H682" t="inlineStr">
        <is>
          <t>FALSE</t>
        </is>
      </c>
      <c r="I682" t="inlineStr">
        <is>
          <t>Very Inaccurate = 1 | Mostly Inaccurate = 2 | Slightly Inaccurate = 3 | Uncertain = 4 | Slightly Accurate = 5 | Mostly Accurate = 6 | Very Accurate = 7</t>
        </is>
      </c>
      <c r="J682" t="inlineStr">
        <is>
          <t>Section Two, statement 5. Original 1974 wording; Idaszak and Drasgow (1987) replaced this with a positively worded statement that could not be retrieved.</t>
        </is>
      </c>
      <c r="K682" t="inlineStr">
        <is>
          <t>https://paulspector.com/assessment-files/other/jds-report.pdf</t>
        </is>
      </c>
    </row>
    <row r="683">
      <c r="A683" t="inlineStr">
        <is>
          <t>JDS</t>
        </is>
      </c>
      <c r="B683" t="inlineStr">
        <is>
          <t>Job Diagnostic Survey (revised 15 item core job characteristics form)</t>
        </is>
      </c>
      <c r="C683" t="inlineStr">
        <is>
          <t>3. Adjacent occupational and wellbeing</t>
        </is>
      </c>
      <c r="D683" t="n">
        <v>8</v>
      </c>
      <c r="E683" t="inlineStr">
        <is>
          <t>The job provides me the chance to completely finish the pieces of work I begin.</t>
        </is>
      </c>
      <c r="F683" t="inlineStr">
        <is>
          <t>Task identity</t>
        </is>
      </c>
      <c r="G683" t="inlineStr">
        <is>
          <t>FALSE</t>
        </is>
      </c>
      <c r="H683" t="inlineStr">
        <is>
          <t>FALSE</t>
        </is>
      </c>
      <c r="I683" t="inlineStr">
        <is>
          <t>Very Inaccurate = 1 | Mostly Inaccurate = 2 | Slightly Inaccurate = 3 | Uncertain = 4 | Slightly Accurate = 5 | Mostly Accurate = 6 | Very Accurate = 7</t>
        </is>
      </c>
      <c r="J683" t="inlineStr">
        <is>
          <t>Section Two, statement 11.</t>
        </is>
      </c>
      <c r="K683" t="inlineStr">
        <is>
          <t>https://paulspector.com/assessment-files/other/jds-report.pdf</t>
        </is>
      </c>
    </row>
    <row r="684">
      <c r="A684" t="inlineStr">
        <is>
          <t>JDS</t>
        </is>
      </c>
      <c r="B684" t="inlineStr">
        <is>
          <t>Job Diagnostic Survey (revised 15 item core job characteristics form)</t>
        </is>
      </c>
      <c r="C684" t="inlineStr">
        <is>
          <t>3. Adjacent occupational and wellbeing</t>
        </is>
      </c>
      <c r="D684" t="n">
        <v>9</v>
      </c>
      <c r="E684" t="inlineStr">
        <is>
          <t>The job is arranged so that I do not have the chance to do an entire piece of work from beginning to end.</t>
        </is>
      </c>
      <c r="F684" t="inlineStr">
        <is>
          <t>Task identity</t>
        </is>
      </c>
      <c r="G684" t="inlineStr">
        <is>
          <t>TRUE</t>
        </is>
      </c>
      <c r="H684" t="inlineStr">
        <is>
          <t>FALSE</t>
        </is>
      </c>
      <c r="I684" t="inlineStr">
        <is>
          <t>Very Inaccurate = 1 | Mostly Inaccurate = 2 | Slightly Inaccurate = 3 | Uncertain = 4 | Slightly Accurate = 5 | Mostly Accurate = 6 | Very Accurate = 7</t>
        </is>
      </c>
      <c r="J684" t="inlineStr">
        <is>
          <t>Section Two, statement 3. Original 1974 wording; revised positively worded replacement not retrieved.</t>
        </is>
      </c>
      <c r="K684" t="inlineStr">
        <is>
          <t>https://paulspector.com/assessment-files/other/jds-report.pdf</t>
        </is>
      </c>
    </row>
    <row r="685">
      <c r="A685" t="inlineStr">
        <is>
          <t>JDS</t>
        </is>
      </c>
      <c r="B685" t="inlineStr">
        <is>
          <t>Job Diagnostic Survey (revised 15 item core job characteristics form)</t>
        </is>
      </c>
      <c r="C685" t="inlineStr">
        <is>
          <t>3. Adjacent occupational and wellbeing</t>
        </is>
      </c>
      <c r="D685" t="n">
        <v>10</v>
      </c>
      <c r="E685" t="inlineStr">
        <is>
          <t>This job is one where a lot of other people can be affected by how well the work gets done.</t>
        </is>
      </c>
      <c r="F685" t="inlineStr">
        <is>
          <t>Task significance</t>
        </is>
      </c>
      <c r="G685" t="inlineStr">
        <is>
          <t>FALSE</t>
        </is>
      </c>
      <c r="H685" t="inlineStr">
        <is>
          <t>FALSE</t>
        </is>
      </c>
      <c r="I685" t="inlineStr">
        <is>
          <t>Very Inaccurate = 1 | Mostly Inaccurate = 2 | Slightly Inaccurate = 3 | Uncertain = 4 | Slightly Accurate = 5 | Mostly Accurate = 6 | Very Accurate = 7</t>
        </is>
      </c>
      <c r="J685" t="inlineStr">
        <is>
          <t>Section Two, statement 8.</t>
        </is>
      </c>
      <c r="K685" t="inlineStr">
        <is>
          <t>https://paulspector.com/assessment-files/other/jds-report.pdf</t>
        </is>
      </c>
    </row>
    <row r="686">
      <c r="A686" t="inlineStr">
        <is>
          <t>JDS</t>
        </is>
      </c>
      <c r="B686" t="inlineStr">
        <is>
          <t>Job Diagnostic Survey (revised 15 item core job characteristics form)</t>
        </is>
      </c>
      <c r="C686" t="inlineStr">
        <is>
          <t>3. Adjacent occupational and wellbeing</t>
        </is>
      </c>
      <c r="D686" t="n">
        <v>11</v>
      </c>
      <c r="E686" t="inlineStr">
        <is>
          <t>The job itself is not very significant or important in the broader scheme of things.</t>
        </is>
      </c>
      <c r="F686" t="inlineStr">
        <is>
          <t>Task significance</t>
        </is>
      </c>
      <c r="G686" t="inlineStr">
        <is>
          <t>TRUE</t>
        </is>
      </c>
      <c r="H686" t="inlineStr">
        <is>
          <t>FALSE</t>
        </is>
      </c>
      <c r="I686" t="inlineStr">
        <is>
          <t>Very Inaccurate = 1 | Mostly Inaccurate = 2 | Slightly Inaccurate = 3 | Uncertain = 4 | Slightly Accurate = 5 | Mostly Accurate = 6 | Very Accurate = 7</t>
        </is>
      </c>
      <c r="J686" t="inlineStr">
        <is>
          <t>Section Two, statement 14. Original 1974 wording; revised positively worded replacement not retrieved.</t>
        </is>
      </c>
      <c r="K686" t="inlineStr">
        <is>
          <t>https://paulspector.com/assessment-files/other/jds-report.pdf</t>
        </is>
      </c>
    </row>
    <row r="687">
      <c r="A687" t="inlineStr">
        <is>
          <t>JDS</t>
        </is>
      </c>
      <c r="B687" t="inlineStr">
        <is>
          <t>Job Diagnostic Survey (revised 15 item core job characteristics form)</t>
        </is>
      </c>
      <c r="C687" t="inlineStr">
        <is>
          <t>3. Adjacent occupational and wellbeing</t>
        </is>
      </c>
      <c r="D687" t="n">
        <v>12</v>
      </c>
      <c r="E687" t="inlineStr">
        <is>
          <t>The job gives me considerable opportunity for independence and freedom in how I do the work.</t>
        </is>
      </c>
      <c r="F687" t="inlineStr">
        <is>
          <t>Autonomy</t>
        </is>
      </c>
      <c r="G687" t="inlineStr">
        <is>
          <t>FALSE</t>
        </is>
      </c>
      <c r="H687" t="inlineStr">
        <is>
          <t>FALSE</t>
        </is>
      </c>
      <c r="I687" t="inlineStr">
        <is>
          <t>Very Inaccurate = 1 | Mostly Inaccurate = 2 | Slightly Inaccurate = 3 | Uncertain = 4 | Slightly Accurate = 5 | Mostly Accurate = 6 | Very Accurate = 7</t>
        </is>
      </c>
      <c r="J687" t="inlineStr">
        <is>
          <t>Section Two, statement 13.</t>
        </is>
      </c>
      <c r="K687" t="inlineStr">
        <is>
          <t>https://paulspector.com/assessment-files/other/jds-report.pdf</t>
        </is>
      </c>
    </row>
    <row r="688">
      <c r="A688" t="inlineStr">
        <is>
          <t>JDS</t>
        </is>
      </c>
      <c r="B688" t="inlineStr">
        <is>
          <t>Job Diagnostic Survey (revised 15 item core job characteristics form)</t>
        </is>
      </c>
      <c r="C688" t="inlineStr">
        <is>
          <t>3. Adjacent occupational and wellbeing</t>
        </is>
      </c>
      <c r="D688" t="n">
        <v>13</v>
      </c>
      <c r="E688" t="inlineStr">
        <is>
          <t>The job denies me any chance to use my personal initiative or judgment in carrying out the work.</t>
        </is>
      </c>
      <c r="F688" t="inlineStr">
        <is>
          <t>Autonomy</t>
        </is>
      </c>
      <c r="G688" t="inlineStr">
        <is>
          <t>TRUE</t>
        </is>
      </c>
      <c r="H688" t="inlineStr">
        <is>
          <t>FALSE</t>
        </is>
      </c>
      <c r="I688" t="inlineStr">
        <is>
          <t>Very Inaccurate = 1 | Mostly Inaccurate = 2 | Slightly Inaccurate = 3 | Uncertain = 4 | Slightly Accurate = 5 | Mostly Accurate = 6 | Very Accurate = 7</t>
        </is>
      </c>
      <c r="J688" t="inlineStr">
        <is>
          <t>Section Two, statement 9. Original 1974 wording; revised positively worded replacement not retrieved.</t>
        </is>
      </c>
      <c r="K688" t="inlineStr">
        <is>
          <t>https://paulspector.com/assessment-files/other/jds-report.pdf</t>
        </is>
      </c>
    </row>
    <row r="689">
      <c r="A689" t="inlineStr">
        <is>
          <t>JDS</t>
        </is>
      </c>
      <c r="B689" t="inlineStr">
        <is>
          <t>Job Diagnostic Survey (revised 15 item core job characteristics form)</t>
        </is>
      </c>
      <c r="C689" t="inlineStr">
        <is>
          <t>3. Adjacent occupational and wellbeing</t>
        </is>
      </c>
      <c r="D689" t="n">
        <v>14</v>
      </c>
      <c r="E689" t="inlineStr">
        <is>
          <t>Just doing the work required by the job provides many chances for me to figure out how well I am doing.</t>
        </is>
      </c>
      <c r="F689" t="inlineStr">
        <is>
          <t>Feedback from the job</t>
        </is>
      </c>
      <c r="G689" t="inlineStr">
        <is>
          <t>FALSE</t>
        </is>
      </c>
      <c r="H689" t="inlineStr">
        <is>
          <t>FALSE</t>
        </is>
      </c>
      <c r="I689" t="inlineStr">
        <is>
          <t>Very Inaccurate = 1 | Mostly Inaccurate = 2 | Slightly Inaccurate = 3 | Uncertain = 4 | Slightly Accurate = 5 | Mostly Accurate = 6 | Very Accurate = 7</t>
        </is>
      </c>
      <c r="J689" t="inlineStr">
        <is>
          <t>Section Two, statement 4.</t>
        </is>
      </c>
      <c r="K689" t="inlineStr">
        <is>
          <t>https://paulspector.com/assessment-files/other/jds-report.pdf</t>
        </is>
      </c>
    </row>
    <row r="690">
      <c r="A690" t="inlineStr">
        <is>
          <t>JDS</t>
        </is>
      </c>
      <c r="B690" t="inlineStr">
        <is>
          <t>Job Diagnostic Survey (revised 15 item core job characteristics form)</t>
        </is>
      </c>
      <c r="C690" t="inlineStr">
        <is>
          <t>3. Adjacent occupational and wellbeing</t>
        </is>
      </c>
      <c r="D690" t="n">
        <v>15</v>
      </c>
      <c r="E690" t="inlineStr">
        <is>
          <t>The job itself provides very few clues about whether or not I am performing well.</t>
        </is>
      </c>
      <c r="F690" t="inlineStr">
        <is>
          <t>Feedback from the job</t>
        </is>
      </c>
      <c r="G690" t="inlineStr">
        <is>
          <t>TRUE</t>
        </is>
      </c>
      <c r="H690" t="inlineStr">
        <is>
          <t>FALSE</t>
        </is>
      </c>
      <c r="I690" t="inlineStr">
        <is>
          <t>Very Inaccurate = 1 | Mostly Inaccurate = 2 | Slightly Inaccurate = 3 | Uncertain = 4 | Slightly Accurate = 5 | Mostly Accurate = 6 | Very Accurate = 7</t>
        </is>
      </c>
      <c r="J690" t="inlineStr">
        <is>
          <t>Section Two, statement 12. Original 1974 wording; revised positively worded replacement not retrieved.</t>
        </is>
      </c>
      <c r="K690" t="inlineStr">
        <is>
          <t>https://paulspector.com/assessment-files/other/jds-report.pdf</t>
        </is>
      </c>
    </row>
    <row r="691">
      <c r="A691" t="inlineStr">
        <is>
          <t>MEWS</t>
        </is>
      </c>
      <c r="B691" t="inlineStr">
        <is>
          <t>Mind Excessively Wandering Scale</t>
        </is>
      </c>
      <c r="C691" t="inlineStr">
        <is>
          <t>1. Executive functioning and ADHD</t>
        </is>
      </c>
      <c r="D691" t="n">
        <v>1</v>
      </c>
      <c r="E691" t="inlineStr">
        <is>
          <t>I have difficulty controlling my thoughts</t>
        </is>
      </c>
      <c r="F691" t="inlineStr">
        <is>
          <t>Total</t>
        </is>
      </c>
      <c r="G691" t="inlineStr">
        <is>
          <t>FALSE</t>
        </is>
      </c>
      <c r="H691" t="inlineStr">
        <is>
          <t>FALSE</t>
        </is>
      </c>
      <c r="I691" t="inlineStr">
        <is>
          <t>not at all or rarely = 0 | some of the time = 1 | most of the time = 2 | nearly all of the time or constantly = 3</t>
        </is>
      </c>
      <c r="K691" t="inlineStr">
        <is>
          <t>https://discovery-pp.ucl.ac.uk/id/eprint/1513566/1/Journal%20of%20Attention%20Disorders-2016-Mowlem-1087054716651927.pdf</t>
        </is>
      </c>
    </row>
    <row r="692">
      <c r="A692" t="inlineStr">
        <is>
          <t>MEWS</t>
        </is>
      </c>
      <c r="B692" t="inlineStr">
        <is>
          <t>Mind Excessively Wandering Scale</t>
        </is>
      </c>
      <c r="C692" t="inlineStr">
        <is>
          <t>1. Executive functioning and ADHD</t>
        </is>
      </c>
      <c r="D692" t="n">
        <v>2</v>
      </c>
      <c r="E692" t="inlineStr">
        <is>
          <t>I find it hard to switch my thoughts off</t>
        </is>
      </c>
      <c r="F692" t="inlineStr">
        <is>
          <t>Total</t>
        </is>
      </c>
      <c r="G692" t="inlineStr">
        <is>
          <t>FALSE</t>
        </is>
      </c>
      <c r="H692" t="inlineStr">
        <is>
          <t>FALSE</t>
        </is>
      </c>
      <c r="I692" t="inlineStr">
        <is>
          <t>not at all or rarely = 0 | some of the time = 1 | most of the time = 2 | nearly all of the time or constantly = 3</t>
        </is>
      </c>
      <c r="K692" t="inlineStr">
        <is>
          <t>https://discovery-pp.ucl.ac.uk/id/eprint/1513566/1/Journal%20of%20Attention%20Disorders-2016-Mowlem-1087054716651927.pdf</t>
        </is>
      </c>
    </row>
    <row r="693">
      <c r="A693" t="inlineStr">
        <is>
          <t>MEWS</t>
        </is>
      </c>
      <c r="B693" t="inlineStr">
        <is>
          <t>Mind Excessively Wandering Scale</t>
        </is>
      </c>
      <c r="C693" t="inlineStr">
        <is>
          <t>1. Executive functioning and ADHD</t>
        </is>
      </c>
      <c r="D693" t="n">
        <v>3</v>
      </c>
      <c r="E693" t="inlineStr">
        <is>
          <t>I have two or more different thoughts going on at the same time</t>
        </is>
      </c>
      <c r="F693" t="inlineStr">
        <is>
          <t>Total</t>
        </is>
      </c>
      <c r="G693" t="inlineStr">
        <is>
          <t>FALSE</t>
        </is>
      </c>
      <c r="H693" t="inlineStr">
        <is>
          <t>FALSE</t>
        </is>
      </c>
      <c r="I693" t="inlineStr">
        <is>
          <t>not at all or rarely = 0 | some of the time = 1 | most of the time = 2 | nearly all of the time or constantly = 3</t>
        </is>
      </c>
      <c r="K693" t="inlineStr">
        <is>
          <t>https://discovery-pp.ucl.ac.uk/id/eprint/1513566/1/Journal%20of%20Attention%20Disorders-2016-Mowlem-1087054716651927.pdf</t>
        </is>
      </c>
    </row>
    <row r="694">
      <c r="A694" t="inlineStr">
        <is>
          <t>MEWS</t>
        </is>
      </c>
      <c r="B694" t="inlineStr">
        <is>
          <t>Mind Excessively Wandering Scale</t>
        </is>
      </c>
      <c r="C694" t="inlineStr">
        <is>
          <t>1. Executive functioning and ADHD</t>
        </is>
      </c>
      <c r="D694" t="n">
        <v>4</v>
      </c>
      <c r="E694" t="inlineStr">
        <is>
          <t>My thoughts are disorganised and 'all over the place'</t>
        </is>
      </c>
      <c r="F694" t="inlineStr">
        <is>
          <t>Total</t>
        </is>
      </c>
      <c r="G694" t="inlineStr">
        <is>
          <t>FALSE</t>
        </is>
      </c>
      <c r="H694" t="inlineStr">
        <is>
          <t>FALSE</t>
        </is>
      </c>
      <c r="I694" t="inlineStr">
        <is>
          <t>not at all or rarely = 0 | some of the time = 1 | most of the time = 2 | nearly all of the time or constantly = 3</t>
        </is>
      </c>
      <c r="K694" t="inlineStr">
        <is>
          <t>https://discovery-pp.ucl.ac.uk/id/eprint/1513566/1/Journal%20of%20Attention%20Disorders-2016-Mowlem-1087054716651927.pdf</t>
        </is>
      </c>
    </row>
    <row r="695">
      <c r="A695" t="inlineStr">
        <is>
          <t>MEWS</t>
        </is>
      </c>
      <c r="B695" t="inlineStr">
        <is>
          <t>Mind Excessively Wandering Scale</t>
        </is>
      </c>
      <c r="C695" t="inlineStr">
        <is>
          <t>1. Executive functioning and ADHD</t>
        </is>
      </c>
      <c r="D695" t="n">
        <v>5</v>
      </c>
      <c r="E695" t="inlineStr">
        <is>
          <t>My thoughts are 'on the go' all the time</t>
        </is>
      </c>
      <c r="F695" t="inlineStr">
        <is>
          <t>Total</t>
        </is>
      </c>
      <c r="G695" t="inlineStr">
        <is>
          <t>FALSE</t>
        </is>
      </c>
      <c r="H695" t="inlineStr">
        <is>
          <t>FALSE</t>
        </is>
      </c>
      <c r="I695" t="inlineStr">
        <is>
          <t>not at all or rarely = 0 | some of the time = 1 | most of the time = 2 | nearly all of the time or constantly = 3</t>
        </is>
      </c>
      <c r="K695" t="inlineStr">
        <is>
          <t>https://discovery-pp.ucl.ac.uk/id/eprint/1513566/1/Journal%20of%20Attention%20Disorders-2016-Mowlem-1087054716651927.pdf</t>
        </is>
      </c>
    </row>
    <row r="696">
      <c r="A696" t="inlineStr">
        <is>
          <t>MEWS</t>
        </is>
      </c>
      <c r="B696" t="inlineStr">
        <is>
          <t>Mind Excessively Wandering Scale</t>
        </is>
      </c>
      <c r="C696" t="inlineStr">
        <is>
          <t>1. Executive functioning and ADHD</t>
        </is>
      </c>
      <c r="D696" t="n">
        <v>6</v>
      </c>
      <c r="E696" t="inlineStr">
        <is>
          <t>Because my mind is 'on the go' at bedtime, I have difficulty falling off to sleep</t>
        </is>
      </c>
      <c r="F696" t="inlineStr">
        <is>
          <t>Total</t>
        </is>
      </c>
      <c r="G696" t="inlineStr">
        <is>
          <t>FALSE</t>
        </is>
      </c>
      <c r="H696" t="inlineStr">
        <is>
          <t>FALSE</t>
        </is>
      </c>
      <c r="I696" t="inlineStr">
        <is>
          <t>not at all or rarely = 0 | some of the time = 1 | most of the time = 2 | nearly all of the time or constantly = 3</t>
        </is>
      </c>
      <c r="J696" t="inlineStr">
        <is>
          <t>Dropped in the recommended 12 item version</t>
        </is>
      </c>
      <c r="K696" t="inlineStr">
        <is>
          <t>https://discovery-pp.ucl.ac.uk/id/eprint/1513566/1/Journal%20of%20Attention%20Disorders-2016-Mowlem-1087054716651927.pdf</t>
        </is>
      </c>
    </row>
    <row r="697">
      <c r="A697" t="inlineStr">
        <is>
          <t>MEWS</t>
        </is>
      </c>
      <c r="B697" t="inlineStr">
        <is>
          <t>Mind Excessively Wandering Scale</t>
        </is>
      </c>
      <c r="C697" t="inlineStr">
        <is>
          <t>1. Executive functioning and ADHD</t>
        </is>
      </c>
      <c r="D697" t="n">
        <v>7</v>
      </c>
      <c r="E697" t="inlineStr">
        <is>
          <t>I experience ceaseless mental activity</t>
        </is>
      </c>
      <c r="F697" t="inlineStr">
        <is>
          <t>Total</t>
        </is>
      </c>
      <c r="G697" t="inlineStr">
        <is>
          <t>FALSE</t>
        </is>
      </c>
      <c r="H697" t="inlineStr">
        <is>
          <t>FALSE</t>
        </is>
      </c>
      <c r="I697" t="inlineStr">
        <is>
          <t>not at all or rarely = 0 | some of the time = 1 | most of the time = 2 | nearly all of the time or constantly = 3</t>
        </is>
      </c>
      <c r="K697" t="inlineStr">
        <is>
          <t>https://discovery-pp.ucl.ac.uk/id/eprint/1513566/1/Journal%20of%20Attention%20Disorders-2016-Mowlem-1087054716651927.pdf</t>
        </is>
      </c>
    </row>
    <row r="698">
      <c r="A698" t="inlineStr">
        <is>
          <t>MEWS</t>
        </is>
      </c>
      <c r="B698" t="inlineStr">
        <is>
          <t>Mind Excessively Wandering Scale</t>
        </is>
      </c>
      <c r="C698" t="inlineStr">
        <is>
          <t>1. Executive functioning and ADHD</t>
        </is>
      </c>
      <c r="D698" t="n">
        <v>8</v>
      </c>
      <c r="E698" t="inlineStr">
        <is>
          <t>I find it difficult to think about one thing without another thought entering my mind</t>
        </is>
      </c>
      <c r="F698" t="inlineStr">
        <is>
          <t>Total</t>
        </is>
      </c>
      <c r="G698" t="inlineStr">
        <is>
          <t>FALSE</t>
        </is>
      </c>
      <c r="H698" t="inlineStr">
        <is>
          <t>FALSE</t>
        </is>
      </c>
      <c r="I698" t="inlineStr">
        <is>
          <t>not at all or rarely = 0 | some of the time = 1 | most of the time = 2 | nearly all of the time or constantly = 3</t>
        </is>
      </c>
      <c r="K698" t="inlineStr">
        <is>
          <t>https://discovery-pp.ucl.ac.uk/id/eprint/1513566/1/Journal%20of%20Attention%20Disorders-2016-Mowlem-1087054716651927.pdf</t>
        </is>
      </c>
    </row>
    <row r="699">
      <c r="A699" t="inlineStr">
        <is>
          <t>MEWS</t>
        </is>
      </c>
      <c r="B699" t="inlineStr">
        <is>
          <t>Mind Excessively Wandering Scale</t>
        </is>
      </c>
      <c r="C699" t="inlineStr">
        <is>
          <t>1. Executive functioning and ADHD</t>
        </is>
      </c>
      <c r="D699" t="n">
        <v>9</v>
      </c>
      <c r="E699" t="inlineStr">
        <is>
          <t>I find my thoughts are distracting and prevent me from focusing on what I am doing</t>
        </is>
      </c>
      <c r="F699" t="inlineStr">
        <is>
          <t>Total</t>
        </is>
      </c>
      <c r="G699" t="inlineStr">
        <is>
          <t>FALSE</t>
        </is>
      </c>
      <c r="H699" t="inlineStr">
        <is>
          <t>FALSE</t>
        </is>
      </c>
      <c r="I699" t="inlineStr">
        <is>
          <t>not at all or rarely = 0 | some of the time = 1 | most of the time = 2 | nearly all of the time or constantly = 3</t>
        </is>
      </c>
      <c r="K699" t="inlineStr">
        <is>
          <t>https://discovery-pp.ucl.ac.uk/id/eprint/1513566/1/Journal%20of%20Attention%20Disorders-2016-Mowlem-1087054716651927.pdf</t>
        </is>
      </c>
    </row>
    <row r="700">
      <c r="A700" t="inlineStr">
        <is>
          <t>MEWS</t>
        </is>
      </c>
      <c r="B700" t="inlineStr">
        <is>
          <t>Mind Excessively Wandering Scale</t>
        </is>
      </c>
      <c r="C700" t="inlineStr">
        <is>
          <t>1. Executive functioning and ADHD</t>
        </is>
      </c>
      <c r="D700" t="n">
        <v>10</v>
      </c>
      <c r="E700" t="inlineStr">
        <is>
          <t>I try to distract myself from my thoughts by doing something else or listening to music</t>
        </is>
      </c>
      <c r="F700" t="inlineStr">
        <is>
          <t>Total</t>
        </is>
      </c>
      <c r="G700" t="inlineStr">
        <is>
          <t>FALSE</t>
        </is>
      </c>
      <c r="H700" t="inlineStr">
        <is>
          <t>FALSE</t>
        </is>
      </c>
      <c r="I700" t="inlineStr">
        <is>
          <t>not at all or rarely = 0 | some of the time = 1 | most of the time = 2 | nearly all of the time or constantly = 3</t>
        </is>
      </c>
      <c r="J700" t="inlineStr">
        <is>
          <t>Dropped in the recommended 12 item version</t>
        </is>
      </c>
      <c r="K700" t="inlineStr">
        <is>
          <t>https://discovery-pp.ucl.ac.uk/id/eprint/1513566/1/Journal%20of%20Attention%20Disorders-2016-Mowlem-1087054716651927.pdf</t>
        </is>
      </c>
    </row>
    <row r="701">
      <c r="A701" t="inlineStr">
        <is>
          <t>MEWS</t>
        </is>
      </c>
      <c r="B701" t="inlineStr">
        <is>
          <t>Mind Excessively Wandering Scale</t>
        </is>
      </c>
      <c r="C701" t="inlineStr">
        <is>
          <t>1. Executive functioning and ADHD</t>
        </is>
      </c>
      <c r="D701" t="n">
        <v>11</v>
      </c>
      <c r="E701" t="inlineStr">
        <is>
          <t>I have difficulty slowing my thoughts down and focusing on one thing at a time</t>
        </is>
      </c>
      <c r="F701" t="inlineStr">
        <is>
          <t>Total</t>
        </is>
      </c>
      <c r="G701" t="inlineStr">
        <is>
          <t>FALSE</t>
        </is>
      </c>
      <c r="H701" t="inlineStr">
        <is>
          <t>FALSE</t>
        </is>
      </c>
      <c r="I701" t="inlineStr">
        <is>
          <t>not at all or rarely = 0 | some of the time = 1 | most of the time = 2 | nearly all of the time or constantly = 3</t>
        </is>
      </c>
      <c r="K701" t="inlineStr">
        <is>
          <t>https://discovery-pp.ucl.ac.uk/id/eprint/1513566/1/Journal%20of%20Attention%20Disorders-2016-Mowlem-1087054716651927.pdf</t>
        </is>
      </c>
    </row>
    <row r="702">
      <c r="A702" t="inlineStr">
        <is>
          <t>MEWS</t>
        </is>
      </c>
      <c r="B702" t="inlineStr">
        <is>
          <t>Mind Excessively Wandering Scale</t>
        </is>
      </c>
      <c r="C702" t="inlineStr">
        <is>
          <t>1. Executive functioning and ADHD</t>
        </is>
      </c>
      <c r="D702" t="n">
        <v>12</v>
      </c>
      <c r="E702" t="inlineStr">
        <is>
          <t>I find it difficult to think clearly, as if my mind is in a fog</t>
        </is>
      </c>
      <c r="F702" t="inlineStr">
        <is>
          <t>Total</t>
        </is>
      </c>
      <c r="G702" t="inlineStr">
        <is>
          <t>FALSE</t>
        </is>
      </c>
      <c r="H702" t="inlineStr">
        <is>
          <t>FALSE</t>
        </is>
      </c>
      <c r="I702" t="inlineStr">
        <is>
          <t>not at all or rarely = 0 | some of the time = 1 | most of the time = 2 | nearly all of the time or constantly = 3</t>
        </is>
      </c>
      <c r="K702" t="inlineStr">
        <is>
          <t>https://discovery-pp.ucl.ac.uk/id/eprint/1513566/1/Journal%20of%20Attention%20Disorders-2016-Mowlem-1087054716651927.pdf</t>
        </is>
      </c>
    </row>
    <row r="703">
      <c r="A703" t="inlineStr">
        <is>
          <t>MEWS</t>
        </is>
      </c>
      <c r="B703" t="inlineStr">
        <is>
          <t>Mind Excessively Wandering Scale</t>
        </is>
      </c>
      <c r="C703" t="inlineStr">
        <is>
          <t>1. Executive functioning and ADHD</t>
        </is>
      </c>
      <c r="D703" t="n">
        <v>13</v>
      </c>
      <c r="E703" t="inlineStr">
        <is>
          <t>I find myself flitting back and forth between different thoughts</t>
        </is>
      </c>
      <c r="F703" t="inlineStr">
        <is>
          <t>Total</t>
        </is>
      </c>
      <c r="G703" t="inlineStr">
        <is>
          <t>FALSE</t>
        </is>
      </c>
      <c r="H703" t="inlineStr">
        <is>
          <t>FALSE</t>
        </is>
      </c>
      <c r="I703" t="inlineStr">
        <is>
          <t>not at all or rarely = 0 | some of the time = 1 | most of the time = 2 | nearly all of the time or constantly = 3</t>
        </is>
      </c>
      <c r="K703" t="inlineStr">
        <is>
          <t>https://discovery-pp.ucl.ac.uk/id/eprint/1513566/1/Journal%20of%20Attention%20Disorders-2016-Mowlem-1087054716651927.pdf</t>
        </is>
      </c>
    </row>
    <row r="704">
      <c r="A704" t="inlineStr">
        <is>
          <t>MEWS</t>
        </is>
      </c>
      <c r="B704" t="inlineStr">
        <is>
          <t>Mind Excessively Wandering Scale</t>
        </is>
      </c>
      <c r="C704" t="inlineStr">
        <is>
          <t>1. Executive functioning and ADHD</t>
        </is>
      </c>
      <c r="D704" t="n">
        <v>14</v>
      </c>
      <c r="E704" t="inlineStr">
        <is>
          <t>I use alcohol or other drugs to slow down my thoughts and stop constant 'mental chatter'</t>
        </is>
      </c>
      <c r="F704" t="inlineStr">
        <is>
          <t>Total</t>
        </is>
      </c>
      <c r="G704" t="inlineStr">
        <is>
          <t>FALSE</t>
        </is>
      </c>
      <c r="H704" t="inlineStr">
        <is>
          <t>FALSE</t>
        </is>
      </c>
      <c r="I704" t="inlineStr">
        <is>
          <t>not at all or rarely = 0 | some of the time = 1 | most of the time = 2 | nearly all of the time or constantly = 3</t>
        </is>
      </c>
      <c r="J704" t="inlineStr">
        <is>
          <t>Dropped in the recommended 12 item version</t>
        </is>
      </c>
      <c r="K704" t="inlineStr">
        <is>
          <t>https://discovery-pp.ucl.ac.uk/id/eprint/1513566/1/Journal%20of%20Attention%20Disorders-2016-Mowlem-1087054716651927.pdf</t>
        </is>
      </c>
    </row>
    <row r="705">
      <c r="A705" t="inlineStr">
        <is>
          <t>MEWS</t>
        </is>
      </c>
      <c r="B705" t="inlineStr">
        <is>
          <t>Mind Excessively Wandering Scale</t>
        </is>
      </c>
      <c r="C705" t="inlineStr">
        <is>
          <t>1. Executive functioning and ADHD</t>
        </is>
      </c>
      <c r="D705" t="n">
        <v>15</v>
      </c>
      <c r="E705" t="inlineStr">
        <is>
          <t>I can only focus my thoughts on one thing at a time with considerable effort</t>
        </is>
      </c>
      <c r="F705" t="inlineStr">
        <is>
          <t>Total</t>
        </is>
      </c>
      <c r="G705" t="inlineStr">
        <is>
          <t>FALSE</t>
        </is>
      </c>
      <c r="H705" t="inlineStr">
        <is>
          <t>FALSE</t>
        </is>
      </c>
      <c r="I705" t="inlineStr">
        <is>
          <t>not at all or rarely = 0 | some of the time = 1 | most of the time = 2 | nearly all of the time or constantly = 3</t>
        </is>
      </c>
      <c r="K705" t="inlineStr">
        <is>
          <t>https://discovery-pp.ucl.ac.uk/id/eprint/1513566/1/Journal%20of%20Attention%20Disorders-2016-Mowlem-1087054716651927.pdf</t>
        </is>
      </c>
    </row>
    <row r="706">
      <c r="A706" t="inlineStr">
        <is>
          <t>MINI-IPIP</t>
        </is>
      </c>
      <c r="B706" t="inlineStr">
        <is>
          <t>Mini International Personality Item Pool</t>
        </is>
      </c>
      <c r="C706" t="inlineStr">
        <is>
          <t>5. Self talk, thinking patterns and personality</t>
        </is>
      </c>
      <c r="D706" t="n">
        <v>1</v>
      </c>
      <c r="E706" t="inlineStr">
        <is>
          <t>Am the life of the party.</t>
        </is>
      </c>
      <c r="F706" t="inlineStr">
        <is>
          <t>Extraversion</t>
        </is>
      </c>
      <c r="G706" t="inlineStr">
        <is>
          <t>FALSE</t>
        </is>
      </c>
      <c r="H706" t="inlineStr">
        <is>
          <t>FALSE</t>
        </is>
      </c>
      <c r="I706" t="inlineStr">
        <is>
          <t>Very inaccurate = 1 | Moderately inaccurate = 2 | Neither inaccurate nor accurate = 3 | Moderately accurate = 4 | Very accurate = 5</t>
        </is>
      </c>
      <c r="J706" t="inlineStr">
        <is>
          <t>IPIP key sign: plus</t>
        </is>
      </c>
      <c r="K706" t="inlineStr">
        <is>
          <t>https://ipip.ori.org/MiniIPIPKey.htm</t>
        </is>
      </c>
    </row>
    <row r="707">
      <c r="A707" t="inlineStr">
        <is>
          <t>MINI-IPIP</t>
        </is>
      </c>
      <c r="B707" t="inlineStr">
        <is>
          <t>Mini International Personality Item Pool</t>
        </is>
      </c>
      <c r="C707" t="inlineStr">
        <is>
          <t>5. Self talk, thinking patterns and personality</t>
        </is>
      </c>
      <c r="D707" t="n">
        <v>2</v>
      </c>
      <c r="E707" t="inlineStr">
        <is>
          <t>Sympathize with others' feelings.</t>
        </is>
      </c>
      <c r="F707" t="inlineStr">
        <is>
          <t>Agreeableness</t>
        </is>
      </c>
      <c r="G707" t="inlineStr">
        <is>
          <t>FALSE</t>
        </is>
      </c>
      <c r="H707" t="inlineStr">
        <is>
          <t>FALSE</t>
        </is>
      </c>
      <c r="I707" t="inlineStr">
        <is>
          <t>Very inaccurate = 1 | Moderately inaccurate = 2 | Neither inaccurate nor accurate = 3 | Moderately accurate = 4 | Very accurate = 5</t>
        </is>
      </c>
      <c r="J707" t="inlineStr">
        <is>
          <t>IPIP key sign: plus</t>
        </is>
      </c>
      <c r="K707" t="inlineStr">
        <is>
          <t>https://ipip.ori.org/MiniIPIPKey.htm</t>
        </is>
      </c>
    </row>
    <row r="708">
      <c r="A708" t="inlineStr">
        <is>
          <t>MINI-IPIP</t>
        </is>
      </c>
      <c r="B708" t="inlineStr">
        <is>
          <t>Mini International Personality Item Pool</t>
        </is>
      </c>
      <c r="C708" t="inlineStr">
        <is>
          <t>5. Self talk, thinking patterns and personality</t>
        </is>
      </c>
      <c r="D708" t="n">
        <v>3</v>
      </c>
      <c r="E708" t="inlineStr">
        <is>
          <t>Get chores done right away.</t>
        </is>
      </c>
      <c r="F708" t="inlineStr">
        <is>
          <t>Conscientiousness</t>
        </is>
      </c>
      <c r="G708" t="inlineStr">
        <is>
          <t>FALSE</t>
        </is>
      </c>
      <c r="H708" t="inlineStr">
        <is>
          <t>FALSE</t>
        </is>
      </c>
      <c r="I708" t="inlineStr">
        <is>
          <t>Very inaccurate = 1 | Moderately inaccurate = 2 | Neither inaccurate nor accurate = 3 | Moderately accurate = 4 | Very accurate = 5</t>
        </is>
      </c>
      <c r="J708" t="inlineStr">
        <is>
          <t>IPIP key sign: plus</t>
        </is>
      </c>
      <c r="K708" t="inlineStr">
        <is>
          <t>https://ipip.ori.org/MiniIPIPKey.htm</t>
        </is>
      </c>
    </row>
    <row r="709">
      <c r="A709" t="inlineStr">
        <is>
          <t>MINI-IPIP</t>
        </is>
      </c>
      <c r="B709" t="inlineStr">
        <is>
          <t>Mini International Personality Item Pool</t>
        </is>
      </c>
      <c r="C709" t="inlineStr">
        <is>
          <t>5. Self talk, thinking patterns and personality</t>
        </is>
      </c>
      <c r="D709" t="n">
        <v>4</v>
      </c>
      <c r="E709" t="inlineStr">
        <is>
          <t>Have frequent mood swings.</t>
        </is>
      </c>
      <c r="F709" t="inlineStr">
        <is>
          <t>Neuroticism</t>
        </is>
      </c>
      <c r="G709" t="inlineStr">
        <is>
          <t>FALSE</t>
        </is>
      </c>
      <c r="H709" t="inlineStr">
        <is>
          <t>FALSE</t>
        </is>
      </c>
      <c r="I709" t="inlineStr">
        <is>
          <t>Very inaccurate = 1 | Moderately inaccurate = 2 | Neither inaccurate nor accurate = 3 | Moderately accurate = 4 | Very accurate = 5</t>
        </is>
      </c>
      <c r="J709" t="inlineStr">
        <is>
          <t>IPIP key sign: plus</t>
        </is>
      </c>
      <c r="K709" t="inlineStr">
        <is>
          <t>https://ipip.ori.org/MiniIPIPKey.htm</t>
        </is>
      </c>
    </row>
    <row r="710">
      <c r="A710" t="inlineStr">
        <is>
          <t>MINI-IPIP</t>
        </is>
      </c>
      <c r="B710" t="inlineStr">
        <is>
          <t>Mini International Personality Item Pool</t>
        </is>
      </c>
      <c r="C710" t="inlineStr">
        <is>
          <t>5. Self talk, thinking patterns and personality</t>
        </is>
      </c>
      <c r="D710" t="n">
        <v>5</v>
      </c>
      <c r="E710" t="inlineStr">
        <is>
          <t>Have a vivid imagination.</t>
        </is>
      </c>
      <c r="F710" t="inlineStr">
        <is>
          <t>Intellect or Imagination</t>
        </is>
      </c>
      <c r="G710" t="inlineStr">
        <is>
          <t>FALSE</t>
        </is>
      </c>
      <c r="H710" t="inlineStr">
        <is>
          <t>FALSE</t>
        </is>
      </c>
      <c r="I710" t="inlineStr">
        <is>
          <t>Very inaccurate = 1 | Moderately inaccurate = 2 | Neither inaccurate nor accurate = 3 | Moderately accurate = 4 | Very accurate = 5</t>
        </is>
      </c>
      <c r="J710" t="inlineStr">
        <is>
          <t>IPIP key sign: plus</t>
        </is>
      </c>
      <c r="K710" t="inlineStr">
        <is>
          <t>https://ipip.ori.org/MiniIPIPKey.htm</t>
        </is>
      </c>
    </row>
    <row r="711">
      <c r="A711" t="inlineStr">
        <is>
          <t>MINI-IPIP</t>
        </is>
      </c>
      <c r="B711" t="inlineStr">
        <is>
          <t>Mini International Personality Item Pool</t>
        </is>
      </c>
      <c r="C711" t="inlineStr">
        <is>
          <t>5. Self talk, thinking patterns and personality</t>
        </is>
      </c>
      <c r="D711" t="n">
        <v>6</v>
      </c>
      <c r="E711" t="inlineStr">
        <is>
          <t>Don't talk a lot.</t>
        </is>
      </c>
      <c r="F711" t="inlineStr">
        <is>
          <t>Extraversion</t>
        </is>
      </c>
      <c r="G711" t="inlineStr">
        <is>
          <t>TRUE</t>
        </is>
      </c>
      <c r="H711" t="inlineStr">
        <is>
          <t>FALSE</t>
        </is>
      </c>
      <c r="I711" t="inlineStr">
        <is>
          <t>Very inaccurate = 1 | Moderately inaccurate = 2 | Neither inaccurate nor accurate = 3 | Moderately accurate = 4 | Very accurate = 5</t>
        </is>
      </c>
      <c r="J711" t="inlineStr">
        <is>
          <t>IPIP key sign: minus</t>
        </is>
      </c>
      <c r="K711" t="inlineStr">
        <is>
          <t>https://ipip.ori.org/MiniIPIPKey.htm</t>
        </is>
      </c>
    </row>
    <row r="712">
      <c r="A712" t="inlineStr">
        <is>
          <t>MINI-IPIP</t>
        </is>
      </c>
      <c r="B712" t="inlineStr">
        <is>
          <t>Mini International Personality Item Pool</t>
        </is>
      </c>
      <c r="C712" t="inlineStr">
        <is>
          <t>5. Self talk, thinking patterns and personality</t>
        </is>
      </c>
      <c r="D712" t="n">
        <v>7</v>
      </c>
      <c r="E712" t="inlineStr">
        <is>
          <t>Am not interested in other people's problems.</t>
        </is>
      </c>
      <c r="F712" t="inlineStr">
        <is>
          <t>Agreeableness</t>
        </is>
      </c>
      <c r="G712" t="inlineStr">
        <is>
          <t>TRUE</t>
        </is>
      </c>
      <c r="H712" t="inlineStr">
        <is>
          <t>FALSE</t>
        </is>
      </c>
      <c r="I712" t="inlineStr">
        <is>
          <t>Very inaccurate = 1 | Moderately inaccurate = 2 | Neither inaccurate nor accurate = 3 | Moderately accurate = 4 | Very accurate = 5</t>
        </is>
      </c>
      <c r="J712" t="inlineStr">
        <is>
          <t>IPIP key sign: minus</t>
        </is>
      </c>
      <c r="K712" t="inlineStr">
        <is>
          <t>https://ipip.ori.org/MiniIPIPKey.htm</t>
        </is>
      </c>
    </row>
    <row r="713">
      <c r="A713" t="inlineStr">
        <is>
          <t>MINI-IPIP</t>
        </is>
      </c>
      <c r="B713" t="inlineStr">
        <is>
          <t>Mini International Personality Item Pool</t>
        </is>
      </c>
      <c r="C713" t="inlineStr">
        <is>
          <t>5. Self talk, thinking patterns and personality</t>
        </is>
      </c>
      <c r="D713" t="n">
        <v>8</v>
      </c>
      <c r="E713" t="inlineStr">
        <is>
          <t>Often forget to put things back in their proper place.</t>
        </is>
      </c>
      <c r="F713" t="inlineStr">
        <is>
          <t>Conscientiousness</t>
        </is>
      </c>
      <c r="G713" t="inlineStr">
        <is>
          <t>TRUE</t>
        </is>
      </c>
      <c r="H713" t="inlineStr">
        <is>
          <t>FALSE</t>
        </is>
      </c>
      <c r="I713" t="inlineStr">
        <is>
          <t>Very inaccurate = 1 | Moderately inaccurate = 2 | Neither inaccurate nor accurate = 3 | Moderately accurate = 4 | Very accurate = 5</t>
        </is>
      </c>
      <c r="J713" t="inlineStr">
        <is>
          <t>IPIP key sign: minus</t>
        </is>
      </c>
      <c r="K713" t="inlineStr">
        <is>
          <t>https://ipip.ori.org/MiniIPIPKey.htm</t>
        </is>
      </c>
    </row>
    <row r="714">
      <c r="A714" t="inlineStr">
        <is>
          <t>MINI-IPIP</t>
        </is>
      </c>
      <c r="B714" t="inlineStr">
        <is>
          <t>Mini International Personality Item Pool</t>
        </is>
      </c>
      <c r="C714" t="inlineStr">
        <is>
          <t>5. Self talk, thinking patterns and personality</t>
        </is>
      </c>
      <c r="D714" t="n">
        <v>9</v>
      </c>
      <c r="E714" t="inlineStr">
        <is>
          <t>Am relaxed most of the time.</t>
        </is>
      </c>
      <c r="F714" t="inlineStr">
        <is>
          <t>Neuroticism</t>
        </is>
      </c>
      <c r="G714" t="inlineStr">
        <is>
          <t>TRUE</t>
        </is>
      </c>
      <c r="H714" t="inlineStr">
        <is>
          <t>FALSE</t>
        </is>
      </c>
      <c r="I714" t="inlineStr">
        <is>
          <t>Very inaccurate = 1 | Moderately inaccurate = 2 | Neither inaccurate nor accurate = 3 | Moderately accurate = 4 | Very accurate = 5</t>
        </is>
      </c>
      <c r="J714" t="inlineStr">
        <is>
          <t>IPIP key sign: minus</t>
        </is>
      </c>
      <c r="K714" t="inlineStr">
        <is>
          <t>https://ipip.ori.org/MiniIPIPKey.htm</t>
        </is>
      </c>
    </row>
    <row r="715">
      <c r="A715" t="inlineStr">
        <is>
          <t>MINI-IPIP</t>
        </is>
      </c>
      <c r="B715" t="inlineStr">
        <is>
          <t>Mini International Personality Item Pool</t>
        </is>
      </c>
      <c r="C715" t="inlineStr">
        <is>
          <t>5. Self talk, thinking patterns and personality</t>
        </is>
      </c>
      <c r="D715" t="n">
        <v>10</v>
      </c>
      <c r="E715" t="inlineStr">
        <is>
          <t>Am not interested in abstract ideas.</t>
        </is>
      </c>
      <c r="F715" t="inlineStr">
        <is>
          <t>Intellect or Imagination</t>
        </is>
      </c>
      <c r="G715" t="inlineStr">
        <is>
          <t>TRUE</t>
        </is>
      </c>
      <c r="H715" t="inlineStr">
        <is>
          <t>FALSE</t>
        </is>
      </c>
      <c r="I715" t="inlineStr">
        <is>
          <t>Very inaccurate = 1 | Moderately inaccurate = 2 | Neither inaccurate nor accurate = 3 | Moderately accurate = 4 | Very accurate = 5</t>
        </is>
      </c>
      <c r="J715" t="inlineStr">
        <is>
          <t>IPIP key sign: minus</t>
        </is>
      </c>
      <c r="K715" t="inlineStr">
        <is>
          <t>https://ipip.ori.org/MiniIPIPKey.htm</t>
        </is>
      </c>
    </row>
    <row r="716">
      <c r="A716" t="inlineStr">
        <is>
          <t>MINI-IPIP</t>
        </is>
      </c>
      <c r="B716" t="inlineStr">
        <is>
          <t>Mini International Personality Item Pool</t>
        </is>
      </c>
      <c r="C716" t="inlineStr">
        <is>
          <t>5. Self talk, thinking patterns and personality</t>
        </is>
      </c>
      <c r="D716" t="n">
        <v>11</v>
      </c>
      <c r="E716" t="inlineStr">
        <is>
          <t>Talk to a lot of different people at parties.</t>
        </is>
      </c>
      <c r="F716" t="inlineStr">
        <is>
          <t>Extraversion</t>
        </is>
      </c>
      <c r="G716" t="inlineStr">
        <is>
          <t>FALSE</t>
        </is>
      </c>
      <c r="H716" t="inlineStr">
        <is>
          <t>FALSE</t>
        </is>
      </c>
      <c r="I716" t="inlineStr">
        <is>
          <t>Very inaccurate = 1 | Moderately inaccurate = 2 | Neither inaccurate nor accurate = 3 | Moderately accurate = 4 | Very accurate = 5</t>
        </is>
      </c>
      <c r="J716" t="inlineStr">
        <is>
          <t>IPIP key sign: plus</t>
        </is>
      </c>
      <c r="K716" t="inlineStr">
        <is>
          <t>https://ipip.ori.org/MiniIPIPKey.htm</t>
        </is>
      </c>
    </row>
    <row r="717">
      <c r="A717" t="inlineStr">
        <is>
          <t>MINI-IPIP</t>
        </is>
      </c>
      <c r="B717" t="inlineStr">
        <is>
          <t>Mini International Personality Item Pool</t>
        </is>
      </c>
      <c r="C717" t="inlineStr">
        <is>
          <t>5. Self talk, thinking patterns and personality</t>
        </is>
      </c>
      <c r="D717" t="n">
        <v>12</v>
      </c>
      <c r="E717" t="inlineStr">
        <is>
          <t>Feel others' emotions.</t>
        </is>
      </c>
      <c r="F717" t="inlineStr">
        <is>
          <t>Agreeableness</t>
        </is>
      </c>
      <c r="G717" t="inlineStr">
        <is>
          <t>FALSE</t>
        </is>
      </c>
      <c r="H717" t="inlineStr">
        <is>
          <t>FALSE</t>
        </is>
      </c>
      <c r="I717" t="inlineStr">
        <is>
          <t>Very inaccurate = 1 | Moderately inaccurate = 2 | Neither inaccurate nor accurate = 3 | Moderately accurate = 4 | Very accurate = 5</t>
        </is>
      </c>
      <c r="J717" t="inlineStr">
        <is>
          <t>IPIP key sign: plus</t>
        </is>
      </c>
      <c r="K717" t="inlineStr">
        <is>
          <t>https://ipip.ori.org/MiniIPIPKey.htm</t>
        </is>
      </c>
    </row>
    <row r="718">
      <c r="A718" t="inlineStr">
        <is>
          <t>MINI-IPIP</t>
        </is>
      </c>
      <c r="B718" t="inlineStr">
        <is>
          <t>Mini International Personality Item Pool</t>
        </is>
      </c>
      <c r="C718" t="inlineStr">
        <is>
          <t>5. Self talk, thinking patterns and personality</t>
        </is>
      </c>
      <c r="D718" t="n">
        <v>13</v>
      </c>
      <c r="E718" t="inlineStr">
        <is>
          <t>Like order.</t>
        </is>
      </c>
      <c r="F718" t="inlineStr">
        <is>
          <t>Conscientiousness</t>
        </is>
      </c>
      <c r="G718" t="inlineStr">
        <is>
          <t>FALSE</t>
        </is>
      </c>
      <c r="H718" t="inlineStr">
        <is>
          <t>FALSE</t>
        </is>
      </c>
      <c r="I718" t="inlineStr">
        <is>
          <t>Very inaccurate = 1 | Moderately inaccurate = 2 | Neither inaccurate nor accurate = 3 | Moderately accurate = 4 | Very accurate = 5</t>
        </is>
      </c>
      <c r="J718" t="inlineStr">
        <is>
          <t>IPIP key sign: plus</t>
        </is>
      </c>
      <c r="K718" t="inlineStr">
        <is>
          <t>https://ipip.ori.org/MiniIPIPKey.htm</t>
        </is>
      </c>
    </row>
    <row r="719">
      <c r="A719" t="inlineStr">
        <is>
          <t>MINI-IPIP</t>
        </is>
      </c>
      <c r="B719" t="inlineStr">
        <is>
          <t>Mini International Personality Item Pool</t>
        </is>
      </c>
      <c r="C719" t="inlineStr">
        <is>
          <t>5. Self talk, thinking patterns and personality</t>
        </is>
      </c>
      <c r="D719" t="n">
        <v>14</v>
      </c>
      <c r="E719" t="inlineStr">
        <is>
          <t>Get upset easily.</t>
        </is>
      </c>
      <c r="F719" t="inlineStr">
        <is>
          <t>Neuroticism</t>
        </is>
      </c>
      <c r="G719" t="inlineStr">
        <is>
          <t>FALSE</t>
        </is>
      </c>
      <c r="H719" t="inlineStr">
        <is>
          <t>FALSE</t>
        </is>
      </c>
      <c r="I719" t="inlineStr">
        <is>
          <t>Very inaccurate = 1 | Moderately inaccurate = 2 | Neither inaccurate nor accurate = 3 | Moderately accurate = 4 | Very accurate = 5</t>
        </is>
      </c>
      <c r="J719" t="inlineStr">
        <is>
          <t>IPIP key sign: plus</t>
        </is>
      </c>
      <c r="K719" t="inlineStr">
        <is>
          <t>https://ipip.ori.org/MiniIPIPKey.htm</t>
        </is>
      </c>
    </row>
    <row r="720">
      <c r="A720" t="inlineStr">
        <is>
          <t>MINI-IPIP</t>
        </is>
      </c>
      <c r="B720" t="inlineStr">
        <is>
          <t>Mini International Personality Item Pool</t>
        </is>
      </c>
      <c r="C720" t="inlineStr">
        <is>
          <t>5. Self talk, thinking patterns and personality</t>
        </is>
      </c>
      <c r="D720" t="n">
        <v>15</v>
      </c>
      <c r="E720" t="inlineStr">
        <is>
          <t>Have difficulty understanding abstract ideas.</t>
        </is>
      </c>
      <c r="F720" t="inlineStr">
        <is>
          <t>Intellect or Imagination</t>
        </is>
      </c>
      <c r="G720" t="inlineStr">
        <is>
          <t>TRUE</t>
        </is>
      </c>
      <c r="H720" t="inlineStr">
        <is>
          <t>FALSE</t>
        </is>
      </c>
      <c r="I720" t="inlineStr">
        <is>
          <t>Very inaccurate = 1 | Moderately inaccurate = 2 | Neither inaccurate nor accurate = 3 | Moderately accurate = 4 | Very accurate = 5</t>
        </is>
      </c>
      <c r="J720" t="inlineStr">
        <is>
          <t>IPIP key sign: minus</t>
        </is>
      </c>
      <c r="K720" t="inlineStr">
        <is>
          <t>https://ipip.ori.org/MiniIPIPKey.htm</t>
        </is>
      </c>
    </row>
    <row r="721">
      <c r="A721" t="inlineStr">
        <is>
          <t>MINI-IPIP</t>
        </is>
      </c>
      <c r="B721" t="inlineStr">
        <is>
          <t>Mini International Personality Item Pool</t>
        </is>
      </c>
      <c r="C721" t="inlineStr">
        <is>
          <t>5. Self talk, thinking patterns and personality</t>
        </is>
      </c>
      <c r="D721" t="n">
        <v>16</v>
      </c>
      <c r="E721" t="inlineStr">
        <is>
          <t>Keep in the background.</t>
        </is>
      </c>
      <c r="F721" t="inlineStr">
        <is>
          <t>Extraversion</t>
        </is>
      </c>
      <c r="G721" t="inlineStr">
        <is>
          <t>TRUE</t>
        </is>
      </c>
      <c r="H721" t="inlineStr">
        <is>
          <t>FALSE</t>
        </is>
      </c>
      <c r="I721" t="inlineStr">
        <is>
          <t>Very inaccurate = 1 | Moderately inaccurate = 2 | Neither inaccurate nor accurate = 3 | Moderately accurate = 4 | Very accurate = 5</t>
        </is>
      </c>
      <c r="J721" t="inlineStr">
        <is>
          <t>IPIP key sign: minus</t>
        </is>
      </c>
      <c r="K721" t="inlineStr">
        <is>
          <t>https://ipip.ori.org/MiniIPIPKey.htm</t>
        </is>
      </c>
    </row>
    <row r="722">
      <c r="A722" t="inlineStr">
        <is>
          <t>MINI-IPIP</t>
        </is>
      </c>
      <c r="B722" t="inlineStr">
        <is>
          <t>Mini International Personality Item Pool</t>
        </is>
      </c>
      <c r="C722" t="inlineStr">
        <is>
          <t>5. Self talk, thinking patterns and personality</t>
        </is>
      </c>
      <c r="D722" t="n">
        <v>17</v>
      </c>
      <c r="E722" t="inlineStr">
        <is>
          <t>Am not really interested in others.</t>
        </is>
      </c>
      <c r="F722" t="inlineStr">
        <is>
          <t>Agreeableness</t>
        </is>
      </c>
      <c r="G722" t="inlineStr">
        <is>
          <t>TRUE</t>
        </is>
      </c>
      <c r="H722" t="inlineStr">
        <is>
          <t>FALSE</t>
        </is>
      </c>
      <c r="I722" t="inlineStr">
        <is>
          <t>Very inaccurate = 1 | Moderately inaccurate = 2 | Neither inaccurate nor accurate = 3 | Moderately accurate = 4 | Very accurate = 5</t>
        </is>
      </c>
      <c r="J722" t="inlineStr">
        <is>
          <t>IPIP key sign: minus</t>
        </is>
      </c>
      <c r="K722" t="inlineStr">
        <is>
          <t>https://ipip.ori.org/MiniIPIPKey.htm</t>
        </is>
      </c>
    </row>
    <row r="723">
      <c r="A723" t="inlineStr">
        <is>
          <t>MINI-IPIP</t>
        </is>
      </c>
      <c r="B723" t="inlineStr">
        <is>
          <t>Mini International Personality Item Pool</t>
        </is>
      </c>
      <c r="C723" t="inlineStr">
        <is>
          <t>5. Self talk, thinking patterns and personality</t>
        </is>
      </c>
      <c r="D723" t="n">
        <v>18</v>
      </c>
      <c r="E723" t="inlineStr">
        <is>
          <t>Make a mess of things.</t>
        </is>
      </c>
      <c r="F723" t="inlineStr">
        <is>
          <t>Conscientiousness</t>
        </is>
      </c>
      <c r="G723" t="inlineStr">
        <is>
          <t>TRUE</t>
        </is>
      </c>
      <c r="H723" t="inlineStr">
        <is>
          <t>FALSE</t>
        </is>
      </c>
      <c r="I723" t="inlineStr">
        <is>
          <t>Very inaccurate = 1 | Moderately inaccurate = 2 | Neither inaccurate nor accurate = 3 | Moderately accurate = 4 | Very accurate = 5</t>
        </is>
      </c>
      <c r="J723" t="inlineStr">
        <is>
          <t>IPIP key sign: minus</t>
        </is>
      </c>
      <c r="K723" t="inlineStr">
        <is>
          <t>https://ipip.ori.org/MiniIPIPKey.htm</t>
        </is>
      </c>
    </row>
    <row r="724">
      <c r="A724" t="inlineStr">
        <is>
          <t>MINI-IPIP</t>
        </is>
      </c>
      <c r="B724" t="inlineStr">
        <is>
          <t>Mini International Personality Item Pool</t>
        </is>
      </c>
      <c r="C724" t="inlineStr">
        <is>
          <t>5. Self talk, thinking patterns and personality</t>
        </is>
      </c>
      <c r="D724" t="n">
        <v>19</v>
      </c>
      <c r="E724" t="inlineStr">
        <is>
          <t>Seldom feel blue.</t>
        </is>
      </c>
      <c r="F724" t="inlineStr">
        <is>
          <t>Neuroticism</t>
        </is>
      </c>
      <c r="G724" t="inlineStr">
        <is>
          <t>TRUE</t>
        </is>
      </c>
      <c r="H724" t="inlineStr">
        <is>
          <t>FALSE</t>
        </is>
      </c>
      <c r="I724" t="inlineStr">
        <is>
          <t>Very inaccurate = 1 | Moderately inaccurate = 2 | Neither inaccurate nor accurate = 3 | Moderately accurate = 4 | Very accurate = 5</t>
        </is>
      </c>
      <c r="J724" t="inlineStr">
        <is>
          <t>IPIP key sign: minus</t>
        </is>
      </c>
      <c r="K724" t="inlineStr">
        <is>
          <t>https://ipip.ori.org/MiniIPIPKey.htm</t>
        </is>
      </c>
    </row>
    <row r="725">
      <c r="A725" t="inlineStr">
        <is>
          <t>MINI-IPIP</t>
        </is>
      </c>
      <c r="B725" t="inlineStr">
        <is>
          <t>Mini International Personality Item Pool</t>
        </is>
      </c>
      <c r="C725" t="inlineStr">
        <is>
          <t>5. Self talk, thinking patterns and personality</t>
        </is>
      </c>
      <c r="D725" t="n">
        <v>20</v>
      </c>
      <c r="E725" t="inlineStr">
        <is>
          <t>Do not have a good imagination.</t>
        </is>
      </c>
      <c r="F725" t="inlineStr">
        <is>
          <t>Intellect or Imagination</t>
        </is>
      </c>
      <c r="G725" t="inlineStr">
        <is>
          <t>TRUE</t>
        </is>
      </c>
      <c r="H725" t="inlineStr">
        <is>
          <t>FALSE</t>
        </is>
      </c>
      <c r="I725" t="inlineStr">
        <is>
          <t>Very inaccurate = 1 | Moderately inaccurate = 2 | Neither inaccurate nor accurate = 3 | Moderately accurate = 4 | Very accurate = 5</t>
        </is>
      </c>
      <c r="J725" t="inlineStr">
        <is>
          <t>IPIP key sign: minus</t>
        </is>
      </c>
      <c r="K725" t="inlineStr">
        <is>
          <t>https://ipip.ori.org/MiniIPIPKey.htm</t>
        </is>
      </c>
    </row>
    <row r="726">
      <c r="A726" t="inlineStr">
        <is>
          <t>MWQ</t>
        </is>
      </c>
      <c r="B726" t="inlineStr">
        <is>
          <t>Mind Wandering Questionnaire</t>
        </is>
      </c>
      <c r="C726" t="inlineStr">
        <is>
          <t>1. Executive functioning and ADHD</t>
        </is>
      </c>
      <c r="D726" t="n">
        <v>1</v>
      </c>
      <c r="E726" t="inlineStr">
        <is>
          <t>I have difficulty maintaining focus on simple or repetitive work</t>
        </is>
      </c>
      <c r="F726" t="inlineStr">
        <is>
          <t>Total</t>
        </is>
      </c>
      <c r="G726" t="inlineStr">
        <is>
          <t>FALSE</t>
        </is>
      </c>
      <c r="H726" t="inlineStr">
        <is>
          <t>FALSE</t>
        </is>
      </c>
      <c r="I726" t="inlineStr">
        <is>
          <t>almost never = 1 | very infrequently = 2 | somewhat infrequently = 3 | somewhat frequently = 4 | very frequently = 5 | almost always = 6</t>
        </is>
      </c>
      <c r="K726" t="inlineStr">
        <is>
          <t>https://www.frontiersin.org/journals/psychology/articles/10.3389/fpsyg.2013.00560/full</t>
        </is>
      </c>
    </row>
    <row r="727">
      <c r="A727" t="inlineStr">
        <is>
          <t>MWQ</t>
        </is>
      </c>
      <c r="B727" t="inlineStr">
        <is>
          <t>Mind Wandering Questionnaire</t>
        </is>
      </c>
      <c r="C727" t="inlineStr">
        <is>
          <t>1. Executive functioning and ADHD</t>
        </is>
      </c>
      <c r="D727" t="n">
        <v>2</v>
      </c>
      <c r="E727" t="inlineStr">
        <is>
          <t>While reading, I find I haven't been thinking about the text and must therefore read it again</t>
        </is>
      </c>
      <c r="F727" t="inlineStr">
        <is>
          <t>Total</t>
        </is>
      </c>
      <c r="G727" t="inlineStr">
        <is>
          <t>FALSE</t>
        </is>
      </c>
      <c r="H727" t="inlineStr">
        <is>
          <t>FALSE</t>
        </is>
      </c>
      <c r="I727" t="inlineStr">
        <is>
          <t>almost never = 1 | very infrequently = 2 | somewhat infrequently = 3 | somewhat frequently = 4 | very frequently = 5 | almost always = 6</t>
        </is>
      </c>
      <c r="K727" t="inlineStr">
        <is>
          <t>https://www.frontiersin.org/journals/psychology/articles/10.3389/fpsyg.2013.00560/full</t>
        </is>
      </c>
    </row>
    <row r="728">
      <c r="A728" t="inlineStr">
        <is>
          <t>MWQ</t>
        </is>
      </c>
      <c r="B728" t="inlineStr">
        <is>
          <t>Mind Wandering Questionnaire</t>
        </is>
      </c>
      <c r="C728" t="inlineStr">
        <is>
          <t>1. Executive functioning and ADHD</t>
        </is>
      </c>
      <c r="D728" t="n">
        <v>3</v>
      </c>
      <c r="E728" t="inlineStr">
        <is>
          <t>I do things without paying full attention</t>
        </is>
      </c>
      <c r="F728" t="inlineStr">
        <is>
          <t>Total</t>
        </is>
      </c>
      <c r="G728" t="inlineStr">
        <is>
          <t>FALSE</t>
        </is>
      </c>
      <c r="H728" t="inlineStr">
        <is>
          <t>FALSE</t>
        </is>
      </c>
      <c r="I728" t="inlineStr">
        <is>
          <t>almost never = 1 | very infrequently = 2 | somewhat infrequently = 3 | somewhat frequently = 4 | very frequently = 5 | almost always = 6</t>
        </is>
      </c>
      <c r="K728" t="inlineStr">
        <is>
          <t>https://www.frontiersin.org/journals/psychology/articles/10.3389/fpsyg.2013.00560/full</t>
        </is>
      </c>
    </row>
    <row r="729">
      <c r="A729" t="inlineStr">
        <is>
          <t>MWQ</t>
        </is>
      </c>
      <c r="B729" t="inlineStr">
        <is>
          <t>Mind Wandering Questionnaire</t>
        </is>
      </c>
      <c r="C729" t="inlineStr">
        <is>
          <t>1. Executive functioning and ADHD</t>
        </is>
      </c>
      <c r="D729" t="n">
        <v>4</v>
      </c>
      <c r="E729" t="inlineStr">
        <is>
          <t>I find myself listening with one ear, thinking about something else at the same time</t>
        </is>
      </c>
      <c r="F729" t="inlineStr">
        <is>
          <t>Total</t>
        </is>
      </c>
      <c r="G729" t="inlineStr">
        <is>
          <t>FALSE</t>
        </is>
      </c>
      <c r="H729" t="inlineStr">
        <is>
          <t>FALSE</t>
        </is>
      </c>
      <c r="I729" t="inlineStr">
        <is>
          <t>almost never = 1 | very infrequently = 2 | somewhat infrequently = 3 | somewhat frequently = 4 | very frequently = 5 | almost always = 6</t>
        </is>
      </c>
      <c r="K729" t="inlineStr">
        <is>
          <t>https://www.frontiersin.org/journals/psychology/articles/10.3389/fpsyg.2013.00560/full</t>
        </is>
      </c>
    </row>
    <row r="730">
      <c r="A730" t="inlineStr">
        <is>
          <t>MWQ</t>
        </is>
      </c>
      <c r="B730" t="inlineStr">
        <is>
          <t>Mind Wandering Questionnaire</t>
        </is>
      </c>
      <c r="C730" t="inlineStr">
        <is>
          <t>1. Executive functioning and ADHD</t>
        </is>
      </c>
      <c r="D730" t="n">
        <v>5</v>
      </c>
      <c r="E730" t="inlineStr">
        <is>
          <t>I mind-wander during lectures or presentations</t>
        </is>
      </c>
      <c r="F730" t="inlineStr">
        <is>
          <t>Total</t>
        </is>
      </c>
      <c r="G730" t="inlineStr">
        <is>
          <t>FALSE</t>
        </is>
      </c>
      <c r="H730" t="inlineStr">
        <is>
          <t>FALSE</t>
        </is>
      </c>
      <c r="I730" t="inlineStr">
        <is>
          <t>almost never = 1 | very infrequently = 2 | somewhat infrequently = 3 | somewhat frequently = 4 | very frequently = 5 | almost always = 6</t>
        </is>
      </c>
      <c r="J730" t="inlineStr">
        <is>
          <t>Article body text reads 'or'; Table 1 prints 'of', which appears to be a typesetting error.</t>
        </is>
      </c>
      <c r="K730" t="inlineStr">
        <is>
          <t>https://www.frontiersin.org/journals/psychology/articles/10.3389/fpsyg.2013.00560/full</t>
        </is>
      </c>
    </row>
    <row r="731">
      <c r="A731" t="inlineStr">
        <is>
          <t>NCS-6</t>
        </is>
      </c>
      <c r="B731" t="inlineStr">
        <is>
          <t>Need for Cognition Scale, 6 item</t>
        </is>
      </c>
      <c r="C731" t="inlineStr">
        <is>
          <t>5. Self talk, thinking patterns and personality</t>
        </is>
      </c>
      <c r="D731" t="n">
        <v>1</v>
      </c>
      <c r="E731" t="inlineStr">
        <is>
          <t>I would prefer complex to simple problems.</t>
        </is>
      </c>
      <c r="F731" t="inlineStr">
        <is>
          <t>Total</t>
        </is>
      </c>
      <c r="G731" t="inlineStr">
        <is>
          <t>FALSE</t>
        </is>
      </c>
      <c r="H731" t="inlineStr">
        <is>
          <t>FALSE</t>
        </is>
      </c>
      <c r="I731" t="inlineStr">
        <is>
          <t>extremely uncharacteristic of me = 1 | 2 = 2 | 3 = 3 | 4 = 4 | extremely characteristic of me = 5</t>
        </is>
      </c>
      <c r="K731" t="inlineStr">
        <is>
          <t>https://www.psytoolkit.org/survey-library/need-for-cognition-ncs6.html</t>
        </is>
      </c>
    </row>
    <row r="732">
      <c r="A732" t="inlineStr">
        <is>
          <t>NCS-6</t>
        </is>
      </c>
      <c r="B732" t="inlineStr">
        <is>
          <t>Need for Cognition Scale, 6 item</t>
        </is>
      </c>
      <c r="C732" t="inlineStr">
        <is>
          <t>5. Self talk, thinking patterns and personality</t>
        </is>
      </c>
      <c r="D732" t="n">
        <v>2</v>
      </c>
      <c r="E732" t="inlineStr">
        <is>
          <t>I like to have the responsibility of handling a situation that requires a lot of thinking.</t>
        </is>
      </c>
      <c r="F732" t="inlineStr">
        <is>
          <t>Total</t>
        </is>
      </c>
      <c r="G732" t="inlineStr">
        <is>
          <t>FALSE</t>
        </is>
      </c>
      <c r="H732" t="inlineStr">
        <is>
          <t>FALSE</t>
        </is>
      </c>
      <c r="I732" t="inlineStr">
        <is>
          <t>extremely uncharacteristic of me = 1 | 2 = 2 | 3 = 3 | 4 = 4 | extremely characteristic of me = 5</t>
        </is>
      </c>
      <c r="K732" t="inlineStr">
        <is>
          <t>https://www.psytoolkit.org/survey-library/need-for-cognition-ncs6.html</t>
        </is>
      </c>
    </row>
    <row r="733">
      <c r="A733" t="inlineStr">
        <is>
          <t>NCS-6</t>
        </is>
      </c>
      <c r="B733" t="inlineStr">
        <is>
          <t>Need for Cognition Scale, 6 item</t>
        </is>
      </c>
      <c r="C733" t="inlineStr">
        <is>
          <t>5. Self talk, thinking patterns and personality</t>
        </is>
      </c>
      <c r="D733" t="n">
        <v>3</v>
      </c>
      <c r="E733" t="inlineStr">
        <is>
          <t>Thinking is not my idea of fun.</t>
        </is>
      </c>
      <c r="F733" t="inlineStr">
        <is>
          <t>Total</t>
        </is>
      </c>
      <c r="G733" t="inlineStr">
        <is>
          <t>TRUE</t>
        </is>
      </c>
      <c r="H733" t="inlineStr">
        <is>
          <t>FALSE</t>
        </is>
      </c>
      <c r="I733" t="inlineStr">
        <is>
          <t>extremely uncharacteristic of me = 1 | 2 = 2 | 3 = 3 | 4 = 4 | extremely characteristic of me = 5</t>
        </is>
      </c>
      <c r="J733" t="inlineStr">
        <is>
          <t>Marked reverse in both sources</t>
        </is>
      </c>
      <c r="K733" t="inlineStr">
        <is>
          <t>https://www.psytoolkit.org/survey-library/need-for-cognition-ncs6.html</t>
        </is>
      </c>
    </row>
    <row r="734">
      <c r="A734" t="inlineStr">
        <is>
          <t>NCS-6</t>
        </is>
      </c>
      <c r="B734" t="inlineStr">
        <is>
          <t>Need for Cognition Scale, 6 item</t>
        </is>
      </c>
      <c r="C734" t="inlineStr">
        <is>
          <t>5. Self talk, thinking patterns and personality</t>
        </is>
      </c>
      <c r="D734" t="n">
        <v>4</v>
      </c>
      <c r="E734" t="inlineStr">
        <is>
          <t>I would rather do something that requires little thought than something that is sure to challenge my thinking abilities.</t>
        </is>
      </c>
      <c r="F734" t="inlineStr">
        <is>
          <t>Total</t>
        </is>
      </c>
      <c r="G734" t="inlineStr">
        <is>
          <t>TRUE</t>
        </is>
      </c>
      <c r="H734" t="inlineStr">
        <is>
          <t>FALSE</t>
        </is>
      </c>
      <c r="I734" t="inlineStr">
        <is>
          <t>extremely uncharacteristic of me = 1 | 2 = 2 | 3 = 3 | 4 = 4 | extremely characteristic of me = 5</t>
        </is>
      </c>
      <c r="J734" t="inlineStr">
        <is>
          <t>Marked reverse in both sources</t>
        </is>
      </c>
      <c r="K734" t="inlineStr">
        <is>
          <t>https://www.psytoolkit.org/survey-library/need-for-cognition-ncs6.html</t>
        </is>
      </c>
    </row>
    <row r="735">
      <c r="A735" t="inlineStr">
        <is>
          <t>NCS-6</t>
        </is>
      </c>
      <c r="B735" t="inlineStr">
        <is>
          <t>Need for Cognition Scale, 6 item</t>
        </is>
      </c>
      <c r="C735" t="inlineStr">
        <is>
          <t>5. Self talk, thinking patterns and personality</t>
        </is>
      </c>
      <c r="D735" t="n">
        <v>5</v>
      </c>
      <c r="E735" t="inlineStr">
        <is>
          <t>I really enjoy a task that involves coming up with new solutions to problems.</t>
        </is>
      </c>
      <c r="F735" t="inlineStr">
        <is>
          <t>Total</t>
        </is>
      </c>
      <c r="G735" t="inlineStr">
        <is>
          <t>FALSE</t>
        </is>
      </c>
      <c r="H735" t="inlineStr">
        <is>
          <t>FALSE</t>
        </is>
      </c>
      <c r="I735" t="inlineStr">
        <is>
          <t>extremely uncharacteristic of me = 1 | 2 = 2 | 3 = 3 | 4 = 4 | extremely characteristic of me = 5</t>
        </is>
      </c>
      <c r="K735" t="inlineStr">
        <is>
          <t>https://www.psytoolkit.org/survey-library/need-for-cognition-ncs6.html</t>
        </is>
      </c>
    </row>
    <row r="736">
      <c r="A736" t="inlineStr">
        <is>
          <t>NCS-6</t>
        </is>
      </c>
      <c r="B736" t="inlineStr">
        <is>
          <t>Need for Cognition Scale, 6 item</t>
        </is>
      </c>
      <c r="C736" t="inlineStr">
        <is>
          <t>5. Self talk, thinking patterns and personality</t>
        </is>
      </c>
      <c r="D736" t="n">
        <v>6</v>
      </c>
      <c r="E736" t="inlineStr">
        <is>
          <t>I would prefer a task that is intellectual, difficult, and important to one that is somewhat important but does not require much thought.</t>
        </is>
      </c>
      <c r="F736" t="inlineStr">
        <is>
          <t>Total</t>
        </is>
      </c>
      <c r="G736" t="inlineStr">
        <is>
          <t>FALSE</t>
        </is>
      </c>
      <c r="H736" t="inlineStr">
        <is>
          <t>FALSE</t>
        </is>
      </c>
      <c r="I736" t="inlineStr">
        <is>
          <t>extremely uncharacteristic of me = 1 | 2 = 2 | 3 = 3 | 4 = 4 | extremely characteristic of me = 5</t>
        </is>
      </c>
      <c r="K736" t="inlineStr">
        <is>
          <t>https://www.psytoolkit.org/survey-library/need-for-cognition-ncs6.html</t>
        </is>
      </c>
    </row>
    <row r="737">
      <c r="A737" t="inlineStr">
        <is>
          <t>PHQ-2</t>
        </is>
      </c>
      <c r="B737" t="inlineStr">
        <is>
          <t>Patient Health Questionnaire 2</t>
        </is>
      </c>
      <c r="C737" t="inlineStr">
        <is>
          <t>4. Clinical and distress screening</t>
        </is>
      </c>
      <c r="D737" t="n">
        <v>1</v>
      </c>
      <c r="E737" t="inlineStr">
        <is>
          <t>Little interest or pleasure in doing things</t>
        </is>
      </c>
      <c r="F737" t="inlineStr">
        <is>
          <t>Total</t>
        </is>
      </c>
      <c r="G737" t="inlineStr">
        <is>
          <t>FALSE</t>
        </is>
      </c>
      <c r="H737" t="inlineStr">
        <is>
          <t>FALSE</t>
        </is>
      </c>
      <c r="I737" t="inlineStr">
        <is>
          <t>Not at all = 0 | Several days = 1 | More than half the days = 2 | Nearly every day = 3</t>
        </is>
      </c>
      <c r="K737" t="inlineStr">
        <is>
          <t>https://psytoolkit.org/survey-library/depression-phq.html</t>
        </is>
      </c>
    </row>
    <row r="738">
      <c r="A738" t="inlineStr">
        <is>
          <t>PHQ-2</t>
        </is>
      </c>
      <c r="B738" t="inlineStr">
        <is>
          <t>Patient Health Questionnaire 2</t>
        </is>
      </c>
      <c r="C738" t="inlineStr">
        <is>
          <t>4. Clinical and distress screening</t>
        </is>
      </c>
      <c r="D738" t="n">
        <v>2</v>
      </c>
      <c r="E738" t="inlineStr">
        <is>
          <t>Feeling down, depressed, or hopeless</t>
        </is>
      </c>
      <c r="F738" t="inlineStr">
        <is>
          <t>Total</t>
        </is>
      </c>
      <c r="G738" t="inlineStr">
        <is>
          <t>FALSE</t>
        </is>
      </c>
      <c r="H738" t="inlineStr">
        <is>
          <t>FALSE</t>
        </is>
      </c>
      <c r="I738" t="inlineStr">
        <is>
          <t>Not at all = 0 | Several days = 1 | More than half the days = 2 | Nearly every day = 3</t>
        </is>
      </c>
      <c r="K738" t="inlineStr">
        <is>
          <t>https://psytoolkit.org/survey-library/depression-phq.html</t>
        </is>
      </c>
    </row>
    <row r="739">
      <c r="A739" t="inlineStr">
        <is>
          <t>PHQ-9</t>
        </is>
      </c>
      <c r="B739" t="inlineStr">
        <is>
          <t>Patient Health Questionnaire 9</t>
        </is>
      </c>
      <c r="C739" t="inlineStr">
        <is>
          <t>4. Clinical and distress screening</t>
        </is>
      </c>
      <c r="D739" t="n">
        <v>1</v>
      </c>
      <c r="E739" t="inlineStr">
        <is>
          <t>Little interest or pleasure in doing things</t>
        </is>
      </c>
      <c r="F739" t="inlineStr">
        <is>
          <t>Total</t>
        </is>
      </c>
      <c r="G739" t="inlineStr">
        <is>
          <t>FALSE</t>
        </is>
      </c>
      <c r="H739" t="inlineStr">
        <is>
          <t>FALSE</t>
        </is>
      </c>
      <c r="I739" t="inlineStr">
        <is>
          <t>Not at all = 0 | Several days = 1 | More than half the days = 2 | Nearly every day = 3</t>
        </is>
      </c>
      <c r="K739" t="inlineStr">
        <is>
          <t>https://cde.nida.nih.gov/system/files/PatientHealthQuestionnaire-9_2014Mar19.pdf</t>
        </is>
      </c>
    </row>
    <row r="740">
      <c r="A740" t="inlineStr">
        <is>
          <t>PHQ-9</t>
        </is>
      </c>
      <c r="B740" t="inlineStr">
        <is>
          <t>Patient Health Questionnaire 9</t>
        </is>
      </c>
      <c r="C740" t="inlineStr">
        <is>
          <t>4. Clinical and distress screening</t>
        </is>
      </c>
      <c r="D740" t="n">
        <v>2</v>
      </c>
      <c r="E740" t="inlineStr">
        <is>
          <t>Feeling down, depressed, or hopeless</t>
        </is>
      </c>
      <c r="F740" t="inlineStr">
        <is>
          <t>Total</t>
        </is>
      </c>
      <c r="G740" t="inlineStr">
        <is>
          <t>FALSE</t>
        </is>
      </c>
      <c r="H740" t="inlineStr">
        <is>
          <t>FALSE</t>
        </is>
      </c>
      <c r="I740" t="inlineStr">
        <is>
          <t>Not at all = 0 | Several days = 1 | More than half the days = 2 | Nearly every day = 3</t>
        </is>
      </c>
      <c r="K740" t="inlineStr">
        <is>
          <t>https://cde.nida.nih.gov/system/files/PatientHealthQuestionnaire-9_2014Mar19.pdf</t>
        </is>
      </c>
    </row>
    <row r="741">
      <c r="A741" t="inlineStr">
        <is>
          <t>PHQ-9</t>
        </is>
      </c>
      <c r="B741" t="inlineStr">
        <is>
          <t>Patient Health Questionnaire 9</t>
        </is>
      </c>
      <c r="C741" t="inlineStr">
        <is>
          <t>4. Clinical and distress screening</t>
        </is>
      </c>
      <c r="D741" t="n">
        <v>3</v>
      </c>
      <c r="E741" t="inlineStr">
        <is>
          <t>Trouble falling or staying asleep, or sleeping too much</t>
        </is>
      </c>
      <c r="F741" t="inlineStr">
        <is>
          <t>Total</t>
        </is>
      </c>
      <c r="G741" t="inlineStr">
        <is>
          <t>FALSE</t>
        </is>
      </c>
      <c r="H741" t="inlineStr">
        <is>
          <t>FALSE</t>
        </is>
      </c>
      <c r="I741" t="inlineStr">
        <is>
          <t>Not at all = 0 | Several days = 1 | More than half the days = 2 | Nearly every day = 3</t>
        </is>
      </c>
      <c r="K741" t="inlineStr">
        <is>
          <t>https://cde.nida.nih.gov/system/files/PatientHealthQuestionnaire-9_2014Mar19.pdf</t>
        </is>
      </c>
    </row>
    <row r="742">
      <c r="A742" t="inlineStr">
        <is>
          <t>PHQ-9</t>
        </is>
      </c>
      <c r="B742" t="inlineStr">
        <is>
          <t>Patient Health Questionnaire 9</t>
        </is>
      </c>
      <c r="C742" t="inlineStr">
        <is>
          <t>4. Clinical and distress screening</t>
        </is>
      </c>
      <c r="D742" t="n">
        <v>4</v>
      </c>
      <c r="E742" t="inlineStr">
        <is>
          <t>Feeling tired or having little energy</t>
        </is>
      </c>
      <c r="F742" t="inlineStr">
        <is>
          <t>Total</t>
        </is>
      </c>
      <c r="G742" t="inlineStr">
        <is>
          <t>FALSE</t>
        </is>
      </c>
      <c r="H742" t="inlineStr">
        <is>
          <t>FALSE</t>
        </is>
      </c>
      <c r="I742" t="inlineStr">
        <is>
          <t>Not at all = 0 | Several days = 1 | More than half the days = 2 | Nearly every day = 3</t>
        </is>
      </c>
      <c r="K742" t="inlineStr">
        <is>
          <t>https://cde.nida.nih.gov/system/files/PatientHealthQuestionnaire-9_2014Mar19.pdf</t>
        </is>
      </c>
    </row>
    <row r="743">
      <c r="A743" t="inlineStr">
        <is>
          <t>PHQ-9</t>
        </is>
      </c>
      <c r="B743" t="inlineStr">
        <is>
          <t>Patient Health Questionnaire 9</t>
        </is>
      </c>
      <c r="C743" t="inlineStr">
        <is>
          <t>4. Clinical and distress screening</t>
        </is>
      </c>
      <c r="D743" t="n">
        <v>5</v>
      </c>
      <c r="E743" t="inlineStr">
        <is>
          <t>Poor appetite or overeating</t>
        </is>
      </c>
      <c r="F743" t="inlineStr">
        <is>
          <t>Total</t>
        </is>
      </c>
      <c r="G743" t="inlineStr">
        <is>
          <t>FALSE</t>
        </is>
      </c>
      <c r="H743" t="inlineStr">
        <is>
          <t>FALSE</t>
        </is>
      </c>
      <c r="I743" t="inlineStr">
        <is>
          <t>Not at all = 0 | Several days = 1 | More than half the days = 2 | Nearly every day = 3</t>
        </is>
      </c>
      <c r="K743" t="inlineStr">
        <is>
          <t>https://cde.nida.nih.gov/system/files/PatientHealthQuestionnaire-9_2014Mar19.pdf</t>
        </is>
      </c>
    </row>
    <row r="744">
      <c r="A744" t="inlineStr">
        <is>
          <t>PHQ-9</t>
        </is>
      </c>
      <c r="B744" t="inlineStr">
        <is>
          <t>Patient Health Questionnaire 9</t>
        </is>
      </c>
      <c r="C744" t="inlineStr">
        <is>
          <t>4. Clinical and distress screening</t>
        </is>
      </c>
      <c r="D744" t="n">
        <v>6</v>
      </c>
      <c r="E744" t="inlineStr">
        <is>
          <t>Feeling bad about yourself - or that you are a failure or have let yourself or your family down</t>
        </is>
      </c>
      <c r="F744" t="inlineStr">
        <is>
          <t>Total</t>
        </is>
      </c>
      <c r="G744" t="inlineStr">
        <is>
          <t>FALSE</t>
        </is>
      </c>
      <c r="H744" t="inlineStr">
        <is>
          <t>FALSE</t>
        </is>
      </c>
      <c r="I744" t="inlineStr">
        <is>
          <t>Not at all = 0 | Several days = 1 | More than half the days = 2 | Nearly every day = 3</t>
        </is>
      </c>
      <c r="K744" t="inlineStr">
        <is>
          <t>https://cde.nida.nih.gov/system/files/PatientHealthQuestionnaire-9_2014Mar19.pdf</t>
        </is>
      </c>
    </row>
    <row r="745">
      <c r="A745" t="inlineStr">
        <is>
          <t>PHQ-9</t>
        </is>
      </c>
      <c r="B745" t="inlineStr">
        <is>
          <t>Patient Health Questionnaire 9</t>
        </is>
      </c>
      <c r="C745" t="inlineStr">
        <is>
          <t>4. Clinical and distress screening</t>
        </is>
      </c>
      <c r="D745" t="n">
        <v>7</v>
      </c>
      <c r="E745" t="inlineStr">
        <is>
          <t>Trouble concentrating on things, such as reading the newspaper or watching television</t>
        </is>
      </c>
      <c r="F745" t="inlineStr">
        <is>
          <t>Total</t>
        </is>
      </c>
      <c r="G745" t="inlineStr">
        <is>
          <t>FALSE</t>
        </is>
      </c>
      <c r="H745" t="inlineStr">
        <is>
          <t>FALSE</t>
        </is>
      </c>
      <c r="I745" t="inlineStr">
        <is>
          <t>Not at all = 0 | Several days = 1 | More than half the days = 2 | Nearly every day = 3</t>
        </is>
      </c>
      <c r="K745" t="inlineStr">
        <is>
          <t>https://cde.nida.nih.gov/system/files/PatientHealthQuestionnaire-9_2014Mar19.pdf</t>
        </is>
      </c>
    </row>
    <row r="746">
      <c r="A746" t="inlineStr">
        <is>
          <t>PHQ-9</t>
        </is>
      </c>
      <c r="B746" t="inlineStr">
        <is>
          <t>Patient Health Questionnaire 9</t>
        </is>
      </c>
      <c r="C746" t="inlineStr">
        <is>
          <t>4. Clinical and distress screening</t>
        </is>
      </c>
      <c r="D746" t="n">
        <v>8</v>
      </c>
      <c r="E746" t="inlineStr">
        <is>
          <t>Moving or speaking so slowly that other people could have noticed? Or the opposite - being so fidgety or restless that you have been moving around a lot more than usual</t>
        </is>
      </c>
      <c r="F746" t="inlineStr">
        <is>
          <t>Total</t>
        </is>
      </c>
      <c r="G746" t="inlineStr">
        <is>
          <t>FALSE</t>
        </is>
      </c>
      <c r="H746" t="inlineStr">
        <is>
          <t>FALSE</t>
        </is>
      </c>
      <c r="I746" t="inlineStr">
        <is>
          <t>Not at all = 0 | Several days = 1 | More than half the days = 2 | Nearly every day = 3</t>
        </is>
      </c>
      <c r="K746" t="inlineStr">
        <is>
          <t>https://cde.nida.nih.gov/system/files/PatientHealthQuestionnaire-9_2014Mar19.pdf</t>
        </is>
      </c>
    </row>
    <row r="747">
      <c r="A747" t="inlineStr">
        <is>
          <t>PHQ-9</t>
        </is>
      </c>
      <c r="B747" t="inlineStr">
        <is>
          <t>Patient Health Questionnaire 9</t>
        </is>
      </c>
      <c r="C747" t="inlineStr">
        <is>
          <t>4. Clinical and distress screening</t>
        </is>
      </c>
      <c r="D747" t="n">
        <v>9</v>
      </c>
      <c r="E747" t="inlineStr">
        <is>
          <t>Thoughts that you would be better off dead or of hurting yourself in some way</t>
        </is>
      </c>
      <c r="F747" t="inlineStr">
        <is>
          <t>Total</t>
        </is>
      </c>
      <c r="G747" t="inlineStr">
        <is>
          <t>FALSE</t>
        </is>
      </c>
      <c r="H747" t="inlineStr">
        <is>
          <t>FALSE</t>
        </is>
      </c>
      <c r="I747" t="inlineStr">
        <is>
          <t>Not at all = 0 | Several days = 1 | More than half the days = 2 | Nearly every day = 3</t>
        </is>
      </c>
      <c r="J747" t="inlineStr">
        <is>
          <t>Asks about self harm; a response protocol is needed before use</t>
        </is>
      </c>
      <c r="K747" t="inlineStr">
        <is>
          <t>https://cde.nida.nih.gov/system/files/PatientHealthQuestionnaire-9_2014Mar19.pdf</t>
        </is>
      </c>
    </row>
    <row r="748">
      <c r="A748" t="inlineStr">
        <is>
          <t>PROMIS-GH10</t>
        </is>
      </c>
      <c r="B748" t="inlineStr">
        <is>
          <t>PROMIS Scale v1.2 Global Health</t>
        </is>
      </c>
      <c r="C748" t="inlineStr">
        <is>
          <t>8. Functioning and health</t>
        </is>
      </c>
      <c r="D748" t="n">
        <v>1</v>
      </c>
      <c r="E748" t="inlineStr">
        <is>
          <t>In general, would you say your health is:</t>
        </is>
      </c>
      <c r="F748" t="inlineStr">
        <is>
          <t>Not in a component</t>
        </is>
      </c>
      <c r="G748" t="inlineStr">
        <is>
          <t>FALSE</t>
        </is>
      </c>
      <c r="H748" t="inlineStr">
        <is>
          <t>FALSE</t>
        </is>
      </c>
      <c r="I748" t="inlineStr">
        <is>
          <t>Excellent = 5 | Very good = 4 | Good = 3 | Fair = 2 | Poor = 1</t>
        </is>
      </c>
      <c r="J748" t="inlineStr">
        <is>
          <t>Item code Global01. Response options: Excellent = 5, Very good = 4, Good = 3, Fair = 2, Poor = 1</t>
        </is>
      </c>
      <c r="K748" t="inlineStr">
        <is>
          <t>https://curesicklecell.rti.org/Forms/Global_Health_Scale_v1.2_13Apr2018.pdf</t>
        </is>
      </c>
    </row>
    <row r="749">
      <c r="A749" t="inlineStr">
        <is>
          <t>PROMIS-GH10</t>
        </is>
      </c>
      <c r="B749" t="inlineStr">
        <is>
          <t>PROMIS Scale v1.2 Global Health</t>
        </is>
      </c>
      <c r="C749" t="inlineStr">
        <is>
          <t>8. Functioning and health</t>
        </is>
      </c>
      <c r="D749" t="n">
        <v>2</v>
      </c>
      <c r="E749" t="inlineStr">
        <is>
          <t>In general, would you say your quality of life is:</t>
        </is>
      </c>
      <c r="F749" t="inlineStr">
        <is>
          <t>Global Mental Health</t>
        </is>
      </c>
      <c r="G749" t="inlineStr">
        <is>
          <t>FALSE</t>
        </is>
      </c>
      <c r="H749" t="inlineStr">
        <is>
          <t>FALSE</t>
        </is>
      </c>
      <c r="I749" t="inlineStr">
        <is>
          <t>Excellent = 5 | Very good = 4 | Good = 3 | Fair = 2 | Poor = 1</t>
        </is>
      </c>
      <c r="J749" t="inlineStr">
        <is>
          <t>Item code Global02. Response options: Excellent = 5, Very good = 4, Good = 3, Fair = 2, Poor = 1</t>
        </is>
      </c>
      <c r="K749" t="inlineStr">
        <is>
          <t>https://curesicklecell.rti.org/Forms/Global_Health_Scale_v1.2_13Apr2018.pdf</t>
        </is>
      </c>
    </row>
    <row r="750">
      <c r="A750" t="inlineStr">
        <is>
          <t>PROMIS-GH10</t>
        </is>
      </c>
      <c r="B750" t="inlineStr">
        <is>
          <t>PROMIS Scale v1.2 Global Health</t>
        </is>
      </c>
      <c r="C750" t="inlineStr">
        <is>
          <t>8. Functioning and health</t>
        </is>
      </c>
      <c r="D750" t="n">
        <v>3</v>
      </c>
      <c r="E750" t="inlineStr">
        <is>
          <t>In general, how would you rate your physical health?</t>
        </is>
      </c>
      <c r="F750" t="inlineStr">
        <is>
          <t>Global Physical Health</t>
        </is>
      </c>
      <c r="G750" t="inlineStr">
        <is>
          <t>FALSE</t>
        </is>
      </c>
      <c r="H750" t="inlineStr">
        <is>
          <t>FALSE</t>
        </is>
      </c>
      <c r="I750" t="inlineStr">
        <is>
          <t>Excellent = 5 | Very good = 4 | Good = 3 | Fair = 2 | Poor = 1</t>
        </is>
      </c>
      <c r="J750" t="inlineStr">
        <is>
          <t>Item code Global03. Response options: Excellent = 5, Very good = 4, Good = 3, Fair = 2, Poor = 1</t>
        </is>
      </c>
      <c r="K750" t="inlineStr">
        <is>
          <t>https://curesicklecell.rti.org/Forms/Global_Health_Scale_v1.2_13Apr2018.pdf</t>
        </is>
      </c>
    </row>
    <row r="751">
      <c r="A751" t="inlineStr">
        <is>
          <t>PROMIS-GH10</t>
        </is>
      </c>
      <c r="B751" t="inlineStr">
        <is>
          <t>PROMIS Scale v1.2 Global Health</t>
        </is>
      </c>
      <c r="C751" t="inlineStr">
        <is>
          <t>8. Functioning and health</t>
        </is>
      </c>
      <c r="D751" t="n">
        <v>4</v>
      </c>
      <c r="E751" t="inlineStr">
        <is>
          <t>In general, how would you rate your mental health, including your mood and your ability to think?</t>
        </is>
      </c>
      <c r="F751" t="inlineStr">
        <is>
          <t>Global Mental Health</t>
        </is>
      </c>
      <c r="G751" t="inlineStr">
        <is>
          <t>FALSE</t>
        </is>
      </c>
      <c r="H751" t="inlineStr">
        <is>
          <t>FALSE</t>
        </is>
      </c>
      <c r="I751" t="inlineStr">
        <is>
          <t>Excellent = 5 | Very good = 4 | Good = 3 | Fair = 2 | Poor = 1</t>
        </is>
      </c>
      <c r="J751" t="inlineStr">
        <is>
          <t>Item code Global04. Response options: Excellent = 5, Very good = 4, Good = 3, Fair = 2, Poor = 1</t>
        </is>
      </c>
      <c r="K751" t="inlineStr">
        <is>
          <t>https://curesicklecell.rti.org/Forms/Global_Health_Scale_v1.2_13Apr2018.pdf</t>
        </is>
      </c>
    </row>
    <row r="752">
      <c r="A752" t="inlineStr">
        <is>
          <t>PROMIS-GH10</t>
        </is>
      </c>
      <c r="B752" t="inlineStr">
        <is>
          <t>PROMIS Scale v1.2 Global Health</t>
        </is>
      </c>
      <c r="C752" t="inlineStr">
        <is>
          <t>8. Functioning and health</t>
        </is>
      </c>
      <c r="D752" t="n">
        <v>5</v>
      </c>
      <c r="E752" t="inlineStr">
        <is>
          <t>In general, how would you rate your satisfaction with your social activities and relationships?</t>
        </is>
      </c>
      <c r="F752" t="inlineStr">
        <is>
          <t>Global Mental Health</t>
        </is>
      </c>
      <c r="G752" t="inlineStr">
        <is>
          <t>FALSE</t>
        </is>
      </c>
      <c r="H752" t="inlineStr">
        <is>
          <t>FALSE</t>
        </is>
      </c>
      <c r="I752" t="inlineStr">
        <is>
          <t>Excellent = 5 | Very good = 4 | Good = 3 | Fair = 2 | Poor = 1</t>
        </is>
      </c>
      <c r="J752" t="inlineStr">
        <is>
          <t>Item code Global05. Response options: Excellent = 5, Very good = 4, Good = 3, Fair = 2, Poor = 1</t>
        </is>
      </c>
      <c r="K752" t="inlineStr">
        <is>
          <t>https://curesicklecell.rti.org/Forms/Global_Health_Scale_v1.2_13Apr2018.pdf</t>
        </is>
      </c>
    </row>
    <row r="753">
      <c r="A753" t="inlineStr">
        <is>
          <t>PROMIS-GH10</t>
        </is>
      </c>
      <c r="B753" t="inlineStr">
        <is>
          <t>PROMIS Scale v1.2 Global Health</t>
        </is>
      </c>
      <c r="C753" t="inlineStr">
        <is>
          <t>8. Functioning and health</t>
        </is>
      </c>
      <c r="D753" t="n">
        <v>6</v>
      </c>
      <c r="E753" t="inlineStr">
        <is>
          <t>In general, please rate how well you carry out your usual social activities and roles. (This includes activities at home, at work and in your community, and responsibilities as a parent, child, spouse, employee, friend, etc.)</t>
        </is>
      </c>
      <c r="F753" t="inlineStr">
        <is>
          <t>Not in a component</t>
        </is>
      </c>
      <c r="G753" t="inlineStr">
        <is>
          <t>FALSE</t>
        </is>
      </c>
      <c r="H753" t="inlineStr">
        <is>
          <t>FALSE</t>
        </is>
      </c>
      <c r="I753" t="inlineStr">
        <is>
          <t>Excellent = 5 | Very good = 4 | Good = 3 | Fair = 2 | Poor = 1</t>
        </is>
      </c>
      <c r="J753" t="inlineStr">
        <is>
          <t>Item code Global09r. Response options: Excellent = 5, Very good = 4, Good = 3, Fair = 2, Poor = 1</t>
        </is>
      </c>
      <c r="K753" t="inlineStr">
        <is>
          <t>https://curesicklecell.rti.org/Forms/Global_Health_Scale_v1.2_13Apr2018.pdf</t>
        </is>
      </c>
    </row>
    <row r="754">
      <c r="A754" t="inlineStr">
        <is>
          <t>PROMIS-GH10</t>
        </is>
      </c>
      <c r="B754" t="inlineStr">
        <is>
          <t>PROMIS Scale v1.2 Global Health</t>
        </is>
      </c>
      <c r="C754" t="inlineStr">
        <is>
          <t>8. Functioning and health</t>
        </is>
      </c>
      <c r="D754" t="n">
        <v>7</v>
      </c>
      <c r="E754" t="inlineStr">
        <is>
          <t>To what extent are you able to carry out your everyday physical activities such as walking, climbing stairs, carrying groceries, or moving a chair?</t>
        </is>
      </c>
      <c r="F754" t="inlineStr">
        <is>
          <t>Global Physical Health</t>
        </is>
      </c>
      <c r="G754" t="inlineStr">
        <is>
          <t>FALSE</t>
        </is>
      </c>
      <c r="H754" t="inlineStr">
        <is>
          <t>FALSE</t>
        </is>
      </c>
      <c r="I754" t="inlineStr">
        <is>
          <t>Completely = 5 | Mostly = 4 | Moderately = 3 | A little = 2 | Not at all = 1</t>
        </is>
      </c>
      <c r="J754" t="inlineStr">
        <is>
          <t>Item code Global06. Response options: Completely = 5, Mostly = 4, Moderately = 3, A little = 2, Not at all = 1</t>
        </is>
      </c>
      <c r="K754" t="inlineStr">
        <is>
          <t>https://curesicklecell.rti.org/Forms/Global_Health_Scale_v1.2_13Apr2018.pdf</t>
        </is>
      </c>
    </row>
    <row r="755">
      <c r="A755" t="inlineStr">
        <is>
          <t>PROMIS-GH10</t>
        </is>
      </c>
      <c r="B755" t="inlineStr">
        <is>
          <t>PROMIS Scale v1.2 Global Health</t>
        </is>
      </c>
      <c r="C755" t="inlineStr">
        <is>
          <t>8. Functioning and health</t>
        </is>
      </c>
      <c r="D755" t="n">
        <v>8</v>
      </c>
      <c r="E755" t="inlineStr">
        <is>
          <t>How often have you been bothered by emotional problems such as feeling anxious, depressed or irritable?</t>
        </is>
      </c>
      <c r="F755" t="inlineStr">
        <is>
          <t>Global Mental Health</t>
        </is>
      </c>
      <c r="G755" t="inlineStr">
        <is>
          <t>FALSE</t>
        </is>
      </c>
      <c r="H755" t="inlineStr">
        <is>
          <t>FALSE</t>
        </is>
      </c>
      <c r="I755" t="inlineStr">
        <is>
          <t>Never = 5 | Rarely = 4 | Sometimes = 3 | Often = 2 | Always = 1</t>
        </is>
      </c>
      <c r="J755" t="inlineStr">
        <is>
          <t>Item code Global10r. Response options: Stem: In the past 7 days... Never = 5, Rarely = 4, Sometimes = 3, Often = 2, Always = 1</t>
        </is>
      </c>
      <c r="K755" t="inlineStr">
        <is>
          <t>https://curesicklecell.rti.org/Forms/Global_Health_Scale_v1.2_13Apr2018.pdf</t>
        </is>
      </c>
    </row>
    <row r="756">
      <c r="A756" t="inlineStr">
        <is>
          <t>PROMIS-GH10</t>
        </is>
      </c>
      <c r="B756" t="inlineStr">
        <is>
          <t>PROMIS Scale v1.2 Global Health</t>
        </is>
      </c>
      <c r="C756" t="inlineStr">
        <is>
          <t>8. Functioning and health</t>
        </is>
      </c>
      <c r="D756" t="n">
        <v>9</v>
      </c>
      <c r="E756" t="inlineStr">
        <is>
          <t>How would you rate your fatigue on average?</t>
        </is>
      </c>
      <c r="F756" t="inlineStr">
        <is>
          <t>Global Physical Health</t>
        </is>
      </c>
      <c r="G756" t="inlineStr">
        <is>
          <t>FALSE</t>
        </is>
      </c>
      <c r="H756" t="inlineStr">
        <is>
          <t>FALSE</t>
        </is>
      </c>
      <c r="I756" t="inlineStr">
        <is>
          <t>None = 5 | Mild = 4 | Moderate = 3 | Severe = 2 | Very severe = 1</t>
        </is>
      </c>
      <c r="J756" t="inlineStr">
        <is>
          <t>Item code Global08r. Response options: Stem: In the past 7 days... None = 5, Mild = 4, Moderate = 3, Severe = 2, Very severe = 1</t>
        </is>
      </c>
      <c r="K756" t="inlineStr">
        <is>
          <t>https://curesicklecell.rti.org/Forms/Global_Health_Scale_v1.2_13Apr2018.pdf</t>
        </is>
      </c>
    </row>
    <row r="757">
      <c r="A757" t="inlineStr">
        <is>
          <t>PROMIS-GH10</t>
        </is>
      </c>
      <c r="B757" t="inlineStr">
        <is>
          <t>PROMIS Scale v1.2 Global Health</t>
        </is>
      </c>
      <c r="C757" t="inlineStr">
        <is>
          <t>8. Functioning and health</t>
        </is>
      </c>
      <c r="D757" t="n">
        <v>10</v>
      </c>
      <c r="E757" t="inlineStr">
        <is>
          <t>How would you rate your pain on average?</t>
        </is>
      </c>
      <c r="F757" t="inlineStr">
        <is>
          <t>Global Physical Health</t>
        </is>
      </c>
      <c r="G757" t="inlineStr">
        <is>
          <t>FALSE</t>
        </is>
      </c>
      <c r="H757" t="inlineStr">
        <is>
          <t>FALSE</t>
        </is>
      </c>
      <c r="I757" t="inlineStr">
        <is>
          <t>No pain (0) = 5 | Mild (1 to 3) = 4 | Moderate (4 to 6) = 3 | Severe (7 to 9) = 2 | Worst pain imaginable (10) = 1</t>
        </is>
      </c>
      <c r="J757" t="inlineStr">
        <is>
          <t>Item code Global07r. Response options: Stem: In the past 7 days... 0 (No pain) to 10 (Worst pain imaginable); recoded for scoring as 0 = 5, 1-3 = 4, 4-6 = 3, 7-9 = 2, 10 = 1</t>
        </is>
      </c>
      <c r="K757" t="inlineStr">
        <is>
          <t>https://curesicklecell.rti.org/Forms/Global_Health_Scale_v1.2_13Apr2018.pdf</t>
        </is>
      </c>
    </row>
    <row r="758">
      <c r="A758" t="inlineStr">
        <is>
          <t>PROMIS-APSRA-8A</t>
        </is>
      </c>
      <c r="B758" t="inlineStr">
        <is>
          <t>PROMIS Ability to Participate in Social Roles and Activities Short Form 8a</t>
        </is>
      </c>
      <c r="C758" t="inlineStr">
        <is>
          <t>8. Functioning and health</t>
        </is>
      </c>
      <c r="D758" t="n">
        <v>1</v>
      </c>
      <c r="E758" t="inlineStr">
        <is>
          <t>I have trouble doing all of my regular leisure activities with others</t>
        </is>
      </c>
      <c r="F758" t="inlineStr">
        <is>
          <t>Total</t>
        </is>
      </c>
      <c r="G758" t="inlineStr">
        <is>
          <t>FALSE</t>
        </is>
      </c>
      <c r="H758" t="inlineStr">
        <is>
          <t>FALSE</t>
        </is>
      </c>
      <c r="I758" t="inlineStr">
        <is>
          <t>Never = 5 | Rarely = 4 | Sometimes = 3 | Usually = 2 | Always = 1</t>
        </is>
      </c>
      <c r="J758" t="inlineStr">
        <is>
          <t>LOINC 75417-6</t>
        </is>
      </c>
      <c r="K758" t="inlineStr">
        <is>
          <t>https://loinc.org/76731-9/panel</t>
        </is>
      </c>
    </row>
    <row r="759">
      <c r="A759" t="inlineStr">
        <is>
          <t>PROMIS-APSRA-8A</t>
        </is>
      </c>
      <c r="B759" t="inlineStr">
        <is>
          <t>PROMIS Ability to Participate in Social Roles and Activities Short Form 8a</t>
        </is>
      </c>
      <c r="C759" t="inlineStr">
        <is>
          <t>8. Functioning and health</t>
        </is>
      </c>
      <c r="D759" t="n">
        <v>2</v>
      </c>
      <c r="E759" t="inlineStr">
        <is>
          <t>I have trouble doing all of the family activities that I want to do</t>
        </is>
      </c>
      <c r="F759" t="inlineStr">
        <is>
          <t>Total</t>
        </is>
      </c>
      <c r="G759" t="inlineStr">
        <is>
          <t>FALSE</t>
        </is>
      </c>
      <c r="H759" t="inlineStr">
        <is>
          <t>FALSE</t>
        </is>
      </c>
      <c r="I759" t="inlineStr">
        <is>
          <t>Never = 5 | Rarely = 4 | Sometimes = 3 | Usually = 2 | Always = 1</t>
        </is>
      </c>
      <c r="J759" t="inlineStr">
        <is>
          <t>LOINC 76708-7</t>
        </is>
      </c>
      <c r="K759" t="inlineStr">
        <is>
          <t>https://loinc.org/76731-9/panel</t>
        </is>
      </c>
    </row>
    <row r="760">
      <c r="A760" t="inlineStr">
        <is>
          <t>PROMIS-APSRA-8A</t>
        </is>
      </c>
      <c r="B760" t="inlineStr">
        <is>
          <t>PROMIS Ability to Participate in Social Roles and Activities Short Form 8a</t>
        </is>
      </c>
      <c r="C760" t="inlineStr">
        <is>
          <t>8. Functioning and health</t>
        </is>
      </c>
      <c r="D760" t="n">
        <v>3</v>
      </c>
      <c r="E760" t="inlineStr">
        <is>
          <t>I have trouble doing all of my usual work (include work at home)</t>
        </is>
      </c>
      <c r="F760" t="inlineStr">
        <is>
          <t>Total</t>
        </is>
      </c>
      <c r="G760" t="inlineStr">
        <is>
          <t>FALSE</t>
        </is>
      </c>
      <c r="H760" t="inlineStr">
        <is>
          <t>FALSE</t>
        </is>
      </c>
      <c r="I760" t="inlineStr">
        <is>
          <t>Never = 5 | Rarely = 4 | Sometimes = 3 | Usually = 2 | Always = 1</t>
        </is>
      </c>
      <c r="J760" t="inlineStr">
        <is>
          <t>LOINC 76709-5</t>
        </is>
      </c>
      <c r="K760" t="inlineStr">
        <is>
          <t>https://loinc.org/76731-9/panel</t>
        </is>
      </c>
    </row>
    <row r="761">
      <c r="A761" t="inlineStr">
        <is>
          <t>PROMIS-APSRA-8A</t>
        </is>
      </c>
      <c r="B761" t="inlineStr">
        <is>
          <t>PROMIS Ability to Participate in Social Roles and Activities Short Form 8a</t>
        </is>
      </c>
      <c r="C761" t="inlineStr">
        <is>
          <t>8. Functioning and health</t>
        </is>
      </c>
      <c r="D761" t="n">
        <v>4</v>
      </c>
      <c r="E761" t="inlineStr">
        <is>
          <t>I have trouble doing all of the activities with friends that I want to do</t>
        </is>
      </c>
      <c r="F761" t="inlineStr">
        <is>
          <t>Total</t>
        </is>
      </c>
      <c r="G761" t="inlineStr">
        <is>
          <t>FALSE</t>
        </is>
      </c>
      <c r="H761" t="inlineStr">
        <is>
          <t>FALSE</t>
        </is>
      </c>
      <c r="I761" t="inlineStr">
        <is>
          <t>Never = 5 | Rarely = 4 | Sometimes = 3 | Usually = 2 | Always = 1</t>
        </is>
      </c>
      <c r="J761" t="inlineStr">
        <is>
          <t>LOINC 76712-9</t>
        </is>
      </c>
      <c r="K761" t="inlineStr">
        <is>
          <t>https://loinc.org/76731-9/panel</t>
        </is>
      </c>
    </row>
    <row r="762">
      <c r="A762" t="inlineStr">
        <is>
          <t>PROMIS-APSRA-8A</t>
        </is>
      </c>
      <c r="B762" t="inlineStr">
        <is>
          <t>PROMIS Ability to Participate in Social Roles and Activities Short Form 8a</t>
        </is>
      </c>
      <c r="C762" t="inlineStr">
        <is>
          <t>8. Functioning and health</t>
        </is>
      </c>
      <c r="D762" t="n">
        <v>5</v>
      </c>
      <c r="E762" t="inlineStr">
        <is>
          <t>I have to limit the things I do for fun with others</t>
        </is>
      </c>
      <c r="F762" t="inlineStr">
        <is>
          <t>Total</t>
        </is>
      </c>
      <c r="G762" t="inlineStr">
        <is>
          <t>FALSE</t>
        </is>
      </c>
      <c r="H762" t="inlineStr">
        <is>
          <t>FALSE</t>
        </is>
      </c>
      <c r="I762" t="inlineStr">
        <is>
          <t>Never = 5 | Rarely = 4 | Sometimes = 3 | Usually = 2 | Always = 1</t>
        </is>
      </c>
      <c r="J762" t="inlineStr">
        <is>
          <t>LOINC 76707-9</t>
        </is>
      </c>
      <c r="K762" t="inlineStr">
        <is>
          <t>https://loinc.org/76731-9/panel</t>
        </is>
      </c>
    </row>
    <row r="763">
      <c r="A763" t="inlineStr">
        <is>
          <t>PROMIS-APSRA-8A</t>
        </is>
      </c>
      <c r="B763" t="inlineStr">
        <is>
          <t>PROMIS Ability to Participate in Social Roles and Activities Short Form 8a</t>
        </is>
      </c>
      <c r="C763" t="inlineStr">
        <is>
          <t>8. Functioning and health</t>
        </is>
      </c>
      <c r="D763" t="n">
        <v>6</v>
      </c>
      <c r="E763" t="inlineStr">
        <is>
          <t>I have to limit my regular activities with friends</t>
        </is>
      </c>
      <c r="F763" t="inlineStr">
        <is>
          <t>Total</t>
        </is>
      </c>
      <c r="G763" t="inlineStr">
        <is>
          <t>FALSE</t>
        </is>
      </c>
      <c r="H763" t="inlineStr">
        <is>
          <t>FALSE</t>
        </is>
      </c>
      <c r="I763" t="inlineStr">
        <is>
          <t>Never = 5 | Rarely = 4 | Sometimes = 3 | Usually = 2 | Always = 1</t>
        </is>
      </c>
      <c r="J763" t="inlineStr">
        <is>
          <t>LOINC 76711-1</t>
        </is>
      </c>
      <c r="K763" t="inlineStr">
        <is>
          <t>https://loinc.org/76731-9/panel</t>
        </is>
      </c>
    </row>
    <row r="764">
      <c r="A764" t="inlineStr">
        <is>
          <t>PROMIS-APSRA-8A</t>
        </is>
      </c>
      <c r="B764" t="inlineStr">
        <is>
          <t>PROMIS Ability to Participate in Social Roles and Activities Short Form 8a</t>
        </is>
      </c>
      <c r="C764" t="inlineStr">
        <is>
          <t>8. Functioning and health</t>
        </is>
      </c>
      <c r="D764" t="n">
        <v>7</v>
      </c>
      <c r="E764" t="inlineStr">
        <is>
          <t>I have to limit my regular family activities</t>
        </is>
      </c>
      <c r="F764" t="inlineStr">
        <is>
          <t>Total</t>
        </is>
      </c>
      <c r="G764" t="inlineStr">
        <is>
          <t>FALSE</t>
        </is>
      </c>
      <c r="H764" t="inlineStr">
        <is>
          <t>FALSE</t>
        </is>
      </c>
      <c r="I764" t="inlineStr">
        <is>
          <t>Never = 5 | Rarely = 4 | Sometimes = 3 | Usually = 2 | Always = 1</t>
        </is>
      </c>
      <c r="J764" t="inlineStr">
        <is>
          <t>LOINC 76706-1</t>
        </is>
      </c>
      <c r="K764" t="inlineStr">
        <is>
          <t>https://loinc.org/76731-9/panel</t>
        </is>
      </c>
    </row>
    <row r="765">
      <c r="A765" t="inlineStr">
        <is>
          <t>PROMIS-APSRA-8A</t>
        </is>
      </c>
      <c r="B765" t="inlineStr">
        <is>
          <t>PROMIS Ability to Participate in Social Roles and Activities Short Form 8a</t>
        </is>
      </c>
      <c r="C765" t="inlineStr">
        <is>
          <t>8. Functioning and health</t>
        </is>
      </c>
      <c r="D765" t="n">
        <v>8</v>
      </c>
      <c r="E765" t="inlineStr">
        <is>
          <t>I have trouble doing all of the work that is really important to me (include work at home)</t>
        </is>
      </c>
      <c r="F765" t="inlineStr">
        <is>
          <t>Total</t>
        </is>
      </c>
      <c r="G765" t="inlineStr">
        <is>
          <t>FALSE</t>
        </is>
      </c>
      <c r="H765" t="inlineStr">
        <is>
          <t>FALSE</t>
        </is>
      </c>
      <c r="I765" t="inlineStr">
        <is>
          <t>Never = 5 | Rarely = 4 | Sometimes = 3 | Usually = 2 | Always = 1</t>
        </is>
      </c>
      <c r="J765" t="inlineStr">
        <is>
          <t>LOINC 76710-3</t>
        </is>
      </c>
      <c r="K765" t="inlineStr">
        <is>
          <t>https://loinc.org/76731-9/panel</t>
        </is>
      </c>
    </row>
    <row r="766">
      <c r="A766" t="inlineStr">
        <is>
          <t>PROMIS-COGA-8A</t>
        </is>
      </c>
      <c r="B766" t="inlineStr">
        <is>
          <t>PROMIS Cognitive Function Abilities Short Form 8a</t>
        </is>
      </c>
      <c r="C766" t="inlineStr">
        <is>
          <t>1. Executive functioning and ADHD</t>
        </is>
      </c>
      <c r="D766" t="n">
        <v>1</v>
      </c>
      <c r="E766" t="inlineStr">
        <is>
          <t>In the past 7 days - My mind has been as sharp as usual</t>
        </is>
      </c>
      <c r="F766" t="inlineStr">
        <is>
          <t>Total</t>
        </is>
      </c>
      <c r="G766" t="inlineStr">
        <is>
          <t>FALSE</t>
        </is>
      </c>
      <c r="H766" t="inlineStr">
        <is>
          <t>FALSE</t>
        </is>
      </c>
      <c r="I766" t="inlineStr">
        <is>
          <t>Not at all = 1 | A little bit = 2 | Somewhat = 3 | Quite a bit = 4 | Very much = 5</t>
        </is>
      </c>
      <c r="J766" t="inlineStr">
        <is>
          <t>LOINC 81497-0</t>
        </is>
      </c>
      <c r="K766" t="inlineStr">
        <is>
          <t>https://cdn.loinc.org/81527-4/panel</t>
        </is>
      </c>
    </row>
    <row r="767">
      <c r="A767" t="inlineStr">
        <is>
          <t>PROMIS-COGA-8A</t>
        </is>
      </c>
      <c r="B767" t="inlineStr">
        <is>
          <t>PROMIS Cognitive Function Abilities Short Form 8a</t>
        </is>
      </c>
      <c r="C767" t="inlineStr">
        <is>
          <t>1. Executive functioning and ADHD</t>
        </is>
      </c>
      <c r="D767" t="n">
        <v>2</v>
      </c>
      <c r="E767" t="inlineStr">
        <is>
          <t>In the past 7 days - My memory has been as good as usual</t>
        </is>
      </c>
      <c r="F767" t="inlineStr">
        <is>
          <t>Total</t>
        </is>
      </c>
      <c r="G767" t="inlineStr">
        <is>
          <t>FALSE</t>
        </is>
      </c>
      <c r="H767" t="inlineStr">
        <is>
          <t>FALSE</t>
        </is>
      </c>
      <c r="I767" t="inlineStr">
        <is>
          <t>Not at all = 1 | A little bit = 2 | Somewhat = 3 | Quite a bit = 4 | Very much = 5</t>
        </is>
      </c>
      <c r="J767" t="inlineStr">
        <is>
          <t>LOINC 81498-8</t>
        </is>
      </c>
      <c r="K767" t="inlineStr">
        <is>
          <t>https://cdn.loinc.org/81527-4/panel</t>
        </is>
      </c>
    </row>
    <row r="768">
      <c r="A768" t="inlineStr">
        <is>
          <t>PROMIS-COGA-8A</t>
        </is>
      </c>
      <c r="B768" t="inlineStr">
        <is>
          <t>PROMIS Cognitive Function Abilities Short Form 8a</t>
        </is>
      </c>
      <c r="C768" t="inlineStr">
        <is>
          <t>1. Executive functioning and ADHD</t>
        </is>
      </c>
      <c r="D768" t="n">
        <v>3</v>
      </c>
      <c r="E768" t="inlineStr">
        <is>
          <t>In the past 7 days - My thinking has been as fast as usual</t>
        </is>
      </c>
      <c r="F768" t="inlineStr">
        <is>
          <t>Total</t>
        </is>
      </c>
      <c r="G768" t="inlineStr">
        <is>
          <t>FALSE</t>
        </is>
      </c>
      <c r="H768" t="inlineStr">
        <is>
          <t>FALSE</t>
        </is>
      </c>
      <c r="I768" t="inlineStr">
        <is>
          <t>Not at all = 1 | A little bit = 2 | Somewhat = 3 | Quite a bit = 4 | Very much = 5</t>
        </is>
      </c>
      <c r="J768" t="inlineStr">
        <is>
          <t>LOINC 81499-6</t>
        </is>
      </c>
      <c r="K768" t="inlineStr">
        <is>
          <t>https://cdn.loinc.org/81527-4/panel</t>
        </is>
      </c>
    </row>
    <row r="769">
      <c r="A769" t="inlineStr">
        <is>
          <t>PROMIS-COGA-8A</t>
        </is>
      </c>
      <c r="B769" t="inlineStr">
        <is>
          <t>PROMIS Cognitive Function Abilities Short Form 8a</t>
        </is>
      </c>
      <c r="C769" t="inlineStr">
        <is>
          <t>1. Executive functioning and ADHD</t>
        </is>
      </c>
      <c r="D769" t="n">
        <v>4</v>
      </c>
      <c r="E769" t="inlineStr">
        <is>
          <t>In the past 7 days - I have been able to keep track of what I am doing, even if I am interrupted</t>
        </is>
      </c>
      <c r="F769" t="inlineStr">
        <is>
          <t>Total</t>
        </is>
      </c>
      <c r="G769" t="inlineStr">
        <is>
          <t>FALSE</t>
        </is>
      </c>
      <c r="H769" t="inlineStr">
        <is>
          <t>FALSE</t>
        </is>
      </c>
      <c r="I769" t="inlineStr">
        <is>
          <t>Not at all = 1 | A little bit = 2 | Somewhat = 3 | Quite a bit = 4 | Very much = 5</t>
        </is>
      </c>
      <c r="J769" t="inlineStr">
        <is>
          <t>LOINC 81501-9</t>
        </is>
      </c>
      <c r="K769" t="inlineStr">
        <is>
          <t>https://cdn.loinc.org/81527-4/panel</t>
        </is>
      </c>
    </row>
    <row r="770">
      <c r="A770" t="inlineStr">
        <is>
          <t>PROMIS-COGA-8A</t>
        </is>
      </c>
      <c r="B770" t="inlineStr">
        <is>
          <t>PROMIS Cognitive Function Abilities Short Form 8a</t>
        </is>
      </c>
      <c r="C770" t="inlineStr">
        <is>
          <t>1. Executive functioning and ADHD</t>
        </is>
      </c>
      <c r="D770" t="n">
        <v>5</v>
      </c>
      <c r="E770" t="inlineStr">
        <is>
          <t>In the past 7 days - I have been able to concentrate</t>
        </is>
      </c>
      <c r="F770" t="inlineStr">
        <is>
          <t>Total</t>
        </is>
      </c>
      <c r="G770" t="inlineStr">
        <is>
          <t>FALSE</t>
        </is>
      </c>
      <c r="H770" t="inlineStr">
        <is>
          <t>FALSE</t>
        </is>
      </c>
      <c r="I770" t="inlineStr">
        <is>
          <t>Not at all = 1 | A little bit = 2 | Somewhat = 3 | Quite a bit = 4 | Very much = 5</t>
        </is>
      </c>
      <c r="J770" t="inlineStr">
        <is>
          <t>LOINC 81502-7</t>
        </is>
      </c>
      <c r="K770" t="inlineStr">
        <is>
          <t>https://cdn.loinc.org/81527-4/panel</t>
        </is>
      </c>
    </row>
    <row r="771">
      <c r="A771" t="inlineStr">
        <is>
          <t>PROMIS-COGA-8A</t>
        </is>
      </c>
      <c r="B771" t="inlineStr">
        <is>
          <t>PROMIS Cognitive Function Abilities Short Form 8a</t>
        </is>
      </c>
      <c r="C771" t="inlineStr">
        <is>
          <t>1. Executive functioning and ADHD</t>
        </is>
      </c>
      <c r="D771" t="n">
        <v>6</v>
      </c>
      <c r="E771" t="inlineStr">
        <is>
          <t>In the past 7 days - I have been able to think as clearly as usual without extra effort</t>
        </is>
      </c>
      <c r="F771" t="inlineStr">
        <is>
          <t>Total</t>
        </is>
      </c>
      <c r="G771" t="inlineStr">
        <is>
          <t>FALSE</t>
        </is>
      </c>
      <c r="H771" t="inlineStr">
        <is>
          <t>FALSE</t>
        </is>
      </c>
      <c r="I771" t="inlineStr">
        <is>
          <t>Not at all = 1 | A little bit = 2 | Somewhat = 3 | Quite a bit = 4 | Very much = 5</t>
        </is>
      </c>
      <c r="J771" t="inlineStr">
        <is>
          <t>LOINC 81507-6</t>
        </is>
      </c>
      <c r="K771" t="inlineStr">
        <is>
          <t>https://cdn.loinc.org/81527-4/panel</t>
        </is>
      </c>
    </row>
    <row r="772">
      <c r="A772" t="inlineStr">
        <is>
          <t>PROMIS-COGA-8A</t>
        </is>
      </c>
      <c r="B772" t="inlineStr">
        <is>
          <t>PROMIS Cognitive Function Abilities Short Form 8a</t>
        </is>
      </c>
      <c r="C772" t="inlineStr">
        <is>
          <t>1. Executive functioning and ADHD</t>
        </is>
      </c>
      <c r="D772" t="n">
        <v>7</v>
      </c>
      <c r="E772" t="inlineStr">
        <is>
          <t>In the past 7 days - I have been able to pay attention and keep track of what I am doing without extra effort</t>
        </is>
      </c>
      <c r="F772" t="inlineStr">
        <is>
          <t>Total</t>
        </is>
      </c>
      <c r="G772" t="inlineStr">
        <is>
          <t>FALSE</t>
        </is>
      </c>
      <c r="H772" t="inlineStr">
        <is>
          <t>FALSE</t>
        </is>
      </c>
      <c r="I772" t="inlineStr">
        <is>
          <t>Not at all = 1 | A little bit = 2 | Somewhat = 3 | Quite a bit = 4 | Very much = 5</t>
        </is>
      </c>
      <c r="J772" t="inlineStr">
        <is>
          <t>LOINC 81495-4</t>
        </is>
      </c>
      <c r="K772" t="inlineStr">
        <is>
          <t>https://cdn.loinc.org/81527-4/panel</t>
        </is>
      </c>
    </row>
    <row r="773">
      <c r="A773" t="inlineStr">
        <is>
          <t>PROMIS-COGA-8A</t>
        </is>
      </c>
      <c r="B773" t="inlineStr">
        <is>
          <t>PROMIS Cognitive Function Abilities Short Form 8a</t>
        </is>
      </c>
      <c r="C773" t="inlineStr">
        <is>
          <t>1. Executive functioning and ADHD</t>
        </is>
      </c>
      <c r="D773" t="n">
        <v>8</v>
      </c>
      <c r="E773" t="inlineStr">
        <is>
          <t>In the past 7 days - I have been able to remember things as easily as usual without extra effort</t>
        </is>
      </c>
      <c r="F773" t="inlineStr">
        <is>
          <t>Total</t>
        </is>
      </c>
      <c r="G773" t="inlineStr">
        <is>
          <t>FALSE</t>
        </is>
      </c>
      <c r="H773" t="inlineStr">
        <is>
          <t>FALSE</t>
        </is>
      </c>
      <c r="I773" t="inlineStr">
        <is>
          <t>Not at all = 1 | A little bit = 2 | Somewhat = 3 | Quite a bit = 4 | Very much = 5</t>
        </is>
      </c>
      <c r="J773" t="inlineStr">
        <is>
          <t>LOINC 81508-4</t>
        </is>
      </c>
      <c r="K773" t="inlineStr">
        <is>
          <t>https://cdn.loinc.org/81527-4/panel</t>
        </is>
      </c>
    </row>
    <row r="774">
      <c r="A774" t="inlineStr">
        <is>
          <t>PROMIS-COGF-8A</t>
        </is>
      </c>
      <c r="B774" t="inlineStr">
        <is>
          <t>PROMIS Cognitive Function Short Form 8a</t>
        </is>
      </c>
      <c r="C774" t="inlineStr">
        <is>
          <t>1. Executive functioning and ADHD</t>
        </is>
      </c>
      <c r="D774" t="n">
        <v>1</v>
      </c>
      <c r="E774" t="inlineStr">
        <is>
          <t>My thinking has been slow</t>
        </is>
      </c>
      <c r="F774" t="inlineStr">
        <is>
          <t>Total</t>
        </is>
      </c>
      <c r="G774" t="inlineStr">
        <is>
          <t>FALSE</t>
        </is>
      </c>
      <c r="H774" t="inlineStr">
        <is>
          <t>FALSE</t>
        </is>
      </c>
      <c r="I774" t="inlineStr">
        <is>
          <t>Never = 5 | Rarely (once) = 4 | Sometimes (2-3 times) = 3 | Often (once a day) = 2 | Very often (Several times a day) = 1</t>
        </is>
      </c>
      <c r="J774" t="inlineStr">
        <is>
          <t>LOINC 81461-6</t>
        </is>
      </c>
      <c r="K774" t="inlineStr">
        <is>
          <t>https://loinc.org/81530-8/panel</t>
        </is>
      </c>
    </row>
    <row r="775">
      <c r="A775" t="inlineStr">
        <is>
          <t>PROMIS-COGF-8A</t>
        </is>
      </c>
      <c r="B775" t="inlineStr">
        <is>
          <t>PROMIS Cognitive Function Short Form 8a</t>
        </is>
      </c>
      <c r="C775" t="inlineStr">
        <is>
          <t>1. Executive functioning and ADHD</t>
        </is>
      </c>
      <c r="D775" t="n">
        <v>2</v>
      </c>
      <c r="E775" t="inlineStr">
        <is>
          <t>It has seemed like my brain was not working as well as usual</t>
        </is>
      </c>
      <c r="F775" t="inlineStr">
        <is>
          <t>Total</t>
        </is>
      </c>
      <c r="G775" t="inlineStr">
        <is>
          <t>FALSE</t>
        </is>
      </c>
      <c r="H775" t="inlineStr">
        <is>
          <t>FALSE</t>
        </is>
      </c>
      <c r="I775" t="inlineStr">
        <is>
          <t>Never = 5 | Rarely (once) = 4 | Sometimes (2-3 times) = 3 | Often (once a day) = 2 | Very often (Several times a day) = 1</t>
        </is>
      </c>
      <c r="J775" t="inlineStr">
        <is>
          <t>LOINC 81478-0</t>
        </is>
      </c>
      <c r="K775" t="inlineStr">
        <is>
          <t>https://loinc.org/81530-8/panel</t>
        </is>
      </c>
    </row>
    <row r="776">
      <c r="A776" t="inlineStr">
        <is>
          <t>PROMIS-COGF-8A</t>
        </is>
      </c>
      <c r="B776" t="inlineStr">
        <is>
          <t>PROMIS Cognitive Function Short Form 8a</t>
        </is>
      </c>
      <c r="C776" t="inlineStr">
        <is>
          <t>1. Executive functioning and ADHD</t>
        </is>
      </c>
      <c r="D776" t="n">
        <v>3</v>
      </c>
      <c r="E776" t="inlineStr">
        <is>
          <t>I have had to work harder than usual to keep track of what I was doing</t>
        </is>
      </c>
      <c r="F776" t="inlineStr">
        <is>
          <t>Total</t>
        </is>
      </c>
      <c r="G776" t="inlineStr">
        <is>
          <t>FALSE</t>
        </is>
      </c>
      <c r="H776" t="inlineStr">
        <is>
          <t>FALSE</t>
        </is>
      </c>
      <c r="I776" t="inlineStr">
        <is>
          <t>Never = 5 | Rarely (once) = 4 | Sometimes (2-3 times) = 3 | Often (once a day) = 2 | Very often (Several times a day) = 1</t>
        </is>
      </c>
      <c r="J776" t="inlineStr">
        <is>
          <t>LOINC 81479-8</t>
        </is>
      </c>
      <c r="K776" t="inlineStr">
        <is>
          <t>https://loinc.org/81530-8/panel</t>
        </is>
      </c>
    </row>
    <row r="777">
      <c r="A777" t="inlineStr">
        <is>
          <t>PROMIS-COGF-8A</t>
        </is>
      </c>
      <c r="B777" t="inlineStr">
        <is>
          <t>PROMIS Cognitive Function Short Form 8a</t>
        </is>
      </c>
      <c r="C777" t="inlineStr">
        <is>
          <t>1. Executive functioning and ADHD</t>
        </is>
      </c>
      <c r="D777" t="n">
        <v>4</v>
      </c>
      <c r="E777" t="inlineStr">
        <is>
          <t>I have had trouble shifting back and forth between different activities that require thinking</t>
        </is>
      </c>
      <c r="F777" t="inlineStr">
        <is>
          <t>Total</t>
        </is>
      </c>
      <c r="G777" t="inlineStr">
        <is>
          <t>FALSE</t>
        </is>
      </c>
      <c r="H777" t="inlineStr">
        <is>
          <t>FALSE</t>
        </is>
      </c>
      <c r="I777" t="inlineStr">
        <is>
          <t>Never = 5 | Rarely (once) = 4 | Sometimes (2-3 times) = 3 | Often (once a day) = 2 | Very often (Several times a day) = 1</t>
        </is>
      </c>
      <c r="J777" t="inlineStr">
        <is>
          <t>LOINC 81485-5</t>
        </is>
      </c>
      <c r="K777" t="inlineStr">
        <is>
          <t>https://loinc.org/81530-8/panel</t>
        </is>
      </c>
    </row>
    <row r="778">
      <c r="A778" t="inlineStr">
        <is>
          <t>PROMIS-COGF-8A</t>
        </is>
      </c>
      <c r="B778" t="inlineStr">
        <is>
          <t>PROMIS Cognitive Function Short Form 8a</t>
        </is>
      </c>
      <c r="C778" t="inlineStr">
        <is>
          <t>1. Executive functioning and ADHD</t>
        </is>
      </c>
      <c r="D778" t="n">
        <v>5</v>
      </c>
      <c r="E778" t="inlineStr">
        <is>
          <t>I have had trouble concentrating</t>
        </is>
      </c>
      <c r="F778" t="inlineStr">
        <is>
          <t>Total</t>
        </is>
      </c>
      <c r="G778" t="inlineStr">
        <is>
          <t>FALSE</t>
        </is>
      </c>
      <c r="H778" t="inlineStr">
        <is>
          <t>FALSE</t>
        </is>
      </c>
      <c r="I778" t="inlineStr">
        <is>
          <t>Never = 5 | Rarely (once) = 4 | Sometimes (2-3 times) = 3 | Often (once a day) = 2 | Very often (Several times a day) = 1</t>
        </is>
      </c>
      <c r="J778" t="inlineStr">
        <is>
          <t>LOINC 81465-7</t>
        </is>
      </c>
      <c r="K778" t="inlineStr">
        <is>
          <t>https://loinc.org/81530-8/panel</t>
        </is>
      </c>
    </row>
    <row r="779">
      <c r="A779" t="inlineStr">
        <is>
          <t>PROMIS-COGF-8A</t>
        </is>
      </c>
      <c r="B779" t="inlineStr">
        <is>
          <t>PROMIS Cognitive Function Short Form 8a</t>
        </is>
      </c>
      <c r="C779" t="inlineStr">
        <is>
          <t>1. Executive functioning and ADHD</t>
        </is>
      </c>
      <c r="D779" t="n">
        <v>6</v>
      </c>
      <c r="E779" t="inlineStr">
        <is>
          <t>I have had to work really hard to pay attention or I would make a mistake</t>
        </is>
      </c>
      <c r="F779" t="inlineStr">
        <is>
          <t>Total</t>
        </is>
      </c>
      <c r="G779" t="inlineStr">
        <is>
          <t>FALSE</t>
        </is>
      </c>
      <c r="H779" t="inlineStr">
        <is>
          <t>FALSE</t>
        </is>
      </c>
      <c r="I779" t="inlineStr">
        <is>
          <t>Never = 5 | Rarely (once) = 4 | Sometimes (2-3 times) = 3 | Often (once a day) = 2 | Very often (Several times a day) = 1</t>
        </is>
      </c>
      <c r="J779" t="inlineStr">
        <is>
          <t>LOINC 81474-9</t>
        </is>
      </c>
      <c r="K779" t="inlineStr">
        <is>
          <t>https://loinc.org/81530-8/panel</t>
        </is>
      </c>
    </row>
    <row r="780">
      <c r="A780" t="inlineStr">
        <is>
          <t>PROMIS-COGF-8A</t>
        </is>
      </c>
      <c r="B780" t="inlineStr">
        <is>
          <t>PROMIS Cognitive Function Short Form 8a</t>
        </is>
      </c>
      <c r="C780" t="inlineStr">
        <is>
          <t>1. Executive functioning and ADHD</t>
        </is>
      </c>
      <c r="D780" t="n">
        <v>7</v>
      </c>
      <c r="E780" t="inlineStr">
        <is>
          <t>I have had trouble forming thoughts</t>
        </is>
      </c>
      <c r="F780" t="inlineStr">
        <is>
          <t>Total</t>
        </is>
      </c>
      <c r="G780" t="inlineStr">
        <is>
          <t>FALSE</t>
        </is>
      </c>
      <c r="H780" t="inlineStr">
        <is>
          <t>FALSE</t>
        </is>
      </c>
      <c r="I780" t="inlineStr">
        <is>
          <t>Never = 5 | Rarely (once) = 4 | Sometimes (2-3 times) = 3 | Often (once a day) = 2 | Very often (Several times a day) = 1</t>
        </is>
      </c>
      <c r="J780" t="inlineStr">
        <is>
          <t>LOINC 81460-8</t>
        </is>
      </c>
      <c r="K780" t="inlineStr">
        <is>
          <t>https://loinc.org/81530-8/panel</t>
        </is>
      </c>
    </row>
    <row r="781">
      <c r="A781" t="inlineStr">
        <is>
          <t>PROMIS-COGF-8A</t>
        </is>
      </c>
      <c r="B781" t="inlineStr">
        <is>
          <t>PROMIS Cognitive Function Short Form 8a</t>
        </is>
      </c>
      <c r="C781" t="inlineStr">
        <is>
          <t>1. Executive functioning and ADHD</t>
        </is>
      </c>
      <c r="D781" t="n">
        <v>8</v>
      </c>
      <c r="E781" t="inlineStr">
        <is>
          <t>I have had trouble adding or subtracting numbers in my head</t>
        </is>
      </c>
      <c r="F781" t="inlineStr">
        <is>
          <t>Total</t>
        </is>
      </c>
      <c r="G781" t="inlineStr">
        <is>
          <t>FALSE</t>
        </is>
      </c>
      <c r="H781" t="inlineStr">
        <is>
          <t>FALSE</t>
        </is>
      </c>
      <c r="I781" t="inlineStr">
        <is>
          <t>Never = 5 | Rarely (once) = 4 | Sometimes (2-3 times) = 3 | Often (once a day) = 2 | Very often (Several times a day) = 1</t>
        </is>
      </c>
      <c r="J781" t="inlineStr">
        <is>
          <t>LOINC 81463-2</t>
        </is>
      </c>
      <c r="K781" t="inlineStr">
        <is>
          <t>https://loinc.org/81530-8/panel</t>
        </is>
      </c>
    </row>
    <row r="782">
      <c r="A782" t="inlineStr">
        <is>
          <t>PROMIS-FAT-8A</t>
        </is>
      </c>
      <c r="B782" t="inlineStr">
        <is>
          <t>PROMIS Fatigue Short Form 8a</t>
        </is>
      </c>
      <c r="C782" t="inlineStr">
        <is>
          <t>8. Functioning and health</t>
        </is>
      </c>
      <c r="D782" t="n">
        <v>1</v>
      </c>
      <c r="E782" t="inlineStr">
        <is>
          <t>I feel fatigued.</t>
        </is>
      </c>
      <c r="F782" t="inlineStr">
        <is>
          <t>Total</t>
        </is>
      </c>
      <c r="G782" t="inlineStr">
        <is>
          <t>FALSE</t>
        </is>
      </c>
      <c r="H782" t="inlineStr">
        <is>
          <t>FALSE</t>
        </is>
      </c>
      <c r="I782" t="inlineStr">
        <is>
          <t>Not at all = 1 | A little bit = 2 | Somewhat = 3 | Quite a bit = 4 | Very much = 5</t>
        </is>
      </c>
      <c r="J782" t="inlineStr">
        <is>
          <t>Item code HI7; response set Not at all to Very much (1-5)</t>
        </is>
      </c>
      <c r="K782" t="inlineStr">
        <is>
          <t>https://psytests.org/diag/promF8en-bl.html (English item text) and https://heal.nih.gov/files/CDEs/2023-07/promis-fatigue-8a-crf.pdf (item codes, response values, copyright; Spanish Universal version)</t>
        </is>
      </c>
    </row>
    <row r="783">
      <c r="A783" t="inlineStr">
        <is>
          <t>PROMIS-FAT-8A</t>
        </is>
      </c>
      <c r="B783" t="inlineStr">
        <is>
          <t>PROMIS Fatigue Short Form 8a</t>
        </is>
      </c>
      <c r="C783" t="inlineStr">
        <is>
          <t>8. Functioning and health</t>
        </is>
      </c>
      <c r="D783" t="n">
        <v>2</v>
      </c>
      <c r="E783" t="inlineStr">
        <is>
          <t>I have trouble starting things because I am tired.</t>
        </is>
      </c>
      <c r="F783" t="inlineStr">
        <is>
          <t>Total</t>
        </is>
      </c>
      <c r="G783" t="inlineStr">
        <is>
          <t>FALSE</t>
        </is>
      </c>
      <c r="H783" t="inlineStr">
        <is>
          <t>FALSE</t>
        </is>
      </c>
      <c r="I783" t="inlineStr">
        <is>
          <t>Not at all = 1 | A little bit = 2 | Somewhat = 3 | Quite a bit = 4 | Very much = 5</t>
        </is>
      </c>
      <c r="J783" t="inlineStr">
        <is>
          <t>Item code AN3; response set Not at all to Very much (1-5)</t>
        </is>
      </c>
      <c r="K783" t="inlineStr">
        <is>
          <t>https://psytests.org/diag/promF8en-bl.html (English item text) and https://heal.nih.gov/files/CDEs/2023-07/promis-fatigue-8a-crf.pdf (item codes, response values, copyright; Spanish Universal version)</t>
        </is>
      </c>
    </row>
    <row r="784">
      <c r="A784" t="inlineStr">
        <is>
          <t>PROMIS-FAT-8A</t>
        </is>
      </c>
      <c r="B784" t="inlineStr">
        <is>
          <t>PROMIS Fatigue Short Form 8a</t>
        </is>
      </c>
      <c r="C784" t="inlineStr">
        <is>
          <t>8. Functioning and health</t>
        </is>
      </c>
      <c r="D784" t="n">
        <v>3</v>
      </c>
      <c r="E784" t="inlineStr">
        <is>
          <t>How run-down did you feel on average?</t>
        </is>
      </c>
      <c r="F784" t="inlineStr">
        <is>
          <t>Total</t>
        </is>
      </c>
      <c r="G784" t="inlineStr">
        <is>
          <t>FALSE</t>
        </is>
      </c>
      <c r="H784" t="inlineStr">
        <is>
          <t>FALSE</t>
        </is>
      </c>
      <c r="I784" t="inlineStr">
        <is>
          <t>Not at all = 1 | A little bit = 2 | Somewhat = 3 | Quite a bit = 4 | Very much = 5</t>
        </is>
      </c>
      <c r="J784" t="inlineStr">
        <is>
          <t>Item code FATEXP41; response set Not at all to Very much (1-5)</t>
        </is>
      </c>
      <c r="K784" t="inlineStr">
        <is>
          <t>https://psytests.org/diag/promF8en-bl.html (English item text) and https://heal.nih.gov/files/CDEs/2023-07/promis-fatigue-8a-crf.pdf (item codes, response values, copyright; Spanish Universal version)</t>
        </is>
      </c>
    </row>
    <row r="785">
      <c r="A785" t="inlineStr">
        <is>
          <t>PROMIS-FAT-8A</t>
        </is>
      </c>
      <c r="B785" t="inlineStr">
        <is>
          <t>PROMIS Fatigue Short Form 8a</t>
        </is>
      </c>
      <c r="C785" t="inlineStr">
        <is>
          <t>8. Functioning and health</t>
        </is>
      </c>
      <c r="D785" t="n">
        <v>4</v>
      </c>
      <c r="E785" t="inlineStr">
        <is>
          <t>How fatigued were you on average?</t>
        </is>
      </c>
      <c r="F785" t="inlineStr">
        <is>
          <t>Total</t>
        </is>
      </c>
      <c r="G785" t="inlineStr">
        <is>
          <t>FALSE</t>
        </is>
      </c>
      <c r="H785" t="inlineStr">
        <is>
          <t>FALSE</t>
        </is>
      </c>
      <c r="I785" t="inlineStr">
        <is>
          <t>Not at all = 1 | A little bit = 2 | Somewhat = 3 | Quite a bit = 4 | Very much = 5</t>
        </is>
      </c>
      <c r="J785" t="inlineStr">
        <is>
          <t>Item code FATEXP40; response set Not at all to Very much (1-5)</t>
        </is>
      </c>
      <c r="K785" t="inlineStr">
        <is>
          <t>https://psytests.org/diag/promF8en-bl.html (English item text) and https://heal.nih.gov/files/CDEs/2023-07/promis-fatigue-8a-crf.pdf (item codes, response values, copyright; Spanish Universal version)</t>
        </is>
      </c>
    </row>
    <row r="786">
      <c r="A786" t="inlineStr">
        <is>
          <t>PROMIS-FAT-8A</t>
        </is>
      </c>
      <c r="B786" t="inlineStr">
        <is>
          <t>PROMIS Fatigue Short Form 8a</t>
        </is>
      </c>
      <c r="C786" t="inlineStr">
        <is>
          <t>8. Functioning and health</t>
        </is>
      </c>
      <c r="D786" t="n">
        <v>5</v>
      </c>
      <c r="E786" t="inlineStr">
        <is>
          <t>How much were you bothered by your fatigue on average?</t>
        </is>
      </c>
      <c r="F786" t="inlineStr">
        <is>
          <t>Total</t>
        </is>
      </c>
      <c r="G786" t="inlineStr">
        <is>
          <t>FALSE</t>
        </is>
      </c>
      <c r="H786" t="inlineStr">
        <is>
          <t>FALSE</t>
        </is>
      </c>
      <c r="I786" t="inlineStr">
        <is>
          <t>Not at all = 1 | A little bit = 2 | Somewhat = 3 | Quite a bit = 4 | Very much = 5</t>
        </is>
      </c>
      <c r="J786" t="inlineStr">
        <is>
          <t>Item code FATEXP35; response set Not at all to Very much (1-5)</t>
        </is>
      </c>
      <c r="K786" t="inlineStr">
        <is>
          <t>https://psytests.org/diag/promF8en-bl.html (English item text) and https://heal.nih.gov/files/CDEs/2023-07/promis-fatigue-8a-crf.pdf (item codes, response values, copyright; Spanish Universal version)</t>
        </is>
      </c>
    </row>
    <row r="787">
      <c r="A787" t="inlineStr">
        <is>
          <t>PROMIS-FAT-8A</t>
        </is>
      </c>
      <c r="B787" t="inlineStr">
        <is>
          <t>PROMIS Fatigue Short Form 8a</t>
        </is>
      </c>
      <c r="C787" t="inlineStr">
        <is>
          <t>8. Functioning and health</t>
        </is>
      </c>
      <c r="D787" t="n">
        <v>6</v>
      </c>
      <c r="E787" t="inlineStr">
        <is>
          <t>To what degree did your fatigue interfere with your physical functioning?</t>
        </is>
      </c>
      <c r="F787" t="inlineStr">
        <is>
          <t>Total</t>
        </is>
      </c>
      <c r="G787" t="inlineStr">
        <is>
          <t>FALSE</t>
        </is>
      </c>
      <c r="H787" t="inlineStr">
        <is>
          <t>FALSE</t>
        </is>
      </c>
      <c r="I787" t="inlineStr">
        <is>
          <t>Not at all = 1 | A little bit = 2 | Somewhat = 3 | Quite a bit = 4 | Very much = 5</t>
        </is>
      </c>
      <c r="J787" t="inlineStr">
        <is>
          <t>Item code FATIMP49; response set Not at all to Very much (1-5)</t>
        </is>
      </c>
      <c r="K787" t="inlineStr">
        <is>
          <t>https://psytests.org/diag/promF8en-bl.html (English item text) and https://heal.nih.gov/files/CDEs/2023-07/promis-fatigue-8a-crf.pdf (item codes, response values, copyright; Spanish Universal version)</t>
        </is>
      </c>
    </row>
    <row r="788">
      <c r="A788" t="inlineStr">
        <is>
          <t>PROMIS-FAT-8A</t>
        </is>
      </c>
      <c r="B788" t="inlineStr">
        <is>
          <t>PROMIS Fatigue Short Form 8a</t>
        </is>
      </c>
      <c r="C788" t="inlineStr">
        <is>
          <t>8. Functioning and health</t>
        </is>
      </c>
      <c r="D788" t="n">
        <v>7</v>
      </c>
      <c r="E788" t="inlineStr">
        <is>
          <t>How often did you have to push yourself to get things done because of your fatigue?</t>
        </is>
      </c>
      <c r="F788" t="inlineStr">
        <is>
          <t>Total</t>
        </is>
      </c>
      <c r="G788" t="inlineStr">
        <is>
          <t>FALSE</t>
        </is>
      </c>
      <c r="H788" t="inlineStr">
        <is>
          <t>FALSE</t>
        </is>
      </c>
      <c r="I788" t="inlineStr">
        <is>
          <t>Not at all = 1 | A little bit = 2 | Somewhat = 3 | Quite a bit = 4 | Very much = 5</t>
        </is>
      </c>
      <c r="J788" t="inlineStr">
        <is>
          <t>Item code FATIMP3; response set Never, Rarely, Sometimes, Often, Always (1-5); stem "In the past 7 days..."</t>
        </is>
      </c>
      <c r="K788" t="inlineStr">
        <is>
          <t>https://psytests.org/diag/promF8en-bl.html (English item text) and https://heal.nih.gov/files/CDEs/2023-07/promis-fatigue-8a-crf.pdf (item codes, response values, copyright; Spanish Universal version)</t>
        </is>
      </c>
    </row>
    <row r="789">
      <c r="A789" t="inlineStr">
        <is>
          <t>PROMIS-FAT-8A</t>
        </is>
      </c>
      <c r="B789" t="inlineStr">
        <is>
          <t>PROMIS Fatigue Short Form 8a</t>
        </is>
      </c>
      <c r="C789" t="inlineStr">
        <is>
          <t>8. Functioning and health</t>
        </is>
      </c>
      <c r="D789" t="n">
        <v>8</v>
      </c>
      <c r="E789" t="inlineStr">
        <is>
          <t>How often did you have trouble finishing things because of your fatigue?</t>
        </is>
      </c>
      <c r="F789" t="inlineStr">
        <is>
          <t>Total</t>
        </is>
      </c>
      <c r="G789" t="inlineStr">
        <is>
          <t>FALSE</t>
        </is>
      </c>
      <c r="H789" t="inlineStr">
        <is>
          <t>FALSE</t>
        </is>
      </c>
      <c r="I789" t="inlineStr">
        <is>
          <t>Not at all = 1 | A little bit = 2 | Somewhat = 3 | Quite a bit = 4 | Very much = 5</t>
        </is>
      </c>
      <c r="J789" t="inlineStr">
        <is>
          <t>Item code FATIMP16; response set Never, Rarely, Sometimes, Often, Always (1-5); stem "In the past 7 days..."</t>
        </is>
      </c>
      <c r="K789" t="inlineStr">
        <is>
          <t>https://psytests.org/diag/promF8en-bl.html (English item text) and https://heal.nih.gov/files/CDEs/2023-07/promis-fatigue-8a-crf.pdf (item codes, response values, copyright; Spanish Universal version)</t>
        </is>
      </c>
    </row>
    <row r="790">
      <c r="A790" t="inlineStr">
        <is>
          <t>PROMIS-GSE-4A</t>
        </is>
      </c>
      <c r="B790" t="inlineStr">
        <is>
          <t>PROMIS General Self-Efficacy Short Form 4a</t>
        </is>
      </c>
      <c r="C790" t="inlineStr">
        <is>
          <t>3. Adjacent occupational and wellbeing</t>
        </is>
      </c>
      <c r="D790" t="n">
        <v>1</v>
      </c>
      <c r="E790" t="inlineStr">
        <is>
          <t>I can manage to solve difficult problems if I try hard enough.</t>
        </is>
      </c>
      <c r="F790" t="inlineStr">
        <is>
          <t>Total</t>
        </is>
      </c>
      <c r="G790" t="inlineStr">
        <is>
          <t>FALSE</t>
        </is>
      </c>
      <c r="H790" t="inlineStr">
        <is>
          <t>FALSE</t>
        </is>
      </c>
      <c r="I790" t="inlineStr">
        <is>
          <t>I am not at all confident = 1 | I am a little confident = 2 | I am somewhat confident = 3 | I am quite confident = 4 | I am very confident = 5</t>
        </is>
      </c>
      <c r="K790" t="inlineStr">
        <is>
          <t>https://cdn.clinicaltrials.gov/large-docs/37/NCT04059237/Prot_SAP_001.pdf</t>
        </is>
      </c>
    </row>
    <row r="791">
      <c r="A791" t="inlineStr">
        <is>
          <t>PROMIS-GSE-4A</t>
        </is>
      </c>
      <c r="B791" t="inlineStr">
        <is>
          <t>PROMIS General Self-Efficacy Short Form 4a</t>
        </is>
      </c>
      <c r="C791" t="inlineStr">
        <is>
          <t>3. Adjacent occupational and wellbeing</t>
        </is>
      </c>
      <c r="D791" t="n">
        <v>2</v>
      </c>
      <c r="E791" t="inlineStr">
        <is>
          <t>I am confident that I could deal efficiently with unexpected events.</t>
        </is>
      </c>
      <c r="F791" t="inlineStr">
        <is>
          <t>Total</t>
        </is>
      </c>
      <c r="G791" t="inlineStr">
        <is>
          <t>FALSE</t>
        </is>
      </c>
      <c r="H791" t="inlineStr">
        <is>
          <t>FALSE</t>
        </is>
      </c>
      <c r="I791" t="inlineStr">
        <is>
          <t>I am not at all confident = 1 | I am a little confident = 2 | I am somewhat confident = 3 | I am quite confident = 4 | I am very confident = 5</t>
        </is>
      </c>
      <c r="K791" t="inlineStr">
        <is>
          <t>https://cdn.clinicaltrials.gov/large-docs/37/NCT04059237/Prot_SAP_001.pdf</t>
        </is>
      </c>
    </row>
    <row r="792">
      <c r="A792" t="inlineStr">
        <is>
          <t>PROMIS-GSE-4A</t>
        </is>
      </c>
      <c r="B792" t="inlineStr">
        <is>
          <t>PROMIS General Self-Efficacy Short Form 4a</t>
        </is>
      </c>
      <c r="C792" t="inlineStr">
        <is>
          <t>3. Adjacent occupational and wellbeing</t>
        </is>
      </c>
      <c r="D792" t="n">
        <v>3</v>
      </c>
      <c r="E792" t="inlineStr">
        <is>
          <t>If I am in trouble, I can think of a solution.</t>
        </is>
      </c>
      <c r="F792" t="inlineStr">
        <is>
          <t>Total</t>
        </is>
      </c>
      <c r="G792" t="inlineStr">
        <is>
          <t>FALSE</t>
        </is>
      </c>
      <c r="H792" t="inlineStr">
        <is>
          <t>FALSE</t>
        </is>
      </c>
      <c r="I792" t="inlineStr">
        <is>
          <t>I am not at all confident = 1 | I am a little confident = 2 | I am somewhat confident = 3 | I am quite confident = 4 | I am very confident = 5</t>
        </is>
      </c>
      <c r="K792" t="inlineStr">
        <is>
          <t>https://cdn.clinicaltrials.gov/large-docs/37/NCT04059237/Prot_SAP_001.pdf</t>
        </is>
      </c>
    </row>
    <row r="793">
      <c r="A793" t="inlineStr">
        <is>
          <t>PROMIS-GSE-4A</t>
        </is>
      </c>
      <c r="B793" t="inlineStr">
        <is>
          <t>PROMIS General Self-Efficacy Short Form 4a</t>
        </is>
      </c>
      <c r="C793" t="inlineStr">
        <is>
          <t>3. Adjacent occupational and wellbeing</t>
        </is>
      </c>
      <c r="D793" t="n">
        <v>4</v>
      </c>
      <c r="E793" t="inlineStr">
        <is>
          <t>I can handle whatever comes my way.</t>
        </is>
      </c>
      <c r="F793" t="inlineStr">
        <is>
          <t>Total</t>
        </is>
      </c>
      <c r="G793" t="inlineStr">
        <is>
          <t>FALSE</t>
        </is>
      </c>
      <c r="H793" t="inlineStr">
        <is>
          <t>FALSE</t>
        </is>
      </c>
      <c r="I793" t="inlineStr">
        <is>
          <t>I am not at all confident = 1 | I am a little confident = 2 | I am somewhat confident = 3 | I am quite confident = 4 | I am very confident = 5</t>
        </is>
      </c>
      <c r="K793" t="inlineStr">
        <is>
          <t>https://cdn.clinicaltrials.gov/large-docs/37/NCT04059237/Prot_SAP_001.pdf</t>
        </is>
      </c>
    </row>
    <row r="794">
      <c r="A794" t="inlineStr">
        <is>
          <t>PROMIS-MP-8A</t>
        </is>
      </c>
      <c r="B794" t="inlineStr">
        <is>
          <t>PROMIS Meaning and Purpose Short Form 8a</t>
        </is>
      </c>
      <c r="C794" t="inlineStr">
        <is>
          <t>7. Wellbeing and life satisfaction</t>
        </is>
      </c>
      <c r="D794" t="n">
        <v>1</v>
      </c>
      <c r="E794" t="inlineStr">
        <is>
          <t>My life has meaning.</t>
        </is>
      </c>
      <c r="F794" t="inlineStr">
        <is>
          <t>Total</t>
        </is>
      </c>
      <c r="G794" t="inlineStr">
        <is>
          <t>FALSE</t>
        </is>
      </c>
      <c r="H794" t="inlineStr">
        <is>
          <t>FALSE</t>
        </is>
      </c>
      <c r="I794" t="inlineStr">
        <is>
          <t>Strongly disagree = 1 | 2 = 2 | 3 = 3 | 4 = 4 | Strongly agree = 5</t>
        </is>
      </c>
      <c r="K794" t="inlineStr">
        <is>
          <t>https://pmc.ncbi.nlm.nih.gov/articles/PMC7367748 (Salsman et al., 2020, Table 3, 8 item short form column)</t>
        </is>
      </c>
    </row>
    <row r="795">
      <c r="A795" t="inlineStr">
        <is>
          <t>PROMIS-MP-8A</t>
        </is>
      </c>
      <c r="B795" t="inlineStr">
        <is>
          <t>PROMIS Meaning and Purpose Short Form 8a</t>
        </is>
      </c>
      <c r="C795" t="inlineStr">
        <is>
          <t>7. Wellbeing and life satisfaction</t>
        </is>
      </c>
      <c r="D795" t="n">
        <v>2</v>
      </c>
      <c r="E795" t="inlineStr">
        <is>
          <t>I have a clear sense of direction in life.</t>
        </is>
      </c>
      <c r="F795" t="inlineStr">
        <is>
          <t>Total</t>
        </is>
      </c>
      <c r="G795" t="inlineStr">
        <is>
          <t>FALSE</t>
        </is>
      </c>
      <c r="H795" t="inlineStr">
        <is>
          <t>FALSE</t>
        </is>
      </c>
      <c r="I795" t="inlineStr">
        <is>
          <t>Strongly disagree = 1 | 2 = 2 | 3 = 3 | 4 = 4 | Strongly agree = 5</t>
        </is>
      </c>
      <c r="K795" t="inlineStr">
        <is>
          <t>https://pmc.ncbi.nlm.nih.gov/articles/PMC7367748 (Salsman et al., 2020, Table 3, 8 item short form column)</t>
        </is>
      </c>
    </row>
    <row r="796">
      <c r="A796" t="inlineStr">
        <is>
          <t>PROMIS-MP-8A</t>
        </is>
      </c>
      <c r="B796" t="inlineStr">
        <is>
          <t>PROMIS Meaning and Purpose Short Form 8a</t>
        </is>
      </c>
      <c r="C796" t="inlineStr">
        <is>
          <t>7. Wellbeing and life satisfaction</t>
        </is>
      </c>
      <c r="D796" t="n">
        <v>3</v>
      </c>
      <c r="E796" t="inlineStr">
        <is>
          <t>I experience deep fulfillment in my life.</t>
        </is>
      </c>
      <c r="F796" t="inlineStr">
        <is>
          <t>Total</t>
        </is>
      </c>
      <c r="G796" t="inlineStr">
        <is>
          <t>FALSE</t>
        </is>
      </c>
      <c r="H796" t="inlineStr">
        <is>
          <t>FALSE</t>
        </is>
      </c>
      <c r="I796" t="inlineStr">
        <is>
          <t>Strongly disagree = 1 | 2 = 2 | 3 = 3 | 4 = 4 | Strongly agree = 5</t>
        </is>
      </c>
      <c r="K796" t="inlineStr">
        <is>
          <t>https://pmc.ncbi.nlm.nih.gov/articles/PMC7367748 (Salsman et al., 2020, Table 3, 8 item short form column)</t>
        </is>
      </c>
    </row>
    <row r="797">
      <c r="A797" t="inlineStr">
        <is>
          <t>PROMIS-MP-8A</t>
        </is>
      </c>
      <c r="B797" t="inlineStr">
        <is>
          <t>PROMIS Meaning and Purpose Short Form 8a</t>
        </is>
      </c>
      <c r="C797" t="inlineStr">
        <is>
          <t>7. Wellbeing and life satisfaction</t>
        </is>
      </c>
      <c r="D797" t="n">
        <v>4</v>
      </c>
      <c r="E797" t="inlineStr">
        <is>
          <t>My life has purpose.</t>
        </is>
      </c>
      <c r="F797" t="inlineStr">
        <is>
          <t>Total</t>
        </is>
      </c>
      <c r="G797" t="inlineStr">
        <is>
          <t>FALSE</t>
        </is>
      </c>
      <c r="H797" t="inlineStr">
        <is>
          <t>FALSE</t>
        </is>
      </c>
      <c r="I797" t="inlineStr">
        <is>
          <t>Strongly disagree = 1 | 2 = 2 | 3 = 3 | 4 = 4 | Strongly agree = 5</t>
        </is>
      </c>
      <c r="K797" t="inlineStr">
        <is>
          <t>https://pmc.ncbi.nlm.nih.gov/articles/PMC7367748 (Salsman et al., 2020, Table 3, 8 item short form column)</t>
        </is>
      </c>
    </row>
    <row r="798">
      <c r="A798" t="inlineStr">
        <is>
          <t>PROMIS-MP-8A</t>
        </is>
      </c>
      <c r="B798" t="inlineStr">
        <is>
          <t>PROMIS Meaning and Purpose Short Form 8a</t>
        </is>
      </c>
      <c r="C798" t="inlineStr">
        <is>
          <t>7. Wellbeing and life satisfaction</t>
        </is>
      </c>
      <c r="D798" t="n">
        <v>5</v>
      </c>
      <c r="E798" t="inlineStr">
        <is>
          <t>I have a good sense of what makes my life meaningful.</t>
        </is>
      </c>
      <c r="F798" t="inlineStr">
        <is>
          <t>Total</t>
        </is>
      </c>
      <c r="G798" t="inlineStr">
        <is>
          <t>FALSE</t>
        </is>
      </c>
      <c r="H798" t="inlineStr">
        <is>
          <t>FALSE</t>
        </is>
      </c>
      <c r="I798" t="inlineStr">
        <is>
          <t>Strongly disagree = 1 | 2 = 2 | 3 = 3 | 4 = 4 | Strongly agree = 5</t>
        </is>
      </c>
      <c r="K798" t="inlineStr">
        <is>
          <t>https://pmc.ncbi.nlm.nih.gov/articles/PMC7367748 (Salsman et al., 2020, Table 3, 8 item short form column)</t>
        </is>
      </c>
    </row>
    <row r="799">
      <c r="A799" t="inlineStr">
        <is>
          <t>PROMIS-MP-8A</t>
        </is>
      </c>
      <c r="B799" t="inlineStr">
        <is>
          <t>PROMIS Meaning and Purpose Short Form 8a</t>
        </is>
      </c>
      <c r="C799" t="inlineStr">
        <is>
          <t>7. Wellbeing and life satisfaction</t>
        </is>
      </c>
      <c r="D799" t="n">
        <v>6</v>
      </c>
      <c r="E799" t="inlineStr">
        <is>
          <t>I have very clear goals and aims for my life.</t>
        </is>
      </c>
      <c r="F799" t="inlineStr">
        <is>
          <t>Total</t>
        </is>
      </c>
      <c r="G799" t="inlineStr">
        <is>
          <t>FALSE</t>
        </is>
      </c>
      <c r="H799" t="inlineStr">
        <is>
          <t>FALSE</t>
        </is>
      </c>
      <c r="I799" t="inlineStr">
        <is>
          <t>Strongly disagree = 1 | 2 = 2 | 3 = 3 | 4 = 4 | Strongly agree = 5</t>
        </is>
      </c>
      <c r="K799" t="inlineStr">
        <is>
          <t>https://pmc.ncbi.nlm.nih.gov/articles/PMC7367748 (Salsman et al., 2020, Table 3, 8 item short form column)</t>
        </is>
      </c>
    </row>
    <row r="800">
      <c r="A800" t="inlineStr">
        <is>
          <t>PROMIS-MP-8A</t>
        </is>
      </c>
      <c r="B800" t="inlineStr">
        <is>
          <t>PROMIS Meaning and Purpose Short Form 8a</t>
        </is>
      </c>
      <c r="C800" t="inlineStr">
        <is>
          <t>7. Wellbeing and life satisfaction</t>
        </is>
      </c>
      <c r="D800" t="n">
        <v>7</v>
      </c>
      <c r="E800" t="inlineStr">
        <is>
          <t>I generally feel that what I do in my life is valuable and worthwhile.</t>
        </is>
      </c>
      <c r="F800" t="inlineStr">
        <is>
          <t>Total</t>
        </is>
      </c>
      <c r="G800" t="inlineStr">
        <is>
          <t>FALSE</t>
        </is>
      </c>
      <c r="H800" t="inlineStr">
        <is>
          <t>FALSE</t>
        </is>
      </c>
      <c r="I800" t="inlineStr">
        <is>
          <t>Strongly disagree = 1 | 2 = 2 | 3 = 3 | 4 = 4 | Strongly agree = 5</t>
        </is>
      </c>
      <c r="K800" t="inlineStr">
        <is>
          <t>https://pmc.ncbi.nlm.nih.gov/articles/PMC7367748 (Salsman et al., 2020, Table 3, 8 item short form column)</t>
        </is>
      </c>
    </row>
    <row r="801">
      <c r="A801" t="inlineStr">
        <is>
          <t>PROMIS-MP-8A</t>
        </is>
      </c>
      <c r="B801" t="inlineStr">
        <is>
          <t>PROMIS Meaning and Purpose Short Form 8a</t>
        </is>
      </c>
      <c r="C801" t="inlineStr">
        <is>
          <t>7. Wellbeing and life satisfaction</t>
        </is>
      </c>
      <c r="D801" t="n">
        <v>8</v>
      </c>
      <c r="E801" t="inlineStr">
        <is>
          <t>My life has significance.</t>
        </is>
      </c>
      <c r="F801" t="inlineStr">
        <is>
          <t>Total</t>
        </is>
      </c>
      <c r="G801" t="inlineStr">
        <is>
          <t>FALSE</t>
        </is>
      </c>
      <c r="H801" t="inlineStr">
        <is>
          <t>FALSE</t>
        </is>
      </c>
      <c r="I801" t="inlineStr">
        <is>
          <t>Strongly disagree = 1 | 2 = 2 | 3 = 3 | 4 = 4 | Strongly agree = 5</t>
        </is>
      </c>
      <c r="K801" t="inlineStr">
        <is>
          <t>https://pmc.ncbi.nlm.nih.gov/articles/PMC7367748 (Salsman et al., 2020, Table 3, 8 item short form column)</t>
        </is>
      </c>
    </row>
    <row r="802">
      <c r="A802" t="inlineStr">
        <is>
          <t>PROMIS-SSRA-8A</t>
        </is>
      </c>
      <c r="B802" t="inlineStr">
        <is>
          <t>PROMIS Satisfaction with Social Roles and Activities Short Form 8a</t>
        </is>
      </c>
      <c r="C802" t="inlineStr">
        <is>
          <t>8. Functioning and health</t>
        </is>
      </c>
      <c r="D802" t="n">
        <v>1</v>
      </c>
      <c r="E802" t="inlineStr">
        <is>
          <t>I am satisfied with my ability to do things for my family</t>
        </is>
      </c>
      <c r="F802" t="inlineStr">
        <is>
          <t>Total</t>
        </is>
      </c>
      <c r="G802" t="inlineStr">
        <is>
          <t>FALSE</t>
        </is>
      </c>
      <c r="H802" t="inlineStr">
        <is>
          <t>FALSE</t>
        </is>
      </c>
      <c r="I802" t="inlineStr">
        <is>
          <t>Not at all = 1 | A little bit = 2 | Somewhat = 3 | Quite a bit = 4 | Very much = 5</t>
        </is>
      </c>
      <c r="J802" t="inlineStr">
        <is>
          <t>LOINC 76737-6</t>
        </is>
      </c>
      <c r="K802" t="inlineStr">
        <is>
          <t>https://loinc.org/76800-2/panel</t>
        </is>
      </c>
    </row>
    <row r="803">
      <c r="A803" t="inlineStr">
        <is>
          <t>PROMIS-SSRA-8A</t>
        </is>
      </c>
      <c r="B803" t="inlineStr">
        <is>
          <t>PROMIS Satisfaction with Social Roles and Activities Short Form 8a</t>
        </is>
      </c>
      <c r="C803" t="inlineStr">
        <is>
          <t>8. Functioning and health</t>
        </is>
      </c>
      <c r="D803" t="n">
        <v>2</v>
      </c>
      <c r="E803" t="inlineStr">
        <is>
          <t>I am satisfied with my ability to do things for fun with others</t>
        </is>
      </c>
      <c r="F803" t="inlineStr">
        <is>
          <t>Total</t>
        </is>
      </c>
      <c r="G803" t="inlineStr">
        <is>
          <t>FALSE</t>
        </is>
      </c>
      <c r="H803" t="inlineStr">
        <is>
          <t>FALSE</t>
        </is>
      </c>
      <c r="I803" t="inlineStr">
        <is>
          <t>Not at all = 1 | A little bit = 2 | Somewhat = 3 | Quite a bit = 4 | Very much = 5</t>
        </is>
      </c>
      <c r="J803" t="inlineStr">
        <is>
          <t>LOINC 76740-0</t>
        </is>
      </c>
      <c r="K803" t="inlineStr">
        <is>
          <t>https://loinc.org/76800-2/panel</t>
        </is>
      </c>
    </row>
    <row r="804">
      <c r="A804" t="inlineStr">
        <is>
          <t>PROMIS-SSRA-8A</t>
        </is>
      </c>
      <c r="B804" t="inlineStr">
        <is>
          <t>PROMIS Satisfaction with Social Roles and Activities Short Form 8a</t>
        </is>
      </c>
      <c r="C804" t="inlineStr">
        <is>
          <t>8. Functioning and health</t>
        </is>
      </c>
      <c r="D804" t="n">
        <v>3</v>
      </c>
      <c r="E804" t="inlineStr">
        <is>
          <t>I feel good about my ability to do things for my friends</t>
        </is>
      </c>
      <c r="F804" t="inlineStr">
        <is>
          <t>Total</t>
        </is>
      </c>
      <c r="G804" t="inlineStr">
        <is>
          <t>FALSE</t>
        </is>
      </c>
      <c r="H804" t="inlineStr">
        <is>
          <t>FALSE</t>
        </is>
      </c>
      <c r="I804" t="inlineStr">
        <is>
          <t>Not at all = 1 | A little bit = 2 | Somewhat = 3 | Quite a bit = 4 | Very much = 5</t>
        </is>
      </c>
      <c r="J804" t="inlineStr">
        <is>
          <t>LOINC 76741-8</t>
        </is>
      </c>
      <c r="K804" t="inlineStr">
        <is>
          <t>https://loinc.org/76800-2/panel</t>
        </is>
      </c>
    </row>
    <row r="805">
      <c r="A805" t="inlineStr">
        <is>
          <t>PROMIS-SSRA-8A</t>
        </is>
      </c>
      <c r="B805" t="inlineStr">
        <is>
          <t>PROMIS Satisfaction with Social Roles and Activities Short Form 8a</t>
        </is>
      </c>
      <c r="C805" t="inlineStr">
        <is>
          <t>8. Functioning and health</t>
        </is>
      </c>
      <c r="D805" t="n">
        <v>4</v>
      </c>
      <c r="E805" t="inlineStr">
        <is>
          <t>I am satisfied with my ability to perform my daily routines</t>
        </is>
      </c>
      <c r="F805" t="inlineStr">
        <is>
          <t>Total</t>
        </is>
      </c>
      <c r="G805" t="inlineStr">
        <is>
          <t>FALSE</t>
        </is>
      </c>
      <c r="H805" t="inlineStr">
        <is>
          <t>FALSE</t>
        </is>
      </c>
      <c r="I805" t="inlineStr">
        <is>
          <t>Not at all = 1 | A little bit = 2 | Somewhat = 3 | Quite a bit = 4 | Very much = 5</t>
        </is>
      </c>
      <c r="J805" t="inlineStr">
        <is>
          <t>LOINC 76744-2</t>
        </is>
      </c>
      <c r="K805" t="inlineStr">
        <is>
          <t>https://loinc.org/76800-2/panel</t>
        </is>
      </c>
    </row>
    <row r="806">
      <c r="A806" t="inlineStr">
        <is>
          <t>PROMIS-SSRA-8A</t>
        </is>
      </c>
      <c r="B806" t="inlineStr">
        <is>
          <t>PROMIS Satisfaction with Social Roles and Activities Short Form 8a</t>
        </is>
      </c>
      <c r="C806" t="inlineStr">
        <is>
          <t>8. Functioning and health</t>
        </is>
      </c>
      <c r="D806" t="n">
        <v>5</v>
      </c>
      <c r="E806" t="inlineStr">
        <is>
          <t>I am satisfied with my ability to do things for fun outside my home</t>
        </is>
      </c>
      <c r="F806" t="inlineStr">
        <is>
          <t>Total</t>
        </is>
      </c>
      <c r="G806" t="inlineStr">
        <is>
          <t>FALSE</t>
        </is>
      </c>
      <c r="H806" t="inlineStr">
        <is>
          <t>FALSE</t>
        </is>
      </c>
      <c r="I806" t="inlineStr">
        <is>
          <t>Not at all = 1 | A little bit = 2 | Somewhat = 3 | Quite a bit = 4 | Very much = 5</t>
        </is>
      </c>
      <c r="J806" t="inlineStr">
        <is>
          <t>LOINC 76739-2</t>
        </is>
      </c>
      <c r="K806" t="inlineStr">
        <is>
          <t>https://loinc.org/76800-2/panel</t>
        </is>
      </c>
    </row>
    <row r="807">
      <c r="A807" t="inlineStr">
        <is>
          <t>PROMIS-SSRA-8A</t>
        </is>
      </c>
      <c r="B807" t="inlineStr">
        <is>
          <t>PROMIS Satisfaction with Social Roles and Activities Short Form 8a</t>
        </is>
      </c>
      <c r="C807" t="inlineStr">
        <is>
          <t>8. Functioning and health</t>
        </is>
      </c>
      <c r="D807" t="n">
        <v>6</v>
      </c>
      <c r="E807" t="inlineStr">
        <is>
          <t>I am satisfied with my ability to meet the needs of my friends</t>
        </is>
      </c>
      <c r="F807" t="inlineStr">
        <is>
          <t>Total</t>
        </is>
      </c>
      <c r="G807" t="inlineStr">
        <is>
          <t>FALSE</t>
        </is>
      </c>
      <c r="H807" t="inlineStr">
        <is>
          <t>FALSE</t>
        </is>
      </c>
      <c r="I807" t="inlineStr">
        <is>
          <t>Not at all = 1 | A little bit = 2 | Somewhat = 3 | Quite a bit = 4 | Very much = 5</t>
        </is>
      </c>
      <c r="J807" t="inlineStr">
        <is>
          <t>LOINC 76743-4</t>
        </is>
      </c>
      <c r="K807" t="inlineStr">
        <is>
          <t>https://loinc.org/76800-2/panel</t>
        </is>
      </c>
    </row>
    <row r="808">
      <c r="A808" t="inlineStr">
        <is>
          <t>PROMIS-SSRA-8A</t>
        </is>
      </c>
      <c r="B808" t="inlineStr">
        <is>
          <t>PROMIS Satisfaction with Social Roles and Activities Short Form 8a</t>
        </is>
      </c>
      <c r="C808" t="inlineStr">
        <is>
          <t>8. Functioning and health</t>
        </is>
      </c>
      <c r="D808" t="n">
        <v>7</v>
      </c>
      <c r="E808" t="inlineStr">
        <is>
          <t>I am satisfied with my ability to do the work that is really important to me (include work at home)</t>
        </is>
      </c>
      <c r="F808" t="inlineStr">
        <is>
          <t>Total</t>
        </is>
      </c>
      <c r="G808" t="inlineStr">
        <is>
          <t>FALSE</t>
        </is>
      </c>
      <c r="H808" t="inlineStr">
        <is>
          <t>FALSE</t>
        </is>
      </c>
      <c r="I808" t="inlineStr">
        <is>
          <t>Not at all = 1 | A little bit = 2 | Somewhat = 3 | Quite a bit = 4 | Very much = 5</t>
        </is>
      </c>
      <c r="J808" t="inlineStr">
        <is>
          <t>LOINC 76738-4</t>
        </is>
      </c>
      <c r="K808" t="inlineStr">
        <is>
          <t>https://loinc.org/76800-2/panel</t>
        </is>
      </c>
    </row>
    <row r="809">
      <c r="A809" t="inlineStr">
        <is>
          <t>PROMIS-SSRA-8A</t>
        </is>
      </c>
      <c r="B809" t="inlineStr">
        <is>
          <t>PROMIS Satisfaction with Social Roles and Activities Short Form 8a</t>
        </is>
      </c>
      <c r="C809" t="inlineStr">
        <is>
          <t>8. Functioning and health</t>
        </is>
      </c>
      <c r="D809" t="n">
        <v>8</v>
      </c>
      <c r="E809" t="inlineStr">
        <is>
          <t>I am satisfied with my ability to meet the needs of my family</t>
        </is>
      </c>
      <c r="F809" t="inlineStr">
        <is>
          <t>Total</t>
        </is>
      </c>
      <c r="G809" t="inlineStr">
        <is>
          <t>FALSE</t>
        </is>
      </c>
      <c r="H809" t="inlineStr">
        <is>
          <t>FALSE</t>
        </is>
      </c>
      <c r="I809" t="inlineStr">
        <is>
          <t>Not at all = 1 | A little bit = 2 | Somewhat = 3 | Quite a bit = 4 | Very much = 5</t>
        </is>
      </c>
      <c r="J809" t="inlineStr">
        <is>
          <t>LOINC 76742-6</t>
        </is>
      </c>
      <c r="K809" t="inlineStr">
        <is>
          <t>https://loinc.org/76800-2/panel</t>
        </is>
      </c>
    </row>
    <row r="810">
      <c r="A810" t="inlineStr">
        <is>
          <t>PROMIS-SD-8A</t>
        </is>
      </c>
      <c r="B810" t="inlineStr">
        <is>
          <t>PROMIS Sleep Disturbance Short Form 8a</t>
        </is>
      </c>
      <c r="C810" t="inlineStr">
        <is>
          <t>8. Functioning and health</t>
        </is>
      </c>
      <c r="D810" t="n">
        <v>1</v>
      </c>
      <c r="E810" t="inlineStr">
        <is>
          <t>My sleep quality was...</t>
        </is>
      </c>
      <c r="F810" t="inlineStr">
        <is>
          <t>Total</t>
        </is>
      </c>
      <c r="G810" t="inlineStr">
        <is>
          <t>FALSE</t>
        </is>
      </c>
      <c r="H810" t="inlineStr">
        <is>
          <t>FALSE</t>
        </is>
      </c>
      <c r="I810" t="inlineStr">
        <is>
          <t>Very poor = 5 | Poor = 4 | Fair = 3 | Good = 2 | Very good = 1</t>
        </is>
      </c>
      <c r="J810" t="inlineStr">
        <is>
          <t>Item ID Sleep109. Very poor (5), Poor (4), Fair (3), Good (2), Very good (1); reverse keyed</t>
        </is>
      </c>
      <c r="K810" t="inlineStr">
        <is>
          <t>https://loinc.org/76703-8/panel</t>
        </is>
      </c>
    </row>
    <row r="811">
      <c r="A811" t="inlineStr">
        <is>
          <t>PROMIS-SD-8A</t>
        </is>
      </c>
      <c r="B811" t="inlineStr">
        <is>
          <t>PROMIS Sleep Disturbance Short Form 8a</t>
        </is>
      </c>
      <c r="C811" t="inlineStr">
        <is>
          <t>8. Functioning and health</t>
        </is>
      </c>
      <c r="D811" t="n">
        <v>2</v>
      </c>
      <c r="E811" t="inlineStr">
        <is>
          <t>My sleep was refreshing.</t>
        </is>
      </c>
      <c r="F811" t="inlineStr">
        <is>
          <t>Total</t>
        </is>
      </c>
      <c r="G811" t="inlineStr">
        <is>
          <t>FALSE</t>
        </is>
      </c>
      <c r="H811" t="inlineStr">
        <is>
          <t>FALSE</t>
        </is>
      </c>
      <c r="I811" t="inlineStr">
        <is>
          <t>Not at all = 5 | A little bit = 4 | Somewhat = 3 | Quite a bit = 2 | Very much = 1</t>
        </is>
      </c>
      <c r="J811" t="inlineStr">
        <is>
          <t>Item ID Sleep116. Not at all (5), A little bit (4), Somewhat (3), Quite a bit (2), Very much (1); reverse keyed</t>
        </is>
      </c>
      <c r="K811" t="inlineStr">
        <is>
          <t>https://loinc.org/76703-8/panel</t>
        </is>
      </c>
    </row>
    <row r="812">
      <c r="A812" t="inlineStr">
        <is>
          <t>PROMIS-SD-8A</t>
        </is>
      </c>
      <c r="B812" t="inlineStr">
        <is>
          <t>PROMIS Sleep Disturbance Short Form 8a</t>
        </is>
      </c>
      <c r="C812" t="inlineStr">
        <is>
          <t>8. Functioning and health</t>
        </is>
      </c>
      <c r="D812" t="n">
        <v>3</v>
      </c>
      <c r="E812" t="inlineStr">
        <is>
          <t>I had a problem with my sleep.</t>
        </is>
      </c>
      <c r="F812" t="inlineStr">
        <is>
          <t>Total</t>
        </is>
      </c>
      <c r="G812" t="inlineStr">
        <is>
          <t>FALSE</t>
        </is>
      </c>
      <c r="H812" t="inlineStr">
        <is>
          <t>FALSE</t>
        </is>
      </c>
      <c r="I812" t="inlineStr">
        <is>
          <t>Not at all = 1 | A little bit = 2 | Somewhat = 3 | Quite a bit = 4 | Very much = 5</t>
        </is>
      </c>
      <c r="J812" t="inlineStr">
        <is>
          <t>Item ID Sleep20. Not at all (1), A little bit (2), Somewhat (3), Quite a bit (4), Very much (5)</t>
        </is>
      </c>
      <c r="K812" t="inlineStr">
        <is>
          <t>https://loinc.org/76703-8/panel</t>
        </is>
      </c>
    </row>
    <row r="813">
      <c r="A813" t="inlineStr">
        <is>
          <t>PROMIS-SD-8A</t>
        </is>
      </c>
      <c r="B813" t="inlineStr">
        <is>
          <t>PROMIS Sleep Disturbance Short Form 8a</t>
        </is>
      </c>
      <c r="C813" t="inlineStr">
        <is>
          <t>8. Functioning and health</t>
        </is>
      </c>
      <c r="D813" t="n">
        <v>4</v>
      </c>
      <c r="E813" t="inlineStr">
        <is>
          <t>I had difficulty falling asleep.</t>
        </is>
      </c>
      <c r="F813" t="inlineStr">
        <is>
          <t>Total</t>
        </is>
      </c>
      <c r="G813" t="inlineStr">
        <is>
          <t>FALSE</t>
        </is>
      </c>
      <c r="H813" t="inlineStr">
        <is>
          <t>FALSE</t>
        </is>
      </c>
      <c r="I813" t="inlineStr">
        <is>
          <t>Not at all = 1 | A little bit = 2 | Somewhat = 3 | Quite a bit = 4 | Very much = 5</t>
        </is>
      </c>
      <c r="J813" t="inlineStr">
        <is>
          <t>Item ID Sleep44. Not at all (1), A little bit (2), Somewhat (3), Quite a bit (4), Very much (5)</t>
        </is>
      </c>
      <c r="K813" t="inlineStr">
        <is>
          <t>https://loinc.org/76703-8/panel</t>
        </is>
      </c>
    </row>
    <row r="814">
      <c r="A814" t="inlineStr">
        <is>
          <t>PROMIS-SD-8A</t>
        </is>
      </c>
      <c r="B814" t="inlineStr">
        <is>
          <t>PROMIS Sleep Disturbance Short Form 8a</t>
        </is>
      </c>
      <c r="C814" t="inlineStr">
        <is>
          <t>8. Functioning and health</t>
        </is>
      </c>
      <c r="D814" t="n">
        <v>5</v>
      </c>
      <c r="E814" t="inlineStr">
        <is>
          <t>My sleep was restless.</t>
        </is>
      </c>
      <c r="F814" t="inlineStr">
        <is>
          <t>Total</t>
        </is>
      </c>
      <c r="G814" t="inlineStr">
        <is>
          <t>FALSE</t>
        </is>
      </c>
      <c r="H814" t="inlineStr">
        <is>
          <t>FALSE</t>
        </is>
      </c>
      <c r="I814" t="inlineStr">
        <is>
          <t>Not at all = 1 | A little bit = 2 | Somewhat = 3 | Quite a bit = 4 | Very much = 5</t>
        </is>
      </c>
      <c r="J814" t="inlineStr">
        <is>
          <t>Item ID Sleep108. Not at all (1), A little bit (2), Somewhat (3), Quite a bit (4), Very much (5)</t>
        </is>
      </c>
      <c r="K814" t="inlineStr">
        <is>
          <t>https://loinc.org/76703-8/panel</t>
        </is>
      </c>
    </row>
    <row r="815">
      <c r="A815" t="inlineStr">
        <is>
          <t>PROMIS-SD-8A</t>
        </is>
      </c>
      <c r="B815" t="inlineStr">
        <is>
          <t>PROMIS Sleep Disturbance Short Form 8a</t>
        </is>
      </c>
      <c r="C815" t="inlineStr">
        <is>
          <t>8. Functioning and health</t>
        </is>
      </c>
      <c r="D815" t="n">
        <v>6</v>
      </c>
      <c r="E815" t="inlineStr">
        <is>
          <t>I tried hard to get to sleep.</t>
        </is>
      </c>
      <c r="F815" t="inlineStr">
        <is>
          <t>Total</t>
        </is>
      </c>
      <c r="G815" t="inlineStr">
        <is>
          <t>FALSE</t>
        </is>
      </c>
      <c r="H815" t="inlineStr">
        <is>
          <t>FALSE</t>
        </is>
      </c>
      <c r="I815" t="inlineStr">
        <is>
          <t>Not at all = 1 | A little bit = 2 | Somewhat = 3 | Quite a bit = 4 | Very much = 5</t>
        </is>
      </c>
      <c r="J815" t="inlineStr">
        <is>
          <t>Item ID Sleep72. Not at all (1), A little bit (2), Somewhat (3), Quite a bit (4), Very much (5)</t>
        </is>
      </c>
      <c r="K815" t="inlineStr">
        <is>
          <t>https://loinc.org/76703-8/panel</t>
        </is>
      </c>
    </row>
    <row r="816">
      <c r="A816" t="inlineStr">
        <is>
          <t>PROMIS-SD-8A</t>
        </is>
      </c>
      <c r="B816" t="inlineStr">
        <is>
          <t>PROMIS Sleep Disturbance Short Form 8a</t>
        </is>
      </c>
      <c r="C816" t="inlineStr">
        <is>
          <t>8. Functioning and health</t>
        </is>
      </c>
      <c r="D816" t="n">
        <v>7</v>
      </c>
      <c r="E816" t="inlineStr">
        <is>
          <t>I worried about not being able to fall asleep.</t>
        </is>
      </c>
      <c r="F816" t="inlineStr">
        <is>
          <t>Total</t>
        </is>
      </c>
      <c r="G816" t="inlineStr">
        <is>
          <t>FALSE</t>
        </is>
      </c>
      <c r="H816" t="inlineStr">
        <is>
          <t>FALSE</t>
        </is>
      </c>
      <c r="I816" t="inlineStr">
        <is>
          <t>Not at all = 1 | A little bit = 2 | Somewhat = 3 | Quite a bit = 4 | Very much = 5</t>
        </is>
      </c>
      <c r="J816" t="inlineStr">
        <is>
          <t>Item ID Sleep67. Not at all (1), A little bit (2), Somewhat (3), Quite a bit (4), Very much (5); forward keying confirmed by LOINC on the second pass</t>
        </is>
      </c>
      <c r="K816" t="inlineStr">
        <is>
          <t>https://loinc.org/76703-8/panel</t>
        </is>
      </c>
    </row>
    <row r="817">
      <c r="A817" t="inlineStr">
        <is>
          <t>PROMIS-SD-8A</t>
        </is>
      </c>
      <c r="B817" t="inlineStr">
        <is>
          <t>PROMIS Sleep Disturbance Short Form 8a</t>
        </is>
      </c>
      <c r="C817" t="inlineStr">
        <is>
          <t>8. Functioning and health</t>
        </is>
      </c>
      <c r="D817" t="n">
        <v>8</v>
      </c>
      <c r="E817" t="inlineStr">
        <is>
          <t>I was satisfied with my sleep.</t>
        </is>
      </c>
      <c r="F817" t="inlineStr">
        <is>
          <t>Total</t>
        </is>
      </c>
      <c r="G817" t="inlineStr">
        <is>
          <t>FALSE</t>
        </is>
      </c>
      <c r="H817" t="inlineStr">
        <is>
          <t>FALSE</t>
        </is>
      </c>
      <c r="I817" t="inlineStr">
        <is>
          <t>Not at all = 5 | A little bit = 4 | Somewhat = 3 | Quite a bit = 2 | Very much = 1</t>
        </is>
      </c>
      <c r="J817" t="inlineStr">
        <is>
          <t>Item ID Sleep115. Not at all (5), A little bit (4), Somewhat (3), Quite a bit (2), Very much (1); reverse keyed (LOINC 61985-8)</t>
        </is>
      </c>
      <c r="K817" t="inlineStr">
        <is>
          <t>https://loinc.org/76703-8/panel</t>
        </is>
      </c>
    </row>
    <row r="818">
      <c r="A818" t="inlineStr">
        <is>
          <t>PROMIS-SRI-8A</t>
        </is>
      </c>
      <c r="B818" t="inlineStr">
        <is>
          <t>PROMIS Sleep-Related Impairment Short Form 8a</t>
        </is>
      </c>
      <c r="C818" t="inlineStr">
        <is>
          <t>8. Functioning and health</t>
        </is>
      </c>
      <c r="D818" t="n">
        <v>1</v>
      </c>
      <c r="E818" t="inlineStr">
        <is>
          <t>I had a hard time getting things done because I was sleepy</t>
        </is>
      </c>
      <c r="F818" t="inlineStr">
        <is>
          <t>Total</t>
        </is>
      </c>
      <c r="G818" t="inlineStr">
        <is>
          <t>FALSE</t>
        </is>
      </c>
      <c r="H818" t="inlineStr">
        <is>
          <t>FALSE</t>
        </is>
      </c>
      <c r="I818" t="inlineStr">
        <is>
          <t>Not at all = 1 | A little bit = 2 | Somewhat = 3 | Quite a bit = 4 | Very much = 5</t>
        </is>
      </c>
      <c r="J818" t="inlineStr">
        <is>
          <t>Item code Sleep10</t>
        </is>
      </c>
      <c r="K818" t="inlineStr">
        <is>
          <t>https://www.heal.nih.gov/files/CDEs/2023-09/promis-sleep-related-impairment-8a-crf.pdf</t>
        </is>
      </c>
    </row>
    <row r="819">
      <c r="A819" t="inlineStr">
        <is>
          <t>PROMIS-SRI-8A</t>
        </is>
      </c>
      <c r="B819" t="inlineStr">
        <is>
          <t>PROMIS Sleep-Related Impairment Short Form 8a</t>
        </is>
      </c>
      <c r="C819" t="inlineStr">
        <is>
          <t>8. Functioning and health</t>
        </is>
      </c>
      <c r="D819" t="n">
        <v>2</v>
      </c>
      <c r="E819" t="inlineStr">
        <is>
          <t>I felt alert when I woke up</t>
        </is>
      </c>
      <c r="F819" t="inlineStr">
        <is>
          <t>Total</t>
        </is>
      </c>
      <c r="G819" t="inlineStr">
        <is>
          <t>FALSE</t>
        </is>
      </c>
      <c r="H819" t="inlineStr">
        <is>
          <t>FALSE</t>
        </is>
      </c>
      <c r="I819" t="inlineStr">
        <is>
          <t>Not at all = 5 | A little bit = 4 | Somewhat = 3 | Quite a bit = 2 | Very much = 1</t>
        </is>
      </c>
      <c r="J819" t="inlineStr">
        <is>
          <t>Item code Sleep119; printed with reversed values Not at all = 5 to Very much = 1</t>
        </is>
      </c>
      <c r="K819" t="inlineStr">
        <is>
          <t>https://www.heal.nih.gov/files/CDEs/2023-09/promis-sleep-related-impairment-8a-crf.pdf</t>
        </is>
      </c>
    </row>
    <row r="820">
      <c r="A820" t="inlineStr">
        <is>
          <t>PROMIS-SRI-8A</t>
        </is>
      </c>
      <c r="B820" t="inlineStr">
        <is>
          <t>PROMIS Sleep-Related Impairment Short Form 8a</t>
        </is>
      </c>
      <c r="C820" t="inlineStr">
        <is>
          <t>8. Functioning and health</t>
        </is>
      </c>
      <c r="D820" t="n">
        <v>3</v>
      </c>
      <c r="E820" t="inlineStr">
        <is>
          <t>I felt tired</t>
        </is>
      </c>
      <c r="F820" t="inlineStr">
        <is>
          <t>Total</t>
        </is>
      </c>
      <c r="G820" t="inlineStr">
        <is>
          <t>FALSE</t>
        </is>
      </c>
      <c r="H820" t="inlineStr">
        <is>
          <t>FALSE</t>
        </is>
      </c>
      <c r="I820" t="inlineStr">
        <is>
          <t>Not at all = 1 | A little bit = 2 | Somewhat = 3 | Quite a bit = 4 | Very much = 5</t>
        </is>
      </c>
      <c r="J820" t="inlineStr">
        <is>
          <t>Item code Sleep18</t>
        </is>
      </c>
      <c r="K820" t="inlineStr">
        <is>
          <t>https://www.heal.nih.gov/files/CDEs/2023-09/promis-sleep-related-impairment-8a-crf.pdf</t>
        </is>
      </c>
    </row>
    <row r="821">
      <c r="A821" t="inlineStr">
        <is>
          <t>PROMIS-SRI-8A</t>
        </is>
      </c>
      <c r="B821" t="inlineStr">
        <is>
          <t>PROMIS Sleep-Related Impairment Short Form 8a</t>
        </is>
      </c>
      <c r="C821" t="inlineStr">
        <is>
          <t>8. Functioning and health</t>
        </is>
      </c>
      <c r="D821" t="n">
        <v>4</v>
      </c>
      <c r="E821" t="inlineStr">
        <is>
          <t>I had problems during the day because of poor sleep</t>
        </is>
      </c>
      <c r="F821" t="inlineStr">
        <is>
          <t>Total</t>
        </is>
      </c>
      <c r="G821" t="inlineStr">
        <is>
          <t>FALSE</t>
        </is>
      </c>
      <c r="H821" t="inlineStr">
        <is>
          <t>FALSE</t>
        </is>
      </c>
      <c r="I821" t="inlineStr">
        <is>
          <t>Not at all = 1 | A little bit = 2 | Somewhat = 3 | Quite a bit = 4 | Very much = 5</t>
        </is>
      </c>
      <c r="J821" t="inlineStr">
        <is>
          <t>Item code Sleep25</t>
        </is>
      </c>
      <c r="K821" t="inlineStr">
        <is>
          <t>https://www.heal.nih.gov/files/CDEs/2023-09/promis-sleep-related-impairment-8a-crf.pdf</t>
        </is>
      </c>
    </row>
    <row r="822">
      <c r="A822" t="inlineStr">
        <is>
          <t>PROMIS-SRI-8A</t>
        </is>
      </c>
      <c r="B822" t="inlineStr">
        <is>
          <t>PROMIS Sleep-Related Impairment Short Form 8a</t>
        </is>
      </c>
      <c r="C822" t="inlineStr">
        <is>
          <t>8. Functioning and health</t>
        </is>
      </c>
      <c r="D822" t="n">
        <v>5</v>
      </c>
      <c r="E822" t="inlineStr">
        <is>
          <t>I had a hard time concentrating because of poor sleep</t>
        </is>
      </c>
      <c r="F822" t="inlineStr">
        <is>
          <t>Total</t>
        </is>
      </c>
      <c r="G822" t="inlineStr">
        <is>
          <t>FALSE</t>
        </is>
      </c>
      <c r="H822" t="inlineStr">
        <is>
          <t>FALSE</t>
        </is>
      </c>
      <c r="I822" t="inlineStr">
        <is>
          <t>Not at all = 1 | A little bit = 2 | Somewhat = 3 | Quite a bit = 4 | Very much = 5</t>
        </is>
      </c>
      <c r="J822" t="inlineStr">
        <is>
          <t>Item code Sleep27</t>
        </is>
      </c>
      <c r="K822" t="inlineStr">
        <is>
          <t>https://www.heal.nih.gov/files/CDEs/2023-09/promis-sleep-related-impairment-8a-crf.pdf</t>
        </is>
      </c>
    </row>
    <row r="823">
      <c r="A823" t="inlineStr">
        <is>
          <t>PROMIS-SRI-8A</t>
        </is>
      </c>
      <c r="B823" t="inlineStr">
        <is>
          <t>PROMIS Sleep-Related Impairment Short Form 8a</t>
        </is>
      </c>
      <c r="C823" t="inlineStr">
        <is>
          <t>8. Functioning and health</t>
        </is>
      </c>
      <c r="D823" t="n">
        <v>6</v>
      </c>
      <c r="E823" t="inlineStr">
        <is>
          <t>I felt irritable because of poor sleep.</t>
        </is>
      </c>
      <c r="F823" t="inlineStr">
        <is>
          <t>Total</t>
        </is>
      </c>
      <c r="G823" t="inlineStr">
        <is>
          <t>FALSE</t>
        </is>
      </c>
      <c r="H823" t="inlineStr">
        <is>
          <t>FALSE</t>
        </is>
      </c>
      <c r="I823" t="inlineStr">
        <is>
          <t>Not at all = 1 | A little bit = 2 | Somewhat = 3 | Quite a bit = 4 | Very much = 5</t>
        </is>
      </c>
      <c r="J823" t="inlineStr">
        <is>
          <t>Item code Sleep30</t>
        </is>
      </c>
      <c r="K823" t="inlineStr">
        <is>
          <t>https://www.heal.nih.gov/files/CDEs/2023-09/promis-sleep-related-impairment-8a-crf.pdf</t>
        </is>
      </c>
    </row>
    <row r="824">
      <c r="A824" t="inlineStr">
        <is>
          <t>PROMIS-SRI-8A</t>
        </is>
      </c>
      <c r="B824" t="inlineStr">
        <is>
          <t>PROMIS Sleep-Related Impairment Short Form 8a</t>
        </is>
      </c>
      <c r="C824" t="inlineStr">
        <is>
          <t>8. Functioning and health</t>
        </is>
      </c>
      <c r="D824" t="n">
        <v>7</v>
      </c>
      <c r="E824" t="inlineStr">
        <is>
          <t>I was sleepy during the daytime.</t>
        </is>
      </c>
      <c r="F824" t="inlineStr">
        <is>
          <t>Total</t>
        </is>
      </c>
      <c r="G824" t="inlineStr">
        <is>
          <t>FALSE</t>
        </is>
      </c>
      <c r="H824" t="inlineStr">
        <is>
          <t>FALSE</t>
        </is>
      </c>
      <c r="I824" t="inlineStr">
        <is>
          <t>Not at all = 1 | A little bit = 2 | Somewhat = 3 | Quite a bit = 4 | Very much = 5</t>
        </is>
      </c>
      <c r="J824" t="inlineStr">
        <is>
          <t>Item code Sleep6</t>
        </is>
      </c>
      <c r="K824" t="inlineStr">
        <is>
          <t>https://www.heal.nih.gov/files/CDEs/2023-09/promis-sleep-related-impairment-8a-crf.pdf</t>
        </is>
      </c>
    </row>
    <row r="825">
      <c r="A825" t="inlineStr">
        <is>
          <t>PROMIS-SRI-8A</t>
        </is>
      </c>
      <c r="B825" t="inlineStr">
        <is>
          <t>PROMIS Sleep-Related Impairment Short Form 8a</t>
        </is>
      </c>
      <c r="C825" t="inlineStr">
        <is>
          <t>8. Functioning and health</t>
        </is>
      </c>
      <c r="D825" t="n">
        <v>8</v>
      </c>
      <c r="E825" t="inlineStr">
        <is>
          <t>I had trouble staying awake during the day.</t>
        </is>
      </c>
      <c r="F825" t="inlineStr">
        <is>
          <t>Total</t>
        </is>
      </c>
      <c r="G825" t="inlineStr">
        <is>
          <t>FALSE</t>
        </is>
      </c>
      <c r="H825" t="inlineStr">
        <is>
          <t>FALSE</t>
        </is>
      </c>
      <c r="I825" t="inlineStr">
        <is>
          <t>Not at all = 1 | A little bit = 2 | Somewhat = 3 | Quite a bit = 4 | Very much = 5</t>
        </is>
      </c>
      <c r="J825" t="inlineStr">
        <is>
          <t>Item code Sleep7</t>
        </is>
      </c>
      <c r="K825" t="inlineStr">
        <is>
          <t>https://www.heal.nih.gov/files/CDEs/2023-09/promis-sleep-related-impairment-8a-crf.pdf</t>
        </is>
      </c>
    </row>
    <row r="826">
      <c r="A826" t="inlineStr">
        <is>
          <t>PSWQ</t>
        </is>
      </c>
      <c r="B826" t="inlineStr">
        <is>
          <t>Penn State Worry Questionnaire</t>
        </is>
      </c>
      <c r="C826" t="inlineStr">
        <is>
          <t>4. Clinical and distress screening</t>
        </is>
      </c>
      <c r="D826" t="n">
        <v>1</v>
      </c>
      <c r="E826" t="inlineStr">
        <is>
          <t>If I don't have enough time to do everything, I don't worry about it.</t>
        </is>
      </c>
      <c r="F826" t="inlineStr">
        <is>
          <t>Total</t>
        </is>
      </c>
      <c r="G826" t="inlineStr">
        <is>
          <t>TRUE</t>
        </is>
      </c>
      <c r="H826" t="inlineStr">
        <is>
          <t>FALSE</t>
        </is>
      </c>
      <c r="I826" t="inlineStr">
        <is>
          <t>Not at all typical of me = 1 | 2 = 2 | 3 = 3 | 4 = 4 | Very typical of me = 5</t>
        </is>
      </c>
      <c r="J826" t="inlineStr">
        <is>
          <t>NIHR appendix prints the expanded form: If I do not have enough time to do everything, I do not worry about it.</t>
        </is>
      </c>
      <c r="K826" t="inlineStr">
        <is>
          <t>https://www.ncbi.nlm.nih.gov/books/NBK571032/bin/ch9.p265.pdf (NIHR Journals Library open access appendix reproducing the PSWQ)</t>
        </is>
      </c>
    </row>
    <row r="827">
      <c r="A827" t="inlineStr">
        <is>
          <t>PSWQ</t>
        </is>
      </c>
      <c r="B827" t="inlineStr">
        <is>
          <t>Penn State Worry Questionnaire</t>
        </is>
      </c>
      <c r="C827" t="inlineStr">
        <is>
          <t>4. Clinical and distress screening</t>
        </is>
      </c>
      <c r="D827" t="n">
        <v>2</v>
      </c>
      <c r="E827" t="inlineStr">
        <is>
          <t>My worries overwhelm me.</t>
        </is>
      </c>
      <c r="F827" t="inlineStr">
        <is>
          <t>Total</t>
        </is>
      </c>
      <c r="G827" t="inlineStr">
        <is>
          <t>FALSE</t>
        </is>
      </c>
      <c r="H827" t="inlineStr">
        <is>
          <t>FALSE</t>
        </is>
      </c>
      <c r="I827" t="inlineStr">
        <is>
          <t>Not at all typical of me = 1 | 2 = 2 | 3 = 3 | 4 = 4 | Very typical of me = 5</t>
        </is>
      </c>
      <c r="K827" t="inlineStr">
        <is>
          <t>https://www.ncbi.nlm.nih.gov/books/NBK571032/bin/ch9.p265.pdf (NIHR Journals Library open access appendix reproducing the PSWQ)</t>
        </is>
      </c>
    </row>
    <row r="828">
      <c r="A828" t="inlineStr">
        <is>
          <t>PSWQ</t>
        </is>
      </c>
      <c r="B828" t="inlineStr">
        <is>
          <t>Penn State Worry Questionnaire</t>
        </is>
      </c>
      <c r="C828" t="inlineStr">
        <is>
          <t>4. Clinical and distress screening</t>
        </is>
      </c>
      <c r="D828" t="n">
        <v>3</v>
      </c>
      <c r="E828" t="inlineStr">
        <is>
          <t>I don't tend to worry about things.</t>
        </is>
      </c>
      <c r="F828" t="inlineStr">
        <is>
          <t>Total</t>
        </is>
      </c>
      <c r="G828" t="inlineStr">
        <is>
          <t>TRUE</t>
        </is>
      </c>
      <c r="H828" t="inlineStr">
        <is>
          <t>FALSE</t>
        </is>
      </c>
      <c r="I828" t="inlineStr">
        <is>
          <t>Not at all typical of me = 1 | 2 = 2 | 3 = 3 | 4 = 4 | Very typical of me = 5</t>
        </is>
      </c>
      <c r="J828" t="inlineStr">
        <is>
          <t>NIHR appendix prints the expanded form: I do not tend to worry about things.</t>
        </is>
      </c>
      <c r="K828" t="inlineStr">
        <is>
          <t>https://www.ncbi.nlm.nih.gov/books/NBK571032/bin/ch9.p265.pdf (NIHR Journals Library open access appendix reproducing the PSWQ)</t>
        </is>
      </c>
    </row>
    <row r="829">
      <c r="A829" t="inlineStr">
        <is>
          <t>PSWQ</t>
        </is>
      </c>
      <c r="B829" t="inlineStr">
        <is>
          <t>Penn State Worry Questionnaire</t>
        </is>
      </c>
      <c r="C829" t="inlineStr">
        <is>
          <t>4. Clinical and distress screening</t>
        </is>
      </c>
      <c r="D829" t="n">
        <v>4</v>
      </c>
      <c r="E829" t="inlineStr">
        <is>
          <t>Many situations make me worry.</t>
        </is>
      </c>
      <c r="F829" t="inlineStr">
        <is>
          <t>Total</t>
        </is>
      </c>
      <c r="G829" t="inlineStr">
        <is>
          <t>FALSE</t>
        </is>
      </c>
      <c r="H829" t="inlineStr">
        <is>
          <t>FALSE</t>
        </is>
      </c>
      <c r="I829" t="inlineStr">
        <is>
          <t>Not at all typical of me = 1 | 2 = 2 | 3 = 3 | 4 = 4 | Very typical of me = 5</t>
        </is>
      </c>
      <c r="K829" t="inlineStr">
        <is>
          <t>https://www.ncbi.nlm.nih.gov/books/NBK571032/bin/ch9.p265.pdf (NIHR Journals Library open access appendix reproducing the PSWQ)</t>
        </is>
      </c>
    </row>
    <row r="830">
      <c r="A830" t="inlineStr">
        <is>
          <t>PSWQ</t>
        </is>
      </c>
      <c r="B830" t="inlineStr">
        <is>
          <t>Penn State Worry Questionnaire</t>
        </is>
      </c>
      <c r="C830" t="inlineStr">
        <is>
          <t>4. Clinical and distress screening</t>
        </is>
      </c>
      <c r="D830" t="n">
        <v>5</v>
      </c>
      <c r="E830" t="inlineStr">
        <is>
          <t>I know I shouldn't worry about things, but I just can't help it.</t>
        </is>
      </c>
      <c r="F830" t="inlineStr">
        <is>
          <t>Total</t>
        </is>
      </c>
      <c r="G830" t="inlineStr">
        <is>
          <t>FALSE</t>
        </is>
      </c>
      <c r="H830" t="inlineStr">
        <is>
          <t>FALSE</t>
        </is>
      </c>
      <c r="I830" t="inlineStr">
        <is>
          <t>Not at all typical of me = 1 | 2 = 2 | 3 = 3 | 4 = 4 | Very typical of me = 5</t>
        </is>
      </c>
      <c r="J830" t="inlineStr">
        <is>
          <t>NIHR appendix prints the expanded form: I know I should not worry about things, but I just cannot help it.</t>
        </is>
      </c>
      <c r="K830" t="inlineStr">
        <is>
          <t>https://www.ncbi.nlm.nih.gov/books/NBK571032/bin/ch9.p265.pdf (NIHR Journals Library open access appendix reproducing the PSWQ)</t>
        </is>
      </c>
    </row>
    <row r="831">
      <c r="A831" t="inlineStr">
        <is>
          <t>PSWQ</t>
        </is>
      </c>
      <c r="B831" t="inlineStr">
        <is>
          <t>Penn State Worry Questionnaire</t>
        </is>
      </c>
      <c r="C831" t="inlineStr">
        <is>
          <t>4. Clinical and distress screening</t>
        </is>
      </c>
      <c r="D831" t="n">
        <v>6</v>
      </c>
      <c r="E831" t="inlineStr">
        <is>
          <t>When I'm under pressure I worry a lot.</t>
        </is>
      </c>
      <c r="F831" t="inlineStr">
        <is>
          <t>Total</t>
        </is>
      </c>
      <c r="G831" t="inlineStr">
        <is>
          <t>FALSE</t>
        </is>
      </c>
      <c r="H831" t="inlineStr">
        <is>
          <t>FALSE</t>
        </is>
      </c>
      <c r="I831" t="inlineStr">
        <is>
          <t>Not at all typical of me = 1 | 2 = 2 | 3 = 3 | 4 = 4 | Very typical of me = 5</t>
        </is>
      </c>
      <c r="J831" t="inlineStr">
        <is>
          <t>NIHR appendix prints the expanded form: When I am under pressure I worry a lot.</t>
        </is>
      </c>
      <c r="K831" t="inlineStr">
        <is>
          <t>https://www.ncbi.nlm.nih.gov/books/NBK571032/bin/ch9.p265.pdf (NIHR Journals Library open access appendix reproducing the PSWQ)</t>
        </is>
      </c>
    </row>
    <row r="832">
      <c r="A832" t="inlineStr">
        <is>
          <t>PSWQ</t>
        </is>
      </c>
      <c r="B832" t="inlineStr">
        <is>
          <t>Penn State Worry Questionnaire</t>
        </is>
      </c>
      <c r="C832" t="inlineStr">
        <is>
          <t>4. Clinical and distress screening</t>
        </is>
      </c>
      <c r="D832" t="n">
        <v>7</v>
      </c>
      <c r="E832" t="inlineStr">
        <is>
          <t>I'm always worrying about something.</t>
        </is>
      </c>
      <c r="F832" t="inlineStr">
        <is>
          <t>Total</t>
        </is>
      </c>
      <c r="G832" t="inlineStr">
        <is>
          <t>FALSE</t>
        </is>
      </c>
      <c r="H832" t="inlineStr">
        <is>
          <t>FALSE</t>
        </is>
      </c>
      <c r="I832" t="inlineStr">
        <is>
          <t>Not at all typical of me = 1 | 2 = 2 | 3 = 3 | 4 = 4 | Very typical of me = 5</t>
        </is>
      </c>
      <c r="J832" t="inlineStr">
        <is>
          <t>NIHR appendix prints the expanded form: I am always worrying about something.</t>
        </is>
      </c>
      <c r="K832" t="inlineStr">
        <is>
          <t>https://www.ncbi.nlm.nih.gov/books/NBK571032/bin/ch9.p265.pdf (NIHR Journals Library open access appendix reproducing the PSWQ)</t>
        </is>
      </c>
    </row>
    <row r="833">
      <c r="A833" t="inlineStr">
        <is>
          <t>PSWQ</t>
        </is>
      </c>
      <c r="B833" t="inlineStr">
        <is>
          <t>Penn State Worry Questionnaire</t>
        </is>
      </c>
      <c r="C833" t="inlineStr">
        <is>
          <t>4. Clinical and distress screening</t>
        </is>
      </c>
      <c r="D833" t="n">
        <v>8</v>
      </c>
      <c r="E833" t="inlineStr">
        <is>
          <t>I find it easy to dismiss worrisome thoughts.</t>
        </is>
      </c>
      <c r="F833" t="inlineStr">
        <is>
          <t>Total</t>
        </is>
      </c>
      <c r="G833" t="inlineStr">
        <is>
          <t>TRUE</t>
        </is>
      </c>
      <c r="H833" t="inlineStr">
        <is>
          <t>FALSE</t>
        </is>
      </c>
      <c r="I833" t="inlineStr">
        <is>
          <t>Not at all typical of me = 1 | 2 = 2 | 3 = 3 | 4 = 4 | Very typical of me = 5</t>
        </is>
      </c>
      <c r="K833" t="inlineStr">
        <is>
          <t>https://www.ncbi.nlm.nih.gov/books/NBK571032/bin/ch9.p265.pdf (NIHR Journals Library open access appendix reproducing the PSWQ)</t>
        </is>
      </c>
    </row>
    <row r="834">
      <c r="A834" t="inlineStr">
        <is>
          <t>PSWQ</t>
        </is>
      </c>
      <c r="B834" t="inlineStr">
        <is>
          <t>Penn State Worry Questionnaire</t>
        </is>
      </c>
      <c r="C834" t="inlineStr">
        <is>
          <t>4. Clinical and distress screening</t>
        </is>
      </c>
      <c r="D834" t="n">
        <v>9</v>
      </c>
      <c r="E834" t="inlineStr">
        <is>
          <t>As soon as I finish one task, I start to worry about everything else I have to do.</t>
        </is>
      </c>
      <c r="F834" t="inlineStr">
        <is>
          <t>Total</t>
        </is>
      </c>
      <c r="G834" t="inlineStr">
        <is>
          <t>FALSE</t>
        </is>
      </c>
      <c r="H834" t="inlineStr">
        <is>
          <t>FALSE</t>
        </is>
      </c>
      <c r="I834" t="inlineStr">
        <is>
          <t>Not at all typical of me = 1 | 2 = 2 | 3 = 3 | 4 = 4 | Very typical of me = 5</t>
        </is>
      </c>
      <c r="K834" t="inlineStr">
        <is>
          <t>https://www.ncbi.nlm.nih.gov/books/NBK571032/bin/ch9.p265.pdf (NIHR Journals Library open access appendix reproducing the PSWQ)</t>
        </is>
      </c>
    </row>
    <row r="835">
      <c r="A835" t="inlineStr">
        <is>
          <t>PSWQ</t>
        </is>
      </c>
      <c r="B835" t="inlineStr">
        <is>
          <t>Penn State Worry Questionnaire</t>
        </is>
      </c>
      <c r="C835" t="inlineStr">
        <is>
          <t>4. Clinical and distress screening</t>
        </is>
      </c>
      <c r="D835" t="n">
        <v>10</v>
      </c>
      <c r="E835" t="inlineStr">
        <is>
          <t>I never worry about anything.</t>
        </is>
      </c>
      <c r="F835" t="inlineStr">
        <is>
          <t>Total</t>
        </is>
      </c>
      <c r="G835" t="inlineStr">
        <is>
          <t>TRUE</t>
        </is>
      </c>
      <c r="H835" t="inlineStr">
        <is>
          <t>FALSE</t>
        </is>
      </c>
      <c r="I835" t="inlineStr">
        <is>
          <t>Not at all typical of me = 1 | 2 = 2 | 3 = 3 | 4 = 4 | Very typical of me = 5</t>
        </is>
      </c>
      <c r="K835" t="inlineStr">
        <is>
          <t>https://www.ncbi.nlm.nih.gov/books/NBK571032/bin/ch9.p265.pdf (NIHR Journals Library open access appendix reproducing the PSWQ)</t>
        </is>
      </c>
    </row>
    <row r="836">
      <c r="A836" t="inlineStr">
        <is>
          <t>PSWQ</t>
        </is>
      </c>
      <c r="B836" t="inlineStr">
        <is>
          <t>Penn State Worry Questionnaire</t>
        </is>
      </c>
      <c r="C836" t="inlineStr">
        <is>
          <t>4. Clinical and distress screening</t>
        </is>
      </c>
      <c r="D836" t="n">
        <v>11</v>
      </c>
      <c r="E836" t="inlineStr">
        <is>
          <t>When there is nothing more I can do about a concern, I don't worry about it anymore.</t>
        </is>
      </c>
      <c r="F836" t="inlineStr">
        <is>
          <t>Total</t>
        </is>
      </c>
      <c r="G836" t="inlineStr">
        <is>
          <t>TRUE</t>
        </is>
      </c>
      <c r="H836" t="inlineStr">
        <is>
          <t>FALSE</t>
        </is>
      </c>
      <c r="I836" t="inlineStr">
        <is>
          <t>Not at all typical of me = 1 | 2 = 2 | 3 = 3 | 4 = 4 | Very typical of me = 5</t>
        </is>
      </c>
      <c r="J836" t="inlineStr">
        <is>
          <t>NIHR appendix prints the expanded form: When there is nothing more I can do about a concern, I do not worry about it anymore.</t>
        </is>
      </c>
      <c r="K836" t="inlineStr">
        <is>
          <t>https://www.ncbi.nlm.nih.gov/books/NBK571032/bin/ch9.p265.pdf (NIHR Journals Library open access appendix reproducing the PSWQ)</t>
        </is>
      </c>
    </row>
    <row r="837">
      <c r="A837" t="inlineStr">
        <is>
          <t>PSWQ</t>
        </is>
      </c>
      <c r="B837" t="inlineStr">
        <is>
          <t>Penn State Worry Questionnaire</t>
        </is>
      </c>
      <c r="C837" t="inlineStr">
        <is>
          <t>4. Clinical and distress screening</t>
        </is>
      </c>
      <c r="D837" t="n">
        <v>12</v>
      </c>
      <c r="E837" t="inlineStr">
        <is>
          <t>I've been a worrier all my life.</t>
        </is>
      </c>
      <c r="F837" t="inlineStr">
        <is>
          <t>Total</t>
        </is>
      </c>
      <c r="G837" t="inlineStr">
        <is>
          <t>FALSE</t>
        </is>
      </c>
      <c r="H837" t="inlineStr">
        <is>
          <t>FALSE</t>
        </is>
      </c>
      <c r="I837" t="inlineStr">
        <is>
          <t>Not at all typical of me = 1 | 2 = 2 | 3 = 3 | 4 = 4 | Very typical of me = 5</t>
        </is>
      </c>
      <c r="J837" t="inlineStr">
        <is>
          <t>NIHR appendix prints the expanded form: I have been a worrier all my life.</t>
        </is>
      </c>
      <c r="K837" t="inlineStr">
        <is>
          <t>https://www.ncbi.nlm.nih.gov/books/NBK571032/bin/ch9.p265.pdf (NIHR Journals Library open access appendix reproducing the PSWQ)</t>
        </is>
      </c>
    </row>
    <row r="838">
      <c r="A838" t="inlineStr">
        <is>
          <t>PSWQ</t>
        </is>
      </c>
      <c r="B838" t="inlineStr">
        <is>
          <t>Penn State Worry Questionnaire</t>
        </is>
      </c>
      <c r="C838" t="inlineStr">
        <is>
          <t>4. Clinical and distress screening</t>
        </is>
      </c>
      <c r="D838" t="n">
        <v>13</v>
      </c>
      <c r="E838" t="inlineStr">
        <is>
          <t>I notice that I have been worrying about things.</t>
        </is>
      </c>
      <c r="F838" t="inlineStr">
        <is>
          <t>Total</t>
        </is>
      </c>
      <c r="G838" t="inlineStr">
        <is>
          <t>FALSE</t>
        </is>
      </c>
      <c r="H838" t="inlineStr">
        <is>
          <t>FALSE</t>
        </is>
      </c>
      <c r="I838" t="inlineStr">
        <is>
          <t>Not at all typical of me = 1 | 2 = 2 | 3 = 3 | 4 = 4 | Very typical of me = 5</t>
        </is>
      </c>
      <c r="K838" t="inlineStr">
        <is>
          <t>https://www.ncbi.nlm.nih.gov/books/NBK571032/bin/ch9.p265.pdf (NIHR Journals Library open access appendix reproducing the PSWQ)</t>
        </is>
      </c>
    </row>
    <row r="839">
      <c r="A839" t="inlineStr">
        <is>
          <t>PSWQ</t>
        </is>
      </c>
      <c r="B839" t="inlineStr">
        <is>
          <t>Penn State Worry Questionnaire</t>
        </is>
      </c>
      <c r="C839" t="inlineStr">
        <is>
          <t>4. Clinical and distress screening</t>
        </is>
      </c>
      <c r="D839" t="n">
        <v>14</v>
      </c>
      <c r="E839" t="inlineStr">
        <is>
          <t>Once I start worrying, I can't stop.</t>
        </is>
      </c>
      <c r="F839" t="inlineStr">
        <is>
          <t>Total</t>
        </is>
      </c>
      <c r="G839" t="inlineStr">
        <is>
          <t>FALSE</t>
        </is>
      </c>
      <c r="H839" t="inlineStr">
        <is>
          <t>FALSE</t>
        </is>
      </c>
      <c r="I839" t="inlineStr">
        <is>
          <t>Not at all typical of me = 1 | 2 = 2 | 3 = 3 | 4 = 4 | Very typical of me = 5</t>
        </is>
      </c>
      <c r="J839" t="inlineStr">
        <is>
          <t>NIHR appendix prints the expanded form: Once I start worrying, I cannot stop.</t>
        </is>
      </c>
      <c r="K839" t="inlineStr">
        <is>
          <t>https://www.ncbi.nlm.nih.gov/books/NBK571032/bin/ch9.p265.pdf (NIHR Journals Library open access appendix reproducing the PSWQ)</t>
        </is>
      </c>
    </row>
    <row r="840">
      <c r="A840" t="inlineStr">
        <is>
          <t>PSWQ</t>
        </is>
      </c>
      <c r="B840" t="inlineStr">
        <is>
          <t>Penn State Worry Questionnaire</t>
        </is>
      </c>
      <c r="C840" t="inlineStr">
        <is>
          <t>4. Clinical and distress screening</t>
        </is>
      </c>
      <c r="D840" t="n">
        <v>15</v>
      </c>
      <c r="E840" t="inlineStr">
        <is>
          <t>I worry all the time.</t>
        </is>
      </c>
      <c r="F840" t="inlineStr">
        <is>
          <t>Total</t>
        </is>
      </c>
      <c r="G840" t="inlineStr">
        <is>
          <t>FALSE</t>
        </is>
      </c>
      <c r="H840" t="inlineStr">
        <is>
          <t>FALSE</t>
        </is>
      </c>
      <c r="I840" t="inlineStr">
        <is>
          <t>Not at all typical of me = 1 | 2 = 2 | 3 = 3 | 4 = 4 | Very typical of me = 5</t>
        </is>
      </c>
      <c r="K840" t="inlineStr">
        <is>
          <t>https://www.ncbi.nlm.nih.gov/books/NBK571032/bin/ch9.p265.pdf (NIHR Journals Library open access appendix reproducing the PSWQ)</t>
        </is>
      </c>
    </row>
    <row r="841">
      <c r="A841" t="inlineStr">
        <is>
          <t>PSWQ</t>
        </is>
      </c>
      <c r="B841" t="inlineStr">
        <is>
          <t>Penn State Worry Questionnaire</t>
        </is>
      </c>
      <c r="C841" t="inlineStr">
        <is>
          <t>4. Clinical and distress screening</t>
        </is>
      </c>
      <c r="D841" t="n">
        <v>16</v>
      </c>
      <c r="E841" t="inlineStr">
        <is>
          <t>I worry about projects until they are all done.</t>
        </is>
      </c>
      <c r="F841" t="inlineStr">
        <is>
          <t>Total</t>
        </is>
      </c>
      <c r="G841" t="inlineStr">
        <is>
          <t>FALSE</t>
        </is>
      </c>
      <c r="H841" t="inlineStr">
        <is>
          <t>FALSE</t>
        </is>
      </c>
      <c r="I841" t="inlineStr">
        <is>
          <t>Not at all typical of me = 1 | 2 = 2 | 3 = 3 | 4 = 4 | Very typical of me = 5</t>
        </is>
      </c>
      <c r="K841" t="inlineStr">
        <is>
          <t>https://www.ncbi.nlm.nih.gov/books/NBK571032/bin/ch9.p265.pdf (NIHR Journals Library open access appendix reproducing the PSWQ)</t>
        </is>
      </c>
    </row>
    <row r="842">
      <c r="A842" t="inlineStr">
        <is>
          <t>RAADS-14</t>
        </is>
      </c>
      <c r="B842" t="inlineStr">
        <is>
          <t>Ritvo Autism Asperger Diagnostic Scale, 14 item Screen</t>
        </is>
      </c>
      <c r="C842" t="inlineStr">
        <is>
          <t>4. Clinical and distress screening</t>
        </is>
      </c>
      <c r="D842" t="n">
        <v>1</v>
      </c>
      <c r="E842" t="inlineStr">
        <is>
          <t>It is difficult for me to understand how other people are feeling when we are talking</t>
        </is>
      </c>
      <c r="F842" t="inlineStr">
        <is>
          <t>Mentalizing deficits</t>
        </is>
      </c>
      <c r="G842" t="inlineStr">
        <is>
          <t>FALSE</t>
        </is>
      </c>
      <c r="H842" t="inlineStr">
        <is>
          <t>FALSE</t>
        </is>
      </c>
      <c r="I842" t="inlineStr">
        <is>
          <t>True now and when I was young = 3 | True only now = 2 | True only when I was younger than 16 = 1 | Never true = 0</t>
        </is>
      </c>
      <c r="K842" t="inlineStr">
        <is>
          <t>https://pmc.ncbi.nlm.nih.gov/articles/PMC3907126</t>
        </is>
      </c>
    </row>
    <row r="843">
      <c r="A843" t="inlineStr">
        <is>
          <t>RAADS-14</t>
        </is>
      </c>
      <c r="B843" t="inlineStr">
        <is>
          <t>Ritvo Autism Asperger Diagnostic Scale, 14 item Screen</t>
        </is>
      </c>
      <c r="C843" t="inlineStr">
        <is>
          <t>4. Clinical and distress screening</t>
        </is>
      </c>
      <c r="D843" t="n">
        <v>2</v>
      </c>
      <c r="E843" t="inlineStr">
        <is>
          <t>Some ordinary textures that do not bother others feel very offensive when they touch my skin</t>
        </is>
      </c>
      <c r="F843" t="inlineStr">
        <is>
          <t>Sensory reactivity</t>
        </is>
      </c>
      <c r="G843" t="inlineStr">
        <is>
          <t>FALSE</t>
        </is>
      </c>
      <c r="H843" t="inlineStr">
        <is>
          <t>FALSE</t>
        </is>
      </c>
      <c r="I843" t="inlineStr">
        <is>
          <t>True now and when I was young = 3 | True only now = 2 | True only when I was younger than 16 = 1 | Never true = 0</t>
        </is>
      </c>
      <c r="K843" t="inlineStr">
        <is>
          <t>https://pmc.ncbi.nlm.nih.gov/articles/PMC3907126</t>
        </is>
      </c>
    </row>
    <row r="844">
      <c r="A844" t="inlineStr">
        <is>
          <t>RAADS-14</t>
        </is>
      </c>
      <c r="B844" t="inlineStr">
        <is>
          <t>Ritvo Autism Asperger Diagnostic Scale, 14 item Screen</t>
        </is>
      </c>
      <c r="C844" t="inlineStr">
        <is>
          <t>4. Clinical and distress screening</t>
        </is>
      </c>
      <c r="D844" t="n">
        <v>3</v>
      </c>
      <c r="E844" t="inlineStr">
        <is>
          <t>It is very difficult for me to work and function in groups</t>
        </is>
      </c>
      <c r="F844" t="inlineStr">
        <is>
          <t>Social anxiety</t>
        </is>
      </c>
      <c r="G844" t="inlineStr">
        <is>
          <t>FALSE</t>
        </is>
      </c>
      <c r="H844" t="inlineStr">
        <is>
          <t>FALSE</t>
        </is>
      </c>
      <c r="I844" t="inlineStr">
        <is>
          <t>True now and when I was young = 3 | True only now = 2 | True only when I was younger than 16 = 1 | Never true = 0</t>
        </is>
      </c>
      <c r="K844" t="inlineStr">
        <is>
          <t>https://pmc.ncbi.nlm.nih.gov/articles/PMC3907126</t>
        </is>
      </c>
    </row>
    <row r="845">
      <c r="A845" t="inlineStr">
        <is>
          <t>RAADS-14</t>
        </is>
      </c>
      <c r="B845" t="inlineStr">
        <is>
          <t>Ritvo Autism Asperger Diagnostic Scale, 14 item Screen</t>
        </is>
      </c>
      <c r="C845" t="inlineStr">
        <is>
          <t>4. Clinical and distress screening</t>
        </is>
      </c>
      <c r="D845" t="n">
        <v>4</v>
      </c>
      <c r="E845" t="inlineStr">
        <is>
          <t>It is difficult to figure out what other people expect of me</t>
        </is>
      </c>
      <c r="F845" t="inlineStr">
        <is>
          <t>Mentalizing deficits</t>
        </is>
      </c>
      <c r="G845" t="inlineStr">
        <is>
          <t>FALSE</t>
        </is>
      </c>
      <c r="H845" t="inlineStr">
        <is>
          <t>FALSE</t>
        </is>
      </c>
      <c r="I845" t="inlineStr">
        <is>
          <t>True now and when I was young = 3 | True only now = 2 | True only when I was younger than 16 = 1 | Never true = 0</t>
        </is>
      </c>
      <c r="K845" t="inlineStr">
        <is>
          <t>https://pmc.ncbi.nlm.nih.gov/articles/PMC3907126</t>
        </is>
      </c>
    </row>
    <row r="846">
      <c r="A846" t="inlineStr">
        <is>
          <t>RAADS-14</t>
        </is>
      </c>
      <c r="B846" t="inlineStr">
        <is>
          <t>Ritvo Autism Asperger Diagnostic Scale, 14 item Screen</t>
        </is>
      </c>
      <c r="C846" t="inlineStr">
        <is>
          <t>4. Clinical and distress screening</t>
        </is>
      </c>
      <c r="D846" t="n">
        <v>5</v>
      </c>
      <c r="E846" t="inlineStr">
        <is>
          <t>I often don't know how to act in social situations</t>
        </is>
      </c>
      <c r="F846" t="inlineStr">
        <is>
          <t>Social anxiety</t>
        </is>
      </c>
      <c r="G846" t="inlineStr">
        <is>
          <t>FALSE</t>
        </is>
      </c>
      <c r="H846" t="inlineStr">
        <is>
          <t>FALSE</t>
        </is>
      </c>
      <c r="I846" t="inlineStr">
        <is>
          <t>True now and when I was young = 3 | True only now = 2 | True only when I was younger than 16 = 1 | Never true = 0</t>
        </is>
      </c>
      <c r="K846" t="inlineStr">
        <is>
          <t>https://pmc.ncbi.nlm.nih.gov/articles/PMC3907126</t>
        </is>
      </c>
    </row>
    <row r="847">
      <c r="A847" t="inlineStr">
        <is>
          <t>RAADS-14</t>
        </is>
      </c>
      <c r="B847" t="inlineStr">
        <is>
          <t>Ritvo Autism Asperger Diagnostic Scale, 14 item Screen</t>
        </is>
      </c>
      <c r="C847" t="inlineStr">
        <is>
          <t>4. Clinical and distress screening</t>
        </is>
      </c>
      <c r="D847" t="n">
        <v>6</v>
      </c>
      <c r="E847" t="inlineStr">
        <is>
          <t>I can chat and make small talk with people</t>
        </is>
      </c>
      <c r="F847" t="inlineStr">
        <is>
          <t>Social anxiety</t>
        </is>
      </c>
      <c r="G847" t="inlineStr">
        <is>
          <t>TRUE</t>
        </is>
      </c>
      <c r="H847" t="inlineStr">
        <is>
          <t>FALSE</t>
        </is>
      </c>
      <c r="I847" t="inlineStr">
        <is>
          <t>True now and when I was young = 3 | True only now = 2 | True only when I was younger than 16 = 1 | Never true = 0</t>
        </is>
      </c>
      <c r="J847" t="inlineStr">
        <is>
          <t>Reversed item: scored 0 for True now and when I was young through 3 for Never true</t>
        </is>
      </c>
      <c r="K847" t="inlineStr">
        <is>
          <t>https://pmc.ncbi.nlm.nih.gov/articles/PMC3907126</t>
        </is>
      </c>
    </row>
    <row r="848">
      <c r="A848" t="inlineStr">
        <is>
          <t>RAADS-14</t>
        </is>
      </c>
      <c r="B848" t="inlineStr">
        <is>
          <t>Ritvo Autism Asperger Diagnostic Scale, 14 item Screen</t>
        </is>
      </c>
      <c r="C848" t="inlineStr">
        <is>
          <t>4. Clinical and distress screening</t>
        </is>
      </c>
      <c r="D848" t="n">
        <v>7</v>
      </c>
      <c r="E848" t="inlineStr">
        <is>
          <t>When I feel overwhelmed by my senses, I have to isolate myself to shut them down</t>
        </is>
      </c>
      <c r="F848" t="inlineStr">
        <is>
          <t>Sensory reactivity</t>
        </is>
      </c>
      <c r="G848" t="inlineStr">
        <is>
          <t>FALSE</t>
        </is>
      </c>
      <c r="H848" t="inlineStr">
        <is>
          <t>FALSE</t>
        </is>
      </c>
      <c r="I848" t="inlineStr">
        <is>
          <t>True now and when I was young = 3 | True only now = 2 | True only when I was younger than 16 = 1 | Never true = 0</t>
        </is>
      </c>
      <c r="K848" t="inlineStr">
        <is>
          <t>https://pmc.ncbi.nlm.nih.gov/articles/PMC3907126</t>
        </is>
      </c>
    </row>
    <row r="849">
      <c r="A849" t="inlineStr">
        <is>
          <t>RAADS-14</t>
        </is>
      </c>
      <c r="B849" t="inlineStr">
        <is>
          <t>Ritvo Autism Asperger Diagnostic Scale, 14 item Screen</t>
        </is>
      </c>
      <c r="C849" t="inlineStr">
        <is>
          <t>4. Clinical and distress screening</t>
        </is>
      </c>
      <c r="D849" t="n">
        <v>8</v>
      </c>
      <c r="E849" t="inlineStr">
        <is>
          <t>How to make friends and socialize is a mystery to me</t>
        </is>
      </c>
      <c r="F849" t="inlineStr">
        <is>
          <t>Social anxiety</t>
        </is>
      </c>
      <c r="G849" t="inlineStr">
        <is>
          <t>FALSE</t>
        </is>
      </c>
      <c r="H849" t="inlineStr">
        <is>
          <t>FALSE</t>
        </is>
      </c>
      <c r="I849" t="inlineStr">
        <is>
          <t>True now and when I was young = 3 | True only now = 2 | True only when I was younger than 16 = 1 | Never true = 0</t>
        </is>
      </c>
      <c r="K849" t="inlineStr">
        <is>
          <t>https://pmc.ncbi.nlm.nih.gov/articles/PMC3907126</t>
        </is>
      </c>
    </row>
    <row r="850">
      <c r="A850" t="inlineStr">
        <is>
          <t>RAADS-14</t>
        </is>
      </c>
      <c r="B850" t="inlineStr">
        <is>
          <t>Ritvo Autism Asperger Diagnostic Scale, 14 item Screen</t>
        </is>
      </c>
      <c r="C850" t="inlineStr">
        <is>
          <t>4. Clinical and distress screening</t>
        </is>
      </c>
      <c r="D850" t="n">
        <v>9</v>
      </c>
      <c r="E850" t="inlineStr">
        <is>
          <t>When talking to someone, I have a hard time telling when it is my turn to talk or to listen</t>
        </is>
      </c>
      <c r="F850" t="inlineStr">
        <is>
          <t>Mentalizing deficits</t>
        </is>
      </c>
      <c r="G850" t="inlineStr">
        <is>
          <t>FALSE</t>
        </is>
      </c>
      <c r="H850" t="inlineStr">
        <is>
          <t>FALSE</t>
        </is>
      </c>
      <c r="I850" t="inlineStr">
        <is>
          <t>True now and when I was young = 3 | True only now = 2 | True only when I was younger than 16 = 1 | Never true = 0</t>
        </is>
      </c>
      <c r="K850" t="inlineStr">
        <is>
          <t>https://pmc.ncbi.nlm.nih.gov/articles/PMC3907126</t>
        </is>
      </c>
    </row>
    <row r="851">
      <c r="A851" t="inlineStr">
        <is>
          <t>RAADS-14</t>
        </is>
      </c>
      <c r="B851" t="inlineStr">
        <is>
          <t>Ritvo Autism Asperger Diagnostic Scale, 14 item Screen</t>
        </is>
      </c>
      <c r="C851" t="inlineStr">
        <is>
          <t>4. Clinical and distress screening</t>
        </is>
      </c>
      <c r="D851" t="n">
        <v>10</v>
      </c>
      <c r="E851" t="inlineStr">
        <is>
          <t>Sometimes I have to cover my ears to block out painful noises (like vacuum cleaners or people talking too much or too loudly)</t>
        </is>
      </c>
      <c r="F851" t="inlineStr">
        <is>
          <t>Sensory reactivity</t>
        </is>
      </c>
      <c r="G851" t="inlineStr">
        <is>
          <t>FALSE</t>
        </is>
      </c>
      <c r="H851" t="inlineStr">
        <is>
          <t>FALSE</t>
        </is>
      </c>
      <c r="I851" t="inlineStr">
        <is>
          <t>True now and when I was young = 3 | True only now = 2 | True only when I was younger than 16 = 1 | Never true = 0</t>
        </is>
      </c>
      <c r="K851" t="inlineStr">
        <is>
          <t>https://pmc.ncbi.nlm.nih.gov/articles/PMC3907126</t>
        </is>
      </c>
    </row>
    <row r="852">
      <c r="A852" t="inlineStr">
        <is>
          <t>RAADS-14</t>
        </is>
      </c>
      <c r="B852" t="inlineStr">
        <is>
          <t>Ritvo Autism Asperger Diagnostic Scale, 14 item Screen</t>
        </is>
      </c>
      <c r="C852" t="inlineStr">
        <is>
          <t>4. Clinical and distress screening</t>
        </is>
      </c>
      <c r="D852" t="n">
        <v>11</v>
      </c>
      <c r="E852" t="inlineStr">
        <is>
          <t>It can be very hard to read someone's face, hand, and body movements when we are talking</t>
        </is>
      </c>
      <c r="F852" t="inlineStr">
        <is>
          <t>Mentalizing deficits</t>
        </is>
      </c>
      <c r="G852" t="inlineStr">
        <is>
          <t>FALSE</t>
        </is>
      </c>
      <c r="H852" t="inlineStr">
        <is>
          <t>FALSE</t>
        </is>
      </c>
      <c r="I852" t="inlineStr">
        <is>
          <t>True now and when I was young = 3 | True only now = 2 | True only when I was younger than 16 = 1 | Never true = 0</t>
        </is>
      </c>
      <c r="K852" t="inlineStr">
        <is>
          <t>https://pmc.ncbi.nlm.nih.gov/articles/PMC3907126</t>
        </is>
      </c>
    </row>
    <row r="853">
      <c r="A853" t="inlineStr">
        <is>
          <t>RAADS-14</t>
        </is>
      </c>
      <c r="B853" t="inlineStr">
        <is>
          <t>Ritvo Autism Asperger Diagnostic Scale, 14 item Screen</t>
        </is>
      </c>
      <c r="C853" t="inlineStr">
        <is>
          <t>4. Clinical and distress screening</t>
        </is>
      </c>
      <c r="D853" t="n">
        <v>12</v>
      </c>
      <c r="E853" t="inlineStr">
        <is>
          <t>I focus on details rather than the overall idea</t>
        </is>
      </c>
      <c r="F853" t="inlineStr">
        <is>
          <t>Mentalizing deficits</t>
        </is>
      </c>
      <c r="G853" t="inlineStr">
        <is>
          <t>FALSE</t>
        </is>
      </c>
      <c r="H853" t="inlineStr">
        <is>
          <t>FALSE</t>
        </is>
      </c>
      <c r="I853" t="inlineStr">
        <is>
          <t>True now and when I was young = 3 | True only now = 2 | True only when I was younger than 16 = 1 | Never true = 0</t>
        </is>
      </c>
      <c r="K853" t="inlineStr">
        <is>
          <t>https://pmc.ncbi.nlm.nih.gov/articles/PMC3907126</t>
        </is>
      </c>
    </row>
    <row r="854">
      <c r="A854" t="inlineStr">
        <is>
          <t>RAADS-14</t>
        </is>
      </c>
      <c r="B854" t="inlineStr">
        <is>
          <t>Ritvo Autism Asperger Diagnostic Scale, 14 item Screen</t>
        </is>
      </c>
      <c r="C854" t="inlineStr">
        <is>
          <t>4. Clinical and distress screening</t>
        </is>
      </c>
      <c r="D854" t="n">
        <v>13</v>
      </c>
      <c r="E854" t="inlineStr">
        <is>
          <t>I take things too literally, so I often miss what people are trying to say</t>
        </is>
      </c>
      <c r="F854" t="inlineStr">
        <is>
          <t>Mentalizing deficits</t>
        </is>
      </c>
      <c r="G854" t="inlineStr">
        <is>
          <t>FALSE</t>
        </is>
      </c>
      <c r="H854" t="inlineStr">
        <is>
          <t>FALSE</t>
        </is>
      </c>
      <c r="I854" t="inlineStr">
        <is>
          <t>True now and when I was young = 3 | True only now = 2 | True only when I was younger than 16 = 1 | Never true = 0</t>
        </is>
      </c>
      <c r="K854" t="inlineStr">
        <is>
          <t>https://pmc.ncbi.nlm.nih.gov/articles/PMC3907126</t>
        </is>
      </c>
    </row>
    <row r="855">
      <c r="A855" t="inlineStr">
        <is>
          <t>RAADS-14</t>
        </is>
      </c>
      <c r="B855" t="inlineStr">
        <is>
          <t>Ritvo Autism Asperger Diagnostic Scale, 14 item Screen</t>
        </is>
      </c>
      <c r="C855" t="inlineStr">
        <is>
          <t>4. Clinical and distress screening</t>
        </is>
      </c>
      <c r="D855" t="n">
        <v>14</v>
      </c>
      <c r="E855" t="inlineStr">
        <is>
          <t>I get extremely upset when the way I like to do things is suddenly changed</t>
        </is>
      </c>
      <c r="F855" t="inlineStr">
        <is>
          <t>Mentalizing deficits</t>
        </is>
      </c>
      <c r="G855" t="inlineStr">
        <is>
          <t>FALSE</t>
        </is>
      </c>
      <c r="H855" t="inlineStr">
        <is>
          <t>FALSE</t>
        </is>
      </c>
      <c r="I855" t="inlineStr">
        <is>
          <t>True now and when I was young = 3 | True only now = 2 | True only when I was younger than 16 = 1 | Never true = 0</t>
        </is>
      </c>
      <c r="K855" t="inlineStr">
        <is>
          <t>https://pmc.ncbi.nlm.nih.gov/articles/PMC3907126</t>
        </is>
      </c>
    </row>
    <row r="856">
      <c r="A856" t="inlineStr">
        <is>
          <t>SAPS</t>
        </is>
      </c>
      <c r="B856" t="inlineStr">
        <is>
          <t>Short Almost Perfect Scale</t>
        </is>
      </c>
      <c r="C856" t="inlineStr">
        <is>
          <t>5. Self talk, thinking patterns and personality</t>
        </is>
      </c>
      <c r="D856" t="n">
        <v>1</v>
      </c>
      <c r="E856" t="inlineStr">
        <is>
          <t>I have high expectations for myself.</t>
        </is>
      </c>
      <c r="F856" t="inlineStr">
        <is>
          <t>Standards</t>
        </is>
      </c>
      <c r="G856" t="inlineStr">
        <is>
          <t>FALSE</t>
        </is>
      </c>
      <c r="H856" t="inlineStr">
        <is>
          <t>FALSE</t>
        </is>
      </c>
      <c r="I856" t="inlineStr">
        <is>
          <t>STRONGLY DISAGREE = 1 | DISAGREE = 2 | SLIGHTLY DISAGREE = 3 | NEUTRAL = 4 | SLIGHTLY AGREE = 5 | AGREE = 6 | STRONGLY AGREE = 7</t>
        </is>
      </c>
      <c r="K856" t="inlineStr">
        <is>
          <t>https://kennethwang.com/apsr/scales/SAPS-English.pdf</t>
        </is>
      </c>
    </row>
    <row r="857">
      <c r="A857" t="inlineStr">
        <is>
          <t>SAPS</t>
        </is>
      </c>
      <c r="B857" t="inlineStr">
        <is>
          <t>Short Almost Perfect Scale</t>
        </is>
      </c>
      <c r="C857" t="inlineStr">
        <is>
          <t>5. Self talk, thinking patterns and personality</t>
        </is>
      </c>
      <c r="D857" t="n">
        <v>2</v>
      </c>
      <c r="E857" t="inlineStr">
        <is>
          <t>Doing my best never seems to be enough.</t>
        </is>
      </c>
      <c r="F857" t="inlineStr">
        <is>
          <t>Discrepancy</t>
        </is>
      </c>
      <c r="G857" t="inlineStr">
        <is>
          <t>FALSE</t>
        </is>
      </c>
      <c r="H857" t="inlineStr">
        <is>
          <t>FALSE</t>
        </is>
      </c>
      <c r="I857" t="inlineStr">
        <is>
          <t>STRONGLY DISAGREE = 1 | DISAGREE = 2 | SLIGHTLY DISAGREE = 3 | NEUTRAL = 4 | SLIGHTLY AGREE = 5 | AGREE = 6 | STRONGLY AGREE = 7</t>
        </is>
      </c>
      <c r="K857" t="inlineStr">
        <is>
          <t>https://kennethwang.com/apsr/scales/SAPS-English.pdf</t>
        </is>
      </c>
    </row>
    <row r="858">
      <c r="A858" t="inlineStr">
        <is>
          <t>SAPS</t>
        </is>
      </c>
      <c r="B858" t="inlineStr">
        <is>
          <t>Short Almost Perfect Scale</t>
        </is>
      </c>
      <c r="C858" t="inlineStr">
        <is>
          <t>5. Self talk, thinking patterns and personality</t>
        </is>
      </c>
      <c r="D858" t="n">
        <v>3</v>
      </c>
      <c r="E858" t="inlineStr">
        <is>
          <t>I set very high standards for myself.</t>
        </is>
      </c>
      <c r="F858" t="inlineStr">
        <is>
          <t>Standards</t>
        </is>
      </c>
      <c r="G858" t="inlineStr">
        <is>
          <t>FALSE</t>
        </is>
      </c>
      <c r="H858" t="inlineStr">
        <is>
          <t>FALSE</t>
        </is>
      </c>
      <c r="I858" t="inlineStr">
        <is>
          <t>STRONGLY DISAGREE = 1 | DISAGREE = 2 | SLIGHTLY DISAGREE = 3 | NEUTRAL = 4 | SLIGHTLY AGREE = 5 | AGREE = 6 | STRONGLY AGREE = 7</t>
        </is>
      </c>
      <c r="K858" t="inlineStr">
        <is>
          <t>https://kennethwang.com/apsr/scales/SAPS-English.pdf</t>
        </is>
      </c>
    </row>
    <row r="859">
      <c r="A859" t="inlineStr">
        <is>
          <t>SAPS</t>
        </is>
      </c>
      <c r="B859" t="inlineStr">
        <is>
          <t>Short Almost Perfect Scale</t>
        </is>
      </c>
      <c r="C859" t="inlineStr">
        <is>
          <t>5. Self talk, thinking patterns and personality</t>
        </is>
      </c>
      <c r="D859" t="n">
        <v>4</v>
      </c>
      <c r="E859" t="inlineStr">
        <is>
          <t>I often feel disappointment after completing a task because I know I could have done better.</t>
        </is>
      </c>
      <c r="F859" t="inlineStr">
        <is>
          <t>Discrepancy</t>
        </is>
      </c>
      <c r="G859" t="inlineStr">
        <is>
          <t>FALSE</t>
        </is>
      </c>
      <c r="H859" t="inlineStr">
        <is>
          <t>FALSE</t>
        </is>
      </c>
      <c r="I859" t="inlineStr">
        <is>
          <t>STRONGLY DISAGREE = 1 | DISAGREE = 2 | SLIGHTLY DISAGREE = 3 | NEUTRAL = 4 | SLIGHTLY AGREE = 5 | AGREE = 6 | STRONGLY AGREE = 7</t>
        </is>
      </c>
      <c r="K859" t="inlineStr">
        <is>
          <t>https://kennethwang.com/apsr/scales/SAPS-English.pdf</t>
        </is>
      </c>
    </row>
    <row r="860">
      <c r="A860" t="inlineStr">
        <is>
          <t>SAPS</t>
        </is>
      </c>
      <c r="B860" t="inlineStr">
        <is>
          <t>Short Almost Perfect Scale</t>
        </is>
      </c>
      <c r="C860" t="inlineStr">
        <is>
          <t>5. Self talk, thinking patterns and personality</t>
        </is>
      </c>
      <c r="D860" t="n">
        <v>5</v>
      </c>
      <c r="E860" t="inlineStr">
        <is>
          <t>I have a strong need to strive for excellence.</t>
        </is>
      </c>
      <c r="F860" t="inlineStr">
        <is>
          <t>Standards</t>
        </is>
      </c>
      <c r="G860" t="inlineStr">
        <is>
          <t>FALSE</t>
        </is>
      </c>
      <c r="H860" t="inlineStr">
        <is>
          <t>FALSE</t>
        </is>
      </c>
      <c r="I860" t="inlineStr">
        <is>
          <t>STRONGLY DISAGREE = 1 | DISAGREE = 2 | SLIGHTLY DISAGREE = 3 | NEUTRAL = 4 | SLIGHTLY AGREE = 5 | AGREE = 6 | STRONGLY AGREE = 7</t>
        </is>
      </c>
      <c r="K860" t="inlineStr">
        <is>
          <t>https://kennethwang.com/apsr/scales/SAPS-English.pdf</t>
        </is>
      </c>
    </row>
    <row r="861">
      <c r="A861" t="inlineStr">
        <is>
          <t>SAPS</t>
        </is>
      </c>
      <c r="B861" t="inlineStr">
        <is>
          <t>Short Almost Perfect Scale</t>
        </is>
      </c>
      <c r="C861" t="inlineStr">
        <is>
          <t>5. Self talk, thinking patterns and personality</t>
        </is>
      </c>
      <c r="D861" t="n">
        <v>6</v>
      </c>
      <c r="E861" t="inlineStr">
        <is>
          <t>My performance rarely measures up to my standards.</t>
        </is>
      </c>
      <c r="F861" t="inlineStr">
        <is>
          <t>Discrepancy</t>
        </is>
      </c>
      <c r="G861" t="inlineStr">
        <is>
          <t>FALSE</t>
        </is>
      </c>
      <c r="H861" t="inlineStr">
        <is>
          <t>FALSE</t>
        </is>
      </c>
      <c r="I861" t="inlineStr">
        <is>
          <t>STRONGLY DISAGREE = 1 | DISAGREE = 2 | SLIGHTLY DISAGREE = 3 | NEUTRAL = 4 | SLIGHTLY AGREE = 5 | AGREE = 6 | STRONGLY AGREE = 7</t>
        </is>
      </c>
      <c r="K861" t="inlineStr">
        <is>
          <t>https://kennethwang.com/apsr/scales/SAPS-English.pdf</t>
        </is>
      </c>
    </row>
    <row r="862">
      <c r="A862" t="inlineStr">
        <is>
          <t>SAPS</t>
        </is>
      </c>
      <c r="B862" t="inlineStr">
        <is>
          <t>Short Almost Perfect Scale</t>
        </is>
      </c>
      <c r="C862" t="inlineStr">
        <is>
          <t>5. Self talk, thinking patterns and personality</t>
        </is>
      </c>
      <c r="D862" t="n">
        <v>7</v>
      </c>
      <c r="E862" t="inlineStr">
        <is>
          <t>I expect the best from myself.</t>
        </is>
      </c>
      <c r="F862" t="inlineStr">
        <is>
          <t>Standards</t>
        </is>
      </c>
      <c r="G862" t="inlineStr">
        <is>
          <t>FALSE</t>
        </is>
      </c>
      <c r="H862" t="inlineStr">
        <is>
          <t>FALSE</t>
        </is>
      </c>
      <c r="I862" t="inlineStr">
        <is>
          <t>STRONGLY DISAGREE = 1 | DISAGREE = 2 | SLIGHTLY DISAGREE = 3 | NEUTRAL = 4 | SLIGHTLY AGREE = 5 | AGREE = 6 | STRONGLY AGREE = 7</t>
        </is>
      </c>
      <c r="K862" t="inlineStr">
        <is>
          <t>https://kennethwang.com/apsr/scales/SAPS-English.pdf</t>
        </is>
      </c>
    </row>
    <row r="863">
      <c r="A863" t="inlineStr">
        <is>
          <t>SAPS</t>
        </is>
      </c>
      <c r="B863" t="inlineStr">
        <is>
          <t>Short Almost Perfect Scale</t>
        </is>
      </c>
      <c r="C863" t="inlineStr">
        <is>
          <t>5. Self talk, thinking patterns and personality</t>
        </is>
      </c>
      <c r="D863" t="n">
        <v>8</v>
      </c>
      <c r="E863" t="inlineStr">
        <is>
          <t>I am hardly ever satisfied with my performance.</t>
        </is>
      </c>
      <c r="F863" t="inlineStr">
        <is>
          <t>Discrepancy</t>
        </is>
      </c>
      <c r="G863" t="inlineStr">
        <is>
          <t>FALSE</t>
        </is>
      </c>
      <c r="H863" t="inlineStr">
        <is>
          <t>FALSE</t>
        </is>
      </c>
      <c r="I863" t="inlineStr">
        <is>
          <t>STRONGLY DISAGREE = 1 | DISAGREE = 2 | SLIGHTLY DISAGREE = 3 | NEUTRAL = 4 | SLIGHTLY AGREE = 5 | AGREE = 6 | STRONGLY AGREE = 7</t>
        </is>
      </c>
      <c r="K863" t="inlineStr">
        <is>
          <t>https://kennethwang.com/apsr/scales/SAPS-English.pdf</t>
        </is>
      </c>
    </row>
    <row r="864">
      <c r="A864" t="inlineStr">
        <is>
          <t>SCS</t>
        </is>
      </c>
      <c r="B864" t="inlineStr">
        <is>
          <t>Self-Compassion Scale, long form</t>
        </is>
      </c>
      <c r="C864" t="inlineStr">
        <is>
          <t>5. Self talk, thinking patterns and personality</t>
        </is>
      </c>
      <c r="D864" t="n">
        <v>1</v>
      </c>
      <c r="E864" t="inlineStr">
        <is>
          <t>I'm disapproving and judgmental about my own flaws and inadequacies.</t>
        </is>
      </c>
      <c r="F864" t="inlineStr">
        <is>
          <t>Self-Judgment</t>
        </is>
      </c>
      <c r="G864" t="inlineStr">
        <is>
          <t>TRUE</t>
        </is>
      </c>
      <c r="H864" t="inlineStr">
        <is>
          <t>FALSE</t>
        </is>
      </c>
      <c r="I864" t="inlineStr">
        <is>
          <t>Almost never = 1 | 2 = 2 | 3 = 3 | 4 = 4 | Almost always = 5</t>
        </is>
      </c>
      <c r="J864" t="inlineStr">
        <is>
          <t>Reverse scored before computing the total</t>
        </is>
      </c>
      <c r="K864" t="inlineStr">
        <is>
          <t>https://self-compassion.org/wptest/wp-content/uploads/Self_Compassion_Scale_for_researchers.pdf</t>
        </is>
      </c>
    </row>
    <row r="865">
      <c r="A865" t="inlineStr">
        <is>
          <t>SCS</t>
        </is>
      </c>
      <c r="B865" t="inlineStr">
        <is>
          <t>Self-Compassion Scale, long form</t>
        </is>
      </c>
      <c r="C865" t="inlineStr">
        <is>
          <t>5. Self talk, thinking patterns and personality</t>
        </is>
      </c>
      <c r="D865" t="n">
        <v>2</v>
      </c>
      <c r="E865" t="inlineStr">
        <is>
          <t>When I'm feeling down I tend to obsess and fixate on everything that's wrong.</t>
        </is>
      </c>
      <c r="F865" t="inlineStr">
        <is>
          <t>Over-identified</t>
        </is>
      </c>
      <c r="G865" t="inlineStr">
        <is>
          <t>TRUE</t>
        </is>
      </c>
      <c r="H865" t="inlineStr">
        <is>
          <t>FALSE</t>
        </is>
      </c>
      <c r="I865" t="inlineStr">
        <is>
          <t>Almost never = 1 | 2 = 2 | 3 = 3 | 4 = 4 | Almost always = 5</t>
        </is>
      </c>
      <c r="J865" t="inlineStr">
        <is>
          <t>Reverse scored before computing the total</t>
        </is>
      </c>
      <c r="K865" t="inlineStr">
        <is>
          <t>https://self-compassion.org/wptest/wp-content/uploads/Self_Compassion_Scale_for_researchers.pdf</t>
        </is>
      </c>
    </row>
    <row r="866">
      <c r="A866" t="inlineStr">
        <is>
          <t>SCS</t>
        </is>
      </c>
      <c r="B866" t="inlineStr">
        <is>
          <t>Self-Compassion Scale, long form</t>
        </is>
      </c>
      <c r="C866" t="inlineStr">
        <is>
          <t>5. Self talk, thinking patterns and personality</t>
        </is>
      </c>
      <c r="D866" t="n">
        <v>3</v>
      </c>
      <c r="E866" t="inlineStr">
        <is>
          <t>When things are going badly for me, I see the difficulties as part of life that everyone goes through.</t>
        </is>
      </c>
      <c r="F866" t="inlineStr">
        <is>
          <t>Common Humanity</t>
        </is>
      </c>
      <c r="G866" t="inlineStr">
        <is>
          <t>FALSE</t>
        </is>
      </c>
      <c r="H866" t="inlineStr">
        <is>
          <t>FALSE</t>
        </is>
      </c>
      <c r="I866" t="inlineStr">
        <is>
          <t>Almost never = 1 | 2 = 2 | 3 = 3 | 4 = 4 | Almost always = 5</t>
        </is>
      </c>
      <c r="K866" t="inlineStr">
        <is>
          <t>https://self-compassion.org/wptest/wp-content/uploads/Self_Compassion_Scale_for_researchers.pdf</t>
        </is>
      </c>
    </row>
    <row r="867">
      <c r="A867" t="inlineStr">
        <is>
          <t>SCS</t>
        </is>
      </c>
      <c r="B867" t="inlineStr">
        <is>
          <t>Self-Compassion Scale, long form</t>
        </is>
      </c>
      <c r="C867" t="inlineStr">
        <is>
          <t>5. Self talk, thinking patterns and personality</t>
        </is>
      </c>
      <c r="D867" t="n">
        <v>4</v>
      </c>
      <c r="E867" t="inlineStr">
        <is>
          <t>When I think about my inadequacies, it tends to make me feel more separate and cut off from the rest of the world.</t>
        </is>
      </c>
      <c r="F867" t="inlineStr">
        <is>
          <t>Isolation</t>
        </is>
      </c>
      <c r="G867" t="inlineStr">
        <is>
          <t>TRUE</t>
        </is>
      </c>
      <c r="H867" t="inlineStr">
        <is>
          <t>FALSE</t>
        </is>
      </c>
      <c r="I867" t="inlineStr">
        <is>
          <t>Almost never = 1 | 2 = 2 | 3 = 3 | 4 = 4 | Almost always = 5</t>
        </is>
      </c>
      <c r="J867" t="inlineStr">
        <is>
          <t>Reverse scored before computing the total</t>
        </is>
      </c>
      <c r="K867" t="inlineStr">
        <is>
          <t>https://self-compassion.org/wptest/wp-content/uploads/Self_Compassion_Scale_for_researchers.pdf</t>
        </is>
      </c>
    </row>
    <row r="868">
      <c r="A868" t="inlineStr">
        <is>
          <t>SCS</t>
        </is>
      </c>
      <c r="B868" t="inlineStr">
        <is>
          <t>Self-Compassion Scale, long form</t>
        </is>
      </c>
      <c r="C868" t="inlineStr">
        <is>
          <t>5. Self talk, thinking patterns and personality</t>
        </is>
      </c>
      <c r="D868" t="n">
        <v>5</v>
      </c>
      <c r="E868" t="inlineStr">
        <is>
          <t>I try to be loving towards myself when I'm feeling emotional pain.</t>
        </is>
      </c>
      <c r="F868" t="inlineStr">
        <is>
          <t>Self-Kindness</t>
        </is>
      </c>
      <c r="G868" t="inlineStr">
        <is>
          <t>FALSE</t>
        </is>
      </c>
      <c r="H868" t="inlineStr">
        <is>
          <t>FALSE</t>
        </is>
      </c>
      <c r="I868" t="inlineStr">
        <is>
          <t>Almost never = 1 | 2 = 2 | 3 = 3 | 4 = 4 | Almost always = 5</t>
        </is>
      </c>
      <c r="K868" t="inlineStr">
        <is>
          <t>https://self-compassion.org/wptest/wp-content/uploads/Self_Compassion_Scale_for_researchers.pdf</t>
        </is>
      </c>
    </row>
    <row r="869">
      <c r="A869" t="inlineStr">
        <is>
          <t>SCS</t>
        </is>
      </c>
      <c r="B869" t="inlineStr">
        <is>
          <t>Self-Compassion Scale, long form</t>
        </is>
      </c>
      <c r="C869" t="inlineStr">
        <is>
          <t>5. Self talk, thinking patterns and personality</t>
        </is>
      </c>
      <c r="D869" t="n">
        <v>6</v>
      </c>
      <c r="E869" t="inlineStr">
        <is>
          <t>When I fail at something important to me I become consumed by feelings of inadequacy.</t>
        </is>
      </c>
      <c r="F869" t="inlineStr">
        <is>
          <t>Over-identified</t>
        </is>
      </c>
      <c r="G869" t="inlineStr">
        <is>
          <t>TRUE</t>
        </is>
      </c>
      <c r="H869" t="inlineStr">
        <is>
          <t>FALSE</t>
        </is>
      </c>
      <c r="I869" t="inlineStr">
        <is>
          <t>Almost never = 1 | 2 = 2 | 3 = 3 | 4 = 4 | Almost always = 5</t>
        </is>
      </c>
      <c r="J869" t="inlineStr">
        <is>
          <t>Reverse scored before computing the total</t>
        </is>
      </c>
      <c r="K869" t="inlineStr">
        <is>
          <t>https://self-compassion.org/wptest/wp-content/uploads/Self_Compassion_Scale_for_researchers.pdf</t>
        </is>
      </c>
    </row>
    <row r="870">
      <c r="A870" t="inlineStr">
        <is>
          <t>SCS</t>
        </is>
      </c>
      <c r="B870" t="inlineStr">
        <is>
          <t>Self-Compassion Scale, long form</t>
        </is>
      </c>
      <c r="C870" t="inlineStr">
        <is>
          <t>5. Self talk, thinking patterns and personality</t>
        </is>
      </c>
      <c r="D870" t="n">
        <v>7</v>
      </c>
      <c r="E870" t="inlineStr">
        <is>
          <t>When I'm down and out, I remind myself that there are lots of other people in the world feeling like I am.</t>
        </is>
      </c>
      <c r="F870" t="inlineStr">
        <is>
          <t>Common Humanity</t>
        </is>
      </c>
      <c r="G870" t="inlineStr">
        <is>
          <t>FALSE</t>
        </is>
      </c>
      <c r="H870" t="inlineStr">
        <is>
          <t>FALSE</t>
        </is>
      </c>
      <c r="I870" t="inlineStr">
        <is>
          <t>Almost never = 1 | 2 = 2 | 3 = 3 | 4 = 4 | Almost always = 5</t>
        </is>
      </c>
      <c r="K870" t="inlineStr">
        <is>
          <t>https://self-compassion.org/wptest/wp-content/uploads/Self_Compassion_Scale_for_researchers.pdf</t>
        </is>
      </c>
    </row>
    <row r="871">
      <c r="A871" t="inlineStr">
        <is>
          <t>SCS</t>
        </is>
      </c>
      <c r="B871" t="inlineStr">
        <is>
          <t>Self-Compassion Scale, long form</t>
        </is>
      </c>
      <c r="C871" t="inlineStr">
        <is>
          <t>5. Self talk, thinking patterns and personality</t>
        </is>
      </c>
      <c r="D871" t="n">
        <v>8</v>
      </c>
      <c r="E871" t="inlineStr">
        <is>
          <t>When times are really difficult, I tend to be tough on myself.</t>
        </is>
      </c>
      <c r="F871" t="inlineStr">
        <is>
          <t>Self-Judgment</t>
        </is>
      </c>
      <c r="G871" t="inlineStr">
        <is>
          <t>TRUE</t>
        </is>
      </c>
      <c r="H871" t="inlineStr">
        <is>
          <t>FALSE</t>
        </is>
      </c>
      <c r="I871" t="inlineStr">
        <is>
          <t>Almost never = 1 | 2 = 2 | 3 = 3 | 4 = 4 | Almost always = 5</t>
        </is>
      </c>
      <c r="J871" t="inlineStr">
        <is>
          <t>Reverse scored before computing the total</t>
        </is>
      </c>
      <c r="K871" t="inlineStr">
        <is>
          <t>https://self-compassion.org/wptest/wp-content/uploads/Self_Compassion_Scale_for_researchers.pdf</t>
        </is>
      </c>
    </row>
    <row r="872">
      <c r="A872" t="inlineStr">
        <is>
          <t>SCS</t>
        </is>
      </c>
      <c r="B872" t="inlineStr">
        <is>
          <t>Self-Compassion Scale, long form</t>
        </is>
      </c>
      <c r="C872" t="inlineStr">
        <is>
          <t>5. Self talk, thinking patterns and personality</t>
        </is>
      </c>
      <c r="D872" t="n">
        <v>9</v>
      </c>
      <c r="E872" t="inlineStr">
        <is>
          <t>When something upsets me I try to keep my emotions in balance.</t>
        </is>
      </c>
      <c r="F872" t="inlineStr">
        <is>
          <t>Mindfulness</t>
        </is>
      </c>
      <c r="G872" t="inlineStr">
        <is>
          <t>FALSE</t>
        </is>
      </c>
      <c r="H872" t="inlineStr">
        <is>
          <t>FALSE</t>
        </is>
      </c>
      <c r="I872" t="inlineStr">
        <is>
          <t>Almost never = 1 | 2 = 2 | 3 = 3 | 4 = 4 | Almost always = 5</t>
        </is>
      </c>
      <c r="K872" t="inlineStr">
        <is>
          <t>https://self-compassion.org/wptest/wp-content/uploads/Self_Compassion_Scale_for_researchers.pdf</t>
        </is>
      </c>
    </row>
    <row r="873">
      <c r="A873" t="inlineStr">
        <is>
          <t>SCS</t>
        </is>
      </c>
      <c r="B873" t="inlineStr">
        <is>
          <t>Self-Compassion Scale, long form</t>
        </is>
      </c>
      <c r="C873" t="inlineStr">
        <is>
          <t>5. Self talk, thinking patterns and personality</t>
        </is>
      </c>
      <c r="D873" t="n">
        <v>10</v>
      </c>
      <c r="E873" t="inlineStr">
        <is>
          <t>When I feel inadequate in some way, I try to remind myself that feelings of inadequacy are shared by most people.</t>
        </is>
      </c>
      <c r="F873" t="inlineStr">
        <is>
          <t>Common Humanity</t>
        </is>
      </c>
      <c r="G873" t="inlineStr">
        <is>
          <t>FALSE</t>
        </is>
      </c>
      <c r="H873" t="inlineStr">
        <is>
          <t>FALSE</t>
        </is>
      </c>
      <c r="I873" t="inlineStr">
        <is>
          <t>Almost never = 1 | 2 = 2 | 3 = 3 | 4 = 4 | Almost always = 5</t>
        </is>
      </c>
      <c r="K873" t="inlineStr">
        <is>
          <t>https://self-compassion.org/wptest/wp-content/uploads/Self_Compassion_Scale_for_researchers.pdf</t>
        </is>
      </c>
    </row>
    <row r="874">
      <c r="A874" t="inlineStr">
        <is>
          <t>SCS</t>
        </is>
      </c>
      <c r="B874" t="inlineStr">
        <is>
          <t>Self-Compassion Scale, long form</t>
        </is>
      </c>
      <c r="C874" t="inlineStr">
        <is>
          <t>5. Self talk, thinking patterns and personality</t>
        </is>
      </c>
      <c r="D874" t="n">
        <v>11</v>
      </c>
      <c r="E874" t="inlineStr">
        <is>
          <t>I'm intolerant and impatient towards those aspects of my personality I don't like.</t>
        </is>
      </c>
      <c r="F874" t="inlineStr">
        <is>
          <t>Self-Judgment</t>
        </is>
      </c>
      <c r="G874" t="inlineStr">
        <is>
          <t>TRUE</t>
        </is>
      </c>
      <c r="H874" t="inlineStr">
        <is>
          <t>FALSE</t>
        </is>
      </c>
      <c r="I874" t="inlineStr">
        <is>
          <t>Almost never = 1 | 2 = 2 | 3 = 3 | 4 = 4 | Almost always = 5</t>
        </is>
      </c>
      <c r="J874" t="inlineStr">
        <is>
          <t>Reverse scored before computing the total</t>
        </is>
      </c>
      <c r="K874" t="inlineStr">
        <is>
          <t>https://self-compassion.org/wptest/wp-content/uploads/Self_Compassion_Scale_for_researchers.pdf</t>
        </is>
      </c>
    </row>
    <row r="875">
      <c r="A875" t="inlineStr">
        <is>
          <t>SCS</t>
        </is>
      </c>
      <c r="B875" t="inlineStr">
        <is>
          <t>Self-Compassion Scale, long form</t>
        </is>
      </c>
      <c r="C875" t="inlineStr">
        <is>
          <t>5. Self talk, thinking patterns and personality</t>
        </is>
      </c>
      <c r="D875" t="n">
        <v>12</v>
      </c>
      <c r="E875" t="inlineStr">
        <is>
          <t>When I'm going through a very hard time, I give myself the caring and tenderness I need.</t>
        </is>
      </c>
      <c r="F875" t="inlineStr">
        <is>
          <t>Self-Kindness</t>
        </is>
      </c>
      <c r="G875" t="inlineStr">
        <is>
          <t>FALSE</t>
        </is>
      </c>
      <c r="H875" t="inlineStr">
        <is>
          <t>FALSE</t>
        </is>
      </c>
      <c r="I875" t="inlineStr">
        <is>
          <t>Almost never = 1 | 2 = 2 | 3 = 3 | 4 = 4 | Almost always = 5</t>
        </is>
      </c>
      <c r="K875" t="inlineStr">
        <is>
          <t>https://self-compassion.org/wptest/wp-content/uploads/Self_Compassion_Scale_for_researchers.pdf</t>
        </is>
      </c>
    </row>
    <row r="876">
      <c r="A876" t="inlineStr">
        <is>
          <t>SCS</t>
        </is>
      </c>
      <c r="B876" t="inlineStr">
        <is>
          <t>Self-Compassion Scale, long form</t>
        </is>
      </c>
      <c r="C876" t="inlineStr">
        <is>
          <t>5. Self talk, thinking patterns and personality</t>
        </is>
      </c>
      <c r="D876" t="n">
        <v>13</v>
      </c>
      <c r="E876" t="inlineStr">
        <is>
          <t>When I'm feeling down, I tend to feel like most other people are probably happier than I am.</t>
        </is>
      </c>
      <c r="F876" t="inlineStr">
        <is>
          <t>Isolation</t>
        </is>
      </c>
      <c r="G876" t="inlineStr">
        <is>
          <t>TRUE</t>
        </is>
      </c>
      <c r="H876" t="inlineStr">
        <is>
          <t>FALSE</t>
        </is>
      </c>
      <c r="I876" t="inlineStr">
        <is>
          <t>Almost never = 1 | 2 = 2 | 3 = 3 | 4 = 4 | Almost always = 5</t>
        </is>
      </c>
      <c r="J876" t="inlineStr">
        <is>
          <t>Reverse scored before computing the total</t>
        </is>
      </c>
      <c r="K876" t="inlineStr">
        <is>
          <t>https://self-compassion.org/wptest/wp-content/uploads/Self_Compassion_Scale_for_researchers.pdf</t>
        </is>
      </c>
    </row>
    <row r="877">
      <c r="A877" t="inlineStr">
        <is>
          <t>SCS</t>
        </is>
      </c>
      <c r="B877" t="inlineStr">
        <is>
          <t>Self-Compassion Scale, long form</t>
        </is>
      </c>
      <c r="C877" t="inlineStr">
        <is>
          <t>5. Self talk, thinking patterns and personality</t>
        </is>
      </c>
      <c r="D877" t="n">
        <v>14</v>
      </c>
      <c r="E877" t="inlineStr">
        <is>
          <t>When something painful happens I try to take a balanced view of the situation.</t>
        </is>
      </c>
      <c r="F877" t="inlineStr">
        <is>
          <t>Mindfulness</t>
        </is>
      </c>
      <c r="G877" t="inlineStr">
        <is>
          <t>FALSE</t>
        </is>
      </c>
      <c r="H877" t="inlineStr">
        <is>
          <t>FALSE</t>
        </is>
      </c>
      <c r="I877" t="inlineStr">
        <is>
          <t>Almost never = 1 | 2 = 2 | 3 = 3 | 4 = 4 | Almost always = 5</t>
        </is>
      </c>
      <c r="K877" t="inlineStr">
        <is>
          <t>https://self-compassion.org/wptest/wp-content/uploads/Self_Compassion_Scale_for_researchers.pdf</t>
        </is>
      </c>
    </row>
    <row r="878">
      <c r="A878" t="inlineStr">
        <is>
          <t>SCS</t>
        </is>
      </c>
      <c r="B878" t="inlineStr">
        <is>
          <t>Self-Compassion Scale, long form</t>
        </is>
      </c>
      <c r="C878" t="inlineStr">
        <is>
          <t>5. Self talk, thinking patterns and personality</t>
        </is>
      </c>
      <c r="D878" t="n">
        <v>15</v>
      </c>
      <c r="E878" t="inlineStr">
        <is>
          <t>I try to see my failings as part of the human condition.</t>
        </is>
      </c>
      <c r="F878" t="inlineStr">
        <is>
          <t>Common Humanity</t>
        </is>
      </c>
      <c r="G878" t="inlineStr">
        <is>
          <t>FALSE</t>
        </is>
      </c>
      <c r="H878" t="inlineStr">
        <is>
          <t>FALSE</t>
        </is>
      </c>
      <c r="I878" t="inlineStr">
        <is>
          <t>Almost never = 1 | 2 = 2 | 3 = 3 | 4 = 4 | Almost always = 5</t>
        </is>
      </c>
      <c r="K878" t="inlineStr">
        <is>
          <t>https://self-compassion.org/wptest/wp-content/uploads/Self_Compassion_Scale_for_researchers.pdf</t>
        </is>
      </c>
    </row>
    <row r="879">
      <c r="A879" t="inlineStr">
        <is>
          <t>SCS</t>
        </is>
      </c>
      <c r="B879" t="inlineStr">
        <is>
          <t>Self-Compassion Scale, long form</t>
        </is>
      </c>
      <c r="C879" t="inlineStr">
        <is>
          <t>5. Self talk, thinking patterns and personality</t>
        </is>
      </c>
      <c r="D879" t="n">
        <v>16</v>
      </c>
      <c r="E879" t="inlineStr">
        <is>
          <t>When I see aspects of myself that I don't like, I get down on myself.</t>
        </is>
      </c>
      <c r="F879" t="inlineStr">
        <is>
          <t>Self-Judgment</t>
        </is>
      </c>
      <c r="G879" t="inlineStr">
        <is>
          <t>TRUE</t>
        </is>
      </c>
      <c r="H879" t="inlineStr">
        <is>
          <t>FALSE</t>
        </is>
      </c>
      <c r="I879" t="inlineStr">
        <is>
          <t>Almost never = 1 | 2 = 2 | 3 = 3 | 4 = 4 | Almost always = 5</t>
        </is>
      </c>
      <c r="J879" t="inlineStr">
        <is>
          <t>Reverse scored before computing the total</t>
        </is>
      </c>
      <c r="K879" t="inlineStr">
        <is>
          <t>https://self-compassion.org/wptest/wp-content/uploads/Self_Compassion_Scale_for_researchers.pdf</t>
        </is>
      </c>
    </row>
    <row r="880">
      <c r="A880" t="inlineStr">
        <is>
          <t>SCS</t>
        </is>
      </c>
      <c r="B880" t="inlineStr">
        <is>
          <t>Self-Compassion Scale, long form</t>
        </is>
      </c>
      <c r="C880" t="inlineStr">
        <is>
          <t>5. Self talk, thinking patterns and personality</t>
        </is>
      </c>
      <c r="D880" t="n">
        <v>17</v>
      </c>
      <c r="E880" t="inlineStr">
        <is>
          <t>When I fail at something important to me I try to keep things in perspective.</t>
        </is>
      </c>
      <c r="F880" t="inlineStr">
        <is>
          <t>Mindfulness</t>
        </is>
      </c>
      <c r="G880" t="inlineStr">
        <is>
          <t>FALSE</t>
        </is>
      </c>
      <c r="H880" t="inlineStr">
        <is>
          <t>FALSE</t>
        </is>
      </c>
      <c r="I880" t="inlineStr">
        <is>
          <t>Almost never = 1 | 2 = 2 | 3 = 3 | 4 = 4 | Almost always = 5</t>
        </is>
      </c>
      <c r="K880" t="inlineStr">
        <is>
          <t>https://self-compassion.org/wptest/wp-content/uploads/Self_Compassion_Scale_for_researchers.pdf</t>
        </is>
      </c>
    </row>
    <row r="881">
      <c r="A881" t="inlineStr">
        <is>
          <t>SCS</t>
        </is>
      </c>
      <c r="B881" t="inlineStr">
        <is>
          <t>Self-Compassion Scale, long form</t>
        </is>
      </c>
      <c r="C881" t="inlineStr">
        <is>
          <t>5. Self talk, thinking patterns and personality</t>
        </is>
      </c>
      <c r="D881" t="n">
        <v>18</v>
      </c>
      <c r="E881" t="inlineStr">
        <is>
          <t>When I'm really struggling, I tend to feel like other people must be having an easier time of it.</t>
        </is>
      </c>
      <c r="F881" t="inlineStr">
        <is>
          <t>Isolation</t>
        </is>
      </c>
      <c r="G881" t="inlineStr">
        <is>
          <t>TRUE</t>
        </is>
      </c>
      <c r="H881" t="inlineStr">
        <is>
          <t>FALSE</t>
        </is>
      </c>
      <c r="I881" t="inlineStr">
        <is>
          <t>Almost never = 1 | 2 = 2 | 3 = 3 | 4 = 4 | Almost always = 5</t>
        </is>
      </c>
      <c r="J881" t="inlineStr">
        <is>
          <t>Reverse scored before computing the total</t>
        </is>
      </c>
      <c r="K881" t="inlineStr">
        <is>
          <t>https://self-compassion.org/wptest/wp-content/uploads/Self_Compassion_Scale_for_researchers.pdf</t>
        </is>
      </c>
    </row>
    <row r="882">
      <c r="A882" t="inlineStr">
        <is>
          <t>SCS</t>
        </is>
      </c>
      <c r="B882" t="inlineStr">
        <is>
          <t>Self-Compassion Scale, long form</t>
        </is>
      </c>
      <c r="C882" t="inlineStr">
        <is>
          <t>5. Self talk, thinking patterns and personality</t>
        </is>
      </c>
      <c r="D882" t="n">
        <v>19</v>
      </c>
      <c r="E882" t="inlineStr">
        <is>
          <t>I'm kind to myself when I'm experiencing suffering.</t>
        </is>
      </c>
      <c r="F882" t="inlineStr">
        <is>
          <t>Self-Kindness</t>
        </is>
      </c>
      <c r="G882" t="inlineStr">
        <is>
          <t>FALSE</t>
        </is>
      </c>
      <c r="H882" t="inlineStr">
        <is>
          <t>FALSE</t>
        </is>
      </c>
      <c r="I882" t="inlineStr">
        <is>
          <t>Almost never = 1 | 2 = 2 | 3 = 3 | 4 = 4 | Almost always = 5</t>
        </is>
      </c>
      <c r="K882" t="inlineStr">
        <is>
          <t>https://self-compassion.org/wptest/wp-content/uploads/Self_Compassion_Scale_for_researchers.pdf</t>
        </is>
      </c>
    </row>
    <row r="883">
      <c r="A883" t="inlineStr">
        <is>
          <t>SCS</t>
        </is>
      </c>
      <c r="B883" t="inlineStr">
        <is>
          <t>Self-Compassion Scale, long form</t>
        </is>
      </c>
      <c r="C883" t="inlineStr">
        <is>
          <t>5. Self talk, thinking patterns and personality</t>
        </is>
      </c>
      <c r="D883" t="n">
        <v>20</v>
      </c>
      <c r="E883" t="inlineStr">
        <is>
          <t>When something upsets me I get carried away with my feelings.</t>
        </is>
      </c>
      <c r="F883" t="inlineStr">
        <is>
          <t>Over-identified</t>
        </is>
      </c>
      <c r="G883" t="inlineStr">
        <is>
          <t>TRUE</t>
        </is>
      </c>
      <c r="H883" t="inlineStr">
        <is>
          <t>FALSE</t>
        </is>
      </c>
      <c r="I883" t="inlineStr">
        <is>
          <t>Almost never = 1 | 2 = 2 | 3 = 3 | 4 = 4 | Almost always = 5</t>
        </is>
      </c>
      <c r="J883" t="inlineStr">
        <is>
          <t>Reverse scored before computing the total</t>
        </is>
      </c>
      <c r="K883" t="inlineStr">
        <is>
          <t>https://self-compassion.org/wptest/wp-content/uploads/Self_Compassion_Scale_for_researchers.pdf</t>
        </is>
      </c>
    </row>
    <row r="884">
      <c r="A884" t="inlineStr">
        <is>
          <t>SCS</t>
        </is>
      </c>
      <c r="B884" t="inlineStr">
        <is>
          <t>Self-Compassion Scale, long form</t>
        </is>
      </c>
      <c r="C884" t="inlineStr">
        <is>
          <t>5. Self talk, thinking patterns and personality</t>
        </is>
      </c>
      <c r="D884" t="n">
        <v>21</v>
      </c>
      <c r="E884" t="inlineStr">
        <is>
          <t>I can be a bit cold-hearted towards myself when I'm experiencing suffering.</t>
        </is>
      </c>
      <c r="F884" t="inlineStr">
        <is>
          <t>Self-Judgment</t>
        </is>
      </c>
      <c r="G884" t="inlineStr">
        <is>
          <t>TRUE</t>
        </is>
      </c>
      <c r="H884" t="inlineStr">
        <is>
          <t>FALSE</t>
        </is>
      </c>
      <c r="I884" t="inlineStr">
        <is>
          <t>Almost never = 1 | 2 = 2 | 3 = 3 | 4 = 4 | Almost always = 5</t>
        </is>
      </c>
      <c r="J884" t="inlineStr">
        <is>
          <t>Reverse scored before computing the total</t>
        </is>
      </c>
      <c r="K884" t="inlineStr">
        <is>
          <t>https://self-compassion.org/wptest/wp-content/uploads/Self_Compassion_Scale_for_researchers.pdf</t>
        </is>
      </c>
    </row>
    <row r="885">
      <c r="A885" t="inlineStr">
        <is>
          <t>SCS</t>
        </is>
      </c>
      <c r="B885" t="inlineStr">
        <is>
          <t>Self-Compassion Scale, long form</t>
        </is>
      </c>
      <c r="C885" t="inlineStr">
        <is>
          <t>5. Self talk, thinking patterns and personality</t>
        </is>
      </c>
      <c r="D885" t="n">
        <v>22</v>
      </c>
      <c r="E885" t="inlineStr">
        <is>
          <t>When I'm feeling down I try to approach my feelings with curiosity and openness.</t>
        </is>
      </c>
      <c r="F885" t="inlineStr">
        <is>
          <t>Mindfulness</t>
        </is>
      </c>
      <c r="G885" t="inlineStr">
        <is>
          <t>FALSE</t>
        </is>
      </c>
      <c r="H885" t="inlineStr">
        <is>
          <t>FALSE</t>
        </is>
      </c>
      <c r="I885" t="inlineStr">
        <is>
          <t>Almost never = 1 | 2 = 2 | 3 = 3 | 4 = 4 | Almost always = 5</t>
        </is>
      </c>
      <c r="K885" t="inlineStr">
        <is>
          <t>https://self-compassion.org/wptest/wp-content/uploads/Self_Compassion_Scale_for_researchers.pdf</t>
        </is>
      </c>
    </row>
    <row r="886">
      <c r="A886" t="inlineStr">
        <is>
          <t>SCS</t>
        </is>
      </c>
      <c r="B886" t="inlineStr">
        <is>
          <t>Self-Compassion Scale, long form</t>
        </is>
      </c>
      <c r="C886" t="inlineStr">
        <is>
          <t>5. Self talk, thinking patterns and personality</t>
        </is>
      </c>
      <c r="D886" t="n">
        <v>23</v>
      </c>
      <c r="E886" t="inlineStr">
        <is>
          <t>I'm tolerant of my own flaws and inadequacies.</t>
        </is>
      </c>
      <c r="F886" t="inlineStr">
        <is>
          <t>Self-Kindness</t>
        </is>
      </c>
      <c r="G886" t="inlineStr">
        <is>
          <t>FALSE</t>
        </is>
      </c>
      <c r="H886" t="inlineStr">
        <is>
          <t>FALSE</t>
        </is>
      </c>
      <c r="I886" t="inlineStr">
        <is>
          <t>Almost never = 1 | 2 = 2 | 3 = 3 | 4 = 4 | Almost always = 5</t>
        </is>
      </c>
      <c r="K886" t="inlineStr">
        <is>
          <t>https://self-compassion.org/wptest/wp-content/uploads/Self_Compassion_Scale_for_researchers.pdf</t>
        </is>
      </c>
    </row>
    <row r="887">
      <c r="A887" t="inlineStr">
        <is>
          <t>SCS</t>
        </is>
      </c>
      <c r="B887" t="inlineStr">
        <is>
          <t>Self-Compassion Scale, long form</t>
        </is>
      </c>
      <c r="C887" t="inlineStr">
        <is>
          <t>5. Self talk, thinking patterns and personality</t>
        </is>
      </c>
      <c r="D887" t="n">
        <v>24</v>
      </c>
      <c r="E887" t="inlineStr">
        <is>
          <t>When something painful happens I tend to blow the incident out of proportion.</t>
        </is>
      </c>
      <c r="F887" t="inlineStr">
        <is>
          <t>Over-identified</t>
        </is>
      </c>
      <c r="G887" t="inlineStr">
        <is>
          <t>TRUE</t>
        </is>
      </c>
      <c r="H887" t="inlineStr">
        <is>
          <t>FALSE</t>
        </is>
      </c>
      <c r="I887" t="inlineStr">
        <is>
          <t>Almost never = 1 | 2 = 2 | 3 = 3 | 4 = 4 | Almost always = 5</t>
        </is>
      </c>
      <c r="J887" t="inlineStr">
        <is>
          <t>Reverse scored before computing the total</t>
        </is>
      </c>
      <c r="K887" t="inlineStr">
        <is>
          <t>https://self-compassion.org/wptest/wp-content/uploads/Self_Compassion_Scale_for_researchers.pdf</t>
        </is>
      </c>
    </row>
    <row r="888">
      <c r="A888" t="inlineStr">
        <is>
          <t>SCS</t>
        </is>
      </c>
      <c r="B888" t="inlineStr">
        <is>
          <t>Self-Compassion Scale, long form</t>
        </is>
      </c>
      <c r="C888" t="inlineStr">
        <is>
          <t>5. Self talk, thinking patterns and personality</t>
        </is>
      </c>
      <c r="D888" t="n">
        <v>25</v>
      </c>
      <c r="E888" t="inlineStr">
        <is>
          <t>When I fail at something that's important to me, I tend to feel alone in my failure.</t>
        </is>
      </c>
      <c r="F888" t="inlineStr">
        <is>
          <t>Isolation</t>
        </is>
      </c>
      <c r="G888" t="inlineStr">
        <is>
          <t>TRUE</t>
        </is>
      </c>
      <c r="H888" t="inlineStr">
        <is>
          <t>FALSE</t>
        </is>
      </c>
      <c r="I888" t="inlineStr">
        <is>
          <t>Almost never = 1 | 2 = 2 | 3 = 3 | 4 = 4 | Almost always = 5</t>
        </is>
      </c>
      <c r="J888" t="inlineStr">
        <is>
          <t>Reverse scored before computing the total</t>
        </is>
      </c>
      <c r="K888" t="inlineStr">
        <is>
          <t>https://self-compassion.org/wptest/wp-content/uploads/Self_Compassion_Scale_for_researchers.pdf</t>
        </is>
      </c>
    </row>
    <row r="889">
      <c r="A889" t="inlineStr">
        <is>
          <t>SCS</t>
        </is>
      </c>
      <c r="B889" t="inlineStr">
        <is>
          <t>Self-Compassion Scale, long form</t>
        </is>
      </c>
      <c r="C889" t="inlineStr">
        <is>
          <t>5. Self talk, thinking patterns and personality</t>
        </is>
      </c>
      <c r="D889" t="n">
        <v>26</v>
      </c>
      <c r="E889" t="inlineStr">
        <is>
          <t>I try to be understanding and patient towards those aspects of my personality I don't like.</t>
        </is>
      </c>
      <c r="F889" t="inlineStr">
        <is>
          <t>Self-Kindness</t>
        </is>
      </c>
      <c r="G889" t="inlineStr">
        <is>
          <t>FALSE</t>
        </is>
      </c>
      <c r="H889" t="inlineStr">
        <is>
          <t>FALSE</t>
        </is>
      </c>
      <c r="I889" t="inlineStr">
        <is>
          <t>Almost never = 1 | 2 = 2 | 3 = 3 | 4 = 4 | Almost always = 5</t>
        </is>
      </c>
      <c r="K889" t="inlineStr">
        <is>
          <t>https://self-compassion.org/wptest/wp-content/uploads/Self_Compassion_Scale_for_researchers.pdf</t>
        </is>
      </c>
    </row>
    <row r="890">
      <c r="A890" t="inlineStr">
        <is>
          <t>SRQ-63</t>
        </is>
      </c>
      <c r="B890" t="inlineStr">
        <is>
          <t>Self-Regulation Questionnaire</t>
        </is>
      </c>
      <c r="C890" t="inlineStr">
        <is>
          <t>1. Executive functioning and ADHD</t>
        </is>
      </c>
      <c r="D890" t="n">
        <v>1</v>
      </c>
      <c r="E890" t="inlineStr">
        <is>
          <t>I usually keep track of my progress toward my goals.</t>
        </is>
      </c>
      <c r="F890" t="inlineStr">
        <is>
          <t>Receiving</t>
        </is>
      </c>
      <c r="G890" t="inlineStr">
        <is>
          <t>FALSE</t>
        </is>
      </c>
      <c r="H890" t="inlineStr">
        <is>
          <t>FALSE</t>
        </is>
      </c>
      <c r="I890" t="inlineStr">
        <is>
          <t>Strongly Disagree = 1 | Disagree = 2 | Uncertain or Unsure = 3 | Agree = 4 | Strongly Agree = 5</t>
        </is>
      </c>
      <c r="K890" t="inlineStr">
        <is>
          <t>https://casaa.unm.edu/assets/inst/selfregulation-questionnaire-srq.pdf</t>
        </is>
      </c>
    </row>
    <row r="891">
      <c r="A891" t="inlineStr">
        <is>
          <t>SRQ-63</t>
        </is>
      </c>
      <c r="B891" t="inlineStr">
        <is>
          <t>Self-Regulation Questionnaire</t>
        </is>
      </c>
      <c r="C891" t="inlineStr">
        <is>
          <t>1. Executive functioning and ADHD</t>
        </is>
      </c>
      <c r="D891" t="n">
        <v>2</v>
      </c>
      <c r="E891" t="inlineStr">
        <is>
          <t>My behavior is not that different from other people's.</t>
        </is>
      </c>
      <c r="F891" t="inlineStr">
        <is>
          <t>Evaluating</t>
        </is>
      </c>
      <c r="G891" t="inlineStr">
        <is>
          <t>TRUE</t>
        </is>
      </c>
      <c r="H891" t="inlineStr">
        <is>
          <t>FALSE</t>
        </is>
      </c>
      <c r="I891" t="inlineStr">
        <is>
          <t>Strongly Disagree = 1 | Disagree = 2 | Uncertain or Unsure = 3 | Agree = 4 | Strongly Agree = 5</t>
        </is>
      </c>
      <c r="K891" t="inlineStr">
        <is>
          <t>https://casaa.unm.edu/assets/inst/selfregulation-questionnaire-srq.pdf</t>
        </is>
      </c>
    </row>
    <row r="892">
      <c r="A892" t="inlineStr">
        <is>
          <t>SRQ-63</t>
        </is>
      </c>
      <c r="B892" t="inlineStr">
        <is>
          <t>Self-Regulation Questionnaire</t>
        </is>
      </c>
      <c r="C892" t="inlineStr">
        <is>
          <t>1. Executive functioning and ADHD</t>
        </is>
      </c>
      <c r="D892" t="n">
        <v>3</v>
      </c>
      <c r="E892" t="inlineStr">
        <is>
          <t>Others tell me that I keep on with things too long.</t>
        </is>
      </c>
      <c r="F892" t="inlineStr">
        <is>
          <t>Triggering</t>
        </is>
      </c>
      <c r="G892" t="inlineStr">
        <is>
          <t>TRUE</t>
        </is>
      </c>
      <c r="H892" t="inlineStr">
        <is>
          <t>FALSE</t>
        </is>
      </c>
      <c r="I892" t="inlineStr">
        <is>
          <t>Strongly Disagree = 1 | Disagree = 2 | Uncertain or Unsure = 3 | Agree = 4 | Strongly Agree = 5</t>
        </is>
      </c>
      <c r="K892" t="inlineStr">
        <is>
          <t>https://casaa.unm.edu/assets/inst/selfregulation-questionnaire-srq.pdf</t>
        </is>
      </c>
    </row>
    <row r="893">
      <c r="A893" t="inlineStr">
        <is>
          <t>SRQ-63</t>
        </is>
      </c>
      <c r="B893" t="inlineStr">
        <is>
          <t>Self-Regulation Questionnaire</t>
        </is>
      </c>
      <c r="C893" t="inlineStr">
        <is>
          <t>1. Executive functioning and ADHD</t>
        </is>
      </c>
      <c r="D893" t="n">
        <v>4</v>
      </c>
      <c r="E893" t="inlineStr">
        <is>
          <t>I doubt I could change even if I wanted to.</t>
        </is>
      </c>
      <c r="F893" t="inlineStr">
        <is>
          <t>Searching</t>
        </is>
      </c>
      <c r="G893" t="inlineStr">
        <is>
          <t>TRUE</t>
        </is>
      </c>
      <c r="H893" t="inlineStr">
        <is>
          <t>FALSE</t>
        </is>
      </c>
      <c r="I893" t="inlineStr">
        <is>
          <t>Strongly Disagree = 1 | Disagree = 2 | Uncertain or Unsure = 3 | Agree = 4 | Strongly Agree = 5</t>
        </is>
      </c>
      <c r="K893" t="inlineStr">
        <is>
          <t>https://casaa.unm.edu/assets/inst/selfregulation-questionnaire-srq.pdf</t>
        </is>
      </c>
    </row>
    <row r="894">
      <c r="A894" t="inlineStr">
        <is>
          <t>SRQ-63</t>
        </is>
      </c>
      <c r="B894" t="inlineStr">
        <is>
          <t>Self-Regulation Questionnaire</t>
        </is>
      </c>
      <c r="C894" t="inlineStr">
        <is>
          <t>1. Executive functioning and ADHD</t>
        </is>
      </c>
      <c r="D894" t="n">
        <v>5</v>
      </c>
      <c r="E894" t="inlineStr">
        <is>
          <t>I have trouble making up my mind about things.</t>
        </is>
      </c>
      <c r="F894" t="inlineStr">
        <is>
          <t>Planning</t>
        </is>
      </c>
      <c r="G894" t="inlineStr">
        <is>
          <t>TRUE</t>
        </is>
      </c>
      <c r="H894" t="inlineStr">
        <is>
          <t>FALSE</t>
        </is>
      </c>
      <c r="I894" t="inlineStr">
        <is>
          <t>Strongly Disagree = 1 | Disagree = 2 | Uncertain or Unsure = 3 | Agree = 4 | Strongly Agree = 5</t>
        </is>
      </c>
      <c r="K894" t="inlineStr">
        <is>
          <t>https://casaa.unm.edu/assets/inst/selfregulation-questionnaire-srq.pdf</t>
        </is>
      </c>
    </row>
    <row r="895">
      <c r="A895" t="inlineStr">
        <is>
          <t>SRQ-63</t>
        </is>
      </c>
      <c r="B895" t="inlineStr">
        <is>
          <t>Self-Regulation Questionnaire</t>
        </is>
      </c>
      <c r="C895" t="inlineStr">
        <is>
          <t>1. Executive functioning and ADHD</t>
        </is>
      </c>
      <c r="D895" t="n">
        <v>6</v>
      </c>
      <c r="E895" t="inlineStr">
        <is>
          <t>I get easily distracted from my plans.</t>
        </is>
      </c>
      <c r="F895" t="inlineStr">
        <is>
          <t>Implementing</t>
        </is>
      </c>
      <c r="G895" t="inlineStr">
        <is>
          <t>TRUE</t>
        </is>
      </c>
      <c r="H895" t="inlineStr">
        <is>
          <t>FALSE</t>
        </is>
      </c>
      <c r="I895" t="inlineStr">
        <is>
          <t>Strongly Disagree = 1 | Disagree = 2 | Uncertain or Unsure = 3 | Agree = 4 | Strongly Agree = 5</t>
        </is>
      </c>
      <c r="K895" t="inlineStr">
        <is>
          <t>https://casaa.unm.edu/assets/inst/selfregulation-questionnaire-srq.pdf</t>
        </is>
      </c>
    </row>
    <row r="896">
      <c r="A896" t="inlineStr">
        <is>
          <t>SRQ-63</t>
        </is>
      </c>
      <c r="B896" t="inlineStr">
        <is>
          <t>Self-Regulation Questionnaire</t>
        </is>
      </c>
      <c r="C896" t="inlineStr">
        <is>
          <t>1. Executive functioning and ADHD</t>
        </is>
      </c>
      <c r="D896" t="n">
        <v>7</v>
      </c>
      <c r="E896" t="inlineStr">
        <is>
          <t>I reward myself for progress toward my goals.</t>
        </is>
      </c>
      <c r="F896" t="inlineStr">
        <is>
          <t>Assessing</t>
        </is>
      </c>
      <c r="G896" t="inlineStr">
        <is>
          <t>FALSE</t>
        </is>
      </c>
      <c r="H896" t="inlineStr">
        <is>
          <t>FALSE</t>
        </is>
      </c>
      <c r="I896" t="inlineStr">
        <is>
          <t>Strongly Disagree = 1 | Disagree = 2 | Uncertain or Unsure = 3 | Agree = 4 | Strongly Agree = 5</t>
        </is>
      </c>
      <c r="K896" t="inlineStr">
        <is>
          <t>https://casaa.unm.edu/assets/inst/selfregulation-questionnaire-srq.pdf</t>
        </is>
      </c>
    </row>
    <row r="897">
      <c r="A897" t="inlineStr">
        <is>
          <t>SRQ-63</t>
        </is>
      </c>
      <c r="B897" t="inlineStr">
        <is>
          <t>Self-Regulation Questionnaire</t>
        </is>
      </c>
      <c r="C897" t="inlineStr">
        <is>
          <t>1. Executive functioning and ADHD</t>
        </is>
      </c>
      <c r="D897" t="n">
        <v>8</v>
      </c>
      <c r="E897" t="inlineStr">
        <is>
          <t>I don't notice the effects of my actions until it's too late.</t>
        </is>
      </c>
      <c r="F897" t="inlineStr">
        <is>
          <t>Receiving</t>
        </is>
      </c>
      <c r="G897" t="inlineStr">
        <is>
          <t>TRUE</t>
        </is>
      </c>
      <c r="H897" t="inlineStr">
        <is>
          <t>FALSE</t>
        </is>
      </c>
      <c r="I897" t="inlineStr">
        <is>
          <t>Strongly Disagree = 1 | Disagree = 2 | Uncertain or Unsure = 3 | Agree = 4 | Strongly Agree = 5</t>
        </is>
      </c>
      <c r="K897" t="inlineStr">
        <is>
          <t>https://casaa.unm.edu/assets/inst/selfregulation-questionnaire-srq.pdf</t>
        </is>
      </c>
    </row>
    <row r="898">
      <c r="A898" t="inlineStr">
        <is>
          <t>SRQ-63</t>
        </is>
      </c>
      <c r="B898" t="inlineStr">
        <is>
          <t>Self-Regulation Questionnaire</t>
        </is>
      </c>
      <c r="C898" t="inlineStr">
        <is>
          <t>1. Executive functioning and ADHD</t>
        </is>
      </c>
      <c r="D898" t="n">
        <v>9</v>
      </c>
      <c r="E898" t="inlineStr">
        <is>
          <t>My behavior is similar to that of my friends.</t>
        </is>
      </c>
      <c r="F898" t="inlineStr">
        <is>
          <t>Evaluating</t>
        </is>
      </c>
      <c r="G898" t="inlineStr">
        <is>
          <t>FALSE</t>
        </is>
      </c>
      <c r="H898" t="inlineStr">
        <is>
          <t>FALSE</t>
        </is>
      </c>
      <c r="I898" t="inlineStr">
        <is>
          <t>Strongly Disagree = 1 | Disagree = 2 | Uncertain or Unsure = 3 | Agree = 4 | Strongly Agree = 5</t>
        </is>
      </c>
      <c r="K898" t="inlineStr">
        <is>
          <t>https://casaa.unm.edu/assets/inst/selfregulation-questionnaire-srq.pdf</t>
        </is>
      </c>
    </row>
    <row r="899">
      <c r="A899" t="inlineStr">
        <is>
          <t>SRQ-63</t>
        </is>
      </c>
      <c r="B899" t="inlineStr">
        <is>
          <t>Self-Regulation Questionnaire</t>
        </is>
      </c>
      <c r="C899" t="inlineStr">
        <is>
          <t>1. Executive functioning and ADHD</t>
        </is>
      </c>
      <c r="D899" t="n">
        <v>10</v>
      </c>
      <c r="E899" t="inlineStr">
        <is>
          <t>It's hard for me to see anything helpful about changing my ways.</t>
        </is>
      </c>
      <c r="F899" t="inlineStr">
        <is>
          <t>Triggering</t>
        </is>
      </c>
      <c r="G899" t="inlineStr">
        <is>
          <t>TRUE</t>
        </is>
      </c>
      <c r="H899" t="inlineStr">
        <is>
          <t>FALSE</t>
        </is>
      </c>
      <c r="I899" t="inlineStr">
        <is>
          <t>Strongly Disagree = 1 | Disagree = 2 | Uncertain or Unsure = 3 | Agree = 4 | Strongly Agree = 5</t>
        </is>
      </c>
      <c r="K899" t="inlineStr">
        <is>
          <t>https://casaa.unm.edu/assets/inst/selfregulation-questionnaire-srq.pdf</t>
        </is>
      </c>
    </row>
    <row r="900">
      <c r="A900" t="inlineStr">
        <is>
          <t>SRQ-63</t>
        </is>
      </c>
      <c r="B900" t="inlineStr">
        <is>
          <t>Self-Regulation Questionnaire</t>
        </is>
      </c>
      <c r="C900" t="inlineStr">
        <is>
          <t>1. Executive functioning and ADHD</t>
        </is>
      </c>
      <c r="D900" t="n">
        <v>11</v>
      </c>
      <c r="E900" t="inlineStr">
        <is>
          <t>I am able to accomplish goals I set for myself.</t>
        </is>
      </c>
      <c r="F900" t="inlineStr">
        <is>
          <t>Searching</t>
        </is>
      </c>
      <c r="G900" t="inlineStr">
        <is>
          <t>FALSE</t>
        </is>
      </c>
      <c r="H900" t="inlineStr">
        <is>
          <t>FALSE</t>
        </is>
      </c>
      <c r="I900" t="inlineStr">
        <is>
          <t>Strongly Disagree = 1 | Disagree = 2 | Uncertain or Unsure = 3 | Agree = 4 | Strongly Agree = 5</t>
        </is>
      </c>
      <c r="K900" t="inlineStr">
        <is>
          <t>https://casaa.unm.edu/assets/inst/selfregulation-questionnaire-srq.pdf</t>
        </is>
      </c>
    </row>
    <row r="901">
      <c r="A901" t="inlineStr">
        <is>
          <t>SRQ-63</t>
        </is>
      </c>
      <c r="B901" t="inlineStr">
        <is>
          <t>Self-Regulation Questionnaire</t>
        </is>
      </c>
      <c r="C901" t="inlineStr">
        <is>
          <t>1. Executive functioning and ADHD</t>
        </is>
      </c>
      <c r="D901" t="n">
        <v>12</v>
      </c>
      <c r="E901" t="inlineStr">
        <is>
          <t>I put off making decisions.</t>
        </is>
      </c>
      <c r="F901" t="inlineStr">
        <is>
          <t>Planning</t>
        </is>
      </c>
      <c r="G901" t="inlineStr">
        <is>
          <t>TRUE</t>
        </is>
      </c>
      <c r="H901" t="inlineStr">
        <is>
          <t>FALSE</t>
        </is>
      </c>
      <c r="I901" t="inlineStr">
        <is>
          <t>Strongly Disagree = 1 | Disagree = 2 | Uncertain or Unsure = 3 | Agree = 4 | Strongly Agree = 5</t>
        </is>
      </c>
      <c r="K901" t="inlineStr">
        <is>
          <t>https://casaa.unm.edu/assets/inst/selfregulation-questionnaire-srq.pdf</t>
        </is>
      </c>
    </row>
    <row r="902">
      <c r="A902" t="inlineStr">
        <is>
          <t>SRQ-63</t>
        </is>
      </c>
      <c r="B902" t="inlineStr">
        <is>
          <t>Self-Regulation Questionnaire</t>
        </is>
      </c>
      <c r="C902" t="inlineStr">
        <is>
          <t>1. Executive functioning and ADHD</t>
        </is>
      </c>
      <c r="D902" t="n">
        <v>13</v>
      </c>
      <c r="E902" t="inlineStr">
        <is>
          <t>I have so many plans that it's hard for me to focus on any one of them.</t>
        </is>
      </c>
      <c r="F902" t="inlineStr">
        <is>
          <t>Implementing</t>
        </is>
      </c>
      <c r="G902" t="inlineStr">
        <is>
          <t>TRUE</t>
        </is>
      </c>
      <c r="H902" t="inlineStr">
        <is>
          <t>FALSE</t>
        </is>
      </c>
      <c r="I902" t="inlineStr">
        <is>
          <t>Strongly Disagree = 1 | Disagree = 2 | Uncertain or Unsure = 3 | Agree = 4 | Strongly Agree = 5</t>
        </is>
      </c>
      <c r="K902" t="inlineStr">
        <is>
          <t>https://casaa.unm.edu/assets/inst/selfregulation-questionnaire-srq.pdf</t>
        </is>
      </c>
    </row>
    <row r="903">
      <c r="A903" t="inlineStr">
        <is>
          <t>SRQ-63</t>
        </is>
      </c>
      <c r="B903" t="inlineStr">
        <is>
          <t>Self-Regulation Questionnaire</t>
        </is>
      </c>
      <c r="C903" t="inlineStr">
        <is>
          <t>1. Executive functioning and ADHD</t>
        </is>
      </c>
      <c r="D903" t="n">
        <v>14</v>
      </c>
      <c r="E903" t="inlineStr">
        <is>
          <t>I change the way I do things when I see a problem with how things are going.</t>
        </is>
      </c>
      <c r="F903" t="inlineStr">
        <is>
          <t>Assessing</t>
        </is>
      </c>
      <c r="G903" t="inlineStr">
        <is>
          <t>FALSE</t>
        </is>
      </c>
      <c r="H903" t="inlineStr">
        <is>
          <t>FALSE</t>
        </is>
      </c>
      <c r="I903" t="inlineStr">
        <is>
          <t>Strongly Disagree = 1 | Disagree = 2 | Uncertain or Unsure = 3 | Agree = 4 | Strongly Agree = 5</t>
        </is>
      </c>
      <c r="K903" t="inlineStr">
        <is>
          <t>https://casaa.unm.edu/assets/inst/selfregulation-questionnaire-srq.pdf</t>
        </is>
      </c>
    </row>
    <row r="904">
      <c r="A904" t="inlineStr">
        <is>
          <t>SRQ-63</t>
        </is>
      </c>
      <c r="B904" t="inlineStr">
        <is>
          <t>Self-Regulation Questionnaire</t>
        </is>
      </c>
      <c r="C904" t="inlineStr">
        <is>
          <t>1. Executive functioning and ADHD</t>
        </is>
      </c>
      <c r="D904" t="n">
        <v>15</v>
      </c>
      <c r="E904" t="inlineStr">
        <is>
          <t>It's hard for me to notice when I've "had enough" (alcohol, food, sweets).</t>
        </is>
      </c>
      <c r="F904" t="inlineStr">
        <is>
          <t>Receiving</t>
        </is>
      </c>
      <c r="G904" t="inlineStr">
        <is>
          <t>TRUE</t>
        </is>
      </c>
      <c r="H904" t="inlineStr">
        <is>
          <t>FALSE</t>
        </is>
      </c>
      <c r="I904" t="inlineStr">
        <is>
          <t>Strongly Disagree = 1 | Disagree = 2 | Uncertain or Unsure = 3 | Agree = 4 | Strongly Agree = 5</t>
        </is>
      </c>
      <c r="K904" t="inlineStr">
        <is>
          <t>https://casaa.unm.edu/assets/inst/selfregulation-questionnaire-srq.pdf</t>
        </is>
      </c>
    </row>
    <row r="905">
      <c r="A905" t="inlineStr">
        <is>
          <t>SRQ-63</t>
        </is>
      </c>
      <c r="B905" t="inlineStr">
        <is>
          <t>Self-Regulation Questionnaire</t>
        </is>
      </c>
      <c r="C905" t="inlineStr">
        <is>
          <t>1. Executive functioning and ADHD</t>
        </is>
      </c>
      <c r="D905" t="n">
        <v>16</v>
      </c>
      <c r="E905" t="inlineStr">
        <is>
          <t>I think a lot about what other people think of me.</t>
        </is>
      </c>
      <c r="F905" t="inlineStr">
        <is>
          <t>Evaluating</t>
        </is>
      </c>
      <c r="G905" t="inlineStr">
        <is>
          <t>FALSE</t>
        </is>
      </c>
      <c r="H905" t="inlineStr">
        <is>
          <t>FALSE</t>
        </is>
      </c>
      <c r="I905" t="inlineStr">
        <is>
          <t>Strongly Disagree = 1 | Disagree = 2 | Uncertain or Unsure = 3 | Agree = 4 | Strongly Agree = 5</t>
        </is>
      </c>
      <c r="K905" t="inlineStr">
        <is>
          <t>https://casaa.unm.edu/assets/inst/selfregulation-questionnaire-srq.pdf</t>
        </is>
      </c>
    </row>
    <row r="906">
      <c r="A906" t="inlineStr">
        <is>
          <t>SRQ-63</t>
        </is>
      </c>
      <c r="B906" t="inlineStr">
        <is>
          <t>Self-Regulation Questionnaire</t>
        </is>
      </c>
      <c r="C906" t="inlineStr">
        <is>
          <t>1. Executive functioning and ADHD</t>
        </is>
      </c>
      <c r="D906" t="n">
        <v>17</v>
      </c>
      <c r="E906" t="inlineStr">
        <is>
          <t>I am willing to consider other ways of doing things.</t>
        </is>
      </c>
      <c r="F906" t="inlineStr">
        <is>
          <t>Triggering</t>
        </is>
      </c>
      <c r="G906" t="inlineStr">
        <is>
          <t>FALSE</t>
        </is>
      </c>
      <c r="H906" t="inlineStr">
        <is>
          <t>FALSE</t>
        </is>
      </c>
      <c r="I906" t="inlineStr">
        <is>
          <t>Strongly Disagree = 1 | Disagree = 2 | Uncertain or Unsure = 3 | Agree = 4 | Strongly Agree = 5</t>
        </is>
      </c>
      <c r="K906" t="inlineStr">
        <is>
          <t>https://casaa.unm.edu/assets/inst/selfregulation-questionnaire-srq.pdf</t>
        </is>
      </c>
    </row>
    <row r="907">
      <c r="A907" t="inlineStr">
        <is>
          <t>SRQ-63</t>
        </is>
      </c>
      <c r="B907" t="inlineStr">
        <is>
          <t>Self-Regulation Questionnaire</t>
        </is>
      </c>
      <c r="C907" t="inlineStr">
        <is>
          <t>1. Executive functioning and ADHD</t>
        </is>
      </c>
      <c r="D907" t="n">
        <v>18</v>
      </c>
      <c r="E907" t="inlineStr">
        <is>
          <t>If I wanted to change, I am confident that I could do it.</t>
        </is>
      </c>
      <c r="F907" t="inlineStr">
        <is>
          <t>Searching</t>
        </is>
      </c>
      <c r="G907" t="inlineStr">
        <is>
          <t>FALSE</t>
        </is>
      </c>
      <c r="H907" t="inlineStr">
        <is>
          <t>FALSE</t>
        </is>
      </c>
      <c r="I907" t="inlineStr">
        <is>
          <t>Strongly Disagree = 1 | Disagree = 2 | Uncertain or Unsure = 3 | Agree = 4 | Strongly Agree = 5</t>
        </is>
      </c>
      <c r="K907" t="inlineStr">
        <is>
          <t>https://casaa.unm.edu/assets/inst/selfregulation-questionnaire-srq.pdf</t>
        </is>
      </c>
    </row>
    <row r="908">
      <c r="A908" t="inlineStr">
        <is>
          <t>SRQ-63</t>
        </is>
      </c>
      <c r="B908" t="inlineStr">
        <is>
          <t>Self-Regulation Questionnaire</t>
        </is>
      </c>
      <c r="C908" t="inlineStr">
        <is>
          <t>1. Executive functioning and ADHD</t>
        </is>
      </c>
      <c r="D908" t="n">
        <v>19</v>
      </c>
      <c r="E908" t="inlineStr">
        <is>
          <t>When it comes to deciding about a change, I feel overwhelmed by the choices.</t>
        </is>
      </c>
      <c r="F908" t="inlineStr">
        <is>
          <t>Planning</t>
        </is>
      </c>
      <c r="G908" t="inlineStr">
        <is>
          <t>TRUE</t>
        </is>
      </c>
      <c r="H908" t="inlineStr">
        <is>
          <t>FALSE</t>
        </is>
      </c>
      <c r="I908" t="inlineStr">
        <is>
          <t>Strongly Disagree = 1 | Disagree = 2 | Uncertain or Unsure = 3 | Agree = 4 | Strongly Agree = 5</t>
        </is>
      </c>
      <c r="K908" t="inlineStr">
        <is>
          <t>https://casaa.unm.edu/assets/inst/selfregulation-questionnaire-srq.pdf</t>
        </is>
      </c>
    </row>
    <row r="909">
      <c r="A909" t="inlineStr">
        <is>
          <t>SRQ-63</t>
        </is>
      </c>
      <c r="B909" t="inlineStr">
        <is>
          <t>Self-Regulation Questionnaire</t>
        </is>
      </c>
      <c r="C909" t="inlineStr">
        <is>
          <t>1. Executive functioning and ADHD</t>
        </is>
      </c>
      <c r="D909" t="n">
        <v>20</v>
      </c>
      <c r="E909" t="inlineStr">
        <is>
          <t>I have trouble following through with things once I've made up my mind to do something.</t>
        </is>
      </c>
      <c r="F909" t="inlineStr">
        <is>
          <t>Implementing</t>
        </is>
      </c>
      <c r="G909" t="inlineStr">
        <is>
          <t>TRUE</t>
        </is>
      </c>
      <c r="H909" t="inlineStr">
        <is>
          <t>FALSE</t>
        </is>
      </c>
      <c r="I909" t="inlineStr">
        <is>
          <t>Strongly Disagree = 1 | Disagree = 2 | Uncertain or Unsure = 3 | Agree = 4 | Strongly Agree = 5</t>
        </is>
      </c>
      <c r="K909" t="inlineStr">
        <is>
          <t>https://casaa.unm.edu/assets/inst/selfregulation-questionnaire-srq.pdf</t>
        </is>
      </c>
    </row>
    <row r="910">
      <c r="A910" t="inlineStr">
        <is>
          <t>SRQ-63</t>
        </is>
      </c>
      <c r="B910" t="inlineStr">
        <is>
          <t>Self-Regulation Questionnaire</t>
        </is>
      </c>
      <c r="C910" t="inlineStr">
        <is>
          <t>1. Executive functioning and ADHD</t>
        </is>
      </c>
      <c r="D910" t="n">
        <v>21</v>
      </c>
      <c r="E910" t="inlineStr">
        <is>
          <t>I don't seem to learn from my mistakes.</t>
        </is>
      </c>
      <c r="F910" t="inlineStr">
        <is>
          <t>Assessing</t>
        </is>
      </c>
      <c r="G910" t="inlineStr">
        <is>
          <t>TRUE</t>
        </is>
      </c>
      <c r="H910" t="inlineStr">
        <is>
          <t>FALSE</t>
        </is>
      </c>
      <c r="I910" t="inlineStr">
        <is>
          <t>Strongly Disagree = 1 | Disagree = 2 | Uncertain or Unsure = 3 | Agree = 4 | Strongly Agree = 5</t>
        </is>
      </c>
      <c r="K910" t="inlineStr">
        <is>
          <t>https://casaa.unm.edu/assets/inst/selfregulation-questionnaire-srq.pdf</t>
        </is>
      </c>
    </row>
    <row r="911">
      <c r="A911" t="inlineStr">
        <is>
          <t>SRQ-63</t>
        </is>
      </c>
      <c r="B911" t="inlineStr">
        <is>
          <t>Self-Regulation Questionnaire</t>
        </is>
      </c>
      <c r="C911" t="inlineStr">
        <is>
          <t>1. Executive functioning and ADHD</t>
        </is>
      </c>
      <c r="D911" t="n">
        <v>22</v>
      </c>
      <c r="E911" t="inlineStr">
        <is>
          <t>I'm usually careful not to overdo it when working, eating, drinking.</t>
        </is>
      </c>
      <c r="F911" t="inlineStr">
        <is>
          <t>Receiving</t>
        </is>
      </c>
      <c r="G911" t="inlineStr">
        <is>
          <t>FALSE</t>
        </is>
      </c>
      <c r="H911" t="inlineStr">
        <is>
          <t>FALSE</t>
        </is>
      </c>
      <c r="I911" t="inlineStr">
        <is>
          <t>Strongly Disagree = 1 | Disagree = 2 | Uncertain or Unsure = 3 | Agree = 4 | Strongly Agree = 5</t>
        </is>
      </c>
      <c r="K911" t="inlineStr">
        <is>
          <t>https://casaa.unm.edu/assets/inst/selfregulation-questionnaire-srq.pdf</t>
        </is>
      </c>
    </row>
    <row r="912">
      <c r="A912" t="inlineStr">
        <is>
          <t>SRQ-63</t>
        </is>
      </c>
      <c r="B912" t="inlineStr">
        <is>
          <t>Self-Regulation Questionnaire</t>
        </is>
      </c>
      <c r="C912" t="inlineStr">
        <is>
          <t>1. Executive functioning and ADHD</t>
        </is>
      </c>
      <c r="D912" t="n">
        <v>23</v>
      </c>
      <c r="E912" t="inlineStr">
        <is>
          <t>I tend to compare myself with other people.</t>
        </is>
      </c>
      <c r="F912" t="inlineStr">
        <is>
          <t>Evaluating</t>
        </is>
      </c>
      <c r="G912" t="inlineStr">
        <is>
          <t>FALSE</t>
        </is>
      </c>
      <c r="H912" t="inlineStr">
        <is>
          <t>FALSE</t>
        </is>
      </c>
      <c r="I912" t="inlineStr">
        <is>
          <t>Strongly Disagree = 1 | Disagree = 2 | Uncertain or Unsure = 3 | Agree = 4 | Strongly Agree = 5</t>
        </is>
      </c>
      <c r="K912" t="inlineStr">
        <is>
          <t>https://casaa.unm.edu/assets/inst/selfregulation-questionnaire-srq.pdf</t>
        </is>
      </c>
    </row>
    <row r="913">
      <c r="A913" t="inlineStr">
        <is>
          <t>SRQ-63</t>
        </is>
      </c>
      <c r="B913" t="inlineStr">
        <is>
          <t>Self-Regulation Questionnaire</t>
        </is>
      </c>
      <c r="C913" t="inlineStr">
        <is>
          <t>1. Executive functioning and ADHD</t>
        </is>
      </c>
      <c r="D913" t="n">
        <v>24</v>
      </c>
      <c r="E913" t="inlineStr">
        <is>
          <t>I enjoy a routine, and like things to stay the same.</t>
        </is>
      </c>
      <c r="F913" t="inlineStr">
        <is>
          <t>Triggering</t>
        </is>
      </c>
      <c r="G913" t="inlineStr">
        <is>
          <t>TRUE</t>
        </is>
      </c>
      <c r="H913" t="inlineStr">
        <is>
          <t>FALSE</t>
        </is>
      </c>
      <c r="I913" t="inlineStr">
        <is>
          <t>Strongly Disagree = 1 | Disagree = 2 | Uncertain or Unsure = 3 | Agree = 4 | Strongly Agree = 5</t>
        </is>
      </c>
      <c r="K913" t="inlineStr">
        <is>
          <t>https://casaa.unm.edu/assets/inst/selfregulation-questionnaire-srq.pdf</t>
        </is>
      </c>
    </row>
    <row r="914">
      <c r="A914" t="inlineStr">
        <is>
          <t>SRQ-63</t>
        </is>
      </c>
      <c r="B914" t="inlineStr">
        <is>
          <t>Self-Regulation Questionnaire</t>
        </is>
      </c>
      <c r="C914" t="inlineStr">
        <is>
          <t>1. Executive functioning and ADHD</t>
        </is>
      </c>
      <c r="D914" t="n">
        <v>25</v>
      </c>
      <c r="E914" t="inlineStr">
        <is>
          <t>I have sought out advice or information about changing.</t>
        </is>
      </c>
      <c r="F914" t="inlineStr">
        <is>
          <t>Searching</t>
        </is>
      </c>
      <c r="G914" t="inlineStr">
        <is>
          <t>FALSE</t>
        </is>
      </c>
      <c r="H914" t="inlineStr">
        <is>
          <t>FALSE</t>
        </is>
      </c>
      <c r="I914" t="inlineStr">
        <is>
          <t>Strongly Disagree = 1 | Disagree = 2 | Uncertain or Unsure = 3 | Agree = 4 | Strongly Agree = 5</t>
        </is>
      </c>
      <c r="K914" t="inlineStr">
        <is>
          <t>https://casaa.unm.edu/assets/inst/selfregulation-questionnaire-srq.pdf</t>
        </is>
      </c>
    </row>
    <row r="915">
      <c r="A915" t="inlineStr">
        <is>
          <t>SRQ-63</t>
        </is>
      </c>
      <c r="B915" t="inlineStr">
        <is>
          <t>Self-Regulation Questionnaire</t>
        </is>
      </c>
      <c r="C915" t="inlineStr">
        <is>
          <t>1. Executive functioning and ADHD</t>
        </is>
      </c>
      <c r="D915" t="n">
        <v>26</v>
      </c>
      <c r="E915" t="inlineStr">
        <is>
          <t>I can come up with lots of ways to change, but it's hard for me to decide which one to use.</t>
        </is>
      </c>
      <c r="F915" t="inlineStr">
        <is>
          <t>Planning</t>
        </is>
      </c>
      <c r="G915" t="inlineStr">
        <is>
          <t>TRUE</t>
        </is>
      </c>
      <c r="H915" t="inlineStr">
        <is>
          <t>FALSE</t>
        </is>
      </c>
      <c r="I915" t="inlineStr">
        <is>
          <t>Strongly Disagree = 1 | Disagree = 2 | Uncertain or Unsure = 3 | Agree = 4 | Strongly Agree = 5</t>
        </is>
      </c>
      <c r="K915" t="inlineStr">
        <is>
          <t>https://casaa.unm.edu/assets/inst/selfregulation-questionnaire-srq.pdf</t>
        </is>
      </c>
    </row>
    <row r="916">
      <c r="A916" t="inlineStr">
        <is>
          <t>SRQ-63</t>
        </is>
      </c>
      <c r="B916" t="inlineStr">
        <is>
          <t>Self-Regulation Questionnaire</t>
        </is>
      </c>
      <c r="C916" t="inlineStr">
        <is>
          <t>1. Executive functioning and ADHD</t>
        </is>
      </c>
      <c r="D916" t="n">
        <v>27</v>
      </c>
      <c r="E916" t="inlineStr">
        <is>
          <t>I can stick to a plan that's working well.</t>
        </is>
      </c>
      <c r="F916" t="inlineStr">
        <is>
          <t>Implementing</t>
        </is>
      </c>
      <c r="G916" t="inlineStr">
        <is>
          <t>FALSE</t>
        </is>
      </c>
      <c r="H916" t="inlineStr">
        <is>
          <t>FALSE</t>
        </is>
      </c>
      <c r="I916" t="inlineStr">
        <is>
          <t>Strongly Disagree = 1 | Disagree = 2 | Uncertain or Unsure = 3 | Agree = 4 | Strongly Agree = 5</t>
        </is>
      </c>
      <c r="K916" t="inlineStr">
        <is>
          <t>https://casaa.unm.edu/assets/inst/selfregulation-questionnaire-srq.pdf</t>
        </is>
      </c>
    </row>
    <row r="917">
      <c r="A917" t="inlineStr">
        <is>
          <t>SRQ-63</t>
        </is>
      </c>
      <c r="B917" t="inlineStr">
        <is>
          <t>Self-Regulation Questionnaire</t>
        </is>
      </c>
      <c r="C917" t="inlineStr">
        <is>
          <t>1. Executive functioning and ADHD</t>
        </is>
      </c>
      <c r="D917" t="n">
        <v>28</v>
      </c>
      <c r="E917" t="inlineStr">
        <is>
          <t>I usually only have to make a mistake one time in order to learn from it.</t>
        </is>
      </c>
      <c r="F917" t="inlineStr">
        <is>
          <t>Assessing</t>
        </is>
      </c>
      <c r="G917" t="inlineStr">
        <is>
          <t>FALSE</t>
        </is>
      </c>
      <c r="H917" t="inlineStr">
        <is>
          <t>FALSE</t>
        </is>
      </c>
      <c r="I917" t="inlineStr">
        <is>
          <t>Strongly Disagree = 1 | Disagree = 2 | Uncertain or Unsure = 3 | Agree = 4 | Strongly Agree = 5</t>
        </is>
      </c>
      <c r="K917" t="inlineStr">
        <is>
          <t>https://casaa.unm.edu/assets/inst/selfregulation-questionnaire-srq.pdf</t>
        </is>
      </c>
    </row>
    <row r="918">
      <c r="A918" t="inlineStr">
        <is>
          <t>SRQ-63</t>
        </is>
      </c>
      <c r="B918" t="inlineStr">
        <is>
          <t>Self-Regulation Questionnaire</t>
        </is>
      </c>
      <c r="C918" t="inlineStr">
        <is>
          <t>1. Executive functioning and ADHD</t>
        </is>
      </c>
      <c r="D918" t="n">
        <v>29</v>
      </c>
      <c r="E918" t="inlineStr">
        <is>
          <t>I don't learn well from punishment.</t>
        </is>
      </c>
      <c r="F918" t="inlineStr">
        <is>
          <t>Receiving</t>
        </is>
      </c>
      <c r="G918" t="inlineStr">
        <is>
          <t>TRUE</t>
        </is>
      </c>
      <c r="H918" t="inlineStr">
        <is>
          <t>FALSE</t>
        </is>
      </c>
      <c r="I918" t="inlineStr">
        <is>
          <t>Strongly Disagree = 1 | Disagree = 2 | Uncertain or Unsure = 3 | Agree = 4 | Strongly Agree = 5</t>
        </is>
      </c>
      <c r="K918" t="inlineStr">
        <is>
          <t>https://casaa.unm.edu/assets/inst/selfregulation-questionnaire-srq.pdf</t>
        </is>
      </c>
    </row>
    <row r="919">
      <c r="A919" t="inlineStr">
        <is>
          <t>SRQ-63</t>
        </is>
      </c>
      <c r="B919" t="inlineStr">
        <is>
          <t>Self-Regulation Questionnaire</t>
        </is>
      </c>
      <c r="C919" t="inlineStr">
        <is>
          <t>1. Executive functioning and ADHD</t>
        </is>
      </c>
      <c r="D919" t="n">
        <v>30</v>
      </c>
      <c r="E919" t="inlineStr">
        <is>
          <t>I have personal standards, and try to live up to them.</t>
        </is>
      </c>
      <c r="F919" t="inlineStr">
        <is>
          <t>Evaluating</t>
        </is>
      </c>
      <c r="G919" t="inlineStr">
        <is>
          <t>FALSE</t>
        </is>
      </c>
      <c r="H919" t="inlineStr">
        <is>
          <t>FALSE</t>
        </is>
      </c>
      <c r="I919" t="inlineStr">
        <is>
          <t>Strongly Disagree = 1 | Disagree = 2 | Uncertain or Unsure = 3 | Agree = 4 | Strongly Agree = 5</t>
        </is>
      </c>
      <c r="K919" t="inlineStr">
        <is>
          <t>https://casaa.unm.edu/assets/inst/selfregulation-questionnaire-srq.pdf</t>
        </is>
      </c>
    </row>
    <row r="920">
      <c r="A920" t="inlineStr">
        <is>
          <t>SRQ-63</t>
        </is>
      </c>
      <c r="B920" t="inlineStr">
        <is>
          <t>Self-Regulation Questionnaire</t>
        </is>
      </c>
      <c r="C920" t="inlineStr">
        <is>
          <t>1. Executive functioning and ADHD</t>
        </is>
      </c>
      <c r="D920" t="n">
        <v>31</v>
      </c>
      <c r="E920" t="inlineStr">
        <is>
          <t>I am set in my ways.</t>
        </is>
      </c>
      <c r="F920" t="inlineStr">
        <is>
          <t>Triggering</t>
        </is>
      </c>
      <c r="G920" t="inlineStr">
        <is>
          <t>TRUE</t>
        </is>
      </c>
      <c r="H920" t="inlineStr">
        <is>
          <t>FALSE</t>
        </is>
      </c>
      <c r="I920" t="inlineStr">
        <is>
          <t>Strongly Disagree = 1 | Disagree = 2 | Uncertain or Unsure = 3 | Agree = 4 | Strongly Agree = 5</t>
        </is>
      </c>
      <c r="K920" t="inlineStr">
        <is>
          <t>https://casaa.unm.edu/assets/inst/selfregulation-questionnaire-srq.pdf</t>
        </is>
      </c>
    </row>
    <row r="921">
      <c r="A921" t="inlineStr">
        <is>
          <t>SRQ-63</t>
        </is>
      </c>
      <c r="B921" t="inlineStr">
        <is>
          <t>Self-Regulation Questionnaire</t>
        </is>
      </c>
      <c r="C921" t="inlineStr">
        <is>
          <t>1. Executive functioning and ADHD</t>
        </is>
      </c>
      <c r="D921" t="n">
        <v>32</v>
      </c>
      <c r="E921" t="inlineStr">
        <is>
          <t>As soon as I see a problem or challenge, I start looking for possible solutions.</t>
        </is>
      </c>
      <c r="F921" t="inlineStr">
        <is>
          <t>Searching</t>
        </is>
      </c>
      <c r="G921" t="inlineStr">
        <is>
          <t>FALSE</t>
        </is>
      </c>
      <c r="H921" t="inlineStr">
        <is>
          <t>FALSE</t>
        </is>
      </c>
      <c r="I921" t="inlineStr">
        <is>
          <t>Strongly Disagree = 1 | Disagree = 2 | Uncertain or Unsure = 3 | Agree = 4 | Strongly Agree = 5</t>
        </is>
      </c>
      <c r="K921" t="inlineStr">
        <is>
          <t>https://casaa.unm.edu/assets/inst/selfregulation-questionnaire-srq.pdf</t>
        </is>
      </c>
    </row>
    <row r="922">
      <c r="A922" t="inlineStr">
        <is>
          <t>SRQ-63</t>
        </is>
      </c>
      <c r="B922" t="inlineStr">
        <is>
          <t>Self-Regulation Questionnaire</t>
        </is>
      </c>
      <c r="C922" t="inlineStr">
        <is>
          <t>1. Executive functioning and ADHD</t>
        </is>
      </c>
      <c r="D922" t="n">
        <v>33</v>
      </c>
      <c r="E922" t="inlineStr">
        <is>
          <t>I have a hard time setting goals for myself.</t>
        </is>
      </c>
      <c r="F922" t="inlineStr">
        <is>
          <t>Planning</t>
        </is>
      </c>
      <c r="G922" t="inlineStr">
        <is>
          <t>TRUE</t>
        </is>
      </c>
      <c r="H922" t="inlineStr">
        <is>
          <t>FALSE</t>
        </is>
      </c>
      <c r="I922" t="inlineStr">
        <is>
          <t>Strongly Disagree = 1 | Disagree = 2 | Uncertain or Unsure = 3 | Agree = 4 | Strongly Agree = 5</t>
        </is>
      </c>
      <c r="K922" t="inlineStr">
        <is>
          <t>https://casaa.unm.edu/assets/inst/selfregulation-questionnaire-srq.pdf</t>
        </is>
      </c>
    </row>
    <row r="923">
      <c r="A923" t="inlineStr">
        <is>
          <t>SRQ-63</t>
        </is>
      </c>
      <c r="B923" t="inlineStr">
        <is>
          <t>Self-Regulation Questionnaire</t>
        </is>
      </c>
      <c r="C923" t="inlineStr">
        <is>
          <t>1. Executive functioning and ADHD</t>
        </is>
      </c>
      <c r="D923" t="n">
        <v>34</v>
      </c>
      <c r="E923" t="inlineStr">
        <is>
          <t>I have a lot of willpower.</t>
        </is>
      </c>
      <c r="F923" t="inlineStr">
        <is>
          <t>Implementing</t>
        </is>
      </c>
      <c r="G923" t="inlineStr">
        <is>
          <t>FALSE</t>
        </is>
      </c>
      <c r="H923" t="inlineStr">
        <is>
          <t>FALSE</t>
        </is>
      </c>
      <c r="I923" t="inlineStr">
        <is>
          <t>Strongly Disagree = 1 | Disagree = 2 | Uncertain or Unsure = 3 | Agree = 4 | Strongly Agree = 5</t>
        </is>
      </c>
      <c r="K923" t="inlineStr">
        <is>
          <t>https://casaa.unm.edu/assets/inst/selfregulation-questionnaire-srq.pdf</t>
        </is>
      </c>
    </row>
    <row r="924">
      <c r="A924" t="inlineStr">
        <is>
          <t>SRQ-63</t>
        </is>
      </c>
      <c r="B924" t="inlineStr">
        <is>
          <t>Self-Regulation Questionnaire</t>
        </is>
      </c>
      <c r="C924" t="inlineStr">
        <is>
          <t>1. Executive functioning and ADHD</t>
        </is>
      </c>
      <c r="D924" t="n">
        <v>35</v>
      </c>
      <c r="E924" t="inlineStr">
        <is>
          <t>When I'm trying to change something, I pay a lot of attention to how I'm doing.</t>
        </is>
      </c>
      <c r="F924" t="inlineStr">
        <is>
          <t>Assessing</t>
        </is>
      </c>
      <c r="G924" t="inlineStr">
        <is>
          <t>FALSE</t>
        </is>
      </c>
      <c r="H924" t="inlineStr">
        <is>
          <t>FALSE</t>
        </is>
      </c>
      <c r="I924" t="inlineStr">
        <is>
          <t>Strongly Disagree = 1 | Disagree = 2 | Uncertain or Unsure = 3 | Agree = 4 | Strongly Agree = 5</t>
        </is>
      </c>
      <c r="K924" t="inlineStr">
        <is>
          <t>https://casaa.unm.edu/assets/inst/selfregulation-questionnaire-srq.pdf</t>
        </is>
      </c>
    </row>
    <row r="925">
      <c r="A925" t="inlineStr">
        <is>
          <t>SRQ-63</t>
        </is>
      </c>
      <c r="B925" t="inlineStr">
        <is>
          <t>Self-Regulation Questionnaire</t>
        </is>
      </c>
      <c r="C925" t="inlineStr">
        <is>
          <t>1. Executive functioning and ADHD</t>
        </is>
      </c>
      <c r="D925" t="n">
        <v>36</v>
      </c>
      <c r="E925" t="inlineStr">
        <is>
          <t>I usually judge what I'm doing by the consequences of my actions.</t>
        </is>
      </c>
      <c r="F925" t="inlineStr">
        <is>
          <t>Receiving</t>
        </is>
      </c>
      <c r="G925" t="inlineStr">
        <is>
          <t>FALSE</t>
        </is>
      </c>
      <c r="H925" t="inlineStr">
        <is>
          <t>FALSE</t>
        </is>
      </c>
      <c r="I925" t="inlineStr">
        <is>
          <t>Strongly Disagree = 1 | Disagree = 2 | Uncertain or Unsure = 3 | Agree = 4 | Strongly Agree = 5</t>
        </is>
      </c>
      <c r="K925" t="inlineStr">
        <is>
          <t>https://casaa.unm.edu/assets/inst/selfregulation-questionnaire-srq.pdf</t>
        </is>
      </c>
    </row>
    <row r="926">
      <c r="A926" t="inlineStr">
        <is>
          <t>SRQ-63</t>
        </is>
      </c>
      <c r="B926" t="inlineStr">
        <is>
          <t>Self-Regulation Questionnaire</t>
        </is>
      </c>
      <c r="C926" t="inlineStr">
        <is>
          <t>1. Executive functioning and ADHD</t>
        </is>
      </c>
      <c r="D926" t="n">
        <v>37</v>
      </c>
      <c r="E926" t="inlineStr">
        <is>
          <t>I don't care if I'm different from most people.</t>
        </is>
      </c>
      <c r="F926" t="inlineStr">
        <is>
          <t>Evaluating</t>
        </is>
      </c>
      <c r="G926" t="inlineStr">
        <is>
          <t>TRUE</t>
        </is>
      </c>
      <c r="H926" t="inlineStr">
        <is>
          <t>FALSE</t>
        </is>
      </c>
      <c r="I926" t="inlineStr">
        <is>
          <t>Strongly Disagree = 1 | Disagree = 2 | Uncertain or Unsure = 3 | Agree = 4 | Strongly Agree = 5</t>
        </is>
      </c>
      <c r="K926" t="inlineStr">
        <is>
          <t>https://casaa.unm.edu/assets/inst/selfregulation-questionnaire-srq.pdf</t>
        </is>
      </c>
    </row>
    <row r="927">
      <c r="A927" t="inlineStr">
        <is>
          <t>SRQ-63</t>
        </is>
      </c>
      <c r="B927" t="inlineStr">
        <is>
          <t>Self-Regulation Questionnaire</t>
        </is>
      </c>
      <c r="C927" t="inlineStr">
        <is>
          <t>1. Executive functioning and ADHD</t>
        </is>
      </c>
      <c r="D927" t="n">
        <v>38</v>
      </c>
      <c r="E927" t="inlineStr">
        <is>
          <t>As soon as I see things aren't going right I want to do something about it.</t>
        </is>
      </c>
      <c r="F927" t="inlineStr">
        <is>
          <t>Triggering</t>
        </is>
      </c>
      <c r="G927" t="inlineStr">
        <is>
          <t>FALSE</t>
        </is>
      </c>
      <c r="H927" t="inlineStr">
        <is>
          <t>FALSE</t>
        </is>
      </c>
      <c r="I927" t="inlineStr">
        <is>
          <t>Strongly Disagree = 1 | Disagree = 2 | Uncertain or Unsure = 3 | Agree = 4 | Strongly Agree = 5</t>
        </is>
      </c>
      <c r="K927" t="inlineStr">
        <is>
          <t>https://casaa.unm.edu/assets/inst/selfregulation-questionnaire-srq.pdf</t>
        </is>
      </c>
    </row>
    <row r="928">
      <c r="A928" t="inlineStr">
        <is>
          <t>SRQ-63</t>
        </is>
      </c>
      <c r="B928" t="inlineStr">
        <is>
          <t>Self-Regulation Questionnaire</t>
        </is>
      </c>
      <c r="C928" t="inlineStr">
        <is>
          <t>1. Executive functioning and ADHD</t>
        </is>
      </c>
      <c r="D928" t="n">
        <v>39</v>
      </c>
      <c r="E928" t="inlineStr">
        <is>
          <t>There is usually more than one way to accomplish something.</t>
        </is>
      </c>
      <c r="F928" t="inlineStr">
        <is>
          <t>Searching</t>
        </is>
      </c>
      <c r="G928" t="inlineStr">
        <is>
          <t>FALSE</t>
        </is>
      </c>
      <c r="H928" t="inlineStr">
        <is>
          <t>FALSE</t>
        </is>
      </c>
      <c r="I928" t="inlineStr">
        <is>
          <t>Strongly Disagree = 1 | Disagree = 2 | Uncertain or Unsure = 3 | Agree = 4 | Strongly Agree = 5</t>
        </is>
      </c>
      <c r="K928" t="inlineStr">
        <is>
          <t>https://casaa.unm.edu/assets/inst/selfregulation-questionnaire-srq.pdf</t>
        </is>
      </c>
    </row>
    <row r="929">
      <c r="A929" t="inlineStr">
        <is>
          <t>SRQ-63</t>
        </is>
      </c>
      <c r="B929" t="inlineStr">
        <is>
          <t>Self-Regulation Questionnaire</t>
        </is>
      </c>
      <c r="C929" t="inlineStr">
        <is>
          <t>1. Executive functioning and ADHD</t>
        </is>
      </c>
      <c r="D929" t="n">
        <v>40</v>
      </c>
      <c r="E929" t="inlineStr">
        <is>
          <t>I have trouble making plans to help me reach my goals.</t>
        </is>
      </c>
      <c r="F929" t="inlineStr">
        <is>
          <t>Planning</t>
        </is>
      </c>
      <c r="G929" t="inlineStr">
        <is>
          <t>TRUE</t>
        </is>
      </c>
      <c r="H929" t="inlineStr">
        <is>
          <t>FALSE</t>
        </is>
      </c>
      <c r="I929" t="inlineStr">
        <is>
          <t>Strongly Disagree = 1 | Disagree = 2 | Uncertain or Unsure = 3 | Agree = 4 | Strongly Agree = 5</t>
        </is>
      </c>
      <c r="K929" t="inlineStr">
        <is>
          <t>https://casaa.unm.edu/assets/inst/selfregulation-questionnaire-srq.pdf</t>
        </is>
      </c>
    </row>
    <row r="930">
      <c r="A930" t="inlineStr">
        <is>
          <t>SRQ-63</t>
        </is>
      </c>
      <c r="B930" t="inlineStr">
        <is>
          <t>Self-Regulation Questionnaire</t>
        </is>
      </c>
      <c r="C930" t="inlineStr">
        <is>
          <t>1. Executive functioning and ADHD</t>
        </is>
      </c>
      <c r="D930" t="n">
        <v>41</v>
      </c>
      <c r="E930" t="inlineStr">
        <is>
          <t>I am able to resist temptation.</t>
        </is>
      </c>
      <c r="F930" t="inlineStr">
        <is>
          <t>Implementing</t>
        </is>
      </c>
      <c r="G930" t="inlineStr">
        <is>
          <t>FALSE</t>
        </is>
      </c>
      <c r="H930" t="inlineStr">
        <is>
          <t>FALSE</t>
        </is>
      </c>
      <c r="I930" t="inlineStr">
        <is>
          <t>Strongly Disagree = 1 | Disagree = 2 | Uncertain or Unsure = 3 | Agree = 4 | Strongly Agree = 5</t>
        </is>
      </c>
      <c r="K930" t="inlineStr">
        <is>
          <t>https://casaa.unm.edu/assets/inst/selfregulation-questionnaire-srq.pdf</t>
        </is>
      </c>
    </row>
    <row r="931">
      <c r="A931" t="inlineStr">
        <is>
          <t>SRQ-63</t>
        </is>
      </c>
      <c r="B931" t="inlineStr">
        <is>
          <t>Self-Regulation Questionnaire</t>
        </is>
      </c>
      <c r="C931" t="inlineStr">
        <is>
          <t>1. Executive functioning and ADHD</t>
        </is>
      </c>
      <c r="D931" t="n">
        <v>42</v>
      </c>
      <c r="E931" t="inlineStr">
        <is>
          <t>I set goals for myself and keep track of my progress.</t>
        </is>
      </c>
      <c r="F931" t="inlineStr">
        <is>
          <t>Assessing</t>
        </is>
      </c>
      <c r="G931" t="inlineStr">
        <is>
          <t>FALSE</t>
        </is>
      </c>
      <c r="H931" t="inlineStr">
        <is>
          <t>FALSE</t>
        </is>
      </c>
      <c r="I931" t="inlineStr">
        <is>
          <t>Strongly Disagree = 1 | Disagree = 2 | Uncertain or Unsure = 3 | Agree = 4 | Strongly Agree = 5</t>
        </is>
      </c>
      <c r="K931" t="inlineStr">
        <is>
          <t>https://casaa.unm.edu/assets/inst/selfregulation-questionnaire-srq.pdf</t>
        </is>
      </c>
    </row>
    <row r="932">
      <c r="A932" t="inlineStr">
        <is>
          <t>SRQ-63</t>
        </is>
      </c>
      <c r="B932" t="inlineStr">
        <is>
          <t>Self-Regulation Questionnaire</t>
        </is>
      </c>
      <c r="C932" t="inlineStr">
        <is>
          <t>1. Executive functioning and ADHD</t>
        </is>
      </c>
      <c r="D932" t="n">
        <v>43</v>
      </c>
      <c r="E932" t="inlineStr">
        <is>
          <t>Most of the time I don't pay attention to what I'm doing.</t>
        </is>
      </c>
      <c r="F932" t="inlineStr">
        <is>
          <t>Receiving</t>
        </is>
      </c>
      <c r="G932" t="inlineStr">
        <is>
          <t>TRUE</t>
        </is>
      </c>
      <c r="H932" t="inlineStr">
        <is>
          <t>FALSE</t>
        </is>
      </c>
      <c r="I932" t="inlineStr">
        <is>
          <t>Strongly Disagree = 1 | Disagree = 2 | Uncertain or Unsure = 3 | Agree = 4 | Strongly Agree = 5</t>
        </is>
      </c>
      <c r="K932" t="inlineStr">
        <is>
          <t>https://casaa.unm.edu/assets/inst/selfregulation-questionnaire-srq.pdf</t>
        </is>
      </c>
    </row>
    <row r="933">
      <c r="A933" t="inlineStr">
        <is>
          <t>SRQ-63</t>
        </is>
      </c>
      <c r="B933" t="inlineStr">
        <is>
          <t>Self-Regulation Questionnaire</t>
        </is>
      </c>
      <c r="C933" t="inlineStr">
        <is>
          <t>1. Executive functioning and ADHD</t>
        </is>
      </c>
      <c r="D933" t="n">
        <v>44</v>
      </c>
      <c r="E933" t="inlineStr">
        <is>
          <t>I try to be like people around me.</t>
        </is>
      </c>
      <c r="F933" t="inlineStr">
        <is>
          <t>Evaluating</t>
        </is>
      </c>
      <c r="G933" t="inlineStr">
        <is>
          <t>FALSE</t>
        </is>
      </c>
      <c r="H933" t="inlineStr">
        <is>
          <t>FALSE</t>
        </is>
      </c>
      <c r="I933" t="inlineStr">
        <is>
          <t>Strongly Disagree = 1 | Disagree = 2 | Uncertain or Unsure = 3 | Agree = 4 | Strongly Agree = 5</t>
        </is>
      </c>
      <c r="K933" t="inlineStr">
        <is>
          <t>https://casaa.unm.edu/assets/inst/selfregulation-questionnaire-srq.pdf</t>
        </is>
      </c>
    </row>
    <row r="934">
      <c r="A934" t="inlineStr">
        <is>
          <t>SRQ-63</t>
        </is>
      </c>
      <c r="B934" t="inlineStr">
        <is>
          <t>Self-Regulation Questionnaire</t>
        </is>
      </c>
      <c r="C934" t="inlineStr">
        <is>
          <t>1. Executive functioning and ADHD</t>
        </is>
      </c>
      <c r="D934" t="n">
        <v>45</v>
      </c>
      <c r="E934" t="inlineStr">
        <is>
          <t>I tend to keep doing the same thing, even when it doesn't work.</t>
        </is>
      </c>
      <c r="F934" t="inlineStr">
        <is>
          <t>Triggering</t>
        </is>
      </c>
      <c r="G934" t="inlineStr">
        <is>
          <t>TRUE</t>
        </is>
      </c>
      <c r="H934" t="inlineStr">
        <is>
          <t>FALSE</t>
        </is>
      </c>
      <c r="I934" t="inlineStr">
        <is>
          <t>Strongly Disagree = 1 | Disagree = 2 | Uncertain or Unsure = 3 | Agree = 4 | Strongly Agree = 5</t>
        </is>
      </c>
      <c r="K934" t="inlineStr">
        <is>
          <t>https://casaa.unm.edu/assets/inst/selfregulation-questionnaire-srq.pdf</t>
        </is>
      </c>
    </row>
    <row r="935">
      <c r="A935" t="inlineStr">
        <is>
          <t>SRQ-63</t>
        </is>
      </c>
      <c r="B935" t="inlineStr">
        <is>
          <t>Self-Regulation Questionnaire</t>
        </is>
      </c>
      <c r="C935" t="inlineStr">
        <is>
          <t>1. Executive functioning and ADHD</t>
        </is>
      </c>
      <c r="D935" t="n">
        <v>46</v>
      </c>
      <c r="E935" t="inlineStr">
        <is>
          <t>I can usually find several different possibilities when I want to change something.</t>
        </is>
      </c>
      <c r="F935" t="inlineStr">
        <is>
          <t>Searching</t>
        </is>
      </c>
      <c r="G935" t="inlineStr">
        <is>
          <t>FALSE</t>
        </is>
      </c>
      <c r="H935" t="inlineStr">
        <is>
          <t>FALSE</t>
        </is>
      </c>
      <c r="I935" t="inlineStr">
        <is>
          <t>Strongly Disagree = 1 | Disagree = 2 | Uncertain or Unsure = 3 | Agree = 4 | Strongly Agree = 5</t>
        </is>
      </c>
      <c r="K935" t="inlineStr">
        <is>
          <t>https://casaa.unm.edu/assets/inst/selfregulation-questionnaire-srq.pdf</t>
        </is>
      </c>
    </row>
    <row r="936">
      <c r="A936" t="inlineStr">
        <is>
          <t>SRQ-63</t>
        </is>
      </c>
      <c r="B936" t="inlineStr">
        <is>
          <t>Self-Regulation Questionnaire</t>
        </is>
      </c>
      <c r="C936" t="inlineStr">
        <is>
          <t>1. Executive functioning and ADHD</t>
        </is>
      </c>
      <c r="D936" t="n">
        <v>47</v>
      </c>
      <c r="E936" t="inlineStr">
        <is>
          <t>Once I have a goal, I can usually plan how to reach it.</t>
        </is>
      </c>
      <c r="F936" t="inlineStr">
        <is>
          <t>Planning</t>
        </is>
      </c>
      <c r="G936" t="inlineStr">
        <is>
          <t>FALSE</t>
        </is>
      </c>
      <c r="H936" t="inlineStr">
        <is>
          <t>FALSE</t>
        </is>
      </c>
      <c r="I936" t="inlineStr">
        <is>
          <t>Strongly Disagree = 1 | Disagree = 2 | Uncertain or Unsure = 3 | Agree = 4 | Strongly Agree = 5</t>
        </is>
      </c>
      <c r="K936" t="inlineStr">
        <is>
          <t>https://casaa.unm.edu/assets/inst/selfregulation-questionnaire-srq.pdf</t>
        </is>
      </c>
    </row>
    <row r="937">
      <c r="A937" t="inlineStr">
        <is>
          <t>SRQ-63</t>
        </is>
      </c>
      <c r="B937" t="inlineStr">
        <is>
          <t>Self-Regulation Questionnaire</t>
        </is>
      </c>
      <c r="C937" t="inlineStr">
        <is>
          <t>1. Executive functioning and ADHD</t>
        </is>
      </c>
      <c r="D937" t="n">
        <v>48</v>
      </c>
      <c r="E937" t="inlineStr">
        <is>
          <t>I have rules that I stick by no matter what.</t>
        </is>
      </c>
      <c r="F937" t="inlineStr">
        <is>
          <t>Implementing</t>
        </is>
      </c>
      <c r="G937" t="inlineStr">
        <is>
          <t>FALSE</t>
        </is>
      </c>
      <c r="H937" t="inlineStr">
        <is>
          <t>FALSE</t>
        </is>
      </c>
      <c r="I937" t="inlineStr">
        <is>
          <t>Strongly Disagree = 1 | Disagree = 2 | Uncertain or Unsure = 3 | Agree = 4 | Strongly Agree = 5</t>
        </is>
      </c>
      <c r="K937" t="inlineStr">
        <is>
          <t>https://casaa.unm.edu/assets/inst/selfregulation-questionnaire-srq.pdf</t>
        </is>
      </c>
    </row>
    <row r="938">
      <c r="A938" t="inlineStr">
        <is>
          <t>SRQ-63</t>
        </is>
      </c>
      <c r="B938" t="inlineStr">
        <is>
          <t>Self-Regulation Questionnaire</t>
        </is>
      </c>
      <c r="C938" t="inlineStr">
        <is>
          <t>1. Executive functioning and ADHD</t>
        </is>
      </c>
      <c r="D938" t="n">
        <v>49</v>
      </c>
      <c r="E938" t="inlineStr">
        <is>
          <t>If I make a resolution to change something, I pay a lot of attention to how I'm doing.</t>
        </is>
      </c>
      <c r="F938" t="inlineStr">
        <is>
          <t>Assessing</t>
        </is>
      </c>
      <c r="G938" t="inlineStr">
        <is>
          <t>FALSE</t>
        </is>
      </c>
      <c r="H938" t="inlineStr">
        <is>
          <t>FALSE</t>
        </is>
      </c>
      <c r="I938" t="inlineStr">
        <is>
          <t>Strongly Disagree = 1 | Disagree = 2 | Uncertain or Unsure = 3 | Agree = 4 | Strongly Agree = 5</t>
        </is>
      </c>
      <c r="K938" t="inlineStr">
        <is>
          <t>https://casaa.unm.edu/assets/inst/selfregulation-questionnaire-srq.pdf</t>
        </is>
      </c>
    </row>
    <row r="939">
      <c r="A939" t="inlineStr">
        <is>
          <t>SRQ-63</t>
        </is>
      </c>
      <c r="B939" t="inlineStr">
        <is>
          <t>Self-Regulation Questionnaire</t>
        </is>
      </c>
      <c r="C939" t="inlineStr">
        <is>
          <t>1. Executive functioning and ADHD</t>
        </is>
      </c>
      <c r="D939" t="n">
        <v>50</v>
      </c>
      <c r="E939" t="inlineStr">
        <is>
          <t>Often I don't notice what I'm doing until someone calls it to my attention.</t>
        </is>
      </c>
      <c r="F939" t="inlineStr">
        <is>
          <t>Receiving</t>
        </is>
      </c>
      <c r="G939" t="inlineStr">
        <is>
          <t>TRUE</t>
        </is>
      </c>
      <c r="H939" t="inlineStr">
        <is>
          <t>FALSE</t>
        </is>
      </c>
      <c r="I939" t="inlineStr">
        <is>
          <t>Strongly Disagree = 1 | Disagree = 2 | Uncertain or Unsure = 3 | Agree = 4 | Strongly Agree = 5</t>
        </is>
      </c>
      <c r="K939" t="inlineStr">
        <is>
          <t>https://casaa.unm.edu/assets/inst/selfregulation-questionnaire-srq.pdf</t>
        </is>
      </c>
    </row>
    <row r="940">
      <c r="A940" t="inlineStr">
        <is>
          <t>SRQ-63</t>
        </is>
      </c>
      <c r="B940" t="inlineStr">
        <is>
          <t>Self-Regulation Questionnaire</t>
        </is>
      </c>
      <c r="C940" t="inlineStr">
        <is>
          <t>1. Executive functioning and ADHD</t>
        </is>
      </c>
      <c r="D940" t="n">
        <v>51</v>
      </c>
      <c r="E940" t="inlineStr">
        <is>
          <t>I think a lot about how I'm doing.</t>
        </is>
      </c>
      <c r="F940" t="inlineStr">
        <is>
          <t>Evaluating</t>
        </is>
      </c>
      <c r="G940" t="inlineStr">
        <is>
          <t>FALSE</t>
        </is>
      </c>
      <c r="H940" t="inlineStr">
        <is>
          <t>FALSE</t>
        </is>
      </c>
      <c r="I940" t="inlineStr">
        <is>
          <t>Strongly Disagree = 1 | Disagree = 2 | Uncertain or Unsure = 3 | Agree = 4 | Strongly Agree = 5</t>
        </is>
      </c>
      <c r="K940" t="inlineStr">
        <is>
          <t>https://casaa.unm.edu/assets/inst/selfregulation-questionnaire-srq.pdf</t>
        </is>
      </c>
    </row>
    <row r="941">
      <c r="A941" t="inlineStr">
        <is>
          <t>SRQ-63</t>
        </is>
      </c>
      <c r="B941" t="inlineStr">
        <is>
          <t>Self-Regulation Questionnaire</t>
        </is>
      </c>
      <c r="C941" t="inlineStr">
        <is>
          <t>1. Executive functioning and ADHD</t>
        </is>
      </c>
      <c r="D941" t="n">
        <v>52</v>
      </c>
      <c r="E941" t="inlineStr">
        <is>
          <t>Usually I see the need to change before others do.</t>
        </is>
      </c>
      <c r="F941" t="inlineStr">
        <is>
          <t>Triggering</t>
        </is>
      </c>
      <c r="G941" t="inlineStr">
        <is>
          <t>FALSE</t>
        </is>
      </c>
      <c r="H941" t="inlineStr">
        <is>
          <t>FALSE</t>
        </is>
      </c>
      <c r="I941" t="inlineStr">
        <is>
          <t>Strongly Disagree = 1 | Disagree = 2 | Uncertain or Unsure = 3 | Agree = 4 | Strongly Agree = 5</t>
        </is>
      </c>
      <c r="K941" t="inlineStr">
        <is>
          <t>https://casaa.unm.edu/assets/inst/selfregulation-questionnaire-srq.pdf</t>
        </is>
      </c>
    </row>
    <row r="942">
      <c r="A942" t="inlineStr">
        <is>
          <t>SRQ-63</t>
        </is>
      </c>
      <c r="B942" t="inlineStr">
        <is>
          <t>Self-Regulation Questionnaire</t>
        </is>
      </c>
      <c r="C942" t="inlineStr">
        <is>
          <t>1. Executive functioning and ADHD</t>
        </is>
      </c>
      <c r="D942" t="n">
        <v>53</v>
      </c>
      <c r="E942" t="inlineStr">
        <is>
          <t>I'm good at finding different ways to get what I want.</t>
        </is>
      </c>
      <c r="F942" t="inlineStr">
        <is>
          <t>Searching</t>
        </is>
      </c>
      <c r="G942" t="inlineStr">
        <is>
          <t>FALSE</t>
        </is>
      </c>
      <c r="H942" t="inlineStr">
        <is>
          <t>FALSE</t>
        </is>
      </c>
      <c r="I942" t="inlineStr">
        <is>
          <t>Strongly Disagree = 1 | Disagree = 2 | Uncertain or Unsure = 3 | Agree = 4 | Strongly Agree = 5</t>
        </is>
      </c>
      <c r="K942" t="inlineStr">
        <is>
          <t>https://casaa.unm.edu/assets/inst/selfregulation-questionnaire-srq.pdf</t>
        </is>
      </c>
    </row>
    <row r="943">
      <c r="A943" t="inlineStr">
        <is>
          <t>SRQ-63</t>
        </is>
      </c>
      <c r="B943" t="inlineStr">
        <is>
          <t>Self-Regulation Questionnaire</t>
        </is>
      </c>
      <c r="C943" t="inlineStr">
        <is>
          <t>1. Executive functioning and ADHD</t>
        </is>
      </c>
      <c r="D943" t="n">
        <v>54</v>
      </c>
      <c r="E943" t="inlineStr">
        <is>
          <t>I usually think before I act.</t>
        </is>
      </c>
      <c r="F943" t="inlineStr">
        <is>
          <t>Planning</t>
        </is>
      </c>
      <c r="G943" t="inlineStr">
        <is>
          <t>FALSE</t>
        </is>
      </c>
      <c r="H943" t="inlineStr">
        <is>
          <t>FALSE</t>
        </is>
      </c>
      <c r="I943" t="inlineStr">
        <is>
          <t>Strongly Disagree = 1 | Disagree = 2 | Uncertain or Unsure = 3 | Agree = 4 | Strongly Agree = 5</t>
        </is>
      </c>
      <c r="K943" t="inlineStr">
        <is>
          <t>https://casaa.unm.edu/assets/inst/selfregulation-questionnaire-srq.pdf</t>
        </is>
      </c>
    </row>
    <row r="944">
      <c r="A944" t="inlineStr">
        <is>
          <t>SRQ-63</t>
        </is>
      </c>
      <c r="B944" t="inlineStr">
        <is>
          <t>Self-Regulation Questionnaire</t>
        </is>
      </c>
      <c r="C944" t="inlineStr">
        <is>
          <t>1. Executive functioning and ADHD</t>
        </is>
      </c>
      <c r="D944" t="n">
        <v>55</v>
      </c>
      <c r="E944" t="inlineStr">
        <is>
          <t>Little problems or distractions throw me off course.</t>
        </is>
      </c>
      <c r="F944" t="inlineStr">
        <is>
          <t>Implementing</t>
        </is>
      </c>
      <c r="G944" t="inlineStr">
        <is>
          <t>TRUE</t>
        </is>
      </c>
      <c r="H944" t="inlineStr">
        <is>
          <t>FALSE</t>
        </is>
      </c>
      <c r="I944" t="inlineStr">
        <is>
          <t>Strongly Disagree = 1 | Disagree = 2 | Uncertain or Unsure = 3 | Agree = 4 | Strongly Agree = 5</t>
        </is>
      </c>
      <c r="K944" t="inlineStr">
        <is>
          <t>https://casaa.unm.edu/assets/inst/selfregulation-questionnaire-srq.pdf</t>
        </is>
      </c>
    </row>
    <row r="945">
      <c r="A945" t="inlineStr">
        <is>
          <t>SRQ-63</t>
        </is>
      </c>
      <c r="B945" t="inlineStr">
        <is>
          <t>Self-Regulation Questionnaire</t>
        </is>
      </c>
      <c r="C945" t="inlineStr">
        <is>
          <t>1. Executive functioning and ADHD</t>
        </is>
      </c>
      <c r="D945" t="n">
        <v>56</v>
      </c>
      <c r="E945" t="inlineStr">
        <is>
          <t>I feel bad when I don't meet my goals.</t>
        </is>
      </c>
      <c r="F945" t="inlineStr">
        <is>
          <t>Assessing</t>
        </is>
      </c>
      <c r="G945" t="inlineStr">
        <is>
          <t>FALSE</t>
        </is>
      </c>
      <c r="H945" t="inlineStr">
        <is>
          <t>FALSE</t>
        </is>
      </c>
      <c r="I945" t="inlineStr">
        <is>
          <t>Strongly Disagree = 1 | Disagree = 2 | Uncertain or Unsure = 3 | Agree = 4 | Strongly Agree = 5</t>
        </is>
      </c>
      <c r="K945" t="inlineStr">
        <is>
          <t>https://casaa.unm.edu/assets/inst/selfregulation-questionnaire-srq.pdf</t>
        </is>
      </c>
    </row>
    <row r="946">
      <c r="A946" t="inlineStr">
        <is>
          <t>SRQ-63</t>
        </is>
      </c>
      <c r="B946" t="inlineStr">
        <is>
          <t>Self-Regulation Questionnaire</t>
        </is>
      </c>
      <c r="C946" t="inlineStr">
        <is>
          <t>1. Executive functioning and ADHD</t>
        </is>
      </c>
      <c r="D946" t="n">
        <v>57</v>
      </c>
      <c r="E946" t="inlineStr">
        <is>
          <t>I learn from my mistakes.</t>
        </is>
      </c>
      <c r="F946" t="inlineStr">
        <is>
          <t>Receiving</t>
        </is>
      </c>
      <c r="G946" t="inlineStr">
        <is>
          <t>FALSE</t>
        </is>
      </c>
      <c r="H946" t="inlineStr">
        <is>
          <t>FALSE</t>
        </is>
      </c>
      <c r="I946" t="inlineStr">
        <is>
          <t>Strongly Disagree = 1 | Disagree = 2 | Uncertain or Unsure = 3 | Agree = 4 | Strongly Agree = 5</t>
        </is>
      </c>
      <c r="K946" t="inlineStr">
        <is>
          <t>https://casaa.unm.edu/assets/inst/selfregulation-questionnaire-srq.pdf</t>
        </is>
      </c>
    </row>
    <row r="947">
      <c r="A947" t="inlineStr">
        <is>
          <t>SRQ-63</t>
        </is>
      </c>
      <c r="B947" t="inlineStr">
        <is>
          <t>Self-Regulation Questionnaire</t>
        </is>
      </c>
      <c r="C947" t="inlineStr">
        <is>
          <t>1. Executive functioning and ADHD</t>
        </is>
      </c>
      <c r="D947" t="n">
        <v>58</v>
      </c>
      <c r="E947" t="inlineStr">
        <is>
          <t>I know how I want to be.</t>
        </is>
      </c>
      <c r="F947" t="inlineStr">
        <is>
          <t>Evaluating</t>
        </is>
      </c>
      <c r="G947" t="inlineStr">
        <is>
          <t>FALSE</t>
        </is>
      </c>
      <c r="H947" t="inlineStr">
        <is>
          <t>FALSE</t>
        </is>
      </c>
      <c r="I947" t="inlineStr">
        <is>
          <t>Strongly Disagree = 1 | Disagree = 2 | Uncertain or Unsure = 3 | Agree = 4 | Strongly Agree = 5</t>
        </is>
      </c>
      <c r="K947" t="inlineStr">
        <is>
          <t>https://casaa.unm.edu/assets/inst/selfregulation-questionnaire-srq.pdf</t>
        </is>
      </c>
    </row>
    <row r="948">
      <c r="A948" t="inlineStr">
        <is>
          <t>SRQ-63</t>
        </is>
      </c>
      <c r="B948" t="inlineStr">
        <is>
          <t>Self-Regulation Questionnaire</t>
        </is>
      </c>
      <c r="C948" t="inlineStr">
        <is>
          <t>1. Executive functioning and ADHD</t>
        </is>
      </c>
      <c r="D948" t="n">
        <v>59</v>
      </c>
      <c r="E948" t="inlineStr">
        <is>
          <t>It bothers me when things aren't the way I want them.</t>
        </is>
      </c>
      <c r="F948" t="inlineStr">
        <is>
          <t>Triggering</t>
        </is>
      </c>
      <c r="G948" t="inlineStr">
        <is>
          <t>FALSE</t>
        </is>
      </c>
      <c r="H948" t="inlineStr">
        <is>
          <t>FALSE</t>
        </is>
      </c>
      <c r="I948" t="inlineStr">
        <is>
          <t>Strongly Disagree = 1 | Disagree = 2 | Uncertain or Unsure = 3 | Agree = 4 | Strongly Agree = 5</t>
        </is>
      </c>
      <c r="K948" t="inlineStr">
        <is>
          <t>https://casaa.unm.edu/assets/inst/selfregulation-questionnaire-srq.pdf</t>
        </is>
      </c>
    </row>
    <row r="949">
      <c r="A949" t="inlineStr">
        <is>
          <t>SRQ-63</t>
        </is>
      </c>
      <c r="B949" t="inlineStr">
        <is>
          <t>Self-Regulation Questionnaire</t>
        </is>
      </c>
      <c r="C949" t="inlineStr">
        <is>
          <t>1. Executive functioning and ADHD</t>
        </is>
      </c>
      <c r="D949" t="n">
        <v>60</v>
      </c>
      <c r="E949" t="inlineStr">
        <is>
          <t>I call in others for help when I need it.</t>
        </is>
      </c>
      <c r="F949" t="inlineStr">
        <is>
          <t>Searching</t>
        </is>
      </c>
      <c r="G949" t="inlineStr">
        <is>
          <t>FALSE</t>
        </is>
      </c>
      <c r="H949" t="inlineStr">
        <is>
          <t>FALSE</t>
        </is>
      </c>
      <c r="I949" t="inlineStr">
        <is>
          <t>Strongly Disagree = 1 | Disagree = 2 | Uncertain or Unsure = 3 | Agree = 4 | Strongly Agree = 5</t>
        </is>
      </c>
      <c r="K949" t="inlineStr">
        <is>
          <t>https://casaa.unm.edu/assets/inst/selfregulation-questionnaire-srq.pdf</t>
        </is>
      </c>
    </row>
    <row r="950">
      <c r="A950" t="inlineStr">
        <is>
          <t>SRQ-63</t>
        </is>
      </c>
      <c r="B950" t="inlineStr">
        <is>
          <t>Self-Regulation Questionnaire</t>
        </is>
      </c>
      <c r="C950" t="inlineStr">
        <is>
          <t>1. Executive functioning and ADHD</t>
        </is>
      </c>
      <c r="D950" t="n">
        <v>61</v>
      </c>
      <c r="E950" t="inlineStr">
        <is>
          <t>Before making a decision, I consider what is likely to happen if I do one thing or another.</t>
        </is>
      </c>
      <c r="F950" t="inlineStr">
        <is>
          <t>Planning</t>
        </is>
      </c>
      <c r="G950" t="inlineStr">
        <is>
          <t>FALSE</t>
        </is>
      </c>
      <c r="H950" t="inlineStr">
        <is>
          <t>FALSE</t>
        </is>
      </c>
      <c r="I950" t="inlineStr">
        <is>
          <t>Strongly Disagree = 1 | Disagree = 2 | Uncertain or Unsure = 3 | Agree = 4 | Strongly Agree = 5</t>
        </is>
      </c>
      <c r="K950" t="inlineStr">
        <is>
          <t>https://casaa.unm.edu/assets/inst/selfregulation-questionnaire-srq.pdf</t>
        </is>
      </c>
    </row>
    <row r="951">
      <c r="A951" t="inlineStr">
        <is>
          <t>SRQ-63</t>
        </is>
      </c>
      <c r="B951" t="inlineStr">
        <is>
          <t>Self-Regulation Questionnaire</t>
        </is>
      </c>
      <c r="C951" t="inlineStr">
        <is>
          <t>1. Executive functioning and ADHD</t>
        </is>
      </c>
      <c r="D951" t="n">
        <v>62</v>
      </c>
      <c r="E951" t="inlineStr">
        <is>
          <t>I give up quickly.</t>
        </is>
      </c>
      <c r="F951" t="inlineStr">
        <is>
          <t>Implementing</t>
        </is>
      </c>
      <c r="G951" t="inlineStr">
        <is>
          <t>TRUE</t>
        </is>
      </c>
      <c r="H951" t="inlineStr">
        <is>
          <t>FALSE</t>
        </is>
      </c>
      <c r="I951" t="inlineStr">
        <is>
          <t>Strongly Disagree = 1 | Disagree = 2 | Uncertain or Unsure = 3 | Agree = 4 | Strongly Agree = 5</t>
        </is>
      </c>
      <c r="K951" t="inlineStr">
        <is>
          <t>https://casaa.unm.edu/assets/inst/selfregulation-questionnaire-srq.pdf</t>
        </is>
      </c>
    </row>
    <row r="952">
      <c r="A952" t="inlineStr">
        <is>
          <t>SRQ-63</t>
        </is>
      </c>
      <c r="B952" t="inlineStr">
        <is>
          <t>Self-Regulation Questionnaire</t>
        </is>
      </c>
      <c r="C952" t="inlineStr">
        <is>
          <t>1. Executive functioning and ADHD</t>
        </is>
      </c>
      <c r="D952" t="n">
        <v>63</v>
      </c>
      <c r="E952" t="inlineStr">
        <is>
          <t>I usually decide to change and hope for the best.</t>
        </is>
      </c>
      <c r="F952" t="inlineStr">
        <is>
          <t>Assessing</t>
        </is>
      </c>
      <c r="G952" t="inlineStr">
        <is>
          <t>TRUE</t>
        </is>
      </c>
      <c r="H952" t="inlineStr">
        <is>
          <t>FALSE</t>
        </is>
      </c>
      <c r="I952" t="inlineStr">
        <is>
          <t>Strongly Disagree = 1 | Disagree = 2 | Uncertain or Unsure = 3 | Agree = 4 | Strongly Agree = 5</t>
        </is>
      </c>
      <c r="K952" t="inlineStr">
        <is>
          <t>https://casaa.unm.edu/assets/inst/selfregulation-questionnaire-srq.pdf</t>
        </is>
      </c>
    </row>
    <row r="953">
      <c r="A953" t="inlineStr">
        <is>
          <t>SWLS</t>
        </is>
      </c>
      <c r="B953" t="inlineStr">
        <is>
          <t>Satisfaction with Life Scale</t>
        </is>
      </c>
      <c r="C953" t="inlineStr">
        <is>
          <t>7. Wellbeing and life satisfaction</t>
        </is>
      </c>
      <c r="D953" t="n">
        <v>1</v>
      </c>
      <c r="E953" t="inlineStr">
        <is>
          <t>In most ways my life is close to my ideal.</t>
        </is>
      </c>
      <c r="F953" t="inlineStr">
        <is>
          <t>Total</t>
        </is>
      </c>
      <c r="G953" t="inlineStr">
        <is>
          <t>FALSE</t>
        </is>
      </c>
      <c r="H953" t="inlineStr">
        <is>
          <t>FALSE</t>
        </is>
      </c>
      <c r="I953" t="inlineStr">
        <is>
          <t>Strongly agree = 7 | Agree = 6 | Slightly agree = 5 | Neither agree nor disagree = 4 | Slightly disagree = 3 | Disagree = 2 | Strongly disagree = 1</t>
        </is>
      </c>
      <c r="K953" t="inlineStr">
        <is>
          <t>https://psytoolkit.org/survey-library/satisfaction-with-life.html</t>
        </is>
      </c>
    </row>
    <row r="954">
      <c r="A954" t="inlineStr">
        <is>
          <t>SWLS</t>
        </is>
      </c>
      <c r="B954" t="inlineStr">
        <is>
          <t>Satisfaction with Life Scale</t>
        </is>
      </c>
      <c r="C954" t="inlineStr">
        <is>
          <t>7. Wellbeing and life satisfaction</t>
        </is>
      </c>
      <c r="D954" t="n">
        <v>2</v>
      </c>
      <c r="E954" t="inlineStr">
        <is>
          <t>The conditions of my life are excellent.</t>
        </is>
      </c>
      <c r="F954" t="inlineStr">
        <is>
          <t>Total</t>
        </is>
      </c>
      <c r="G954" t="inlineStr">
        <is>
          <t>FALSE</t>
        </is>
      </c>
      <c r="H954" t="inlineStr">
        <is>
          <t>FALSE</t>
        </is>
      </c>
      <c r="I954" t="inlineStr">
        <is>
          <t>Strongly agree = 7 | Agree = 6 | Slightly agree = 5 | Neither agree nor disagree = 4 | Slightly disagree = 3 | Disagree = 2 | Strongly disagree = 1</t>
        </is>
      </c>
      <c r="K954" t="inlineStr">
        <is>
          <t>https://psytoolkit.org/survey-library/satisfaction-with-life.html</t>
        </is>
      </c>
    </row>
    <row r="955">
      <c r="A955" t="inlineStr">
        <is>
          <t>SWLS</t>
        </is>
      </c>
      <c r="B955" t="inlineStr">
        <is>
          <t>Satisfaction with Life Scale</t>
        </is>
      </c>
      <c r="C955" t="inlineStr">
        <is>
          <t>7. Wellbeing and life satisfaction</t>
        </is>
      </c>
      <c r="D955" t="n">
        <v>3</v>
      </c>
      <c r="E955" t="inlineStr">
        <is>
          <t>I am satisfied with my life.</t>
        </is>
      </c>
      <c r="F955" t="inlineStr">
        <is>
          <t>Total</t>
        </is>
      </c>
      <c r="G955" t="inlineStr">
        <is>
          <t>FALSE</t>
        </is>
      </c>
      <c r="H955" t="inlineStr">
        <is>
          <t>FALSE</t>
        </is>
      </c>
      <c r="I955" t="inlineStr">
        <is>
          <t>Strongly agree = 7 | Agree = 6 | Slightly agree = 5 | Neither agree nor disagree = 4 | Slightly disagree = 3 | Disagree = 2 | Strongly disagree = 1</t>
        </is>
      </c>
      <c r="K955" t="inlineStr">
        <is>
          <t>https://psytoolkit.org/survey-library/satisfaction-with-life.html</t>
        </is>
      </c>
    </row>
    <row r="956">
      <c r="A956" t="inlineStr">
        <is>
          <t>SWLS</t>
        </is>
      </c>
      <c r="B956" t="inlineStr">
        <is>
          <t>Satisfaction with Life Scale</t>
        </is>
      </c>
      <c r="C956" t="inlineStr">
        <is>
          <t>7. Wellbeing and life satisfaction</t>
        </is>
      </c>
      <c r="D956" t="n">
        <v>4</v>
      </c>
      <c r="E956" t="inlineStr">
        <is>
          <t>So far I have gotten the important things I want in life.</t>
        </is>
      </c>
      <c r="F956" t="inlineStr">
        <is>
          <t>Total</t>
        </is>
      </c>
      <c r="G956" t="inlineStr">
        <is>
          <t>FALSE</t>
        </is>
      </c>
      <c r="H956" t="inlineStr">
        <is>
          <t>FALSE</t>
        </is>
      </c>
      <c r="I956" t="inlineStr">
        <is>
          <t>Strongly agree = 7 | Agree = 6 | Slightly agree = 5 | Neither agree nor disagree = 4 | Slightly disagree = 3 | Disagree = 2 | Strongly disagree = 1</t>
        </is>
      </c>
      <c r="K956" t="inlineStr">
        <is>
          <t>https://psytoolkit.org/survey-library/satisfaction-with-life.html</t>
        </is>
      </c>
    </row>
    <row r="957">
      <c r="A957" t="inlineStr">
        <is>
          <t>SWLS</t>
        </is>
      </c>
      <c r="B957" t="inlineStr">
        <is>
          <t>Satisfaction with Life Scale</t>
        </is>
      </c>
      <c r="C957" t="inlineStr">
        <is>
          <t>7. Wellbeing and life satisfaction</t>
        </is>
      </c>
      <c r="D957" t="n">
        <v>5</v>
      </c>
      <c r="E957" t="inlineStr">
        <is>
          <t>If I could live my life over, I would change almost nothing.</t>
        </is>
      </c>
      <c r="F957" t="inlineStr">
        <is>
          <t>Total</t>
        </is>
      </c>
      <c r="G957" t="inlineStr">
        <is>
          <t>FALSE</t>
        </is>
      </c>
      <c r="H957" t="inlineStr">
        <is>
          <t>FALSE</t>
        </is>
      </c>
      <c r="I957" t="inlineStr">
        <is>
          <t>Strongly agree = 7 | Agree = 6 | Slightly agree = 5 | Neither agree nor disagree = 4 | Slightly disagree = 3 | Disagree = 2 | Strongly disagree = 1</t>
        </is>
      </c>
      <c r="K957" t="inlineStr">
        <is>
          <t>https://psytoolkit.org/survey-library/satisfaction-with-life.html</t>
        </is>
      </c>
    </row>
    <row r="958">
      <c r="A958" t="inlineStr">
        <is>
          <t>UCLA-LS-3</t>
        </is>
      </c>
      <c r="B958" t="inlineStr">
        <is>
          <t>UCLA Loneliness Scale, Version 3 (PhenX Social Isolation)</t>
        </is>
      </c>
      <c r="C958" t="inlineStr">
        <is>
          <t>7. Wellbeing and life satisfaction</t>
        </is>
      </c>
      <c r="D958" t="n">
        <v>1</v>
      </c>
      <c r="E958" t="inlineStr">
        <is>
          <t>How often do you feel that you are in tune with the people around you?</t>
        </is>
      </c>
      <c r="F958" t="inlineStr">
        <is>
          <t>Total</t>
        </is>
      </c>
      <c r="G958" t="inlineStr">
        <is>
          <t>TRUE</t>
        </is>
      </c>
      <c r="H958" t="inlineStr">
        <is>
          <t>FALSE</t>
        </is>
      </c>
      <c r="I958" t="inlineStr">
        <is>
          <t>NEVER = 1 | RARELY = 2 | SOMETIMES = 3 | ALWAYS = 4</t>
        </is>
      </c>
      <c r="J958" t="inlineStr">
        <is>
          <t>Positively worded, reverse scored</t>
        </is>
      </c>
      <c r="K958" t="inlineStr">
        <is>
          <t>https://www.phenxtoolkit.org/protocols/view/181001</t>
        </is>
      </c>
    </row>
    <row r="959">
      <c r="A959" t="inlineStr">
        <is>
          <t>UCLA-LS-3</t>
        </is>
      </c>
      <c r="B959" t="inlineStr">
        <is>
          <t>UCLA Loneliness Scale, Version 3 (PhenX Social Isolation)</t>
        </is>
      </c>
      <c r="C959" t="inlineStr">
        <is>
          <t>7. Wellbeing and life satisfaction</t>
        </is>
      </c>
      <c r="D959" t="n">
        <v>2</v>
      </c>
      <c r="E959" t="inlineStr">
        <is>
          <t>How often do you feel that you lack companionship?</t>
        </is>
      </c>
      <c r="F959" t="inlineStr">
        <is>
          <t>Total</t>
        </is>
      </c>
      <c r="G959" t="inlineStr">
        <is>
          <t>FALSE</t>
        </is>
      </c>
      <c r="H959" t="inlineStr">
        <is>
          <t>FALSE</t>
        </is>
      </c>
      <c r="I959" t="inlineStr">
        <is>
          <t>NEVER = 1 | RARELY = 2 | SOMETIMES = 3 | ALWAYS = 4</t>
        </is>
      </c>
      <c r="K959" t="inlineStr">
        <is>
          <t>https://www.phenxtoolkit.org/protocols/view/181001</t>
        </is>
      </c>
    </row>
    <row r="960">
      <c r="A960" t="inlineStr">
        <is>
          <t>UCLA-LS-3</t>
        </is>
      </c>
      <c r="B960" t="inlineStr">
        <is>
          <t>UCLA Loneliness Scale, Version 3 (PhenX Social Isolation)</t>
        </is>
      </c>
      <c r="C960" t="inlineStr">
        <is>
          <t>7. Wellbeing and life satisfaction</t>
        </is>
      </c>
      <c r="D960" t="n">
        <v>3</v>
      </c>
      <c r="E960" t="inlineStr">
        <is>
          <t>How often do you feel that there is no one you can turn to?</t>
        </is>
      </c>
      <c r="F960" t="inlineStr">
        <is>
          <t>Total</t>
        </is>
      </c>
      <c r="G960" t="inlineStr">
        <is>
          <t>FALSE</t>
        </is>
      </c>
      <c r="H960" t="inlineStr">
        <is>
          <t>FALSE</t>
        </is>
      </c>
      <c r="I960" t="inlineStr">
        <is>
          <t>NEVER = 1 | RARELY = 2 | SOMETIMES = 3 | ALWAYS = 4</t>
        </is>
      </c>
      <c r="K960" t="inlineStr">
        <is>
          <t>https://www.phenxtoolkit.org/protocols/view/181001</t>
        </is>
      </c>
    </row>
    <row r="961">
      <c r="A961" t="inlineStr">
        <is>
          <t>UCLA-LS-3</t>
        </is>
      </c>
      <c r="B961" t="inlineStr">
        <is>
          <t>UCLA Loneliness Scale, Version 3 (PhenX Social Isolation)</t>
        </is>
      </c>
      <c r="C961" t="inlineStr">
        <is>
          <t>7. Wellbeing and life satisfaction</t>
        </is>
      </c>
      <c r="D961" t="n">
        <v>4</v>
      </c>
      <c r="E961" t="inlineStr">
        <is>
          <t>How often do you feel alone?</t>
        </is>
      </c>
      <c r="F961" t="inlineStr">
        <is>
          <t>Total</t>
        </is>
      </c>
      <c r="G961" t="inlineStr">
        <is>
          <t>FALSE</t>
        </is>
      </c>
      <c r="H961" t="inlineStr">
        <is>
          <t>FALSE</t>
        </is>
      </c>
      <c r="I961" t="inlineStr">
        <is>
          <t>NEVER = 1 | RARELY = 2 | SOMETIMES = 3 | ALWAYS = 4</t>
        </is>
      </c>
      <c r="K961" t="inlineStr">
        <is>
          <t>https://www.phenxtoolkit.org/protocols/view/181001</t>
        </is>
      </c>
    </row>
    <row r="962">
      <c r="A962" t="inlineStr">
        <is>
          <t>UCLA-LS-3</t>
        </is>
      </c>
      <c r="B962" t="inlineStr">
        <is>
          <t>UCLA Loneliness Scale, Version 3 (PhenX Social Isolation)</t>
        </is>
      </c>
      <c r="C962" t="inlineStr">
        <is>
          <t>7. Wellbeing and life satisfaction</t>
        </is>
      </c>
      <c r="D962" t="n">
        <v>5</v>
      </c>
      <c r="E962" t="inlineStr">
        <is>
          <t>How often do you feel part of a group of friends?</t>
        </is>
      </c>
      <c r="F962" t="inlineStr">
        <is>
          <t>Total</t>
        </is>
      </c>
      <c r="G962" t="inlineStr">
        <is>
          <t>TRUE</t>
        </is>
      </c>
      <c r="H962" t="inlineStr">
        <is>
          <t>FALSE</t>
        </is>
      </c>
      <c r="I962" t="inlineStr">
        <is>
          <t>NEVER = 1 | RARELY = 2 | SOMETIMES = 3 | ALWAYS = 4</t>
        </is>
      </c>
      <c r="J962" t="inlineStr">
        <is>
          <t>Positively worded, reverse scored</t>
        </is>
      </c>
      <c r="K962" t="inlineStr">
        <is>
          <t>https://www.phenxtoolkit.org/protocols/view/181001</t>
        </is>
      </c>
    </row>
    <row r="963">
      <c r="A963" t="inlineStr">
        <is>
          <t>UCLA-LS-3</t>
        </is>
      </c>
      <c r="B963" t="inlineStr">
        <is>
          <t>UCLA Loneliness Scale, Version 3 (PhenX Social Isolation)</t>
        </is>
      </c>
      <c r="C963" t="inlineStr">
        <is>
          <t>7. Wellbeing and life satisfaction</t>
        </is>
      </c>
      <c r="D963" t="n">
        <v>6</v>
      </c>
      <c r="E963" t="inlineStr">
        <is>
          <t>How often do you feel that you have a lot in common with the people around you?</t>
        </is>
      </c>
      <c r="F963" t="inlineStr">
        <is>
          <t>Total</t>
        </is>
      </c>
      <c r="G963" t="inlineStr">
        <is>
          <t>TRUE</t>
        </is>
      </c>
      <c r="H963" t="inlineStr">
        <is>
          <t>FALSE</t>
        </is>
      </c>
      <c r="I963" t="inlineStr">
        <is>
          <t>NEVER = 1 | RARELY = 2 | SOMETIMES = 3 | ALWAYS = 4</t>
        </is>
      </c>
      <c r="J963" t="inlineStr">
        <is>
          <t>Positively worded, reverse scored</t>
        </is>
      </c>
      <c r="K963" t="inlineStr">
        <is>
          <t>https://www.phenxtoolkit.org/protocols/view/181001</t>
        </is>
      </c>
    </row>
    <row r="964">
      <c r="A964" t="inlineStr">
        <is>
          <t>UCLA-LS-3</t>
        </is>
      </c>
      <c r="B964" t="inlineStr">
        <is>
          <t>UCLA Loneliness Scale, Version 3 (PhenX Social Isolation)</t>
        </is>
      </c>
      <c r="C964" t="inlineStr">
        <is>
          <t>7. Wellbeing and life satisfaction</t>
        </is>
      </c>
      <c r="D964" t="n">
        <v>7</v>
      </c>
      <c r="E964" t="inlineStr">
        <is>
          <t>How often do you feel that you are no longer close to anyone?</t>
        </is>
      </c>
      <c r="F964" t="inlineStr">
        <is>
          <t>Total</t>
        </is>
      </c>
      <c r="G964" t="inlineStr">
        <is>
          <t>FALSE</t>
        </is>
      </c>
      <c r="H964" t="inlineStr">
        <is>
          <t>FALSE</t>
        </is>
      </c>
      <c r="I964" t="inlineStr">
        <is>
          <t>NEVER = 1 | RARELY = 2 | SOMETIMES = 3 | ALWAYS = 4</t>
        </is>
      </c>
      <c r="K964" t="inlineStr">
        <is>
          <t>https://www.phenxtoolkit.org/protocols/view/181001</t>
        </is>
      </c>
    </row>
    <row r="965">
      <c r="A965" t="inlineStr">
        <is>
          <t>UCLA-LS-3</t>
        </is>
      </c>
      <c r="B965" t="inlineStr">
        <is>
          <t>UCLA Loneliness Scale, Version 3 (PhenX Social Isolation)</t>
        </is>
      </c>
      <c r="C965" t="inlineStr">
        <is>
          <t>7. Wellbeing and life satisfaction</t>
        </is>
      </c>
      <c r="D965" t="n">
        <v>8</v>
      </c>
      <c r="E965" t="inlineStr">
        <is>
          <t>How often do you feel that your interests and ideas are not shared by those around you?</t>
        </is>
      </c>
      <c r="F965" t="inlineStr">
        <is>
          <t>Total</t>
        </is>
      </c>
      <c r="G965" t="inlineStr">
        <is>
          <t>FALSE</t>
        </is>
      </c>
      <c r="H965" t="inlineStr">
        <is>
          <t>FALSE</t>
        </is>
      </c>
      <c r="I965" t="inlineStr">
        <is>
          <t>NEVER = 1 | RARELY = 2 | SOMETIMES = 3 | ALWAYS = 4</t>
        </is>
      </c>
      <c r="K965" t="inlineStr">
        <is>
          <t>https://www.phenxtoolkit.org/protocols/view/181001</t>
        </is>
      </c>
    </row>
    <row r="966">
      <c r="A966" t="inlineStr">
        <is>
          <t>UCLA-LS-3</t>
        </is>
      </c>
      <c r="B966" t="inlineStr">
        <is>
          <t>UCLA Loneliness Scale, Version 3 (PhenX Social Isolation)</t>
        </is>
      </c>
      <c r="C966" t="inlineStr">
        <is>
          <t>7. Wellbeing and life satisfaction</t>
        </is>
      </c>
      <c r="D966" t="n">
        <v>9</v>
      </c>
      <c r="E966" t="inlineStr">
        <is>
          <t>How often do you feel outgoing and friendly?</t>
        </is>
      </c>
      <c r="F966" t="inlineStr">
        <is>
          <t>Total</t>
        </is>
      </c>
      <c r="G966" t="inlineStr">
        <is>
          <t>TRUE</t>
        </is>
      </c>
      <c r="H966" t="inlineStr">
        <is>
          <t>FALSE</t>
        </is>
      </c>
      <c r="I966" t="inlineStr">
        <is>
          <t>NEVER = 1 | RARELY = 2 | SOMETIMES = 3 | ALWAYS = 4</t>
        </is>
      </c>
      <c r="J966" t="inlineStr">
        <is>
          <t>Positively worded, reverse scored</t>
        </is>
      </c>
      <c r="K966" t="inlineStr">
        <is>
          <t>https://www.phenxtoolkit.org/protocols/view/181001</t>
        </is>
      </c>
    </row>
    <row r="967">
      <c r="A967" t="inlineStr">
        <is>
          <t>UCLA-LS-3</t>
        </is>
      </c>
      <c r="B967" t="inlineStr">
        <is>
          <t>UCLA Loneliness Scale, Version 3 (PhenX Social Isolation)</t>
        </is>
      </c>
      <c r="C967" t="inlineStr">
        <is>
          <t>7. Wellbeing and life satisfaction</t>
        </is>
      </c>
      <c r="D967" t="n">
        <v>10</v>
      </c>
      <c r="E967" t="inlineStr">
        <is>
          <t>How often do you feel close to people?</t>
        </is>
      </c>
      <c r="F967" t="inlineStr">
        <is>
          <t>Total</t>
        </is>
      </c>
      <c r="G967" t="inlineStr">
        <is>
          <t>TRUE</t>
        </is>
      </c>
      <c r="H967" t="inlineStr">
        <is>
          <t>FALSE</t>
        </is>
      </c>
      <c r="I967" t="inlineStr">
        <is>
          <t>NEVER = 1 | RARELY = 2 | SOMETIMES = 3 | ALWAYS = 4</t>
        </is>
      </c>
      <c r="J967" t="inlineStr">
        <is>
          <t>Positively worded, reverse scored</t>
        </is>
      </c>
      <c r="K967" t="inlineStr">
        <is>
          <t>https://www.phenxtoolkit.org/protocols/view/181001</t>
        </is>
      </c>
    </row>
    <row r="968">
      <c r="A968" t="inlineStr">
        <is>
          <t>UCLA-LS-3</t>
        </is>
      </c>
      <c r="B968" t="inlineStr">
        <is>
          <t>UCLA Loneliness Scale, Version 3 (PhenX Social Isolation)</t>
        </is>
      </c>
      <c r="C968" t="inlineStr">
        <is>
          <t>7. Wellbeing and life satisfaction</t>
        </is>
      </c>
      <c r="D968" t="n">
        <v>11</v>
      </c>
      <c r="E968" t="inlineStr">
        <is>
          <t>How often do you feel left out?</t>
        </is>
      </c>
      <c r="F968" t="inlineStr">
        <is>
          <t>Total</t>
        </is>
      </c>
      <c r="G968" t="inlineStr">
        <is>
          <t>FALSE</t>
        </is>
      </c>
      <c r="H968" t="inlineStr">
        <is>
          <t>FALSE</t>
        </is>
      </c>
      <c r="I968" t="inlineStr">
        <is>
          <t>NEVER = 1 | RARELY = 2 | SOMETIMES = 3 | ALWAYS = 4</t>
        </is>
      </c>
      <c r="K968" t="inlineStr">
        <is>
          <t>https://www.phenxtoolkit.org/protocols/view/181001</t>
        </is>
      </c>
    </row>
    <row r="969">
      <c r="A969" t="inlineStr">
        <is>
          <t>UCLA-LS-3</t>
        </is>
      </c>
      <c r="B969" t="inlineStr">
        <is>
          <t>UCLA Loneliness Scale, Version 3 (PhenX Social Isolation)</t>
        </is>
      </c>
      <c r="C969" t="inlineStr">
        <is>
          <t>7. Wellbeing and life satisfaction</t>
        </is>
      </c>
      <c r="D969" t="n">
        <v>12</v>
      </c>
      <c r="E969" t="inlineStr">
        <is>
          <t>How often do you feel that your relationships with others are not meaningful?</t>
        </is>
      </c>
      <c r="F969" t="inlineStr">
        <is>
          <t>Total</t>
        </is>
      </c>
      <c r="G969" t="inlineStr">
        <is>
          <t>FALSE</t>
        </is>
      </c>
      <c r="H969" t="inlineStr">
        <is>
          <t>FALSE</t>
        </is>
      </c>
      <c r="I969" t="inlineStr">
        <is>
          <t>NEVER = 1 | RARELY = 2 | SOMETIMES = 3 | ALWAYS = 4</t>
        </is>
      </c>
      <c r="K969" t="inlineStr">
        <is>
          <t>https://www.phenxtoolkit.org/protocols/view/181001</t>
        </is>
      </c>
    </row>
    <row r="970">
      <c r="A970" t="inlineStr">
        <is>
          <t>UCLA-LS-3</t>
        </is>
      </c>
      <c r="B970" t="inlineStr">
        <is>
          <t>UCLA Loneliness Scale, Version 3 (PhenX Social Isolation)</t>
        </is>
      </c>
      <c r="C970" t="inlineStr">
        <is>
          <t>7. Wellbeing and life satisfaction</t>
        </is>
      </c>
      <c r="D970" t="n">
        <v>13</v>
      </c>
      <c r="E970" t="inlineStr">
        <is>
          <t>How often do you feel that no one really knows you well?</t>
        </is>
      </c>
      <c r="F970" t="inlineStr">
        <is>
          <t>Total</t>
        </is>
      </c>
      <c r="G970" t="inlineStr">
        <is>
          <t>FALSE</t>
        </is>
      </c>
      <c r="H970" t="inlineStr">
        <is>
          <t>FALSE</t>
        </is>
      </c>
      <c r="I970" t="inlineStr">
        <is>
          <t>NEVER = 1 | RARELY = 2 | SOMETIMES = 3 | ALWAYS = 4</t>
        </is>
      </c>
      <c r="K970" t="inlineStr">
        <is>
          <t>https://www.phenxtoolkit.org/protocols/view/181001</t>
        </is>
      </c>
    </row>
    <row r="971">
      <c r="A971" t="inlineStr">
        <is>
          <t>UCLA-LS-3</t>
        </is>
      </c>
      <c r="B971" t="inlineStr">
        <is>
          <t>UCLA Loneliness Scale, Version 3 (PhenX Social Isolation)</t>
        </is>
      </c>
      <c r="C971" t="inlineStr">
        <is>
          <t>7. Wellbeing and life satisfaction</t>
        </is>
      </c>
      <c r="D971" t="n">
        <v>14</v>
      </c>
      <c r="E971" t="inlineStr">
        <is>
          <t>How often do you feel isolated from others?</t>
        </is>
      </c>
      <c r="F971" t="inlineStr">
        <is>
          <t>Total</t>
        </is>
      </c>
      <c r="G971" t="inlineStr">
        <is>
          <t>FALSE</t>
        </is>
      </c>
      <c r="H971" t="inlineStr">
        <is>
          <t>FALSE</t>
        </is>
      </c>
      <c r="I971" t="inlineStr">
        <is>
          <t>NEVER = 1 | RARELY = 2 | SOMETIMES = 3 | ALWAYS = 4</t>
        </is>
      </c>
      <c r="K971" t="inlineStr">
        <is>
          <t>https://www.phenxtoolkit.org/protocols/view/181001</t>
        </is>
      </c>
    </row>
    <row r="972">
      <c r="A972" t="inlineStr">
        <is>
          <t>UCLA-LS-3</t>
        </is>
      </c>
      <c r="B972" t="inlineStr">
        <is>
          <t>UCLA Loneliness Scale, Version 3 (PhenX Social Isolation)</t>
        </is>
      </c>
      <c r="C972" t="inlineStr">
        <is>
          <t>7. Wellbeing and life satisfaction</t>
        </is>
      </c>
      <c r="D972" t="n">
        <v>15</v>
      </c>
      <c r="E972" t="inlineStr">
        <is>
          <t>How often do you feel you can find companionship when you want it?</t>
        </is>
      </c>
      <c r="F972" t="inlineStr">
        <is>
          <t>Total</t>
        </is>
      </c>
      <c r="G972" t="inlineStr">
        <is>
          <t>TRUE</t>
        </is>
      </c>
      <c r="H972" t="inlineStr">
        <is>
          <t>FALSE</t>
        </is>
      </c>
      <c r="I972" t="inlineStr">
        <is>
          <t>NEVER = 1 | RARELY = 2 | SOMETIMES = 3 | ALWAYS = 4</t>
        </is>
      </c>
      <c r="J972" t="inlineStr">
        <is>
          <t>Positively worded, reverse scored</t>
        </is>
      </c>
      <c r="K972" t="inlineStr">
        <is>
          <t>https://www.phenxtoolkit.org/protocols/view/181001</t>
        </is>
      </c>
    </row>
    <row r="973">
      <c r="A973" t="inlineStr">
        <is>
          <t>UCLA-LS-3</t>
        </is>
      </c>
      <c r="B973" t="inlineStr">
        <is>
          <t>UCLA Loneliness Scale, Version 3 (PhenX Social Isolation)</t>
        </is>
      </c>
      <c r="C973" t="inlineStr">
        <is>
          <t>7. Wellbeing and life satisfaction</t>
        </is>
      </c>
      <c r="D973" t="n">
        <v>16</v>
      </c>
      <c r="E973" t="inlineStr">
        <is>
          <t>How often do you feel that there are people who really understand you?</t>
        </is>
      </c>
      <c r="F973" t="inlineStr">
        <is>
          <t>Total</t>
        </is>
      </c>
      <c r="G973" t="inlineStr">
        <is>
          <t>TRUE</t>
        </is>
      </c>
      <c r="H973" t="inlineStr">
        <is>
          <t>FALSE</t>
        </is>
      </c>
      <c r="I973" t="inlineStr">
        <is>
          <t>NEVER = 1 | RARELY = 2 | SOMETIMES = 3 | ALWAYS = 4</t>
        </is>
      </c>
      <c r="J973" t="inlineStr">
        <is>
          <t>Positively worded, reverse scored</t>
        </is>
      </c>
      <c r="K973" t="inlineStr">
        <is>
          <t>https://www.phenxtoolkit.org/protocols/view/181001</t>
        </is>
      </c>
    </row>
    <row r="974">
      <c r="A974" t="inlineStr">
        <is>
          <t>UCLA-LS-3</t>
        </is>
      </c>
      <c r="B974" t="inlineStr">
        <is>
          <t>UCLA Loneliness Scale, Version 3 (PhenX Social Isolation)</t>
        </is>
      </c>
      <c r="C974" t="inlineStr">
        <is>
          <t>7. Wellbeing and life satisfaction</t>
        </is>
      </c>
      <c r="D974" t="n">
        <v>17</v>
      </c>
      <c r="E974" t="inlineStr">
        <is>
          <t>How often do you feel shy?</t>
        </is>
      </c>
      <c r="F974" t="inlineStr">
        <is>
          <t>Total</t>
        </is>
      </c>
      <c r="G974" t="inlineStr">
        <is>
          <t>FALSE</t>
        </is>
      </c>
      <c r="H974" t="inlineStr">
        <is>
          <t>FALSE</t>
        </is>
      </c>
      <c r="I974" t="inlineStr">
        <is>
          <t>NEVER = 1 | RARELY = 2 | SOMETIMES = 3 | ALWAYS = 4</t>
        </is>
      </c>
      <c r="K974" t="inlineStr">
        <is>
          <t>https://www.phenxtoolkit.org/protocols/view/181001</t>
        </is>
      </c>
    </row>
    <row r="975">
      <c r="A975" t="inlineStr">
        <is>
          <t>UCLA-LS-3</t>
        </is>
      </c>
      <c r="B975" t="inlineStr">
        <is>
          <t>UCLA Loneliness Scale, Version 3 (PhenX Social Isolation)</t>
        </is>
      </c>
      <c r="C975" t="inlineStr">
        <is>
          <t>7. Wellbeing and life satisfaction</t>
        </is>
      </c>
      <c r="D975" t="n">
        <v>18</v>
      </c>
      <c r="E975" t="inlineStr">
        <is>
          <t>How often do you feel that people are around you but not with you?</t>
        </is>
      </c>
      <c r="F975" t="inlineStr">
        <is>
          <t>Total</t>
        </is>
      </c>
      <c r="G975" t="inlineStr">
        <is>
          <t>FALSE</t>
        </is>
      </c>
      <c r="H975" t="inlineStr">
        <is>
          <t>FALSE</t>
        </is>
      </c>
      <c r="I975" t="inlineStr">
        <is>
          <t>NEVER = 1 | RARELY = 2 | SOMETIMES = 3 | ALWAYS = 4</t>
        </is>
      </c>
      <c r="K975" t="inlineStr">
        <is>
          <t>https://www.phenxtoolkit.org/protocols/view/181001</t>
        </is>
      </c>
    </row>
    <row r="976">
      <c r="A976" t="inlineStr">
        <is>
          <t>UCLA-LS-3</t>
        </is>
      </c>
      <c r="B976" t="inlineStr">
        <is>
          <t>UCLA Loneliness Scale, Version 3 (PhenX Social Isolation)</t>
        </is>
      </c>
      <c r="C976" t="inlineStr">
        <is>
          <t>7. Wellbeing and life satisfaction</t>
        </is>
      </c>
      <c r="D976" t="n">
        <v>19</v>
      </c>
      <c r="E976" t="inlineStr">
        <is>
          <t>How often do you feel that there are people you can talk to?</t>
        </is>
      </c>
      <c r="F976" t="inlineStr">
        <is>
          <t>Total</t>
        </is>
      </c>
      <c r="G976" t="inlineStr">
        <is>
          <t>TRUE</t>
        </is>
      </c>
      <c r="H976" t="inlineStr">
        <is>
          <t>FALSE</t>
        </is>
      </c>
      <c r="I976" t="inlineStr">
        <is>
          <t>NEVER = 1 | RARELY = 2 | SOMETIMES = 3 | ALWAYS = 4</t>
        </is>
      </c>
      <c r="J976" t="inlineStr">
        <is>
          <t>Positively worded, reverse scored</t>
        </is>
      </c>
      <c r="K976" t="inlineStr">
        <is>
          <t>https://www.phenxtoolkit.org/protocols/view/181001</t>
        </is>
      </c>
    </row>
    <row r="977">
      <c r="A977" t="inlineStr">
        <is>
          <t>UCLA-LS-3</t>
        </is>
      </c>
      <c r="B977" t="inlineStr">
        <is>
          <t>UCLA Loneliness Scale, Version 3 (PhenX Social Isolation)</t>
        </is>
      </c>
      <c r="C977" t="inlineStr">
        <is>
          <t>7. Wellbeing and life satisfaction</t>
        </is>
      </c>
      <c r="D977" t="n">
        <v>20</v>
      </c>
      <c r="E977" t="inlineStr">
        <is>
          <t>How often do you feel that there are people you can turn to?</t>
        </is>
      </c>
      <c r="F977" t="inlineStr">
        <is>
          <t>Total</t>
        </is>
      </c>
      <c r="G977" t="inlineStr">
        <is>
          <t>TRUE</t>
        </is>
      </c>
      <c r="H977" t="inlineStr">
        <is>
          <t>FALSE</t>
        </is>
      </c>
      <c r="I977" t="inlineStr">
        <is>
          <t>NEVER = 1 | RARELY = 2 | SOMETIMES = 3 | ALWAYS = 4</t>
        </is>
      </c>
      <c r="J977" t="inlineStr">
        <is>
          <t>Positively worded, reverse scored</t>
        </is>
      </c>
      <c r="K977" t="inlineStr">
        <is>
          <t>https://www.phenxtoolkit.org/protocols/view/181001</t>
        </is>
      </c>
    </row>
    <row r="978">
      <c r="A978" t="inlineStr">
        <is>
          <t>WEBEXEC</t>
        </is>
      </c>
      <c r="B978" t="inlineStr">
        <is>
          <t>Webexec</t>
        </is>
      </c>
      <c r="C978" t="inlineStr">
        <is>
          <t>1. Executive functioning and ADHD</t>
        </is>
      </c>
      <c r="D978" t="n">
        <v>1</v>
      </c>
      <c r="E978" t="inlineStr">
        <is>
          <t>Do you find it difficult to keep your attention on a particular task?</t>
        </is>
      </c>
      <c r="F978" t="inlineStr">
        <is>
          <t>Total</t>
        </is>
      </c>
      <c r="G978" t="inlineStr">
        <is>
          <t>FALSE</t>
        </is>
      </c>
      <c r="H978" t="inlineStr">
        <is>
          <t>FALSE</t>
        </is>
      </c>
      <c r="I978" t="inlineStr">
        <is>
          <t>No problems experienced = 1 | A few problems experienced = 2 | More than a few problems experienced = 3 | A great many problems experienced = 4</t>
        </is>
      </c>
      <c r="K978" t="inlineStr">
        <is>
          <t>https://psytoolkit.org/survey-library/webexec.html</t>
        </is>
      </c>
    </row>
    <row r="979">
      <c r="A979" t="inlineStr">
        <is>
          <t>WEBEXEC</t>
        </is>
      </c>
      <c r="B979" t="inlineStr">
        <is>
          <t>Webexec</t>
        </is>
      </c>
      <c r="C979" t="inlineStr">
        <is>
          <t>1. Executive functioning and ADHD</t>
        </is>
      </c>
      <c r="D979" t="n">
        <v>2</v>
      </c>
      <c r="E979" t="inlineStr">
        <is>
          <t>Do you find yourself having problems concentrating on a task?</t>
        </is>
      </c>
      <c r="F979" t="inlineStr">
        <is>
          <t>Total</t>
        </is>
      </c>
      <c r="G979" t="inlineStr">
        <is>
          <t>FALSE</t>
        </is>
      </c>
      <c r="H979" t="inlineStr">
        <is>
          <t>FALSE</t>
        </is>
      </c>
      <c r="I979" t="inlineStr">
        <is>
          <t>No problems experienced = 1 | A few problems experienced = 2 | More than a few problems experienced = 3 | A great many problems experienced = 4</t>
        </is>
      </c>
      <c r="K979" t="inlineStr">
        <is>
          <t>https://psytoolkit.org/survey-library/webexec.html</t>
        </is>
      </c>
    </row>
    <row r="980">
      <c r="A980" t="inlineStr">
        <is>
          <t>WEBEXEC</t>
        </is>
      </c>
      <c r="B980" t="inlineStr">
        <is>
          <t>Webexec</t>
        </is>
      </c>
      <c r="C980" t="inlineStr">
        <is>
          <t>1. Executive functioning and ADHD</t>
        </is>
      </c>
      <c r="D980" t="n">
        <v>3</v>
      </c>
      <c r="E980" t="inlineStr">
        <is>
          <t>Do you have difficulty carrying out more than one task at a time?</t>
        </is>
      </c>
      <c r="F980" t="inlineStr">
        <is>
          <t>Total</t>
        </is>
      </c>
      <c r="G980" t="inlineStr">
        <is>
          <t>FALSE</t>
        </is>
      </c>
      <c r="H980" t="inlineStr">
        <is>
          <t>FALSE</t>
        </is>
      </c>
      <c r="I980" t="inlineStr">
        <is>
          <t>No problems experienced = 1 | A few problems experienced = 2 | More than a few problems experienced = 3 | A great many problems experienced = 4</t>
        </is>
      </c>
      <c r="K980" t="inlineStr">
        <is>
          <t>https://psytoolkit.org/survey-library/webexec.html</t>
        </is>
      </c>
    </row>
    <row r="981">
      <c r="A981" t="inlineStr">
        <is>
          <t>WEBEXEC</t>
        </is>
      </c>
      <c r="B981" t="inlineStr">
        <is>
          <t>Webexec</t>
        </is>
      </c>
      <c r="C981" t="inlineStr">
        <is>
          <t>1. Executive functioning and ADHD</t>
        </is>
      </c>
      <c r="D981" t="n">
        <v>4</v>
      </c>
      <c r="E981" t="inlineStr">
        <is>
          <t>Do you tend to "lose" your train of thoughts?</t>
        </is>
      </c>
      <c r="F981" t="inlineStr">
        <is>
          <t>Total</t>
        </is>
      </c>
      <c r="G981" t="inlineStr">
        <is>
          <t>FALSE</t>
        </is>
      </c>
      <c r="H981" t="inlineStr">
        <is>
          <t>FALSE</t>
        </is>
      </c>
      <c r="I981" t="inlineStr">
        <is>
          <t>No problems experienced = 1 | A few problems experienced = 2 | More than a few problems experienced = 3 | A great many problems experienced = 4</t>
        </is>
      </c>
      <c r="K981" t="inlineStr">
        <is>
          <t>https://psytoolkit.org/survey-library/webexec.html</t>
        </is>
      </c>
    </row>
    <row r="982">
      <c r="A982" t="inlineStr">
        <is>
          <t>WEBEXEC</t>
        </is>
      </c>
      <c r="B982" t="inlineStr">
        <is>
          <t>Webexec</t>
        </is>
      </c>
      <c r="C982" t="inlineStr">
        <is>
          <t>1. Executive functioning and ADHD</t>
        </is>
      </c>
      <c r="D982" t="n">
        <v>5</v>
      </c>
      <c r="E982" t="inlineStr">
        <is>
          <t>Do you have difficulty seeing through something that you have started?</t>
        </is>
      </c>
      <c r="F982" t="inlineStr">
        <is>
          <t>Total</t>
        </is>
      </c>
      <c r="G982" t="inlineStr">
        <is>
          <t>FALSE</t>
        </is>
      </c>
      <c r="H982" t="inlineStr">
        <is>
          <t>FALSE</t>
        </is>
      </c>
      <c r="I982" t="inlineStr">
        <is>
          <t>No problems experienced = 1 | A few problems experienced = 2 | More than a few problems experienced = 3 | A great many problems experienced = 4</t>
        </is>
      </c>
      <c r="K982" t="inlineStr">
        <is>
          <t>https://psytoolkit.org/survey-library/webexec.html</t>
        </is>
      </c>
    </row>
    <row r="983">
      <c r="A983" t="inlineStr">
        <is>
          <t>WEBEXEC</t>
        </is>
      </c>
      <c r="B983" t="inlineStr">
        <is>
          <t>Webexec</t>
        </is>
      </c>
      <c r="C983" t="inlineStr">
        <is>
          <t>1. Executive functioning and ADHD</t>
        </is>
      </c>
      <c r="D983" t="n">
        <v>6</v>
      </c>
      <c r="E983" t="inlineStr">
        <is>
          <t>Do you find yourself acting on "impulse"?</t>
        </is>
      </c>
      <c r="F983" t="inlineStr">
        <is>
          <t>Total</t>
        </is>
      </c>
      <c r="G983" t="inlineStr">
        <is>
          <t>FALSE</t>
        </is>
      </c>
      <c r="H983" t="inlineStr">
        <is>
          <t>FALSE</t>
        </is>
      </c>
      <c r="I983" t="inlineStr">
        <is>
          <t>No problems experienced = 1 | A few problems experienced = 2 | More than a few problems experienced = 3 | A great many problems experienced = 4</t>
        </is>
      </c>
      <c r="K983" t="inlineStr">
        <is>
          <t>https://psytoolkit.org/survey-library/webexec.html</t>
        </is>
      </c>
    </row>
    <row r="984">
      <c r="A984" t="inlineStr">
        <is>
          <t>WFIRS-S</t>
        </is>
      </c>
      <c r="B984" t="inlineStr">
        <is>
          <t>Weiss Functional Impairment Rating Scale, Self Report</t>
        </is>
      </c>
      <c r="C984" t="inlineStr">
        <is>
          <t>8. Functioning and health</t>
        </is>
      </c>
      <c r="D984" t="n">
        <v>1</v>
      </c>
      <c r="E984" t="inlineStr">
        <is>
          <t>Having problems with family</t>
        </is>
      </c>
      <c r="F984" t="inlineStr">
        <is>
          <t>Family</t>
        </is>
      </c>
      <c r="G984" t="inlineStr">
        <is>
          <t>FALSE</t>
        </is>
      </c>
      <c r="H984" t="inlineStr">
        <is>
          <t>FALSE</t>
        </is>
      </c>
      <c r="I984" t="inlineStr">
        <is>
          <t>Never or not at all = 0 | Sometimes or somewhat = 1 | Often or much = 2 | Very often or very much = 3</t>
        </is>
      </c>
      <c r="J984" t="inlineStr">
        <is>
          <t>Source label A1</t>
        </is>
      </c>
      <c r="K984" t="inlineStr">
        <is>
          <t>https://www.ucc.ie/en/media/support/studenthealthservice/docs/ADHD-WeissFunctionalImpairmentScale.pdf</t>
        </is>
      </c>
    </row>
    <row r="985">
      <c r="A985" t="inlineStr">
        <is>
          <t>WFIRS-S</t>
        </is>
      </c>
      <c r="B985" t="inlineStr">
        <is>
          <t>Weiss Functional Impairment Rating Scale, Self Report</t>
        </is>
      </c>
      <c r="C985" t="inlineStr">
        <is>
          <t>8. Functioning and health</t>
        </is>
      </c>
      <c r="D985" t="n">
        <v>2</v>
      </c>
      <c r="E985" t="inlineStr">
        <is>
          <t>Having problems with spouse/partner</t>
        </is>
      </c>
      <c r="F985" t="inlineStr">
        <is>
          <t>Family</t>
        </is>
      </c>
      <c r="G985" t="inlineStr">
        <is>
          <t>FALSE</t>
        </is>
      </c>
      <c r="H985" t="inlineStr">
        <is>
          <t>FALSE</t>
        </is>
      </c>
      <c r="I985" t="inlineStr">
        <is>
          <t>Never or not at all = 0 | Sometimes or somewhat = 1 | Often or much = 2 | Very often or very much = 3</t>
        </is>
      </c>
      <c r="J985" t="inlineStr">
        <is>
          <t>Source label A2</t>
        </is>
      </c>
      <c r="K985" t="inlineStr">
        <is>
          <t>https://www.ucc.ie/en/media/support/studenthealthservice/docs/ADHD-WeissFunctionalImpairmentScale.pdf</t>
        </is>
      </c>
    </row>
    <row r="986">
      <c r="A986" t="inlineStr">
        <is>
          <t>WFIRS-S</t>
        </is>
      </c>
      <c r="B986" t="inlineStr">
        <is>
          <t>Weiss Functional Impairment Rating Scale, Self Report</t>
        </is>
      </c>
      <c r="C986" t="inlineStr">
        <is>
          <t>8. Functioning and health</t>
        </is>
      </c>
      <c r="D986" t="n">
        <v>3</v>
      </c>
      <c r="E986" t="inlineStr">
        <is>
          <t>Relying on others to do things for you</t>
        </is>
      </c>
      <c r="F986" t="inlineStr">
        <is>
          <t>Family</t>
        </is>
      </c>
      <c r="G986" t="inlineStr">
        <is>
          <t>FALSE</t>
        </is>
      </c>
      <c r="H986" t="inlineStr">
        <is>
          <t>FALSE</t>
        </is>
      </c>
      <c r="I986" t="inlineStr">
        <is>
          <t>Never or not at all = 0 | Sometimes or somewhat = 1 | Often or much = 2 | Very often or very much = 3</t>
        </is>
      </c>
      <c r="J986" t="inlineStr">
        <is>
          <t>Source label A3</t>
        </is>
      </c>
      <c r="K986" t="inlineStr">
        <is>
          <t>https://www.ucc.ie/en/media/support/studenthealthservice/docs/ADHD-WeissFunctionalImpairmentScale.pdf</t>
        </is>
      </c>
    </row>
    <row r="987">
      <c r="A987" t="inlineStr">
        <is>
          <t>WFIRS-S</t>
        </is>
      </c>
      <c r="B987" t="inlineStr">
        <is>
          <t>Weiss Functional Impairment Rating Scale, Self Report</t>
        </is>
      </c>
      <c r="C987" t="inlineStr">
        <is>
          <t>8. Functioning and health</t>
        </is>
      </c>
      <c r="D987" t="n">
        <v>4</v>
      </c>
      <c r="E987" t="inlineStr">
        <is>
          <t>Causing fighting in the family</t>
        </is>
      </c>
      <c r="F987" t="inlineStr">
        <is>
          <t>Family</t>
        </is>
      </c>
      <c r="G987" t="inlineStr">
        <is>
          <t>FALSE</t>
        </is>
      </c>
      <c r="H987" t="inlineStr">
        <is>
          <t>FALSE</t>
        </is>
      </c>
      <c r="I987" t="inlineStr">
        <is>
          <t>Never or not at all = 0 | Sometimes or somewhat = 1 | Often or much = 2 | Very often or very much = 3</t>
        </is>
      </c>
      <c r="J987" t="inlineStr">
        <is>
          <t>Source label A4</t>
        </is>
      </c>
      <c r="K987" t="inlineStr">
        <is>
          <t>https://www.ucc.ie/en/media/support/studenthealthservice/docs/ADHD-WeissFunctionalImpairmentScale.pdf</t>
        </is>
      </c>
    </row>
    <row r="988">
      <c r="A988" t="inlineStr">
        <is>
          <t>WFIRS-S</t>
        </is>
      </c>
      <c r="B988" t="inlineStr">
        <is>
          <t>Weiss Functional Impairment Rating Scale, Self Report</t>
        </is>
      </c>
      <c r="C988" t="inlineStr">
        <is>
          <t>8. Functioning and health</t>
        </is>
      </c>
      <c r="D988" t="n">
        <v>5</v>
      </c>
      <c r="E988" t="inlineStr">
        <is>
          <t>Makes it hard for the family to have fun together</t>
        </is>
      </c>
      <c r="F988" t="inlineStr">
        <is>
          <t>Family</t>
        </is>
      </c>
      <c r="G988" t="inlineStr">
        <is>
          <t>FALSE</t>
        </is>
      </c>
      <c r="H988" t="inlineStr">
        <is>
          <t>FALSE</t>
        </is>
      </c>
      <c r="I988" t="inlineStr">
        <is>
          <t>Never or not at all = 0 | Sometimes or somewhat = 1 | Often or much = 2 | Very often or very much = 3</t>
        </is>
      </c>
      <c r="J988" t="inlineStr">
        <is>
          <t>Source label A5</t>
        </is>
      </c>
      <c r="K988" t="inlineStr">
        <is>
          <t>https://www.ucc.ie/en/media/support/studenthealthservice/docs/ADHD-WeissFunctionalImpairmentScale.pdf</t>
        </is>
      </c>
    </row>
    <row r="989">
      <c r="A989" t="inlineStr">
        <is>
          <t>WFIRS-S</t>
        </is>
      </c>
      <c r="B989" t="inlineStr">
        <is>
          <t>Weiss Functional Impairment Rating Scale, Self Report</t>
        </is>
      </c>
      <c r="C989" t="inlineStr">
        <is>
          <t>8. Functioning and health</t>
        </is>
      </c>
      <c r="D989" t="n">
        <v>6</v>
      </c>
      <c r="E989" t="inlineStr">
        <is>
          <t>Problems taking care of your family</t>
        </is>
      </c>
      <c r="F989" t="inlineStr">
        <is>
          <t>Family</t>
        </is>
      </c>
      <c r="G989" t="inlineStr">
        <is>
          <t>FALSE</t>
        </is>
      </c>
      <c r="H989" t="inlineStr">
        <is>
          <t>FALSE</t>
        </is>
      </c>
      <c r="I989" t="inlineStr">
        <is>
          <t>Never or not at all = 0 | Sometimes or somewhat = 1 | Often or much = 2 | Very often or very much = 3</t>
        </is>
      </c>
      <c r="J989" t="inlineStr">
        <is>
          <t>Source label A6</t>
        </is>
      </c>
      <c r="K989" t="inlineStr">
        <is>
          <t>https://www.ucc.ie/en/media/support/studenthealthservice/docs/ADHD-WeissFunctionalImpairmentScale.pdf</t>
        </is>
      </c>
    </row>
    <row r="990">
      <c r="A990" t="inlineStr">
        <is>
          <t>WFIRS-S</t>
        </is>
      </c>
      <c r="B990" t="inlineStr">
        <is>
          <t>Weiss Functional Impairment Rating Scale, Self Report</t>
        </is>
      </c>
      <c r="C990" t="inlineStr">
        <is>
          <t>8. Functioning and health</t>
        </is>
      </c>
      <c r="D990" t="n">
        <v>7</v>
      </c>
      <c r="E990" t="inlineStr">
        <is>
          <t>Problems balancing your needs against those of your family</t>
        </is>
      </c>
      <c r="F990" t="inlineStr">
        <is>
          <t>Family</t>
        </is>
      </c>
      <c r="G990" t="inlineStr">
        <is>
          <t>FALSE</t>
        </is>
      </c>
      <c r="H990" t="inlineStr">
        <is>
          <t>FALSE</t>
        </is>
      </c>
      <c r="I990" t="inlineStr">
        <is>
          <t>Never or not at all = 0 | Sometimes or somewhat = 1 | Often or much = 2 | Very often or very much = 3</t>
        </is>
      </c>
      <c r="J990" t="inlineStr">
        <is>
          <t>Source label A7</t>
        </is>
      </c>
      <c r="K990" t="inlineStr">
        <is>
          <t>https://www.ucc.ie/en/media/support/studenthealthservice/docs/ADHD-WeissFunctionalImpairmentScale.pdf</t>
        </is>
      </c>
    </row>
    <row r="991">
      <c r="A991" t="inlineStr">
        <is>
          <t>WFIRS-S</t>
        </is>
      </c>
      <c r="B991" t="inlineStr">
        <is>
          <t>Weiss Functional Impairment Rating Scale, Self Report</t>
        </is>
      </c>
      <c r="C991" t="inlineStr">
        <is>
          <t>8. Functioning and health</t>
        </is>
      </c>
      <c r="D991" t="n">
        <v>8</v>
      </c>
      <c r="E991" t="inlineStr">
        <is>
          <t>Problems losing control with family</t>
        </is>
      </c>
      <c r="F991" t="inlineStr">
        <is>
          <t>Family</t>
        </is>
      </c>
      <c r="G991" t="inlineStr">
        <is>
          <t>FALSE</t>
        </is>
      </c>
      <c r="H991" t="inlineStr">
        <is>
          <t>FALSE</t>
        </is>
      </c>
      <c r="I991" t="inlineStr">
        <is>
          <t>Never or not at all = 0 | Sometimes or somewhat = 1 | Often or much = 2 | Very often or very much = 3</t>
        </is>
      </c>
      <c r="J991" t="inlineStr">
        <is>
          <t>Source label A8</t>
        </is>
      </c>
      <c r="K991" t="inlineStr">
        <is>
          <t>https://www.ucc.ie/en/media/support/studenthealthservice/docs/ADHD-WeissFunctionalImpairmentScale.pdf</t>
        </is>
      </c>
    </row>
    <row r="992">
      <c r="A992" t="inlineStr">
        <is>
          <t>WFIRS-S</t>
        </is>
      </c>
      <c r="B992" t="inlineStr">
        <is>
          <t>Weiss Functional Impairment Rating Scale, Self Report</t>
        </is>
      </c>
      <c r="C992" t="inlineStr">
        <is>
          <t>8. Functioning and health</t>
        </is>
      </c>
      <c r="D992" t="n">
        <v>9</v>
      </c>
      <c r="E992" t="inlineStr">
        <is>
          <t>Problems performing required duties</t>
        </is>
      </c>
      <c r="F992" t="inlineStr">
        <is>
          <t>Work</t>
        </is>
      </c>
      <c r="G992" t="inlineStr">
        <is>
          <t>FALSE</t>
        </is>
      </c>
      <c r="H992" t="inlineStr">
        <is>
          <t>FALSE</t>
        </is>
      </c>
      <c r="I992" t="inlineStr">
        <is>
          <t>Never or not at all = 0 | Sometimes or somewhat = 1 | Often or much = 2 | Very often or very much = 3</t>
        </is>
      </c>
      <c r="J992" t="inlineStr">
        <is>
          <t>Source label B1</t>
        </is>
      </c>
      <c r="K992" t="inlineStr">
        <is>
          <t>https://www.ucc.ie/en/media/support/studenthealthservice/docs/ADHD-WeissFunctionalImpairmentScale.pdf</t>
        </is>
      </c>
    </row>
    <row r="993">
      <c r="A993" t="inlineStr">
        <is>
          <t>WFIRS-S</t>
        </is>
      </c>
      <c r="B993" t="inlineStr">
        <is>
          <t>Weiss Functional Impairment Rating Scale, Self Report</t>
        </is>
      </c>
      <c r="C993" t="inlineStr">
        <is>
          <t>8. Functioning and health</t>
        </is>
      </c>
      <c r="D993" t="n">
        <v>10</v>
      </c>
      <c r="E993" t="inlineStr">
        <is>
          <t>Problems with getting your work done efficiently</t>
        </is>
      </c>
      <c r="F993" t="inlineStr">
        <is>
          <t>Work</t>
        </is>
      </c>
      <c r="G993" t="inlineStr">
        <is>
          <t>FALSE</t>
        </is>
      </c>
      <c r="H993" t="inlineStr">
        <is>
          <t>FALSE</t>
        </is>
      </c>
      <c r="I993" t="inlineStr">
        <is>
          <t>Never or not at all = 0 | Sometimes or somewhat = 1 | Often or much = 2 | Very often or very much = 3</t>
        </is>
      </c>
      <c r="J993" t="inlineStr">
        <is>
          <t>Source label B2</t>
        </is>
      </c>
      <c r="K993" t="inlineStr">
        <is>
          <t>https://www.ucc.ie/en/media/support/studenthealthservice/docs/ADHD-WeissFunctionalImpairmentScale.pdf</t>
        </is>
      </c>
    </row>
    <row r="994">
      <c r="A994" t="inlineStr">
        <is>
          <t>WFIRS-S</t>
        </is>
      </c>
      <c r="B994" t="inlineStr">
        <is>
          <t>Weiss Functional Impairment Rating Scale, Self Report</t>
        </is>
      </c>
      <c r="C994" t="inlineStr">
        <is>
          <t>8. Functioning and health</t>
        </is>
      </c>
      <c r="D994" t="n">
        <v>11</v>
      </c>
      <c r="E994" t="inlineStr">
        <is>
          <t>Problems with your supervisor</t>
        </is>
      </c>
      <c r="F994" t="inlineStr">
        <is>
          <t>Work</t>
        </is>
      </c>
      <c r="G994" t="inlineStr">
        <is>
          <t>FALSE</t>
        </is>
      </c>
      <c r="H994" t="inlineStr">
        <is>
          <t>FALSE</t>
        </is>
      </c>
      <c r="I994" t="inlineStr">
        <is>
          <t>Never or not at all = 0 | Sometimes or somewhat = 1 | Often or much = 2 | Very often or very much = 3</t>
        </is>
      </c>
      <c r="J994" t="inlineStr">
        <is>
          <t>Source label B3</t>
        </is>
      </c>
      <c r="K994" t="inlineStr">
        <is>
          <t>https://www.ucc.ie/en/media/support/studenthealthservice/docs/ADHD-WeissFunctionalImpairmentScale.pdf</t>
        </is>
      </c>
    </row>
    <row r="995">
      <c r="A995" t="inlineStr">
        <is>
          <t>WFIRS-S</t>
        </is>
      </c>
      <c r="B995" t="inlineStr">
        <is>
          <t>Weiss Functional Impairment Rating Scale, Self Report</t>
        </is>
      </c>
      <c r="C995" t="inlineStr">
        <is>
          <t>8. Functioning and health</t>
        </is>
      </c>
      <c r="D995" t="n">
        <v>12</v>
      </c>
      <c r="E995" t="inlineStr">
        <is>
          <t>Problems keeping a job</t>
        </is>
      </c>
      <c r="F995" t="inlineStr">
        <is>
          <t>Work</t>
        </is>
      </c>
      <c r="G995" t="inlineStr">
        <is>
          <t>FALSE</t>
        </is>
      </c>
      <c r="H995" t="inlineStr">
        <is>
          <t>FALSE</t>
        </is>
      </c>
      <c r="I995" t="inlineStr">
        <is>
          <t>Never or not at all = 0 | Sometimes or somewhat = 1 | Often or much = 2 | Very often or very much = 3</t>
        </is>
      </c>
      <c r="J995" t="inlineStr">
        <is>
          <t>Source label B4</t>
        </is>
      </c>
      <c r="K995" t="inlineStr">
        <is>
          <t>https://www.ucc.ie/en/media/support/studenthealthservice/docs/ADHD-WeissFunctionalImpairmentScale.pdf</t>
        </is>
      </c>
    </row>
    <row r="996">
      <c r="A996" t="inlineStr">
        <is>
          <t>WFIRS-S</t>
        </is>
      </c>
      <c r="B996" t="inlineStr">
        <is>
          <t>Weiss Functional Impairment Rating Scale, Self Report</t>
        </is>
      </c>
      <c r="C996" t="inlineStr">
        <is>
          <t>8. Functioning and health</t>
        </is>
      </c>
      <c r="D996" t="n">
        <v>13</v>
      </c>
      <c r="E996" t="inlineStr">
        <is>
          <t>Getting fired from work</t>
        </is>
      </c>
      <c r="F996" t="inlineStr">
        <is>
          <t>Work</t>
        </is>
      </c>
      <c r="G996" t="inlineStr">
        <is>
          <t>FALSE</t>
        </is>
      </c>
      <c r="H996" t="inlineStr">
        <is>
          <t>FALSE</t>
        </is>
      </c>
      <c r="I996" t="inlineStr">
        <is>
          <t>Never or not at all = 0 | Sometimes or somewhat = 1 | Often or much = 2 | Very often or very much = 3</t>
        </is>
      </c>
      <c r="J996" t="inlineStr">
        <is>
          <t>Source label B5</t>
        </is>
      </c>
      <c r="K996" t="inlineStr">
        <is>
          <t>https://www.ucc.ie/en/media/support/studenthealthservice/docs/ADHD-WeissFunctionalImpairmentScale.pdf</t>
        </is>
      </c>
    </row>
    <row r="997">
      <c r="A997" t="inlineStr">
        <is>
          <t>WFIRS-S</t>
        </is>
      </c>
      <c r="B997" t="inlineStr">
        <is>
          <t>Weiss Functional Impairment Rating Scale, Self Report</t>
        </is>
      </c>
      <c r="C997" t="inlineStr">
        <is>
          <t>8. Functioning and health</t>
        </is>
      </c>
      <c r="D997" t="n">
        <v>14</v>
      </c>
      <c r="E997" t="inlineStr">
        <is>
          <t>Problems working in a team</t>
        </is>
      </c>
      <c r="F997" t="inlineStr">
        <is>
          <t>Work</t>
        </is>
      </c>
      <c r="G997" t="inlineStr">
        <is>
          <t>FALSE</t>
        </is>
      </c>
      <c r="H997" t="inlineStr">
        <is>
          <t>FALSE</t>
        </is>
      </c>
      <c r="I997" t="inlineStr">
        <is>
          <t>Never or not at all = 0 | Sometimes or somewhat = 1 | Often or much = 2 | Very often or very much = 3</t>
        </is>
      </c>
      <c r="J997" t="inlineStr">
        <is>
          <t>Source label B6</t>
        </is>
      </c>
      <c r="K997" t="inlineStr">
        <is>
          <t>https://www.ucc.ie/en/media/support/studenthealthservice/docs/ADHD-WeissFunctionalImpairmentScale.pdf</t>
        </is>
      </c>
    </row>
    <row r="998">
      <c r="A998" t="inlineStr">
        <is>
          <t>WFIRS-S</t>
        </is>
      </c>
      <c r="B998" t="inlineStr">
        <is>
          <t>Weiss Functional Impairment Rating Scale, Self Report</t>
        </is>
      </c>
      <c r="C998" t="inlineStr">
        <is>
          <t>8. Functioning and health</t>
        </is>
      </c>
      <c r="D998" t="n">
        <v>15</v>
      </c>
      <c r="E998" t="inlineStr">
        <is>
          <t>Problems with your attendance</t>
        </is>
      </c>
      <c r="F998" t="inlineStr">
        <is>
          <t>Work</t>
        </is>
      </c>
      <c r="G998" t="inlineStr">
        <is>
          <t>FALSE</t>
        </is>
      </c>
      <c r="H998" t="inlineStr">
        <is>
          <t>FALSE</t>
        </is>
      </c>
      <c r="I998" t="inlineStr">
        <is>
          <t>Never or not at all = 0 | Sometimes or somewhat = 1 | Often or much = 2 | Very often or very much = 3</t>
        </is>
      </c>
      <c r="J998" t="inlineStr">
        <is>
          <t>Source label B7</t>
        </is>
      </c>
      <c r="K998" t="inlineStr">
        <is>
          <t>https://www.ucc.ie/en/media/support/studenthealthservice/docs/ADHD-WeissFunctionalImpairmentScale.pdf</t>
        </is>
      </c>
    </row>
    <row r="999">
      <c r="A999" t="inlineStr">
        <is>
          <t>WFIRS-S</t>
        </is>
      </c>
      <c r="B999" t="inlineStr">
        <is>
          <t>Weiss Functional Impairment Rating Scale, Self Report</t>
        </is>
      </c>
      <c r="C999" t="inlineStr">
        <is>
          <t>8. Functioning and health</t>
        </is>
      </c>
      <c r="D999" t="n">
        <v>16</v>
      </c>
      <c r="E999" t="inlineStr">
        <is>
          <t>Problems with being late</t>
        </is>
      </c>
      <c r="F999" t="inlineStr">
        <is>
          <t>Work</t>
        </is>
      </c>
      <c r="G999" t="inlineStr">
        <is>
          <t>FALSE</t>
        </is>
      </c>
      <c r="H999" t="inlineStr">
        <is>
          <t>FALSE</t>
        </is>
      </c>
      <c r="I999" t="inlineStr">
        <is>
          <t>Never or not at all = 0 | Sometimes or somewhat = 1 | Often or much = 2 | Very often or very much = 3</t>
        </is>
      </c>
      <c r="J999" t="inlineStr">
        <is>
          <t>Source label B8</t>
        </is>
      </c>
      <c r="K999" t="inlineStr">
        <is>
          <t>https://www.ucc.ie/en/media/support/studenthealthservice/docs/ADHD-WeissFunctionalImpairmentScale.pdf</t>
        </is>
      </c>
    </row>
    <row r="1000">
      <c r="A1000" t="inlineStr">
        <is>
          <t>WFIRS-S</t>
        </is>
      </c>
      <c r="B1000" t="inlineStr">
        <is>
          <t>Weiss Functional Impairment Rating Scale, Self Report</t>
        </is>
      </c>
      <c r="C1000" t="inlineStr">
        <is>
          <t>8. Functioning and health</t>
        </is>
      </c>
      <c r="D1000" t="n">
        <v>17</v>
      </c>
      <c r="E1000" t="inlineStr">
        <is>
          <t>Problems taking on new tasks</t>
        </is>
      </c>
      <c r="F1000" t="inlineStr">
        <is>
          <t>Work</t>
        </is>
      </c>
      <c r="G1000" t="inlineStr">
        <is>
          <t>FALSE</t>
        </is>
      </c>
      <c r="H1000" t="inlineStr">
        <is>
          <t>FALSE</t>
        </is>
      </c>
      <c r="I1000" t="inlineStr">
        <is>
          <t>Never or not at all = 0 | Sometimes or somewhat = 1 | Often or much = 2 | Very often or very much = 3</t>
        </is>
      </c>
      <c r="J1000" t="inlineStr">
        <is>
          <t>Source label B9</t>
        </is>
      </c>
      <c r="K1000" t="inlineStr">
        <is>
          <t>https://www.ucc.ie/en/media/support/studenthealthservice/docs/ADHD-WeissFunctionalImpairmentScale.pdf</t>
        </is>
      </c>
    </row>
    <row r="1001">
      <c r="A1001" t="inlineStr">
        <is>
          <t>WFIRS-S</t>
        </is>
      </c>
      <c r="B1001" t="inlineStr">
        <is>
          <t>Weiss Functional Impairment Rating Scale, Self Report</t>
        </is>
      </c>
      <c r="C1001" t="inlineStr">
        <is>
          <t>8. Functioning and health</t>
        </is>
      </c>
      <c r="D1001" t="n">
        <v>18</v>
      </c>
      <c r="E1001" t="inlineStr">
        <is>
          <t>Problems working to your potential</t>
        </is>
      </c>
      <c r="F1001" t="inlineStr">
        <is>
          <t>Work</t>
        </is>
      </c>
      <c r="G1001" t="inlineStr">
        <is>
          <t>FALSE</t>
        </is>
      </c>
      <c r="H1001" t="inlineStr">
        <is>
          <t>FALSE</t>
        </is>
      </c>
      <c r="I1001" t="inlineStr">
        <is>
          <t>Never or not at all = 0 | Sometimes or somewhat = 1 | Often or much = 2 | Very often or very much = 3</t>
        </is>
      </c>
      <c r="J1001" t="inlineStr">
        <is>
          <t>Source label B10</t>
        </is>
      </c>
      <c r="K1001" t="inlineStr">
        <is>
          <t>https://www.ucc.ie/en/media/support/studenthealthservice/docs/ADHD-WeissFunctionalImpairmentScale.pdf</t>
        </is>
      </c>
    </row>
    <row r="1002">
      <c r="A1002" t="inlineStr">
        <is>
          <t>WFIRS-S</t>
        </is>
      </c>
      <c r="B1002" t="inlineStr">
        <is>
          <t>Weiss Functional Impairment Rating Scale, Self Report</t>
        </is>
      </c>
      <c r="C1002" t="inlineStr">
        <is>
          <t>8. Functioning and health</t>
        </is>
      </c>
      <c r="D1002" t="n">
        <v>19</v>
      </c>
      <c r="E1002" t="inlineStr">
        <is>
          <t>Poor performance evaluations</t>
        </is>
      </c>
      <c r="F1002" t="inlineStr">
        <is>
          <t>Work</t>
        </is>
      </c>
      <c r="G1002" t="inlineStr">
        <is>
          <t>FALSE</t>
        </is>
      </c>
      <c r="H1002" t="inlineStr">
        <is>
          <t>FALSE</t>
        </is>
      </c>
      <c r="I1002" t="inlineStr">
        <is>
          <t>Never or not at all = 0 | Sometimes or somewhat = 1 | Often or much = 2 | Very often or very much = 3</t>
        </is>
      </c>
      <c r="J1002" t="inlineStr">
        <is>
          <t>Source label B11</t>
        </is>
      </c>
      <c r="K1002" t="inlineStr">
        <is>
          <t>https://www.ucc.ie/en/media/support/studenthealthservice/docs/ADHD-WeissFunctionalImpairmentScale.pdf</t>
        </is>
      </c>
    </row>
    <row r="1003">
      <c r="A1003" t="inlineStr">
        <is>
          <t>WFIRS-S</t>
        </is>
      </c>
      <c r="B1003" t="inlineStr">
        <is>
          <t>Weiss Functional Impairment Rating Scale, Self Report</t>
        </is>
      </c>
      <c r="C1003" t="inlineStr">
        <is>
          <t>8. Functioning and health</t>
        </is>
      </c>
      <c r="D1003" t="n">
        <v>20</v>
      </c>
      <c r="E1003" t="inlineStr">
        <is>
          <t>Problems taking notes</t>
        </is>
      </c>
      <c r="F1003" t="inlineStr">
        <is>
          <t>School</t>
        </is>
      </c>
      <c r="G1003" t="inlineStr">
        <is>
          <t>FALSE</t>
        </is>
      </c>
      <c r="H1003" t="inlineStr">
        <is>
          <t>FALSE</t>
        </is>
      </c>
      <c r="I1003" t="inlineStr">
        <is>
          <t>Never or not at all = 0 | Sometimes or somewhat = 1 | Often or much = 2 | Very often or very much = 3</t>
        </is>
      </c>
      <c r="J1003" t="inlineStr">
        <is>
          <t>Source label C1</t>
        </is>
      </c>
      <c r="K1003" t="inlineStr">
        <is>
          <t>https://www.ucc.ie/en/media/support/studenthealthservice/docs/ADHD-WeissFunctionalImpairmentScale.pdf</t>
        </is>
      </c>
    </row>
    <row r="1004">
      <c r="A1004" t="inlineStr">
        <is>
          <t>WFIRS-S</t>
        </is>
      </c>
      <c r="B1004" t="inlineStr">
        <is>
          <t>Weiss Functional Impairment Rating Scale, Self Report</t>
        </is>
      </c>
      <c r="C1004" t="inlineStr">
        <is>
          <t>8. Functioning and health</t>
        </is>
      </c>
      <c r="D1004" t="n">
        <v>21</v>
      </c>
      <c r="E1004" t="inlineStr">
        <is>
          <t>Problems completing assignments</t>
        </is>
      </c>
      <c r="F1004" t="inlineStr">
        <is>
          <t>School</t>
        </is>
      </c>
      <c r="G1004" t="inlineStr">
        <is>
          <t>FALSE</t>
        </is>
      </c>
      <c r="H1004" t="inlineStr">
        <is>
          <t>FALSE</t>
        </is>
      </c>
      <c r="I1004" t="inlineStr">
        <is>
          <t>Never or not at all = 0 | Sometimes or somewhat = 1 | Often or much = 2 | Very often or very much = 3</t>
        </is>
      </c>
      <c r="J1004" t="inlineStr">
        <is>
          <t>Source label C2</t>
        </is>
      </c>
      <c r="K1004" t="inlineStr">
        <is>
          <t>https://www.ucc.ie/en/media/support/studenthealthservice/docs/ADHD-WeissFunctionalImpairmentScale.pdf</t>
        </is>
      </c>
    </row>
    <row r="1005">
      <c r="A1005" t="inlineStr">
        <is>
          <t>WFIRS-S</t>
        </is>
      </c>
      <c r="B1005" t="inlineStr">
        <is>
          <t>Weiss Functional Impairment Rating Scale, Self Report</t>
        </is>
      </c>
      <c r="C1005" t="inlineStr">
        <is>
          <t>8. Functioning and health</t>
        </is>
      </c>
      <c r="D1005" t="n">
        <v>22</v>
      </c>
      <c r="E1005" t="inlineStr">
        <is>
          <t>Problems getting your work done efficiently</t>
        </is>
      </c>
      <c r="F1005" t="inlineStr">
        <is>
          <t>School</t>
        </is>
      </c>
      <c r="G1005" t="inlineStr">
        <is>
          <t>FALSE</t>
        </is>
      </c>
      <c r="H1005" t="inlineStr">
        <is>
          <t>FALSE</t>
        </is>
      </c>
      <c r="I1005" t="inlineStr">
        <is>
          <t>Never or not at all = 0 | Sometimes or somewhat = 1 | Often or much = 2 | Very often or very much = 3</t>
        </is>
      </c>
      <c r="J1005" t="inlineStr">
        <is>
          <t>Source label C3</t>
        </is>
      </c>
      <c r="K1005" t="inlineStr">
        <is>
          <t>https://www.ucc.ie/en/media/support/studenthealthservice/docs/ADHD-WeissFunctionalImpairmentScale.pdf</t>
        </is>
      </c>
    </row>
    <row r="1006">
      <c r="A1006" t="inlineStr">
        <is>
          <t>WFIRS-S</t>
        </is>
      </c>
      <c r="B1006" t="inlineStr">
        <is>
          <t>Weiss Functional Impairment Rating Scale, Self Report</t>
        </is>
      </c>
      <c r="C1006" t="inlineStr">
        <is>
          <t>8. Functioning and health</t>
        </is>
      </c>
      <c r="D1006" t="n">
        <v>23</v>
      </c>
      <c r="E1006" t="inlineStr">
        <is>
          <t>Problems with teachers</t>
        </is>
      </c>
      <c r="F1006" t="inlineStr">
        <is>
          <t>School</t>
        </is>
      </c>
      <c r="G1006" t="inlineStr">
        <is>
          <t>FALSE</t>
        </is>
      </c>
      <c r="H1006" t="inlineStr">
        <is>
          <t>FALSE</t>
        </is>
      </c>
      <c r="I1006" t="inlineStr">
        <is>
          <t>Never or not at all = 0 | Sometimes or somewhat = 1 | Often or much = 2 | Very often or very much = 3</t>
        </is>
      </c>
      <c r="J1006" t="inlineStr">
        <is>
          <t>Source label C4</t>
        </is>
      </c>
      <c r="K1006" t="inlineStr">
        <is>
          <t>https://www.ucc.ie/en/media/support/studenthealthservice/docs/ADHD-WeissFunctionalImpairmentScale.pdf</t>
        </is>
      </c>
    </row>
    <row r="1007">
      <c r="A1007" t="inlineStr">
        <is>
          <t>WFIRS-S</t>
        </is>
      </c>
      <c r="B1007" t="inlineStr">
        <is>
          <t>Weiss Functional Impairment Rating Scale, Self Report</t>
        </is>
      </c>
      <c r="C1007" t="inlineStr">
        <is>
          <t>8. Functioning and health</t>
        </is>
      </c>
      <c r="D1007" t="n">
        <v>24</v>
      </c>
      <c r="E1007" t="inlineStr">
        <is>
          <t>Problems with school administrators</t>
        </is>
      </c>
      <c r="F1007" t="inlineStr">
        <is>
          <t>School</t>
        </is>
      </c>
      <c r="G1007" t="inlineStr">
        <is>
          <t>FALSE</t>
        </is>
      </c>
      <c r="H1007" t="inlineStr">
        <is>
          <t>FALSE</t>
        </is>
      </c>
      <c r="I1007" t="inlineStr">
        <is>
          <t>Never or not at all = 0 | Sometimes or somewhat = 1 | Often or much = 2 | Very often or very much = 3</t>
        </is>
      </c>
      <c r="J1007" t="inlineStr">
        <is>
          <t>Source label C5</t>
        </is>
      </c>
      <c r="K1007" t="inlineStr">
        <is>
          <t>https://www.ucc.ie/en/media/support/studenthealthservice/docs/ADHD-WeissFunctionalImpairmentScale.pdf</t>
        </is>
      </c>
    </row>
    <row r="1008">
      <c r="A1008" t="inlineStr">
        <is>
          <t>WFIRS-S</t>
        </is>
      </c>
      <c r="B1008" t="inlineStr">
        <is>
          <t>Weiss Functional Impairment Rating Scale, Self Report</t>
        </is>
      </c>
      <c r="C1008" t="inlineStr">
        <is>
          <t>8. Functioning and health</t>
        </is>
      </c>
      <c r="D1008" t="n">
        <v>25</v>
      </c>
      <c r="E1008" t="inlineStr">
        <is>
          <t>Problems meeting minimum requirements to stay in school</t>
        </is>
      </c>
      <c r="F1008" t="inlineStr">
        <is>
          <t>School</t>
        </is>
      </c>
      <c r="G1008" t="inlineStr">
        <is>
          <t>FALSE</t>
        </is>
      </c>
      <c r="H1008" t="inlineStr">
        <is>
          <t>FALSE</t>
        </is>
      </c>
      <c r="I1008" t="inlineStr">
        <is>
          <t>Never or not at all = 0 | Sometimes or somewhat = 1 | Often or much = 2 | Very often or very much = 3</t>
        </is>
      </c>
      <c r="J1008" t="inlineStr">
        <is>
          <t>Source label C6</t>
        </is>
      </c>
      <c r="K1008" t="inlineStr">
        <is>
          <t>https://www.ucc.ie/en/media/support/studenthealthservice/docs/ADHD-WeissFunctionalImpairmentScale.pdf</t>
        </is>
      </c>
    </row>
    <row r="1009">
      <c r="A1009" t="inlineStr">
        <is>
          <t>WFIRS-S</t>
        </is>
      </c>
      <c r="B1009" t="inlineStr">
        <is>
          <t>Weiss Functional Impairment Rating Scale, Self Report</t>
        </is>
      </c>
      <c r="C1009" t="inlineStr">
        <is>
          <t>8. Functioning and health</t>
        </is>
      </c>
      <c r="D1009" t="n">
        <v>26</v>
      </c>
      <c r="E1009" t="inlineStr">
        <is>
          <t>Problems with attendance</t>
        </is>
      </c>
      <c r="F1009" t="inlineStr">
        <is>
          <t>School</t>
        </is>
      </c>
      <c r="G1009" t="inlineStr">
        <is>
          <t>FALSE</t>
        </is>
      </c>
      <c r="H1009" t="inlineStr">
        <is>
          <t>FALSE</t>
        </is>
      </c>
      <c r="I1009" t="inlineStr">
        <is>
          <t>Never or not at all = 0 | Sometimes or somewhat = 1 | Often or much = 2 | Very often or very much = 3</t>
        </is>
      </c>
      <c r="J1009" t="inlineStr">
        <is>
          <t>Source label C7</t>
        </is>
      </c>
      <c r="K1009" t="inlineStr">
        <is>
          <t>https://www.ucc.ie/en/media/support/studenthealthservice/docs/ADHD-WeissFunctionalImpairmentScale.pdf</t>
        </is>
      </c>
    </row>
    <row r="1010">
      <c r="A1010" t="inlineStr">
        <is>
          <t>WFIRS-S</t>
        </is>
      </c>
      <c r="B1010" t="inlineStr">
        <is>
          <t>Weiss Functional Impairment Rating Scale, Self Report</t>
        </is>
      </c>
      <c r="C1010" t="inlineStr">
        <is>
          <t>8. Functioning and health</t>
        </is>
      </c>
      <c r="D1010" t="n">
        <v>27</v>
      </c>
      <c r="E1010" t="inlineStr">
        <is>
          <t>Problems with being late</t>
        </is>
      </c>
      <c r="F1010" t="inlineStr">
        <is>
          <t>School</t>
        </is>
      </c>
      <c r="G1010" t="inlineStr">
        <is>
          <t>FALSE</t>
        </is>
      </c>
      <c r="H1010" t="inlineStr">
        <is>
          <t>FALSE</t>
        </is>
      </c>
      <c r="I1010" t="inlineStr">
        <is>
          <t>Never or not at all = 0 | Sometimes or somewhat = 1 | Often or much = 2 | Very often or very much = 3</t>
        </is>
      </c>
      <c r="J1010" t="inlineStr">
        <is>
          <t>Source label C8</t>
        </is>
      </c>
      <c r="K1010" t="inlineStr">
        <is>
          <t>https://www.ucc.ie/en/media/support/studenthealthservice/docs/ADHD-WeissFunctionalImpairmentScale.pdf</t>
        </is>
      </c>
    </row>
    <row r="1011">
      <c r="A1011" t="inlineStr">
        <is>
          <t>WFIRS-S</t>
        </is>
      </c>
      <c r="B1011" t="inlineStr">
        <is>
          <t>Weiss Functional Impairment Rating Scale, Self Report</t>
        </is>
      </c>
      <c r="C1011" t="inlineStr">
        <is>
          <t>8. Functioning and health</t>
        </is>
      </c>
      <c r="D1011" t="n">
        <v>28</v>
      </c>
      <c r="E1011" t="inlineStr">
        <is>
          <t>Problems with working to your potential</t>
        </is>
      </c>
      <c r="F1011" t="inlineStr">
        <is>
          <t>School</t>
        </is>
      </c>
      <c r="G1011" t="inlineStr">
        <is>
          <t>FALSE</t>
        </is>
      </c>
      <c r="H1011" t="inlineStr">
        <is>
          <t>FALSE</t>
        </is>
      </c>
      <c r="I1011" t="inlineStr">
        <is>
          <t>Never or not at all = 0 | Sometimes or somewhat = 1 | Often or much = 2 | Very often or very much = 3</t>
        </is>
      </c>
      <c r="J1011" t="inlineStr">
        <is>
          <t>Source label C9</t>
        </is>
      </c>
      <c r="K1011" t="inlineStr">
        <is>
          <t>https://www.ucc.ie/en/media/support/studenthealthservice/docs/ADHD-WeissFunctionalImpairmentScale.pdf</t>
        </is>
      </c>
    </row>
    <row r="1012">
      <c r="A1012" t="inlineStr">
        <is>
          <t>WFIRS-S</t>
        </is>
      </c>
      <c r="B1012" t="inlineStr">
        <is>
          <t>Weiss Functional Impairment Rating Scale, Self Report</t>
        </is>
      </c>
      <c r="C1012" t="inlineStr">
        <is>
          <t>8. Functioning and health</t>
        </is>
      </c>
      <c r="D1012" t="n">
        <v>29</v>
      </c>
      <c r="E1012" t="inlineStr">
        <is>
          <t>Problems with inconsistent grades</t>
        </is>
      </c>
      <c r="F1012" t="inlineStr">
        <is>
          <t>School</t>
        </is>
      </c>
      <c r="G1012" t="inlineStr">
        <is>
          <t>FALSE</t>
        </is>
      </c>
      <c r="H1012" t="inlineStr">
        <is>
          <t>FALSE</t>
        </is>
      </c>
      <c r="I1012" t="inlineStr">
        <is>
          <t>Never or not at all = 0 | Sometimes or somewhat = 1 | Often or much = 2 | Very often or very much = 3</t>
        </is>
      </c>
      <c r="J1012" t="inlineStr">
        <is>
          <t>Source label C10</t>
        </is>
      </c>
      <c r="K1012" t="inlineStr">
        <is>
          <t>https://www.ucc.ie/en/media/support/studenthealthservice/docs/ADHD-WeissFunctionalImpairmentScale.pdf</t>
        </is>
      </c>
    </row>
    <row r="1013">
      <c r="A1013" t="inlineStr">
        <is>
          <t>WFIRS-S</t>
        </is>
      </c>
      <c r="B1013" t="inlineStr">
        <is>
          <t>Weiss Functional Impairment Rating Scale, Self Report</t>
        </is>
      </c>
      <c r="C1013" t="inlineStr">
        <is>
          <t>8. Functioning and health</t>
        </is>
      </c>
      <c r="D1013" t="n">
        <v>30</v>
      </c>
      <c r="E1013" t="inlineStr">
        <is>
          <t>Excessive or inappropriate use of internet, video games or TV</t>
        </is>
      </c>
      <c r="F1013" t="inlineStr">
        <is>
          <t>Life Skills</t>
        </is>
      </c>
      <c r="G1013" t="inlineStr">
        <is>
          <t>FALSE</t>
        </is>
      </c>
      <c r="H1013" t="inlineStr">
        <is>
          <t>FALSE</t>
        </is>
      </c>
      <c r="I1013" t="inlineStr">
        <is>
          <t>Never or not at all = 0 | Sometimes or somewhat = 1 | Often or much = 2 | Very often or very much = 3</t>
        </is>
      </c>
      <c r="J1013" t="inlineStr">
        <is>
          <t>Source label D1</t>
        </is>
      </c>
      <c r="K1013" t="inlineStr">
        <is>
          <t>https://www.ucc.ie/en/media/support/studenthealthservice/docs/ADHD-WeissFunctionalImpairmentScale.pdf</t>
        </is>
      </c>
    </row>
    <row r="1014">
      <c r="A1014" t="inlineStr">
        <is>
          <t>WFIRS-S</t>
        </is>
      </c>
      <c r="B1014" t="inlineStr">
        <is>
          <t>Weiss Functional Impairment Rating Scale, Self Report</t>
        </is>
      </c>
      <c r="C1014" t="inlineStr">
        <is>
          <t>8. Functioning and health</t>
        </is>
      </c>
      <c r="D1014" t="n">
        <v>31</v>
      </c>
      <c r="E1014" t="inlineStr">
        <is>
          <t>Problems keeping an acceptable appearance</t>
        </is>
      </c>
      <c r="F1014" t="inlineStr">
        <is>
          <t>Life Skills</t>
        </is>
      </c>
      <c r="G1014" t="inlineStr">
        <is>
          <t>FALSE</t>
        </is>
      </c>
      <c r="H1014" t="inlineStr">
        <is>
          <t>FALSE</t>
        </is>
      </c>
      <c r="I1014" t="inlineStr">
        <is>
          <t>Never or not at all = 0 | Sometimes or somewhat = 1 | Often or much = 2 | Very often or very much = 3</t>
        </is>
      </c>
      <c r="J1014" t="inlineStr">
        <is>
          <t>Source label D2</t>
        </is>
      </c>
      <c r="K1014" t="inlineStr">
        <is>
          <t>https://www.ucc.ie/en/media/support/studenthealthservice/docs/ADHD-WeissFunctionalImpairmentScale.pdf</t>
        </is>
      </c>
    </row>
    <row r="1015">
      <c r="A1015" t="inlineStr">
        <is>
          <t>WFIRS-S</t>
        </is>
      </c>
      <c r="B1015" t="inlineStr">
        <is>
          <t>Weiss Functional Impairment Rating Scale, Self Report</t>
        </is>
      </c>
      <c r="C1015" t="inlineStr">
        <is>
          <t>8. Functioning and health</t>
        </is>
      </c>
      <c r="D1015" t="n">
        <v>32</v>
      </c>
      <c r="E1015" t="inlineStr">
        <is>
          <t>Problems getting ready to leave the house</t>
        </is>
      </c>
      <c r="F1015" t="inlineStr">
        <is>
          <t>Life Skills</t>
        </is>
      </c>
      <c r="G1015" t="inlineStr">
        <is>
          <t>FALSE</t>
        </is>
      </c>
      <c r="H1015" t="inlineStr">
        <is>
          <t>FALSE</t>
        </is>
      </c>
      <c r="I1015" t="inlineStr">
        <is>
          <t>Never or not at all = 0 | Sometimes or somewhat = 1 | Often or much = 2 | Very often or very much = 3</t>
        </is>
      </c>
      <c r="J1015" t="inlineStr">
        <is>
          <t>Source label D3</t>
        </is>
      </c>
      <c r="K1015" t="inlineStr">
        <is>
          <t>https://www.ucc.ie/en/media/support/studenthealthservice/docs/ADHD-WeissFunctionalImpairmentScale.pdf</t>
        </is>
      </c>
    </row>
    <row r="1016">
      <c r="A1016" t="inlineStr">
        <is>
          <t>WFIRS-S</t>
        </is>
      </c>
      <c r="B1016" t="inlineStr">
        <is>
          <t>Weiss Functional Impairment Rating Scale, Self Report</t>
        </is>
      </c>
      <c r="C1016" t="inlineStr">
        <is>
          <t>8. Functioning and health</t>
        </is>
      </c>
      <c r="D1016" t="n">
        <v>33</v>
      </c>
      <c r="E1016" t="inlineStr">
        <is>
          <t>Problems getting to bed</t>
        </is>
      </c>
      <c r="F1016" t="inlineStr">
        <is>
          <t>Life Skills</t>
        </is>
      </c>
      <c r="G1016" t="inlineStr">
        <is>
          <t>FALSE</t>
        </is>
      </c>
      <c r="H1016" t="inlineStr">
        <is>
          <t>FALSE</t>
        </is>
      </c>
      <c r="I1016" t="inlineStr">
        <is>
          <t>Never or not at all = 0 | Sometimes or somewhat = 1 | Often or much = 2 | Very often or very much = 3</t>
        </is>
      </c>
      <c r="J1016" t="inlineStr">
        <is>
          <t>Source label D4</t>
        </is>
      </c>
      <c r="K1016" t="inlineStr">
        <is>
          <t>https://www.ucc.ie/en/media/support/studenthealthservice/docs/ADHD-WeissFunctionalImpairmentScale.pdf</t>
        </is>
      </c>
    </row>
    <row r="1017">
      <c r="A1017" t="inlineStr">
        <is>
          <t>WFIRS-S</t>
        </is>
      </c>
      <c r="B1017" t="inlineStr">
        <is>
          <t>Weiss Functional Impairment Rating Scale, Self Report</t>
        </is>
      </c>
      <c r="C1017" t="inlineStr">
        <is>
          <t>8. Functioning and health</t>
        </is>
      </c>
      <c r="D1017" t="n">
        <v>34</v>
      </c>
      <c r="E1017" t="inlineStr">
        <is>
          <t>Problems with nutrition</t>
        </is>
      </c>
      <c r="F1017" t="inlineStr">
        <is>
          <t>Life Skills</t>
        </is>
      </c>
      <c r="G1017" t="inlineStr">
        <is>
          <t>FALSE</t>
        </is>
      </c>
      <c r="H1017" t="inlineStr">
        <is>
          <t>FALSE</t>
        </is>
      </c>
      <c r="I1017" t="inlineStr">
        <is>
          <t>Never or not at all = 0 | Sometimes or somewhat = 1 | Often or much = 2 | Very often or very much = 3</t>
        </is>
      </c>
      <c r="J1017" t="inlineStr">
        <is>
          <t>Source label D5</t>
        </is>
      </c>
      <c r="K1017" t="inlineStr">
        <is>
          <t>https://www.ucc.ie/en/media/support/studenthealthservice/docs/ADHD-WeissFunctionalImpairmentScale.pdf</t>
        </is>
      </c>
    </row>
    <row r="1018">
      <c r="A1018" t="inlineStr">
        <is>
          <t>WFIRS-S</t>
        </is>
      </c>
      <c r="B1018" t="inlineStr">
        <is>
          <t>Weiss Functional Impairment Rating Scale, Self Report</t>
        </is>
      </c>
      <c r="C1018" t="inlineStr">
        <is>
          <t>8. Functioning and health</t>
        </is>
      </c>
      <c r="D1018" t="n">
        <v>35</v>
      </c>
      <c r="E1018" t="inlineStr">
        <is>
          <t>Problems with sex</t>
        </is>
      </c>
      <c r="F1018" t="inlineStr">
        <is>
          <t>Life Skills</t>
        </is>
      </c>
      <c r="G1018" t="inlineStr">
        <is>
          <t>FALSE</t>
        </is>
      </c>
      <c r="H1018" t="inlineStr">
        <is>
          <t>FALSE</t>
        </is>
      </c>
      <c r="I1018" t="inlineStr">
        <is>
          <t>Never or not at all = 0 | Sometimes or somewhat = 1 | Often or much = 2 | Very often or very much = 3</t>
        </is>
      </c>
      <c r="J1018" t="inlineStr">
        <is>
          <t>Source label D6</t>
        </is>
      </c>
      <c r="K1018" t="inlineStr">
        <is>
          <t>https://www.ucc.ie/en/media/support/studenthealthservice/docs/ADHD-WeissFunctionalImpairmentScale.pdf</t>
        </is>
      </c>
    </row>
    <row r="1019">
      <c r="A1019" t="inlineStr">
        <is>
          <t>WFIRS-S</t>
        </is>
      </c>
      <c r="B1019" t="inlineStr">
        <is>
          <t>Weiss Functional Impairment Rating Scale, Self Report</t>
        </is>
      </c>
      <c r="C1019" t="inlineStr">
        <is>
          <t>8. Functioning and health</t>
        </is>
      </c>
      <c r="D1019" t="n">
        <v>36</v>
      </c>
      <c r="E1019" t="inlineStr">
        <is>
          <t>Problems with sleeping</t>
        </is>
      </c>
      <c r="F1019" t="inlineStr">
        <is>
          <t>Life Skills</t>
        </is>
      </c>
      <c r="G1019" t="inlineStr">
        <is>
          <t>FALSE</t>
        </is>
      </c>
      <c r="H1019" t="inlineStr">
        <is>
          <t>FALSE</t>
        </is>
      </c>
      <c r="I1019" t="inlineStr">
        <is>
          <t>Never or not at all = 0 | Sometimes or somewhat = 1 | Often or much = 2 | Very often or very much = 3</t>
        </is>
      </c>
      <c r="J1019" t="inlineStr">
        <is>
          <t>Source label D7</t>
        </is>
      </c>
      <c r="K1019" t="inlineStr">
        <is>
          <t>https://www.ucc.ie/en/media/support/studenthealthservice/docs/ADHD-WeissFunctionalImpairmentScale.pdf</t>
        </is>
      </c>
    </row>
    <row r="1020">
      <c r="A1020" t="inlineStr">
        <is>
          <t>WFIRS-S</t>
        </is>
      </c>
      <c r="B1020" t="inlineStr">
        <is>
          <t>Weiss Functional Impairment Rating Scale, Self Report</t>
        </is>
      </c>
      <c r="C1020" t="inlineStr">
        <is>
          <t>8. Functioning and health</t>
        </is>
      </c>
      <c r="D1020" t="n">
        <v>37</v>
      </c>
      <c r="E1020" t="inlineStr">
        <is>
          <t>Getting hurt or injured</t>
        </is>
      </c>
      <c r="F1020" t="inlineStr">
        <is>
          <t>Life Skills</t>
        </is>
      </c>
      <c r="G1020" t="inlineStr">
        <is>
          <t>FALSE</t>
        </is>
      </c>
      <c r="H1020" t="inlineStr">
        <is>
          <t>FALSE</t>
        </is>
      </c>
      <c r="I1020" t="inlineStr">
        <is>
          <t>Never or not at all = 0 | Sometimes or somewhat = 1 | Often or much = 2 | Very often or very much = 3</t>
        </is>
      </c>
      <c r="J1020" t="inlineStr">
        <is>
          <t>Source label D8</t>
        </is>
      </c>
      <c r="K1020" t="inlineStr">
        <is>
          <t>https://www.ucc.ie/en/media/support/studenthealthservice/docs/ADHD-WeissFunctionalImpairmentScale.pdf</t>
        </is>
      </c>
    </row>
    <row r="1021">
      <c r="A1021" t="inlineStr">
        <is>
          <t>WFIRS-S</t>
        </is>
      </c>
      <c r="B1021" t="inlineStr">
        <is>
          <t>Weiss Functional Impairment Rating Scale, Self Report</t>
        </is>
      </c>
      <c r="C1021" t="inlineStr">
        <is>
          <t>8. Functioning and health</t>
        </is>
      </c>
      <c r="D1021" t="n">
        <v>38</v>
      </c>
      <c r="E1021" t="inlineStr">
        <is>
          <t>Avoiding exercise</t>
        </is>
      </c>
      <c r="F1021" t="inlineStr">
        <is>
          <t>Life Skills</t>
        </is>
      </c>
      <c r="G1021" t="inlineStr">
        <is>
          <t>FALSE</t>
        </is>
      </c>
      <c r="H1021" t="inlineStr">
        <is>
          <t>FALSE</t>
        </is>
      </c>
      <c r="I1021" t="inlineStr">
        <is>
          <t>Never or not at all = 0 | Sometimes or somewhat = 1 | Often or much = 2 | Very often or very much = 3</t>
        </is>
      </c>
      <c r="J1021" t="inlineStr">
        <is>
          <t>Source label D9</t>
        </is>
      </c>
      <c r="K1021" t="inlineStr">
        <is>
          <t>https://www.ucc.ie/en/media/support/studenthealthservice/docs/ADHD-WeissFunctionalImpairmentScale.pdf</t>
        </is>
      </c>
    </row>
    <row r="1022">
      <c r="A1022" t="inlineStr">
        <is>
          <t>WFIRS-S</t>
        </is>
      </c>
      <c r="B1022" t="inlineStr">
        <is>
          <t>Weiss Functional Impairment Rating Scale, Self Report</t>
        </is>
      </c>
      <c r="C1022" t="inlineStr">
        <is>
          <t>8. Functioning and health</t>
        </is>
      </c>
      <c r="D1022" t="n">
        <v>39</v>
      </c>
      <c r="E1022" t="inlineStr">
        <is>
          <t>Problems keeping regular appointments with doctor/dentist</t>
        </is>
      </c>
      <c r="F1022" t="inlineStr">
        <is>
          <t>Life Skills</t>
        </is>
      </c>
      <c r="G1022" t="inlineStr">
        <is>
          <t>FALSE</t>
        </is>
      </c>
      <c r="H1022" t="inlineStr">
        <is>
          <t>FALSE</t>
        </is>
      </c>
      <c r="I1022" t="inlineStr">
        <is>
          <t>Never or not at all = 0 | Sometimes or somewhat = 1 | Often or much = 2 | Very often or very much = 3</t>
        </is>
      </c>
      <c r="J1022" t="inlineStr">
        <is>
          <t>Source label D10</t>
        </is>
      </c>
      <c r="K1022" t="inlineStr">
        <is>
          <t>https://www.ucc.ie/en/media/support/studenthealthservice/docs/ADHD-WeissFunctionalImpairmentScale.pdf</t>
        </is>
      </c>
    </row>
    <row r="1023">
      <c r="A1023" t="inlineStr">
        <is>
          <t>WFIRS-S</t>
        </is>
      </c>
      <c r="B1023" t="inlineStr">
        <is>
          <t>Weiss Functional Impairment Rating Scale, Self Report</t>
        </is>
      </c>
      <c r="C1023" t="inlineStr">
        <is>
          <t>8. Functioning and health</t>
        </is>
      </c>
      <c r="D1023" t="n">
        <v>40</v>
      </c>
      <c r="E1023" t="inlineStr">
        <is>
          <t>Problems keeping up with household chores</t>
        </is>
      </c>
      <c r="F1023" t="inlineStr">
        <is>
          <t>Life Skills</t>
        </is>
      </c>
      <c r="G1023" t="inlineStr">
        <is>
          <t>FALSE</t>
        </is>
      </c>
      <c r="H1023" t="inlineStr">
        <is>
          <t>FALSE</t>
        </is>
      </c>
      <c r="I1023" t="inlineStr">
        <is>
          <t>Never or not at all = 0 | Sometimes or somewhat = 1 | Often or much = 2 | Very often or very much = 3</t>
        </is>
      </c>
      <c r="J1023" t="inlineStr">
        <is>
          <t>Source label D11</t>
        </is>
      </c>
      <c r="K1023" t="inlineStr">
        <is>
          <t>https://www.ucc.ie/en/media/support/studenthealthservice/docs/ADHD-WeissFunctionalImpairmentScale.pdf</t>
        </is>
      </c>
    </row>
    <row r="1024">
      <c r="A1024" t="inlineStr">
        <is>
          <t>WFIRS-S</t>
        </is>
      </c>
      <c r="B1024" t="inlineStr">
        <is>
          <t>Weiss Functional Impairment Rating Scale, Self Report</t>
        </is>
      </c>
      <c r="C1024" t="inlineStr">
        <is>
          <t>8. Functioning and health</t>
        </is>
      </c>
      <c r="D1024" t="n">
        <v>41</v>
      </c>
      <c r="E1024" t="inlineStr">
        <is>
          <t>Problems managing money</t>
        </is>
      </c>
      <c r="F1024" t="inlineStr">
        <is>
          <t>Life Skills</t>
        </is>
      </c>
      <c r="G1024" t="inlineStr">
        <is>
          <t>FALSE</t>
        </is>
      </c>
      <c r="H1024" t="inlineStr">
        <is>
          <t>FALSE</t>
        </is>
      </c>
      <c r="I1024" t="inlineStr">
        <is>
          <t>Never or not at all = 0 | Sometimes or somewhat = 1 | Often or much = 2 | Very often or very much = 3</t>
        </is>
      </c>
      <c r="J1024" t="inlineStr">
        <is>
          <t>Source label D12</t>
        </is>
      </c>
      <c r="K1024" t="inlineStr">
        <is>
          <t>https://www.ucc.ie/en/media/support/studenthealthservice/docs/ADHD-WeissFunctionalImpairmentScale.pdf</t>
        </is>
      </c>
    </row>
    <row r="1025">
      <c r="A1025" t="inlineStr">
        <is>
          <t>WFIRS-S</t>
        </is>
      </c>
      <c r="B1025" t="inlineStr">
        <is>
          <t>Weiss Functional Impairment Rating Scale, Self Report</t>
        </is>
      </c>
      <c r="C1025" t="inlineStr">
        <is>
          <t>8. Functioning and health</t>
        </is>
      </c>
      <c r="D1025" t="n">
        <v>42</v>
      </c>
      <c r="E1025" t="inlineStr">
        <is>
          <t>Feeling bad about yourself</t>
        </is>
      </c>
      <c r="F1025" t="inlineStr">
        <is>
          <t>Self-Concept</t>
        </is>
      </c>
      <c r="G1025" t="inlineStr">
        <is>
          <t>FALSE</t>
        </is>
      </c>
      <c r="H1025" t="inlineStr">
        <is>
          <t>FALSE</t>
        </is>
      </c>
      <c r="I1025" t="inlineStr">
        <is>
          <t>Never or not at all = 0 | Sometimes or somewhat = 1 | Often or much = 2 | Very often or very much = 3</t>
        </is>
      </c>
      <c r="J1025" t="inlineStr">
        <is>
          <t>Source label E1</t>
        </is>
      </c>
      <c r="K1025" t="inlineStr">
        <is>
          <t>https://www.ucc.ie/en/media/support/studenthealthservice/docs/ADHD-WeissFunctionalImpairmentScale.pdf</t>
        </is>
      </c>
    </row>
    <row r="1026">
      <c r="A1026" t="inlineStr">
        <is>
          <t>WFIRS-S</t>
        </is>
      </c>
      <c r="B1026" t="inlineStr">
        <is>
          <t>Weiss Functional Impairment Rating Scale, Self Report</t>
        </is>
      </c>
      <c r="C1026" t="inlineStr">
        <is>
          <t>8. Functioning and health</t>
        </is>
      </c>
      <c r="D1026" t="n">
        <v>43</v>
      </c>
      <c r="E1026" t="inlineStr">
        <is>
          <t>Feeling frustrated with yourself</t>
        </is>
      </c>
      <c r="F1026" t="inlineStr">
        <is>
          <t>Self-Concept</t>
        </is>
      </c>
      <c r="G1026" t="inlineStr">
        <is>
          <t>FALSE</t>
        </is>
      </c>
      <c r="H1026" t="inlineStr">
        <is>
          <t>FALSE</t>
        </is>
      </c>
      <c r="I1026" t="inlineStr">
        <is>
          <t>Never or not at all = 0 | Sometimes or somewhat = 1 | Often or much = 2 | Very often or very much = 3</t>
        </is>
      </c>
      <c r="J1026" t="inlineStr">
        <is>
          <t>Source label E2</t>
        </is>
      </c>
      <c r="K1026" t="inlineStr">
        <is>
          <t>https://www.ucc.ie/en/media/support/studenthealthservice/docs/ADHD-WeissFunctionalImpairmentScale.pdf</t>
        </is>
      </c>
    </row>
    <row r="1027">
      <c r="A1027" t="inlineStr">
        <is>
          <t>WFIRS-S</t>
        </is>
      </c>
      <c r="B1027" t="inlineStr">
        <is>
          <t>Weiss Functional Impairment Rating Scale, Self Report</t>
        </is>
      </c>
      <c r="C1027" t="inlineStr">
        <is>
          <t>8. Functioning and health</t>
        </is>
      </c>
      <c r="D1027" t="n">
        <v>44</v>
      </c>
      <c r="E1027" t="inlineStr">
        <is>
          <t>Feeling discouraged</t>
        </is>
      </c>
      <c r="F1027" t="inlineStr">
        <is>
          <t>Self-Concept</t>
        </is>
      </c>
      <c r="G1027" t="inlineStr">
        <is>
          <t>FALSE</t>
        </is>
      </c>
      <c r="H1027" t="inlineStr">
        <is>
          <t>FALSE</t>
        </is>
      </c>
      <c r="I1027" t="inlineStr">
        <is>
          <t>Never or not at all = 0 | Sometimes or somewhat = 1 | Often or much = 2 | Very often or very much = 3</t>
        </is>
      </c>
      <c r="J1027" t="inlineStr">
        <is>
          <t>Source label E3</t>
        </is>
      </c>
      <c r="K1027" t="inlineStr">
        <is>
          <t>https://www.ucc.ie/en/media/support/studenthealthservice/docs/ADHD-WeissFunctionalImpairmentScale.pdf</t>
        </is>
      </c>
    </row>
    <row r="1028">
      <c r="A1028" t="inlineStr">
        <is>
          <t>WFIRS-S</t>
        </is>
      </c>
      <c r="B1028" t="inlineStr">
        <is>
          <t>Weiss Functional Impairment Rating Scale, Self Report</t>
        </is>
      </c>
      <c r="C1028" t="inlineStr">
        <is>
          <t>8. Functioning and health</t>
        </is>
      </c>
      <c r="D1028" t="n">
        <v>45</v>
      </c>
      <c r="E1028" t="inlineStr">
        <is>
          <t>Not feeling happy with your life</t>
        </is>
      </c>
      <c r="F1028" t="inlineStr">
        <is>
          <t>Self-Concept</t>
        </is>
      </c>
      <c r="G1028" t="inlineStr">
        <is>
          <t>FALSE</t>
        </is>
      </c>
      <c r="H1028" t="inlineStr">
        <is>
          <t>FALSE</t>
        </is>
      </c>
      <c r="I1028" t="inlineStr">
        <is>
          <t>Never or not at all = 0 | Sometimes or somewhat = 1 | Often or much = 2 | Very often or very much = 3</t>
        </is>
      </c>
      <c r="J1028" t="inlineStr">
        <is>
          <t>Source label E4</t>
        </is>
      </c>
      <c r="K1028" t="inlineStr">
        <is>
          <t>https://www.ucc.ie/en/media/support/studenthealthservice/docs/ADHD-WeissFunctionalImpairmentScale.pdf</t>
        </is>
      </c>
    </row>
    <row r="1029">
      <c r="A1029" t="inlineStr">
        <is>
          <t>WFIRS-S</t>
        </is>
      </c>
      <c r="B1029" t="inlineStr">
        <is>
          <t>Weiss Functional Impairment Rating Scale, Self Report</t>
        </is>
      </c>
      <c r="C1029" t="inlineStr">
        <is>
          <t>8. Functioning and health</t>
        </is>
      </c>
      <c r="D1029" t="n">
        <v>46</v>
      </c>
      <c r="E1029" t="inlineStr">
        <is>
          <t>Feeling incompetent</t>
        </is>
      </c>
      <c r="F1029" t="inlineStr">
        <is>
          <t>Self-Concept</t>
        </is>
      </c>
      <c r="G1029" t="inlineStr">
        <is>
          <t>FALSE</t>
        </is>
      </c>
      <c r="H1029" t="inlineStr">
        <is>
          <t>FALSE</t>
        </is>
      </c>
      <c r="I1029" t="inlineStr">
        <is>
          <t>Never or not at all = 0 | Sometimes or somewhat = 1 | Often or much = 2 | Very often or very much = 3</t>
        </is>
      </c>
      <c r="J1029" t="inlineStr">
        <is>
          <t>Source label E5</t>
        </is>
      </c>
      <c r="K1029" t="inlineStr">
        <is>
          <t>https://www.ucc.ie/en/media/support/studenthealthservice/docs/ADHD-WeissFunctionalImpairmentScale.pdf</t>
        </is>
      </c>
    </row>
    <row r="1030">
      <c r="A1030" t="inlineStr">
        <is>
          <t>WFIRS-S</t>
        </is>
      </c>
      <c r="B1030" t="inlineStr">
        <is>
          <t>Weiss Functional Impairment Rating Scale, Self Report</t>
        </is>
      </c>
      <c r="C1030" t="inlineStr">
        <is>
          <t>8. Functioning and health</t>
        </is>
      </c>
      <c r="D1030" t="n">
        <v>47</v>
      </c>
      <c r="E1030" t="inlineStr">
        <is>
          <t>Getting into arguments</t>
        </is>
      </c>
      <c r="F1030" t="inlineStr">
        <is>
          <t>Social</t>
        </is>
      </c>
      <c r="G1030" t="inlineStr">
        <is>
          <t>FALSE</t>
        </is>
      </c>
      <c r="H1030" t="inlineStr">
        <is>
          <t>FALSE</t>
        </is>
      </c>
      <c r="I1030" t="inlineStr">
        <is>
          <t>Never or not at all = 0 | Sometimes or somewhat = 1 | Often or much = 2 | Very often or very much = 3</t>
        </is>
      </c>
      <c r="J1030" t="inlineStr">
        <is>
          <t>Source label F1</t>
        </is>
      </c>
      <c r="K1030" t="inlineStr">
        <is>
          <t>https://www.ucc.ie/en/media/support/studenthealthservice/docs/ADHD-WeissFunctionalImpairmentScale.pdf</t>
        </is>
      </c>
    </row>
    <row r="1031">
      <c r="A1031" t="inlineStr">
        <is>
          <t>WFIRS-S</t>
        </is>
      </c>
      <c r="B1031" t="inlineStr">
        <is>
          <t>Weiss Functional Impairment Rating Scale, Self Report</t>
        </is>
      </c>
      <c r="C1031" t="inlineStr">
        <is>
          <t>8. Functioning and health</t>
        </is>
      </c>
      <c r="D1031" t="n">
        <v>48</v>
      </c>
      <c r="E1031" t="inlineStr">
        <is>
          <t>Trouble cooperating</t>
        </is>
      </c>
      <c r="F1031" t="inlineStr">
        <is>
          <t>Social</t>
        </is>
      </c>
      <c r="G1031" t="inlineStr">
        <is>
          <t>FALSE</t>
        </is>
      </c>
      <c r="H1031" t="inlineStr">
        <is>
          <t>FALSE</t>
        </is>
      </c>
      <c r="I1031" t="inlineStr">
        <is>
          <t>Never or not at all = 0 | Sometimes or somewhat = 1 | Often or much = 2 | Very often or very much = 3</t>
        </is>
      </c>
      <c r="J1031" t="inlineStr">
        <is>
          <t>Source label F2</t>
        </is>
      </c>
      <c r="K1031" t="inlineStr">
        <is>
          <t>https://www.ucc.ie/en/media/support/studenthealthservice/docs/ADHD-WeissFunctionalImpairmentScale.pdf</t>
        </is>
      </c>
    </row>
    <row r="1032">
      <c r="A1032" t="inlineStr">
        <is>
          <t>WFIRS-S</t>
        </is>
      </c>
      <c r="B1032" t="inlineStr">
        <is>
          <t>Weiss Functional Impairment Rating Scale, Self Report</t>
        </is>
      </c>
      <c r="C1032" t="inlineStr">
        <is>
          <t>8. Functioning and health</t>
        </is>
      </c>
      <c r="D1032" t="n">
        <v>49</v>
      </c>
      <c r="E1032" t="inlineStr">
        <is>
          <t>Trouble getting along with people</t>
        </is>
      </c>
      <c r="F1032" t="inlineStr">
        <is>
          <t>Social</t>
        </is>
      </c>
      <c r="G1032" t="inlineStr">
        <is>
          <t>FALSE</t>
        </is>
      </c>
      <c r="H1032" t="inlineStr">
        <is>
          <t>FALSE</t>
        </is>
      </c>
      <c r="I1032" t="inlineStr">
        <is>
          <t>Never or not at all = 0 | Sometimes or somewhat = 1 | Often or much = 2 | Very often or very much = 3</t>
        </is>
      </c>
      <c r="J1032" t="inlineStr">
        <is>
          <t>Source label F3</t>
        </is>
      </c>
      <c r="K1032" t="inlineStr">
        <is>
          <t>https://www.ucc.ie/en/media/support/studenthealthservice/docs/ADHD-WeissFunctionalImpairmentScale.pdf</t>
        </is>
      </c>
    </row>
    <row r="1033">
      <c r="A1033" t="inlineStr">
        <is>
          <t>WFIRS-S</t>
        </is>
      </c>
      <c r="B1033" t="inlineStr">
        <is>
          <t>Weiss Functional Impairment Rating Scale, Self Report</t>
        </is>
      </c>
      <c r="C1033" t="inlineStr">
        <is>
          <t>8. Functioning and health</t>
        </is>
      </c>
      <c r="D1033" t="n">
        <v>50</v>
      </c>
      <c r="E1033" t="inlineStr">
        <is>
          <t>Problems having fun with other people</t>
        </is>
      </c>
      <c r="F1033" t="inlineStr">
        <is>
          <t>Social</t>
        </is>
      </c>
      <c r="G1033" t="inlineStr">
        <is>
          <t>FALSE</t>
        </is>
      </c>
      <c r="H1033" t="inlineStr">
        <is>
          <t>FALSE</t>
        </is>
      </c>
      <c r="I1033" t="inlineStr">
        <is>
          <t>Never or not at all = 0 | Sometimes or somewhat = 1 | Often or much = 2 | Very often or very much = 3</t>
        </is>
      </c>
      <c r="J1033" t="inlineStr">
        <is>
          <t>Source label F4</t>
        </is>
      </c>
      <c r="K1033" t="inlineStr">
        <is>
          <t>https://www.ucc.ie/en/media/support/studenthealthservice/docs/ADHD-WeissFunctionalImpairmentScale.pdf</t>
        </is>
      </c>
    </row>
    <row r="1034">
      <c r="A1034" t="inlineStr">
        <is>
          <t>WFIRS-S</t>
        </is>
      </c>
      <c r="B1034" t="inlineStr">
        <is>
          <t>Weiss Functional Impairment Rating Scale, Self Report</t>
        </is>
      </c>
      <c r="C1034" t="inlineStr">
        <is>
          <t>8. Functioning and health</t>
        </is>
      </c>
      <c r="D1034" t="n">
        <v>51</v>
      </c>
      <c r="E1034" t="inlineStr">
        <is>
          <t>Problems participating in hobbies</t>
        </is>
      </c>
      <c r="F1034" t="inlineStr">
        <is>
          <t>Social</t>
        </is>
      </c>
      <c r="G1034" t="inlineStr">
        <is>
          <t>FALSE</t>
        </is>
      </c>
      <c r="H1034" t="inlineStr">
        <is>
          <t>FALSE</t>
        </is>
      </c>
      <c r="I1034" t="inlineStr">
        <is>
          <t>Never or not at all = 0 | Sometimes or somewhat = 1 | Often or much = 2 | Very often or very much = 3</t>
        </is>
      </c>
      <c r="J1034" t="inlineStr">
        <is>
          <t>Source label F5</t>
        </is>
      </c>
      <c r="K1034" t="inlineStr">
        <is>
          <t>https://www.ucc.ie/en/media/support/studenthealthservice/docs/ADHD-WeissFunctionalImpairmentScale.pdf</t>
        </is>
      </c>
    </row>
    <row r="1035">
      <c r="A1035" t="inlineStr">
        <is>
          <t>WFIRS-S</t>
        </is>
      </c>
      <c r="B1035" t="inlineStr">
        <is>
          <t>Weiss Functional Impairment Rating Scale, Self Report</t>
        </is>
      </c>
      <c r="C1035" t="inlineStr">
        <is>
          <t>8. Functioning and health</t>
        </is>
      </c>
      <c r="D1035" t="n">
        <v>52</v>
      </c>
      <c r="E1035" t="inlineStr">
        <is>
          <t>Problems making friends</t>
        </is>
      </c>
      <c r="F1035" t="inlineStr">
        <is>
          <t>Social</t>
        </is>
      </c>
      <c r="G1035" t="inlineStr">
        <is>
          <t>FALSE</t>
        </is>
      </c>
      <c r="H1035" t="inlineStr">
        <is>
          <t>FALSE</t>
        </is>
      </c>
      <c r="I1035" t="inlineStr">
        <is>
          <t>Never or not at all = 0 | Sometimes or somewhat = 1 | Often or much = 2 | Very often or very much = 3</t>
        </is>
      </c>
      <c r="J1035" t="inlineStr">
        <is>
          <t>Source label F6</t>
        </is>
      </c>
      <c r="K1035" t="inlineStr">
        <is>
          <t>https://www.ucc.ie/en/media/support/studenthealthservice/docs/ADHD-WeissFunctionalImpairmentScale.pdf</t>
        </is>
      </c>
    </row>
    <row r="1036">
      <c r="A1036" t="inlineStr">
        <is>
          <t>WFIRS-S</t>
        </is>
      </c>
      <c r="B1036" t="inlineStr">
        <is>
          <t>Weiss Functional Impairment Rating Scale, Self Report</t>
        </is>
      </c>
      <c r="C1036" t="inlineStr">
        <is>
          <t>8. Functioning and health</t>
        </is>
      </c>
      <c r="D1036" t="n">
        <v>53</v>
      </c>
      <c r="E1036" t="inlineStr">
        <is>
          <t>Problems keeping friends</t>
        </is>
      </c>
      <c r="F1036" t="inlineStr">
        <is>
          <t>Social</t>
        </is>
      </c>
      <c r="G1036" t="inlineStr">
        <is>
          <t>FALSE</t>
        </is>
      </c>
      <c r="H1036" t="inlineStr">
        <is>
          <t>FALSE</t>
        </is>
      </c>
      <c r="I1036" t="inlineStr">
        <is>
          <t>Never or not at all = 0 | Sometimes or somewhat = 1 | Often or much = 2 | Very often or very much = 3</t>
        </is>
      </c>
      <c r="J1036" t="inlineStr">
        <is>
          <t>Source label F7</t>
        </is>
      </c>
      <c r="K1036" t="inlineStr">
        <is>
          <t>https://www.ucc.ie/en/media/support/studenthealthservice/docs/ADHD-WeissFunctionalImpairmentScale.pdf</t>
        </is>
      </c>
    </row>
    <row r="1037">
      <c r="A1037" t="inlineStr">
        <is>
          <t>WFIRS-S</t>
        </is>
      </c>
      <c r="B1037" t="inlineStr">
        <is>
          <t>Weiss Functional Impairment Rating Scale, Self Report</t>
        </is>
      </c>
      <c r="C1037" t="inlineStr">
        <is>
          <t>8. Functioning and health</t>
        </is>
      </c>
      <c r="D1037" t="n">
        <v>54</v>
      </c>
      <c r="E1037" t="inlineStr">
        <is>
          <t>Saying inappropriate things</t>
        </is>
      </c>
      <c r="F1037" t="inlineStr">
        <is>
          <t>Social</t>
        </is>
      </c>
      <c r="G1037" t="inlineStr">
        <is>
          <t>FALSE</t>
        </is>
      </c>
      <c r="H1037" t="inlineStr">
        <is>
          <t>FALSE</t>
        </is>
      </c>
      <c r="I1037" t="inlineStr">
        <is>
          <t>Never or not at all = 0 | Sometimes or somewhat = 1 | Often or much = 2 | Very often or very much = 3</t>
        </is>
      </c>
      <c r="J1037" t="inlineStr">
        <is>
          <t>Source label F8</t>
        </is>
      </c>
      <c r="K1037" t="inlineStr">
        <is>
          <t>https://www.ucc.ie/en/media/support/studenthealthservice/docs/ADHD-WeissFunctionalImpairmentScale.pdf</t>
        </is>
      </c>
    </row>
    <row r="1038">
      <c r="A1038" t="inlineStr">
        <is>
          <t>WFIRS-S</t>
        </is>
      </c>
      <c r="B1038" t="inlineStr">
        <is>
          <t>Weiss Functional Impairment Rating Scale, Self Report</t>
        </is>
      </c>
      <c r="C1038" t="inlineStr">
        <is>
          <t>8. Functioning and health</t>
        </is>
      </c>
      <c r="D1038" t="n">
        <v>55</v>
      </c>
      <c r="E1038" t="inlineStr">
        <is>
          <t>Complaints from neighbours</t>
        </is>
      </c>
      <c r="F1038" t="inlineStr">
        <is>
          <t>Social</t>
        </is>
      </c>
      <c r="G1038" t="inlineStr">
        <is>
          <t>FALSE</t>
        </is>
      </c>
      <c r="H1038" t="inlineStr">
        <is>
          <t>FALSE</t>
        </is>
      </c>
      <c r="I1038" t="inlineStr">
        <is>
          <t>Never or not at all = 0 | Sometimes or somewhat = 1 | Often or much = 2 | Very often or very much = 3</t>
        </is>
      </c>
      <c r="J1038" t="inlineStr">
        <is>
          <t>Source label F9</t>
        </is>
      </c>
      <c r="K1038" t="inlineStr">
        <is>
          <t>https://www.ucc.ie/en/media/support/studenthealthservice/docs/ADHD-WeissFunctionalImpairmentScale.pdf</t>
        </is>
      </c>
    </row>
    <row r="1039">
      <c r="A1039" t="inlineStr">
        <is>
          <t>WFIRS-S</t>
        </is>
      </c>
      <c r="B1039" t="inlineStr">
        <is>
          <t>Weiss Functional Impairment Rating Scale, Self Report</t>
        </is>
      </c>
      <c r="C1039" t="inlineStr">
        <is>
          <t>8. Functioning and health</t>
        </is>
      </c>
      <c r="D1039" t="n">
        <v>56</v>
      </c>
      <c r="E1039" t="inlineStr">
        <is>
          <t>Aggressive driving</t>
        </is>
      </c>
      <c r="F1039" t="inlineStr">
        <is>
          <t>Risk</t>
        </is>
      </c>
      <c r="G1039" t="inlineStr">
        <is>
          <t>FALSE</t>
        </is>
      </c>
      <c r="H1039" t="inlineStr">
        <is>
          <t>FALSE</t>
        </is>
      </c>
      <c r="I1039" t="inlineStr">
        <is>
          <t>Never or not at all = 0 | Sometimes or somewhat = 1 | Often or much = 2 | Very often or very much = 3</t>
        </is>
      </c>
      <c r="J1039" t="inlineStr">
        <is>
          <t>Source label G1</t>
        </is>
      </c>
      <c r="K1039" t="inlineStr">
        <is>
          <t>https://www.ucc.ie/en/media/support/studenthealthservice/docs/ADHD-WeissFunctionalImpairmentScale.pdf</t>
        </is>
      </c>
    </row>
    <row r="1040">
      <c r="A1040" t="inlineStr">
        <is>
          <t>WFIRS-S</t>
        </is>
      </c>
      <c r="B1040" t="inlineStr">
        <is>
          <t>Weiss Functional Impairment Rating Scale, Self Report</t>
        </is>
      </c>
      <c r="C1040" t="inlineStr">
        <is>
          <t>8. Functioning and health</t>
        </is>
      </c>
      <c r="D1040" t="n">
        <v>57</v>
      </c>
      <c r="E1040" t="inlineStr">
        <is>
          <t>Doing other things while driving</t>
        </is>
      </c>
      <c r="F1040" t="inlineStr">
        <is>
          <t>Risk</t>
        </is>
      </c>
      <c r="G1040" t="inlineStr">
        <is>
          <t>FALSE</t>
        </is>
      </c>
      <c r="H1040" t="inlineStr">
        <is>
          <t>FALSE</t>
        </is>
      </c>
      <c r="I1040" t="inlineStr">
        <is>
          <t>Never or not at all = 0 | Sometimes or somewhat = 1 | Often or much = 2 | Very often or very much = 3</t>
        </is>
      </c>
      <c r="J1040" t="inlineStr">
        <is>
          <t>Source label G2</t>
        </is>
      </c>
      <c r="K1040" t="inlineStr">
        <is>
          <t>https://www.ucc.ie/en/media/support/studenthealthservice/docs/ADHD-WeissFunctionalImpairmentScale.pdf</t>
        </is>
      </c>
    </row>
    <row r="1041">
      <c r="A1041" t="inlineStr">
        <is>
          <t>WFIRS-S</t>
        </is>
      </c>
      <c r="B1041" t="inlineStr">
        <is>
          <t>Weiss Functional Impairment Rating Scale, Self Report</t>
        </is>
      </c>
      <c r="C1041" t="inlineStr">
        <is>
          <t>8. Functioning and health</t>
        </is>
      </c>
      <c r="D1041" t="n">
        <v>58</v>
      </c>
      <c r="E1041" t="inlineStr">
        <is>
          <t>Road rage</t>
        </is>
      </c>
      <c r="F1041" t="inlineStr">
        <is>
          <t>Risk</t>
        </is>
      </c>
      <c r="G1041" t="inlineStr">
        <is>
          <t>FALSE</t>
        </is>
      </c>
      <c r="H1041" t="inlineStr">
        <is>
          <t>FALSE</t>
        </is>
      </c>
      <c r="I1041" t="inlineStr">
        <is>
          <t>Never or not at all = 0 | Sometimes or somewhat = 1 | Often or much = 2 | Very often or very much = 3</t>
        </is>
      </c>
      <c r="J1041" t="inlineStr">
        <is>
          <t>Source label G3</t>
        </is>
      </c>
      <c r="K1041" t="inlineStr">
        <is>
          <t>https://www.ucc.ie/en/media/support/studenthealthservice/docs/ADHD-WeissFunctionalImpairmentScale.pdf</t>
        </is>
      </c>
    </row>
    <row r="1042">
      <c r="A1042" t="inlineStr">
        <is>
          <t>WFIRS-S</t>
        </is>
      </c>
      <c r="B1042" t="inlineStr">
        <is>
          <t>Weiss Functional Impairment Rating Scale, Self Report</t>
        </is>
      </c>
      <c r="C1042" t="inlineStr">
        <is>
          <t>8. Functioning and health</t>
        </is>
      </c>
      <c r="D1042" t="n">
        <v>59</v>
      </c>
      <c r="E1042" t="inlineStr">
        <is>
          <t>Breaking or damaging things</t>
        </is>
      </c>
      <c r="F1042" t="inlineStr">
        <is>
          <t>Risk</t>
        </is>
      </c>
      <c r="G1042" t="inlineStr">
        <is>
          <t>FALSE</t>
        </is>
      </c>
      <c r="H1042" t="inlineStr">
        <is>
          <t>FALSE</t>
        </is>
      </c>
      <c r="I1042" t="inlineStr">
        <is>
          <t>Never or not at all = 0 | Sometimes or somewhat = 1 | Often or much = 2 | Very often or very much = 3</t>
        </is>
      </c>
      <c r="J1042" t="inlineStr">
        <is>
          <t>Source label G4</t>
        </is>
      </c>
      <c r="K1042" t="inlineStr">
        <is>
          <t>https://www.ucc.ie/en/media/support/studenthealthservice/docs/ADHD-WeissFunctionalImpairmentScale.pdf</t>
        </is>
      </c>
    </row>
    <row r="1043">
      <c r="A1043" t="inlineStr">
        <is>
          <t>WFIRS-S</t>
        </is>
      </c>
      <c r="B1043" t="inlineStr">
        <is>
          <t>Weiss Functional Impairment Rating Scale, Self Report</t>
        </is>
      </c>
      <c r="C1043" t="inlineStr">
        <is>
          <t>8. Functioning and health</t>
        </is>
      </c>
      <c r="D1043" t="n">
        <v>60</v>
      </c>
      <c r="E1043" t="inlineStr">
        <is>
          <t>Doing things that are illegal</t>
        </is>
      </c>
      <c r="F1043" t="inlineStr">
        <is>
          <t>Risk</t>
        </is>
      </c>
      <c r="G1043" t="inlineStr">
        <is>
          <t>FALSE</t>
        </is>
      </c>
      <c r="H1043" t="inlineStr">
        <is>
          <t>FALSE</t>
        </is>
      </c>
      <c r="I1043" t="inlineStr">
        <is>
          <t>Never or not at all = 0 | Sometimes or somewhat = 1 | Often or much = 2 | Very often or very much = 3</t>
        </is>
      </c>
      <c r="J1043" t="inlineStr">
        <is>
          <t>Source label G5</t>
        </is>
      </c>
      <c r="K1043" t="inlineStr">
        <is>
          <t>https://www.ucc.ie/en/media/support/studenthealthservice/docs/ADHD-WeissFunctionalImpairmentScale.pdf</t>
        </is>
      </c>
    </row>
    <row r="1044">
      <c r="A1044" t="inlineStr">
        <is>
          <t>WFIRS-S</t>
        </is>
      </c>
      <c r="B1044" t="inlineStr">
        <is>
          <t>Weiss Functional Impairment Rating Scale, Self Report</t>
        </is>
      </c>
      <c r="C1044" t="inlineStr">
        <is>
          <t>8. Functioning and health</t>
        </is>
      </c>
      <c r="D1044" t="n">
        <v>61</v>
      </c>
      <c r="E1044" t="inlineStr">
        <is>
          <t>Being involved with the police</t>
        </is>
      </c>
      <c r="F1044" t="inlineStr">
        <is>
          <t>Risk</t>
        </is>
      </c>
      <c r="G1044" t="inlineStr">
        <is>
          <t>FALSE</t>
        </is>
      </c>
      <c r="H1044" t="inlineStr">
        <is>
          <t>FALSE</t>
        </is>
      </c>
      <c r="I1044" t="inlineStr">
        <is>
          <t>Never or not at all = 0 | Sometimes or somewhat = 1 | Often or much = 2 | Very often or very much = 3</t>
        </is>
      </c>
      <c r="J1044" t="inlineStr">
        <is>
          <t>Source label G6</t>
        </is>
      </c>
      <c r="K1044" t="inlineStr">
        <is>
          <t>https://www.ucc.ie/en/media/support/studenthealthservice/docs/ADHD-WeissFunctionalImpairmentScale.pdf</t>
        </is>
      </c>
    </row>
    <row r="1045">
      <c r="A1045" t="inlineStr">
        <is>
          <t>WFIRS-S</t>
        </is>
      </c>
      <c r="B1045" t="inlineStr">
        <is>
          <t>Weiss Functional Impairment Rating Scale, Self Report</t>
        </is>
      </c>
      <c r="C1045" t="inlineStr">
        <is>
          <t>8. Functioning and health</t>
        </is>
      </c>
      <c r="D1045" t="n">
        <v>62</v>
      </c>
      <c r="E1045" t="inlineStr">
        <is>
          <t>Smoking cigarettes</t>
        </is>
      </c>
      <c r="F1045" t="inlineStr">
        <is>
          <t>Risk</t>
        </is>
      </c>
      <c r="G1045" t="inlineStr">
        <is>
          <t>FALSE</t>
        </is>
      </c>
      <c r="H1045" t="inlineStr">
        <is>
          <t>FALSE</t>
        </is>
      </c>
      <c r="I1045" t="inlineStr">
        <is>
          <t>Never or not at all = 0 | Sometimes or somewhat = 1 | Often or much = 2 | Very often or very much = 3</t>
        </is>
      </c>
      <c r="J1045" t="inlineStr">
        <is>
          <t>Source label G7</t>
        </is>
      </c>
      <c r="K1045" t="inlineStr">
        <is>
          <t>https://www.ucc.ie/en/media/support/studenthealthservice/docs/ADHD-WeissFunctionalImpairmentScale.pdf</t>
        </is>
      </c>
    </row>
    <row r="1046">
      <c r="A1046" t="inlineStr">
        <is>
          <t>WFIRS-S</t>
        </is>
      </c>
      <c r="B1046" t="inlineStr">
        <is>
          <t>Weiss Functional Impairment Rating Scale, Self Report</t>
        </is>
      </c>
      <c r="C1046" t="inlineStr">
        <is>
          <t>8. Functioning and health</t>
        </is>
      </c>
      <c r="D1046" t="n">
        <v>63</v>
      </c>
      <c r="E1046" t="inlineStr">
        <is>
          <t>Smoking marijuana</t>
        </is>
      </c>
      <c r="F1046" t="inlineStr">
        <is>
          <t>Risk</t>
        </is>
      </c>
      <c r="G1046" t="inlineStr">
        <is>
          <t>FALSE</t>
        </is>
      </c>
      <c r="H1046" t="inlineStr">
        <is>
          <t>FALSE</t>
        </is>
      </c>
      <c r="I1046" t="inlineStr">
        <is>
          <t>Never or not at all = 0 | Sometimes or somewhat = 1 | Often or much = 2 | Very often or very much = 3</t>
        </is>
      </c>
      <c r="J1046" t="inlineStr">
        <is>
          <t>Source label G8</t>
        </is>
      </c>
      <c r="K1046" t="inlineStr">
        <is>
          <t>https://www.ucc.ie/en/media/support/studenthealthservice/docs/ADHD-WeissFunctionalImpairmentScale.pdf</t>
        </is>
      </c>
    </row>
    <row r="1047">
      <c r="A1047" t="inlineStr">
        <is>
          <t>WFIRS-S</t>
        </is>
      </c>
      <c r="B1047" t="inlineStr">
        <is>
          <t>Weiss Functional Impairment Rating Scale, Self Report</t>
        </is>
      </c>
      <c r="C1047" t="inlineStr">
        <is>
          <t>8. Functioning and health</t>
        </is>
      </c>
      <c r="D1047" t="n">
        <v>64</v>
      </c>
      <c r="E1047" t="inlineStr">
        <is>
          <t>Drinking alcohol</t>
        </is>
      </c>
      <c r="F1047" t="inlineStr">
        <is>
          <t>Risk</t>
        </is>
      </c>
      <c r="G1047" t="inlineStr">
        <is>
          <t>FALSE</t>
        </is>
      </c>
      <c r="H1047" t="inlineStr">
        <is>
          <t>FALSE</t>
        </is>
      </c>
      <c r="I1047" t="inlineStr">
        <is>
          <t>Never or not at all = 0 | Sometimes or somewhat = 1 | Often or much = 2 | Very often or very much = 3</t>
        </is>
      </c>
      <c r="J1047" t="inlineStr">
        <is>
          <t>Source label G9</t>
        </is>
      </c>
      <c r="K1047" t="inlineStr">
        <is>
          <t>https://www.ucc.ie/en/media/support/studenthealthservice/docs/ADHD-WeissFunctionalImpairmentScale.pdf</t>
        </is>
      </c>
    </row>
    <row r="1048">
      <c r="A1048" t="inlineStr">
        <is>
          <t>WFIRS-S</t>
        </is>
      </c>
      <c r="B1048" t="inlineStr">
        <is>
          <t>Weiss Functional Impairment Rating Scale, Self Report</t>
        </is>
      </c>
      <c r="C1048" t="inlineStr">
        <is>
          <t>8. Functioning and health</t>
        </is>
      </c>
      <c r="D1048" t="n">
        <v>65</v>
      </c>
      <c r="E1048" t="inlineStr">
        <is>
          <t>Taking "street" drugs</t>
        </is>
      </c>
      <c r="F1048" t="inlineStr">
        <is>
          <t>Risk</t>
        </is>
      </c>
      <c r="G1048" t="inlineStr">
        <is>
          <t>FALSE</t>
        </is>
      </c>
      <c r="H1048" t="inlineStr">
        <is>
          <t>FALSE</t>
        </is>
      </c>
      <c r="I1048" t="inlineStr">
        <is>
          <t>Never or not at all = 0 | Sometimes or somewhat = 1 | Often or much = 2 | Very often or very much = 3</t>
        </is>
      </c>
      <c r="J1048" t="inlineStr">
        <is>
          <t>Source label G10</t>
        </is>
      </c>
      <c r="K1048" t="inlineStr">
        <is>
          <t>https://www.ucc.ie/en/media/support/studenthealthservice/docs/ADHD-WeissFunctionalImpairmentScale.pdf</t>
        </is>
      </c>
    </row>
    <row r="1049">
      <c r="A1049" t="inlineStr">
        <is>
          <t>WFIRS-S</t>
        </is>
      </c>
      <c r="B1049" t="inlineStr">
        <is>
          <t>Weiss Functional Impairment Rating Scale, Self Report</t>
        </is>
      </c>
      <c r="C1049" t="inlineStr">
        <is>
          <t>8. Functioning and health</t>
        </is>
      </c>
      <c r="D1049" t="n">
        <v>66</v>
      </c>
      <c r="E1049" t="inlineStr">
        <is>
          <t>Sex without protection (birth control, condom)</t>
        </is>
      </c>
      <c r="F1049" t="inlineStr">
        <is>
          <t>Risk</t>
        </is>
      </c>
      <c r="G1049" t="inlineStr">
        <is>
          <t>FALSE</t>
        </is>
      </c>
      <c r="H1049" t="inlineStr">
        <is>
          <t>FALSE</t>
        </is>
      </c>
      <c r="I1049" t="inlineStr">
        <is>
          <t>Never or not at all = 0 | Sometimes or somewhat = 1 | Often or much = 2 | Very often or very much = 3</t>
        </is>
      </c>
      <c r="J1049" t="inlineStr">
        <is>
          <t>Source label G11</t>
        </is>
      </c>
      <c r="K1049" t="inlineStr">
        <is>
          <t>https://www.ucc.ie/en/media/support/studenthealthservice/docs/ADHD-WeissFunctionalImpairmentScale.pdf</t>
        </is>
      </c>
    </row>
    <row r="1050">
      <c r="A1050" t="inlineStr">
        <is>
          <t>WFIRS-S</t>
        </is>
      </c>
      <c r="B1050" t="inlineStr">
        <is>
          <t>Weiss Functional Impairment Rating Scale, Self Report</t>
        </is>
      </c>
      <c r="C1050" t="inlineStr">
        <is>
          <t>8. Functioning and health</t>
        </is>
      </c>
      <c r="D1050" t="n">
        <v>67</v>
      </c>
      <c r="E1050" t="inlineStr">
        <is>
          <t>Sexually inappropriate behaviour</t>
        </is>
      </c>
      <c r="F1050" t="inlineStr">
        <is>
          <t>Risk</t>
        </is>
      </c>
      <c r="G1050" t="inlineStr">
        <is>
          <t>FALSE</t>
        </is>
      </c>
      <c r="H1050" t="inlineStr">
        <is>
          <t>FALSE</t>
        </is>
      </c>
      <c r="I1050" t="inlineStr">
        <is>
          <t>Never or not at all = 0 | Sometimes or somewhat = 1 | Often or much = 2 | Very often or very much = 3</t>
        </is>
      </c>
      <c r="J1050" t="inlineStr">
        <is>
          <t>Source label G12</t>
        </is>
      </c>
      <c r="K1050" t="inlineStr">
        <is>
          <t>https://www.ucc.ie/en/media/support/studenthealthservice/docs/ADHD-WeissFunctionalImpairmentScale.pdf</t>
        </is>
      </c>
    </row>
    <row r="1051">
      <c r="A1051" t="inlineStr">
        <is>
          <t>WFIRS-S</t>
        </is>
      </c>
      <c r="B1051" t="inlineStr">
        <is>
          <t>Weiss Functional Impairment Rating Scale, Self Report</t>
        </is>
      </c>
      <c r="C1051" t="inlineStr">
        <is>
          <t>8. Functioning and health</t>
        </is>
      </c>
      <c r="D1051" t="n">
        <v>68</v>
      </c>
      <c r="E1051" t="inlineStr">
        <is>
          <t>Being physically aggressive</t>
        </is>
      </c>
      <c r="F1051" t="inlineStr">
        <is>
          <t>Risk</t>
        </is>
      </c>
      <c r="G1051" t="inlineStr">
        <is>
          <t>FALSE</t>
        </is>
      </c>
      <c r="H1051" t="inlineStr">
        <is>
          <t>FALSE</t>
        </is>
      </c>
      <c r="I1051" t="inlineStr">
        <is>
          <t>Never or not at all = 0 | Sometimes or somewhat = 1 | Often or much = 2 | Very often or very much = 3</t>
        </is>
      </c>
      <c r="J1051" t="inlineStr">
        <is>
          <t>Source label G13</t>
        </is>
      </c>
      <c r="K1051" t="inlineStr">
        <is>
          <t>https://www.ucc.ie/en/media/support/studenthealthservice/docs/ADHD-WeissFunctionalImpairmentScale.pdf</t>
        </is>
      </c>
    </row>
    <row r="1052">
      <c r="A1052" t="inlineStr">
        <is>
          <t>WFIRS-S</t>
        </is>
      </c>
      <c r="B1052" t="inlineStr">
        <is>
          <t>Weiss Functional Impairment Rating Scale, Self Report</t>
        </is>
      </c>
      <c r="C1052" t="inlineStr">
        <is>
          <t>8. Functioning and health</t>
        </is>
      </c>
      <c r="D1052" t="n">
        <v>69</v>
      </c>
      <c r="E1052" t="inlineStr">
        <is>
          <t>Being verbally aggressive</t>
        </is>
      </c>
      <c r="F1052" t="inlineStr">
        <is>
          <t>Risk</t>
        </is>
      </c>
      <c r="G1052" t="inlineStr">
        <is>
          <t>FALSE</t>
        </is>
      </c>
      <c r="H1052" t="inlineStr">
        <is>
          <t>FALSE</t>
        </is>
      </c>
      <c r="I1052" t="inlineStr">
        <is>
          <t>Never or not at all = 0 | Sometimes or somewhat = 1 | Often or much = 2 | Very often or very much = 3</t>
        </is>
      </c>
      <c r="J1052" t="inlineStr">
        <is>
          <t>Source label G14</t>
        </is>
      </c>
      <c r="K1052" t="inlineStr">
        <is>
          <t>https://www.ucc.ie/en/media/support/studenthealthservice/docs/ADHD-WeissFunctionalImpairmentScale.pdf</t>
        </is>
      </c>
    </row>
    <row r="1053">
      <c r="A1053" t="inlineStr">
        <is>
          <t>WHO-5</t>
        </is>
      </c>
      <c r="B1053" t="inlineStr">
        <is>
          <t>WHO-5 Well-Being Index</t>
        </is>
      </c>
      <c r="C1053" t="inlineStr">
        <is>
          <t>7. Wellbeing and life satisfaction</t>
        </is>
      </c>
      <c r="D1053" t="n">
        <v>1</v>
      </c>
      <c r="E1053" t="inlineStr">
        <is>
          <t>Over the past two weeks ... I have felt cheerful in good spirits.</t>
        </is>
      </c>
      <c r="F1053" t="inlineStr">
        <is>
          <t>Total</t>
        </is>
      </c>
      <c r="G1053" t="inlineStr">
        <is>
          <t>FALSE</t>
        </is>
      </c>
      <c r="H1053" t="inlineStr">
        <is>
          <t>FALSE</t>
        </is>
      </c>
      <c r="I1053" t="inlineStr">
        <is>
          <t>All of the time = 5 | Most of the time = 4 | More than half the time = 3 | Less than half the time = 2 | Some of the time = 1 | At no time = 0</t>
        </is>
      </c>
      <c r="J1053" t="inlineStr">
        <is>
          <t>PsyToolkit omits 'and'; the WHO original and Te Pou read 'I have felt cheerful and in good spirits.'</t>
        </is>
      </c>
      <c r="K1053" t="inlineStr">
        <is>
          <t>https://www.psytoolkit.org/survey-library/who5.html</t>
        </is>
      </c>
    </row>
    <row r="1054">
      <c r="A1054" t="inlineStr">
        <is>
          <t>WHO-5</t>
        </is>
      </c>
      <c r="B1054" t="inlineStr">
        <is>
          <t>WHO-5 Well-Being Index</t>
        </is>
      </c>
      <c r="C1054" t="inlineStr">
        <is>
          <t>7. Wellbeing and life satisfaction</t>
        </is>
      </c>
      <c r="D1054" t="n">
        <v>2</v>
      </c>
      <c r="E1054" t="inlineStr">
        <is>
          <t>Over the past two weeks ... I have felt calm and relaxed.</t>
        </is>
      </c>
      <c r="F1054" t="inlineStr">
        <is>
          <t>Total</t>
        </is>
      </c>
      <c r="G1054" t="inlineStr">
        <is>
          <t>FALSE</t>
        </is>
      </c>
      <c r="H1054" t="inlineStr">
        <is>
          <t>FALSE</t>
        </is>
      </c>
      <c r="I1054" t="inlineStr">
        <is>
          <t>All of the time = 5 | Most of the time = 4 | More than half the time = 3 | Less than half the time = 2 | Some of the time = 1 | At no time = 0</t>
        </is>
      </c>
      <c r="K1054" t="inlineStr">
        <is>
          <t>https://www.psytoolkit.org/survey-library/who5.html</t>
        </is>
      </c>
    </row>
    <row r="1055">
      <c r="A1055" t="inlineStr">
        <is>
          <t>WHO-5</t>
        </is>
      </c>
      <c r="B1055" t="inlineStr">
        <is>
          <t>WHO-5 Well-Being Index</t>
        </is>
      </c>
      <c r="C1055" t="inlineStr">
        <is>
          <t>7. Wellbeing and life satisfaction</t>
        </is>
      </c>
      <c r="D1055" t="n">
        <v>3</v>
      </c>
      <c r="E1055" t="inlineStr">
        <is>
          <t>Over the past two weeks ... I have felt active and vigorous.</t>
        </is>
      </c>
      <c r="F1055" t="inlineStr">
        <is>
          <t>Total</t>
        </is>
      </c>
      <c r="G1055" t="inlineStr">
        <is>
          <t>FALSE</t>
        </is>
      </c>
      <c r="H1055" t="inlineStr">
        <is>
          <t>FALSE</t>
        </is>
      </c>
      <c r="I1055" t="inlineStr">
        <is>
          <t>All of the time = 5 | Most of the time = 4 | More than half the time = 3 | Less than half the time = 2 | Some of the time = 1 | At no time = 0</t>
        </is>
      </c>
      <c r="K1055" t="inlineStr">
        <is>
          <t>https://www.psytoolkit.org/survey-library/who5.html</t>
        </is>
      </c>
    </row>
    <row r="1056">
      <c r="A1056" t="inlineStr">
        <is>
          <t>WHO-5</t>
        </is>
      </c>
      <c r="B1056" t="inlineStr">
        <is>
          <t>WHO-5 Well-Being Index</t>
        </is>
      </c>
      <c r="C1056" t="inlineStr">
        <is>
          <t>7. Wellbeing and life satisfaction</t>
        </is>
      </c>
      <c r="D1056" t="n">
        <v>4</v>
      </c>
      <c r="E1056" t="inlineStr">
        <is>
          <t>Over the past two weeks ... I woke up feeling fresh and rested.</t>
        </is>
      </c>
      <c r="F1056" t="inlineStr">
        <is>
          <t>Total</t>
        </is>
      </c>
      <c r="G1056" t="inlineStr">
        <is>
          <t>FALSE</t>
        </is>
      </c>
      <c r="H1056" t="inlineStr">
        <is>
          <t>FALSE</t>
        </is>
      </c>
      <c r="I1056" t="inlineStr">
        <is>
          <t>All of the time = 5 | Most of the time = 4 | More than half the time = 3 | Less than half the time = 2 | Some of the time = 1 | At no time = 0</t>
        </is>
      </c>
      <c r="K1056" t="inlineStr">
        <is>
          <t>https://www.psytoolkit.org/survey-library/who5.html</t>
        </is>
      </c>
    </row>
    <row r="1057">
      <c r="A1057" t="inlineStr">
        <is>
          <t>WHO-5</t>
        </is>
      </c>
      <c r="B1057" t="inlineStr">
        <is>
          <t>WHO-5 Well-Being Index</t>
        </is>
      </c>
      <c r="C1057" t="inlineStr">
        <is>
          <t>7. Wellbeing and life satisfaction</t>
        </is>
      </c>
      <c r="D1057" t="n">
        <v>5</v>
      </c>
      <c r="E1057" t="inlineStr">
        <is>
          <t>Over the past two weeks ... My daily life has been filled with things that interest me.</t>
        </is>
      </c>
      <c r="F1057" t="inlineStr">
        <is>
          <t>Total</t>
        </is>
      </c>
      <c r="G1057" t="inlineStr">
        <is>
          <t>FALSE</t>
        </is>
      </c>
      <c r="H1057" t="inlineStr">
        <is>
          <t>FALSE</t>
        </is>
      </c>
      <c r="I1057" t="inlineStr">
        <is>
          <t>All of the time = 5 | Most of the time = 4 | More than half the time = 3 | Less than half the time = 2 | Some of the time = 1 | At no time = 0</t>
        </is>
      </c>
      <c r="K1057" t="inlineStr">
        <is>
          <t>https://www.psytoolkit.org/survey-library/who5.html</t>
        </is>
      </c>
    </row>
    <row r="1058">
      <c r="A1058" t="inlineStr">
        <is>
          <t>WHODAS-36</t>
        </is>
      </c>
      <c r="B1058" t="inlineStr">
        <is>
          <t>WHO Disability Assessment Schedule 2.0, 36 item self administered</t>
        </is>
      </c>
      <c r="C1058" t="inlineStr">
        <is>
          <t>8. Functioning and health</t>
        </is>
      </c>
      <c r="D1058" t="n">
        <v>1</v>
      </c>
      <c r="E1058" t="inlineStr">
        <is>
          <t>Concentrating on doing something for ten minutes?</t>
        </is>
      </c>
      <c r="F1058" t="inlineStr">
        <is>
          <t>Understanding and communicating</t>
        </is>
      </c>
      <c r="G1058" t="inlineStr">
        <is>
          <t>FALSE</t>
        </is>
      </c>
      <c r="H1058" t="inlineStr">
        <is>
          <t>FALSE</t>
        </is>
      </c>
      <c r="I1058" t="inlineStr">
        <is>
          <t>None = 1 | Mild = 2 | Moderate = 3 | Severe = 4 | Extreme or cannot do = 5</t>
        </is>
      </c>
      <c r="J1058" t="inlineStr">
        <is>
          <t>Item code D1.1</t>
        </is>
      </c>
      <c r="K1058" t="inlineStr">
        <is>
          <t>https://www.psychiatry.org/getmedia/5f4794de-8d66-4434-99f3-784a3fd1e567/APA-DSM5TR-WHODAS2SelfAdministered.pdf</t>
        </is>
      </c>
    </row>
    <row r="1059">
      <c r="A1059" t="inlineStr">
        <is>
          <t>WHODAS-36</t>
        </is>
      </c>
      <c r="B1059" t="inlineStr">
        <is>
          <t>WHO Disability Assessment Schedule 2.0, 36 item self administered</t>
        </is>
      </c>
      <c r="C1059" t="inlineStr">
        <is>
          <t>8. Functioning and health</t>
        </is>
      </c>
      <c r="D1059" t="n">
        <v>2</v>
      </c>
      <c r="E1059" t="inlineStr">
        <is>
          <t>Remembering to do important things?</t>
        </is>
      </c>
      <c r="F1059" t="inlineStr">
        <is>
          <t>Understanding and communicating</t>
        </is>
      </c>
      <c r="G1059" t="inlineStr">
        <is>
          <t>FALSE</t>
        </is>
      </c>
      <c r="H1059" t="inlineStr">
        <is>
          <t>FALSE</t>
        </is>
      </c>
      <c r="I1059" t="inlineStr">
        <is>
          <t>None = 1 | Mild = 2 | Moderate = 3 | Severe = 4 | Extreme or cannot do = 5</t>
        </is>
      </c>
      <c r="J1059" t="inlineStr">
        <is>
          <t>Item code D1.2</t>
        </is>
      </c>
      <c r="K1059" t="inlineStr">
        <is>
          <t>https://www.psychiatry.org/getmedia/5f4794de-8d66-4434-99f3-784a3fd1e567/APA-DSM5TR-WHODAS2SelfAdministered.pdf</t>
        </is>
      </c>
    </row>
    <row r="1060">
      <c r="A1060" t="inlineStr">
        <is>
          <t>WHODAS-36</t>
        </is>
      </c>
      <c r="B1060" t="inlineStr">
        <is>
          <t>WHO Disability Assessment Schedule 2.0, 36 item self administered</t>
        </is>
      </c>
      <c r="C1060" t="inlineStr">
        <is>
          <t>8. Functioning and health</t>
        </is>
      </c>
      <c r="D1060" t="n">
        <v>3</v>
      </c>
      <c r="E1060" t="inlineStr">
        <is>
          <t>Analyzing and finding solutions to problems in day-to-day life?</t>
        </is>
      </c>
      <c r="F1060" t="inlineStr">
        <is>
          <t>Understanding and communicating</t>
        </is>
      </c>
      <c r="G1060" t="inlineStr">
        <is>
          <t>FALSE</t>
        </is>
      </c>
      <c r="H1060" t="inlineStr">
        <is>
          <t>FALSE</t>
        </is>
      </c>
      <c r="I1060" t="inlineStr">
        <is>
          <t>None = 1 | Mild = 2 | Moderate = 3 | Severe = 4 | Extreme or cannot do = 5</t>
        </is>
      </c>
      <c r="J1060" t="inlineStr">
        <is>
          <t>Item code D1.3</t>
        </is>
      </c>
      <c r="K1060" t="inlineStr">
        <is>
          <t>https://www.psychiatry.org/getmedia/5f4794de-8d66-4434-99f3-784a3fd1e567/APA-DSM5TR-WHODAS2SelfAdministered.pdf</t>
        </is>
      </c>
    </row>
    <row r="1061">
      <c r="A1061" t="inlineStr">
        <is>
          <t>WHODAS-36</t>
        </is>
      </c>
      <c r="B1061" t="inlineStr">
        <is>
          <t>WHO Disability Assessment Schedule 2.0, 36 item self administered</t>
        </is>
      </c>
      <c r="C1061" t="inlineStr">
        <is>
          <t>8. Functioning and health</t>
        </is>
      </c>
      <c r="D1061" t="n">
        <v>4</v>
      </c>
      <c r="E1061" t="inlineStr">
        <is>
          <t>Learning a new task, for example, learning how to get to a new place?</t>
        </is>
      </c>
      <c r="F1061" t="inlineStr">
        <is>
          <t>Understanding and communicating</t>
        </is>
      </c>
      <c r="G1061" t="inlineStr">
        <is>
          <t>FALSE</t>
        </is>
      </c>
      <c r="H1061" t="inlineStr">
        <is>
          <t>FALSE</t>
        </is>
      </c>
      <c r="I1061" t="inlineStr">
        <is>
          <t>None = 1 | Mild = 2 | Moderate = 3 | Severe = 4 | Extreme or cannot do = 5</t>
        </is>
      </c>
      <c r="J1061" t="inlineStr">
        <is>
          <t>Item code D1.4</t>
        </is>
      </c>
      <c r="K1061" t="inlineStr">
        <is>
          <t>https://www.psychiatry.org/getmedia/5f4794de-8d66-4434-99f3-784a3fd1e567/APA-DSM5TR-WHODAS2SelfAdministered.pdf</t>
        </is>
      </c>
    </row>
    <row r="1062">
      <c r="A1062" t="inlineStr">
        <is>
          <t>WHODAS-36</t>
        </is>
      </c>
      <c r="B1062" t="inlineStr">
        <is>
          <t>WHO Disability Assessment Schedule 2.0, 36 item self administered</t>
        </is>
      </c>
      <c r="C1062" t="inlineStr">
        <is>
          <t>8. Functioning and health</t>
        </is>
      </c>
      <c r="D1062" t="n">
        <v>5</v>
      </c>
      <c r="E1062" t="inlineStr">
        <is>
          <t>Generally understanding what people say?</t>
        </is>
      </c>
      <c r="F1062" t="inlineStr">
        <is>
          <t>Understanding and communicating</t>
        </is>
      </c>
      <c r="G1062" t="inlineStr">
        <is>
          <t>FALSE</t>
        </is>
      </c>
      <c r="H1062" t="inlineStr">
        <is>
          <t>FALSE</t>
        </is>
      </c>
      <c r="I1062" t="inlineStr">
        <is>
          <t>None = 1 | Mild = 2 | Moderate = 3 | Severe = 4 | Extreme or cannot do = 5</t>
        </is>
      </c>
      <c r="J1062" t="inlineStr">
        <is>
          <t>Item code D1.5</t>
        </is>
      </c>
      <c r="K1062" t="inlineStr">
        <is>
          <t>https://www.psychiatry.org/getmedia/5f4794de-8d66-4434-99f3-784a3fd1e567/APA-DSM5TR-WHODAS2SelfAdministered.pdf</t>
        </is>
      </c>
    </row>
    <row r="1063">
      <c r="A1063" t="inlineStr">
        <is>
          <t>WHODAS-36</t>
        </is>
      </c>
      <c r="B1063" t="inlineStr">
        <is>
          <t>WHO Disability Assessment Schedule 2.0, 36 item self administered</t>
        </is>
      </c>
      <c r="C1063" t="inlineStr">
        <is>
          <t>8. Functioning and health</t>
        </is>
      </c>
      <c r="D1063" t="n">
        <v>6</v>
      </c>
      <c r="E1063" t="inlineStr">
        <is>
          <t>Starting and maintaining a conversation?</t>
        </is>
      </c>
      <c r="F1063" t="inlineStr">
        <is>
          <t>Understanding and communicating</t>
        </is>
      </c>
      <c r="G1063" t="inlineStr">
        <is>
          <t>FALSE</t>
        </is>
      </c>
      <c r="H1063" t="inlineStr">
        <is>
          <t>FALSE</t>
        </is>
      </c>
      <c r="I1063" t="inlineStr">
        <is>
          <t>None = 1 | Mild = 2 | Moderate = 3 | Severe = 4 | Extreme or cannot do = 5</t>
        </is>
      </c>
      <c r="J1063" t="inlineStr">
        <is>
          <t>Item code D1.6</t>
        </is>
      </c>
      <c r="K1063" t="inlineStr">
        <is>
          <t>https://www.psychiatry.org/getmedia/5f4794de-8d66-4434-99f3-784a3fd1e567/APA-DSM5TR-WHODAS2SelfAdministered.pdf</t>
        </is>
      </c>
    </row>
    <row r="1064">
      <c r="A1064" t="inlineStr">
        <is>
          <t>WHODAS-36</t>
        </is>
      </c>
      <c r="B1064" t="inlineStr">
        <is>
          <t>WHO Disability Assessment Schedule 2.0, 36 item self administered</t>
        </is>
      </c>
      <c r="C1064" t="inlineStr">
        <is>
          <t>8. Functioning and health</t>
        </is>
      </c>
      <c r="D1064" t="n">
        <v>7</v>
      </c>
      <c r="E1064" t="inlineStr">
        <is>
          <t>Standing for long periods, such as 30 minutes?</t>
        </is>
      </c>
      <c r="F1064" t="inlineStr">
        <is>
          <t>Getting around</t>
        </is>
      </c>
      <c r="G1064" t="inlineStr">
        <is>
          <t>FALSE</t>
        </is>
      </c>
      <c r="H1064" t="inlineStr">
        <is>
          <t>FALSE</t>
        </is>
      </c>
      <c r="I1064" t="inlineStr">
        <is>
          <t>None = 1 | Mild = 2 | Moderate = 3 | Severe = 4 | Extreme or cannot do = 5</t>
        </is>
      </c>
      <c r="J1064" t="inlineStr">
        <is>
          <t>Item code D2.1</t>
        </is>
      </c>
      <c r="K1064" t="inlineStr">
        <is>
          <t>https://www.psychiatry.org/getmedia/5f4794de-8d66-4434-99f3-784a3fd1e567/APA-DSM5TR-WHODAS2SelfAdministered.pdf</t>
        </is>
      </c>
    </row>
    <row r="1065">
      <c r="A1065" t="inlineStr">
        <is>
          <t>WHODAS-36</t>
        </is>
      </c>
      <c r="B1065" t="inlineStr">
        <is>
          <t>WHO Disability Assessment Schedule 2.0, 36 item self administered</t>
        </is>
      </c>
      <c r="C1065" t="inlineStr">
        <is>
          <t>8. Functioning and health</t>
        </is>
      </c>
      <c r="D1065" t="n">
        <v>8</v>
      </c>
      <c r="E1065" t="inlineStr">
        <is>
          <t>Standing up from sitting down?</t>
        </is>
      </c>
      <c r="F1065" t="inlineStr">
        <is>
          <t>Getting around</t>
        </is>
      </c>
      <c r="G1065" t="inlineStr">
        <is>
          <t>FALSE</t>
        </is>
      </c>
      <c r="H1065" t="inlineStr">
        <is>
          <t>FALSE</t>
        </is>
      </c>
      <c r="I1065" t="inlineStr">
        <is>
          <t>None = 1 | Mild = 2 | Moderate = 3 | Severe = 4 | Extreme or cannot do = 5</t>
        </is>
      </c>
      <c r="J1065" t="inlineStr">
        <is>
          <t>Item code D2.2</t>
        </is>
      </c>
      <c r="K1065" t="inlineStr">
        <is>
          <t>https://www.psychiatry.org/getmedia/5f4794de-8d66-4434-99f3-784a3fd1e567/APA-DSM5TR-WHODAS2SelfAdministered.pdf</t>
        </is>
      </c>
    </row>
    <row r="1066">
      <c r="A1066" t="inlineStr">
        <is>
          <t>WHODAS-36</t>
        </is>
      </c>
      <c r="B1066" t="inlineStr">
        <is>
          <t>WHO Disability Assessment Schedule 2.0, 36 item self administered</t>
        </is>
      </c>
      <c r="C1066" t="inlineStr">
        <is>
          <t>8. Functioning and health</t>
        </is>
      </c>
      <c r="D1066" t="n">
        <v>9</v>
      </c>
      <c r="E1066" t="inlineStr">
        <is>
          <t>Moving around inside your home?</t>
        </is>
      </c>
      <c r="F1066" t="inlineStr">
        <is>
          <t>Getting around</t>
        </is>
      </c>
      <c r="G1066" t="inlineStr">
        <is>
          <t>FALSE</t>
        </is>
      </c>
      <c r="H1066" t="inlineStr">
        <is>
          <t>FALSE</t>
        </is>
      </c>
      <c r="I1066" t="inlineStr">
        <is>
          <t>None = 1 | Mild = 2 | Moderate = 3 | Severe = 4 | Extreme or cannot do = 5</t>
        </is>
      </c>
      <c r="J1066" t="inlineStr">
        <is>
          <t>Item code D2.3</t>
        </is>
      </c>
      <c r="K1066" t="inlineStr">
        <is>
          <t>https://www.psychiatry.org/getmedia/5f4794de-8d66-4434-99f3-784a3fd1e567/APA-DSM5TR-WHODAS2SelfAdministered.pdf</t>
        </is>
      </c>
    </row>
    <row r="1067">
      <c r="A1067" t="inlineStr">
        <is>
          <t>WHODAS-36</t>
        </is>
      </c>
      <c r="B1067" t="inlineStr">
        <is>
          <t>WHO Disability Assessment Schedule 2.0, 36 item self administered</t>
        </is>
      </c>
      <c r="C1067" t="inlineStr">
        <is>
          <t>8. Functioning and health</t>
        </is>
      </c>
      <c r="D1067" t="n">
        <v>10</v>
      </c>
      <c r="E1067" t="inlineStr">
        <is>
          <t>Getting out of your home?</t>
        </is>
      </c>
      <c r="F1067" t="inlineStr">
        <is>
          <t>Getting around</t>
        </is>
      </c>
      <c r="G1067" t="inlineStr">
        <is>
          <t>FALSE</t>
        </is>
      </c>
      <c r="H1067" t="inlineStr">
        <is>
          <t>FALSE</t>
        </is>
      </c>
      <c r="I1067" t="inlineStr">
        <is>
          <t>None = 1 | Mild = 2 | Moderate = 3 | Severe = 4 | Extreme or cannot do = 5</t>
        </is>
      </c>
      <c r="J1067" t="inlineStr">
        <is>
          <t>Item code D2.4</t>
        </is>
      </c>
      <c r="K1067" t="inlineStr">
        <is>
          <t>https://www.psychiatry.org/getmedia/5f4794de-8d66-4434-99f3-784a3fd1e567/APA-DSM5TR-WHODAS2SelfAdministered.pdf</t>
        </is>
      </c>
    </row>
    <row r="1068">
      <c r="A1068" t="inlineStr">
        <is>
          <t>WHODAS-36</t>
        </is>
      </c>
      <c r="B1068" t="inlineStr">
        <is>
          <t>WHO Disability Assessment Schedule 2.0, 36 item self administered</t>
        </is>
      </c>
      <c r="C1068" t="inlineStr">
        <is>
          <t>8. Functioning and health</t>
        </is>
      </c>
      <c r="D1068" t="n">
        <v>11</v>
      </c>
      <c r="E1068" t="inlineStr">
        <is>
          <t>Walking a long distance, such as a kilometer (or equivalent)?</t>
        </is>
      </c>
      <c r="F1068" t="inlineStr">
        <is>
          <t>Getting around</t>
        </is>
      </c>
      <c r="G1068" t="inlineStr">
        <is>
          <t>FALSE</t>
        </is>
      </c>
      <c r="H1068" t="inlineStr">
        <is>
          <t>FALSE</t>
        </is>
      </c>
      <c r="I1068" t="inlineStr">
        <is>
          <t>None = 1 | Mild = 2 | Moderate = 3 | Severe = 4 | Extreme or cannot do = 5</t>
        </is>
      </c>
      <c r="J1068" t="inlineStr">
        <is>
          <t>Item code D2.5</t>
        </is>
      </c>
      <c r="K1068" t="inlineStr">
        <is>
          <t>https://www.psychiatry.org/getmedia/5f4794de-8d66-4434-99f3-784a3fd1e567/APA-DSM5TR-WHODAS2SelfAdministered.pdf</t>
        </is>
      </c>
    </row>
    <row r="1069">
      <c r="A1069" t="inlineStr">
        <is>
          <t>WHODAS-36</t>
        </is>
      </c>
      <c r="B1069" t="inlineStr">
        <is>
          <t>WHO Disability Assessment Schedule 2.0, 36 item self administered</t>
        </is>
      </c>
      <c r="C1069" t="inlineStr">
        <is>
          <t>8. Functioning and health</t>
        </is>
      </c>
      <c r="D1069" t="n">
        <v>12</v>
      </c>
      <c r="E1069" t="inlineStr">
        <is>
          <t>Washing your whole body?</t>
        </is>
      </c>
      <c r="F1069" t="inlineStr">
        <is>
          <t>Self-care</t>
        </is>
      </c>
      <c r="G1069" t="inlineStr">
        <is>
          <t>FALSE</t>
        </is>
      </c>
      <c r="H1069" t="inlineStr">
        <is>
          <t>FALSE</t>
        </is>
      </c>
      <c r="I1069" t="inlineStr">
        <is>
          <t>None = 1 | Mild = 2 | Moderate = 3 | Severe = 4 | Extreme or cannot do = 5</t>
        </is>
      </c>
      <c r="J1069" t="inlineStr">
        <is>
          <t>Item code D3.1</t>
        </is>
      </c>
      <c r="K1069" t="inlineStr">
        <is>
          <t>https://www.psychiatry.org/getmedia/5f4794de-8d66-4434-99f3-784a3fd1e567/APA-DSM5TR-WHODAS2SelfAdministered.pdf</t>
        </is>
      </c>
    </row>
    <row r="1070">
      <c r="A1070" t="inlineStr">
        <is>
          <t>WHODAS-36</t>
        </is>
      </c>
      <c r="B1070" t="inlineStr">
        <is>
          <t>WHO Disability Assessment Schedule 2.0, 36 item self administered</t>
        </is>
      </c>
      <c r="C1070" t="inlineStr">
        <is>
          <t>8. Functioning and health</t>
        </is>
      </c>
      <c r="D1070" t="n">
        <v>13</v>
      </c>
      <c r="E1070" t="inlineStr">
        <is>
          <t>Getting dressed?</t>
        </is>
      </c>
      <c r="F1070" t="inlineStr">
        <is>
          <t>Self-care</t>
        </is>
      </c>
      <c r="G1070" t="inlineStr">
        <is>
          <t>FALSE</t>
        </is>
      </c>
      <c r="H1070" t="inlineStr">
        <is>
          <t>FALSE</t>
        </is>
      </c>
      <c r="I1070" t="inlineStr">
        <is>
          <t>None = 1 | Mild = 2 | Moderate = 3 | Severe = 4 | Extreme or cannot do = 5</t>
        </is>
      </c>
      <c r="J1070" t="inlineStr">
        <is>
          <t>Item code D3.2</t>
        </is>
      </c>
      <c r="K1070" t="inlineStr">
        <is>
          <t>https://www.psychiatry.org/getmedia/5f4794de-8d66-4434-99f3-784a3fd1e567/APA-DSM5TR-WHODAS2SelfAdministered.pdf</t>
        </is>
      </c>
    </row>
    <row r="1071">
      <c r="A1071" t="inlineStr">
        <is>
          <t>WHODAS-36</t>
        </is>
      </c>
      <c r="B1071" t="inlineStr">
        <is>
          <t>WHO Disability Assessment Schedule 2.0, 36 item self administered</t>
        </is>
      </c>
      <c r="C1071" t="inlineStr">
        <is>
          <t>8. Functioning and health</t>
        </is>
      </c>
      <c r="D1071" t="n">
        <v>14</v>
      </c>
      <c r="E1071" t="inlineStr">
        <is>
          <t>Eating?</t>
        </is>
      </c>
      <c r="F1071" t="inlineStr">
        <is>
          <t>Self-care</t>
        </is>
      </c>
      <c r="G1071" t="inlineStr">
        <is>
          <t>FALSE</t>
        </is>
      </c>
      <c r="H1071" t="inlineStr">
        <is>
          <t>FALSE</t>
        </is>
      </c>
      <c r="I1071" t="inlineStr">
        <is>
          <t>None = 1 | Mild = 2 | Moderate = 3 | Severe = 4 | Extreme or cannot do = 5</t>
        </is>
      </c>
      <c r="J1071" t="inlineStr">
        <is>
          <t>Item code D3.3</t>
        </is>
      </c>
      <c r="K1071" t="inlineStr">
        <is>
          <t>https://www.psychiatry.org/getmedia/5f4794de-8d66-4434-99f3-784a3fd1e567/APA-DSM5TR-WHODAS2SelfAdministered.pdf</t>
        </is>
      </c>
    </row>
    <row r="1072">
      <c r="A1072" t="inlineStr">
        <is>
          <t>WHODAS-36</t>
        </is>
      </c>
      <c r="B1072" t="inlineStr">
        <is>
          <t>WHO Disability Assessment Schedule 2.0, 36 item self administered</t>
        </is>
      </c>
      <c r="C1072" t="inlineStr">
        <is>
          <t>8. Functioning and health</t>
        </is>
      </c>
      <c r="D1072" t="n">
        <v>15</v>
      </c>
      <c r="E1072" t="inlineStr">
        <is>
          <t>Staying by yourself for a few days?</t>
        </is>
      </c>
      <c r="F1072" t="inlineStr">
        <is>
          <t>Self-care</t>
        </is>
      </c>
      <c r="G1072" t="inlineStr">
        <is>
          <t>FALSE</t>
        </is>
      </c>
      <c r="H1072" t="inlineStr">
        <is>
          <t>FALSE</t>
        </is>
      </c>
      <c r="I1072" t="inlineStr">
        <is>
          <t>None = 1 | Mild = 2 | Moderate = 3 | Severe = 4 | Extreme or cannot do = 5</t>
        </is>
      </c>
      <c r="J1072" t="inlineStr">
        <is>
          <t>Item code D3.4</t>
        </is>
      </c>
      <c r="K1072" t="inlineStr">
        <is>
          <t>https://www.psychiatry.org/getmedia/5f4794de-8d66-4434-99f3-784a3fd1e567/APA-DSM5TR-WHODAS2SelfAdministered.pdf</t>
        </is>
      </c>
    </row>
    <row r="1073">
      <c r="A1073" t="inlineStr">
        <is>
          <t>WHODAS-36</t>
        </is>
      </c>
      <c r="B1073" t="inlineStr">
        <is>
          <t>WHO Disability Assessment Schedule 2.0, 36 item self administered</t>
        </is>
      </c>
      <c r="C1073" t="inlineStr">
        <is>
          <t>8. Functioning and health</t>
        </is>
      </c>
      <c r="D1073" t="n">
        <v>16</v>
      </c>
      <c r="E1073" t="inlineStr">
        <is>
          <t>Dealing with people you do not know?</t>
        </is>
      </c>
      <c r="F1073" t="inlineStr">
        <is>
          <t>Getting along with people</t>
        </is>
      </c>
      <c r="G1073" t="inlineStr">
        <is>
          <t>FALSE</t>
        </is>
      </c>
      <c r="H1073" t="inlineStr">
        <is>
          <t>FALSE</t>
        </is>
      </c>
      <c r="I1073" t="inlineStr">
        <is>
          <t>None = 1 | Mild = 2 | Moderate = 3 | Severe = 4 | Extreme or cannot do = 5</t>
        </is>
      </c>
      <c r="J1073" t="inlineStr">
        <is>
          <t>Item code D4.1</t>
        </is>
      </c>
      <c r="K1073" t="inlineStr">
        <is>
          <t>https://www.psychiatry.org/getmedia/5f4794de-8d66-4434-99f3-784a3fd1e567/APA-DSM5TR-WHODAS2SelfAdministered.pdf</t>
        </is>
      </c>
    </row>
    <row r="1074">
      <c r="A1074" t="inlineStr">
        <is>
          <t>WHODAS-36</t>
        </is>
      </c>
      <c r="B1074" t="inlineStr">
        <is>
          <t>WHO Disability Assessment Schedule 2.0, 36 item self administered</t>
        </is>
      </c>
      <c r="C1074" t="inlineStr">
        <is>
          <t>8. Functioning and health</t>
        </is>
      </c>
      <c r="D1074" t="n">
        <v>17</v>
      </c>
      <c r="E1074" t="inlineStr">
        <is>
          <t>Maintaining a friendship?</t>
        </is>
      </c>
      <c r="F1074" t="inlineStr">
        <is>
          <t>Getting along with people</t>
        </is>
      </c>
      <c r="G1074" t="inlineStr">
        <is>
          <t>FALSE</t>
        </is>
      </c>
      <c r="H1074" t="inlineStr">
        <is>
          <t>FALSE</t>
        </is>
      </c>
      <c r="I1074" t="inlineStr">
        <is>
          <t>None = 1 | Mild = 2 | Moderate = 3 | Severe = 4 | Extreme or cannot do = 5</t>
        </is>
      </c>
      <c r="J1074" t="inlineStr">
        <is>
          <t>Item code D4.2</t>
        </is>
      </c>
      <c r="K1074" t="inlineStr">
        <is>
          <t>https://www.psychiatry.org/getmedia/5f4794de-8d66-4434-99f3-784a3fd1e567/APA-DSM5TR-WHODAS2SelfAdministered.pdf</t>
        </is>
      </c>
    </row>
    <row r="1075">
      <c r="A1075" t="inlineStr">
        <is>
          <t>WHODAS-36</t>
        </is>
      </c>
      <c r="B1075" t="inlineStr">
        <is>
          <t>WHO Disability Assessment Schedule 2.0, 36 item self administered</t>
        </is>
      </c>
      <c r="C1075" t="inlineStr">
        <is>
          <t>8. Functioning and health</t>
        </is>
      </c>
      <c r="D1075" t="n">
        <v>18</v>
      </c>
      <c r="E1075" t="inlineStr">
        <is>
          <t>Getting along with people who are close to you?</t>
        </is>
      </c>
      <c r="F1075" t="inlineStr">
        <is>
          <t>Getting along with people</t>
        </is>
      </c>
      <c r="G1075" t="inlineStr">
        <is>
          <t>FALSE</t>
        </is>
      </c>
      <c r="H1075" t="inlineStr">
        <is>
          <t>FALSE</t>
        </is>
      </c>
      <c r="I1075" t="inlineStr">
        <is>
          <t>None = 1 | Mild = 2 | Moderate = 3 | Severe = 4 | Extreme or cannot do = 5</t>
        </is>
      </c>
      <c r="J1075" t="inlineStr">
        <is>
          <t>Item code D4.3</t>
        </is>
      </c>
      <c r="K1075" t="inlineStr">
        <is>
          <t>https://www.psychiatry.org/getmedia/5f4794de-8d66-4434-99f3-784a3fd1e567/APA-DSM5TR-WHODAS2SelfAdministered.pdf</t>
        </is>
      </c>
    </row>
    <row r="1076">
      <c r="A1076" t="inlineStr">
        <is>
          <t>WHODAS-36</t>
        </is>
      </c>
      <c r="B1076" t="inlineStr">
        <is>
          <t>WHO Disability Assessment Schedule 2.0, 36 item self administered</t>
        </is>
      </c>
      <c r="C1076" t="inlineStr">
        <is>
          <t>8. Functioning and health</t>
        </is>
      </c>
      <c r="D1076" t="n">
        <v>19</v>
      </c>
      <c r="E1076" t="inlineStr">
        <is>
          <t>Making new friends?</t>
        </is>
      </c>
      <c r="F1076" t="inlineStr">
        <is>
          <t>Getting along with people</t>
        </is>
      </c>
      <c r="G1076" t="inlineStr">
        <is>
          <t>FALSE</t>
        </is>
      </c>
      <c r="H1076" t="inlineStr">
        <is>
          <t>FALSE</t>
        </is>
      </c>
      <c r="I1076" t="inlineStr">
        <is>
          <t>None = 1 | Mild = 2 | Moderate = 3 | Severe = 4 | Extreme or cannot do = 5</t>
        </is>
      </c>
      <c r="J1076" t="inlineStr">
        <is>
          <t>Item code D4.4</t>
        </is>
      </c>
      <c r="K1076" t="inlineStr">
        <is>
          <t>https://www.psychiatry.org/getmedia/5f4794de-8d66-4434-99f3-784a3fd1e567/APA-DSM5TR-WHODAS2SelfAdministered.pdf</t>
        </is>
      </c>
    </row>
    <row r="1077">
      <c r="A1077" t="inlineStr">
        <is>
          <t>WHODAS-36</t>
        </is>
      </c>
      <c r="B1077" t="inlineStr">
        <is>
          <t>WHO Disability Assessment Schedule 2.0, 36 item self administered</t>
        </is>
      </c>
      <c r="C1077" t="inlineStr">
        <is>
          <t>8. Functioning and health</t>
        </is>
      </c>
      <c r="D1077" t="n">
        <v>20</v>
      </c>
      <c r="E1077" t="inlineStr">
        <is>
          <t>Sexual activities?</t>
        </is>
      </c>
      <c r="F1077" t="inlineStr">
        <is>
          <t>Getting along with people</t>
        </is>
      </c>
      <c r="G1077" t="inlineStr">
        <is>
          <t>FALSE</t>
        </is>
      </c>
      <c r="H1077" t="inlineStr">
        <is>
          <t>FALSE</t>
        </is>
      </c>
      <c r="I1077" t="inlineStr">
        <is>
          <t>None = 1 | Mild = 2 | Moderate = 3 | Severe = 4 | Extreme or cannot do = 5</t>
        </is>
      </c>
      <c r="J1077" t="inlineStr">
        <is>
          <t>Item code D4.5</t>
        </is>
      </c>
      <c r="K1077" t="inlineStr">
        <is>
          <t>https://www.psychiatry.org/getmedia/5f4794de-8d66-4434-99f3-784a3fd1e567/APA-DSM5TR-WHODAS2SelfAdministered.pdf</t>
        </is>
      </c>
    </row>
    <row r="1078">
      <c r="A1078" t="inlineStr">
        <is>
          <t>WHODAS-36</t>
        </is>
      </c>
      <c r="B1078" t="inlineStr">
        <is>
          <t>WHO Disability Assessment Schedule 2.0, 36 item self administered</t>
        </is>
      </c>
      <c r="C1078" t="inlineStr">
        <is>
          <t>8. Functioning and health</t>
        </is>
      </c>
      <c r="D1078" t="n">
        <v>21</v>
      </c>
      <c r="E1078" t="inlineStr">
        <is>
          <t>Taking care of your household responsibilities?</t>
        </is>
      </c>
      <c r="F1078" t="inlineStr">
        <is>
          <t>Life activities</t>
        </is>
      </c>
      <c r="G1078" t="inlineStr">
        <is>
          <t>FALSE</t>
        </is>
      </c>
      <c r="H1078" t="inlineStr">
        <is>
          <t>FALSE</t>
        </is>
      </c>
      <c r="I1078" t="inlineStr">
        <is>
          <t>None = 1 | Mild = 2 | Moderate = 3 | Severe = 4 | Extreme or cannot do = 5</t>
        </is>
      </c>
      <c r="J1078" t="inlineStr">
        <is>
          <t>Item code D5.1; Life activities—Household</t>
        </is>
      </c>
      <c r="K1078" t="inlineStr">
        <is>
          <t>https://www.psychiatry.org/getmedia/5f4794de-8d66-4434-99f3-784a3fd1e567/APA-DSM5TR-WHODAS2SelfAdministered.pdf</t>
        </is>
      </c>
    </row>
    <row r="1079">
      <c r="A1079" t="inlineStr">
        <is>
          <t>WHODAS-36</t>
        </is>
      </c>
      <c r="B1079" t="inlineStr">
        <is>
          <t>WHO Disability Assessment Schedule 2.0, 36 item self administered</t>
        </is>
      </c>
      <c r="C1079" t="inlineStr">
        <is>
          <t>8. Functioning and health</t>
        </is>
      </c>
      <c r="D1079" t="n">
        <v>22</v>
      </c>
      <c r="E1079" t="inlineStr">
        <is>
          <t>Doing most important household tasks well?</t>
        </is>
      </c>
      <c r="F1079" t="inlineStr">
        <is>
          <t>Life activities</t>
        </is>
      </c>
      <c r="G1079" t="inlineStr">
        <is>
          <t>FALSE</t>
        </is>
      </c>
      <c r="H1079" t="inlineStr">
        <is>
          <t>FALSE</t>
        </is>
      </c>
      <c r="I1079" t="inlineStr">
        <is>
          <t>None = 1 | Mild = 2 | Moderate = 3 | Severe = 4 | Extreme or cannot do = 5</t>
        </is>
      </c>
      <c r="J1079" t="inlineStr">
        <is>
          <t>Item code D5.2; Life activities—Household</t>
        </is>
      </c>
      <c r="K1079" t="inlineStr">
        <is>
          <t>https://www.psychiatry.org/getmedia/5f4794de-8d66-4434-99f3-784a3fd1e567/APA-DSM5TR-WHODAS2SelfAdministered.pdf</t>
        </is>
      </c>
    </row>
    <row r="1080">
      <c r="A1080" t="inlineStr">
        <is>
          <t>WHODAS-36</t>
        </is>
      </c>
      <c r="B1080" t="inlineStr">
        <is>
          <t>WHO Disability Assessment Schedule 2.0, 36 item self administered</t>
        </is>
      </c>
      <c r="C1080" t="inlineStr">
        <is>
          <t>8. Functioning and health</t>
        </is>
      </c>
      <c r="D1080" t="n">
        <v>23</v>
      </c>
      <c r="E1080" t="inlineStr">
        <is>
          <t>Getting all of the household work done that you needed to do?</t>
        </is>
      </c>
      <c r="F1080" t="inlineStr">
        <is>
          <t>Life activities</t>
        </is>
      </c>
      <c r="G1080" t="inlineStr">
        <is>
          <t>FALSE</t>
        </is>
      </c>
      <c r="H1080" t="inlineStr">
        <is>
          <t>FALSE</t>
        </is>
      </c>
      <c r="I1080" t="inlineStr">
        <is>
          <t>None = 1 | Mild = 2 | Moderate = 3 | Severe = 4 | Extreme or cannot do = 5</t>
        </is>
      </c>
      <c r="J1080" t="inlineStr">
        <is>
          <t>Item code D5.3; Life activities—Household</t>
        </is>
      </c>
      <c r="K1080" t="inlineStr">
        <is>
          <t>https://www.psychiatry.org/getmedia/5f4794de-8d66-4434-99f3-784a3fd1e567/APA-DSM5TR-WHODAS2SelfAdministered.pdf</t>
        </is>
      </c>
    </row>
    <row r="1081">
      <c r="A1081" t="inlineStr">
        <is>
          <t>WHODAS-36</t>
        </is>
      </c>
      <c r="B1081" t="inlineStr">
        <is>
          <t>WHO Disability Assessment Schedule 2.0, 36 item self administered</t>
        </is>
      </c>
      <c r="C1081" t="inlineStr">
        <is>
          <t>8. Functioning and health</t>
        </is>
      </c>
      <c r="D1081" t="n">
        <v>24</v>
      </c>
      <c r="E1081" t="inlineStr">
        <is>
          <t>Getting your household work done as quickly as needed?</t>
        </is>
      </c>
      <c r="F1081" t="inlineStr">
        <is>
          <t>Life activities</t>
        </is>
      </c>
      <c r="G1081" t="inlineStr">
        <is>
          <t>FALSE</t>
        </is>
      </c>
      <c r="H1081" t="inlineStr">
        <is>
          <t>FALSE</t>
        </is>
      </c>
      <c r="I1081" t="inlineStr">
        <is>
          <t>None = 1 | Mild = 2 | Moderate = 3 | Severe = 4 | Extreme or cannot do = 5</t>
        </is>
      </c>
      <c r="J1081" t="inlineStr">
        <is>
          <t>Item code D5.4; Life activities—Household</t>
        </is>
      </c>
      <c r="K1081" t="inlineStr">
        <is>
          <t>https://www.psychiatry.org/getmedia/5f4794de-8d66-4434-99f3-784a3fd1e567/APA-DSM5TR-WHODAS2SelfAdministered.pdf</t>
        </is>
      </c>
    </row>
    <row r="1082">
      <c r="A1082" t="inlineStr">
        <is>
          <t>WHODAS-36</t>
        </is>
      </c>
      <c r="B1082" t="inlineStr">
        <is>
          <t>WHO Disability Assessment Schedule 2.0, 36 item self administered</t>
        </is>
      </c>
      <c r="C1082" t="inlineStr">
        <is>
          <t>8. Functioning and health</t>
        </is>
      </c>
      <c r="D1082" t="n">
        <v>25</v>
      </c>
      <c r="E1082" t="inlineStr">
        <is>
          <t>Your day-to-day work/school?</t>
        </is>
      </c>
      <c r="F1082" t="inlineStr">
        <is>
          <t>Life activities</t>
        </is>
      </c>
      <c r="G1082" t="inlineStr">
        <is>
          <t>FALSE</t>
        </is>
      </c>
      <c r="H1082" t="inlineStr">
        <is>
          <t>FALSE</t>
        </is>
      </c>
      <c r="I1082" t="inlineStr">
        <is>
          <t>None = 1 | Mild = 2 | Moderate = 3 | Severe = 4 | Extreme or cannot do = 5</t>
        </is>
      </c>
      <c r="J1082" t="inlineStr">
        <is>
          <t>Item code D5.5; Life activities—School/Work</t>
        </is>
      </c>
      <c r="K1082" t="inlineStr">
        <is>
          <t>https://www.psychiatry.org/getmedia/5f4794de-8d66-4434-99f3-784a3fd1e567/APA-DSM5TR-WHODAS2SelfAdministered.pdf</t>
        </is>
      </c>
    </row>
    <row r="1083">
      <c r="A1083" t="inlineStr">
        <is>
          <t>WHODAS-36</t>
        </is>
      </c>
      <c r="B1083" t="inlineStr">
        <is>
          <t>WHO Disability Assessment Schedule 2.0, 36 item self administered</t>
        </is>
      </c>
      <c r="C1083" t="inlineStr">
        <is>
          <t>8. Functioning and health</t>
        </is>
      </c>
      <c r="D1083" t="n">
        <v>26</v>
      </c>
      <c r="E1083" t="inlineStr">
        <is>
          <t>Doing your most important work/school tasks well?</t>
        </is>
      </c>
      <c r="F1083" t="inlineStr">
        <is>
          <t>Life activities</t>
        </is>
      </c>
      <c r="G1083" t="inlineStr">
        <is>
          <t>FALSE</t>
        </is>
      </c>
      <c r="H1083" t="inlineStr">
        <is>
          <t>FALSE</t>
        </is>
      </c>
      <c r="I1083" t="inlineStr">
        <is>
          <t>None = 1 | Mild = 2 | Moderate = 3 | Severe = 4 | Extreme or cannot do = 5</t>
        </is>
      </c>
      <c r="J1083" t="inlineStr">
        <is>
          <t>Item code D5.6; Life activities—School/Work</t>
        </is>
      </c>
      <c r="K1083" t="inlineStr">
        <is>
          <t>https://www.psychiatry.org/getmedia/5f4794de-8d66-4434-99f3-784a3fd1e567/APA-DSM5TR-WHODAS2SelfAdministered.pdf</t>
        </is>
      </c>
    </row>
    <row r="1084">
      <c r="A1084" t="inlineStr">
        <is>
          <t>WHODAS-36</t>
        </is>
      </c>
      <c r="B1084" t="inlineStr">
        <is>
          <t>WHO Disability Assessment Schedule 2.0, 36 item self administered</t>
        </is>
      </c>
      <c r="C1084" t="inlineStr">
        <is>
          <t>8. Functioning and health</t>
        </is>
      </c>
      <c r="D1084" t="n">
        <v>27</v>
      </c>
      <c r="E1084" t="inlineStr">
        <is>
          <t>Getting all of the work done that you need to do?</t>
        </is>
      </c>
      <c r="F1084" t="inlineStr">
        <is>
          <t>Life activities</t>
        </is>
      </c>
      <c r="G1084" t="inlineStr">
        <is>
          <t>FALSE</t>
        </is>
      </c>
      <c r="H1084" t="inlineStr">
        <is>
          <t>FALSE</t>
        </is>
      </c>
      <c r="I1084" t="inlineStr">
        <is>
          <t>None = 1 | Mild = 2 | Moderate = 3 | Severe = 4 | Extreme or cannot do = 5</t>
        </is>
      </c>
      <c r="J1084" t="inlineStr">
        <is>
          <t>Item code D5.7; Life activities—School/Work</t>
        </is>
      </c>
      <c r="K1084" t="inlineStr">
        <is>
          <t>https://www.psychiatry.org/getmedia/5f4794de-8d66-4434-99f3-784a3fd1e567/APA-DSM5TR-WHODAS2SelfAdministered.pdf</t>
        </is>
      </c>
    </row>
    <row r="1085">
      <c r="A1085" t="inlineStr">
        <is>
          <t>WHODAS-36</t>
        </is>
      </c>
      <c r="B1085" t="inlineStr">
        <is>
          <t>WHO Disability Assessment Schedule 2.0, 36 item self administered</t>
        </is>
      </c>
      <c r="C1085" t="inlineStr">
        <is>
          <t>8. Functioning and health</t>
        </is>
      </c>
      <c r="D1085" t="n">
        <v>28</v>
      </c>
      <c r="E1085" t="inlineStr">
        <is>
          <t>Getting your work done as quickly as needed?</t>
        </is>
      </c>
      <c r="F1085" t="inlineStr">
        <is>
          <t>Life activities</t>
        </is>
      </c>
      <c r="G1085" t="inlineStr">
        <is>
          <t>FALSE</t>
        </is>
      </c>
      <c r="H1085" t="inlineStr">
        <is>
          <t>FALSE</t>
        </is>
      </c>
      <c r="I1085" t="inlineStr">
        <is>
          <t>None = 1 | Mild = 2 | Moderate = 3 | Severe = 4 | Extreme or cannot do = 5</t>
        </is>
      </c>
      <c r="J1085" t="inlineStr">
        <is>
          <t>Item code D5.8; Life activities—School/Work</t>
        </is>
      </c>
      <c r="K1085" t="inlineStr">
        <is>
          <t>https://www.psychiatry.org/getmedia/5f4794de-8d66-4434-99f3-784a3fd1e567/APA-DSM5TR-WHODAS2SelfAdministered.pdf</t>
        </is>
      </c>
    </row>
    <row r="1086">
      <c r="A1086" t="inlineStr">
        <is>
          <t>WHODAS-36</t>
        </is>
      </c>
      <c r="B1086" t="inlineStr">
        <is>
          <t>WHO Disability Assessment Schedule 2.0, 36 item self administered</t>
        </is>
      </c>
      <c r="C1086" t="inlineStr">
        <is>
          <t>8. Functioning and health</t>
        </is>
      </c>
      <c r="D1086" t="n">
        <v>29</v>
      </c>
      <c r="E1086" t="inlineStr">
        <is>
          <t>How much of a problem did you have in joining in community activities (for example, festivities, religious, or other activities) in the same way as anyone else can?</t>
        </is>
      </c>
      <c r="F1086" t="inlineStr">
        <is>
          <t>Participation in society</t>
        </is>
      </c>
      <c r="G1086" t="inlineStr">
        <is>
          <t>FALSE</t>
        </is>
      </c>
      <c r="H1086" t="inlineStr">
        <is>
          <t>FALSE</t>
        </is>
      </c>
      <c r="I1086" t="inlineStr">
        <is>
          <t>None = 1 | Mild = 2 | Moderate = 3 | Severe = 4 | Extreme or cannot do = 5</t>
        </is>
      </c>
      <c r="J1086" t="inlineStr">
        <is>
          <t>Item code D6.1; stem for domain 6 is "In the past 30 days:"</t>
        </is>
      </c>
      <c r="K1086" t="inlineStr">
        <is>
          <t>https://www.psychiatry.org/getmedia/5f4794de-8d66-4434-99f3-784a3fd1e567/APA-DSM5TR-WHODAS2SelfAdministered.pdf</t>
        </is>
      </c>
    </row>
    <row r="1087">
      <c r="A1087" t="inlineStr">
        <is>
          <t>WHODAS-36</t>
        </is>
      </c>
      <c r="B1087" t="inlineStr">
        <is>
          <t>WHO Disability Assessment Schedule 2.0, 36 item self administered</t>
        </is>
      </c>
      <c r="C1087" t="inlineStr">
        <is>
          <t>8. Functioning and health</t>
        </is>
      </c>
      <c r="D1087" t="n">
        <v>30</v>
      </c>
      <c r="E1087" t="inlineStr">
        <is>
          <t>How much of a problem did you have because of barriers or hindrances around you?</t>
        </is>
      </c>
      <c r="F1087" t="inlineStr">
        <is>
          <t>Participation in society</t>
        </is>
      </c>
      <c r="G1087" t="inlineStr">
        <is>
          <t>FALSE</t>
        </is>
      </c>
      <c r="H1087" t="inlineStr">
        <is>
          <t>FALSE</t>
        </is>
      </c>
      <c r="I1087" t="inlineStr">
        <is>
          <t>None = 1 | Mild = 2 | Moderate = 3 | Severe = 4 | Extreme or cannot do = 5</t>
        </is>
      </c>
      <c r="J1087" t="inlineStr">
        <is>
          <t>Item code D6.2; stem for domain 6 is "In the past 30 days:"</t>
        </is>
      </c>
      <c r="K1087" t="inlineStr">
        <is>
          <t>https://www.psychiatry.org/getmedia/5f4794de-8d66-4434-99f3-784a3fd1e567/APA-DSM5TR-WHODAS2SelfAdministered.pdf</t>
        </is>
      </c>
    </row>
    <row r="1088">
      <c r="A1088" t="inlineStr">
        <is>
          <t>WHODAS-36</t>
        </is>
      </c>
      <c r="B1088" t="inlineStr">
        <is>
          <t>WHO Disability Assessment Schedule 2.0, 36 item self administered</t>
        </is>
      </c>
      <c r="C1088" t="inlineStr">
        <is>
          <t>8. Functioning and health</t>
        </is>
      </c>
      <c r="D1088" t="n">
        <v>31</v>
      </c>
      <c r="E1088" t="inlineStr">
        <is>
          <t>How much of a problem did you have living with dignity because of the attitudes and actions of others?</t>
        </is>
      </c>
      <c r="F1088" t="inlineStr">
        <is>
          <t>Participation in society</t>
        </is>
      </c>
      <c r="G1088" t="inlineStr">
        <is>
          <t>FALSE</t>
        </is>
      </c>
      <c r="H1088" t="inlineStr">
        <is>
          <t>FALSE</t>
        </is>
      </c>
      <c r="I1088" t="inlineStr">
        <is>
          <t>None = 1 | Mild = 2 | Moderate = 3 | Severe = 4 | Extreme or cannot do = 5</t>
        </is>
      </c>
      <c r="J1088" t="inlineStr">
        <is>
          <t>Item code D6.3; stem for domain 6 is "In the past 30 days:"</t>
        </is>
      </c>
      <c r="K1088" t="inlineStr">
        <is>
          <t>https://www.psychiatry.org/getmedia/5f4794de-8d66-4434-99f3-784a3fd1e567/APA-DSM5TR-WHODAS2SelfAdministered.pdf</t>
        </is>
      </c>
    </row>
    <row r="1089">
      <c r="A1089" t="inlineStr">
        <is>
          <t>WHODAS-36</t>
        </is>
      </c>
      <c r="B1089" t="inlineStr">
        <is>
          <t>WHO Disability Assessment Schedule 2.0, 36 item self administered</t>
        </is>
      </c>
      <c r="C1089" t="inlineStr">
        <is>
          <t>8. Functioning and health</t>
        </is>
      </c>
      <c r="D1089" t="n">
        <v>32</v>
      </c>
      <c r="E1089" t="inlineStr">
        <is>
          <t>How much time did you spend on your health condition or its consequences?</t>
        </is>
      </c>
      <c r="F1089" t="inlineStr">
        <is>
          <t>Participation in society</t>
        </is>
      </c>
      <c r="G1089" t="inlineStr">
        <is>
          <t>FALSE</t>
        </is>
      </c>
      <c r="H1089" t="inlineStr">
        <is>
          <t>FALSE</t>
        </is>
      </c>
      <c r="I1089" t="inlineStr">
        <is>
          <t>None = 1 | Mild = 2 | Moderate = 3 | Severe = 4 | Extreme or cannot do = 5</t>
        </is>
      </c>
      <c r="J1089" t="inlineStr">
        <is>
          <t>Item code D6.4; response labels for this item are None, Some, Moderate, A Lot, Extreme or cannot do (1 to 5); stem for domain 6 is "In the past 30 days:"</t>
        </is>
      </c>
      <c r="K1089" t="inlineStr">
        <is>
          <t>https://www.psychiatry.org/getmedia/5f4794de-8d66-4434-99f3-784a3fd1e567/APA-DSM5TR-WHODAS2SelfAdministered.pdf</t>
        </is>
      </c>
    </row>
    <row r="1090">
      <c r="A1090" t="inlineStr">
        <is>
          <t>WHODAS-36</t>
        </is>
      </c>
      <c r="B1090" t="inlineStr">
        <is>
          <t>WHO Disability Assessment Schedule 2.0, 36 item self administered</t>
        </is>
      </c>
      <c r="C1090" t="inlineStr">
        <is>
          <t>8. Functioning and health</t>
        </is>
      </c>
      <c r="D1090" t="n">
        <v>33</v>
      </c>
      <c r="E1090" t="inlineStr">
        <is>
          <t>How much have you been emotionally affected by your health condition?</t>
        </is>
      </c>
      <c r="F1090" t="inlineStr">
        <is>
          <t>Participation in society</t>
        </is>
      </c>
      <c r="G1090" t="inlineStr">
        <is>
          <t>FALSE</t>
        </is>
      </c>
      <c r="H1090" t="inlineStr">
        <is>
          <t>FALSE</t>
        </is>
      </c>
      <c r="I1090" t="inlineStr">
        <is>
          <t>None = 1 | Mild = 2 | Moderate = 3 | Severe = 4 | Extreme or cannot do = 5</t>
        </is>
      </c>
      <c r="J1090" t="inlineStr">
        <is>
          <t>Item code D6.5; stem for domain 6 is "In the past 30 days:"</t>
        </is>
      </c>
      <c r="K1090" t="inlineStr">
        <is>
          <t>https://www.psychiatry.org/getmedia/5f4794de-8d66-4434-99f3-784a3fd1e567/APA-DSM5TR-WHODAS2SelfAdministered.pdf</t>
        </is>
      </c>
    </row>
    <row r="1091">
      <c r="A1091" t="inlineStr">
        <is>
          <t>WHODAS-36</t>
        </is>
      </c>
      <c r="B1091" t="inlineStr">
        <is>
          <t>WHO Disability Assessment Schedule 2.0, 36 item self administered</t>
        </is>
      </c>
      <c r="C1091" t="inlineStr">
        <is>
          <t>8. Functioning and health</t>
        </is>
      </c>
      <c r="D1091" t="n">
        <v>34</v>
      </c>
      <c r="E1091" t="inlineStr">
        <is>
          <t>How much has your health been a drain on the financial resources of you or your family?</t>
        </is>
      </c>
      <c r="F1091" t="inlineStr">
        <is>
          <t>Participation in society</t>
        </is>
      </c>
      <c r="G1091" t="inlineStr">
        <is>
          <t>FALSE</t>
        </is>
      </c>
      <c r="H1091" t="inlineStr">
        <is>
          <t>FALSE</t>
        </is>
      </c>
      <c r="I1091" t="inlineStr">
        <is>
          <t>None = 1 | Mild = 2 | Moderate = 3 | Severe = 4 | Extreme or cannot do = 5</t>
        </is>
      </c>
      <c r="J1091" t="inlineStr">
        <is>
          <t>Item code D6.6; stem for domain 6 is "In the past 30 days:"</t>
        </is>
      </c>
      <c r="K1091" t="inlineStr">
        <is>
          <t>https://www.psychiatry.org/getmedia/5f4794de-8d66-4434-99f3-784a3fd1e567/APA-DSM5TR-WHODAS2SelfAdministered.pdf</t>
        </is>
      </c>
    </row>
    <row r="1092">
      <c r="A1092" t="inlineStr">
        <is>
          <t>WHODAS-36</t>
        </is>
      </c>
      <c r="B1092" t="inlineStr">
        <is>
          <t>WHO Disability Assessment Schedule 2.0, 36 item self administered</t>
        </is>
      </c>
      <c r="C1092" t="inlineStr">
        <is>
          <t>8. Functioning and health</t>
        </is>
      </c>
      <c r="D1092" t="n">
        <v>35</v>
      </c>
      <c r="E1092" t="inlineStr">
        <is>
          <t>How much of a problem did your family have because of your health problems?</t>
        </is>
      </c>
      <c r="F1092" t="inlineStr">
        <is>
          <t>Participation in society</t>
        </is>
      </c>
      <c r="G1092" t="inlineStr">
        <is>
          <t>FALSE</t>
        </is>
      </c>
      <c r="H1092" t="inlineStr">
        <is>
          <t>FALSE</t>
        </is>
      </c>
      <c r="I1092" t="inlineStr">
        <is>
          <t>None = 1 | Mild = 2 | Moderate = 3 | Severe = 4 | Extreme or cannot do = 5</t>
        </is>
      </c>
      <c r="J1092" t="inlineStr">
        <is>
          <t>Item code D6.7; stem for domain 6 is "In the past 30 days:"</t>
        </is>
      </c>
      <c r="K1092" t="inlineStr">
        <is>
          <t>https://www.psychiatry.org/getmedia/5f4794de-8d66-4434-99f3-784a3fd1e567/APA-DSM5TR-WHODAS2SelfAdministered.pdf</t>
        </is>
      </c>
    </row>
    <row r="1093">
      <c r="A1093" t="inlineStr">
        <is>
          <t>WHODAS-36</t>
        </is>
      </c>
      <c r="B1093" t="inlineStr">
        <is>
          <t>WHO Disability Assessment Schedule 2.0, 36 item self administered</t>
        </is>
      </c>
      <c r="C1093" t="inlineStr">
        <is>
          <t>8. Functioning and health</t>
        </is>
      </c>
      <c r="D1093" t="n">
        <v>36</v>
      </c>
      <c r="E1093" t="inlineStr">
        <is>
          <t>How much of a problem did you have in doing things by yourself for relaxation or pleasure?</t>
        </is>
      </c>
      <c r="F1093" t="inlineStr">
        <is>
          <t>Participation in society</t>
        </is>
      </c>
      <c r="G1093" t="inlineStr">
        <is>
          <t>FALSE</t>
        </is>
      </c>
      <c r="H1093" t="inlineStr">
        <is>
          <t>FALSE</t>
        </is>
      </c>
      <c r="I1093" t="inlineStr">
        <is>
          <t>None = 1 | Mild = 2 | Moderate = 3 | Severe = 4 | Extreme or cannot do = 5</t>
        </is>
      </c>
      <c r="J1093" t="inlineStr">
        <is>
          <t>Item code D6.8; stem for domain 6 is "In the past 30 days:"</t>
        </is>
      </c>
      <c r="K1093" t="inlineStr">
        <is>
          <t>https://www.psychiatry.org/getmedia/5f4794de-8d66-4434-99f3-784a3fd1e567/APA-DSM5TR-WHODAS2SelfAdministered.pdf</t>
        </is>
      </c>
    </row>
    <row r="1094">
      <c r="A1094" t="inlineStr">
        <is>
          <t>WSAS</t>
        </is>
      </c>
      <c r="B1094" t="inlineStr">
        <is>
          <t>Work and Social Adjustment Scale</t>
        </is>
      </c>
      <c r="C1094" t="inlineStr">
        <is>
          <t>8. Functioning and health</t>
        </is>
      </c>
      <c r="D1094" t="n">
        <v>1</v>
      </c>
      <c r="E1094" t="inlineStr">
        <is>
          <t>Because of the ways I think, feel, or behave, my ability to work is impaired. 8 means very severely impaired to the point I cannot work. N/A (not applicable) means I am retired or choose not to have a job.</t>
        </is>
      </c>
      <c r="F1094" t="inlineStr">
        <is>
          <t>Total</t>
        </is>
      </c>
      <c r="G1094" t="inlineStr">
        <is>
          <t>FALSE</t>
        </is>
      </c>
      <c r="H1094" t="inlineStr">
        <is>
          <t>FALSE</t>
        </is>
      </c>
      <c r="I1094" t="inlineStr">
        <is>
          <t>Not at all impaired = 0 | 1 = 1 | Slightly impaired = 2 | 3 = 3 | Definitely impaired = 4 | 5 = 5 | Markedly impaired = 6 | 7 = 7 | Very severely impaired = 8</t>
        </is>
      </c>
      <c r="J1094" t="inlineStr">
        <is>
          <t>Item 1 also offers N/A for respondents who are retired or choose not to work.</t>
        </is>
      </c>
      <c r="K1094" t="inlineStr">
        <is>
          <t>https://www.ciusss-capitalenationale.gouv.qc.ca/sites/d8/files/docs/ProfSante/SanteMentale/DSMDI_Form-questionnaire-WSAS_EN.pdf</t>
        </is>
      </c>
    </row>
    <row r="1095">
      <c r="A1095" t="inlineStr">
        <is>
          <t>WSAS</t>
        </is>
      </c>
      <c r="B1095" t="inlineStr">
        <is>
          <t>Work and Social Adjustment Scale</t>
        </is>
      </c>
      <c r="C1095" t="inlineStr">
        <is>
          <t>8. Functioning and health</t>
        </is>
      </c>
      <c r="D1095" t="n">
        <v>2</v>
      </c>
      <c r="E1095" t="inlineStr">
        <is>
          <t>Because of the ways I think, feel, or behave, my home management (cleaning, tidying, shopping, cooking, looking after home or children, paying bills) is impaired.</t>
        </is>
      </c>
      <c r="F1095" t="inlineStr">
        <is>
          <t>Total</t>
        </is>
      </c>
      <c r="G1095" t="inlineStr">
        <is>
          <t>FALSE</t>
        </is>
      </c>
      <c r="H1095" t="inlineStr">
        <is>
          <t>FALSE</t>
        </is>
      </c>
      <c r="I1095" t="inlineStr">
        <is>
          <t>Not at all impaired = 0 | 1 = 1 | Slightly impaired = 2 | 3 = 3 | Definitely impaired = 4 | 5 = 5 | Markedly impaired = 6 | 7 = 7 | Very severely impaired = 8</t>
        </is>
      </c>
      <c r="K1095" t="inlineStr">
        <is>
          <t>https://www.ciusss-capitalenationale.gouv.qc.ca/sites/d8/files/docs/ProfSante/SanteMentale/DSMDI_Form-questionnaire-WSAS_EN.pdf</t>
        </is>
      </c>
    </row>
    <row r="1096">
      <c r="A1096" t="inlineStr">
        <is>
          <t>WSAS</t>
        </is>
      </c>
      <c r="B1096" t="inlineStr">
        <is>
          <t>Work and Social Adjustment Scale</t>
        </is>
      </c>
      <c r="C1096" t="inlineStr">
        <is>
          <t>8. Functioning and health</t>
        </is>
      </c>
      <c r="D1096" t="n">
        <v>3</v>
      </c>
      <c r="E1096" t="inlineStr">
        <is>
          <t>Because of the ways I think, feel, or behave, my social leisure activities (with other people, such as parties, bars, clubs, outings, visits, dating, home entertaining) are impaired.</t>
        </is>
      </c>
      <c r="F1096" t="inlineStr">
        <is>
          <t>Total</t>
        </is>
      </c>
      <c r="G1096" t="inlineStr">
        <is>
          <t>FALSE</t>
        </is>
      </c>
      <c r="H1096" t="inlineStr">
        <is>
          <t>FALSE</t>
        </is>
      </c>
      <c r="I1096" t="inlineStr">
        <is>
          <t>Not at all impaired = 0 | 1 = 1 | Slightly impaired = 2 | 3 = 3 | Definitely impaired = 4 | 5 = 5 | Markedly impaired = 6 | 7 = 7 | Very severely impaired = 8</t>
        </is>
      </c>
      <c r="K1096" t="inlineStr">
        <is>
          <t>https://www.ciusss-capitalenationale.gouv.qc.ca/sites/d8/files/docs/ProfSante/SanteMentale/DSMDI_Form-questionnaire-WSAS_EN.pdf</t>
        </is>
      </c>
    </row>
    <row r="1097">
      <c r="A1097" t="inlineStr">
        <is>
          <t>WSAS</t>
        </is>
      </c>
      <c r="B1097" t="inlineStr">
        <is>
          <t>Work and Social Adjustment Scale</t>
        </is>
      </c>
      <c r="C1097" t="inlineStr">
        <is>
          <t>8. Functioning and health</t>
        </is>
      </c>
      <c r="D1097" t="n">
        <v>4</v>
      </c>
      <c r="E1097" t="inlineStr">
        <is>
          <t>Because of the ways I think, feel, or behave, my private leisure activities (done alone, such as reading, gardening, collecting, sewing, walking alone) are impaired.</t>
        </is>
      </c>
      <c r="F1097" t="inlineStr">
        <is>
          <t>Total</t>
        </is>
      </c>
      <c r="G1097" t="inlineStr">
        <is>
          <t>FALSE</t>
        </is>
      </c>
      <c r="H1097" t="inlineStr">
        <is>
          <t>FALSE</t>
        </is>
      </c>
      <c r="I1097" t="inlineStr">
        <is>
          <t>Not at all impaired = 0 | 1 = 1 | Slightly impaired = 2 | 3 = 3 | Definitely impaired = 4 | 5 = 5 | Markedly impaired = 6 | 7 = 7 | Very severely impaired = 8</t>
        </is>
      </c>
      <c r="K1097" t="inlineStr">
        <is>
          <t>https://www.ciusss-capitalenationale.gouv.qc.ca/sites/d8/files/docs/ProfSante/SanteMentale/DSMDI_Form-questionnaire-WSAS_EN.pdf</t>
        </is>
      </c>
    </row>
    <row r="1098">
      <c r="A1098" t="inlineStr">
        <is>
          <t>WSAS</t>
        </is>
      </c>
      <c r="B1098" t="inlineStr">
        <is>
          <t>Work and Social Adjustment Scale</t>
        </is>
      </c>
      <c r="C1098" t="inlineStr">
        <is>
          <t>8. Functioning and health</t>
        </is>
      </c>
      <c r="D1098" t="n">
        <v>5</v>
      </c>
      <c r="E1098" t="inlineStr">
        <is>
          <t>Because of the ways I think, feel, or behave, my ability to form and maintain close relationships with others, including those I live with, is impaired</t>
        </is>
      </c>
      <c r="F1098" t="inlineStr">
        <is>
          <t>Total</t>
        </is>
      </c>
      <c r="G1098" t="inlineStr">
        <is>
          <t>FALSE</t>
        </is>
      </c>
      <c r="H1098" t="inlineStr">
        <is>
          <t>FALSE</t>
        </is>
      </c>
      <c r="I1098" t="inlineStr">
        <is>
          <t>Not at all impaired = 0 | 1 = 1 | Slightly impaired = 2 | 3 = 3 | Definitely impaired = 4 | 5 = 5 | Markedly impaired = 6 | 7 = 7 | Very severely impaired = 8</t>
        </is>
      </c>
      <c r="K1098" t="inlineStr">
        <is>
          <t>https://www.ciusss-capitalenationale.gouv.qc.ca/sites/d8/files/docs/ProfSante/SanteMentale/DSMDI_Form-questionnaire-WSAS_EN.pdf</t>
        </is>
      </c>
    </row>
  </sheetData>
  <autoFilter ref="A1:K30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8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42" customWidth="1" style="16" min="4" max="4"/>
    <col width="26" customWidth="1" style="16" min="5" max="5"/>
    <col width="13" customWidth="1" style="16" min="6" max="6"/>
    <col width="24" customWidth="1" style="16" min="7" max="7"/>
    <col width="88" customWidth="1" style="16" min="8" max="8"/>
  </cols>
  <sheetData>
    <row r="1" ht="30" customHeight="1" s="17">
      <c r="A1" s="25" t="inlineStr">
        <is>
          <t>Code</t>
        </is>
      </c>
      <c r="B1" s="25" t="inlineStr">
        <is>
          <t>Instrument Name</t>
        </is>
      </c>
      <c r="C1" s="25" t="inlineStr">
        <is>
          <t>Domain</t>
        </is>
      </c>
      <c r="D1" s="25" t="inlineStr">
        <is>
          <t>Subscale / Theme / Strength</t>
        </is>
      </c>
      <c r="E1" s="25" t="inlineStr">
        <is>
          <t>Item Numbers</t>
        </is>
      </c>
      <c r="F1" s="25" t="inlineStr">
        <is>
          <t>Number of Items</t>
        </is>
      </c>
      <c r="G1" s="25" t="inlineStr">
        <is>
          <t>Score Range</t>
        </is>
      </c>
      <c r="H1" s="25" t="inlineStr">
        <is>
          <t>Description</t>
        </is>
      </c>
    </row>
    <row r="2" ht="23.85" customHeight="1" s="17">
      <c r="A2" s="27" t="inlineStr">
        <is>
          <t>ESQ-R</t>
        </is>
      </c>
      <c r="B2" s="27" t="inlineStr">
        <is>
          <t>Executive Skills Questionnaire - Revised (ESQ-R)</t>
        </is>
      </c>
      <c r="C2" s="27" t="inlineStr">
        <is>
          <t>1. Executive functioning and ADHD</t>
        </is>
      </c>
      <c r="D2" s="27" t="inlineStr">
        <is>
          <t>Plan Management</t>
        </is>
      </c>
      <c r="E2" s="27" t="inlineStr">
        <is>
          <t>6-7, 12-14, 16-18, 22-24</t>
        </is>
      </c>
      <c r="F2" s="28" t="n">
        <v>11</v>
      </c>
      <c r="G2" s="27" t="inlineStr">
        <is>
          <t>0-33</t>
        </is>
      </c>
      <c r="H2" s="27" t="inlineStr">
        <is>
          <t>Ability to create and manage plans for accomplishing tasks.</t>
        </is>
      </c>
    </row>
    <row r="3" ht="23.85" customHeight="1" s="17">
      <c r="A3" s="27" t="inlineStr">
        <is>
          <t>ESQ-R</t>
        </is>
      </c>
      <c r="B3" s="27" t="inlineStr">
        <is>
          <t>Executive Skills Questionnaire - Revised (ESQ-R)</t>
        </is>
      </c>
      <c r="C3" s="27" t="inlineStr">
        <is>
          <t>1. Executive functioning and ADHD</t>
        </is>
      </c>
      <c r="D3" s="27" t="inlineStr">
        <is>
          <t>Time Management</t>
        </is>
      </c>
      <c r="E3" s="27" t="inlineStr">
        <is>
          <t>10-11, 15, 20</t>
        </is>
      </c>
      <c r="F3" s="28" t="n">
        <v>4</v>
      </c>
      <c r="G3" s="27" t="inlineStr">
        <is>
          <t>0-12</t>
        </is>
      </c>
      <c r="H3" s="27" t="inlineStr">
        <is>
          <t>Ability to organize various aspects of time, including estimating and allocating time and working within time constraints.</t>
        </is>
      </c>
    </row>
    <row r="4" ht="23.85" customHeight="1" s="17">
      <c r="A4" s="27" t="inlineStr">
        <is>
          <t>ESQ-R</t>
        </is>
      </c>
      <c r="B4" s="27" t="inlineStr">
        <is>
          <t>Executive Skills Questionnaire - Revised (ESQ-R)</t>
        </is>
      </c>
      <c r="C4" s="27" t="inlineStr">
        <is>
          <t>1. Executive functioning and ADHD</t>
        </is>
      </c>
      <c r="D4" s="27" t="inlineStr">
        <is>
          <t>Organization</t>
        </is>
      </c>
      <c r="E4" s="27" t="inlineStr">
        <is>
          <t>3, 8-9</t>
        </is>
      </c>
      <c r="F4" s="28" t="n">
        <v>3</v>
      </c>
      <c r="G4" s="27" t="inlineStr">
        <is>
          <t>0-9</t>
        </is>
      </c>
      <c r="H4" s="27" t="inlineStr">
        <is>
          <t>Ability to create and maintain systems and keep track of information or materials.</t>
        </is>
      </c>
    </row>
    <row r="5" ht="23.85" customHeight="1" s="17">
      <c r="A5" s="27" t="inlineStr">
        <is>
          <t>ESQ-R</t>
        </is>
      </c>
      <c r="B5" s="27" t="inlineStr">
        <is>
          <t>Executive Skills Questionnaire - Revised (ESQ-R)</t>
        </is>
      </c>
      <c r="C5" s="27" t="inlineStr">
        <is>
          <t>1. Executive functioning and ADHD</t>
        </is>
      </c>
      <c r="D5" s="27" t="inlineStr">
        <is>
          <t>Emotional Regulation</t>
        </is>
      </c>
      <c r="E5" s="27" t="inlineStr">
        <is>
          <t>4-5, 21</t>
        </is>
      </c>
      <c r="F5" s="28" t="n">
        <v>3</v>
      </c>
      <c r="G5" s="27" t="inlineStr">
        <is>
          <t>0-9</t>
        </is>
      </c>
      <c r="H5" s="27" t="inlineStr">
        <is>
          <t>Ability to manage emotions to achieve goals, complete tasks, or control and direct behavior.</t>
        </is>
      </c>
    </row>
    <row r="6" ht="23.85" customHeight="1" s="17">
      <c r="A6" s="27" t="inlineStr">
        <is>
          <t>ESQ-R</t>
        </is>
      </c>
      <c r="B6" s="27" t="inlineStr">
        <is>
          <t>Executive Skills Questionnaire - Revised (ESQ-R)</t>
        </is>
      </c>
      <c r="C6" s="27" t="inlineStr">
        <is>
          <t>1. Executive functioning and ADHD</t>
        </is>
      </c>
      <c r="D6" s="27" t="inlineStr">
        <is>
          <t>Behavioral Regulation</t>
        </is>
      </c>
      <c r="E6" s="27" t="inlineStr">
        <is>
          <t>1-2, 19, 25</t>
        </is>
      </c>
      <c r="F6" s="28" t="n">
        <v>4</v>
      </c>
      <c r="G6" s="27" t="inlineStr">
        <is>
          <t>0-12</t>
        </is>
      </c>
      <c r="H6" s="27" t="inlineStr">
        <is>
          <t>Ability to manage behavior (avoid undesirable behaviors, increase desirable behaviors), think before acting or responding, and consider the consequences of actions.</t>
        </is>
      </c>
    </row>
    <row r="7" ht="23.85" customHeight="1" s="17">
      <c r="A7" s="27" t="inlineStr">
        <is>
          <t>CFI</t>
        </is>
      </c>
      <c r="B7" s="27" t="inlineStr">
        <is>
          <t>Cognitive Flexibility Inventory (CFI)</t>
        </is>
      </c>
      <c r="C7" s="27" t="inlineStr">
        <is>
          <t>1. Executive functioning and ADHD</t>
        </is>
      </c>
      <c r="D7" s="27" t="inlineStr">
        <is>
          <t>Alternatives</t>
        </is>
      </c>
      <c r="E7" s="27" t="inlineStr">
        <is>
          <t>1, 3, 5-6, 8, 10, 12-14, 16, 18-20</t>
        </is>
      </c>
      <c r="F7" s="28" t="n">
        <v>13</v>
      </c>
      <c r="G7" s="27" t="inlineStr">
        <is>
          <t>13-91</t>
        </is>
      </c>
      <c r="H7" s="27" t="inlineStr">
        <is>
          <t>Measures the ability to perceive multiple alternative explanations for life occurrences and human behaviour and the ability to generate multiple alternative solutions to difficult situations.</t>
        </is>
      </c>
    </row>
    <row r="8" ht="15" customHeight="1" s="17">
      <c r="A8" s="27" t="inlineStr">
        <is>
          <t>CFI</t>
        </is>
      </c>
      <c r="B8" s="27" t="inlineStr">
        <is>
          <t>Cognitive Flexibility Inventory (CFI)</t>
        </is>
      </c>
      <c r="C8" s="27" t="inlineStr">
        <is>
          <t>1. Executive functioning and ADHD</t>
        </is>
      </c>
      <c r="D8" s="27" t="inlineStr">
        <is>
          <t>Control</t>
        </is>
      </c>
      <c r="E8" s="27" t="inlineStr">
        <is>
          <t>2, 4, 7, 9, 11, 15, 17</t>
        </is>
      </c>
      <c r="F8" s="28" t="n">
        <v>7</v>
      </c>
      <c r="G8" s="27" t="inlineStr">
        <is>
          <t>7-49</t>
        </is>
      </c>
      <c r="H8" s="27" t="inlineStr">
        <is>
          <t>Measures the tendency to perceive difficult situations as controllable.</t>
        </is>
      </c>
    </row>
    <row r="9" ht="23.85" customHeight="1" s="17">
      <c r="A9" s="27" t="inlineStr">
        <is>
          <t>ASRS</t>
        </is>
      </c>
      <c r="B9" s="27" t="inlineStr">
        <is>
          <t>Adult ADHD Self-Report Scale (ASRS v1.1)</t>
        </is>
      </c>
      <c r="C9" s="27" t="inlineStr">
        <is>
          <t>1. Executive functioning and ADHD</t>
        </is>
      </c>
      <c r="D9" s="27" t="inlineStr">
        <is>
          <t>Part A (Criterion / Screener)</t>
        </is>
      </c>
      <c r="E9" s="27" t="inlineStr">
        <is>
          <t>1-6</t>
        </is>
      </c>
      <c r="F9" s="28" t="n">
        <v>6</v>
      </c>
      <c r="G9" s="27" t="inlineStr">
        <is>
          <t>0-24</t>
        </is>
      </c>
      <c r="H9" s="27" t="inlineStr">
        <is>
          <t>The six items most predictive of ADHD diagnosis (Kessler et al., 2007). Summed on the 0-4 Likert metric. Constitutes the six-item ASRS Screener when used alone.</t>
        </is>
      </c>
    </row>
    <row r="10" ht="23.85" customHeight="1" s="17">
      <c r="A10" s="27" t="inlineStr">
        <is>
          <t>ASRS</t>
        </is>
      </c>
      <c r="B10" s="27" t="inlineStr">
        <is>
          <t>Adult ADHD Self-Report Scale (ASRS v1.1)</t>
        </is>
      </c>
      <c r="C10" s="27" t="inlineStr">
        <is>
          <t>1. Executive functioning and ADHD</t>
        </is>
      </c>
      <c r="D10" s="27" t="inlineStr">
        <is>
          <t>Part B (Additional Symptoms)</t>
        </is>
      </c>
      <c r="E10" s="27" t="inlineStr">
        <is>
          <t>7-18</t>
        </is>
      </c>
      <c r="F10" s="28" t="n">
        <v>12</v>
      </c>
      <c r="G10" s="27" t="inlineStr">
        <is>
          <t>0-48</t>
        </is>
      </c>
      <c r="H10" s="27" t="inlineStr">
        <is>
          <t>Twelve additional DSM-based items providing a broader index of symptom severity and further probes into the client's symptoms.</t>
        </is>
      </c>
    </row>
    <row r="11" ht="35.05" customHeight="1" s="17">
      <c r="A11" s="27" t="inlineStr">
        <is>
          <t>ASRS</t>
        </is>
      </c>
      <c r="B11" s="27" t="inlineStr">
        <is>
          <t>Adult ADHD Self-Report Scale (ASRS v1.1)</t>
        </is>
      </c>
      <c r="C11" s="27" t="inlineStr">
        <is>
          <t>1. Executive functioning and ADHD</t>
        </is>
      </c>
      <c r="D11" s="27" t="inlineStr">
        <is>
          <t>Inattentiveness</t>
        </is>
      </c>
      <c r="E11" s="27" t="inlineStr">
        <is>
          <t>1-4, 7-11</t>
        </is>
      </c>
      <c r="F11" s="28" t="n">
        <v>9</v>
      </c>
      <c r="G11" s="27" t="inlineStr">
        <is>
          <t>0-9 (dichotomous symptom count)</t>
        </is>
      </c>
      <c r="H11" s="27" t="inlineStr">
        <is>
          <t>Stanton et al. (2018) factor. Difficulty focussing on details, being organised, remembering appointments, making careless mistakes, and concentrating. Scored using the original dichotomous method (0 or 1 per item) and reported as number and percentage of items endorsed.</t>
        </is>
      </c>
    </row>
    <row r="12" ht="23.85" customHeight="1" s="17">
      <c r="A12" s="27" t="inlineStr">
        <is>
          <t>ASRS</t>
        </is>
      </c>
      <c r="B12" s="27" t="inlineStr">
        <is>
          <t>Adult ADHD Self-Report Scale (ASRS v1.1)</t>
        </is>
      </c>
      <c r="C12" s="27" t="inlineStr">
        <is>
          <t>1. Executive functioning and ADHD</t>
        </is>
      </c>
      <c r="D12" s="27" t="inlineStr">
        <is>
          <t>Hyperactivity/Impulsivity - Motor</t>
        </is>
      </c>
      <c r="E12" s="27" t="inlineStr">
        <is>
          <t>5-6, 12-14</t>
        </is>
      </c>
      <c r="F12" s="28" t="n">
        <v>5</v>
      </c>
      <c r="G12" s="27" t="inlineStr">
        <is>
          <t>0-5 (dichotomous symptom count)</t>
        </is>
      </c>
      <c r="H12" s="27" t="inlineStr">
        <is>
          <t>Stanton et al. (2018) factor. Difficulty sitting still, staying seated, and ability to relax.</t>
        </is>
      </c>
    </row>
    <row r="13" ht="23.85" customHeight="1" s="17">
      <c r="A13" s="27" t="inlineStr">
        <is>
          <t>ASRS</t>
        </is>
      </c>
      <c r="B13" s="27" t="inlineStr">
        <is>
          <t>Adult ADHD Self-Report Scale (ASRS v1.1)</t>
        </is>
      </c>
      <c r="C13" s="27" t="inlineStr">
        <is>
          <t>1. Executive functioning and ADHD</t>
        </is>
      </c>
      <c r="D13" s="27" t="inlineStr">
        <is>
          <t>Hyperactivity/Impulsivity - Verbal</t>
        </is>
      </c>
      <c r="E13" s="27" t="inlineStr">
        <is>
          <t>15-18</t>
        </is>
      </c>
      <c r="F13" s="28" t="n">
        <v>4</v>
      </c>
      <c r="G13" s="27" t="inlineStr">
        <is>
          <t>0-4 (dichotomous symptom count)</t>
        </is>
      </c>
      <c r="H13" s="27" t="inlineStr">
        <is>
          <t>Stanton et al. (2018) factor. Difficulty controlling how much they talk, interrupting others, and waiting their turn.</t>
        </is>
      </c>
    </row>
    <row r="14" ht="23.85" customHeight="1" s="17">
      <c r="A14" s="27" t="inlineStr">
        <is>
          <t>SKS</t>
        </is>
      </c>
      <c r="B14" s="27" t="inlineStr">
        <is>
          <t>Strengths Knowledge Scale</t>
        </is>
      </c>
      <c r="C14" s="27" t="inlineStr">
        <is>
          <t>2. Strengths knowledge, use and support at work</t>
        </is>
      </c>
      <c r="D14" s="27" t="inlineStr">
        <is>
          <t>Strengths Knowledge (total scale)</t>
        </is>
      </c>
      <c r="E14" s="27" t="inlineStr">
        <is>
          <t>1-8</t>
        </is>
      </c>
      <c r="F14" s="28" t="n">
        <v>8</v>
      </c>
      <c r="G14" s="27" t="inlineStr">
        <is>
          <t>8-56</t>
        </is>
      </c>
      <c r="H14" s="27" t="inlineStr">
        <is>
          <t>Single unidimensional factor; all 8 items load on one strengths-knowledge factor.</t>
        </is>
      </c>
    </row>
    <row r="15" ht="23.85" customHeight="1" s="17">
      <c r="A15" s="27" t="inlineStr">
        <is>
          <t>SUS</t>
        </is>
      </c>
      <c r="B15" s="27" t="inlineStr">
        <is>
          <t>Strengths Use Scale</t>
        </is>
      </c>
      <c r="C15" s="27" t="inlineStr">
        <is>
          <t>2. Strengths knowledge, use and support at work</t>
        </is>
      </c>
      <c r="D15" s="27" t="inlineStr">
        <is>
          <t>Strengths Use (total scale)</t>
        </is>
      </c>
      <c r="E15" s="27" t="inlineStr">
        <is>
          <t>1-14</t>
        </is>
      </c>
      <c r="F15" s="28" t="n">
        <v>14</v>
      </c>
      <c r="G15" s="27" t="inlineStr">
        <is>
          <t>14-98</t>
        </is>
      </c>
      <c r="H15" s="27" t="inlineStr">
        <is>
          <t>Single unidimensional factor; all 14 items load on one strengths-use factor.</t>
        </is>
      </c>
    </row>
    <row r="16" ht="23.85" customHeight="1" s="17">
      <c r="A16" s="27" t="inlineStr">
        <is>
          <t>SSES</t>
        </is>
      </c>
      <c r="B16" s="27" t="inlineStr">
        <is>
          <t>Strengths Self-Efficacy Scale</t>
        </is>
      </c>
      <c r="C16" s="27" t="inlineStr">
        <is>
          <t>2. Strengths knowledge, use and support at work</t>
        </is>
      </c>
      <c r="D16" s="27" t="inlineStr">
        <is>
          <t>Strengths Self-Efficacy (total scale)</t>
        </is>
      </c>
      <c r="E16" s="27" t="inlineStr">
        <is>
          <t>1-11</t>
        </is>
      </c>
      <c r="F16" s="28" t="n">
        <v>11</v>
      </c>
      <c r="G16" s="27" t="inlineStr">
        <is>
          <t>11-110</t>
        </is>
      </c>
      <c r="H16" s="27" t="inlineStr">
        <is>
          <t>Single unidimensional factor confirmed by both exploratory and confirmatory factor analysis in the original validation.</t>
        </is>
      </c>
    </row>
    <row r="17" ht="15" customHeight="1" s="17">
      <c r="A17" s="27" t="inlineStr">
        <is>
          <t>CSES</t>
        </is>
      </c>
      <c r="B17" s="27" t="inlineStr">
        <is>
          <t>Core Self-Evaluations Scale</t>
        </is>
      </c>
      <c r="C17" s="27" t="inlineStr">
        <is>
          <t>3. Adjacent occupational and wellbeing</t>
        </is>
      </c>
      <c r="D17" s="27" t="inlineStr">
        <is>
          <t>Core Self-Evaluations (total scale, unidimensional)</t>
        </is>
      </c>
      <c r="E17" s="27" t="inlineStr">
        <is>
          <t>1-12</t>
        </is>
      </c>
      <c r="F17" s="28" t="n">
        <v>12</v>
      </c>
      <c r="G17" s="27" t="inlineStr">
        <is>
          <t>12-60</t>
        </is>
      </c>
      <c r="H17" s="27" t="inlineStr">
        <is>
          <t>Single higher-order factor; the scale is not intended to be broken into separate subscales.</t>
        </is>
      </c>
    </row>
    <row r="18" ht="15" customHeight="1" s="17">
      <c r="A18" s="27" t="inlineStr">
        <is>
          <t>PES</t>
        </is>
      </c>
      <c r="B18" s="27" t="inlineStr">
        <is>
          <t>Psychological Empowerment Scale</t>
        </is>
      </c>
      <c r="C18" s="27" t="inlineStr">
        <is>
          <t>3. Adjacent occupational and wellbeing</t>
        </is>
      </c>
      <c r="D18" s="27" t="inlineStr">
        <is>
          <t>Meaning</t>
        </is>
      </c>
      <c r="E18" s="27" t="inlineStr">
        <is>
          <t>1-3</t>
        </is>
      </c>
      <c r="F18" s="28" t="n">
        <v>3</v>
      </c>
      <c r="G18" s="27" t="inlineStr">
        <is>
          <t>3-21 (mean 1-7)</t>
        </is>
      </c>
      <c r="H18" s="27" t="inlineStr">
        <is>
          <t>The value of a work goal or purpose, judged in relation to the individual's own ideals or standards.</t>
        </is>
      </c>
    </row>
    <row r="19" ht="15" customHeight="1" s="17">
      <c r="A19" s="27" t="inlineStr">
        <is>
          <t>PES</t>
        </is>
      </c>
      <c r="B19" s="27" t="inlineStr">
        <is>
          <t>Psychological Empowerment Scale</t>
        </is>
      </c>
      <c r="C19" s="27" t="inlineStr">
        <is>
          <t>3. Adjacent occupational and wellbeing</t>
        </is>
      </c>
      <c r="D19" s="27" t="inlineStr">
        <is>
          <t>Competence</t>
        </is>
      </c>
      <c r="E19" s="27" t="inlineStr">
        <is>
          <t>4-6</t>
        </is>
      </c>
      <c r="F19" s="28" t="n">
        <v>3</v>
      </c>
      <c r="G19" s="27" t="inlineStr">
        <is>
          <t>3-21 (mean 1-7)</t>
        </is>
      </c>
      <c r="H19" s="27" t="inlineStr">
        <is>
          <t>Self-efficacy specific to one's work, i.e. belief in one's capability to perform activities with skill.</t>
        </is>
      </c>
    </row>
    <row r="20" ht="15" customHeight="1" s="17">
      <c r="A20" s="27" t="inlineStr">
        <is>
          <t>PES</t>
        </is>
      </c>
      <c r="B20" s="27" t="inlineStr">
        <is>
          <t>Psychological Empowerment Scale</t>
        </is>
      </c>
      <c r="C20" s="27" t="inlineStr">
        <is>
          <t>3. Adjacent occupational and wellbeing</t>
        </is>
      </c>
      <c r="D20" s="27" t="inlineStr">
        <is>
          <t>Self-Determination</t>
        </is>
      </c>
      <c r="E20" s="27" t="inlineStr">
        <is>
          <t>7-9</t>
        </is>
      </c>
      <c r="F20" s="28" t="n">
        <v>3</v>
      </c>
      <c r="G20" s="27" t="inlineStr">
        <is>
          <t>3-21 (mean 1-7)</t>
        </is>
      </c>
      <c r="H20" s="27" t="inlineStr">
        <is>
          <t>A sense of choice and autonomy in initiating and regulating one's own actions at work.</t>
        </is>
      </c>
    </row>
    <row r="21" ht="15" customHeight="1" s="17">
      <c r="A21" s="27" t="inlineStr">
        <is>
          <t>PES</t>
        </is>
      </c>
      <c r="B21" s="27" t="inlineStr">
        <is>
          <t>Psychological Empowerment Scale</t>
        </is>
      </c>
      <c r="C21" s="27" t="inlineStr">
        <is>
          <t>3. Adjacent occupational and wellbeing</t>
        </is>
      </c>
      <c r="D21" s="27" t="inlineStr">
        <is>
          <t>Impact</t>
        </is>
      </c>
      <c r="E21" s="27" t="inlineStr">
        <is>
          <t>10-12</t>
        </is>
      </c>
      <c r="F21" s="28" t="n">
        <v>3</v>
      </c>
      <c r="G21" s="27" t="inlineStr">
        <is>
          <t>3-21 (mean 1-7)</t>
        </is>
      </c>
      <c r="H21" s="27" t="inlineStr">
        <is>
          <t>The degree to which a person can influence strategic, administrative or operating outcomes in their work unit.</t>
        </is>
      </c>
    </row>
    <row r="22" ht="23.85" customHeight="1" s="17">
      <c r="A22" s="27" t="inlineStr">
        <is>
          <t>DASS-21</t>
        </is>
      </c>
      <c r="B22" s="27" t="inlineStr">
        <is>
          <t>Depression Anxiety Stress Scales, 21 item version (DASS-21)</t>
        </is>
      </c>
      <c r="C22" s="27" t="inlineStr">
        <is>
          <t>4. Clinical and distress screening</t>
        </is>
      </c>
      <c r="D22" s="27" t="inlineStr">
        <is>
          <t>Depression</t>
        </is>
      </c>
      <c r="E22" s="27" t="inlineStr">
        <is>
          <t>3, 5, 10, 13, 16-17, 21</t>
        </is>
      </c>
      <c r="F22" s="28" t="n">
        <v>7</v>
      </c>
      <c r="G22" s="27" t="inlineStr">
        <is>
          <t>0-21 raw; 0-42 after doubling</t>
        </is>
      </c>
      <c r="H22" s="27" t="inlineStr">
        <is>
          <t>Dysphoria, hopelessness, devaluation of life, self deprecation, lack of interest or involvement, anhedonia and inertia.</t>
        </is>
      </c>
    </row>
    <row r="23" ht="23.85" customHeight="1" s="17">
      <c r="A23" s="27" t="inlineStr">
        <is>
          <t>DASS-21</t>
        </is>
      </c>
      <c r="B23" s="27" t="inlineStr">
        <is>
          <t>Depression Anxiety Stress Scales, 21 item version (DASS-21)</t>
        </is>
      </c>
      <c r="C23" s="27" t="inlineStr">
        <is>
          <t>4. Clinical and distress screening</t>
        </is>
      </c>
      <c r="D23" s="27" t="inlineStr">
        <is>
          <t>Anxiety</t>
        </is>
      </c>
      <c r="E23" s="27" t="inlineStr">
        <is>
          <t>2, 4, 7, 9, 15, 19-20</t>
        </is>
      </c>
      <c r="F23" s="28" t="n">
        <v>7</v>
      </c>
      <c r="G23" s="27" t="inlineStr">
        <is>
          <t>0-21 raw; 0-42 after doubling</t>
        </is>
      </c>
      <c r="H23" s="27" t="inlineStr">
        <is>
          <t>Autonomic arousal, skeletal muscle effects, situational anxiety and the subjective experience of anxious affect.</t>
        </is>
      </c>
    </row>
    <row r="24" ht="23.85" customHeight="1" s="17">
      <c r="A24" s="27" t="inlineStr">
        <is>
          <t>DASS-21</t>
        </is>
      </c>
      <c r="B24" s="27" t="inlineStr">
        <is>
          <t>Depression Anxiety Stress Scales, 21 item version (DASS-21)</t>
        </is>
      </c>
      <c r="C24" s="27" t="inlineStr">
        <is>
          <t>4. Clinical and distress screening</t>
        </is>
      </c>
      <c r="D24" s="27" t="inlineStr">
        <is>
          <t>Stress</t>
        </is>
      </c>
      <c r="E24" s="27" t="inlineStr">
        <is>
          <t>1, 6, 8, 11-12, 14, 18</t>
        </is>
      </c>
      <c r="F24" s="28" t="n">
        <v>7</v>
      </c>
      <c r="G24" s="27" t="inlineStr">
        <is>
          <t>0-21 raw; 0-42 after doubling</t>
        </is>
      </c>
      <c r="H24" s="27" t="inlineStr">
        <is>
          <t>Difficulty relaxing, nervous arousal, and being easily upset or agitated, irritable or over reactive, and impatient.</t>
        </is>
      </c>
    </row>
    <row r="25" ht="23.85" customHeight="1" s="17">
      <c r="A25" s="27" t="inlineStr">
        <is>
          <t>PTQ</t>
        </is>
      </c>
      <c r="B25" s="27" t="inlineStr">
        <is>
          <t>Perseverative Thinking Questionnaire</t>
        </is>
      </c>
      <c r="C25" s="27" t="inlineStr">
        <is>
          <t>5. Self talk, thinking patterns and personality</t>
        </is>
      </c>
      <c r="D25" s="27" t="inlineStr">
        <is>
          <t>Core Characteristics of Repetitive Negative Thinking</t>
        </is>
      </c>
      <c r="E25" s="27" t="inlineStr">
        <is>
          <t>1-3, 6-8, 11-13</t>
        </is>
      </c>
      <c r="F25" s="28" t="n">
        <v>9</v>
      </c>
      <c r="G25" s="27" t="inlineStr">
        <is>
          <t>0-36</t>
        </is>
      </c>
      <c r="H25" s="27" t="inlineStr">
        <is>
          <t>The repetitive, intrusive and recurrent quality of the thinking itself (e.g. thoughts repeating, intruding, feeling driven to continue, getting stuck).</t>
        </is>
      </c>
    </row>
    <row r="26" ht="23.85" customHeight="1" s="17">
      <c r="A26" s="27" t="inlineStr">
        <is>
          <t>PTQ</t>
        </is>
      </c>
      <c r="B26" s="27" t="inlineStr">
        <is>
          <t>Perseverative Thinking Questionnaire</t>
        </is>
      </c>
      <c r="C26" s="27" t="inlineStr">
        <is>
          <t>5. Self talk, thinking patterns and personality</t>
        </is>
      </c>
      <c r="D26" s="27" t="inlineStr">
        <is>
          <t>Unproductiveness</t>
        </is>
      </c>
      <c r="E26" s="27" t="inlineStr">
        <is>
          <t>4, 9, 14</t>
        </is>
      </c>
      <c r="F26" s="28" t="n">
        <v>3</v>
      </c>
      <c r="G26" s="27" t="inlineStr">
        <is>
          <t>0-12</t>
        </is>
      </c>
      <c r="H26" s="27" t="inlineStr">
        <is>
          <t>The perceived lack of resolution or usefulness of the repetitive thinking (e.g. thinking about problems without solving them, asking unanswerable questions).</t>
        </is>
      </c>
    </row>
    <row r="27" ht="23.85" customHeight="1" s="17">
      <c r="A27" s="27" t="inlineStr">
        <is>
          <t>PTQ</t>
        </is>
      </c>
      <c r="B27" s="27" t="inlineStr">
        <is>
          <t>Perseverative Thinking Questionnaire</t>
        </is>
      </c>
      <c r="C27" s="27" t="inlineStr">
        <is>
          <t>5. Self talk, thinking patterns and personality</t>
        </is>
      </c>
      <c r="D27" s="27" t="inlineStr">
        <is>
          <t>Capturing Mental Capacity</t>
        </is>
      </c>
      <c r="E27" s="27" t="inlineStr">
        <is>
          <t>5, 10, 15</t>
        </is>
      </c>
      <c r="F27" s="28" t="n">
        <v>3</v>
      </c>
      <c r="G27" s="27" t="inlineStr">
        <is>
          <t>0-12</t>
        </is>
      </c>
      <c r="H27" s="27" t="inlineStr">
        <is>
          <t>The degree to which the repetitive thinking absorbs attention and interferes with engaging in other things.</t>
        </is>
      </c>
    </row>
    <row r="28" ht="23.85" customHeight="1" s="17">
      <c r="A28" s="27" t="inlineStr">
        <is>
          <t>RRS</t>
        </is>
      </c>
      <c r="B28" s="27" t="inlineStr">
        <is>
          <t>Ruminative Responses Scale</t>
        </is>
      </c>
      <c r="C28" s="27" t="inlineStr">
        <is>
          <t>5. Self talk, thinking patterns and personality</t>
        </is>
      </c>
      <c r="D28" s="27" t="inlineStr">
        <is>
          <t>Brooding</t>
        </is>
      </c>
      <c r="E28" s="27" t="inlineStr">
        <is>
          <t>5, 10, 13, 15-16</t>
        </is>
      </c>
      <c r="F28" s="28" t="n">
        <v>5</v>
      </c>
      <c r="G28" s="27" t="inlineStr">
        <is>
          <t>5-20</t>
        </is>
      </c>
      <c r="H28" s="27" t="inlineStr">
        <is>
          <t>Passive, self-critical comparison of one's current situation against an unachieved standard (Treynor et al., 2003).</t>
        </is>
      </c>
    </row>
    <row r="29" ht="23.85" customHeight="1" s="17">
      <c r="A29" s="27" t="inlineStr">
        <is>
          <t>RRS</t>
        </is>
      </c>
      <c r="B29" s="27" t="inlineStr">
        <is>
          <t>Ruminative Responses Scale</t>
        </is>
      </c>
      <c r="C29" s="27" t="inlineStr">
        <is>
          <t>5. Self talk, thinking patterns and personality</t>
        </is>
      </c>
      <c r="D29" s="27" t="inlineStr">
        <is>
          <t>Reflection</t>
        </is>
      </c>
      <c r="E29" s="27" t="inlineStr">
        <is>
          <t>7, 11-12, 20-21</t>
        </is>
      </c>
      <c r="F29" s="28" t="n">
        <v>5</v>
      </c>
      <c r="G29" s="27" t="inlineStr">
        <is>
          <t>5-20</t>
        </is>
      </c>
      <c r="H29" s="27" t="inlineStr">
        <is>
          <t>Deliberate, purposeful turning inward to analyse and understand one's low mood (Treynor et al., 2003).</t>
        </is>
      </c>
    </row>
    <row r="30" ht="35.05" customHeight="1" s="17">
      <c r="A30" s="27" t="inlineStr">
        <is>
          <t>RRS</t>
        </is>
      </c>
      <c r="B30" s="27" t="inlineStr">
        <is>
          <t>Ruminative Responses Scale</t>
        </is>
      </c>
      <c r="C30" s="27" t="inlineStr">
        <is>
          <t>5. Self talk, thinking patterns and personality</t>
        </is>
      </c>
      <c r="D30" s="27" t="inlineStr">
        <is>
          <t>Depression-related items (not scored as a subscale)</t>
        </is>
      </c>
      <c r="E30" s="27" t="inlineStr">
        <is>
          <t>1-4, 6, 8-9, 14, 17-19, 22</t>
        </is>
      </c>
      <c r="F30" s="28" t="n">
        <v>12</v>
      </c>
      <c r="G30" s="27" t="inlineStr">
        <is>
          <t>12-48</t>
        </is>
      </c>
      <c r="H30" s="27" t="inlineStr">
        <is>
          <t>The remaining 12 of the original 22 items, found by Treynor et al. (2003) to overlap substantially with depressive symptoms rather than forming a distinct rumination-style subscale; they contribute to the full-scale total but are not used in the Brooding or Reflection subscale scores.</t>
        </is>
      </c>
    </row>
    <row r="31" ht="23.85" customHeight="1" s="17">
      <c r="A31" s="27" t="inlineStr">
        <is>
          <t>FSCRS</t>
        </is>
      </c>
      <c r="B31" s="27" t="inlineStr">
        <is>
          <t>Forms of Self-Criticising/Attacking and Self-Reassuring Scale</t>
        </is>
      </c>
      <c r="C31" s="27" t="inlineStr">
        <is>
          <t>5. Self talk, thinking patterns and personality</t>
        </is>
      </c>
      <c r="D31" s="27" t="inlineStr">
        <is>
          <t>Inadequate Self</t>
        </is>
      </c>
      <c r="E31" s="27" t="inlineStr">
        <is>
          <t>1-2, 4, 6-7, 14, 17-18, 20</t>
        </is>
      </c>
      <c r="F31" s="28" t="n">
        <v>9</v>
      </c>
      <c r="G31" s="27" t="inlineStr">
        <is>
          <t>0-36</t>
        </is>
      </c>
      <c r="H31" s="27" t="inlineStr">
        <is>
          <t>Self-criticism experienced as personal deficiency, inadequacy and disappointment in oneself.</t>
        </is>
      </c>
    </row>
    <row r="32" ht="23.85" customHeight="1" s="17">
      <c r="A32" s="27" t="inlineStr">
        <is>
          <t>FSCRS</t>
        </is>
      </c>
      <c r="B32" s="27" t="inlineStr">
        <is>
          <t>Forms of Self-Criticising/Attacking and Self-Reassuring Scale</t>
        </is>
      </c>
      <c r="C32" s="27" t="inlineStr">
        <is>
          <t>5. Self talk, thinking patterns and personality</t>
        </is>
      </c>
      <c r="D32" s="27" t="inlineStr">
        <is>
          <t>Hated Self</t>
        </is>
      </c>
      <c r="E32" s="27" t="inlineStr">
        <is>
          <t>9-10, 12, 15, 22</t>
        </is>
      </c>
      <c r="F32" s="28" t="n">
        <v>5</v>
      </c>
      <c r="G32" s="27" t="inlineStr">
        <is>
          <t>0-20</t>
        </is>
      </c>
      <c r="H32" s="27" t="inlineStr">
        <is>
          <t>A more punitive, disgust-based, hostile form of self-attacking, including a self-harm-adjacent item (item 9). See coaching note below on careful framing.</t>
        </is>
      </c>
    </row>
    <row r="33" ht="23.85" customHeight="1" s="17">
      <c r="A33" s="27" t="inlineStr">
        <is>
          <t>FSCRS</t>
        </is>
      </c>
      <c r="B33" s="27" t="inlineStr">
        <is>
          <t>Forms of Self-Criticising/Attacking and Self-Reassuring Scale</t>
        </is>
      </c>
      <c r="C33" s="27" t="inlineStr">
        <is>
          <t>5. Self talk, thinking patterns and personality</t>
        </is>
      </c>
      <c r="D33" s="27" t="inlineStr">
        <is>
          <t>Reassured Self</t>
        </is>
      </c>
      <c r="E33" s="27" t="inlineStr">
        <is>
          <t>3, 5, 8, 11, 13, 16, 19, 21</t>
        </is>
      </c>
      <c r="F33" s="28" t="n">
        <v>8</v>
      </c>
      <c r="G33" s="27" t="inlineStr">
        <is>
          <t>0-32</t>
        </is>
      </c>
      <c r="H33" s="27" t="inlineStr">
        <is>
          <t>The capacity to be self-supportive, self-forgiving and self-reassuring in the face of setbacks.</t>
        </is>
      </c>
    </row>
    <row r="34" ht="23.85" customHeight="1" s="17">
      <c r="A34" s="27" t="inlineStr">
        <is>
          <t>SCS-SF</t>
        </is>
      </c>
      <c r="B34" s="27" t="inlineStr">
        <is>
          <t>Self-Compassion Scale – Short Form</t>
        </is>
      </c>
      <c r="C34" s="27" t="inlineStr">
        <is>
          <t>5. Self talk, thinking patterns and personality</t>
        </is>
      </c>
      <c r="D34" s="27" t="inlineStr">
        <is>
          <t>Self-Kindness</t>
        </is>
      </c>
      <c r="E34" s="27" t="inlineStr">
        <is>
          <t>2, 6</t>
        </is>
      </c>
      <c r="F34" s="28" t="n">
        <v>2</v>
      </c>
      <c r="G34" s="27" t="inlineStr">
        <is>
          <t>1-5 (mean of 2 items)</t>
        </is>
      </c>
      <c r="H34" s="27" t="inlineStr">
        <is>
          <t>Being understanding, patient and caring toward oneself when facing difficulty or perceived inadequacy.</t>
        </is>
      </c>
    </row>
    <row r="35" ht="23.85" customHeight="1" s="17">
      <c r="A35" s="27" t="inlineStr">
        <is>
          <t>SCS-SF</t>
        </is>
      </c>
      <c r="B35" s="27" t="inlineStr">
        <is>
          <t>Self-Compassion Scale – Short Form</t>
        </is>
      </c>
      <c r="C35" s="27" t="inlineStr">
        <is>
          <t>5. Self talk, thinking patterns and personality</t>
        </is>
      </c>
      <c r="D35" s="27" t="inlineStr">
        <is>
          <t>Self-Judgment</t>
        </is>
      </c>
      <c r="E35" s="27" t="inlineStr">
        <is>
          <t>11-12</t>
        </is>
      </c>
      <c r="F35" s="28" t="n">
        <v>2</v>
      </c>
      <c r="G35" s="27" t="inlineStr">
        <is>
          <t>1-5 (mean of 2 items, reverse scored)</t>
        </is>
      </c>
      <c r="H35" s="27" t="inlineStr">
        <is>
          <t>Being disapproving, intolerant and impatient toward one's own flaws and inadequacies. Both items are reverse scored so that higher scale scores reflect more self-compassion.</t>
        </is>
      </c>
    </row>
    <row r="36" ht="23.85" customHeight="1" s="17">
      <c r="A36" s="27" t="inlineStr">
        <is>
          <t>SCS-SF</t>
        </is>
      </c>
      <c r="B36" s="27" t="inlineStr">
        <is>
          <t>Self-Compassion Scale – Short Form</t>
        </is>
      </c>
      <c r="C36" s="27" t="inlineStr">
        <is>
          <t>5. Self talk, thinking patterns and personality</t>
        </is>
      </c>
      <c r="D36" s="27" t="inlineStr">
        <is>
          <t>Common Humanity</t>
        </is>
      </c>
      <c r="E36" s="27" t="inlineStr">
        <is>
          <t>5, 10</t>
        </is>
      </c>
      <c r="F36" s="28" t="n">
        <v>2</v>
      </c>
      <c r="G36" s="27" t="inlineStr">
        <is>
          <t>1-5 (mean of 2 items)</t>
        </is>
      </c>
      <c r="H36" s="27" t="inlineStr">
        <is>
          <t>Recognising that failure and inadequacy are part of the shared human experience rather than something isolating.</t>
        </is>
      </c>
    </row>
    <row r="37" ht="23.85" customHeight="1" s="17">
      <c r="A37" s="27" t="inlineStr">
        <is>
          <t>SCS-SF</t>
        </is>
      </c>
      <c r="B37" s="27" t="inlineStr">
        <is>
          <t>Self-Compassion Scale – Short Form</t>
        </is>
      </c>
      <c r="C37" s="27" t="inlineStr">
        <is>
          <t>5. Self talk, thinking patterns and personality</t>
        </is>
      </c>
      <c r="D37" s="27" t="inlineStr">
        <is>
          <t>Isolation</t>
        </is>
      </c>
      <c r="E37" s="27" t="inlineStr">
        <is>
          <t>4, 8</t>
        </is>
      </c>
      <c r="F37" s="28" t="n">
        <v>2</v>
      </c>
      <c r="G37" s="27" t="inlineStr">
        <is>
          <t>1-5 (mean of 2 items, reverse scored)</t>
        </is>
      </c>
      <c r="H37" s="27" t="inlineStr">
        <is>
          <t>Feeling cut off and alone in one's failures rather than connected to others. Both items are reverse scored so that higher scale scores reflect more self-compassion.</t>
        </is>
      </c>
    </row>
    <row r="38" ht="23.85" customHeight="1" s="17">
      <c r="A38" s="27" t="inlineStr">
        <is>
          <t>SCS-SF</t>
        </is>
      </c>
      <c r="B38" s="27" t="inlineStr">
        <is>
          <t>Self-Compassion Scale – Short Form</t>
        </is>
      </c>
      <c r="C38" s="27" t="inlineStr">
        <is>
          <t>5. Self talk, thinking patterns and personality</t>
        </is>
      </c>
      <c r="D38" s="27" t="inlineStr">
        <is>
          <t>Mindfulness</t>
        </is>
      </c>
      <c r="E38" s="27" t="inlineStr">
        <is>
          <t>3, 7</t>
        </is>
      </c>
      <c r="F38" s="28" t="n">
        <v>2</v>
      </c>
      <c r="G38" s="27" t="inlineStr">
        <is>
          <t>1-5 (mean of 2 items)</t>
        </is>
      </c>
      <c r="H38" s="27" t="inlineStr">
        <is>
          <t>Holding painful thoughts and feelings in balanced awareness rather than suppressing or exaggerating them.</t>
        </is>
      </c>
    </row>
    <row r="39" ht="23.85" customHeight="1" s="17">
      <c r="A39" s="27" t="inlineStr">
        <is>
          <t>SCS-SF</t>
        </is>
      </c>
      <c r="B39" s="27" t="inlineStr">
        <is>
          <t>Self-Compassion Scale – Short Form</t>
        </is>
      </c>
      <c r="C39" s="27" t="inlineStr">
        <is>
          <t>5. Self talk, thinking patterns and personality</t>
        </is>
      </c>
      <c r="D39" s="27" t="inlineStr">
        <is>
          <t>Over-Identification</t>
        </is>
      </c>
      <c r="E39" s="27" t="inlineStr">
        <is>
          <t>1, 9</t>
        </is>
      </c>
      <c r="F39" s="28" t="n">
        <v>2</v>
      </c>
      <c r="G39" s="27" t="inlineStr">
        <is>
          <t>1-5 (mean of 2 items, reverse scored)</t>
        </is>
      </c>
      <c r="H39" s="27" t="inlineStr">
        <is>
          <t>Becoming consumed by and fixated on one's negative thoughts and feelings rather than holding them with perspective. Both items are reverse scored so that higher scale scores reflect more self-compassion.</t>
        </is>
      </c>
    </row>
    <row r="40" ht="23.85" customHeight="1" s="17">
      <c r="A40" s="27" t="inlineStr">
        <is>
          <t>BPNSFS</t>
        </is>
      </c>
      <c r="B40" s="27" t="inlineStr">
        <is>
          <t>Basic Psychological Need Satisfaction and Frustration Scale (BPNSFS)</t>
        </is>
      </c>
      <c r="C40" s="27" t="inlineStr">
        <is>
          <t>6. Motivation, self determination and goal pursuit</t>
        </is>
      </c>
      <c r="D40" s="27" t="inlineStr">
        <is>
          <t>Autonomy satisfaction</t>
        </is>
      </c>
      <c r="E40" s="27" t="inlineStr">
        <is>
          <t>1, 7, 13, 19</t>
        </is>
      </c>
      <c r="F40" s="28" t="n">
        <v>4</v>
      </c>
      <c r="G40" s="27" t="inlineStr">
        <is>
          <t>4-20</t>
        </is>
      </c>
      <c r="H40" s="27" t="inlineStr">
        <is>
          <t>Feeling one's actions and choices are self-endorsed and reflect one's own volition.</t>
        </is>
      </c>
    </row>
    <row r="41" ht="23.85" customHeight="1" s="17">
      <c r="A41" s="27" t="inlineStr">
        <is>
          <t>BPNSFS</t>
        </is>
      </c>
      <c r="B41" s="27" t="inlineStr">
        <is>
          <t>Basic Psychological Need Satisfaction and Frustration Scale (BPNSFS)</t>
        </is>
      </c>
      <c r="C41" s="27" t="inlineStr">
        <is>
          <t>6. Motivation, self determination and goal pursuit</t>
        </is>
      </c>
      <c r="D41" s="27" t="inlineStr">
        <is>
          <t>Autonomy frustration</t>
        </is>
      </c>
      <c r="E41" s="27" t="inlineStr">
        <is>
          <t>2, 8, 14, 20</t>
        </is>
      </c>
      <c r="F41" s="28" t="n">
        <v>4</v>
      </c>
      <c r="G41" s="27" t="inlineStr">
        <is>
          <t>4-20</t>
        </is>
      </c>
      <c r="H41" s="27" t="inlineStr">
        <is>
          <t>Feeling pressured or forced into actions that are not one's own choice.</t>
        </is>
      </c>
    </row>
    <row r="42" ht="23.85" customHeight="1" s="17">
      <c r="A42" s="27" t="inlineStr">
        <is>
          <t>BPNSFS</t>
        </is>
      </c>
      <c r="B42" s="27" t="inlineStr">
        <is>
          <t>Basic Psychological Need Satisfaction and Frustration Scale (BPNSFS)</t>
        </is>
      </c>
      <c r="C42" s="27" t="inlineStr">
        <is>
          <t>6. Motivation, self determination and goal pursuit</t>
        </is>
      </c>
      <c r="D42" s="27" t="inlineStr">
        <is>
          <t>Relatedness satisfaction</t>
        </is>
      </c>
      <c r="E42" s="27" t="inlineStr">
        <is>
          <t>3, 9, 15, 21</t>
        </is>
      </c>
      <c r="F42" s="28" t="n">
        <v>4</v>
      </c>
      <c r="G42" s="27" t="inlineStr">
        <is>
          <t>4-20</t>
        </is>
      </c>
      <c r="H42" s="27" t="inlineStr">
        <is>
          <t>Feeling cared for, close to, and connected with significant others.</t>
        </is>
      </c>
    </row>
    <row r="43" ht="23.85" customHeight="1" s="17">
      <c r="A43" s="27" t="inlineStr">
        <is>
          <t>BPNSFS</t>
        </is>
      </c>
      <c r="B43" s="27" t="inlineStr">
        <is>
          <t>Basic Psychological Need Satisfaction and Frustration Scale (BPNSFS)</t>
        </is>
      </c>
      <c r="C43" s="27" t="inlineStr">
        <is>
          <t>6. Motivation, self determination and goal pursuit</t>
        </is>
      </c>
      <c r="D43" s="27" t="inlineStr">
        <is>
          <t>Relatedness frustration</t>
        </is>
      </c>
      <c r="E43" s="27" t="inlineStr">
        <is>
          <t>4, 10, 16, 22</t>
        </is>
      </c>
      <c r="F43" s="28" t="n">
        <v>4</v>
      </c>
      <c r="G43" s="27" t="inlineStr">
        <is>
          <t>4-20</t>
        </is>
      </c>
      <c r="H43" s="27" t="inlineStr">
        <is>
          <t>Feeling excluded, disliked, or that relationships are cold, distant or superficial.</t>
        </is>
      </c>
    </row>
    <row r="44" ht="23.85" customHeight="1" s="17">
      <c r="A44" s="27" t="inlineStr">
        <is>
          <t>BPNSFS</t>
        </is>
      </c>
      <c r="B44" s="27" t="inlineStr">
        <is>
          <t>Basic Psychological Need Satisfaction and Frustration Scale (BPNSFS)</t>
        </is>
      </c>
      <c r="C44" s="27" t="inlineStr">
        <is>
          <t>6. Motivation, self determination and goal pursuit</t>
        </is>
      </c>
      <c r="D44" s="27" t="inlineStr">
        <is>
          <t>Competence satisfaction</t>
        </is>
      </c>
      <c r="E44" s="27" t="inlineStr">
        <is>
          <t>5, 11, 17, 23</t>
        </is>
      </c>
      <c r="F44" s="28" t="n">
        <v>4</v>
      </c>
      <c r="G44" s="27" t="inlineStr">
        <is>
          <t>4-20</t>
        </is>
      </c>
      <c r="H44" s="27" t="inlineStr">
        <is>
          <t>Feeling capable and effective in one's activities and able to master challenges.</t>
        </is>
      </c>
    </row>
    <row r="45" ht="23.85" customHeight="1" s="17">
      <c r="A45" s="27" t="inlineStr">
        <is>
          <t>BPNSFS</t>
        </is>
      </c>
      <c r="B45" s="27" t="inlineStr">
        <is>
          <t>Basic Psychological Need Satisfaction and Frustration Scale (BPNSFS)</t>
        </is>
      </c>
      <c r="C45" s="27" t="inlineStr">
        <is>
          <t>6. Motivation, self determination and goal pursuit</t>
        </is>
      </c>
      <c r="D45" s="27" t="inlineStr">
        <is>
          <t>Competence frustration</t>
        </is>
      </c>
      <c r="E45" s="27" t="inlineStr">
        <is>
          <t>6, 12, 18, 24</t>
        </is>
      </c>
      <c r="F45" s="28" t="n">
        <v>4</v>
      </c>
      <c r="G45" s="27" t="inlineStr">
        <is>
          <t>4-20</t>
        </is>
      </c>
      <c r="H45" s="27" t="inlineStr">
        <is>
          <t>Feeling like a failure, insecure or doubtful about one's abilities and performance.</t>
        </is>
      </c>
    </row>
    <row r="46" ht="35.05" customHeight="1" s="17">
      <c r="A46" s="27" t="inlineStr">
        <is>
          <t>PPS</t>
        </is>
      </c>
      <c r="B46" s="27" t="inlineStr">
        <is>
          <t>Pure Procrastination Scale</t>
        </is>
      </c>
      <c r="C46" s="27" t="inlineStr">
        <is>
          <t>6. Motivation, self determination and goal pursuit</t>
        </is>
      </c>
      <c r="D46" s="27" t="inlineStr">
        <is>
          <t>Pure Procrastination (total scale)</t>
        </is>
      </c>
      <c r="E46" s="27" t="inlineStr">
        <is>
          <t>1-12</t>
        </is>
      </c>
      <c r="F46" s="28" t="n">
        <v>12</v>
      </c>
      <c r="G46" s="27" t="inlineStr">
        <is>
          <t>12-60</t>
        </is>
      </c>
      <c r="H46" s="27" t="inlineStr">
        <is>
          <t>Single unidimensional factor; no subscales are scored separately, though items are drawn from three source scales (Decisional Procrastination Scale items 1-3, General Procrastination Scale items 4-8, Adult Inventory of Procrastination items 9-12) as noted in Table 1 of the source article.</t>
        </is>
      </c>
    </row>
    <row r="47" ht="23.85" customHeight="1" s="17">
      <c r="A47" s="27" t="inlineStr">
        <is>
          <t>IPS</t>
        </is>
      </c>
      <c r="B47" s="27" t="inlineStr">
        <is>
          <t>Irrational Procrastination Scale</t>
        </is>
      </c>
      <c r="C47" s="27" t="inlineStr">
        <is>
          <t>6. Motivation, self determination and goal pursuit</t>
        </is>
      </c>
      <c r="D47" s="27" t="inlineStr">
        <is>
          <t>Irrational Procrastination (total scale)</t>
        </is>
      </c>
      <c r="E47" s="27" t="inlineStr">
        <is>
          <t>1-9</t>
        </is>
      </c>
      <c r="F47" s="28" t="n">
        <v>9</v>
      </c>
      <c r="G47" s="27" t="inlineStr">
        <is>
          <t>9-45</t>
        </is>
      </c>
      <c r="H47" s="27" t="inlineStr">
        <is>
          <t>Single unidimensional factor. Table 1 of the source article marks items 2, 6 and 9 with '(R)', denoting reverse-scored items, exactly as stated in the source: '(R) denoted items are reversed scored.'</t>
        </is>
      </c>
    </row>
    <row r="48" ht="23.85" customHeight="1" s="17">
      <c r="A48" s="27" t="inlineStr">
        <is>
          <t>GSE</t>
        </is>
      </c>
      <c r="B48" s="27" t="inlineStr">
        <is>
          <t>General Self-Efficacy Scale</t>
        </is>
      </c>
      <c r="C48" s="27" t="inlineStr">
        <is>
          <t>6. Motivation, self determination and goal pursuit</t>
        </is>
      </c>
      <c r="D48" s="27" t="inlineStr">
        <is>
          <t>General Self-Efficacy (total scale)</t>
        </is>
      </c>
      <c r="E48" s="27" t="inlineStr">
        <is>
          <t>1-10</t>
        </is>
      </c>
      <c r="F48" s="28" t="n">
        <v>10</v>
      </c>
      <c r="G48" s="27" t="inlineStr">
        <is>
          <t>10-40</t>
        </is>
      </c>
      <c r="H48" s="27" t="inlineStr">
        <is>
          <t>Single unidimensional factor, as stated on the official page: the scale is unidimensional.</t>
        </is>
      </c>
    </row>
    <row r="49" ht="23.85" customHeight="1" s="17">
      <c r="A49" s="27" t="inlineStr">
        <is>
          <t>GCS</t>
        </is>
      </c>
      <c r="B49" s="27" t="inlineStr">
        <is>
          <t>Goal Commitment Scale (5-item unidimensional version)</t>
        </is>
      </c>
      <c r="C49" s="27" t="inlineStr">
        <is>
          <t>6. Motivation, self determination and goal pursuit</t>
        </is>
      </c>
      <c r="D49" s="27" t="inlineStr">
        <is>
          <t>Goal Commitment</t>
        </is>
      </c>
      <c r="E49" s="27" t="inlineStr">
        <is>
          <t>1-5</t>
        </is>
      </c>
      <c r="F49" s="28" t="n">
        <v>5</v>
      </c>
      <c r="G49" s="27" t="inlineStr">
        <is>
          <t>5-25 (sum) or 1-5 (mean) on a 5 point scale</t>
        </is>
      </c>
      <c r="H49" s="27" t="inlineStr">
        <is>
          <t>Unidimensional commitment to a specific goal the respondent has named.</t>
        </is>
      </c>
    </row>
    <row r="50" ht="35.05" customHeight="1" s="17">
      <c r="A50" s="27" t="inlineStr">
        <is>
          <t>GADJ</t>
        </is>
      </c>
      <c r="B50" s="27" t="inlineStr">
        <is>
          <t>Goal Adjustment Scale</t>
        </is>
      </c>
      <c r="C50" s="27" t="inlineStr">
        <is>
          <t>6. Motivation, self determination and goal pursuit</t>
        </is>
      </c>
      <c r="D50" s="27" t="inlineStr">
        <is>
          <t>Goal Disengagement</t>
        </is>
      </c>
      <c r="E50" s="27" t="inlineStr">
        <is>
          <t>1-4</t>
        </is>
      </c>
      <c r="F50" s="28" t="n">
        <v>4</v>
      </c>
      <c r="G50" s="27" t="inlineStr">
        <is>
          <t>4-20 (sum) or 1-5 (mean)</t>
        </is>
      </c>
      <c r="H50" s="27" t="inlineStr">
        <is>
          <t>4 items measuring the ability to reduce effort and commitment toward, and stop thinking about, a goal that can no longer be reached. Items 2 and 3 are reverse-scored before summing/averaging, since they are worded in the direction of persistence rather than disengagement.</t>
        </is>
      </c>
    </row>
    <row r="51" ht="23.85" customHeight="1" s="17">
      <c r="A51" s="27" t="inlineStr">
        <is>
          <t>GADJ</t>
        </is>
      </c>
      <c r="B51" s="27" t="inlineStr">
        <is>
          <t>Goal Adjustment Scale</t>
        </is>
      </c>
      <c r="C51" s="27" t="inlineStr">
        <is>
          <t>6. Motivation, self determination and goal pursuit</t>
        </is>
      </c>
      <c r="D51" s="27" t="inlineStr">
        <is>
          <t>Goal Reengagement</t>
        </is>
      </c>
      <c r="E51" s="27" t="inlineStr">
        <is>
          <t>5-10</t>
        </is>
      </c>
      <c r="F51" s="28" t="n">
        <v>6</v>
      </c>
      <c r="G51" s="27" t="inlineStr">
        <is>
          <t>6-30 (sum) or 1-5 (mean)</t>
        </is>
      </c>
      <c r="H51" s="27" t="inlineStr">
        <is>
          <t>6 items measuring the ability to identify, commit to, and start pursuing new goals after disengaging from an old one. No items in this subscale are reverse-scored.</t>
        </is>
      </c>
    </row>
    <row r="52">
      <c r="A52" s="16" t="inlineStr">
        <is>
          <t>PCI</t>
        </is>
      </c>
      <c r="B52" s="16" t="inlineStr">
        <is>
          <t>Perfectionism Cognitions Inventory</t>
        </is>
      </c>
      <c r="C52" s="16" t="inlineStr">
        <is>
          <t>5. Self talk, thinking patterns and personality</t>
        </is>
      </c>
      <c r="D52" s="16" t="inlineStr">
        <is>
          <t>Perfectionism Cognitions (total scale)</t>
        </is>
      </c>
      <c r="E52" s="16" t="inlineStr">
        <is>
          <t>1-25</t>
        </is>
      </c>
      <c r="F52" s="16" t="n">
        <v>25</v>
      </c>
      <c r="G52" s="16" t="inlineStr">
        <is>
          <t>0-100</t>
        </is>
      </c>
      <c r="H52" s="16" t="inlineStr">
        <is>
          <t>Single total score; higher means more frequent perfectionistic thoughts. Row added for the hub.</t>
        </is>
      </c>
    </row>
    <row r="53">
      <c r="A53" t="inlineStr">
        <is>
          <t>ADEXI</t>
        </is>
      </c>
      <c r="B53" t="inlineStr">
        <is>
          <t>Adult Executive Functioning Inventory</t>
        </is>
      </c>
      <c r="C53" t="inlineStr">
        <is>
          <t>1. Executive functioning and ADHD</t>
        </is>
      </c>
      <c r="D53" t="inlineStr">
        <is>
          <t>Working Memory</t>
        </is>
      </c>
      <c r="E53" t="inlineStr">
        <is>
          <t>1, 2, 5, 7, 8, 9, 11, 12, 13</t>
        </is>
      </c>
      <c r="F53" t="n">
        <v>9</v>
      </c>
      <c r="G53" t="inlineStr">
        <is>
          <t>1-5</t>
        </is>
      </c>
      <c r="H53" t="inlineStr">
        <is>
          <t>Working memory and planning difficulties.</t>
        </is>
      </c>
    </row>
    <row r="54">
      <c r="A54" t="inlineStr">
        <is>
          <t>ADEXI</t>
        </is>
      </c>
      <c r="B54" t="inlineStr">
        <is>
          <t>Adult Executive Functioning Inventory</t>
        </is>
      </c>
      <c r="C54" t="inlineStr">
        <is>
          <t>1. Executive functioning and ADHD</t>
        </is>
      </c>
      <c r="D54" t="inlineStr">
        <is>
          <t>Inhibition</t>
        </is>
      </c>
      <c r="E54" t="inlineStr">
        <is>
          <t>3, 4, 6, 10, 14</t>
        </is>
      </c>
      <c r="F54" t="n">
        <v>5</v>
      </c>
      <c r="G54" t="inlineStr">
        <is>
          <t>1-5</t>
        </is>
      </c>
      <c r="H54" t="inlineStr">
        <is>
          <t>Inhibition and impulse control difficulties.</t>
        </is>
      </c>
    </row>
    <row r="55">
      <c r="A55" t="inlineStr">
        <is>
          <t>ADEXI</t>
        </is>
      </c>
      <c r="B55" t="inlineStr">
        <is>
          <t>Adult Executive Functioning Inventory</t>
        </is>
      </c>
      <c r="C55" t="inlineStr">
        <is>
          <t>1. Executive functioning and ADHD</t>
        </is>
      </c>
      <c r="D55" t="inlineStr">
        <is>
          <t>Total</t>
        </is>
      </c>
      <c r="E55" t="inlineStr">
        <is>
          <t>1-14</t>
        </is>
      </c>
      <c r="F55" t="n">
        <v>14</v>
      </c>
      <c r="G55" t="inlineStr">
        <is>
          <t>1-5</t>
        </is>
      </c>
      <c r="H55" t="inlineStr">
        <is>
          <t>Overall executive functioning deficits.</t>
        </is>
      </c>
    </row>
    <row r="56">
      <c r="A56" t="inlineStr">
        <is>
          <t>AMS-C</t>
        </is>
      </c>
      <c r="B56" t="inlineStr">
        <is>
          <t>Academic Motivation Scale (College version, AMS-C 28)</t>
        </is>
      </c>
      <c r="C56" t="inlineStr">
        <is>
          <t>3. Adjacent occupational and wellbeing</t>
        </is>
      </c>
      <c r="D56" t="inlineStr">
        <is>
          <t>Intrinsic motivation - to know</t>
        </is>
      </c>
      <c r="E56" t="inlineStr">
        <is>
          <t>2, 9, 16, 23</t>
        </is>
      </c>
      <c r="F56" t="n">
        <v>4</v>
      </c>
      <c r="G56" t="inlineStr">
        <is>
          <t>1-7</t>
        </is>
      </c>
      <c r="H56" t="inlineStr"/>
    </row>
    <row r="57">
      <c r="A57" t="inlineStr">
        <is>
          <t>AMS-C</t>
        </is>
      </c>
      <c r="B57" t="inlineStr">
        <is>
          <t>Academic Motivation Scale (College version, AMS-C 28)</t>
        </is>
      </c>
      <c r="C57" t="inlineStr">
        <is>
          <t>3. Adjacent occupational and wellbeing</t>
        </is>
      </c>
      <c r="D57" t="inlineStr">
        <is>
          <t>Intrinsic motivation - toward accomplishment</t>
        </is>
      </c>
      <c r="E57" t="inlineStr">
        <is>
          <t>6, 13, 20, 27</t>
        </is>
      </c>
      <c r="F57" t="n">
        <v>4</v>
      </c>
      <c r="G57" t="inlineStr">
        <is>
          <t>1-7</t>
        </is>
      </c>
      <c r="H57" t="inlineStr"/>
    </row>
    <row r="58">
      <c r="A58" t="inlineStr">
        <is>
          <t>AMS-C</t>
        </is>
      </c>
      <c r="B58" t="inlineStr">
        <is>
          <t>Academic Motivation Scale (College version, AMS-C 28)</t>
        </is>
      </c>
      <c r="C58" t="inlineStr">
        <is>
          <t>3. Adjacent occupational and wellbeing</t>
        </is>
      </c>
      <c r="D58" t="inlineStr">
        <is>
          <t>Intrinsic motivation - to experience stimulation</t>
        </is>
      </c>
      <c r="E58" t="inlineStr">
        <is>
          <t>4, 11, 18, 25</t>
        </is>
      </c>
      <c r="F58" t="n">
        <v>4</v>
      </c>
      <c r="G58" t="inlineStr">
        <is>
          <t>1-7</t>
        </is>
      </c>
      <c r="H58" t="inlineStr"/>
    </row>
    <row r="59">
      <c r="A59" t="inlineStr">
        <is>
          <t>AMS-C</t>
        </is>
      </c>
      <c r="B59" t="inlineStr">
        <is>
          <t>Academic Motivation Scale (College version, AMS-C 28)</t>
        </is>
      </c>
      <c r="C59" t="inlineStr">
        <is>
          <t>3. Adjacent occupational and wellbeing</t>
        </is>
      </c>
      <c r="D59" t="inlineStr">
        <is>
          <t>Extrinsic motivation - identified</t>
        </is>
      </c>
      <c r="E59" t="inlineStr">
        <is>
          <t>3, 10, 17, 24</t>
        </is>
      </c>
      <c r="F59" t="n">
        <v>4</v>
      </c>
      <c r="G59" t="inlineStr">
        <is>
          <t>1-7</t>
        </is>
      </c>
      <c r="H59" t="inlineStr"/>
    </row>
    <row r="60">
      <c r="A60" t="inlineStr">
        <is>
          <t>AMS-C</t>
        </is>
      </c>
      <c r="B60" t="inlineStr">
        <is>
          <t>Academic Motivation Scale (College version, AMS-C 28)</t>
        </is>
      </c>
      <c r="C60" t="inlineStr">
        <is>
          <t>3. Adjacent occupational and wellbeing</t>
        </is>
      </c>
      <c r="D60" t="inlineStr">
        <is>
          <t>Extrinsic motivation - introjected</t>
        </is>
      </c>
      <c r="E60" t="inlineStr">
        <is>
          <t>7, 14, 21, 28</t>
        </is>
      </c>
      <c r="F60" t="n">
        <v>4</v>
      </c>
      <c r="G60" t="inlineStr">
        <is>
          <t>1-7</t>
        </is>
      </c>
      <c r="H60" t="inlineStr"/>
    </row>
    <row r="61">
      <c r="A61" t="inlineStr">
        <is>
          <t>AMS-C</t>
        </is>
      </c>
      <c r="B61" t="inlineStr">
        <is>
          <t>Academic Motivation Scale (College version, AMS-C 28)</t>
        </is>
      </c>
      <c r="C61" t="inlineStr">
        <is>
          <t>3. Adjacent occupational and wellbeing</t>
        </is>
      </c>
      <c r="D61" t="inlineStr">
        <is>
          <t>Extrinsic motivation - external regulation</t>
        </is>
      </c>
      <c r="E61" t="inlineStr">
        <is>
          <t>1, 8, 15, 22</t>
        </is>
      </c>
      <c r="F61" t="n">
        <v>4</v>
      </c>
      <c r="G61" t="inlineStr">
        <is>
          <t>1-7</t>
        </is>
      </c>
      <c r="H61" t="inlineStr"/>
    </row>
    <row r="62">
      <c r="A62" t="inlineStr">
        <is>
          <t>AMS-C</t>
        </is>
      </c>
      <c r="B62" t="inlineStr">
        <is>
          <t>Academic Motivation Scale (College version, AMS-C 28)</t>
        </is>
      </c>
      <c r="C62" t="inlineStr">
        <is>
          <t>3. Adjacent occupational and wellbeing</t>
        </is>
      </c>
      <c r="D62" t="inlineStr">
        <is>
          <t>Amotivation</t>
        </is>
      </c>
      <c r="E62" t="inlineStr">
        <is>
          <t>5, 12, 19, 26</t>
        </is>
      </c>
      <c r="F62" t="n">
        <v>4</v>
      </c>
      <c r="G62" t="inlineStr">
        <is>
          <t>1-7</t>
        </is>
      </c>
      <c r="H62" t="inlineStr"/>
    </row>
    <row r="63">
      <c r="A63" t="inlineStr">
        <is>
          <t>APS-R</t>
        </is>
      </c>
      <c r="B63" t="inlineStr">
        <is>
          <t>Almost Perfect Scale Revised</t>
        </is>
      </c>
      <c r="C63" t="inlineStr">
        <is>
          <t>5. Self talk, thinking patterns and personality</t>
        </is>
      </c>
      <c r="D63" t="inlineStr">
        <is>
          <t>Standards</t>
        </is>
      </c>
      <c r="E63" t="inlineStr">
        <is>
          <t>1, 5, 8, 12, 14, 18, 22</t>
        </is>
      </c>
      <c r="F63" t="n">
        <v>7</v>
      </c>
      <c r="G63" t="inlineStr">
        <is>
          <t>7-49</t>
        </is>
      </c>
      <c r="H63" t="inlineStr">
        <is>
          <t>High personal standards for performance.</t>
        </is>
      </c>
    </row>
    <row r="64">
      <c r="A64" t="inlineStr">
        <is>
          <t>APS-R</t>
        </is>
      </c>
      <c r="B64" t="inlineStr">
        <is>
          <t>Almost Perfect Scale Revised</t>
        </is>
      </c>
      <c r="C64" t="inlineStr">
        <is>
          <t>5. Self talk, thinking patterns and personality</t>
        </is>
      </c>
      <c r="D64" t="inlineStr">
        <is>
          <t>Order</t>
        </is>
      </c>
      <c r="E64" t="inlineStr">
        <is>
          <t>2, 4, 7, 10</t>
        </is>
      </c>
      <c r="F64" t="n">
        <v>4</v>
      </c>
      <c r="G64" t="inlineStr">
        <is>
          <t>4-28</t>
        </is>
      </c>
      <c r="H64" t="inlineStr">
        <is>
          <t>Preference for neatness and organisation.</t>
        </is>
      </c>
    </row>
    <row r="65">
      <c r="A65" t="inlineStr">
        <is>
          <t>APS-R</t>
        </is>
      </c>
      <c r="B65" t="inlineStr">
        <is>
          <t>Almost Perfect Scale Revised</t>
        </is>
      </c>
      <c r="C65" t="inlineStr">
        <is>
          <t>5. Self talk, thinking patterns and personality</t>
        </is>
      </c>
      <c r="D65" t="inlineStr">
        <is>
          <t>Discrepancy</t>
        </is>
      </c>
      <c r="E65" t="inlineStr">
        <is>
          <t>3, 6, 9, 11, 13, 15, 16, 17, 19, 20, 21, 23</t>
        </is>
      </c>
      <c r="F65" t="n">
        <v>12</v>
      </c>
      <c r="G65" t="inlineStr">
        <is>
          <t>12-84</t>
        </is>
      </c>
      <c r="H65" t="inlineStr">
        <is>
          <t>Perceived gap between standards and performance; the maladaptive component.</t>
        </is>
      </c>
    </row>
    <row r="66">
      <c r="A66" t="inlineStr">
        <is>
          <t>AUDIT-C</t>
        </is>
      </c>
      <c r="B66" t="inlineStr">
        <is>
          <t>AUDIT Consumption</t>
        </is>
      </c>
      <c r="C66" t="inlineStr">
        <is>
          <t>4. Clinical and distress screening</t>
        </is>
      </c>
      <c r="D66" t="inlineStr">
        <is>
          <t>Total</t>
        </is>
      </c>
      <c r="E66" t="inlineStr">
        <is>
          <t>1-3</t>
        </is>
      </c>
      <c r="F66" t="n">
        <v>3</v>
      </c>
      <c r="G66" t="inlineStr">
        <is>
          <t>0-12</t>
        </is>
      </c>
      <c r="H66" t="inlineStr">
        <is>
          <t>Alcohol consumption; positive screen for hazardous drinking.</t>
        </is>
      </c>
    </row>
    <row r="67">
      <c r="A67" t="inlineStr">
        <is>
          <t>BIS-11</t>
        </is>
      </c>
      <c r="B67" t="inlineStr">
        <is>
          <t>Barratt Impulsiveness Scale, version 11</t>
        </is>
      </c>
      <c r="C67" t="inlineStr">
        <is>
          <t>1. Executive functioning and ADHD</t>
        </is>
      </c>
      <c r="D67" t="inlineStr">
        <is>
          <t>Attention</t>
        </is>
      </c>
      <c r="E67" t="inlineStr">
        <is>
          <t>5, 9, 11, 20, 28</t>
        </is>
      </c>
      <c r="F67" t="n">
        <v>5</v>
      </c>
      <c r="G67" t="inlineStr">
        <is>
          <t>5-20</t>
        </is>
      </c>
      <c r="H67" t="inlineStr">
        <is>
          <t>First order factor; loads on Attentional.</t>
        </is>
      </c>
    </row>
    <row r="68">
      <c r="A68" t="inlineStr">
        <is>
          <t>BIS-11</t>
        </is>
      </c>
      <c r="B68" t="inlineStr">
        <is>
          <t>Barratt Impulsiveness Scale, version 11</t>
        </is>
      </c>
      <c r="C68" t="inlineStr">
        <is>
          <t>1. Executive functioning and ADHD</t>
        </is>
      </c>
      <c r="D68" t="inlineStr">
        <is>
          <t>Cognitive Instability</t>
        </is>
      </c>
      <c r="E68" t="inlineStr">
        <is>
          <t>6, 24, 26</t>
        </is>
      </c>
      <c r="F68" t="n">
        <v>3</v>
      </c>
      <c r="G68" t="inlineStr">
        <is>
          <t>3-12</t>
        </is>
      </c>
      <c r="H68" t="inlineStr">
        <is>
          <t>First order factor; loads on Attentional.</t>
        </is>
      </c>
    </row>
    <row r="69">
      <c r="A69" t="inlineStr">
        <is>
          <t>BIS-11</t>
        </is>
      </c>
      <c r="B69" t="inlineStr">
        <is>
          <t>Barratt Impulsiveness Scale, version 11</t>
        </is>
      </c>
      <c r="C69" t="inlineStr">
        <is>
          <t>1. Executive functioning and ADHD</t>
        </is>
      </c>
      <c r="D69" t="inlineStr">
        <is>
          <t>Motor</t>
        </is>
      </c>
      <c r="E69" t="inlineStr">
        <is>
          <t>2, 3, 4, 17, 19, 22, 25</t>
        </is>
      </c>
      <c r="F69" t="n">
        <v>7</v>
      </c>
      <c r="G69" t="inlineStr">
        <is>
          <t>7-28</t>
        </is>
      </c>
      <c r="H69" t="inlineStr">
        <is>
          <t>First order factor; loads on Motor.</t>
        </is>
      </c>
    </row>
    <row r="70">
      <c r="A70" t="inlineStr">
        <is>
          <t>BIS-11</t>
        </is>
      </c>
      <c r="B70" t="inlineStr">
        <is>
          <t>Barratt Impulsiveness Scale, version 11</t>
        </is>
      </c>
      <c r="C70" t="inlineStr">
        <is>
          <t>1. Executive functioning and ADHD</t>
        </is>
      </c>
      <c r="D70" t="inlineStr">
        <is>
          <t>Perseverance</t>
        </is>
      </c>
      <c r="E70" t="inlineStr">
        <is>
          <t>16, 21, 23, 30</t>
        </is>
      </c>
      <c r="F70" t="n">
        <v>4</v>
      </c>
      <c r="G70" t="inlineStr">
        <is>
          <t>4-16</t>
        </is>
      </c>
      <c r="H70" t="inlineStr">
        <is>
          <t>First order factor; loads on Motor.</t>
        </is>
      </c>
    </row>
    <row r="71">
      <c r="A71" t="inlineStr">
        <is>
          <t>BIS-11</t>
        </is>
      </c>
      <c r="B71" t="inlineStr">
        <is>
          <t>Barratt Impulsiveness Scale, version 11</t>
        </is>
      </c>
      <c r="C71" t="inlineStr">
        <is>
          <t>1. Executive functioning and ADHD</t>
        </is>
      </c>
      <c r="D71" t="inlineStr">
        <is>
          <t>Self-Control</t>
        </is>
      </c>
      <c r="E71" t="inlineStr">
        <is>
          <t>1, 7, 8, 12, 13, 14</t>
        </is>
      </c>
      <c r="F71" t="n">
        <v>6</v>
      </c>
      <c r="G71" t="inlineStr">
        <is>
          <t>6-24</t>
        </is>
      </c>
      <c r="H71" t="inlineStr">
        <is>
          <t>First order factor; loads on Non-planning.</t>
        </is>
      </c>
    </row>
    <row r="72">
      <c r="A72" t="inlineStr">
        <is>
          <t>BIS-11</t>
        </is>
      </c>
      <c r="B72" t="inlineStr">
        <is>
          <t>Barratt Impulsiveness Scale, version 11</t>
        </is>
      </c>
      <c r="C72" t="inlineStr">
        <is>
          <t>1. Executive functioning and ADHD</t>
        </is>
      </c>
      <c r="D72" t="inlineStr">
        <is>
          <t>Cognitive Complexity</t>
        </is>
      </c>
      <c r="E72" t="inlineStr">
        <is>
          <t>10, 15, 18, 27, 29</t>
        </is>
      </c>
      <c r="F72" t="n">
        <v>5</v>
      </c>
      <c r="G72" t="inlineStr">
        <is>
          <t>5-20</t>
        </is>
      </c>
      <c r="H72" t="inlineStr">
        <is>
          <t>First order factor; loads on Non-planning.</t>
        </is>
      </c>
    </row>
    <row r="73">
      <c r="A73" t="inlineStr">
        <is>
          <t>BIS-11</t>
        </is>
      </c>
      <c r="B73" t="inlineStr">
        <is>
          <t>Barratt Impulsiveness Scale, version 11</t>
        </is>
      </c>
      <c r="C73" t="inlineStr">
        <is>
          <t>1. Executive functioning and ADHD</t>
        </is>
      </c>
      <c r="D73" t="inlineStr">
        <is>
          <t>Attentional</t>
        </is>
      </c>
      <c r="E73" t="inlineStr">
        <is>
          <t>5, 6, 9, 11, 20, 24, 26, 28</t>
        </is>
      </c>
      <c r="F73" t="n">
        <v>8</v>
      </c>
      <c r="G73" t="inlineStr">
        <is>
          <t>8-32</t>
        </is>
      </c>
      <c r="H73" t="inlineStr">
        <is>
          <t>Second order factor: Attention plus Cognitive Instability.</t>
        </is>
      </c>
    </row>
    <row r="74">
      <c r="A74" t="inlineStr">
        <is>
          <t>BIS-11</t>
        </is>
      </c>
      <c r="B74" t="inlineStr">
        <is>
          <t>Barratt Impulsiveness Scale, version 11</t>
        </is>
      </c>
      <c r="C74" t="inlineStr">
        <is>
          <t>1. Executive functioning and ADHD</t>
        </is>
      </c>
      <c r="D74" t="inlineStr">
        <is>
          <t>Motor (second order)</t>
        </is>
      </c>
      <c r="E74" t="inlineStr">
        <is>
          <t>2, 3, 4, 16, 17, 19, 21, 22, 23, 25, 30</t>
        </is>
      </c>
      <c r="F74" t="n">
        <v>11</v>
      </c>
      <c r="G74" t="inlineStr">
        <is>
          <t>11-44</t>
        </is>
      </c>
      <c r="H74" t="inlineStr">
        <is>
          <t>Second order factor: Motor plus Perseverance.</t>
        </is>
      </c>
    </row>
    <row r="75">
      <c r="A75" t="inlineStr">
        <is>
          <t>BIS-11</t>
        </is>
      </c>
      <c r="B75" t="inlineStr">
        <is>
          <t>Barratt Impulsiveness Scale, version 11</t>
        </is>
      </c>
      <c r="C75" t="inlineStr">
        <is>
          <t>1. Executive functioning and ADHD</t>
        </is>
      </c>
      <c r="D75" t="inlineStr">
        <is>
          <t>Nonplanning</t>
        </is>
      </c>
      <c r="E75" t="inlineStr">
        <is>
          <t>1, 7, 8, 10, 12, 13, 14, 15, 18, 27, 29</t>
        </is>
      </c>
      <c r="F75" t="n">
        <v>11</v>
      </c>
      <c r="G75" t="inlineStr">
        <is>
          <t>11-44</t>
        </is>
      </c>
      <c r="H75" t="inlineStr">
        <is>
          <t>Second order factor: Self-Control plus Cognitive Complexity.</t>
        </is>
      </c>
    </row>
    <row r="76">
      <c r="A76" t="inlineStr">
        <is>
          <t>BIS-11</t>
        </is>
      </c>
      <c r="B76" t="inlineStr">
        <is>
          <t>Barratt Impulsiveness Scale, version 11</t>
        </is>
      </c>
      <c r="C76" t="inlineStr">
        <is>
          <t>1. Executive functioning and ADHD</t>
        </is>
      </c>
      <c r="D76" t="inlineStr">
        <is>
          <t>Total</t>
        </is>
      </c>
      <c r="E76" t="inlineStr">
        <is>
          <t>1-30</t>
        </is>
      </c>
      <c r="F76" t="n">
        <v>30</v>
      </c>
      <c r="G76" t="inlineStr">
        <is>
          <t>30-120</t>
        </is>
      </c>
      <c r="H76" t="inlineStr">
        <is>
          <t>Sum of all 30 items after reverse scoring 11 items.</t>
        </is>
      </c>
    </row>
    <row r="77">
      <c r="A77" t="inlineStr">
        <is>
          <t>BIS-BRIEF</t>
        </is>
      </c>
      <c r="B77" t="inlineStr">
        <is>
          <t>Barratt Impulsiveness Scale, Brief</t>
        </is>
      </c>
      <c r="C77" t="inlineStr">
        <is>
          <t>1. Executive functioning and ADHD</t>
        </is>
      </c>
      <c r="D77" t="inlineStr">
        <is>
          <t>Total</t>
        </is>
      </c>
      <c r="E77" t="inlineStr">
        <is>
          <t>1-8</t>
        </is>
      </c>
      <c r="F77" t="n">
        <v>8</v>
      </c>
      <c r="G77" t="inlineStr">
        <is>
          <t>8-32</t>
        </is>
      </c>
      <c r="H77" t="inlineStr">
        <is>
          <t>Unidimensional impulsiveness score.</t>
        </is>
      </c>
    </row>
    <row r="78">
      <c r="A78" t="inlineStr">
        <is>
          <t>BTQ</t>
        </is>
      </c>
      <c r="B78" t="inlineStr">
        <is>
          <t>Brief Trauma Questionnaire</t>
        </is>
      </c>
      <c r="C78" t="inlineStr">
        <is>
          <t>4. Clinical and distress screening</t>
        </is>
      </c>
      <c r="D78" t="inlineStr">
        <is>
          <t>Trauma exposure</t>
        </is>
      </c>
      <c r="E78" t="inlineStr">
        <is>
          <t>1-10</t>
        </is>
      </c>
      <c r="F78" t="n">
        <v>10</v>
      </c>
      <c r="G78" t="inlineStr">
        <is>
          <t>0-10 events meeting Criterion A</t>
        </is>
      </c>
      <c r="H78" t="inlineStr">
        <is>
          <t>Each event has 3 columns: "Has this ever happened to you?" (No/Yes); "If the event happened, did you think your life was in danger or you might be seriously injured?" (No/Yes); "If the event happened, were you seriously injured?" (No/Yes). N/A columns vary by item as noted.</t>
        </is>
      </c>
    </row>
    <row r="79">
      <c r="A79" t="inlineStr">
        <is>
          <t>CAGE</t>
        </is>
      </c>
      <c r="B79" t="inlineStr">
        <is>
          <t>CAGE Questionnaire</t>
        </is>
      </c>
      <c r="C79" t="inlineStr">
        <is>
          <t>4. Clinical and distress screening</t>
        </is>
      </c>
      <c r="D79" t="inlineStr">
        <is>
          <t>Total</t>
        </is>
      </c>
      <c r="E79" t="inlineStr">
        <is>
          <t>1-4</t>
        </is>
      </c>
      <c r="F79" t="n">
        <v>4</v>
      </c>
      <c r="G79" t="inlineStr">
        <is>
          <t>0-4</t>
        </is>
      </c>
      <c r="H79" t="inlineStr">
        <is>
          <t>Count of yes responses.</t>
        </is>
      </c>
    </row>
    <row r="80">
      <c r="A80" t="inlineStr">
        <is>
          <t>CAPE-42</t>
        </is>
      </c>
      <c r="B80" t="inlineStr">
        <is>
          <t>Community Assessment of Psychic Experiences</t>
        </is>
      </c>
      <c r="C80" t="inlineStr">
        <is>
          <t>4. Clinical and distress screening</t>
        </is>
      </c>
      <c r="D80" t="inlineStr">
        <is>
          <t>Positive</t>
        </is>
      </c>
      <c r="E80" t="inlineStr">
        <is>
          <t>2, 5, 6, 7, 10, 11, 13, 15, 17, 20, 22, 24, 26, 28, 30, 31, 33, 34, 41, 42</t>
        </is>
      </c>
      <c r="F80" t="n">
        <v>20</v>
      </c>
      <c r="G80" t="inlineStr">
        <is>
          <t>20-80 frequency; 20-80 distress; weighted mean 1-4</t>
        </is>
      </c>
      <c r="H80" t="inlineStr">
        <is>
          <t>Delusional ideation, paranoia, grandiosity, thought interference and hallucinations. Membership confirmed from the Cambridge supplementary table.</t>
        </is>
      </c>
    </row>
    <row r="81">
      <c r="A81" t="inlineStr">
        <is>
          <t>CAPE-42</t>
        </is>
      </c>
      <c r="B81" t="inlineStr">
        <is>
          <t>Community Assessment of Psychic Experiences</t>
        </is>
      </c>
      <c r="C81" t="inlineStr">
        <is>
          <t>4. Clinical and distress screening</t>
        </is>
      </c>
      <c r="D81" t="inlineStr">
        <is>
          <t>Negative</t>
        </is>
      </c>
      <c r="E81" t="inlineStr">
        <is>
          <t>3, 4, 8, 16, 18, 21, 23, 25, 27, 29, 32, 35, 36, 37</t>
        </is>
      </c>
      <c r="F81" t="n">
        <v>14</v>
      </c>
      <c r="G81" t="inlineStr">
        <is>
          <t>14-56</t>
        </is>
      </c>
      <c r="H81" t="inlineStr">
        <is>
          <t>Avolition, social withdrawal, affective flattening and anergia.</t>
        </is>
      </c>
    </row>
    <row r="82">
      <c r="A82" t="inlineStr">
        <is>
          <t>CAPE-42</t>
        </is>
      </c>
      <c r="B82" t="inlineStr">
        <is>
          <t>Community Assessment of Psychic Experiences</t>
        </is>
      </c>
      <c r="C82" t="inlineStr">
        <is>
          <t>4. Clinical and distress screening</t>
        </is>
      </c>
      <c r="D82" t="inlineStr">
        <is>
          <t>Depressive</t>
        </is>
      </c>
      <c r="E82" t="inlineStr">
        <is>
          <t>1, 9, 12, 14, 19, 38, 39, 40</t>
        </is>
      </c>
      <c r="F82" t="n">
        <v>8</v>
      </c>
      <c r="G82" t="inlineStr">
        <is>
          <t>8-32</t>
        </is>
      </c>
      <c r="H82" t="inlineStr">
        <is>
          <t>Sadness, pessimism, guilt, tension and suicidal ideation.</t>
        </is>
      </c>
    </row>
    <row r="83">
      <c r="A83" t="inlineStr">
        <is>
          <t>CBI</t>
        </is>
      </c>
      <c r="B83" t="inlineStr">
        <is>
          <t>Copenhagen Burnout Inventory</t>
        </is>
      </c>
      <c r="C83" t="inlineStr">
        <is>
          <t>3. Adjacent occupational and wellbeing</t>
        </is>
      </c>
      <c r="D83" t="inlineStr">
        <is>
          <t>Personal burnout</t>
        </is>
      </c>
      <c r="E83" t="inlineStr">
        <is>
          <t>1-6</t>
        </is>
      </c>
      <c r="F83" t="n">
        <v>6</v>
      </c>
      <c r="G83" t="inlineStr">
        <is>
          <t>0-100</t>
        </is>
      </c>
      <c r="H83" t="inlineStr">
        <is>
          <t>"Personal burnout is a state of prolonged physical and psychological exhaustion." Scale is valid if at least 3 of 6 items answered.</t>
        </is>
      </c>
    </row>
    <row r="84">
      <c r="A84" t="inlineStr">
        <is>
          <t>CBI</t>
        </is>
      </c>
      <c r="B84" t="inlineStr">
        <is>
          <t>Copenhagen Burnout Inventory</t>
        </is>
      </c>
      <c r="C84" t="inlineStr">
        <is>
          <t>3. Adjacent occupational and wellbeing</t>
        </is>
      </c>
      <c r="D84" t="inlineStr">
        <is>
          <t>Work related burnout</t>
        </is>
      </c>
      <c r="E84" t="inlineStr">
        <is>
          <t>7-13</t>
        </is>
      </c>
      <c r="F84" t="n">
        <v>7</v>
      </c>
      <c r="G84" t="inlineStr">
        <is>
          <t>0-100</t>
        </is>
      </c>
      <c r="H84" t="inlineStr">
        <is>
          <t>"Work burnout is a state of prolonged physical and psychological exhaustion, which is perceived as related to the person's work." Item 13 reversed. Scale is valid if at least 4 of 7 items answered.</t>
        </is>
      </c>
    </row>
    <row r="85">
      <c r="A85" t="inlineStr">
        <is>
          <t>CBI</t>
        </is>
      </c>
      <c r="B85" t="inlineStr">
        <is>
          <t>Copenhagen Burnout Inventory</t>
        </is>
      </c>
      <c r="C85" t="inlineStr">
        <is>
          <t>3. Adjacent occupational and wellbeing</t>
        </is>
      </c>
      <c r="D85" t="inlineStr">
        <is>
          <t>Client related burnout</t>
        </is>
      </c>
      <c r="E85" t="inlineStr">
        <is>
          <t>14-19</t>
        </is>
      </c>
      <c r="F85" t="n">
        <v>6</v>
      </c>
      <c r="G85" t="inlineStr">
        <is>
          <t>0-100</t>
        </is>
      </c>
      <c r="H85" t="inlineStr">
        <is>
          <t>"Client burnout is a state of prolonged physical and psychological exhaustion, which is perceived as related to the person's work with clients." Scale is valid if at least 3 of 6 items answered. The word clients is replaced by the relevant term (patients, students, inmates and so on).</t>
        </is>
      </c>
    </row>
    <row r="86">
      <c r="A86" t="inlineStr">
        <is>
          <t>CES-D</t>
        </is>
      </c>
      <c r="B86" t="inlineStr">
        <is>
          <t>Center for Epidemiologic Studies Depression Scale</t>
        </is>
      </c>
      <c r="C86" t="inlineStr">
        <is>
          <t>4. Clinical and distress screening</t>
        </is>
      </c>
      <c r="D86" t="inlineStr">
        <is>
          <t>Total</t>
        </is>
      </c>
      <c r="E86" t="inlineStr">
        <is>
          <t>1-20</t>
        </is>
      </c>
      <c r="F86" t="n">
        <v>20</v>
      </c>
      <c r="G86" t="inlineStr">
        <is>
          <t>0-60</t>
        </is>
      </c>
      <c r="H86" t="inlineStr">
        <is>
          <t>Depressive symptom frequency over the past week.</t>
        </is>
      </c>
    </row>
    <row r="87">
      <c r="A87" t="inlineStr">
        <is>
          <t>CES-D</t>
        </is>
      </c>
      <c r="B87" t="inlineStr">
        <is>
          <t>Center for Epidemiologic Studies Depression Scale</t>
        </is>
      </c>
      <c r="C87" t="inlineStr">
        <is>
          <t>4. Clinical and distress screening</t>
        </is>
      </c>
      <c r="D87" t="inlineStr">
        <is>
          <t>Depressed affect</t>
        </is>
      </c>
      <c r="E87" t="inlineStr">
        <is>
          <t>3, 6, 9, 10, 14, 17, 18</t>
        </is>
      </c>
      <c r="F87" t="n">
        <v>7</v>
      </c>
      <c r="G87" t="inlineStr">
        <is>
          <t>0-21</t>
        </is>
      </c>
      <c r="H87" t="inlineStr">
        <is>
          <t>Radloff (1977) factor.</t>
        </is>
      </c>
    </row>
    <row r="88">
      <c r="A88" t="inlineStr">
        <is>
          <t>CES-D</t>
        </is>
      </c>
      <c r="B88" t="inlineStr">
        <is>
          <t>Center for Epidemiologic Studies Depression Scale</t>
        </is>
      </c>
      <c r="C88" t="inlineStr">
        <is>
          <t>4. Clinical and distress screening</t>
        </is>
      </c>
      <c r="D88" t="inlineStr">
        <is>
          <t>Positive affect</t>
        </is>
      </c>
      <c r="E88" t="inlineStr">
        <is>
          <t>4, 8, 12, 16</t>
        </is>
      </c>
      <c r="F88" t="n">
        <v>4</v>
      </c>
      <c r="G88" t="inlineStr">
        <is>
          <t>0-12</t>
        </is>
      </c>
      <c r="H88" t="inlineStr">
        <is>
          <t>Radloff (1977) factor; items reverse scored.</t>
        </is>
      </c>
    </row>
    <row r="89">
      <c r="A89" t="inlineStr">
        <is>
          <t>CES-D</t>
        </is>
      </c>
      <c r="B89" t="inlineStr">
        <is>
          <t>Center for Epidemiologic Studies Depression Scale</t>
        </is>
      </c>
      <c r="C89" t="inlineStr">
        <is>
          <t>4. Clinical and distress screening</t>
        </is>
      </c>
      <c r="D89" t="inlineStr">
        <is>
          <t>Somatic and retarded activity</t>
        </is>
      </c>
      <c r="E89" t="inlineStr">
        <is>
          <t>1, 2, 5, 7, 11, 13, 20</t>
        </is>
      </c>
      <c r="F89" t="n">
        <v>7</v>
      </c>
      <c r="G89" t="inlineStr">
        <is>
          <t>0-21</t>
        </is>
      </c>
      <c r="H89" t="inlineStr">
        <is>
          <t>Radloff (1977) factor.</t>
        </is>
      </c>
    </row>
    <row r="90">
      <c r="A90" t="inlineStr">
        <is>
          <t>CES-D</t>
        </is>
      </c>
      <c r="B90" t="inlineStr">
        <is>
          <t>Center for Epidemiologic Studies Depression Scale</t>
        </is>
      </c>
      <c r="C90" t="inlineStr">
        <is>
          <t>4. Clinical and distress screening</t>
        </is>
      </c>
      <c r="D90" t="inlineStr">
        <is>
          <t>Interpersonal</t>
        </is>
      </c>
      <c r="E90" t="inlineStr">
        <is>
          <t>15, 19</t>
        </is>
      </c>
      <c r="F90" t="n">
        <v>2</v>
      </c>
      <c r="G90" t="inlineStr">
        <is>
          <t>0-6</t>
        </is>
      </c>
      <c r="H90" t="inlineStr">
        <is>
          <t>Radloff (1977) factor.</t>
        </is>
      </c>
    </row>
    <row r="91">
      <c r="A91" t="inlineStr">
        <is>
          <t>CFC-14</t>
        </is>
      </c>
      <c r="B91" t="inlineStr">
        <is>
          <t>Consideration of Future Consequences Scale, 14 item</t>
        </is>
      </c>
      <c r="C91" t="inlineStr">
        <is>
          <t>6. Motivation, self determination and goal pursuit</t>
        </is>
      </c>
      <c r="D91" t="inlineStr">
        <is>
          <t>CFC Future</t>
        </is>
      </c>
      <c r="E91" t="inlineStr">
        <is>
          <t>1, 2, 6, 7, 8, 13, 14</t>
        </is>
      </c>
      <c r="F91" t="n">
        <v>7</v>
      </c>
      <c r="G91" t="inlineStr">
        <is>
          <t>7-49</t>
        </is>
      </c>
      <c r="H91" t="inlineStr">
        <is>
          <t>Consideration of future consequences; positively worded items.</t>
        </is>
      </c>
    </row>
    <row r="92">
      <c r="A92" t="inlineStr">
        <is>
          <t>CFC-14</t>
        </is>
      </c>
      <c r="B92" t="inlineStr">
        <is>
          <t>Consideration of Future Consequences Scale, 14 item</t>
        </is>
      </c>
      <c r="C92" t="inlineStr">
        <is>
          <t>6. Motivation, self determination and goal pursuit</t>
        </is>
      </c>
      <c r="D92" t="inlineStr">
        <is>
          <t>CFC Immediate</t>
        </is>
      </c>
      <c r="E92" t="inlineStr">
        <is>
          <t>3, 4, 5, 9, 10, 11, 12</t>
        </is>
      </c>
      <c r="F92" t="n">
        <v>7</v>
      </c>
      <c r="G92" t="inlineStr">
        <is>
          <t>7-49</t>
        </is>
      </c>
      <c r="H92" t="inlineStr">
        <is>
          <t>Consideration of immediate consequences; negatively worded items, reverse scored for the total.</t>
        </is>
      </c>
    </row>
    <row r="93">
      <c r="A93" t="inlineStr">
        <is>
          <t>CFC-14</t>
        </is>
      </c>
      <c r="B93" t="inlineStr">
        <is>
          <t>Consideration of Future Consequences Scale, 14 item</t>
        </is>
      </c>
      <c r="C93" t="inlineStr">
        <is>
          <t>6. Motivation, self determination and goal pursuit</t>
        </is>
      </c>
      <c r="D93" t="inlineStr">
        <is>
          <t>Total</t>
        </is>
      </c>
      <c r="E93" t="inlineStr">
        <is>
          <t>1-14</t>
        </is>
      </c>
      <c r="F93" t="n">
        <v>14</v>
      </c>
      <c r="G93" t="inlineStr">
        <is>
          <t>14-98</t>
        </is>
      </c>
      <c r="H93" t="inlineStr">
        <is>
          <t>Overall future orientation after reversing the Immediate items.</t>
        </is>
      </c>
    </row>
    <row r="94">
      <c r="A94" t="inlineStr">
        <is>
          <t>CFQ</t>
        </is>
      </c>
      <c r="B94" t="inlineStr">
        <is>
          <t>Cognitive Failures Questionnaire</t>
        </is>
      </c>
      <c r="C94" t="inlineStr">
        <is>
          <t>1. Executive functioning and ADHD</t>
        </is>
      </c>
      <c r="D94" t="inlineStr">
        <is>
          <t>Total</t>
        </is>
      </c>
      <c r="E94" t="inlineStr">
        <is>
          <t>1-25</t>
        </is>
      </c>
      <c r="F94" t="n">
        <v>25</v>
      </c>
      <c r="G94" t="inlineStr">
        <is>
          <t>0-100</t>
        </is>
      </c>
      <c r="H94" t="inlineStr">
        <is>
          <t>Sum of all 25 items. Higher scores indicate more frequent cognitive failures.</t>
        </is>
      </c>
    </row>
    <row r="95">
      <c r="A95" t="inlineStr">
        <is>
          <t>COHS</t>
        </is>
      </c>
      <c r="B95" t="inlineStr">
        <is>
          <t>Creature of Habit Scale</t>
        </is>
      </c>
      <c r="C95" t="inlineStr">
        <is>
          <t>6. Motivation, self determination and goal pursuit</t>
        </is>
      </c>
      <c r="D95" t="inlineStr">
        <is>
          <t>Routine</t>
        </is>
      </c>
      <c r="E95" t="inlineStr">
        <is>
          <t>1-16</t>
        </is>
      </c>
      <c r="F95" t="n">
        <v>16</v>
      </c>
      <c r="G95" t="inlineStr">
        <is>
          <t>16-80</t>
        </is>
      </c>
      <c r="H95" t="inlineStr">
        <is>
          <t>Preference for routine and familiarity. Sum of the 16 Routine items.</t>
        </is>
      </c>
    </row>
    <row r="96">
      <c r="A96" t="inlineStr">
        <is>
          <t>COHS</t>
        </is>
      </c>
      <c r="B96" t="inlineStr">
        <is>
          <t>Creature of Habit Scale</t>
        </is>
      </c>
      <c r="C96" t="inlineStr">
        <is>
          <t>6. Motivation, self determination and goal pursuit</t>
        </is>
      </c>
      <c r="D96" t="inlineStr">
        <is>
          <t>Automaticity</t>
        </is>
      </c>
      <c r="E96" t="inlineStr">
        <is>
          <t>17-27</t>
        </is>
      </c>
      <c r="F96" t="n">
        <v>11</v>
      </c>
      <c r="G96" t="inlineStr">
        <is>
          <t>11-55</t>
        </is>
      </c>
      <c r="H96" t="inlineStr">
        <is>
          <t>Automatic, cue driven responding, largely food related. Sum of the 11 Automaticity items.</t>
        </is>
      </c>
    </row>
    <row r="97">
      <c r="A97" t="inlineStr">
        <is>
          <t>CPC-12</t>
        </is>
      </c>
      <c r="B97" t="inlineStr">
        <is>
          <t>Compound PsyCap Scale</t>
        </is>
      </c>
      <c r="C97" t="inlineStr">
        <is>
          <t>3. Adjacent occupational and wellbeing</t>
        </is>
      </c>
      <c r="D97" t="inlineStr">
        <is>
          <t>Hope</t>
        </is>
      </c>
      <c r="E97" t="inlineStr">
        <is>
          <t>1-3</t>
        </is>
      </c>
      <c r="F97" t="n">
        <v>3</v>
      </c>
      <c r="G97" t="inlineStr">
        <is>
          <t>1-6</t>
        </is>
      </c>
      <c r="H97" t="inlineStr">
        <is>
          <t>Agency and pathways thinking, items drawn from the State Hope Scale.</t>
        </is>
      </c>
    </row>
    <row r="98">
      <c r="A98" t="inlineStr">
        <is>
          <t>CPC-12</t>
        </is>
      </c>
      <c r="B98" t="inlineStr">
        <is>
          <t>Compound PsyCap Scale</t>
        </is>
      </c>
      <c r="C98" t="inlineStr">
        <is>
          <t>3. Adjacent occupational and wellbeing</t>
        </is>
      </c>
      <c r="D98" t="inlineStr">
        <is>
          <t>Optimism</t>
        </is>
      </c>
      <c r="E98" t="inlineStr">
        <is>
          <t>4-6</t>
        </is>
      </c>
      <c r="F98" t="n">
        <v>3</v>
      </c>
      <c r="G98" t="inlineStr">
        <is>
          <t>1-6</t>
        </is>
      </c>
      <c r="H98" t="inlineStr">
        <is>
          <t>Positive expectations for the future, items drawn from the AFF future orientation questionnaire and the LOT-R.</t>
        </is>
      </c>
    </row>
    <row r="99">
      <c r="A99" t="inlineStr">
        <is>
          <t>CPC-12</t>
        </is>
      </c>
      <c r="B99" t="inlineStr">
        <is>
          <t>Compound PsyCap Scale</t>
        </is>
      </c>
      <c r="C99" t="inlineStr">
        <is>
          <t>3. Adjacent occupational and wellbeing</t>
        </is>
      </c>
      <c r="D99" t="inlineStr">
        <is>
          <t>Resilience</t>
        </is>
      </c>
      <c r="E99" t="inlineStr">
        <is>
          <t>7-9</t>
        </is>
      </c>
      <c r="F99" t="n">
        <v>3</v>
      </c>
      <c r="G99" t="inlineStr">
        <is>
          <t>1-6</t>
        </is>
      </c>
      <c r="H99" t="inlineStr">
        <is>
          <t>Items drawn from the German Resilience Scale RS-13.</t>
        </is>
      </c>
    </row>
    <row r="100">
      <c r="A100" t="inlineStr">
        <is>
          <t>CPC-12</t>
        </is>
      </c>
      <c r="B100" t="inlineStr">
        <is>
          <t>Compound PsyCap Scale</t>
        </is>
      </c>
      <c r="C100" t="inlineStr">
        <is>
          <t>3. Adjacent occupational and wellbeing</t>
        </is>
      </c>
      <c r="D100" t="inlineStr">
        <is>
          <t>Self-efficacy</t>
        </is>
      </c>
      <c r="E100" t="inlineStr">
        <is>
          <t>10-12</t>
        </is>
      </c>
      <c r="F100" t="n">
        <v>3</v>
      </c>
      <c r="G100" t="inlineStr">
        <is>
          <t>1-6</t>
        </is>
      </c>
      <c r="H100" t="inlineStr">
        <is>
          <t>Items drawn from the General Self-Efficacy Scale.</t>
        </is>
      </c>
    </row>
    <row r="101">
      <c r="A101" t="inlineStr">
        <is>
          <t>CPC-12</t>
        </is>
      </c>
      <c r="B101" t="inlineStr">
        <is>
          <t>Compound PsyCap Scale</t>
        </is>
      </c>
      <c r="C101" t="inlineStr">
        <is>
          <t>3. Adjacent occupational and wellbeing</t>
        </is>
      </c>
      <c r="D101" t="inlineStr">
        <is>
          <t>Total</t>
        </is>
      </c>
      <c r="E101" t="inlineStr">
        <is>
          <t>1-12</t>
        </is>
      </c>
      <c r="F101" t="n">
        <v>12</v>
      </c>
      <c r="G101" t="inlineStr">
        <is>
          <t>1-6</t>
        </is>
      </c>
      <c r="H101" t="inlineStr">
        <is>
          <t>Overall psychological capital.</t>
        </is>
      </c>
    </row>
    <row r="102">
      <c r="A102" t="inlineStr">
        <is>
          <t>CUDIT-R</t>
        </is>
      </c>
      <c r="B102" t="inlineStr">
        <is>
          <t>Cannabis Use Disorders Identification Test, Revised</t>
        </is>
      </c>
      <c r="C102" t="inlineStr">
        <is>
          <t>4. Clinical and distress screening</t>
        </is>
      </c>
      <c r="D102" t="inlineStr">
        <is>
          <t>Total</t>
        </is>
      </c>
      <c r="E102" t="inlineStr">
        <is>
          <t>1-8</t>
        </is>
      </c>
      <c r="F102" t="n">
        <v>8</v>
      </c>
      <c r="G102" t="inlineStr">
        <is>
          <t>0-32</t>
        </is>
      </c>
      <c r="H102" t="inlineStr">
        <is>
          <t>Cannabis use disorder risk.</t>
        </is>
      </c>
    </row>
    <row r="103">
      <c r="A103" t="inlineStr">
        <is>
          <t>DES-II</t>
        </is>
      </c>
      <c r="B103" t="inlineStr">
        <is>
          <t>Dissociative Experiences Scale II</t>
        </is>
      </c>
      <c r="C103" t="inlineStr">
        <is>
          <t>4. Clinical and distress screening</t>
        </is>
      </c>
      <c r="D103" t="inlineStr">
        <is>
          <t>Total</t>
        </is>
      </c>
      <c r="E103" t="inlineStr">
        <is>
          <t>1-28</t>
        </is>
      </c>
      <c r="F103" t="n">
        <v>28</v>
      </c>
      <c r="G103" t="inlineStr">
        <is>
          <t>0-100</t>
        </is>
      </c>
      <c r="H103" t="inlineStr">
        <is>
          <t>Mean of the 28 item percentages.</t>
        </is>
      </c>
    </row>
    <row r="104">
      <c r="A104" t="inlineStr">
        <is>
          <t>DES-II</t>
        </is>
      </c>
      <c r="B104" t="inlineStr">
        <is>
          <t>Dissociative Experiences Scale II</t>
        </is>
      </c>
      <c r="C104" t="inlineStr">
        <is>
          <t>4. Clinical and distress screening</t>
        </is>
      </c>
      <c r="D104" t="inlineStr">
        <is>
          <t>Amnesia</t>
        </is>
      </c>
      <c r="E104" t="inlineStr">
        <is>
          <t>3, 4, 5, 6, 8, 10, 25, 26</t>
        </is>
      </c>
      <c r="F104" t="n">
        <v>8</v>
      </c>
      <c r="G104" t="inlineStr">
        <is>
          <t>0-100</t>
        </is>
      </c>
      <c r="H104" t="inlineStr">
        <is>
          <t>Carlson et al. (1991) factor; membership from the literature, not printed on the source form.</t>
        </is>
      </c>
    </row>
    <row r="105">
      <c r="A105" t="inlineStr">
        <is>
          <t>DES-II</t>
        </is>
      </c>
      <c r="B105" t="inlineStr">
        <is>
          <t>Dissociative Experiences Scale II</t>
        </is>
      </c>
      <c r="C105" t="inlineStr">
        <is>
          <t>4. Clinical and distress screening</t>
        </is>
      </c>
      <c r="D105" t="inlineStr">
        <is>
          <t>Depersonalisation and derealisation</t>
        </is>
      </c>
      <c r="E105" t="inlineStr">
        <is>
          <t>7, 11, 12, 13, 27, 28</t>
        </is>
      </c>
      <c r="F105" t="n">
        <v>6</v>
      </c>
      <c r="G105" t="inlineStr">
        <is>
          <t>0-100</t>
        </is>
      </c>
      <c r="H105" t="inlineStr">
        <is>
          <t>Carlson et al. (1991) factor; membership from the literature, not printed on the source form.</t>
        </is>
      </c>
    </row>
    <row r="106">
      <c r="A106" t="inlineStr">
        <is>
          <t>DES-II</t>
        </is>
      </c>
      <c r="B106" t="inlineStr">
        <is>
          <t>Dissociative Experiences Scale II</t>
        </is>
      </c>
      <c r="C106" t="inlineStr">
        <is>
          <t>4. Clinical and distress screening</t>
        </is>
      </c>
      <c r="D106" t="inlineStr">
        <is>
          <t>Absorption</t>
        </is>
      </c>
      <c r="E106" t="inlineStr">
        <is>
          <t>2, 14, 15, 17, 18, 20, 22, 23</t>
        </is>
      </c>
      <c r="F106" t="n">
        <v>8</v>
      </c>
      <c r="G106" t="inlineStr">
        <is>
          <t>0-100</t>
        </is>
      </c>
      <c r="H106" t="inlineStr">
        <is>
          <t>Carlson et al. (1991) factor; membership from the literature, not printed on the source form.</t>
        </is>
      </c>
    </row>
    <row r="107">
      <c r="A107" t="inlineStr">
        <is>
          <t>DES-II</t>
        </is>
      </c>
      <c r="B107" t="inlineStr">
        <is>
          <t>Dissociative Experiences Scale II</t>
        </is>
      </c>
      <c r="C107" t="inlineStr">
        <is>
          <t>4. Clinical and distress screening</t>
        </is>
      </c>
      <c r="D107" t="inlineStr">
        <is>
          <t>DES-Taxon</t>
        </is>
      </c>
      <c r="E107" t="inlineStr">
        <is>
          <t>3, 5, 7, 8, 12, 13, 22, 27</t>
        </is>
      </c>
      <c r="F107" t="n">
        <v>8</v>
      </c>
      <c r="G107" t="inlineStr">
        <is>
          <t>0-100</t>
        </is>
      </c>
      <c r="H107" t="inlineStr">
        <is>
          <t>Waller, Putnam and Carlson (1996) pathological dissociation taxon items; membership from the literature, not printed on the source form.</t>
        </is>
      </c>
    </row>
    <row r="108">
      <c r="A108" t="inlineStr">
        <is>
          <t>FMPS-B</t>
        </is>
      </c>
      <c r="B108" t="inlineStr">
        <is>
          <t>Frost Multidimensional Perfectionism Scale, Brief</t>
        </is>
      </c>
      <c r="C108" t="inlineStr">
        <is>
          <t>5. Self talk, thinking patterns and personality</t>
        </is>
      </c>
      <c r="D108" t="inlineStr">
        <is>
          <t>Evaluative Concerns</t>
        </is>
      </c>
      <c r="E108" t="inlineStr">
        <is>
          <t>1, 3, 6, 8</t>
        </is>
      </c>
      <c r="F108" t="n">
        <v>4</v>
      </c>
      <c r="G108" t="inlineStr">
        <is>
          <t>4-20</t>
        </is>
      </c>
      <c r="H108" t="inlineStr">
        <is>
          <t>Concern over mistakes and doubts about actions; self critical, fear of negative evaluation.</t>
        </is>
      </c>
    </row>
    <row r="109">
      <c r="A109" t="inlineStr">
        <is>
          <t>FMPS-B</t>
        </is>
      </c>
      <c r="B109" t="inlineStr">
        <is>
          <t>Frost Multidimensional Perfectionism Scale, Brief</t>
        </is>
      </c>
      <c r="C109" t="inlineStr">
        <is>
          <t>5. Self talk, thinking patterns and personality</t>
        </is>
      </c>
      <c r="D109" t="inlineStr">
        <is>
          <t>Strivings</t>
        </is>
      </c>
      <c r="E109" t="inlineStr">
        <is>
          <t>2, 4, 5, 7</t>
        </is>
      </c>
      <c r="F109" t="n">
        <v>4</v>
      </c>
      <c r="G109" t="inlineStr">
        <is>
          <t>4-20</t>
        </is>
      </c>
      <c r="H109" t="inlineStr">
        <is>
          <t>Personal standards; setting and expecting high performance.</t>
        </is>
      </c>
    </row>
    <row r="110">
      <c r="A110" t="inlineStr">
        <is>
          <t>FMPS-B</t>
        </is>
      </c>
      <c r="B110" t="inlineStr">
        <is>
          <t>Frost Multidimensional Perfectionism Scale, Brief</t>
        </is>
      </c>
      <c r="C110" t="inlineStr">
        <is>
          <t>5. Self talk, thinking patterns and personality</t>
        </is>
      </c>
      <c r="D110" t="inlineStr">
        <is>
          <t>Total</t>
        </is>
      </c>
      <c r="E110" t="inlineStr">
        <is>
          <t>1-8</t>
        </is>
      </c>
      <c r="F110" t="n">
        <v>8</v>
      </c>
      <c r="G110" t="inlineStr">
        <is>
          <t>8-40</t>
        </is>
      </c>
      <c r="H110" t="inlineStr">
        <is>
          <t>Sum of all 8 items.</t>
        </is>
      </c>
    </row>
    <row r="111">
      <c r="A111" t="inlineStr">
        <is>
          <t>GAD-7</t>
        </is>
      </c>
      <c r="B111" t="inlineStr">
        <is>
          <t>Generalized Anxiety Disorder 7</t>
        </is>
      </c>
      <c r="C111" t="inlineStr">
        <is>
          <t>4. Clinical and distress screening</t>
        </is>
      </c>
      <c r="D111" t="inlineStr">
        <is>
          <t>Total</t>
        </is>
      </c>
      <c r="E111" t="inlineStr">
        <is>
          <t>1-7</t>
        </is>
      </c>
      <c r="F111" t="n">
        <v>7</v>
      </c>
      <c r="G111" t="inlineStr">
        <is>
          <t>0-21</t>
        </is>
      </c>
      <c r="H111" t="inlineStr">
        <is>
          <t>Sum of the 7 symptom items. The difficulty question (item 8 here) is not included in the total.</t>
        </is>
      </c>
    </row>
    <row r="112">
      <c r="A112" t="inlineStr">
        <is>
          <t>GPS</t>
        </is>
      </c>
      <c r="B112" t="inlineStr">
        <is>
          <t>General Procrastination Scale</t>
        </is>
      </c>
      <c r="C112" t="inlineStr">
        <is>
          <t>6. Motivation, self determination and goal pursuit</t>
        </is>
      </c>
      <c r="D112" t="inlineStr">
        <is>
          <t>Total</t>
        </is>
      </c>
      <c r="E112" t="inlineStr">
        <is>
          <t>1-20</t>
        </is>
      </c>
      <c r="F112" t="n">
        <v>20</v>
      </c>
      <c r="G112" t="inlineStr">
        <is>
          <t>20-100</t>
        </is>
      </c>
      <c r="H112" t="inlineStr">
        <is>
          <t>Sum of all 20 items after reverse scoring items 3, 4, 6, 8, 11, 13, 14, 15, 18 and 20.</t>
        </is>
      </c>
    </row>
    <row r="113">
      <c r="A113" t="inlineStr">
        <is>
          <t>HUA-ORANGA</t>
        </is>
      </c>
      <c r="B113" t="inlineStr">
        <is>
          <t>Hua Oranga</t>
        </is>
      </c>
      <c r="C113" t="inlineStr">
        <is>
          <t>7. Wellbeing and life satisfaction</t>
        </is>
      </c>
      <c r="D113" t="inlineStr">
        <is>
          <t>Taha Tinana</t>
        </is>
      </c>
      <c r="E113" t="inlineStr">
        <is>
          <t>1-4</t>
        </is>
      </c>
      <c r="F113" t="n">
        <v>4</v>
      </c>
      <c r="G113" t="inlineStr">
        <is>
          <t>4-20</t>
        </is>
      </c>
      <c r="H113" t="inlineStr">
        <is>
          <t>Physical wellbeing.</t>
        </is>
      </c>
    </row>
    <row r="114">
      <c r="A114" t="inlineStr">
        <is>
          <t>HUA-ORANGA</t>
        </is>
      </c>
      <c r="B114" t="inlineStr">
        <is>
          <t>Hua Oranga</t>
        </is>
      </c>
      <c r="C114" t="inlineStr">
        <is>
          <t>7. Wellbeing and life satisfaction</t>
        </is>
      </c>
      <c r="D114" t="inlineStr">
        <is>
          <t>Taha Wairua</t>
        </is>
      </c>
      <c r="E114" t="inlineStr">
        <is>
          <t>5-8</t>
        </is>
      </c>
      <c r="F114" t="n">
        <v>4</v>
      </c>
      <c r="G114" t="inlineStr">
        <is>
          <t>4-20</t>
        </is>
      </c>
      <c r="H114" t="inlineStr">
        <is>
          <t>Spiritual wellbeing.</t>
        </is>
      </c>
    </row>
    <row r="115">
      <c r="A115" t="inlineStr">
        <is>
          <t>HUA-ORANGA</t>
        </is>
      </c>
      <c r="B115" t="inlineStr">
        <is>
          <t>Hua Oranga</t>
        </is>
      </c>
      <c r="C115" t="inlineStr">
        <is>
          <t>7. Wellbeing and life satisfaction</t>
        </is>
      </c>
      <c r="D115" t="inlineStr">
        <is>
          <t>Taha Whānau</t>
        </is>
      </c>
      <c r="E115" t="inlineStr">
        <is>
          <t>9-12</t>
        </is>
      </c>
      <c r="F115" t="n">
        <v>4</v>
      </c>
      <c r="G115" t="inlineStr">
        <is>
          <t>4-20</t>
        </is>
      </c>
      <c r="H115" t="inlineStr">
        <is>
          <t>Family and social wellbeing.</t>
        </is>
      </c>
    </row>
    <row r="116">
      <c r="A116" t="inlineStr">
        <is>
          <t>HUA-ORANGA</t>
        </is>
      </c>
      <c r="B116" t="inlineStr">
        <is>
          <t>Hua Oranga</t>
        </is>
      </c>
      <c r="C116" t="inlineStr">
        <is>
          <t>7. Wellbeing and life satisfaction</t>
        </is>
      </c>
      <c r="D116" t="inlineStr">
        <is>
          <t>Taha Hinengaro</t>
        </is>
      </c>
      <c r="E116" t="inlineStr">
        <is>
          <t>13-16</t>
        </is>
      </c>
      <c r="F116" t="n">
        <v>4</v>
      </c>
      <c r="G116" t="inlineStr">
        <is>
          <t>4-20</t>
        </is>
      </c>
      <c r="H116" t="inlineStr">
        <is>
          <t>Mental and emotional wellbeing.</t>
        </is>
      </c>
    </row>
    <row r="117">
      <c r="A117" t="inlineStr">
        <is>
          <t>HUA-ORANGA</t>
        </is>
      </c>
      <c r="B117" t="inlineStr">
        <is>
          <t>Hua Oranga</t>
        </is>
      </c>
      <c r="C117" t="inlineStr">
        <is>
          <t>7. Wellbeing and life satisfaction</t>
        </is>
      </c>
      <c r="D117" t="inlineStr">
        <is>
          <t>Total</t>
        </is>
      </c>
      <c r="E117" t="inlineStr">
        <is>
          <t>1-16</t>
        </is>
      </c>
      <c r="F117" t="n">
        <v>16</v>
      </c>
      <c r="G117" t="inlineStr">
        <is>
          <t>16-80</t>
        </is>
      </c>
      <c r="H117" t="inlineStr">
        <is>
          <t>Sum of the 4 taha.</t>
        </is>
      </c>
    </row>
    <row r="118">
      <c r="A118" t="inlineStr">
        <is>
          <t>JDS</t>
        </is>
      </c>
      <c r="B118" t="inlineStr">
        <is>
          <t>Job Diagnostic Survey (revised 15 item core job characteristics form)</t>
        </is>
      </c>
      <c r="C118" t="inlineStr">
        <is>
          <t>3. Adjacent occupational and wellbeing</t>
        </is>
      </c>
      <c r="D118" t="inlineStr">
        <is>
          <t>Skill variety</t>
        </is>
      </c>
      <c r="E118" t="inlineStr">
        <is>
          <t>1, 6, 7</t>
        </is>
      </c>
      <c r="F118" t="n">
        <v>3</v>
      </c>
      <c r="G118" t="inlineStr">
        <is>
          <t>1-7</t>
        </is>
      </c>
      <c r="H118" t="inlineStr">
        <is>
          <t>Section One question 4; Section Two statements 1 and 5R.</t>
        </is>
      </c>
    </row>
    <row r="119">
      <c r="A119" t="inlineStr">
        <is>
          <t>JDS</t>
        </is>
      </c>
      <c r="B119" t="inlineStr">
        <is>
          <t>Job Diagnostic Survey (revised 15 item core job characteristics form)</t>
        </is>
      </c>
      <c r="C119" t="inlineStr">
        <is>
          <t>3. Adjacent occupational and wellbeing</t>
        </is>
      </c>
      <c r="D119" t="inlineStr">
        <is>
          <t>Task identity</t>
        </is>
      </c>
      <c r="E119" t="inlineStr">
        <is>
          <t>2, 8, 9</t>
        </is>
      </c>
      <c r="F119" t="n">
        <v>3</v>
      </c>
      <c r="G119" t="inlineStr">
        <is>
          <t>1-7</t>
        </is>
      </c>
      <c r="H119" t="inlineStr">
        <is>
          <t>Section One question 3; Section Two statements 11 and 3R.</t>
        </is>
      </c>
    </row>
    <row r="120">
      <c r="A120" t="inlineStr">
        <is>
          <t>JDS</t>
        </is>
      </c>
      <c r="B120" t="inlineStr">
        <is>
          <t>Job Diagnostic Survey (revised 15 item core job characteristics form)</t>
        </is>
      </c>
      <c r="C120" t="inlineStr">
        <is>
          <t>3. Adjacent occupational and wellbeing</t>
        </is>
      </c>
      <c r="D120" t="inlineStr">
        <is>
          <t>Task significance</t>
        </is>
      </c>
      <c r="E120" t="inlineStr">
        <is>
          <t>3, 10, 11</t>
        </is>
      </c>
      <c r="F120" t="n">
        <v>3</v>
      </c>
      <c r="G120" t="inlineStr">
        <is>
          <t>1-7</t>
        </is>
      </c>
      <c r="H120" t="inlineStr">
        <is>
          <t>Section One question 5; Section Two statements 8 and 14R.</t>
        </is>
      </c>
    </row>
    <row r="121">
      <c r="A121" t="inlineStr">
        <is>
          <t>JDS</t>
        </is>
      </c>
      <c r="B121" t="inlineStr">
        <is>
          <t>Job Diagnostic Survey (revised 15 item core job characteristics form)</t>
        </is>
      </c>
      <c r="C121" t="inlineStr">
        <is>
          <t>3. Adjacent occupational and wellbeing</t>
        </is>
      </c>
      <c r="D121" t="inlineStr">
        <is>
          <t>Autonomy</t>
        </is>
      </c>
      <c r="E121" t="inlineStr">
        <is>
          <t>4, 12, 13</t>
        </is>
      </c>
      <c r="F121" t="n">
        <v>3</v>
      </c>
      <c r="G121" t="inlineStr">
        <is>
          <t>1-7</t>
        </is>
      </c>
      <c r="H121" t="inlineStr">
        <is>
          <t>Section One question 2; Section Two statements 13 and 9R.</t>
        </is>
      </c>
    </row>
    <row r="122">
      <c r="A122" t="inlineStr">
        <is>
          <t>JDS</t>
        </is>
      </c>
      <c r="B122" t="inlineStr">
        <is>
          <t>Job Diagnostic Survey (revised 15 item core job characteristics form)</t>
        </is>
      </c>
      <c r="C122" t="inlineStr">
        <is>
          <t>3. Adjacent occupational and wellbeing</t>
        </is>
      </c>
      <c r="D122" t="inlineStr">
        <is>
          <t>Feedback from the job</t>
        </is>
      </c>
      <c r="E122" t="inlineStr">
        <is>
          <t>5, 14, 15</t>
        </is>
      </c>
      <c r="F122" t="n">
        <v>3</v>
      </c>
      <c r="G122" t="inlineStr">
        <is>
          <t>1-7</t>
        </is>
      </c>
      <c r="H122" t="inlineStr">
        <is>
          <t>Section One question 7; Section Two statements 4 and 12R.</t>
        </is>
      </c>
    </row>
    <row r="123">
      <c r="A123" t="inlineStr">
        <is>
          <t>MEWS</t>
        </is>
      </c>
      <c r="B123" t="inlineStr">
        <is>
          <t>Mind Excessively Wandering Scale</t>
        </is>
      </c>
      <c r="C123" t="inlineStr">
        <is>
          <t>1. Executive functioning and ADHD</t>
        </is>
      </c>
      <c r="D123" t="inlineStr">
        <is>
          <t>Total</t>
        </is>
      </c>
      <c r="E123" t="inlineStr">
        <is>
          <t>1-15</t>
        </is>
      </c>
      <c r="F123" t="n">
        <v>15</v>
      </c>
      <c r="G123" t="inlineStr">
        <is>
          <t>0-45</t>
        </is>
      </c>
      <c r="H123" t="inlineStr">
        <is>
          <t>Excessive mind wandering; unidimensional.</t>
        </is>
      </c>
    </row>
    <row r="124">
      <c r="A124" t="inlineStr">
        <is>
          <t>MEWS</t>
        </is>
      </c>
      <c r="B124" t="inlineStr">
        <is>
          <t>Mind Excessively Wandering Scale</t>
        </is>
      </c>
      <c r="C124" t="inlineStr">
        <is>
          <t>1. Executive functioning and ADHD</t>
        </is>
      </c>
      <c r="D124" t="inlineStr">
        <is>
          <t>Total (12 item version)</t>
        </is>
      </c>
      <c r="E124" t="inlineStr">
        <is>
          <t>1-5, 7-9, 11-13, 15</t>
        </is>
      </c>
      <c r="F124" t="n">
        <v>12</v>
      </c>
      <c r="G124" t="inlineStr">
        <is>
          <t>0-36</t>
        </is>
      </c>
      <c r="H124" t="inlineStr">
        <is>
          <t>Authors' recommended version omitting items 6, 10 and 14, which describe coping with or consequences of mind wandering rather than the thought process itself.</t>
        </is>
      </c>
    </row>
    <row r="125">
      <c r="A125" t="inlineStr">
        <is>
          <t>MINI-IPIP</t>
        </is>
      </c>
      <c r="B125" t="inlineStr">
        <is>
          <t>Mini International Personality Item Pool</t>
        </is>
      </c>
      <c r="C125" t="inlineStr">
        <is>
          <t>5. Self talk, thinking patterns and personality</t>
        </is>
      </c>
      <c r="D125" t="inlineStr">
        <is>
          <t>Extraversion</t>
        </is>
      </c>
      <c r="E125" t="inlineStr">
        <is>
          <t>1, 6, 11, 16</t>
        </is>
      </c>
      <c r="F125" t="n">
        <v>4</v>
      </c>
      <c r="G125" t="inlineStr">
        <is>
          <t>4-20</t>
        </is>
      </c>
      <c r="H125" t="inlineStr">
        <is>
          <t>IPIP Factor I, Surgency or Extraversion; alpha .77 on the key page.</t>
        </is>
      </c>
    </row>
    <row r="126">
      <c r="A126" t="inlineStr">
        <is>
          <t>MINI-IPIP</t>
        </is>
      </c>
      <c r="B126" t="inlineStr">
        <is>
          <t>Mini International Personality Item Pool</t>
        </is>
      </c>
      <c r="C126" t="inlineStr">
        <is>
          <t>5. Self talk, thinking patterns and personality</t>
        </is>
      </c>
      <c r="D126" t="inlineStr">
        <is>
          <t>Agreeableness</t>
        </is>
      </c>
      <c r="E126" t="inlineStr">
        <is>
          <t>2, 7, 12, 17</t>
        </is>
      </c>
      <c r="F126" t="n">
        <v>4</v>
      </c>
      <c r="G126" t="inlineStr">
        <is>
          <t>4-20</t>
        </is>
      </c>
      <c r="H126" t="inlineStr">
        <is>
          <t>IPIP Factor II; alpha .70.</t>
        </is>
      </c>
    </row>
    <row r="127">
      <c r="A127" t="inlineStr">
        <is>
          <t>MINI-IPIP</t>
        </is>
      </c>
      <c r="B127" t="inlineStr">
        <is>
          <t>Mini International Personality Item Pool</t>
        </is>
      </c>
      <c r="C127" t="inlineStr">
        <is>
          <t>5. Self talk, thinking patterns and personality</t>
        </is>
      </c>
      <c r="D127" t="inlineStr">
        <is>
          <t>Conscientiousness</t>
        </is>
      </c>
      <c r="E127" t="inlineStr">
        <is>
          <t>3, 8, 13, 18</t>
        </is>
      </c>
      <c r="F127" t="n">
        <v>4</v>
      </c>
      <c r="G127" t="inlineStr">
        <is>
          <t>4-20</t>
        </is>
      </c>
      <c r="H127" t="inlineStr">
        <is>
          <t>IPIP Factor III; alpha .69.</t>
        </is>
      </c>
    </row>
    <row r="128">
      <c r="A128" t="inlineStr">
        <is>
          <t>MINI-IPIP</t>
        </is>
      </c>
      <c r="B128" t="inlineStr">
        <is>
          <t>Mini International Personality Item Pool</t>
        </is>
      </c>
      <c r="C128" t="inlineStr">
        <is>
          <t>5. Self talk, thinking patterns and personality</t>
        </is>
      </c>
      <c r="D128" t="inlineStr">
        <is>
          <t>Neuroticism</t>
        </is>
      </c>
      <c r="E128" t="inlineStr">
        <is>
          <t>4, 9, 14, 19</t>
        </is>
      </c>
      <c r="F128" t="n">
        <v>4</v>
      </c>
      <c r="G128" t="inlineStr">
        <is>
          <t>4-20</t>
        </is>
      </c>
      <c r="H128" t="inlineStr">
        <is>
          <t>IPIP Factor IV; Emotional Stability scored in reverse and labelled Neuroticism; alpha .68.</t>
        </is>
      </c>
    </row>
    <row r="129">
      <c r="A129" t="inlineStr">
        <is>
          <t>MINI-IPIP</t>
        </is>
      </c>
      <c r="B129" t="inlineStr">
        <is>
          <t>Mini International Personality Item Pool</t>
        </is>
      </c>
      <c r="C129" t="inlineStr">
        <is>
          <t>5. Self talk, thinking patterns and personality</t>
        </is>
      </c>
      <c r="D129" t="inlineStr">
        <is>
          <t>Intellect or Imagination</t>
        </is>
      </c>
      <c r="E129" t="inlineStr">
        <is>
          <t>5, 10, 15, 20</t>
        </is>
      </c>
      <c r="F129" t="n">
        <v>4</v>
      </c>
      <c r="G129" t="inlineStr">
        <is>
          <t>4-20</t>
        </is>
      </c>
      <c r="H129" t="inlineStr">
        <is>
          <t>IPIP Factor V, often labelled Openness; alpha .65.</t>
        </is>
      </c>
    </row>
    <row r="130">
      <c r="A130" t="inlineStr">
        <is>
          <t>MWQ</t>
        </is>
      </c>
      <c r="B130" t="inlineStr">
        <is>
          <t>Mind Wandering Questionnaire</t>
        </is>
      </c>
      <c r="C130" t="inlineStr">
        <is>
          <t>1. Executive functioning and ADHD</t>
        </is>
      </c>
      <c r="D130" t="inlineStr">
        <is>
          <t>Total</t>
        </is>
      </c>
      <c r="E130" t="inlineStr">
        <is>
          <t>1-5</t>
        </is>
      </c>
      <c r="F130" t="n">
        <v>5</v>
      </c>
      <c r="G130" t="inlineStr">
        <is>
          <t>5-30</t>
        </is>
      </c>
      <c r="H130" t="inlineStr">
        <is>
          <t>Unidimensional; single component with eigenvalue 3.58 explaining 63.16 percent of variance (Study 1).</t>
        </is>
      </c>
    </row>
    <row r="131">
      <c r="A131" t="inlineStr">
        <is>
          <t>NCS-6</t>
        </is>
      </c>
      <c r="B131" t="inlineStr">
        <is>
          <t>Need for Cognition Scale, 6 item</t>
        </is>
      </c>
      <c r="C131" t="inlineStr">
        <is>
          <t>5. Self talk, thinking patterns and personality</t>
        </is>
      </c>
      <c r="D131" t="inlineStr">
        <is>
          <t>Total</t>
        </is>
      </c>
      <c r="E131" t="inlineStr">
        <is>
          <t>1-6</t>
        </is>
      </c>
      <c r="F131" t="n">
        <v>6</v>
      </c>
      <c r="G131" t="inlineStr">
        <is>
          <t>1-5</t>
        </is>
      </c>
      <c r="H131" t="inlineStr">
        <is>
          <t>Need for cognition; unidimensional.</t>
        </is>
      </c>
    </row>
    <row r="132">
      <c r="A132" t="inlineStr">
        <is>
          <t>PHQ-2</t>
        </is>
      </c>
      <c r="B132" t="inlineStr">
        <is>
          <t>Patient Health Questionnaire 2</t>
        </is>
      </c>
      <c r="C132" t="inlineStr">
        <is>
          <t>4. Clinical and distress screening</t>
        </is>
      </c>
      <c r="D132" t="inlineStr">
        <is>
          <t>Total</t>
        </is>
      </c>
      <c r="E132" t="inlineStr">
        <is>
          <t>1-2</t>
        </is>
      </c>
      <c r="F132" t="n">
        <v>2</v>
      </c>
      <c r="G132" t="inlineStr">
        <is>
          <t>0-6</t>
        </is>
      </c>
      <c r="H132" t="inlineStr">
        <is>
          <t>Sum of the 2 items.</t>
        </is>
      </c>
    </row>
    <row r="133">
      <c r="A133" t="inlineStr">
        <is>
          <t>PHQ-9</t>
        </is>
      </c>
      <c r="B133" t="inlineStr">
        <is>
          <t>Patient Health Questionnaire 9</t>
        </is>
      </c>
      <c r="C133" t="inlineStr">
        <is>
          <t>4. Clinical and distress screening</t>
        </is>
      </c>
      <c r="D133" t="inlineStr">
        <is>
          <t>Total</t>
        </is>
      </c>
      <c r="E133" t="inlineStr">
        <is>
          <t>1-9</t>
        </is>
      </c>
      <c r="F133" t="n">
        <v>9</v>
      </c>
      <c r="G133" t="inlineStr">
        <is>
          <t>0-27</t>
        </is>
      </c>
      <c r="H133" t="inlineStr">
        <is>
          <t>Depression symptom severity.</t>
        </is>
      </c>
    </row>
    <row r="134">
      <c r="A134" t="inlineStr">
        <is>
          <t>PROMIS-GH10</t>
        </is>
      </c>
      <c r="B134" t="inlineStr">
        <is>
          <t>PROMIS Scale v1.2 Global Health</t>
        </is>
      </c>
      <c r="C134" t="inlineStr">
        <is>
          <t>8. Functioning and health</t>
        </is>
      </c>
      <c r="D134" t="inlineStr">
        <is>
          <t>Global Physical Health</t>
        </is>
      </c>
      <c r="E134" t="inlineStr">
        <is>
          <t>3, 7, 9, 10</t>
        </is>
      </c>
      <c r="F134" t="n">
        <v>4</v>
      </c>
      <c r="G134" t="inlineStr">
        <is>
          <t>4-20</t>
        </is>
      </c>
      <c r="H134" t="inlineStr">
        <is>
          <t>Global03, Global06, Global08r, Global07r (pain recoded).</t>
        </is>
      </c>
    </row>
    <row r="135">
      <c r="A135" t="inlineStr">
        <is>
          <t>PROMIS-GH10</t>
        </is>
      </c>
      <c r="B135" t="inlineStr">
        <is>
          <t>PROMIS Scale v1.2 Global Health</t>
        </is>
      </c>
      <c r="C135" t="inlineStr">
        <is>
          <t>8. Functioning and health</t>
        </is>
      </c>
      <c r="D135" t="inlineStr">
        <is>
          <t>Global Mental Health</t>
        </is>
      </c>
      <c r="E135" t="inlineStr">
        <is>
          <t>2, 4, 5, 8</t>
        </is>
      </c>
      <c r="F135" t="n">
        <v>4</v>
      </c>
      <c r="G135" t="inlineStr">
        <is>
          <t>4-20</t>
        </is>
      </c>
      <c r="H135" t="inlineStr">
        <is>
          <t>Global02, Global04, Global05, Global10r.</t>
        </is>
      </c>
    </row>
    <row r="136">
      <c r="A136" t="inlineStr">
        <is>
          <t>PROMIS-APSRA-8A</t>
        </is>
      </c>
      <c r="B136" t="inlineStr">
        <is>
          <t>PROMIS Ability to Participate in Social Roles and Activities Short Form 8a</t>
        </is>
      </c>
      <c r="C136" t="inlineStr">
        <is>
          <t>8. Functioning and health</t>
        </is>
      </c>
      <c r="D136" t="inlineStr">
        <is>
          <t>Total</t>
        </is>
      </c>
      <c r="E136" t="inlineStr">
        <is>
          <t>1-8</t>
        </is>
      </c>
      <c r="F136" t="n">
        <v>8</v>
      </c>
      <c r="G136" t="inlineStr">
        <is>
          <t>8-40 raw; T score</t>
        </is>
      </c>
      <c r="H136" t="inlineStr">
        <is>
          <t>Single domain short form from the PROMIS Ability to Participate in Social Roles and Activities item bank v2.0. No time frame is specified for these items.</t>
        </is>
      </c>
    </row>
    <row r="137">
      <c r="A137" t="inlineStr">
        <is>
          <t>PROMIS-COGA-8A</t>
        </is>
      </c>
      <c r="B137" t="inlineStr">
        <is>
          <t>PROMIS Cognitive Function Abilities Short Form 8a</t>
        </is>
      </c>
      <c r="C137" t="inlineStr">
        <is>
          <t>1. Executive functioning and ADHD</t>
        </is>
      </c>
      <c r="D137" t="inlineStr">
        <is>
          <t>Total</t>
        </is>
      </c>
      <c r="E137" t="inlineStr">
        <is>
          <t>1-8</t>
        </is>
      </c>
      <c r="F137" t="n">
        <v>8</v>
      </c>
      <c r="G137" t="inlineStr">
        <is>
          <t>8-40 raw; T score</t>
        </is>
      </c>
      <c r="H137" t="inlineStr">
        <is>
          <t>Single domain short form from the PROMIS Cognitive Function Abilities item bank v2.0.</t>
        </is>
      </c>
    </row>
    <row r="138">
      <c r="A138" t="inlineStr">
        <is>
          <t>PROMIS-COGF-8A</t>
        </is>
      </c>
      <c r="B138" t="inlineStr">
        <is>
          <t>PROMIS Cognitive Function Short Form 8a</t>
        </is>
      </c>
      <c r="C138" t="inlineStr">
        <is>
          <t>1. Executive functioning and ADHD</t>
        </is>
      </c>
      <c r="D138" t="inlineStr">
        <is>
          <t>Total</t>
        </is>
      </c>
      <c r="E138" t="inlineStr">
        <is>
          <t>1-8</t>
        </is>
      </c>
      <c r="F138" t="n">
        <v>8</v>
      </c>
      <c r="G138" t="inlineStr">
        <is>
          <t>8-40</t>
        </is>
      </c>
      <c r="H138" t="inlineStr">
        <is>
          <t>Raw score is the sum of the 8 items, converted to a T score using the HealthMeasures scoring table.</t>
        </is>
      </c>
    </row>
    <row r="139">
      <c r="A139" t="inlineStr">
        <is>
          <t>PROMIS-FAT-8A</t>
        </is>
      </c>
      <c r="B139" t="inlineStr">
        <is>
          <t>PROMIS Fatigue Short Form 8a</t>
        </is>
      </c>
      <c r="C139" t="inlineStr">
        <is>
          <t>8. Functioning and health</t>
        </is>
      </c>
      <c r="D139" t="inlineStr">
        <is>
          <t>Total</t>
        </is>
      </c>
      <c r="E139" t="inlineStr">
        <is>
          <t>1-8</t>
        </is>
      </c>
      <c r="F139" t="n">
        <v>8</v>
      </c>
      <c r="G139" t="inlineStr">
        <is>
          <t>8-40 raw; T score approximately 33-76</t>
        </is>
      </c>
      <c r="H139" t="inlineStr">
        <is>
          <t>Fatigue.</t>
        </is>
      </c>
    </row>
    <row r="140">
      <c r="A140" t="inlineStr">
        <is>
          <t>PROMIS-GSE-4A</t>
        </is>
      </c>
      <c r="B140" t="inlineStr">
        <is>
          <t>PROMIS General Self-Efficacy Short Form 4a</t>
        </is>
      </c>
      <c r="C140" t="inlineStr">
        <is>
          <t>3. Adjacent occupational and wellbeing</t>
        </is>
      </c>
      <c r="D140" t="inlineStr">
        <is>
          <t>Total</t>
        </is>
      </c>
      <c r="E140" t="inlineStr">
        <is>
          <t>1-4</t>
        </is>
      </c>
      <c r="F140" t="n">
        <v>4</v>
      </c>
      <c r="G140" t="inlineStr">
        <is>
          <t>4-20</t>
        </is>
      </c>
      <c r="H140" t="inlineStr">
        <is>
          <t>Raw score is the sum of the 4 items, converted to a T score using the HealthMeasures scoring table.</t>
        </is>
      </c>
    </row>
    <row r="141">
      <c r="A141" t="inlineStr">
        <is>
          <t>PROMIS-MP-8A</t>
        </is>
      </c>
      <c r="B141" t="inlineStr">
        <is>
          <t>PROMIS Meaning and Purpose Short Form 8a</t>
        </is>
      </c>
      <c r="C141" t="inlineStr">
        <is>
          <t>7. Wellbeing and life satisfaction</t>
        </is>
      </c>
      <c r="D141" t="inlineStr">
        <is>
          <t>Total</t>
        </is>
      </c>
      <c r="E141" t="inlineStr">
        <is>
          <t>1-8</t>
        </is>
      </c>
      <c r="F141" t="n">
        <v>8</v>
      </c>
      <c r="G141" t="inlineStr">
        <is>
          <t>8-40 raw; T score</t>
        </is>
      </c>
      <c r="H141" t="inlineStr">
        <is>
          <t>Meaning and purpose.</t>
        </is>
      </c>
    </row>
    <row r="142">
      <c r="A142" t="inlineStr">
        <is>
          <t>PROMIS-SSRA-8A</t>
        </is>
      </c>
      <c r="B142" t="inlineStr">
        <is>
          <t>PROMIS Satisfaction with Social Roles and Activities Short Form 8a</t>
        </is>
      </c>
      <c r="C142" t="inlineStr">
        <is>
          <t>8. Functioning and health</t>
        </is>
      </c>
      <c r="D142" t="inlineStr">
        <is>
          <t>Total</t>
        </is>
      </c>
      <c r="E142" t="inlineStr">
        <is>
          <t>1-8</t>
        </is>
      </c>
      <c r="F142" t="n">
        <v>8</v>
      </c>
      <c r="G142" t="inlineStr">
        <is>
          <t>8-40</t>
        </is>
      </c>
      <c r="H142" t="inlineStr">
        <is>
          <t>Satisfaction with social roles and activities; unidimensional item bank short form.</t>
        </is>
      </c>
    </row>
    <row r="143">
      <c r="A143" t="inlineStr">
        <is>
          <t>PROMIS-SD-8A</t>
        </is>
      </c>
      <c r="B143" t="inlineStr">
        <is>
          <t>PROMIS Sleep Disturbance Short Form 8a</t>
        </is>
      </c>
      <c r="C143" t="inlineStr">
        <is>
          <t>8. Functioning and health</t>
        </is>
      </c>
      <c r="D143" t="inlineStr">
        <is>
          <t>Total</t>
        </is>
      </c>
      <c r="E143" t="inlineStr">
        <is>
          <t>1-8</t>
        </is>
      </c>
      <c r="F143" t="n">
        <v>8</v>
      </c>
      <c r="G143" t="inlineStr">
        <is>
          <t>8-40</t>
        </is>
      </c>
      <c r="H143" t="inlineStr">
        <is>
          <t>Sleep disturbance; unidimensional item bank short form.</t>
        </is>
      </c>
    </row>
    <row r="144">
      <c r="A144" t="inlineStr">
        <is>
          <t>PROMIS-SRI-8A</t>
        </is>
      </c>
      <c r="B144" t="inlineStr">
        <is>
          <t>PROMIS Sleep-Related Impairment Short Form 8a</t>
        </is>
      </c>
      <c r="C144" t="inlineStr">
        <is>
          <t>8. Functioning and health</t>
        </is>
      </c>
      <c r="D144" t="inlineStr">
        <is>
          <t>Total</t>
        </is>
      </c>
      <c r="E144" t="inlineStr">
        <is>
          <t>1-8</t>
        </is>
      </c>
      <c r="F144" t="n">
        <v>8</v>
      </c>
      <c r="G144" t="inlineStr">
        <is>
          <t>8-40</t>
        </is>
      </c>
      <c r="H144" t="inlineStr">
        <is>
          <t>Raw sum converted to a T score.</t>
        </is>
      </c>
    </row>
    <row r="145">
      <c r="A145" t="inlineStr">
        <is>
          <t>PSWQ</t>
        </is>
      </c>
      <c r="B145" t="inlineStr">
        <is>
          <t>Penn State Worry Questionnaire</t>
        </is>
      </c>
      <c r="C145" t="inlineStr">
        <is>
          <t>4. Clinical and distress screening</t>
        </is>
      </c>
      <c r="D145" t="inlineStr">
        <is>
          <t>Total</t>
        </is>
      </c>
      <c r="E145" t="inlineStr">
        <is>
          <t>1-16</t>
        </is>
      </c>
      <c r="F145" t="n">
        <v>16</v>
      </c>
      <c r="G145" t="inlineStr">
        <is>
          <t>16-80</t>
        </is>
      </c>
      <c r="H145" t="inlineStr">
        <is>
          <t>Trait worry.</t>
        </is>
      </c>
    </row>
    <row r="146">
      <c r="A146" t="inlineStr">
        <is>
          <t>RAADS-14</t>
        </is>
      </c>
      <c r="B146" t="inlineStr">
        <is>
          <t>Ritvo Autism Asperger Diagnostic Scale, 14 item Screen</t>
        </is>
      </c>
      <c r="C146" t="inlineStr">
        <is>
          <t>4. Clinical and distress screening</t>
        </is>
      </c>
      <c r="D146" t="inlineStr">
        <is>
          <t>Total</t>
        </is>
      </c>
      <c r="E146" t="inlineStr">
        <is>
          <t>1-14</t>
        </is>
      </c>
      <c r="F146" t="n">
        <v>14</v>
      </c>
      <c r="G146" t="inlineStr">
        <is>
          <t>0-42</t>
        </is>
      </c>
      <c r="H146" t="inlineStr">
        <is>
          <t>Screening total.</t>
        </is>
      </c>
    </row>
    <row r="147">
      <c r="A147" t="inlineStr">
        <is>
          <t>RAADS-14</t>
        </is>
      </c>
      <c r="B147" t="inlineStr">
        <is>
          <t>Ritvo Autism Asperger Diagnostic Scale, 14 item Screen</t>
        </is>
      </c>
      <c r="C147" t="inlineStr">
        <is>
          <t>4. Clinical and distress screening</t>
        </is>
      </c>
      <c r="D147" t="inlineStr">
        <is>
          <t>Mentalizing deficits</t>
        </is>
      </c>
      <c r="E147" t="inlineStr">
        <is>
          <t>1, 4, 9, 11, 12, 13, 14</t>
        </is>
      </c>
      <c r="F147" t="n">
        <v>7</v>
      </c>
      <c r="G147" t="inlineStr">
        <is>
          <t>0-21</t>
        </is>
      </c>
      <c r="H147" t="inlineStr">
        <is>
          <t>Table 3 and 4 assignment.</t>
        </is>
      </c>
    </row>
    <row r="148">
      <c r="A148" t="inlineStr">
        <is>
          <t>RAADS-14</t>
        </is>
      </c>
      <c r="B148" t="inlineStr">
        <is>
          <t>Ritvo Autism Asperger Diagnostic Scale, 14 item Screen</t>
        </is>
      </c>
      <c r="C148" t="inlineStr">
        <is>
          <t>4. Clinical and distress screening</t>
        </is>
      </c>
      <c r="D148" t="inlineStr">
        <is>
          <t>Social anxiety</t>
        </is>
      </c>
      <c r="E148" t="inlineStr">
        <is>
          <t>3, 5, 6, 8</t>
        </is>
      </c>
      <c r="F148" t="n">
        <v>4</v>
      </c>
      <c r="G148" t="inlineStr">
        <is>
          <t>0-12</t>
        </is>
      </c>
      <c r="H148" t="inlineStr">
        <is>
          <t>Table 3 and 4 assignment; item 6 reversed.</t>
        </is>
      </c>
    </row>
    <row r="149">
      <c r="A149" t="inlineStr">
        <is>
          <t>RAADS-14</t>
        </is>
      </c>
      <c r="B149" t="inlineStr">
        <is>
          <t>Ritvo Autism Asperger Diagnostic Scale, 14 item Screen</t>
        </is>
      </c>
      <c r="C149" t="inlineStr">
        <is>
          <t>4. Clinical and distress screening</t>
        </is>
      </c>
      <c r="D149" t="inlineStr">
        <is>
          <t>Sensory reactivity</t>
        </is>
      </c>
      <c r="E149" t="inlineStr">
        <is>
          <t>2, 7, 10</t>
        </is>
      </c>
      <c r="F149" t="n">
        <v>3</v>
      </c>
      <c r="G149" t="inlineStr">
        <is>
          <t>0-9</t>
        </is>
      </c>
      <c r="H149" t="inlineStr">
        <is>
          <t>Table 3 and 4 assignment.</t>
        </is>
      </c>
    </row>
    <row r="150">
      <c r="A150" t="inlineStr">
        <is>
          <t>SAPS</t>
        </is>
      </c>
      <c r="B150" t="inlineStr">
        <is>
          <t>Short Almost Perfect Scale</t>
        </is>
      </c>
      <c r="C150" t="inlineStr">
        <is>
          <t>5. Self talk, thinking patterns and personality</t>
        </is>
      </c>
      <c r="D150" t="inlineStr">
        <is>
          <t>Standards</t>
        </is>
      </c>
      <c r="E150" t="inlineStr">
        <is>
          <t>1, 3, 5, 7</t>
        </is>
      </c>
      <c r="F150" t="n">
        <v>4</v>
      </c>
      <c r="G150" t="inlineStr">
        <is>
          <t>4-28</t>
        </is>
      </c>
      <c r="H150" t="inlineStr">
        <is>
          <t>High personal standards and expectations.</t>
        </is>
      </c>
    </row>
    <row r="151">
      <c r="A151" t="inlineStr">
        <is>
          <t>SAPS</t>
        </is>
      </c>
      <c r="B151" t="inlineStr">
        <is>
          <t>Short Almost Perfect Scale</t>
        </is>
      </c>
      <c r="C151" t="inlineStr">
        <is>
          <t>5. Self talk, thinking patterns and personality</t>
        </is>
      </c>
      <c r="D151" t="inlineStr">
        <is>
          <t>Discrepancy</t>
        </is>
      </c>
      <c r="E151" t="inlineStr">
        <is>
          <t>2, 4, 6, 8</t>
        </is>
      </c>
      <c r="F151" t="n">
        <v>4</v>
      </c>
      <c r="G151" t="inlineStr">
        <is>
          <t>4-28</t>
        </is>
      </c>
      <c r="H151" t="inlineStr">
        <is>
          <t>Perceived gap between performance and standards; the maladaptive component of perfectionism.</t>
        </is>
      </c>
    </row>
    <row r="152">
      <c r="A152" t="inlineStr">
        <is>
          <t>SCS</t>
        </is>
      </c>
      <c r="B152" t="inlineStr">
        <is>
          <t>Self-Compassion Scale, long form</t>
        </is>
      </c>
      <c r="C152" t="inlineStr">
        <is>
          <t>5. Self talk, thinking patterns and personality</t>
        </is>
      </c>
      <c r="D152" t="inlineStr">
        <is>
          <t>Self-Kindness</t>
        </is>
      </c>
      <c r="E152" t="inlineStr">
        <is>
          <t>5, 12, 19, 23, 26</t>
        </is>
      </c>
      <c r="F152" t="n">
        <v>5</v>
      </c>
      <c r="G152" t="inlineStr">
        <is>
          <t>1-5</t>
        </is>
      </c>
      <c r="H152" t="inlineStr">
        <is>
          <t>Positive subscale.</t>
        </is>
      </c>
    </row>
    <row r="153">
      <c r="A153" t="inlineStr">
        <is>
          <t>SCS</t>
        </is>
      </c>
      <c r="B153" t="inlineStr">
        <is>
          <t>Self-Compassion Scale, long form</t>
        </is>
      </c>
      <c r="C153" t="inlineStr">
        <is>
          <t>5. Self talk, thinking patterns and personality</t>
        </is>
      </c>
      <c r="D153" t="inlineStr">
        <is>
          <t>Self-Judgment</t>
        </is>
      </c>
      <c r="E153" t="inlineStr">
        <is>
          <t>1, 8, 11, 16, 21</t>
        </is>
      </c>
      <c r="F153" t="n">
        <v>5</v>
      </c>
      <c r="G153" t="inlineStr">
        <is>
          <t>1-5</t>
        </is>
      </c>
      <c r="H153" t="inlineStr">
        <is>
          <t>Negative subscale; reverse scored for the total.</t>
        </is>
      </c>
    </row>
    <row r="154">
      <c r="A154" t="inlineStr">
        <is>
          <t>SCS</t>
        </is>
      </c>
      <c r="B154" t="inlineStr">
        <is>
          <t>Self-Compassion Scale, long form</t>
        </is>
      </c>
      <c r="C154" t="inlineStr">
        <is>
          <t>5. Self talk, thinking patterns and personality</t>
        </is>
      </c>
      <c r="D154" t="inlineStr">
        <is>
          <t>Common Humanity</t>
        </is>
      </c>
      <c r="E154" t="inlineStr">
        <is>
          <t>3, 7, 10, 15</t>
        </is>
      </c>
      <c r="F154" t="n">
        <v>4</v>
      </c>
      <c r="G154" t="inlineStr">
        <is>
          <t>1-5</t>
        </is>
      </c>
      <c r="H154" t="inlineStr">
        <is>
          <t>Positive subscale.</t>
        </is>
      </c>
    </row>
    <row r="155">
      <c r="A155" t="inlineStr">
        <is>
          <t>SCS</t>
        </is>
      </c>
      <c r="B155" t="inlineStr">
        <is>
          <t>Self-Compassion Scale, long form</t>
        </is>
      </c>
      <c r="C155" t="inlineStr">
        <is>
          <t>5. Self talk, thinking patterns and personality</t>
        </is>
      </c>
      <c r="D155" t="inlineStr">
        <is>
          <t>Isolation</t>
        </is>
      </c>
      <c r="E155" t="inlineStr">
        <is>
          <t>4, 13, 18, 25</t>
        </is>
      </c>
      <c r="F155" t="n">
        <v>4</v>
      </c>
      <c r="G155" t="inlineStr">
        <is>
          <t>1-5</t>
        </is>
      </c>
      <c r="H155" t="inlineStr">
        <is>
          <t>Negative subscale; reverse scored for the total.</t>
        </is>
      </c>
    </row>
    <row r="156">
      <c r="A156" t="inlineStr">
        <is>
          <t>SCS</t>
        </is>
      </c>
      <c r="B156" t="inlineStr">
        <is>
          <t>Self-Compassion Scale, long form</t>
        </is>
      </c>
      <c r="C156" t="inlineStr">
        <is>
          <t>5. Self talk, thinking patterns and personality</t>
        </is>
      </c>
      <c r="D156" t="inlineStr">
        <is>
          <t>Mindfulness</t>
        </is>
      </c>
      <c r="E156" t="inlineStr">
        <is>
          <t>9, 14, 17, 22</t>
        </is>
      </c>
      <c r="F156" t="n">
        <v>4</v>
      </c>
      <c r="G156" t="inlineStr">
        <is>
          <t>1-5</t>
        </is>
      </c>
      <c r="H156" t="inlineStr">
        <is>
          <t>Positive subscale.</t>
        </is>
      </c>
    </row>
    <row r="157">
      <c r="A157" t="inlineStr">
        <is>
          <t>SCS</t>
        </is>
      </c>
      <c r="B157" t="inlineStr">
        <is>
          <t>Self-Compassion Scale, long form</t>
        </is>
      </c>
      <c r="C157" t="inlineStr">
        <is>
          <t>5. Self talk, thinking patterns and personality</t>
        </is>
      </c>
      <c r="D157" t="inlineStr">
        <is>
          <t>Over-identified</t>
        </is>
      </c>
      <c r="E157" t="inlineStr">
        <is>
          <t>2, 6, 20, 24</t>
        </is>
      </c>
      <c r="F157" t="n">
        <v>4</v>
      </c>
      <c r="G157" t="inlineStr">
        <is>
          <t>1-5</t>
        </is>
      </c>
      <c r="H157" t="inlineStr">
        <is>
          <t>Negative subscale (Over-identification); reverse scored for the total.</t>
        </is>
      </c>
    </row>
    <row r="158">
      <c r="A158" t="inlineStr">
        <is>
          <t>SCS</t>
        </is>
      </c>
      <c r="B158" t="inlineStr">
        <is>
          <t>Self-Compassion Scale, long form</t>
        </is>
      </c>
      <c r="C158" t="inlineStr">
        <is>
          <t>5. Self talk, thinking patterns and personality</t>
        </is>
      </c>
      <c r="D158" t="inlineStr">
        <is>
          <t>Total</t>
        </is>
      </c>
      <c r="E158" t="inlineStr">
        <is>
          <t>1-26</t>
        </is>
      </c>
      <c r="F158" t="n">
        <v>26</v>
      </c>
      <c r="G158" t="inlineStr">
        <is>
          <t>1-5</t>
        </is>
      </c>
      <c r="H158" t="inlineStr">
        <is>
          <t>Overall self compassion.</t>
        </is>
      </c>
    </row>
    <row r="159">
      <c r="A159" t="inlineStr">
        <is>
          <t>SRQ-63</t>
        </is>
      </c>
      <c r="B159" t="inlineStr">
        <is>
          <t>Self-Regulation Questionnaire</t>
        </is>
      </c>
      <c r="C159" t="inlineStr">
        <is>
          <t>1. Executive functioning and ADHD</t>
        </is>
      </c>
      <c r="D159" t="inlineStr">
        <is>
          <t>Receiving</t>
        </is>
      </c>
      <c r="E159" t="inlineStr">
        <is>
          <t>1, 8, 15, 22, 29, 36, 43, 50, 57</t>
        </is>
      </c>
      <c r="F159" t="n">
        <v>9</v>
      </c>
      <c r="G159" t="inlineStr">
        <is>
          <t>9-45</t>
        </is>
      </c>
      <c r="H159" t="inlineStr">
        <is>
          <t>Receiving relevant information.</t>
        </is>
      </c>
    </row>
    <row r="160">
      <c r="A160" t="inlineStr">
        <is>
          <t>SRQ-63</t>
        </is>
      </c>
      <c r="B160" t="inlineStr">
        <is>
          <t>Self-Regulation Questionnaire</t>
        </is>
      </c>
      <c r="C160" t="inlineStr">
        <is>
          <t>1. Executive functioning and ADHD</t>
        </is>
      </c>
      <c r="D160" t="inlineStr">
        <is>
          <t>Evaluating</t>
        </is>
      </c>
      <c r="E160" t="inlineStr">
        <is>
          <t>2, 9, 16, 23, 30, 37, 44, 51, 58</t>
        </is>
      </c>
      <c r="F160" t="n">
        <v>9</v>
      </c>
      <c r="G160" t="inlineStr">
        <is>
          <t>9-45</t>
        </is>
      </c>
      <c r="H160" t="inlineStr">
        <is>
          <t>Evaluating the information and comparing it to norms.</t>
        </is>
      </c>
    </row>
    <row r="161">
      <c r="A161" t="inlineStr">
        <is>
          <t>SRQ-63</t>
        </is>
      </c>
      <c r="B161" t="inlineStr">
        <is>
          <t>Self-Regulation Questionnaire</t>
        </is>
      </c>
      <c r="C161" t="inlineStr">
        <is>
          <t>1. Executive functioning and ADHD</t>
        </is>
      </c>
      <c r="D161" t="inlineStr">
        <is>
          <t>Triggering</t>
        </is>
      </c>
      <c r="E161" t="inlineStr">
        <is>
          <t>3, 10, 17, 24, 31, 38, 45, 52, 59</t>
        </is>
      </c>
      <c r="F161" t="n">
        <v>9</v>
      </c>
      <c r="G161" t="inlineStr">
        <is>
          <t>9-45</t>
        </is>
      </c>
      <c r="H161" t="inlineStr">
        <is>
          <t>Triggering change.</t>
        </is>
      </c>
    </row>
    <row r="162">
      <c r="A162" t="inlineStr">
        <is>
          <t>SRQ-63</t>
        </is>
      </c>
      <c r="B162" t="inlineStr">
        <is>
          <t>Self-Regulation Questionnaire</t>
        </is>
      </c>
      <c r="C162" t="inlineStr">
        <is>
          <t>1. Executive functioning and ADHD</t>
        </is>
      </c>
      <c r="D162" t="inlineStr">
        <is>
          <t>Searching</t>
        </is>
      </c>
      <c r="E162" t="inlineStr">
        <is>
          <t>4, 11, 18, 25, 32, 39, 46, 53, 60</t>
        </is>
      </c>
      <c r="F162" t="n">
        <v>9</v>
      </c>
      <c r="G162" t="inlineStr">
        <is>
          <t>9-45</t>
        </is>
      </c>
      <c r="H162" t="inlineStr">
        <is>
          <t>Searching for options.</t>
        </is>
      </c>
    </row>
    <row r="163">
      <c r="A163" t="inlineStr">
        <is>
          <t>SRQ-63</t>
        </is>
      </c>
      <c r="B163" t="inlineStr">
        <is>
          <t>Self-Regulation Questionnaire</t>
        </is>
      </c>
      <c r="C163" t="inlineStr">
        <is>
          <t>1. Executive functioning and ADHD</t>
        </is>
      </c>
      <c r="D163" t="inlineStr">
        <is>
          <t>Planning</t>
        </is>
      </c>
      <c r="E163" t="inlineStr">
        <is>
          <t>5, 12, 19, 26, 33, 40, 47, 54, 61</t>
        </is>
      </c>
      <c r="F163" t="n">
        <v>9</v>
      </c>
      <c r="G163" t="inlineStr">
        <is>
          <t>9-45</t>
        </is>
      </c>
      <c r="H163" t="inlineStr">
        <is>
          <t>Formulating a plan.</t>
        </is>
      </c>
    </row>
    <row r="164">
      <c r="A164" t="inlineStr">
        <is>
          <t>SRQ-63</t>
        </is>
      </c>
      <c r="B164" t="inlineStr">
        <is>
          <t>Self-Regulation Questionnaire</t>
        </is>
      </c>
      <c r="C164" t="inlineStr">
        <is>
          <t>1. Executive functioning and ADHD</t>
        </is>
      </c>
      <c r="D164" t="inlineStr">
        <is>
          <t>Implementing</t>
        </is>
      </c>
      <c r="E164" t="inlineStr">
        <is>
          <t>6, 13, 20, 27, 34, 41, 48, 55, 62</t>
        </is>
      </c>
      <c r="F164" t="n">
        <v>9</v>
      </c>
      <c r="G164" t="inlineStr">
        <is>
          <t>9-45</t>
        </is>
      </c>
      <c r="H164" t="inlineStr">
        <is>
          <t>Implementing the plan.</t>
        </is>
      </c>
    </row>
    <row r="165">
      <c r="A165" t="inlineStr">
        <is>
          <t>SRQ-63</t>
        </is>
      </c>
      <c r="B165" t="inlineStr">
        <is>
          <t>Self-Regulation Questionnaire</t>
        </is>
      </c>
      <c r="C165" t="inlineStr">
        <is>
          <t>1. Executive functioning and ADHD</t>
        </is>
      </c>
      <c r="D165" t="inlineStr">
        <is>
          <t>Assessing</t>
        </is>
      </c>
      <c r="E165" t="inlineStr">
        <is>
          <t>7, 14, 21, 28, 35, 42, 49, 56, 63</t>
        </is>
      </c>
      <c r="F165" t="n">
        <v>9</v>
      </c>
      <c r="G165" t="inlineStr">
        <is>
          <t>9-45</t>
        </is>
      </c>
      <c r="H165" t="inlineStr">
        <is>
          <t>Assessing the plan's effectiveness.</t>
        </is>
      </c>
    </row>
    <row r="166">
      <c r="A166" t="inlineStr">
        <is>
          <t>SRQ-63</t>
        </is>
      </c>
      <c r="B166" t="inlineStr">
        <is>
          <t>Self-Regulation Questionnaire</t>
        </is>
      </c>
      <c r="C166" t="inlineStr">
        <is>
          <t>1. Executive functioning and ADHD</t>
        </is>
      </c>
      <c r="D166" t="inlineStr">
        <is>
          <t>Total</t>
        </is>
      </c>
      <c r="E166" t="inlineStr">
        <is>
          <t>1-63</t>
        </is>
      </c>
      <c r="F166" t="n">
        <v>63</v>
      </c>
      <c r="G166" t="inlineStr">
        <is>
          <t>63-315</t>
        </is>
      </c>
      <c r="H166" t="inlineStr">
        <is>
          <t>Overall self regulation capacity.</t>
        </is>
      </c>
    </row>
    <row r="167">
      <c r="A167" t="inlineStr">
        <is>
          <t>SWLS</t>
        </is>
      </c>
      <c r="B167" t="inlineStr">
        <is>
          <t>Satisfaction with Life Scale</t>
        </is>
      </c>
      <c r="C167" t="inlineStr">
        <is>
          <t>7. Wellbeing and life satisfaction</t>
        </is>
      </c>
      <c r="D167" t="inlineStr">
        <is>
          <t>Total</t>
        </is>
      </c>
      <c r="E167" t="inlineStr">
        <is>
          <t>1-5</t>
        </is>
      </c>
      <c r="F167" t="n">
        <v>5</v>
      </c>
      <c r="G167" t="inlineStr">
        <is>
          <t>5-35</t>
        </is>
      </c>
      <c r="H167" t="inlineStr">
        <is>
          <t>Sum of the 5 items.</t>
        </is>
      </c>
    </row>
    <row r="168">
      <c r="A168" t="inlineStr">
        <is>
          <t>UCLA-LS-3</t>
        </is>
      </c>
      <c r="B168" t="inlineStr">
        <is>
          <t>UCLA Loneliness Scale, Version 3 (PhenX Social Isolation)</t>
        </is>
      </c>
      <c r="C168" t="inlineStr">
        <is>
          <t>7. Wellbeing and life satisfaction</t>
        </is>
      </c>
      <c r="D168" t="inlineStr">
        <is>
          <t>Total</t>
        </is>
      </c>
      <c r="E168" t="inlineStr">
        <is>
          <t>1-20</t>
        </is>
      </c>
      <c r="F168" t="n">
        <v>20</v>
      </c>
      <c r="G168" t="inlineStr">
        <is>
          <t>20-80</t>
        </is>
      </c>
      <c r="H168" t="inlineStr">
        <is>
          <t>Unidimensional loneliness score; 9 positively worded items reverse scored.</t>
        </is>
      </c>
    </row>
    <row r="169">
      <c r="A169" t="inlineStr">
        <is>
          <t>WEBEXEC</t>
        </is>
      </c>
      <c r="B169" t="inlineStr">
        <is>
          <t>Webexec</t>
        </is>
      </c>
      <c r="C169" t="inlineStr">
        <is>
          <t>1. Executive functioning and ADHD</t>
        </is>
      </c>
      <c r="D169" t="inlineStr">
        <is>
          <t>Total</t>
        </is>
      </c>
      <c r="E169" t="inlineStr">
        <is>
          <t>1-6</t>
        </is>
      </c>
      <c r="F169" t="n">
        <v>6</v>
      </c>
      <c r="G169" t="inlineStr">
        <is>
          <t>6-24</t>
        </is>
      </c>
      <c r="H169" t="inlineStr">
        <is>
          <t>Sum of the 6 items; no subscales are defined.</t>
        </is>
      </c>
    </row>
    <row r="170">
      <c r="A170" t="inlineStr">
        <is>
          <t>WFIRS-S</t>
        </is>
      </c>
      <c r="B170" t="inlineStr">
        <is>
          <t>Weiss Functional Impairment Rating Scale, Self Report</t>
        </is>
      </c>
      <c r="C170" t="inlineStr">
        <is>
          <t>8. Functioning and health</t>
        </is>
      </c>
      <c r="D170" t="inlineStr">
        <is>
          <t>Family</t>
        </is>
      </c>
      <c r="E170" t="inlineStr">
        <is>
          <t>1-8</t>
        </is>
      </c>
      <c r="F170" t="n">
        <v>8</v>
      </c>
      <c r="G170" t="inlineStr">
        <is>
          <t>0-24</t>
        </is>
      </c>
      <c r="H170" t="inlineStr">
        <is>
          <t>Source section A.</t>
        </is>
      </c>
    </row>
    <row r="171">
      <c r="A171" t="inlineStr">
        <is>
          <t>WFIRS-S</t>
        </is>
      </c>
      <c r="B171" t="inlineStr">
        <is>
          <t>Weiss Functional Impairment Rating Scale, Self Report</t>
        </is>
      </c>
      <c r="C171" t="inlineStr">
        <is>
          <t>8. Functioning and health</t>
        </is>
      </c>
      <c r="D171" t="inlineStr">
        <is>
          <t>Work</t>
        </is>
      </c>
      <c r="E171" t="inlineStr">
        <is>
          <t>9-19</t>
        </is>
      </c>
      <c r="F171" t="n">
        <v>11</v>
      </c>
      <c r="G171" t="inlineStr">
        <is>
          <t>0-33</t>
        </is>
      </c>
      <c r="H171" t="inlineStr">
        <is>
          <t>Source section B.</t>
        </is>
      </c>
    </row>
    <row r="172">
      <c r="A172" t="inlineStr">
        <is>
          <t>WFIRS-S</t>
        </is>
      </c>
      <c r="B172" t="inlineStr">
        <is>
          <t>Weiss Functional Impairment Rating Scale, Self Report</t>
        </is>
      </c>
      <c r="C172" t="inlineStr">
        <is>
          <t>8. Functioning and health</t>
        </is>
      </c>
      <c r="D172" t="inlineStr">
        <is>
          <t>School</t>
        </is>
      </c>
      <c r="E172" t="inlineStr">
        <is>
          <t>20-29</t>
        </is>
      </c>
      <c r="F172" t="n">
        <v>10</v>
      </c>
      <c r="G172" t="inlineStr">
        <is>
          <t>0-30</t>
        </is>
      </c>
      <c r="H172" t="inlineStr">
        <is>
          <t>Source section C.</t>
        </is>
      </c>
    </row>
    <row r="173">
      <c r="A173" t="inlineStr">
        <is>
          <t>WFIRS-S</t>
        </is>
      </c>
      <c r="B173" t="inlineStr">
        <is>
          <t>Weiss Functional Impairment Rating Scale, Self Report</t>
        </is>
      </c>
      <c r="C173" t="inlineStr">
        <is>
          <t>8. Functioning and health</t>
        </is>
      </c>
      <c r="D173" t="inlineStr">
        <is>
          <t>Life Skills</t>
        </is>
      </c>
      <c r="E173" t="inlineStr">
        <is>
          <t>30-41</t>
        </is>
      </c>
      <c r="F173" t="n">
        <v>12</v>
      </c>
      <c r="G173" t="inlineStr">
        <is>
          <t>0-36</t>
        </is>
      </c>
      <c r="H173" t="inlineStr">
        <is>
          <t>Source section D.</t>
        </is>
      </c>
    </row>
    <row r="174">
      <c r="A174" t="inlineStr">
        <is>
          <t>WFIRS-S</t>
        </is>
      </c>
      <c r="B174" t="inlineStr">
        <is>
          <t>Weiss Functional Impairment Rating Scale, Self Report</t>
        </is>
      </c>
      <c r="C174" t="inlineStr">
        <is>
          <t>8. Functioning and health</t>
        </is>
      </c>
      <c r="D174" t="inlineStr">
        <is>
          <t>Self-Concept</t>
        </is>
      </c>
      <c r="E174" t="inlineStr">
        <is>
          <t>42-46</t>
        </is>
      </c>
      <c r="F174" t="n">
        <v>5</v>
      </c>
      <c r="G174" t="inlineStr">
        <is>
          <t>0-15</t>
        </is>
      </c>
      <c r="H174" t="inlineStr">
        <is>
          <t>Source section E.</t>
        </is>
      </c>
    </row>
    <row r="175">
      <c r="A175" t="inlineStr">
        <is>
          <t>WFIRS-S</t>
        </is>
      </c>
      <c r="B175" t="inlineStr">
        <is>
          <t>Weiss Functional Impairment Rating Scale, Self Report</t>
        </is>
      </c>
      <c r="C175" t="inlineStr">
        <is>
          <t>8. Functioning and health</t>
        </is>
      </c>
      <c r="D175" t="inlineStr">
        <is>
          <t>Social</t>
        </is>
      </c>
      <c r="E175" t="inlineStr">
        <is>
          <t>47-55</t>
        </is>
      </c>
      <c r="F175" t="n">
        <v>9</v>
      </c>
      <c r="G175" t="inlineStr">
        <is>
          <t>0-27</t>
        </is>
      </c>
      <c r="H175" t="inlineStr">
        <is>
          <t>Source section F.</t>
        </is>
      </c>
    </row>
    <row r="176">
      <c r="A176" t="inlineStr">
        <is>
          <t>WFIRS-S</t>
        </is>
      </c>
      <c r="B176" t="inlineStr">
        <is>
          <t>Weiss Functional Impairment Rating Scale, Self Report</t>
        </is>
      </c>
      <c r="C176" t="inlineStr">
        <is>
          <t>8. Functioning and health</t>
        </is>
      </c>
      <c r="D176" t="inlineStr">
        <is>
          <t>Risk</t>
        </is>
      </c>
      <c r="E176" t="inlineStr">
        <is>
          <t>56-69</t>
        </is>
      </c>
      <c r="F176" t="n">
        <v>14</v>
      </c>
      <c r="G176" t="inlineStr">
        <is>
          <t>0-42</t>
        </is>
      </c>
      <c r="H176" t="inlineStr">
        <is>
          <t>Source section G.</t>
        </is>
      </c>
    </row>
    <row r="177">
      <c r="A177" t="inlineStr">
        <is>
          <t>WFIRS-S</t>
        </is>
      </c>
      <c r="B177" t="inlineStr">
        <is>
          <t>Weiss Functional Impairment Rating Scale, Self Report</t>
        </is>
      </c>
      <c r="C177" t="inlineStr">
        <is>
          <t>8. Functioning and health</t>
        </is>
      </c>
      <c r="D177" t="inlineStr">
        <is>
          <t>Total</t>
        </is>
      </c>
      <c r="E177" t="inlineStr">
        <is>
          <t>1-69</t>
        </is>
      </c>
      <c r="F177" t="n">
        <v>69</v>
      </c>
      <c r="G177" t="inlineStr">
        <is>
          <t>0-207</t>
        </is>
      </c>
      <c r="H177" t="inlineStr">
        <is>
          <t>All domains; mean score excludes n/a items.</t>
        </is>
      </c>
    </row>
    <row r="178">
      <c r="A178" t="inlineStr">
        <is>
          <t>WHO-5</t>
        </is>
      </c>
      <c r="B178" t="inlineStr">
        <is>
          <t>WHO-5 Well-Being Index</t>
        </is>
      </c>
      <c r="C178" t="inlineStr">
        <is>
          <t>7. Wellbeing and life satisfaction</t>
        </is>
      </c>
      <c r="D178" t="inlineStr">
        <is>
          <t>Total</t>
        </is>
      </c>
      <c r="E178" t="inlineStr">
        <is>
          <t>1-5</t>
        </is>
      </c>
      <c r="F178" t="n">
        <v>5</v>
      </c>
      <c r="G178" t="inlineStr">
        <is>
          <t>0-25 raw; 0-100 percentage</t>
        </is>
      </c>
      <c r="H178" t="inlineStr">
        <is>
          <t>Unidimensional wellbeing index.</t>
        </is>
      </c>
    </row>
    <row r="179">
      <c r="A179" t="inlineStr">
        <is>
          <t>WHODAS-36</t>
        </is>
      </c>
      <c r="B179" t="inlineStr">
        <is>
          <t>WHO Disability Assessment Schedule 2.0, 36 item self administered</t>
        </is>
      </c>
      <c r="C179" t="inlineStr">
        <is>
          <t>8. Functioning and health</t>
        </is>
      </c>
      <c r="D179" t="inlineStr">
        <is>
          <t>Understanding and communicating</t>
        </is>
      </c>
      <c r="E179" t="inlineStr">
        <is>
          <t>1-6</t>
        </is>
      </c>
      <c r="F179" t="n">
        <v>6</v>
      </c>
      <c r="G179" t="inlineStr">
        <is>
          <t>6-30</t>
        </is>
      </c>
      <c r="H179" t="inlineStr">
        <is>
          <t>Cognition.</t>
        </is>
      </c>
    </row>
    <row r="180">
      <c r="A180" t="inlineStr">
        <is>
          <t>WHODAS-36</t>
        </is>
      </c>
      <c r="B180" t="inlineStr">
        <is>
          <t>WHO Disability Assessment Schedule 2.0, 36 item self administered</t>
        </is>
      </c>
      <c r="C180" t="inlineStr">
        <is>
          <t>8. Functioning and health</t>
        </is>
      </c>
      <c r="D180" t="inlineStr">
        <is>
          <t>Getting around</t>
        </is>
      </c>
      <c r="E180" t="inlineStr">
        <is>
          <t>7-11</t>
        </is>
      </c>
      <c r="F180" t="n">
        <v>5</v>
      </c>
      <c r="G180" t="inlineStr">
        <is>
          <t>5-25</t>
        </is>
      </c>
      <c r="H180" t="inlineStr">
        <is>
          <t>Mobility.</t>
        </is>
      </c>
    </row>
    <row r="181">
      <c r="A181" t="inlineStr">
        <is>
          <t>WHODAS-36</t>
        </is>
      </c>
      <c r="B181" t="inlineStr">
        <is>
          <t>WHO Disability Assessment Schedule 2.0, 36 item self administered</t>
        </is>
      </c>
      <c r="C181" t="inlineStr">
        <is>
          <t>8. Functioning and health</t>
        </is>
      </c>
      <c r="D181" t="inlineStr">
        <is>
          <t>Self-care</t>
        </is>
      </c>
      <c r="E181" t="inlineStr">
        <is>
          <t>12-15</t>
        </is>
      </c>
      <c r="F181" t="n">
        <v>4</v>
      </c>
      <c r="G181" t="inlineStr">
        <is>
          <t>4-20</t>
        </is>
      </c>
      <c r="H181" t="inlineStr">
        <is>
          <t>Self care.</t>
        </is>
      </c>
    </row>
    <row r="182">
      <c r="A182" t="inlineStr">
        <is>
          <t>WHODAS-36</t>
        </is>
      </c>
      <c r="B182" t="inlineStr">
        <is>
          <t>WHO Disability Assessment Schedule 2.0, 36 item self administered</t>
        </is>
      </c>
      <c r="C182" t="inlineStr">
        <is>
          <t>8. Functioning and health</t>
        </is>
      </c>
      <c r="D182" t="inlineStr">
        <is>
          <t>Getting along with people</t>
        </is>
      </c>
      <c r="E182" t="inlineStr">
        <is>
          <t>16-20</t>
        </is>
      </c>
      <c r="F182" t="n">
        <v>5</v>
      </c>
      <c r="G182" t="inlineStr">
        <is>
          <t>5-25</t>
        </is>
      </c>
      <c r="H182" t="inlineStr">
        <is>
          <t>Getting along.</t>
        </is>
      </c>
    </row>
    <row r="183">
      <c r="A183" t="inlineStr">
        <is>
          <t>WHODAS-36</t>
        </is>
      </c>
      <c r="B183" t="inlineStr">
        <is>
          <t>WHO Disability Assessment Schedule 2.0, 36 item self administered</t>
        </is>
      </c>
      <c r="C183" t="inlineStr">
        <is>
          <t>8. Functioning and health</t>
        </is>
      </c>
      <c r="D183" t="inlineStr">
        <is>
          <t>Life activities</t>
        </is>
      </c>
      <c r="E183" t="inlineStr">
        <is>
          <t>21-28</t>
        </is>
      </c>
      <c r="F183" t="n">
        <v>8</v>
      </c>
      <c r="G183" t="inlineStr">
        <is>
          <t>8-40</t>
        </is>
      </c>
      <c r="H183" t="inlineStr">
        <is>
          <t>Household (D5.1-D5.4) and work or school (D5.5-D5.8).</t>
        </is>
      </c>
    </row>
    <row r="184">
      <c r="A184" t="inlineStr">
        <is>
          <t>WHODAS-36</t>
        </is>
      </c>
      <c r="B184" t="inlineStr">
        <is>
          <t>WHO Disability Assessment Schedule 2.0, 36 item self administered</t>
        </is>
      </c>
      <c r="C184" t="inlineStr">
        <is>
          <t>8. Functioning and health</t>
        </is>
      </c>
      <c r="D184" t="inlineStr">
        <is>
          <t>Participation in society</t>
        </is>
      </c>
      <c r="E184" t="inlineStr">
        <is>
          <t>29-36</t>
        </is>
      </c>
      <c r="F184" t="n">
        <v>8</v>
      </c>
      <c r="G184" t="inlineStr">
        <is>
          <t>8-40</t>
        </is>
      </c>
      <c r="H184" t="inlineStr">
        <is>
          <t>Participation.</t>
        </is>
      </c>
    </row>
    <row r="185">
      <c r="A185" t="inlineStr">
        <is>
          <t>WHODAS-36</t>
        </is>
      </c>
      <c r="B185" t="inlineStr">
        <is>
          <t>WHO Disability Assessment Schedule 2.0, 36 item self administered</t>
        </is>
      </c>
      <c r="C185" t="inlineStr">
        <is>
          <t>8. Functioning and health</t>
        </is>
      </c>
      <c r="D185" t="inlineStr">
        <is>
          <t>Total</t>
        </is>
      </c>
      <c r="E185" t="inlineStr">
        <is>
          <t>1-36</t>
        </is>
      </c>
      <c r="F185" t="n">
        <v>36</v>
      </c>
      <c r="G185" t="inlineStr">
        <is>
          <t>36-180</t>
        </is>
      </c>
      <c r="H185" t="inlineStr">
        <is>
          <t>General disability score.</t>
        </is>
      </c>
    </row>
    <row r="186">
      <c r="A186" t="inlineStr">
        <is>
          <t>WSAS</t>
        </is>
      </c>
      <c r="B186" t="inlineStr">
        <is>
          <t>Work and Social Adjustment Scale</t>
        </is>
      </c>
      <c r="C186" t="inlineStr">
        <is>
          <t>8. Functioning and health</t>
        </is>
      </c>
      <c r="D186" t="inlineStr">
        <is>
          <t>Total</t>
        </is>
      </c>
      <c r="E186" t="inlineStr">
        <is>
          <t>1-5</t>
        </is>
      </c>
      <c r="F186" t="n">
        <v>5</v>
      </c>
      <c r="G186" t="inlineStr">
        <is>
          <t>0-40</t>
        </is>
      </c>
      <c r="H186" t="inlineStr">
        <is>
          <t>Sum of the 5 impairment ratings.</t>
        </is>
      </c>
    </row>
  </sheetData>
  <autoFilter ref="A1:H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E1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6" min="1" max="1"/>
    <col width="34" customWidth="1" style="16" min="2" max="3"/>
    <col width="14" customWidth="1" style="16" min="4" max="4"/>
    <col width="126" customWidth="1" style="16" min="5" max="5"/>
  </cols>
  <sheetData>
    <row r="1" ht="30" customHeight="1" s="17">
      <c r="A1" s="25" t="inlineStr">
        <is>
          <t>Code</t>
        </is>
      </c>
      <c r="B1" s="25" t="inlineStr">
        <is>
          <t>Instrument Name</t>
        </is>
      </c>
      <c r="C1" s="25" t="inlineStr">
        <is>
          <t>Domain</t>
        </is>
      </c>
      <c r="D1" s="25" t="inlineStr">
        <is>
          <t>Type</t>
        </is>
      </c>
      <c r="E1" s="25" t="inlineStr">
        <is>
          <t>Citation (APA 7)</t>
        </is>
      </c>
    </row>
    <row r="2" ht="35.05" customHeight="1" s="17">
      <c r="A2" s="27" t="inlineStr">
        <is>
          <t>ESQ-R</t>
        </is>
      </c>
      <c r="B2" s="27" t="inlineStr">
        <is>
          <t>Executive Skills Questionnaire - Revised (ESQ-R)</t>
        </is>
      </c>
      <c r="C2" s="27" t="inlineStr">
        <is>
          <t>1. Executive functioning and ADHD</t>
        </is>
      </c>
      <c r="D2" s="27" t="inlineStr">
        <is>
          <t>Developer</t>
        </is>
      </c>
      <c r="E2"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3" ht="23.85" customHeight="1" s="17">
      <c r="A3" s="27" t="inlineStr">
        <is>
          <t>ESQ-R</t>
        </is>
      </c>
      <c r="B3" s="27" t="inlineStr">
        <is>
          <t>Executive Skills Questionnaire - Revised (ESQ-R)</t>
        </is>
      </c>
      <c r="C3" s="27" t="inlineStr">
        <is>
          <t>1. Executive functioning and ADHD</t>
        </is>
      </c>
      <c r="D3" s="27" t="inlineStr">
        <is>
          <t>Reference</t>
        </is>
      </c>
      <c r="E3" s="27" t="inlineStr">
        <is>
          <t>Strait, J. E., Dawson, P., Walther, C. A. P., Strait, G. G., Barton, A. K., &amp; McClain, M. B. (2020). Refinement and psychometric evaluation of the Executive Skills Questionnaire-Revised. Contemporary School Psychology, 24, 378-388. https://doi.org/10.1007/s40688-018-00224-x</t>
        </is>
      </c>
    </row>
    <row r="4" ht="23.85" customHeight="1" s="17">
      <c r="A4" s="27" t="inlineStr">
        <is>
          <t>ESQ-R</t>
        </is>
      </c>
      <c r="B4" s="27" t="inlineStr">
        <is>
          <t>Executive Skills Questionnaire - Revised (ESQ-R)</t>
        </is>
      </c>
      <c r="C4" s="27" t="inlineStr">
        <is>
          <t>1. Executive functioning and ADHD</t>
        </is>
      </c>
      <c r="D4" s="27" t="inlineStr">
        <is>
          <t>Reference</t>
        </is>
      </c>
      <c r="E4" s="27" t="inlineStr">
        <is>
          <t>Aksayli, N. D., Sala, G., &amp; Gobet, F. (2019). The cognitive and academic benefits of Cogmed: A meta-analysis. Educational Research Review, 27, 229-243. https://doi.org/10.1016/j.edurev.2019.04.003</t>
        </is>
      </c>
    </row>
    <row r="5" ht="23.85" customHeight="1" s="17">
      <c r="A5" s="27" t="inlineStr">
        <is>
          <t>ESQ-R</t>
        </is>
      </c>
      <c r="B5" s="27" t="inlineStr">
        <is>
          <t>Executive Skills Questionnaire - Revised (ESQ-R)</t>
        </is>
      </c>
      <c r="C5" s="27" t="inlineStr">
        <is>
          <t>1. Executive functioning and ADHD</t>
        </is>
      </c>
      <c r="D5" s="27" t="inlineStr">
        <is>
          <t>Reference</t>
        </is>
      </c>
      <c r="E5" s="27" t="inlineStr">
        <is>
          <t>Craig, F., Margari, F., Legrottaglie, A. R., Palumbi, R., de Giambattista, C., &amp; Margari, L. (2016). A review of executive function deficits in autism spectrum disorder and attention-deficit/hyperactivity disorder. Neuropsychiatric Disease and Treatment, 12, 1191-1202. https://doi.org/10.2147/NDT.S104620</t>
        </is>
      </c>
    </row>
    <row r="6" ht="23.85" customHeight="1" s="17">
      <c r="A6" s="27" t="inlineStr">
        <is>
          <t>ESQ-R</t>
        </is>
      </c>
      <c r="B6" s="27" t="inlineStr">
        <is>
          <t>Executive Skills Questionnaire - Revised (ESQ-R)</t>
        </is>
      </c>
      <c r="C6" s="27" t="inlineStr">
        <is>
          <t>1. Executive functioning and ADHD</t>
        </is>
      </c>
      <c r="D6" s="27" t="inlineStr">
        <is>
          <t>Reference</t>
        </is>
      </c>
      <c r="E6" s="27" t="inlineStr">
        <is>
          <t>Dawson, P., &amp; Guare, R. (2018). Executive skills in children and adolescents: A practical guide to assessment and intervention (3rd ed.). The Guilford Press.</t>
        </is>
      </c>
    </row>
    <row r="7" ht="23.85" customHeight="1" s="17">
      <c r="A7" s="27" t="inlineStr">
        <is>
          <t>ESQ-R</t>
        </is>
      </c>
      <c r="B7" s="27" t="inlineStr">
        <is>
          <t>Executive Skills Questionnaire - Revised (ESQ-R)</t>
        </is>
      </c>
      <c r="C7" s="27" t="inlineStr">
        <is>
          <t>1. Executive functioning and ADHD</t>
        </is>
      </c>
      <c r="D7" s="27" t="inlineStr">
        <is>
          <t>Reference</t>
        </is>
      </c>
      <c r="E7" s="27" t="inlineStr">
        <is>
          <t>Miyake, A., Friedman, N. P., Emerson, M. J., Witzki, A. H., Howerter, A., &amp; Wager, T. D. (2000). The unity and diversity of executive functions and their contributions to complex 'frontal lobe' tasks: A latent variable analysis. Cognitive Psychology, 41, 49-100. https://doi.org/10.1006/cogp.1999.0734</t>
        </is>
      </c>
    </row>
    <row r="8" ht="23.85" customHeight="1" s="17">
      <c r="A8" s="27" t="inlineStr">
        <is>
          <t>ESQ-R</t>
        </is>
      </c>
      <c r="B8" s="27" t="inlineStr">
        <is>
          <t>Executive Skills Questionnaire - Revised (ESQ-R)</t>
        </is>
      </c>
      <c r="C8" s="27" t="inlineStr">
        <is>
          <t>1. Executive functioning and ADHD</t>
        </is>
      </c>
      <c r="D8" s="27" t="inlineStr">
        <is>
          <t>Reference</t>
        </is>
      </c>
      <c r="E8" s="27" t="inlineStr">
        <is>
          <t>Nasir, H., Tan, C. S., &amp; Pheh, K. S. (2021). The Executive Skills Questionnaire-Revised: Adaptation and psychometric properties in the working context of Malaysia. International Journal of Environmental Research and Public Health, 18(17), 8978. https://doi.org/10.3390/ijerph18178978</t>
        </is>
      </c>
    </row>
    <row r="9" ht="23.85" customHeight="1" s="17">
      <c r="A9" s="27" t="inlineStr">
        <is>
          <t>CFI</t>
        </is>
      </c>
      <c r="B9" s="27" t="inlineStr">
        <is>
          <t>Cognitive Flexibility Inventory (CFI)</t>
        </is>
      </c>
      <c r="C9" s="27" t="inlineStr">
        <is>
          <t>1. Executive functioning and ADHD</t>
        </is>
      </c>
      <c r="D9" s="27" t="inlineStr">
        <is>
          <t>Developer</t>
        </is>
      </c>
      <c r="E9" s="27" t="inlineStr">
        <is>
          <t>Dennis, J. P., &amp; Vander Wal, J. S. (2010). The cognitive flexibility inventory: Instrument development and estimates of reliability and validity. Cognitive Therapy and Research, 34(3), 241-253. https://doi.org/10.1007/s10608-009-9276-4</t>
        </is>
      </c>
    </row>
    <row r="10" ht="23.85" customHeight="1" s="17">
      <c r="A10" s="27" t="inlineStr">
        <is>
          <t>CFI</t>
        </is>
      </c>
      <c r="B10" s="27" t="inlineStr">
        <is>
          <t>Cognitive Flexibility Inventory (CFI)</t>
        </is>
      </c>
      <c r="C10" s="27" t="inlineStr">
        <is>
          <t>1. Executive functioning and ADHD</t>
        </is>
      </c>
      <c r="D10" s="27" t="inlineStr">
        <is>
          <t>Reference</t>
        </is>
      </c>
      <c r="E10" s="27" t="inlineStr">
        <is>
          <t>Johnco, C., Wuthrich, V. M., &amp; Rapee, R. M. (2014). Reliability and validity of two self-report measures of cognitive flexibility. Psychological Assessment, 26(4), 1381-1387. https://doi.org/10.1037/a0038009</t>
        </is>
      </c>
    </row>
    <row r="11" ht="35.05" customHeight="1" s="17">
      <c r="A11" s="27" t="inlineStr">
        <is>
          <t>ASRS</t>
        </is>
      </c>
      <c r="B11" s="27" t="inlineStr">
        <is>
          <t>Adult ADHD Self-Report Scale (ASRS v1.1)</t>
        </is>
      </c>
      <c r="C11" s="27" t="inlineStr">
        <is>
          <t>1. Executive functioning and ADHD</t>
        </is>
      </c>
      <c r="D11" s="27" t="inlineStr">
        <is>
          <t>Developer</t>
        </is>
      </c>
      <c r="E11"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12" ht="35.05" customHeight="1" s="17">
      <c r="A12" s="27" t="inlineStr">
        <is>
          <t>ASRS</t>
        </is>
      </c>
      <c r="B12" s="27" t="inlineStr">
        <is>
          <t>Adult ADHD Self-Report Scale (ASRS v1.1)</t>
        </is>
      </c>
      <c r="C12" s="27" t="inlineStr">
        <is>
          <t>1. Executive functioning and ADHD</t>
        </is>
      </c>
      <c r="D12" s="27" t="inlineStr">
        <is>
          <t>Reference</t>
        </is>
      </c>
      <c r="E12" s="27" t="inlineStr">
        <is>
          <t>Adler, L. A., Faraone, S. V., Sarocco, P., Atkins, N., &amp; Khachatryan, A. (2019). Establishing US norms for the Adult ADHD Self-Report Scale (ASRS-v1.1) and characterising symptom burden among adults with self-reported ADHD. International Journal of Clinical Practice, 73(1), e13260. https://doi.org/10.1111/ijcp.13260</t>
        </is>
      </c>
    </row>
    <row r="13" ht="23.85" customHeight="1" s="17">
      <c r="A13" s="27" t="inlineStr">
        <is>
          <t>ASRS</t>
        </is>
      </c>
      <c r="B13" s="27" t="inlineStr">
        <is>
          <t>Adult ADHD Self-Report Scale (ASRS v1.1)</t>
        </is>
      </c>
      <c r="C13" s="27" t="inlineStr">
        <is>
          <t>1. Executive functioning and ADHD</t>
        </is>
      </c>
      <c r="D13" s="27" t="inlineStr">
        <is>
          <t>Reference</t>
        </is>
      </c>
      <c r="E13" s="27" t="inlineStr">
        <is>
          <t>Adler, L. A., Spencer, T., Faraone, S. V., Kessler, R. C., Howes, M. J., Biederman, J., &amp; Secnik, K. (2006). Validity of pilot Adult ADHD Self-Report Scale (ASRS) to Rate Adult ADHD symptoms. Annals of Clinical Psychiatry, 18(3), 145-148. https://doi.org/10.1080/10401230600801077</t>
        </is>
      </c>
    </row>
    <row r="14" ht="23.85" customHeight="1" s="17">
      <c r="A14" s="27" t="inlineStr">
        <is>
          <t>ASRS</t>
        </is>
      </c>
      <c r="B14" s="27" t="inlineStr">
        <is>
          <t>Adult ADHD Self-Report Scale (ASRS v1.1)</t>
        </is>
      </c>
      <c r="C14" s="27" t="inlineStr">
        <is>
          <t>1. Executive functioning and ADHD</t>
        </is>
      </c>
      <c r="D14" s="27" t="inlineStr">
        <is>
          <t>Reference</t>
        </is>
      </c>
      <c r="E14" s="27" t="inlineStr">
        <is>
          <t>Alarachi, A., Merrifield, C., Rowa, K., &amp; McCabe, R. E. (2024). Are we measuring ADHD or anxiety? Examining the factor structure and discriminant validity of the Adult ADHD Self-Report Scale in an adult anxiety disorder population. Assessment, 31(7), 1508-1524. https://doi.org/10.1177/10731911231225190</t>
        </is>
      </c>
    </row>
    <row r="15" ht="35.05" customHeight="1" s="17">
      <c r="A15" s="27" t="inlineStr">
        <is>
          <t>ASRS</t>
        </is>
      </c>
      <c r="B15" s="27" t="inlineStr">
        <is>
          <t>Adult ADHD Self-Report Scale (ASRS v1.1)</t>
        </is>
      </c>
      <c r="C15" s="27" t="inlineStr">
        <is>
          <t>1. Executive functioning and ADHD</t>
        </is>
      </c>
      <c r="D15" s="27" t="inlineStr">
        <is>
          <t>Reference</t>
        </is>
      </c>
      <c r="E15" s="27" t="inlineStr">
        <is>
          <t>Brevik, E. J., Lundervold, A. J., Haavik, J., &amp; Posserud, M. B. (2020). Validity and accuracy of the Adult ADHD Self-Report Scale (ASRS) and the Wender Utah Rating Scale (WURS) symptom checklists in discriminating between adults with and without ADHD. Brain and Behavior, 10(6), e01605. https://doi.org/10.1002/brb3.1605</t>
        </is>
      </c>
    </row>
    <row r="16" ht="23.85" customHeight="1" s="17">
      <c r="A16" s="27" t="inlineStr">
        <is>
          <t>ASRS</t>
        </is>
      </c>
      <c r="B16" s="27" t="inlineStr">
        <is>
          <t>Adult ADHD Self-Report Scale (ASRS v1.1)</t>
        </is>
      </c>
      <c r="C16" s="27" t="inlineStr">
        <is>
          <t>1. Executive functioning and ADHD</t>
        </is>
      </c>
      <c r="D16" s="27" t="inlineStr">
        <is>
          <t>Reference</t>
        </is>
      </c>
      <c r="E16" s="27" t="inlineStr">
        <is>
          <t>Harvard Medical School. (2024, February 28). ASRS v1.1 screener (6Q) scoring update [PDF]. https://www.hcp.med.harvard.edu/ncs/ftpdir/adhd/ASRS_v1.1_screener(6Q)_scoring_update.pdf</t>
        </is>
      </c>
    </row>
    <row r="17" ht="23.85" customHeight="1" s="17">
      <c r="A17" s="27" t="inlineStr">
        <is>
          <t>ASRS</t>
        </is>
      </c>
      <c r="B17" s="27" t="inlineStr">
        <is>
          <t>Adult ADHD Self-Report Scale (ASRS v1.1)</t>
        </is>
      </c>
      <c r="C17" s="27" t="inlineStr">
        <is>
          <t>1. Executive functioning and ADHD</t>
        </is>
      </c>
      <c r="D17" s="27" t="inlineStr">
        <is>
          <t>Reference</t>
        </is>
      </c>
      <c r="E17" s="27" t="inlineStr">
        <is>
          <t>Hines, J. L., King, T. S., &amp; Curry, W. J. (2012). The Adult ADHD Self-Report Scale for screening for adult attention deficit-hyperactivity disorder (ADHD). Journal of the American Board of Family Medicine, 25(6), 847-853. https://doi.org/10.3122/jabfm.2012.06.120065</t>
        </is>
      </c>
    </row>
    <row r="18" ht="35.05" customHeight="1" s="17">
      <c r="A18" s="27" t="inlineStr">
        <is>
          <t>ASRS</t>
        </is>
      </c>
      <c r="B18" s="27" t="inlineStr">
        <is>
          <t>Adult ADHD Self-Report Scale (ASRS v1.1)</t>
        </is>
      </c>
      <c r="C18" s="27" t="inlineStr">
        <is>
          <t>1. Executive functioning and ADHD</t>
        </is>
      </c>
      <c r="D18" s="27" t="inlineStr">
        <is>
          <t>Reference</t>
        </is>
      </c>
      <c r="E18" s="27" t="inlineStr">
        <is>
          <t>Kessler, R. C., Adler, L. A., Gruber, M. J., Sarawate, C. A., Spencer, T., &amp; Van Brunt, D. L. (2007). Validity of the World Health Organization Adult ADHD Self-Report Scale (ASRS) Screener in a representative sample of health plan members. International Journal of Methods in Psychiatric Research, 16(2), 52-65. https://doi.org/10.1002/mpr.208</t>
        </is>
      </c>
    </row>
    <row r="19" ht="23.85" customHeight="1" s="17">
      <c r="A19" s="27" t="inlineStr">
        <is>
          <t>ASRS</t>
        </is>
      </c>
      <c r="B19" s="27" t="inlineStr">
        <is>
          <t>Adult ADHD Self-Report Scale (ASRS v1.1)</t>
        </is>
      </c>
      <c r="C19" s="27" t="inlineStr">
        <is>
          <t>1. Executive functioning and ADHD</t>
        </is>
      </c>
      <c r="D19" s="27" t="inlineStr">
        <is>
          <t>Reference</t>
        </is>
      </c>
      <c r="E19" s="27" t="inlineStr">
        <is>
          <t>Stanton, K., Forbes, M. K., &amp; Zimmerman, M. (2018). Distinct dimensions defining the Adult ADHD Self-Report Scale: Implications for assessing inattentive and hyperactive/impulsive symptoms. Psychological Assessment, 30(12), 1549-1559. https://doi.org/10.1037/pas0000604</t>
        </is>
      </c>
    </row>
    <row r="20" ht="23.85" customHeight="1" s="17">
      <c r="A20" s="27" t="inlineStr">
        <is>
          <t>SKS</t>
        </is>
      </c>
      <c r="B20" s="27" t="inlineStr">
        <is>
          <t>Strengths Knowledge Scale</t>
        </is>
      </c>
      <c r="C20" s="27" t="inlineStr">
        <is>
          <t>2. Strengths knowledge, use and support at work</t>
        </is>
      </c>
      <c r="D20" s="27" t="inlineStr">
        <is>
          <t>Developer</t>
        </is>
      </c>
      <c r="E20" s="27" t="inlineStr">
        <is>
          <t>Govindji, R., &amp; Linley, P. A. (2007). Strengths use, self-concordance and well-being: Implications for strengths coaching and coaching psychologists. International Coaching Psychology Review, 2(2), 143-153.</t>
        </is>
      </c>
    </row>
    <row r="21" ht="23.85" customHeight="1" s="17">
      <c r="A21" s="27" t="inlineStr">
        <is>
          <t>SKS</t>
        </is>
      </c>
      <c r="B21" s="27" t="inlineStr">
        <is>
          <t>Strengths Knowledge Scale</t>
        </is>
      </c>
      <c r="C21" s="27" t="inlineStr">
        <is>
          <t>2. Strengths knowledge, use and support at work</t>
        </is>
      </c>
      <c r="D21" s="27" t="inlineStr">
        <is>
          <t>Reference</t>
        </is>
      </c>
      <c r="E21" s="27" t="inlineStr">
        <is>
          <t>Duan, W., Li, J., &amp; Mu, W. (2018). Psychometric characteristics of Strengths Knowledge Scale and Strengths Use Scale among adolescents. Journal of Psychoeducational Assessment, 36(1), 41-54. https://journals.sagepub.com/doi/10.1177/0734282917705593</t>
        </is>
      </c>
    </row>
    <row r="22" ht="23.85" customHeight="1" s="17">
      <c r="A22" s="27" t="inlineStr">
        <is>
          <t>SKS</t>
        </is>
      </c>
      <c r="B22" s="27" t="inlineStr">
        <is>
          <t>Strengths Knowledge Scale</t>
        </is>
      </c>
      <c r="C22" s="27" t="inlineStr">
        <is>
          <t>2. Strengths knowledge, use and support at work</t>
        </is>
      </c>
      <c r="D22" s="27" t="inlineStr">
        <is>
          <t>Reference</t>
        </is>
      </c>
      <c r="E22"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3" ht="23.85" customHeight="1" s="17">
      <c r="A23" s="27" t="inlineStr">
        <is>
          <t>SKS</t>
        </is>
      </c>
      <c r="B23" s="27" t="inlineStr">
        <is>
          <t>Strengths Knowledge Scale</t>
        </is>
      </c>
      <c r="C23" s="27" t="inlineStr">
        <is>
          <t>2. Strengths knowledge, use and support at work</t>
        </is>
      </c>
      <c r="D23" s="27" t="inlineStr">
        <is>
          <t>Reference</t>
        </is>
      </c>
      <c r="E23" s="27" t="inlineStr">
        <is>
          <t>Psychological Scales &amp; Instruments Database entry, Strengths Use and Current Knowledge Scale (SUCK). https://db.arabpsychology.com/scales/strengths-use-and-current-knowledge-scale-suck/</t>
        </is>
      </c>
    </row>
    <row r="24" ht="23.85" customHeight="1" s="17">
      <c r="A24" s="27" t="inlineStr">
        <is>
          <t>SUS</t>
        </is>
      </c>
      <c r="B24" s="27" t="inlineStr">
        <is>
          <t>Strengths Use Scale</t>
        </is>
      </c>
      <c r="C24" s="27" t="inlineStr">
        <is>
          <t>2. Strengths knowledge, use and support at work</t>
        </is>
      </c>
      <c r="D24" s="27" t="inlineStr">
        <is>
          <t>Developer</t>
        </is>
      </c>
      <c r="E24" s="27" t="inlineStr">
        <is>
          <t>Govindji, R., &amp; Linley, P. A. (2007). Strengths use, self-concordance and well-being: Implications for strengths coaching and coaching psychologists. International Coaching Psychology Review, 2(2), 143-153.</t>
        </is>
      </c>
    </row>
    <row r="25" ht="23.85" customHeight="1" s="17">
      <c r="A25" s="27" t="inlineStr">
        <is>
          <t>SUS</t>
        </is>
      </c>
      <c r="B25" s="27" t="inlineStr">
        <is>
          <t>Strengths Use Scale</t>
        </is>
      </c>
      <c r="C25" s="27" t="inlineStr">
        <is>
          <t>2. Strengths knowledge, use and support at work</t>
        </is>
      </c>
      <c r="D25" s="27" t="inlineStr">
        <is>
          <t>Reference</t>
        </is>
      </c>
      <c r="E25" s="27" t="inlineStr">
        <is>
          <t>Duan, W., Li, J., &amp; Mu, W. (2018). Psychometric characteristics of Strengths Knowledge Scale and Strengths Use Scale among adolescents. Journal of Psychoeducational Assessment, 36(1), 41-54. https://journals.sagepub.com/doi/10.1177/0734282917705593</t>
        </is>
      </c>
    </row>
    <row r="26" ht="23.85" customHeight="1" s="17">
      <c r="A26" s="27" t="inlineStr">
        <is>
          <t>SUS</t>
        </is>
      </c>
      <c r="B26" s="27" t="inlineStr">
        <is>
          <t>Strengths Use Scale</t>
        </is>
      </c>
      <c r="C26" s="27" t="inlineStr">
        <is>
          <t>2. Strengths knowledge, use and support at work</t>
        </is>
      </c>
      <c r="D26" s="27" t="inlineStr">
        <is>
          <t>Reference</t>
        </is>
      </c>
      <c r="E26" s="27" t="inlineStr">
        <is>
          <t>Frontiers in Psychology (2023). Know and use your personal strengths! A Spanish validation of the strengths knowledge and use scales and their relationship with meaningful work and work-related well-being. https://www.frontiersin.org/journals/psychology/articles/10.3389/fpsyg.2023.1086510/full</t>
        </is>
      </c>
    </row>
    <row r="27" ht="23.85" customHeight="1" s="17">
      <c r="A27" s="27" t="inlineStr">
        <is>
          <t>SUS</t>
        </is>
      </c>
      <c r="B27" s="27" t="inlineStr">
        <is>
          <t>Strengths Use Scale</t>
        </is>
      </c>
      <c r="C27" s="27" t="inlineStr">
        <is>
          <t>2. Strengths knowledge, use and support at work</t>
        </is>
      </c>
      <c r="D27" s="27" t="inlineStr">
        <is>
          <t>Reference</t>
        </is>
      </c>
      <c r="E27" s="27" t="inlineStr">
        <is>
          <t>Psychological Scales &amp; Instruments Database entry, Strengths Use and Current Knowledge Scale (SUCK). https://db.arabpsychology.com/scales/strengths-use-and-current-knowledge-scale-suck/</t>
        </is>
      </c>
    </row>
    <row r="28" ht="23.85" customHeight="1" s="17">
      <c r="A28" s="27" t="inlineStr">
        <is>
          <t>SSES</t>
        </is>
      </c>
      <c r="B28" s="27" t="inlineStr">
        <is>
          <t>Strengths Self-Efficacy Scale</t>
        </is>
      </c>
      <c r="C28" s="27" t="inlineStr">
        <is>
          <t>2. Strengths knowledge, use and support at work</t>
        </is>
      </c>
      <c r="D28" s="27" t="inlineStr">
        <is>
          <t>Developer</t>
        </is>
      </c>
      <c r="E28" s="27" t="inlineStr">
        <is>
          <t>Tsai, C.-L., Chaichanasakul, A., Zhao, R., Flores, L. Y., &amp; Lopez, S. J. (2014). Development and validation of the Strengths Self-Efficacy Scale (SSES). Journal of Career Assessment, 22(2), 221-232. https://doi.org/10.1177/1069072713493761</t>
        </is>
      </c>
    </row>
    <row r="29" ht="23.85" customHeight="1" s="17">
      <c r="A29" s="27" t="inlineStr">
        <is>
          <t>SSES</t>
        </is>
      </c>
      <c r="B29" s="27" t="inlineStr">
        <is>
          <t>Strengths Self-Efficacy Scale</t>
        </is>
      </c>
      <c r="C29" s="27" t="inlineStr">
        <is>
          <t>2. Strengths knowledge, use and support at work</t>
        </is>
      </c>
      <c r="D29" s="27" t="inlineStr">
        <is>
          <t>Reference</t>
        </is>
      </c>
      <c r="E29" s="27" t="inlineStr">
        <is>
          <t>SAGE Journals abstract, Development and Validation of the Strengths Self-Efficacy Scale (SSES). https://journals.sagepub.com/doi/abs/10.1177/1069072713493761</t>
        </is>
      </c>
    </row>
    <row r="30" ht="23.85" customHeight="1" s="17">
      <c r="A30" s="27" t="inlineStr">
        <is>
          <t>SSES</t>
        </is>
      </c>
      <c r="B30" s="27" t="inlineStr">
        <is>
          <t>Strengths Self-Efficacy Scale</t>
        </is>
      </c>
      <c r="C30" s="27" t="inlineStr">
        <is>
          <t>2. Strengths knowledge, use and support at work</t>
        </is>
      </c>
      <c r="D30" s="27" t="inlineStr">
        <is>
          <t>Reference</t>
        </is>
      </c>
      <c r="E30" s="27" t="inlineStr">
        <is>
          <t>PositivePsychology.com, The Strengths Self-Efficacy Scale (free downloadable PDF reproduction of the instrument). https://positivepsychology.com/wp-content/uploads/The-Strengths-Self-efficacy-Scale.pdf</t>
        </is>
      </c>
    </row>
    <row r="31" ht="23.85" customHeight="1" s="17">
      <c r="A31" s="27" t="inlineStr">
        <is>
          <t>SSES</t>
        </is>
      </c>
      <c r="B31" s="27" t="inlineStr">
        <is>
          <t>Strengths Self-Efficacy Scale</t>
        </is>
      </c>
      <c r="C31" s="27" t="inlineStr">
        <is>
          <t>2. Strengths knowledge, use and support at work</t>
        </is>
      </c>
      <c r="D31" s="27" t="inlineStr">
        <is>
          <t>Reference</t>
        </is>
      </c>
      <c r="E31" s="27" t="inlineStr">
        <is>
          <t>Academia.edu reproduction, Strengths Self-Efficacy Scale. https://www.academia.edu/100623230/Strengths_Self_Efficacy_Scale</t>
        </is>
      </c>
    </row>
    <row r="32" ht="23.85" customHeight="1" s="17">
      <c r="A32" s="27" t="inlineStr">
        <is>
          <t>CSES</t>
        </is>
      </c>
      <c r="B32" s="27" t="inlineStr">
        <is>
          <t>Core Self-Evaluations Scale</t>
        </is>
      </c>
      <c r="C32" s="27" t="inlineStr">
        <is>
          <t>3. Adjacent occupational and wellbeing</t>
        </is>
      </c>
      <c r="D32" s="27" t="inlineStr">
        <is>
          <t>Developer</t>
        </is>
      </c>
      <c r="E32" s="27" t="inlineStr">
        <is>
          <t>Judge, T. A., Erez, A., Bono, J. E., &amp; Thoresen, C. J. (2003). The Core Self-Evaluations Scale: Development of a measure. Personnel Psychology, 56(2), 303-331. https://doi.org/10.1111/j.1744-6570.2003.tb00152.x</t>
        </is>
      </c>
    </row>
    <row r="33" ht="15" customHeight="1" s="17">
      <c r="A33" s="27" t="inlineStr">
        <is>
          <t>CSES</t>
        </is>
      </c>
      <c r="B33" s="27" t="inlineStr">
        <is>
          <t>Core Self-Evaluations Scale</t>
        </is>
      </c>
      <c r="C33" s="27" t="inlineStr">
        <is>
          <t>3. Adjacent occupational and wellbeing</t>
        </is>
      </c>
      <c r="D33" s="27" t="inlineStr">
        <is>
          <t>Reference</t>
        </is>
      </c>
      <c r="E33" s="27" t="inlineStr">
        <is>
          <t>Open-access reproduction of the CSES item table and scoring (fetched for this record). http://ionilies.com/SIOP03/Files/CSES.pdf</t>
        </is>
      </c>
    </row>
    <row r="34" ht="23.85" customHeight="1" s="17">
      <c r="A34" s="27" t="inlineStr">
        <is>
          <t>PES</t>
        </is>
      </c>
      <c r="B34" s="27" t="inlineStr">
        <is>
          <t>Psychological Empowerment Scale</t>
        </is>
      </c>
      <c r="C34" s="27" t="inlineStr">
        <is>
          <t>3. Adjacent occupational and wellbeing</t>
        </is>
      </c>
      <c r="D34" s="27" t="inlineStr">
        <is>
          <t>Developer</t>
        </is>
      </c>
      <c r="E34" s="27" t="inlineStr">
        <is>
          <t>Spreitzer, G. M. (1995). Psychological empowerment in the workplace: Dimensions, measurement, and validation. Academy of Management Journal, 38(5), 1442-1465. https://doi.org/10.2307/256865</t>
        </is>
      </c>
    </row>
    <row r="35" ht="23.85" customHeight="1" s="17">
      <c r="A35" s="27" t="inlineStr">
        <is>
          <t>PES</t>
        </is>
      </c>
      <c r="B35" s="27" t="inlineStr">
        <is>
          <t>Psychological Empowerment Scale</t>
        </is>
      </c>
      <c r="C35" s="27" t="inlineStr">
        <is>
          <t>3. Adjacent occupational and wellbeing</t>
        </is>
      </c>
      <c r="D35" s="27" t="inlineStr">
        <is>
          <t>Reference</t>
        </is>
      </c>
      <c r="E35" s="27" t="inlineStr">
        <is>
          <t>Spreitzer, G. M. Psychological Empowerment Instrument (official instrument page, fetched for this record). https://webuser.bus.umich.edu/spreitze/Pdfs/EmpowerInstrument.pdf</t>
        </is>
      </c>
    </row>
    <row r="36" ht="23.85" customHeight="1" s="17">
      <c r="A36" s="27" t="inlineStr">
        <is>
          <t>DASS-21</t>
        </is>
      </c>
      <c r="B36" s="27" t="inlineStr">
        <is>
          <t>Depression Anxiety Stress Scales, 21 item version (DASS-21)</t>
        </is>
      </c>
      <c r="C36" s="27" t="inlineStr">
        <is>
          <t>4. Clinical and distress screening</t>
        </is>
      </c>
      <c r="D36" s="27" t="inlineStr">
        <is>
          <t>Developer</t>
        </is>
      </c>
      <c r="E36" s="27" t="inlineStr">
        <is>
          <t>Lovibond, S. H., &amp; Lovibond, P. F. (1995). Manual for the Depression Anxiety Stress Scales (2nd ed.). Sydney: Psychology Foundation of Australia.</t>
        </is>
      </c>
    </row>
    <row r="37" ht="35.05" customHeight="1" s="17">
      <c r="A37" s="27" t="inlineStr">
        <is>
          <t>DASS-21</t>
        </is>
      </c>
      <c r="B37" s="27" t="inlineStr">
        <is>
          <t>Depression Anxiety Stress Scales, 21 item version (DASS-21)</t>
        </is>
      </c>
      <c r="C37" s="27" t="inlineStr">
        <is>
          <t>4. Clinical and distress screening</t>
        </is>
      </c>
      <c r="D37" s="27" t="inlineStr">
        <is>
          <t>Reference</t>
        </is>
      </c>
      <c r="E37" s="27" t="inlineStr">
        <is>
          <t>Antony, M. M., Bieling, P. J., Cox, B. J., Enns, M. W., &amp; Swinson, R. P. (1998). Psychometric properties of the 42-item and 21-item versions of the Depression Anxiety Stress Scales in clinical groups and a community sample. Psychological Assessment, 10(2), 176-181. https://doi.org/10.1037/1040-3590.10.2.176</t>
        </is>
      </c>
    </row>
    <row r="38" ht="23.85" customHeight="1" s="17">
      <c r="A38" s="27" t="inlineStr">
        <is>
          <t>DASS-21</t>
        </is>
      </c>
      <c r="B38" s="27" t="inlineStr">
        <is>
          <t>Depression Anxiety Stress Scales, 21 item version (DASS-21)</t>
        </is>
      </c>
      <c r="C38" s="27" t="inlineStr">
        <is>
          <t>4. Clinical and distress screening</t>
        </is>
      </c>
      <c r="D38" s="27" t="inlineStr">
        <is>
          <t>Reference</t>
        </is>
      </c>
      <c r="E38" s="27" t="inlineStr">
        <is>
          <t>Brown, T. A., Chorpita, B. F., Korotitsch, W., &amp; Barlow, D. H. (1997). Psychometric properties of the Depression Anxiety Stress Scales (DASS) in clinical samples. Behaviour Research and Therapy, 35(1), 79-89. https://doi.org/10.1016/s0005-7967(96)00068-x</t>
        </is>
      </c>
    </row>
    <row r="39" ht="23.85" customHeight="1" s="17">
      <c r="A39" s="27" t="inlineStr">
        <is>
          <t>DASS-21</t>
        </is>
      </c>
      <c r="B39" s="27" t="inlineStr">
        <is>
          <t>Depression Anxiety Stress Scales, 21 item version (DASS-21)</t>
        </is>
      </c>
      <c r="C39" s="27" t="inlineStr">
        <is>
          <t>4. Clinical and distress screening</t>
        </is>
      </c>
      <c r="D39" s="27" t="inlineStr">
        <is>
          <t>Reference</t>
        </is>
      </c>
      <c r="E39" s="27" t="inlineStr">
        <is>
          <t>Henry, J. D., &amp; Crawford, J. R. (2005). The short-form version of the Depression Anxiety Stress Scales (DASS-21): Construct validity and normative data in a large non-clinical sample. British Journal of Clinical Psychology, 44(2), 227-239. https://doi.org/10.1348/014466505X29657</t>
        </is>
      </c>
    </row>
    <row r="40" ht="23.85" customHeight="1" s="17">
      <c r="A40" s="27" t="inlineStr">
        <is>
          <t>DASS-21</t>
        </is>
      </c>
      <c r="B40" s="27" t="inlineStr">
        <is>
          <t>Depression Anxiety Stress Scales, 21 item version (DASS-21)</t>
        </is>
      </c>
      <c r="C40" s="27" t="inlineStr">
        <is>
          <t>4. Clinical and distress screening</t>
        </is>
      </c>
      <c r="D40" s="27" t="inlineStr">
        <is>
          <t>Reference</t>
        </is>
      </c>
      <c r="E40" s="27" t="inlineStr">
        <is>
          <t>Lovibond, P. F., &amp; Lovibond, S. H. (1995). The structure of negative emotional states: Comparison of the Depression Anxiety Stress Scales (DASS) with the Beck Depression and Anxiety Inventories. Behaviour Research and Therapy, 33(3), 335-343. https://doi.org/10.1016/0005-7967(94)00075-U</t>
        </is>
      </c>
    </row>
    <row r="41" ht="23.85" customHeight="1" s="17">
      <c r="A41" s="27" t="inlineStr">
        <is>
          <t>DASS-21</t>
        </is>
      </c>
      <c r="B41" s="27" t="inlineStr">
        <is>
          <t>Depression Anxiety Stress Scales, 21 item version (DASS-21)</t>
        </is>
      </c>
      <c r="C41" s="27" t="inlineStr">
        <is>
          <t>4. Clinical and distress screening</t>
        </is>
      </c>
      <c r="D41" s="27" t="inlineStr">
        <is>
          <t>Reference</t>
        </is>
      </c>
      <c r="E41" s="27" t="inlineStr">
        <is>
          <t>University of New South Wales, School of Psychology. (n.d.). DASS: Depression Anxiety Stress Scales. https://www2.psy.unsw.edu.au/dass/</t>
        </is>
      </c>
    </row>
    <row r="42" ht="35.05" customHeight="1" s="17">
      <c r="A42" s="27" t="inlineStr">
        <is>
          <t>PTQ</t>
        </is>
      </c>
      <c r="B42" s="27" t="inlineStr">
        <is>
          <t>Perseverative Thinking Questionnaire</t>
        </is>
      </c>
      <c r="C42" s="27" t="inlineStr">
        <is>
          <t>5. Self talk, thinking patterns and personality</t>
        </is>
      </c>
      <c r="D42" s="27" t="inlineStr">
        <is>
          <t>Developer</t>
        </is>
      </c>
      <c r="E42"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43" ht="23.85" customHeight="1" s="17">
      <c r="A43" s="27" t="inlineStr">
        <is>
          <t>RRS</t>
        </is>
      </c>
      <c r="B43" s="27" t="inlineStr">
        <is>
          <t>Ruminative Responses Scale</t>
        </is>
      </c>
      <c r="C43" s="27" t="inlineStr">
        <is>
          <t>5. Self talk, thinking patterns and personality</t>
        </is>
      </c>
      <c r="D43" s="27" t="inlineStr">
        <is>
          <t>Developer</t>
        </is>
      </c>
      <c r="E43"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44" ht="23.85" customHeight="1" s="17">
      <c r="A44" s="27" t="inlineStr">
        <is>
          <t>RRS</t>
        </is>
      </c>
      <c r="B44" s="27" t="inlineStr">
        <is>
          <t>Ruminative Responses Scale</t>
        </is>
      </c>
      <c r="C44" s="27" t="inlineStr">
        <is>
          <t>5. Self talk, thinking patterns and personality</t>
        </is>
      </c>
      <c r="D44" s="27" t="inlineStr">
        <is>
          <t>Reference</t>
        </is>
      </c>
      <c r="E44" s="27" t="inlineStr">
        <is>
          <t>Treynor, W., Gonzalez, R., &amp; Nolen-Hoeksema, S. (2003). Rumination reconsidered: A psychometric analysis. Cognitive Therapy and Research, 27(3), 247–259. https://doi.org/10.1023/A:1023910315561</t>
        </is>
      </c>
    </row>
    <row r="45" ht="23.85" customHeight="1" s="17">
      <c r="A45" s="27" t="inlineStr">
        <is>
          <t>FSCRS</t>
        </is>
      </c>
      <c r="B45" s="27" t="inlineStr">
        <is>
          <t>Forms of Self-Criticising/Attacking and Self-Reassuring Scale</t>
        </is>
      </c>
      <c r="C45" s="27" t="inlineStr">
        <is>
          <t>5. Self talk, thinking patterns and personality</t>
        </is>
      </c>
      <c r="D45" s="27" t="inlineStr">
        <is>
          <t>Developer</t>
        </is>
      </c>
      <c r="E45" s="27" t="inlineStr">
        <is>
          <t>Gilbert, P., Clarke, M., Hempel, S., Miles, J. N. V., &amp; Irons, C. (2004). Criticizing and reassuring oneself: An exploration of forms, styles and reasons in female students. British Journal of Clinical Psychology, 43(1), 31–50. https://doi.org/10.1348/014466504772812959</t>
        </is>
      </c>
    </row>
    <row r="46" ht="23.85" customHeight="1" s="17">
      <c r="A46" s="27" t="inlineStr">
        <is>
          <t>PCI</t>
        </is>
      </c>
      <c r="B46" s="27" t="inlineStr">
        <is>
          <t>Perfectionism Cognitions Inventory</t>
        </is>
      </c>
      <c r="C46" s="27" t="inlineStr">
        <is>
          <t>5. Self talk, thinking patterns and personality</t>
        </is>
      </c>
      <c r="D46" s="27" t="inlineStr">
        <is>
          <t>Developer</t>
        </is>
      </c>
      <c r="E46" s="27" t="inlineStr">
        <is>
          <t>Flett, G. L., Hewitt, P. L., Blankstein, K. R., &amp; Gray, L. (1998). Psychological distress and the frequency of perfectionistic thinking. Journal of Personality and Social Psychology, 75(5), 1363–1381. https://doi.org/10.1037/0022-3514.75.5.1363</t>
        </is>
      </c>
    </row>
    <row r="47" ht="23.85" customHeight="1" s="17">
      <c r="A47" s="27" t="inlineStr">
        <is>
          <t>SCS-SF</t>
        </is>
      </c>
      <c r="B47" s="27" t="inlineStr">
        <is>
          <t>Self-Compassion Scale – Short Form</t>
        </is>
      </c>
      <c r="C47" s="27" t="inlineStr">
        <is>
          <t>5. Self talk, thinking patterns and personality</t>
        </is>
      </c>
      <c r="D47" s="27" t="inlineStr">
        <is>
          <t>Developer</t>
        </is>
      </c>
      <c r="E47" s="27" t="inlineStr">
        <is>
          <t>Raes, F., Pommier, E., Neff, K. D., &amp; Van Gucht, D. (2011). Construction and factorial validation of a short form of the Self-Compassion Scale. Clinical Psychology &amp; Psychotherapy, 18(3), 250–255. https://doi.org/10.1002/cpp.702</t>
        </is>
      </c>
    </row>
    <row r="48" ht="23.85" customHeight="1" s="17">
      <c r="A48" s="27" t="inlineStr">
        <is>
          <t>SCS-SF</t>
        </is>
      </c>
      <c r="B48" s="27" t="inlineStr">
        <is>
          <t>Self-Compassion Scale – Short Form</t>
        </is>
      </c>
      <c r="C48" s="27" t="inlineStr">
        <is>
          <t>5. Self talk, thinking patterns and personality</t>
        </is>
      </c>
      <c r="D48" s="27" t="inlineStr">
        <is>
          <t>Reference</t>
        </is>
      </c>
      <c r="E48" s="27" t="inlineStr">
        <is>
          <t>Hayes, J. A., Lockard, A. J., Janis, R. A., &amp; Locke, B. D. (2016). Construct validity of the Self-Compassion Scale-Short Form among psychotherapy clients. Counselling Psychology Quarterly, 29(4), 405–422. https://doi.org/10.1080/09515070.2015.1084179</t>
        </is>
      </c>
    </row>
    <row r="49" ht="35.05" customHeight="1" s="17">
      <c r="A49" s="27" t="inlineStr">
        <is>
          <t>BPNSFS</t>
        </is>
      </c>
      <c r="B49" s="27" t="inlineStr">
        <is>
          <t>Basic Psychological Need Satisfaction and Frustration Scale (BPNSFS)</t>
        </is>
      </c>
      <c r="C49" s="27" t="inlineStr">
        <is>
          <t>6. Motivation, self determination and goal pursuit</t>
        </is>
      </c>
      <c r="D49" s="27" t="inlineStr">
        <is>
          <t>Developer</t>
        </is>
      </c>
      <c r="E49"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50" ht="23.85" customHeight="1" s="17">
      <c r="A50" s="27" t="inlineStr">
        <is>
          <t>BPNSFS</t>
        </is>
      </c>
      <c r="B50" s="27" t="inlineStr">
        <is>
          <t>Basic Psychological Need Satisfaction and Frustration Scale (BPNSFS)</t>
        </is>
      </c>
      <c r="C50" s="27" t="inlineStr">
        <is>
          <t>6. Motivation, self determination and goal pursuit</t>
        </is>
      </c>
      <c r="D50" s="27" t="inlineStr">
        <is>
          <t>Reference</t>
        </is>
      </c>
      <c r="E50" s="27" t="inlineStr">
        <is>
          <t>Center for Self-Determination Theory. (n.d.). Basic Psychological Need Satisfaction and Frustration Scale (BPNSFS). Self-Determination Theory. Retrieved September 26, 2026, from https://selfdeterminationtheory.org/basic-psychological-need-satisfaction-and-frustration-scale/</t>
        </is>
      </c>
    </row>
    <row r="51" ht="23.85" customHeight="1" s="17">
      <c r="A51" s="27" t="inlineStr">
        <is>
          <t>BPNSFS</t>
        </is>
      </c>
      <c r="B51" s="27" t="inlineStr">
        <is>
          <t>Basic Psychological Need Satisfaction and Frustration Scale (BPNSFS)</t>
        </is>
      </c>
      <c r="C51" s="27" t="inlineStr">
        <is>
          <t>6. Motivation, self determination and goal pursuit</t>
        </is>
      </c>
      <c r="D51" s="27" t="inlineStr">
        <is>
          <t>Reference</t>
        </is>
      </c>
      <c r="E51" s="27" t="inlineStr">
        <is>
          <t>Center for Self-Determination Theory. (n.d.). Questionnaires. Self-Determination Theory. Retrieved September 26, 2026, from https://selfdeterminationtheory.org/questionnaires/</t>
        </is>
      </c>
    </row>
    <row r="52" ht="23.85" customHeight="1" s="17">
      <c r="A52" s="27" t="inlineStr">
        <is>
          <t>PPS</t>
        </is>
      </c>
      <c r="B52" s="27" t="inlineStr">
        <is>
          <t>Pure Procrastination Scale</t>
        </is>
      </c>
      <c r="C52" s="27" t="inlineStr">
        <is>
          <t>6. Motivation, self determination and goal pursuit</t>
        </is>
      </c>
      <c r="D52" s="27" t="inlineStr">
        <is>
          <t>Developer</t>
        </is>
      </c>
      <c r="E52" s="27" t="inlineStr">
        <is>
          <t>Svartdal, F., &amp; Steel, P. (2017). Irrational delay revisited: Examining five procrastination scales in a global sample. Frontiers in Psychology, 8, 1927. https://doi.org/10.3389/fpsyg.2017.01927</t>
        </is>
      </c>
    </row>
    <row r="53" ht="23.85" customHeight="1" s="17">
      <c r="A53" s="27" t="inlineStr">
        <is>
          <t>PPS</t>
        </is>
      </c>
      <c r="B53" s="27" t="inlineStr">
        <is>
          <t>Pure Procrastination Scale</t>
        </is>
      </c>
      <c r="C53" s="27" t="inlineStr">
        <is>
          <t>6. Motivation, self determination and goal pursuit</t>
        </is>
      </c>
      <c r="D53" s="27" t="inlineStr">
        <is>
          <t>Reference</t>
        </is>
      </c>
      <c r="E53" s="27" t="inlineStr">
        <is>
          <t>Steel, P. (2010). Arousal, avoidant and decisional procrastinators: Do they exist? Personality and Individual Differences, 48(8), 926-934. https://doi.org/10.1016/j.paid.2010.02.025</t>
        </is>
      </c>
    </row>
    <row r="54" ht="23.85" customHeight="1" s="17">
      <c r="A54" s="27" t="inlineStr">
        <is>
          <t>IPS</t>
        </is>
      </c>
      <c r="B54" s="27" t="inlineStr">
        <is>
          <t>Irrational Procrastination Scale</t>
        </is>
      </c>
      <c r="C54" s="27" t="inlineStr">
        <is>
          <t>6. Motivation, self determination and goal pursuit</t>
        </is>
      </c>
      <c r="D54" s="27" t="inlineStr">
        <is>
          <t>Developer</t>
        </is>
      </c>
      <c r="E54" s="27" t="inlineStr">
        <is>
          <t>Svartdal, F., &amp; Steel, P. (2017). Irrational delay revisited: Examining five procrastination scales in a global sample. Frontiers in Psychology, 8, 1927. https://doi.org/10.3389/fpsyg.2017.01927</t>
        </is>
      </c>
    </row>
    <row r="55" ht="23.85" customHeight="1" s="17">
      <c r="A55" s="27" t="inlineStr">
        <is>
          <t>IPS</t>
        </is>
      </c>
      <c r="B55" s="27" t="inlineStr">
        <is>
          <t>Irrational Procrastination Scale</t>
        </is>
      </c>
      <c r="C55" s="27" t="inlineStr">
        <is>
          <t>6. Motivation, self determination and goal pursuit</t>
        </is>
      </c>
      <c r="D55" s="27" t="inlineStr">
        <is>
          <t>Reference</t>
        </is>
      </c>
      <c r="E55" s="27" t="inlineStr">
        <is>
          <t>Steel, P. (2010). Arousal, avoidant and decisional procrastinators: Do they exist? Personality and Individual Differences, 48(8), 926-934. https://doi.org/10.1016/j.paid.2010.02.025</t>
        </is>
      </c>
    </row>
    <row r="56" ht="23.85" customHeight="1" s="17">
      <c r="A56" s="27" t="inlineStr">
        <is>
          <t>GSE</t>
        </is>
      </c>
      <c r="B56" s="27" t="inlineStr">
        <is>
          <t>General Self-Efficacy Scale</t>
        </is>
      </c>
      <c r="C56" s="27" t="inlineStr">
        <is>
          <t>6. Motivation, self determination and goal pursuit</t>
        </is>
      </c>
      <c r="D56" s="27" t="inlineStr">
        <is>
          <t>Developer</t>
        </is>
      </c>
      <c r="E56" s="27" t="inlineStr">
        <is>
          <t>Schwarzer, R., &amp; Jerusalem, M. (1995). Generalized Self-Efficacy scale. In J. Weinman, S. Wright, &amp; M. Johnston, Measures in health psychology: A user's portfolio. Causal and control beliefs (pp. 35-37). NFER-NELSON.</t>
        </is>
      </c>
    </row>
    <row r="57" ht="23.85" customHeight="1" s="17">
      <c r="A57" s="27" t="inlineStr">
        <is>
          <t>GSE</t>
        </is>
      </c>
      <c r="B57" s="27" t="inlineStr">
        <is>
          <t>General Self-Efficacy Scale</t>
        </is>
      </c>
      <c r="C57" s="27" t="inlineStr">
        <is>
          <t>6. Motivation, self determination and goal pursuit</t>
        </is>
      </c>
      <c r="D57" s="27" t="inlineStr">
        <is>
          <t>Reference</t>
        </is>
      </c>
      <c r="E57" s="27" t="inlineStr">
        <is>
          <t>Freie Universität Berlin. General Self-Efficacy Scale (English version). https://userpage.fu-berlin.de/~health/engscal.htm</t>
        </is>
      </c>
    </row>
    <row r="58" ht="23.85" customHeight="1" s="17">
      <c r="A58" s="27" t="inlineStr">
        <is>
          <t>GSE</t>
        </is>
      </c>
      <c r="B58" s="27" t="inlineStr">
        <is>
          <t>General Self-Efficacy Scale</t>
        </is>
      </c>
      <c r="C58" s="27" t="inlineStr">
        <is>
          <t>6. Motivation, self determination and goal pursuit</t>
        </is>
      </c>
      <c r="D58" s="27" t="inlineStr">
        <is>
          <t>Reference</t>
        </is>
      </c>
      <c r="E58" s="27" t="inlineStr">
        <is>
          <t>Freie Universität Berlin. General Self-Efficacy Scale: FAQ and permission statement. https://userpage.fu-berlin.de/~health/faq_gse.pdf</t>
        </is>
      </c>
    </row>
    <row r="59" ht="23.85" customHeight="1" s="17">
      <c r="A59" s="27" t="inlineStr">
        <is>
          <t>GCS</t>
        </is>
      </c>
      <c r="B59" s="27" t="inlineStr">
        <is>
          <t>Goal Commitment Scale (5-item unidimensional version)</t>
        </is>
      </c>
      <c r="C59" s="27" t="inlineStr">
        <is>
          <t>6. Motivation, self determination and goal pursuit</t>
        </is>
      </c>
      <c r="D59" s="27" t="inlineStr">
        <is>
          <t>Developer</t>
        </is>
      </c>
      <c r="E59" s="27" t="inlineStr">
        <is>
          <t>Klein, H. J., Wesson, M. J., Hollenbeck, J. R., Wright, P. M., &amp; DeShon, R. P. (2001). The assessment of goal commitment: A measurement model meta-analysis. Organizational Behavior and Human Decision Processes, 85(1), 32-55.</t>
        </is>
      </c>
    </row>
    <row r="60" ht="23.85" customHeight="1" s="17">
      <c r="A60" s="27" t="inlineStr">
        <is>
          <t>GCS</t>
        </is>
      </c>
      <c r="B60" s="27" t="inlineStr">
        <is>
          <t>Goal Commitment Scale (5-item unidimensional version)</t>
        </is>
      </c>
      <c r="C60" s="27" t="inlineStr">
        <is>
          <t>6. Motivation, self determination and goal pursuit</t>
        </is>
      </c>
      <c r="D60" s="27" t="inlineStr">
        <is>
          <t>Reference</t>
        </is>
      </c>
      <c r="E60" s="27" t="inlineStr">
        <is>
          <t>Hollenbeck, J. R., Williams, C. R., &amp; Klein, H. J. (1989). An empirical examination of the antecedents of commitment to difficult goals. Journal of Applied Psychology, 74(1), 18-23.</t>
        </is>
      </c>
    </row>
    <row r="61" ht="23.85" customHeight="1" s="17">
      <c r="A61" s="27" t="inlineStr">
        <is>
          <t>GCS</t>
        </is>
      </c>
      <c r="B61" s="27" t="inlineStr">
        <is>
          <t>Goal Commitment Scale (5-item unidimensional version)</t>
        </is>
      </c>
      <c r="C61" s="27" t="inlineStr">
        <is>
          <t>6. Motivation, self determination and goal pursuit</t>
        </is>
      </c>
      <c r="D61" s="27" t="inlineStr">
        <is>
          <t>Reference</t>
        </is>
      </c>
      <c r="E61" s="27" t="inlineStr">
        <is>
          <t>Klein, H. J., Cooper, J. T., Molloy, J. C., &amp; Swanson, J. A. (2014). The assessment of commitment: Advantages of a unidimensional, target-free approach. Journal of Applied Psychology, 99(2), 222-238.</t>
        </is>
      </c>
    </row>
    <row r="62" ht="23.85" customHeight="1" s="17">
      <c r="A62" s="27" t="inlineStr">
        <is>
          <t>GADJ</t>
        </is>
      </c>
      <c r="B62" s="27" t="inlineStr">
        <is>
          <t>Goal Adjustment Scale</t>
        </is>
      </c>
      <c r="C62" s="27" t="inlineStr">
        <is>
          <t>6. Motivation, self determination and goal pursuit</t>
        </is>
      </c>
      <c r="D62" s="27" t="inlineStr">
        <is>
          <t>Developer</t>
        </is>
      </c>
      <c r="E62" s="27" t="inlineStr">
        <is>
          <t>Wrosch, C., Scheier, M. F., Miller, G. E., Schulz, R., &amp; Carver, C. S. (2003). Adaptive self-regulation of unattainable goals: Goal disengagement, goal reengagement, and subjective well-being. Personality and Social Psychology Bulletin, 29(12), 1494-1508.</t>
        </is>
      </c>
    </row>
    <row r="63">
      <c r="A63" t="inlineStr">
        <is>
          <t>ADEXI</t>
        </is>
      </c>
      <c r="B63" t="inlineStr">
        <is>
          <t>Adult Executive Functioning Inventory</t>
        </is>
      </c>
      <c r="C63" t="inlineStr">
        <is>
          <t>1. Executive functioning and ADHD</t>
        </is>
      </c>
      <c r="D63" t="inlineStr">
        <is>
          <t>Developer</t>
        </is>
      </c>
      <c r="E63" t="inlineStr">
        <is>
          <t>Holst, Y., &amp; Thorell, L. B. (2018). Adult executive functioning inventory (ADEXI): Validity, reliability, and relations to ADHD. International Journal of Methods in Psychiatric Research, 27(1), e1567. https://doi.org/10.1002/mpr.1567</t>
        </is>
      </c>
    </row>
    <row r="64">
      <c r="A64" t="inlineStr">
        <is>
          <t>ADEXI</t>
        </is>
      </c>
      <c r="B64" t="inlineStr">
        <is>
          <t>Adult Executive Functioning Inventory</t>
        </is>
      </c>
      <c r="C64" t="inlineStr">
        <is>
          <t>1. Executive functioning and ADHD</t>
        </is>
      </c>
      <c r="D64" t="inlineStr">
        <is>
          <t>Transcription</t>
        </is>
      </c>
      <c r="E64" t="inlineStr">
        <is>
          <t>Transcribed 18 October 2026 from https://chexi.se/onewebmedia/English%20ADEXI%20self-report.pdf; independent check: verified. Items transcribed from the English ADEXI self-report PDF on chexi.se. Item 6 reads "refraining for smiling" in the source (sic). Item 4 ends with a full stop in the source; the other items do not. Subscale membership taken from the ADEXI subscales PDF on chexi.se (colour coding in the colour coded PDF could not be read as text). The PDF carries no copyright line, only a translator credit to Lisa B. Thorell, Karolinska Institutet.</t>
        </is>
      </c>
    </row>
    <row r="65">
      <c r="A65" t="inlineStr">
        <is>
          <t>AMS-C</t>
        </is>
      </c>
      <c r="B65" t="inlineStr">
        <is>
          <t>Academic Motivation Scale (College version, AMS-C 28)</t>
        </is>
      </c>
      <c r="C65" t="inlineStr">
        <is>
          <t>3. Adjacent occupational and wellbeing</t>
        </is>
      </c>
      <c r="D65" t="inlineStr">
        <is>
          <t>Developer</t>
        </is>
      </c>
      <c r="E65" t="inlineStr">
        <is>
          <t>Vallerand, R. J., Pelletier, L. G., Blais, M. R., Brière, N. M., Senécal, C., &amp; Vallières, E. F. (1992). The Academic Motivation Scale: A measure of intrinsic, extrinsic, and amotivation in education. Educational and Psychological Measurement, 52(4), 1003–1017. https://doi.org/10.1177/0013164492052004025</t>
        </is>
      </c>
    </row>
    <row r="66">
      <c r="A66" t="inlineStr">
        <is>
          <t>AMS-C</t>
        </is>
      </c>
      <c r="B66" t="inlineStr">
        <is>
          <t>Academic Motivation Scale (College version, AMS-C 28)</t>
        </is>
      </c>
      <c r="C66" t="inlineStr">
        <is>
          <t>3. Adjacent occupational and wellbeing</t>
        </is>
      </c>
      <c r="D66" t="inlineStr">
        <is>
          <t>Transcription</t>
        </is>
      </c>
      <c r="E66" t="inlineStr">
        <is>
          <t>Transcribed 18 October 2026 from https://www.lrcs.uqam.ca/wp-content/uploads/2017/08/emec_en.pdf; independent check: verified. The itemsUrl in the target record (HS-emes_en.pdf) is the High School version (AMS-HS 28), not the college version. The college version was transcribed from the same laboratory site at emec_en.pdf (titled "ACADEMIC MOTIVATION SCALE (AMS-C 28)"), which carries the same copyright footer and permission note. The 7 point scale prints 5 verbal anchors over the numbers 1 to 7: "Does not correspond at all" over 1, "Corresponds a little" over 2 and 3, "Corresponds moderately" over 4, "Corresponds a lot" over 5 and 6, and "Corresponds exactly" over 7. The text extraction could not confirm this alignment and it is recorded here from the standard layout of the form; values 2, 3, 5 and 6 share the adjacent anchor. Subscale membership is taken verbatim from the key printed on the form.</t>
        </is>
      </c>
    </row>
    <row r="67">
      <c r="A67" t="inlineStr">
        <is>
          <t>APS-R</t>
        </is>
      </c>
      <c r="B67" t="inlineStr">
        <is>
          <t>Almost Perfect Scale Revised</t>
        </is>
      </c>
      <c r="C67" t="inlineStr">
        <is>
          <t>5. Self talk, thinking patterns and personality</t>
        </is>
      </c>
      <c r="D67" t="inlineStr">
        <is>
          <t>Developer</t>
        </is>
      </c>
      <c r="E67" t="inlineStr">
        <is>
          <t>Slaney, R. B., Rice, K. G., Mobley, M., Trippi, J., &amp; Ashby, J. S. (2001). The revised Almost Perfect Scale. Measurement and Evaluation in Counseling and Development, 34(3), 130–145. https://doi.org/10.1080/07481756.2002.12069030</t>
        </is>
      </c>
    </row>
    <row r="68">
      <c r="A68" t="inlineStr">
        <is>
          <t>APS-R</t>
        </is>
      </c>
      <c r="B68" t="inlineStr">
        <is>
          <t>Almost Perfect Scale Revised</t>
        </is>
      </c>
      <c r="C68" t="inlineStr">
        <is>
          <t>5. Self talk, thinking patterns and personality</t>
        </is>
      </c>
      <c r="D68" t="inlineStr">
        <is>
          <t>Transcription</t>
        </is>
      </c>
      <c r="E68" t="inlineStr">
        <is>
          <t>Transcribed 18 October 2026 from https://www.kennethwang.com/apsr/scales/APSR-English.pdf; independent check: verified with corrections. Items transcribed from the English APS-R PDF on kennethwang.com. Item 7 has no closing full stop in the source. Curly apostrophes retained as printed. The permission note on the PDF (research only, one year) conflicts with the current Rice lab statement that no permission is needed; both are quoted in the licence field and the Rice lab page is the licenceUrl. Second pass (18 October 2026): subscale renamed Standards to match the scoring key printed on the form; Rice lab quote corrected to "It should be cited properly as shown above."</t>
        </is>
      </c>
    </row>
    <row r="69">
      <c r="A69" t="inlineStr">
        <is>
          <t>AUDIT-C</t>
        </is>
      </c>
      <c r="B69" t="inlineStr">
        <is>
          <t>AUDIT Consumption</t>
        </is>
      </c>
      <c r="C69" t="inlineStr">
        <is>
          <t>4. Clinical and distress screening</t>
        </is>
      </c>
      <c r="D69" t="inlineStr">
        <is>
          <t>Developer</t>
        </is>
      </c>
      <c r="E69" t="inlineStr">
        <is>
          <t>Bush, K., Kivlahan, D. R., McDonell, M. B., Fihn, S. D., &amp; Bradley, K. A. (1998). The AUDIT alcohol consumption questions (AUDIT-C): An effective brief screening test for problem drinking. Archives of Internal Medicine, 158(16), 1789–1795. https://doi.org/10.1001/archinte.158.16.1789</t>
        </is>
      </c>
    </row>
    <row r="70">
      <c r="A70" t="inlineStr">
        <is>
          <t>AUDIT-C</t>
        </is>
      </c>
      <c r="B70" t="inlineStr">
        <is>
          <t>AUDIT Consumption</t>
        </is>
      </c>
      <c r="C70" t="inlineStr">
        <is>
          <t>4. Clinical and distress screening</t>
        </is>
      </c>
      <c r="D70" t="inlineStr">
        <is>
          <t>Transcription</t>
        </is>
      </c>
      <c r="E70" t="inlineStr">
        <is>
          <t>Transcribed 18 October 2026 from https://integrationacademy.ahrq.gov/sites/default/files/2020-07/AUDIT-C.pdf; independent check: verified with corrections. The WHO AUDIT manual PDF (itemsUrl, iris.who.int and apps.who.int) could not be fetched, so item text was transcribed from the AHRQ Academy AUDIT-C sheet, whose questions 1 and 2 match the WHO manual wording; response options for question 3 follow the WHO wording as reproduced in the NIH reprint of the WHO questionnaire (uspreventiveservicestaskforce.org, GetFileByID/221) and the ANTHC and deploymentpsych.org forms, because the AHRQ copy prints non standard labels for options 3 and 4 of question 3. The AHRQ sheet writes the scoring thresholds as "&gt; 4" for men and "&gt; 2" for women, which other sources render as 4 or more and 3 or more. Copies differ in minor wording (standard drinks vs drinks; 2-4 times a month vs Two to four times a month; six vs five drinks in US adaptations; past year framing on the ANTHC form); differences are recorded in the item notes. The responseOptions field combines the 3 item specific option sets by scored value.</t>
        </is>
      </c>
    </row>
    <row r="71">
      <c r="A71" t="inlineStr">
        <is>
          <t>BIS-11</t>
        </is>
      </c>
      <c r="B71" t="inlineStr">
        <is>
          <t>Barratt Impulsiveness Scale, version 11</t>
        </is>
      </c>
      <c r="C71" t="inlineStr">
        <is>
          <t>1. Executive functioning and ADHD</t>
        </is>
      </c>
      <c r="D71" t="inlineStr">
        <is>
          <t>Developer</t>
        </is>
      </c>
      <c r="E71" t="inlineStr">
        <is>
          <t>Patton, J. H., Stanford, M. S., &amp; Barratt, E. S. (1995). Factor structure of the Barratt Impulsiveness Scale. Journal of Clinical Psychology, 51(6), 768-774. https://doi.org/10.1002/1097-4679(199511)51:6&lt;768::AID-JCLP2270510607&gt;3.0.CO;2-1</t>
        </is>
      </c>
    </row>
    <row r="72">
      <c r="A72" t="inlineStr">
        <is>
          <t>BIS-11</t>
        </is>
      </c>
      <c r="B72" t="inlineStr">
        <is>
          <t>Barratt Impulsiveness Scale, version 11</t>
        </is>
      </c>
      <c r="C72" t="inlineStr">
        <is>
          <t>1. Executive functioning and ADHD</t>
        </is>
      </c>
      <c r="D72" t="inlineStr">
        <is>
          <t>Transcription</t>
        </is>
      </c>
      <c r="E72" t="inlineStr">
        <is>
          <t>Transcribed 18 October 2026 from https://psytoolkit.org/survey-library/impulsiveness-barratt.html; independent check: verified with corrections. The NIDA Data Share page (itemsUrl) carries only a summary and no items, so the item text was transcribed from the PsyToolkit survey library page, which reproduces the BIS-11 for online use and marks the 11 reverse scored items. Factor membership and the 1 to 4 response values were taken from the official scale page https://www.impulsivity.org/measurement/bis11 (which links the English PDF at https://www.impulsivity.org/files/wp-content/uploads/2021/09/bis11english.pdf; that PDF was not fetched). PsyToolkit prints the response labels without numeric values; the 30 to 120 range and the impulsivity.org page confirm 1 to 4. Punctuation of items 5 and 17 (closing quotation marks around a full stop) follows the PsyToolkit rendering; items 3 and 8 retain the source spelling "make-up" and "self controlled". US spelling (theater) retained. The Stanford et al. (2009) cut offs are carried from the target record and were not verified against the article in this pass. Second pass: item 17 punctuation, full instructions and the factor name Nonplanning corrected to match the sources.</t>
        </is>
      </c>
    </row>
    <row r="73">
      <c r="A73" t="inlineStr">
        <is>
          <t>BIS-BRIEF</t>
        </is>
      </c>
      <c r="B73" t="inlineStr">
        <is>
          <t>Barratt Impulsiveness Scale, Brief</t>
        </is>
      </c>
      <c r="C73" t="inlineStr">
        <is>
          <t>1. Executive functioning and ADHD</t>
        </is>
      </c>
      <c r="D73" t="inlineStr">
        <is>
          <t>Developer</t>
        </is>
      </c>
      <c r="E73" t="inlineStr">
        <is>
          <t>Steinberg, L., Sharp, C., Stanford, M. S., &amp; Tharp, A. T. (2013). New tricks for an old measure: The development of the Barratt Impulsiveness Scale–Brief (BIS-Brief). Psychological Assessment, 25(1), 216–226. https://doi.org/10.1037/a0030550</t>
        </is>
      </c>
    </row>
    <row r="74">
      <c r="A74" t="inlineStr">
        <is>
          <t>BIS-BRIEF</t>
        </is>
      </c>
      <c r="B74" t="inlineStr">
        <is>
          <t>Barratt Impulsiveness Scale, Brief</t>
        </is>
      </c>
      <c r="C74" t="inlineStr">
        <is>
          <t>1. Executive functioning and ADHD</t>
        </is>
      </c>
      <c r="D74" t="inlineStr">
        <is>
          <t>Transcription</t>
        </is>
      </c>
      <c r="E74" t="inlineStr">
        <is>
          <t>Transcribed 18 October 2026 from https://www.uh.edu/class/psychology/clinical-psych/research/dpl/_files/publications/steinberg-sharp-stanford-tharp-2013.pdf; independent check: verified with corrections. Item text transcribed from Table 3 of the article (Graded Model Item Parameter Estimates for the Eight BIS-11 Items); the table gives BIS-11 item numbers only, so items are renumbered 1 to 8 here with the original BIS-11 number in each item note. Item 3 keeps the article's typographic quotation marks around "pay attention." The article gives no respondent instructions, so the instructions field is empty; the BIS-11 instructions were not retrieved. Response option labels and values are from the article; reverse keying is from the BIS-11 scoring key at https://www.impulsivity.org/measurement/bis11, not from the BIS-Brief article.</t>
        </is>
      </c>
    </row>
    <row r="75">
      <c r="A75" t="inlineStr">
        <is>
          <t>BTQ</t>
        </is>
      </c>
      <c r="B75" t="inlineStr">
        <is>
          <t>Brief Trauma Questionnaire</t>
        </is>
      </c>
      <c r="C75" t="inlineStr">
        <is>
          <t>4. Clinical and distress screening</t>
        </is>
      </c>
      <c r="D75" t="inlineStr">
        <is>
          <t>Developer</t>
        </is>
      </c>
      <c r="E75" t="inlineStr">
        <is>
          <t>Schnurr, P. P., Vielhauer, M. J., Weathers, F. W., &amp; Findler, M. (1999). The Brief Trauma Questionnaire (BTQ) [Measurement instrument]. National Center for PTSD. https://www.ptsd.va.gov</t>
        </is>
      </c>
    </row>
    <row r="76">
      <c r="A76" t="inlineStr">
        <is>
          <t>BTQ</t>
        </is>
      </c>
      <c r="B76" t="inlineStr">
        <is>
          <t>Brief Trauma Questionnaire</t>
        </is>
      </c>
      <c r="C76" t="inlineStr">
        <is>
          <t>4. Clinical and distress screening</t>
        </is>
      </c>
      <c r="D76" t="inlineStr">
        <is>
          <t>Transcription</t>
        </is>
      </c>
      <c r="E76" t="inlineStr">
        <is>
          <t>Transcribed 18 October 2026 from https://www.ptsd.va.gov/professional/assessment/documents/BTQ.pdf; independent check: verified with corrections. Transcribed in full from the National Center for PTSD PDF. Each item has 1 event question plus up to 2 follow up questions (life threat and serious injury) answered No or Yes; which follow ups apply per item is recorded in the item notes. Item 7 contains the printed error "some else's" and item 1 has the closing parenthesis after the question mark, both kept as printed. The response values 0 and 1 are assigned here for coding; the form prints only No and Yes. Second pass: item 9 follow up columns corrected (life threat N/A, serious injury No/Yes).</t>
        </is>
      </c>
    </row>
    <row r="77">
      <c r="A77" t="inlineStr">
        <is>
          <t>CAGE</t>
        </is>
      </c>
      <c r="B77" t="inlineStr">
        <is>
          <t>CAGE Questionnaire</t>
        </is>
      </c>
      <c r="C77" t="inlineStr">
        <is>
          <t>4. Clinical and distress screening</t>
        </is>
      </c>
      <c r="D77" t="inlineStr">
        <is>
          <t>Developer</t>
        </is>
      </c>
      <c r="E77" t="inlineStr">
        <is>
          <t>Ewing, J. A. (1984). Detecting alcoholism: The CAGE questionnaire. JAMA, 252(14), 1905-1907. https://doi.org/10.1001/jama.1984.03350140051025</t>
        </is>
      </c>
    </row>
    <row r="78">
      <c r="A78" t="inlineStr">
        <is>
          <t>CAGE</t>
        </is>
      </c>
      <c r="B78" t="inlineStr">
        <is>
          <t>CAGE Questionnaire</t>
        </is>
      </c>
      <c r="C78" t="inlineStr">
        <is>
          <t>4. Clinical and distress screening</t>
        </is>
      </c>
      <c r="D78" t="inlineStr">
        <is>
          <t>Transcription</t>
        </is>
      </c>
      <c r="E78" t="inlineStr">
        <is>
          <t>Transcribed 18 October 2026 from https://scireproject.com/wp-content/uploads/2022/04/CAGE-Substance-Screening-Tool.pdf; independent check: verified. The CamCOPS page (itemsUrl) gives the citations and public domain statement but not the question text. The items were transcribed from the SCIRE Project CAGE Substance Screening Tool PDF, which cites Ewing (1984) as source and prints the clinician instruction above; a second open copy (University of Washington, https://depts.washington.edu/edgh/zw/vl/project-resources/CAGE_Questionnaire.pdf) differs in wording for items 1, 3 and 4 ("felt you needed to Cut down", "felt Guilty about drinking", "felt you needed a drink first thing in the morning (Eye-opener) to steady your nerves or to get rid of a hangover?"). The SCIRE wording, which matches the Ewing (1984) JAMA wording, is used. The instruction recorded is the clinician instruction from the SCIRE form; there is no standard respondent instruction. US spelling (criticizing) retained.</t>
        </is>
      </c>
    </row>
    <row r="79">
      <c r="A79" t="inlineStr">
        <is>
          <t>CAPE-42</t>
        </is>
      </c>
      <c r="B79" t="inlineStr">
        <is>
          <t>Community Assessment of Psychic Experiences</t>
        </is>
      </c>
      <c r="C79" t="inlineStr">
        <is>
          <t>4. Clinical and distress screening</t>
        </is>
      </c>
      <c r="D79" t="inlineStr">
        <is>
          <t>Developer</t>
        </is>
      </c>
      <c r="E79" t="inlineStr">
        <is>
          <t>Stefanis, N. C., Hanssen, M., Smirnis, N. K., Avramopoulos, D. A., Evdokimidis, I. K., Stefanis, C. N., Verdoux, H., &amp; van Os, J. (2002). Evidence that three dimensions of psychosis have a distribution in the general population. Psychological Medicine, 32(2), 347–358. https://doi.org/10.1017/S0033291701005141</t>
        </is>
      </c>
    </row>
    <row r="80">
      <c r="A80" t="inlineStr">
        <is>
          <t>CAPE-42</t>
        </is>
      </c>
      <c r="B80" t="inlineStr">
        <is>
          <t>Community Assessment of Psychic Experiences</t>
        </is>
      </c>
      <c r="C80" t="inlineStr">
        <is>
          <t>4. Clinical and distress screening</t>
        </is>
      </c>
      <c r="D80" t="inlineStr">
        <is>
          <t>Transcription</t>
        </is>
      </c>
      <c r="E80" t="inlineStr">
        <is>
          <t>Transcribed 18 October 2026 from https://camcops.readthedocs.io/en/latest/autodoc/server/camcops_server/extra_strings/cape42.xml.html; independent check: verified with corrections. The itemsUrl cape42.homestead.com now returns "Sorry, the site you requested has been disabled". The 42 frequency items were transcribed from the CamCOPS cape42.xml string file (q1 to q42), which matches the item order on psytests.org. Each frequency item has a matching distress item with the stem "Please indicate how distressed you are by this experience:" and options Not distressed, A bit distressed, Quite distressed, Very distressed (1 to 4); these 42 distress items are recorded in each item note rather than as separate item objects. Respondent instructions for the frequency scale were not reproduced in any fetched source. The 20 Positive items were matched by wording to the Cambridge supplementary table (S0924933800015510sup004.pdf), which lists them without numbers. No open source reachable with WebFetch gave the item numbers for the Negative and Depressive dimensions (PMC pages were blocked by a browser check), so the remaining 22 items are coded "Negative or Depressive (dimension not confirmed from source)" and should be assigned from the original scoring key before use. Second pass: Negative and Depressive memberships resolved from the CamCOPS cape42.py task source (https://camcops.readthedocs.io/en/latest/_modules/camcops_server/tasks/cape42.html).</t>
        </is>
      </c>
    </row>
    <row r="81">
      <c r="A81" t="inlineStr">
        <is>
          <t>CBI</t>
        </is>
      </c>
      <c r="B81" t="inlineStr">
        <is>
          <t>Copenhagen Burnout Inventory</t>
        </is>
      </c>
      <c r="C81" t="inlineStr">
        <is>
          <t>3. Adjacent occupational and wellbeing</t>
        </is>
      </c>
      <c r="D81" t="inlineStr">
        <is>
          <t>Developer</t>
        </is>
      </c>
      <c r="E81" t="inlineStr">
        <is>
          <t>Kristensen, T. S., Borritz, M., Villadsen, E., &amp; Christensen, K. B. (2005). The Copenhagen Burnout Inventory: A new tool for the assessment of burnout. Work &amp; Stress, 19(3), 192–207. https://doi.org/10.1080/02678370500297720</t>
        </is>
      </c>
    </row>
    <row r="82">
      <c r="A82" t="inlineStr">
        <is>
          <t>CBI</t>
        </is>
      </c>
      <c r="B82" t="inlineStr">
        <is>
          <t>Copenhagen Burnout Inventory</t>
        </is>
      </c>
      <c r="C82" t="inlineStr">
        <is>
          <t>3. Adjacent occupational and wellbeing</t>
        </is>
      </c>
      <c r="D82" t="inlineStr">
        <is>
          <t>Transcription</t>
        </is>
      </c>
      <c r="E82" t="inlineStr">
        <is>
          <t>Transcribed 18 October 2026 from https://nfa.dk/media/hl5nbers/cbi-first-edition.pdf; independent check: verified with corrections. Items transcribed from the NFA first edition PDF (Borritz and Kristensen, February 2004). The PDF prints the items grouped by scale without consecutive numbering; numbers 1 to 19 here follow the printed order (personal, work, client). The PDF gives no respondent instructions, only the 3 scale definitions quoted in the subscale descriptions. The PDF lists numeric values (100, 75, 50, 25, 0) only for the frequency scale and says the degree scale is scored "as for the first scale", so the same values are applied to the degree labels. Each item's response scale type is given in its note field because the two scales are used for different items. Second pass: item 4 quotation characters corrected to the PDF.</t>
        </is>
      </c>
    </row>
    <row r="83">
      <c r="A83" t="inlineStr">
        <is>
          <t>CES-D</t>
        </is>
      </c>
      <c r="B83" t="inlineStr">
        <is>
          <t>Center for Epidemiologic Studies Depression Scale</t>
        </is>
      </c>
      <c r="C83" t="inlineStr">
        <is>
          <t>4. Clinical and distress screening</t>
        </is>
      </c>
      <c r="D83" t="inlineStr">
        <is>
          <t>Developer</t>
        </is>
      </c>
      <c r="E83" t="inlineStr">
        <is>
          <t>Radloff, L. S. (1977). The CES-D Scale: A self-report depression scale for research in the general population. Applied Psychological Measurement, 1(3), 385–401. https://doi.org/10.1177/014662167700100306</t>
        </is>
      </c>
    </row>
    <row r="84">
      <c r="A84" t="inlineStr">
        <is>
          <t>CES-D</t>
        </is>
      </c>
      <c r="B84" t="inlineStr">
        <is>
          <t>Center for Epidemiologic Studies Depression Scale</t>
        </is>
      </c>
      <c r="C84" t="inlineStr">
        <is>
          <t>4. Clinical and distress screening</t>
        </is>
      </c>
      <c r="D84" t="inlineStr">
        <is>
          <t>Transcription</t>
        </is>
      </c>
      <c r="E84" t="inlineStr">
        <is>
          <t>Transcribed 18 October 2026 from https://www.apa.org/depression-guideline/epidemiologic-studies-scale.pdf; independent check: verified. The original 20 item CES-D was transcribed from the APA Clinical Practice Guideline copy of the NIMH form (apa.org PDF); the itemsUrl in the target record (cesd-r.com) carries the revised CESD-R, whose items differ (its first item is "My appetite was poor" and it uses a 5 option past 2 weeks response set with 0 to 4 scoring), so the CESD-R is deliberately not transcribed here. The APA PDF states that positive items are reverse scored without listing them; items 4, 8, 12 and 16 are identified by their wording and match standard practice. Subscale membership follows Radloff's 4 factor solution and is not printed on the APA form. The curly quotation marks around going in item 20 are reproduced from the source. The APA PDF gives no cut off; the 16 point threshold comes from the CamCOPS page and the original article.</t>
        </is>
      </c>
    </row>
    <row r="85">
      <c r="A85" t="inlineStr">
        <is>
          <t>CFC-14</t>
        </is>
      </c>
      <c r="B85" t="inlineStr">
        <is>
          <t>Consideration of Future Consequences Scale, 14 item</t>
        </is>
      </c>
      <c r="C85" t="inlineStr">
        <is>
          <t>6. Motivation, self determination and goal pursuit</t>
        </is>
      </c>
      <c r="D85" t="inlineStr">
        <is>
          <t>Developer</t>
        </is>
      </c>
      <c r="E85" t="inlineStr">
        <is>
          <t>Joireman, J., Shaffer, M. J., Balliet, D., &amp; Strathman, A. (2012). Promotion orientation explains why future-oriented people exercise and eat healthy: Evidence from the two-factor consideration of future consequences-14 scale. Personality and Social Psychology Bulletin, 38(10), 1272–1287. https://doi.org/10.1177/0146167212449362</t>
        </is>
      </c>
    </row>
    <row r="86">
      <c r="A86" t="inlineStr">
        <is>
          <t>CFC-14</t>
        </is>
      </c>
      <c r="B86" t="inlineStr">
        <is>
          <t>Consideration of Future Consequences Scale, 14 item</t>
        </is>
      </c>
      <c r="C86" t="inlineStr">
        <is>
          <t>6. Motivation, self determination and goal pursuit</t>
        </is>
      </c>
      <c r="D86" t="inlineStr">
        <is>
          <t>Transcription</t>
        </is>
      </c>
      <c r="E86" t="inlineStr">
        <is>
          <t>Transcribed 18 October 2026 from https://digfir-published.macmillanusa.com/myers_pel_assess_your_strengths2/myers_ays_ch6a.html; independent check: verified. The SOBC repository page (itemsUrl) catalogues the measure without item text, and the Joireman et al. (2012) article is paywalled, so the 14 items were transcribed from the publicly accessible Macmillan Learning self assessment page that reproduces the CFC-14 with citation to Joireman et al. (2012). Items 7, 8, 9 and 11 were returned in 2 segments each by the fetch tool and are joined here at the split point. The psytests.org form (https://psytests.org/emvol/cfc14en-bl.html) independently confirmed the wording of items 1 and 3, with one spelling difference (day to day vs day-to-day in item 1; the hyphenated Macmillan form is kept). Response scale: the Macmillan page gives no labels, the psytests form uses 1 Not at all like me to 7 Very much like me, and the target record gives 1 extremely uncharacteristic to 7 extremely characteristic (Joireman et al. 2012); the latter endpoints are recorded with points 2 to 6 unlabelled. Factor membership from McKay, Perry, Percy and Cole (2018, CC BY-NC-ND, Hull repository) and matching the reverse keyed items on the Macmillan page.</t>
        </is>
      </c>
    </row>
    <row r="87">
      <c r="A87" t="inlineStr">
        <is>
          <t>CFQ</t>
        </is>
      </c>
      <c r="B87" t="inlineStr">
        <is>
          <t>Cognitive Failures Questionnaire</t>
        </is>
      </c>
      <c r="C87" t="inlineStr">
        <is>
          <t>1. Executive functioning and ADHD</t>
        </is>
      </c>
      <c r="D87" t="inlineStr">
        <is>
          <t>Developer</t>
        </is>
      </c>
      <c r="E87" t="inlineStr">
        <is>
          <t>Broadbent, D. E., Cooper, P. F., FitzGerald, P., &amp; Parkes, K. R. (1982). The Cognitive Failures Questionnaire (CFQ) and its correlates. British Journal of Clinical Psychology, 21(1), 1–16. https://doi.org/10.1111/j.2044-8260.1982.tb01421.x</t>
        </is>
      </c>
    </row>
    <row r="88">
      <c r="A88" t="inlineStr">
        <is>
          <t>CFQ</t>
        </is>
      </c>
      <c r="B88" t="inlineStr">
        <is>
          <t>Cognitive Failures Questionnaire</t>
        </is>
      </c>
      <c r="C88" t="inlineStr">
        <is>
          <t>1. Executive functioning and ADHD</t>
        </is>
      </c>
      <c r="D88" t="inlineStr">
        <is>
          <t>Transcription</t>
        </is>
      </c>
      <c r="E88" t="inlineStr">
        <is>
          <t>Transcribed 18 October 2026 from https://www.psytoolkit.org/survey-library/cognitive-failures-cfq.html; independent check: verified. The itemsUrl (NITRC enhanced NKI assessment page) and the Salford source page describe the CFQ but do not list the items; the Salford page links a SharePoint Word document that WebFetch cannot read. Items and instructions were transcribed from the PsyToolkit survey library page. Response option labels come from the NITRC page (0 Never, 1 Very rarely, 2 Ocassionally [sic on that page, corrected to Occasionally here], 3 Quite often, 4 Very often); the PsyToolkit page lists the values 4 to 0 without labels. Item text uses curly apostrophes and quotation marks as rendered on the PsyToolkit page; item 18 uses an en dash in the source. Subscale membership for Forgetfulness, Distractibility and False triggering was not available from any fetched source, so every item is coded to Total only.</t>
        </is>
      </c>
    </row>
    <row r="89">
      <c r="A89" t="inlineStr">
        <is>
          <t>COHS</t>
        </is>
      </c>
      <c r="B89" t="inlineStr">
        <is>
          <t>Creature of Habit Scale</t>
        </is>
      </c>
      <c r="C89" t="inlineStr">
        <is>
          <t>6. Motivation, self determination and goal pursuit</t>
        </is>
      </c>
      <c r="D89" t="inlineStr">
        <is>
          <t>Developer</t>
        </is>
      </c>
      <c r="E89" t="inlineStr">
        <is>
          <t>Ersche, K. D., Lim, T.-V., Ward, L. H. E., Robbins, T. W., &amp; Stochl, J. (2017). Creature of Habit: A self-report measure of habitual routines and automatic tendencies in everyday life. Personality and Individual Differences, 116, 73–85. https://doi.org/10.1016/j.paid.2017.04.024</t>
        </is>
      </c>
    </row>
    <row r="90">
      <c r="A90" t="inlineStr">
        <is>
          <t>COHS</t>
        </is>
      </c>
      <c r="B90" t="inlineStr">
        <is>
          <t>Creature of Habit Scale</t>
        </is>
      </c>
      <c r="C90" t="inlineStr">
        <is>
          <t>6. Motivation, self determination and goal pursuit</t>
        </is>
      </c>
      <c r="D90" t="inlineStr">
        <is>
          <t>Transcription</t>
        </is>
      </c>
      <c r="E90" t="inlineStr">
        <is>
          <t>Transcribed 18 October 2026 from https://pmc.ncbi.nlm.nih.gov/articles/PMC5473478/; independent check: verified. Items transcribed from Table 2 of the PMC article (the final 27 item scale), listed in table order with Routine items first and Automaticity items second. The numbering 1 to 27 is assigned here for codebook convenience; the source identifies items by pool labels (COHS-n and COHSF-n), recorded in each item note. The administered questionnaire layout and respondent instructions in Appendix B are image only and could not be read, so the item order on the published form and the intermediate anchor labels (values 2 to 4) are not confirmed. The article names only the endpoints strongly disagree (1) and strongly agree (5).</t>
        </is>
      </c>
    </row>
    <row r="91">
      <c r="A91" t="inlineStr">
        <is>
          <t>CPC-12</t>
        </is>
      </c>
      <c r="B91" t="inlineStr">
        <is>
          <t>Compound PsyCap Scale</t>
        </is>
      </c>
      <c r="C91" t="inlineStr">
        <is>
          <t>3. Adjacent occupational and wellbeing</t>
        </is>
      </c>
      <c r="D91" t="inlineStr">
        <is>
          <t>Developer</t>
        </is>
      </c>
      <c r="E91" t="inlineStr">
        <is>
          <t>Lorenz, T., Beer, C., Pütz, J., &amp; Heinitz, K. (2016). Measuring psychological capital: Construction and validation of the Compound PsyCap Scale (CPC-12). PLOS ONE, 11(4), e0152892. https://doi.org/10.1371/journal.pone.0152892</t>
        </is>
      </c>
    </row>
    <row r="92">
      <c r="A92" t="inlineStr">
        <is>
          <t>CPC-12</t>
        </is>
      </c>
      <c r="B92" t="inlineStr">
        <is>
          <t>Compound PsyCap Scale</t>
        </is>
      </c>
      <c r="C92" t="inlineStr">
        <is>
          <t>3. Adjacent occupational and wellbeing</t>
        </is>
      </c>
      <c r="D92" t="inlineStr">
        <is>
          <t>Transcription</t>
        </is>
      </c>
      <c r="E92" t="inlineStr">
        <is>
          <t>Transcribed 18 October 2026 from https://pmc.ncbi.nlm.nih.gov/articles/PMC9896786/table/tab2 (hope, optimism and self efficacy items) and https://journals.plos.org/plosone/article?id=10.1371/journal.pone.0247114 (original resilience items 7 to 9); independent check: verified. The original PLOS ONE article presents the items only as abbreviated labels in Figure 1 (an image) and its S1 Appendix is a different questionnaire, so the full item wording could not be read from the itemsUrl. The hope, optimism and self efficacy items are unchanged in the CPC-12R and were transcribed from Table 2 of the CC BY Japanese validation of the CPC-12R (Ikeda, Hatano, Tanaka and Nakahara, 2023, Frontiers in Psychology, 13:1053601); the 3 original resilience items (replaced in the CPC-12R) were transcribed from the text of Dudasova et al. (2021, PLOS ONE, 10.1371/journal.pone.0247114). Item 12 ends "coping abilities" in Ikeda et al.; the Dudasova quotation was cut at "coping". Item numbering within subscales follows the order in those sources and may not match the original CPC-12 item order. Only the 2 anchor labels are published; intermediate points are unlabelled. No respondent instructions are given in any source.</t>
        </is>
      </c>
    </row>
    <row r="93">
      <c r="A93" t="inlineStr">
        <is>
          <t>CUDIT-R</t>
        </is>
      </c>
      <c r="B93" t="inlineStr">
        <is>
          <t>Cannabis Use Disorders Identification Test, Revised</t>
        </is>
      </c>
      <c r="C93" t="inlineStr">
        <is>
          <t>4. Clinical and distress screening</t>
        </is>
      </c>
      <c r="D93" t="inlineStr">
        <is>
          <t>Developer</t>
        </is>
      </c>
      <c r="E93" t="inlineStr">
        <is>
          <t>Adamson, S. J., Kay-Lambkin, F. J., Baker, A. L., Lewin, T. J., Thornton, L., Kelly, B. J., &amp; Sellman, J. D. (2010). An improved brief measure of cannabis misuse: The Cannabis Use Disorders Identification Test-Revised (CUDIT-R). Drug and Alcohol Dependence, 110(1–2), 137–143. https://doi.org/10.1016/j.drugalcdep.2010.02.017</t>
        </is>
      </c>
    </row>
    <row r="94">
      <c r="A94" t="inlineStr">
        <is>
          <t>CUDIT-R</t>
        </is>
      </c>
      <c r="B94" t="inlineStr">
        <is>
          <t>Cannabis Use Disorders Identification Test, Revised</t>
        </is>
      </c>
      <c r="C94" t="inlineStr">
        <is>
          <t>4. Clinical and distress screening</t>
        </is>
      </c>
      <c r="D94" t="inlineStr">
        <is>
          <t>Transcription</t>
        </is>
      </c>
      <c r="E94" t="inlineStr">
        <is>
          <t>Transcribed 18 October 2026 from https://phenxtoolkit.org/protocols/view/510310; independent check: verified. Items transcribed from the PhenX Toolkit protocol page. The response scale differs by item: items 1, 2 and 8 have item specific options (given in each item note); items 3 to 7 share the frequency scale listed in responseOptions. Item 7 ends with a colon in the source. The screening question (past 6 months use, YES/NO) precedes the 8 items. The 4 content areas named in the target record (consumption, cannabis problems, dependence, psychological features) are not assigned to items on the PhenX page, so only a Total is listed. The PhenX page also carries a note that protocols may include language that could be triggering to respondents.</t>
        </is>
      </c>
    </row>
    <row r="95">
      <c r="A95" t="inlineStr">
        <is>
          <t>DES-II</t>
        </is>
      </c>
      <c r="B95" t="inlineStr">
        <is>
          <t>Dissociative Experiences Scale II</t>
        </is>
      </c>
      <c r="C95" t="inlineStr">
        <is>
          <t>4. Clinical and distress screening</t>
        </is>
      </c>
      <c r="D95" t="inlineStr">
        <is>
          <t>Developer</t>
        </is>
      </c>
      <c r="E95" t="inlineStr">
        <is>
          <t>Carlson, E. B., &amp; Putnam, F. W. (1993). An update on the Dissociative Experiences Scale. Dissociation, 6(1), 16–27.</t>
        </is>
      </c>
    </row>
    <row r="96">
      <c r="A96" t="inlineStr">
        <is>
          <t>DES-II</t>
        </is>
      </c>
      <c r="B96" t="inlineStr">
        <is>
          <t>Dissociative Experiences Scale II</t>
        </is>
      </c>
      <c r="C96" t="inlineStr">
        <is>
          <t>4. Clinical and distress screening</t>
        </is>
      </c>
      <c r="D96" t="inlineStr">
        <is>
          <t>Transcription</t>
        </is>
      </c>
      <c r="E96" t="inlineStr">
        <is>
          <t>Transcribed 18 October 2026 from https://www.psychdb.com/_media/dissociative-disorders/des-ii.pdf; independent check: verified. The target itemsUrl (uc.pt CINEICC page) does not reproduce the items, so the 28 items, directions and permission statement were transcribed from the psychdb.com DES-II PDF, in 3 batches with long items returned as consecutive fragments and rejoined. Each item on the form is followed by a repeated 'Circle the number...' line and a 0 to 100 row, which are not included in the item text. Item 8 reads 'friends of family members' on this form, probably a typo for 'friends or family members'. The three factor and DES-Taxon subscale memberships are taken from the published literature (Carlson et al., 1991; Waller et al., 1996) rather than from the source form, and item subscale fields are therefore set to Total; verify before use. Curly apostrophes in items 1 and 4 are as extracted.</t>
        </is>
      </c>
    </row>
    <row r="97">
      <c r="A97" t="inlineStr">
        <is>
          <t>FMPS-B</t>
        </is>
      </c>
      <c r="B97" t="inlineStr">
        <is>
          <t>Frost Multidimensional Perfectionism Scale, Brief</t>
        </is>
      </c>
      <c r="C97" t="inlineStr">
        <is>
          <t>5. Self talk, thinking patterns and personality</t>
        </is>
      </c>
      <c r="D97" t="inlineStr">
        <is>
          <t>Developer</t>
        </is>
      </c>
      <c r="E97" t="inlineStr">
        <is>
          <t>Burgess, A. M., Frost, R. O., &amp; DiBartolo, P. M. (2016). Development and validation of the Frost Multidimensional Perfectionism Scale-Brief. Journal of Psychoeducational Assessment, 34(7), 620-633. https://doi.org/10.1177/0734282916651359; Woodfin, V., Binder, P.-E., &amp; Molde, H. (2020). The psychometric properties of the Frost Multidimensional Perfectionism Scale - Brief. Frontiers in Psychology, 11, 1860. https://doi.org/10.3389/fpsyg.2020.01860</t>
        </is>
      </c>
    </row>
    <row r="98">
      <c r="A98" t="inlineStr">
        <is>
          <t>FMPS-B</t>
        </is>
      </c>
      <c r="B98" t="inlineStr">
        <is>
          <t>Frost Multidimensional Perfectionism Scale, Brief</t>
        </is>
      </c>
      <c r="C98" t="inlineStr">
        <is>
          <t>5. Self talk, thinking patterns and personality</t>
        </is>
      </c>
      <c r="D98" t="inlineStr">
        <is>
          <t>Transcription</t>
        </is>
      </c>
      <c r="E98" t="inlineStr">
        <is>
          <t>Transcribed 18 October 2026 from https://www.frontiersin.org/journals/psychology/articles/10.3389/fpsyg.2020.01860/full; independent check: verified. Items transcribed from Table 1 of Woodfin, Binder and Molde (2020), numbered as in that table. The article gives no respondent instructions beyond the response scale, so instructions is empty; the parent FMPS instruction is not reproduced. Only the endpoints 1 (strongly disagree) and 5 (strongly agree) are stated in the article; the 3 intermediate labels above are the standard FMPS labels and were not confirmed from this source. The article says the 8 items derive from FMPS items 9, 12, 13, 19, 24, 25, 30 and 34 but does not map each FMPS-B item to its original number. Items are printed without terminal full stops in the table.</t>
        </is>
      </c>
    </row>
    <row r="99">
      <c r="A99" t="inlineStr">
        <is>
          <t>GAD-7</t>
        </is>
      </c>
      <c r="B99" t="inlineStr">
        <is>
          <t>Generalized Anxiety Disorder 7</t>
        </is>
      </c>
      <c r="C99" t="inlineStr">
        <is>
          <t>4. Clinical and distress screening</t>
        </is>
      </c>
      <c r="D99" t="inlineStr">
        <is>
          <t>Developer</t>
        </is>
      </c>
      <c r="E99" t="inlineStr">
        <is>
          <t>Spitzer, R. L., Kroenke, K., Williams, J. B. W., &amp; Löwe, B. (2006). A brief measure for assessing generalized anxiety disorder: The GAD-7. Archives of Internal Medicine, 166(10), 1092–1097. https://doi.org/10.1001/archinte.166.10.1092</t>
        </is>
      </c>
    </row>
    <row r="100">
      <c r="A100" t="inlineStr">
        <is>
          <t>GAD-7</t>
        </is>
      </c>
      <c r="B100" t="inlineStr">
        <is>
          <t>Generalized Anxiety Disorder 7</t>
        </is>
      </c>
      <c r="C100" t="inlineStr">
        <is>
          <t>4. Clinical and distress screening</t>
        </is>
      </c>
      <c r="D100" t="inlineStr">
        <is>
          <t>Transcription</t>
        </is>
      </c>
      <c r="E100" t="inlineStr">
        <is>
          <t>Transcribed 18 October 2026 from https://psytoolkit.org/survey-library/anxiety-gad7.html; independent check: verified. The phqscreeners.com select-screener page (itemsUrl) is blocked to automated fetching by robots.txt and the Mind toolkit PDF (sourceUrl) lists the GAD-7 by name only. Items, stem, response options and the supplementary difficulty question were transcribed from the PsyToolkit survey library page, whose response labels are printed in lower case ("not at all", "several days" and so on); sentence case is used here to match the PHQ screeners print form. The PsyToolkit page does not reproduce the Pfizer copyright footer or the print form's heading. The 5, 10 and 15 severity bands are from the 2006 article rather than the fetched page.</t>
        </is>
      </c>
    </row>
    <row r="101">
      <c r="A101" t="inlineStr">
        <is>
          <t>GPS</t>
        </is>
      </c>
      <c r="B101" t="inlineStr">
        <is>
          <t>General Procrastination Scale</t>
        </is>
      </c>
      <c r="C101" t="inlineStr">
        <is>
          <t>6. Motivation, self determination and goal pursuit</t>
        </is>
      </c>
      <c r="D101" t="inlineStr">
        <is>
          <t>Developer</t>
        </is>
      </c>
      <c r="E101" t="inlineStr">
        <is>
          <t>Lay, C. H. (1986). At last, my research article on procrastination. Journal of Research in Personality, 20(4), 474–495. https://doi.org/10.1016/0092-6566(86)90127-3</t>
        </is>
      </c>
    </row>
    <row r="102">
      <c r="A102" t="inlineStr">
        <is>
          <t>GPS</t>
        </is>
      </c>
      <c r="B102" t="inlineStr">
        <is>
          <t>General Procrastination Scale</t>
        </is>
      </c>
      <c r="C102" t="inlineStr">
        <is>
          <t>6. Motivation, self determination and goal pursuit</t>
        </is>
      </c>
      <c r="D102" t="inlineStr">
        <is>
          <t>Transcription</t>
        </is>
      </c>
      <c r="E102" t="inlineStr">
        <is>
          <t>Transcribed 18 October 2026 from https://www.yorku.ca/rokada/psyctest/procrast.pdf; independent check: verified. Transcribed from the York University PDF titled "Procrastination Scale (Lay, 1986)". Items 2, 3, 10, 13 and 14 are asterisked as differing between the student and non-student forms; the PDF does not state which form it reproduces. Item 2 contains an apparent typographical omission ("don't around") that has been kept as printed. Item 19 contains encoding artefacts in the PDF for the quotation marks and apostrophe; the wording given here resolves those artefacts and is the only departure from the printed text.</t>
        </is>
      </c>
    </row>
    <row r="103">
      <c r="A103" t="inlineStr">
        <is>
          <t>HUA-ORANGA</t>
        </is>
      </c>
      <c r="B103" t="inlineStr">
        <is>
          <t>Hua Oranga</t>
        </is>
      </c>
      <c r="C103" t="inlineStr">
        <is>
          <t>7. Wellbeing and life satisfaction</t>
        </is>
      </c>
      <c r="D103" t="inlineStr">
        <is>
          <t>Developer</t>
        </is>
      </c>
      <c r="E103" t="inlineStr">
        <is>
          <t>Kingi, T. K. R., &amp; Durie, M. H. (2000). "Hua Oranga": A Māori measure of mental health outcome (Research Report TPH 00/01). Te Pūmanawa Hauora, School of Māori Studies, Massey University; McLachlan, A. (2022). Whāngaihia te hua o oranga ki ō tātou whānui: Ko te tikanga o te whakamahinga o Hua Oranga [Hua Oranga manual]. Te Rau Ora.</t>
        </is>
      </c>
    </row>
    <row r="104">
      <c r="A104" t="inlineStr">
        <is>
          <t>HUA-ORANGA</t>
        </is>
      </c>
      <c r="B104" t="inlineStr">
        <is>
          <t>Hua Oranga</t>
        </is>
      </c>
      <c r="C104" t="inlineStr">
        <is>
          <t>7. Wellbeing and life satisfaction</t>
        </is>
      </c>
      <c r="D104" t="inlineStr">
        <is>
          <t>Transcription</t>
        </is>
      </c>
      <c r="E104" t="inlineStr">
        <is>
          <t>Transcribed 18 October 2026 from https://www.oradatabase.co.nz/files/appendix_1_tangata_whaiora_questionnaire.pdf; independent check: verified. Items transcribed from the official Tangata Whaiora Questionnaire (Appendix 1, oradatabase.co.nz), in form order (tinana, wairua, whānau, hinengaro); the form prints no item numbers, so items are numbered 1 to 16 in codebook order. Punctuation follows the form: items 11, 12 and 16 end with a full stop, the others do not. The companion Outcome Measure reflection tool (Appendix 2) prints item 7 as "Content within myself" where Appendix 1 has "Content within yourself"; Appendix 1 wording is used. The form labels only the 2 scale endpoints (1 Strongly disagree, 5 Strongly agree); points 2 to 4 are unlabelled. The item text is given in English only on the form and in the manual; te reo Māori appears in the taha headings and in the manual's 16 factor labels, which are recorded in each item's note field. The HQSC sourceUrl document contains only a citation for Kingi and Durie (2000) and no items. The whānau and practitioner forms (Appendices 3 and 4) were not transcribed. The manual's suggested citation is reproduced as returned by the fetch; macron placement in the Māori title should be checked against the manual.</t>
        </is>
      </c>
    </row>
    <row r="105">
      <c r="A105" t="inlineStr">
        <is>
          <t>JDS</t>
        </is>
      </c>
      <c r="B105" t="inlineStr">
        <is>
          <t>Job Diagnostic Survey (revised 15 item core job characteristics form)</t>
        </is>
      </c>
      <c r="C105" t="inlineStr">
        <is>
          <t>3. Adjacent occupational and wellbeing</t>
        </is>
      </c>
      <c r="D105" t="inlineStr">
        <is>
          <t>Developer</t>
        </is>
      </c>
      <c r="E105" t="inlineStr">
        <is>
          <t>Hackman, J. R., &amp; Oldham, G. R. (1975). Development of the Job Diagnostic Survey. Journal of Applied Psychology, 60(2), 159-170. https://doi.org/10.1037/h0076546; Idaszak, J. R., &amp; Drasgow, F. (1987). A revision of the Job Diagnostic Survey: Elimination of a measurement artifact. Journal of Applied Psychology, 72(1), 69-74. https://doi.org/10.1037/0021-9010.72.1.69</t>
        </is>
      </c>
    </row>
    <row r="106">
      <c r="A106" t="inlineStr">
        <is>
          <t>JDS</t>
        </is>
      </c>
      <c r="B106" t="inlineStr">
        <is>
          <t>Job Diagnostic Survey (revised 15 item core job characteristics form)</t>
        </is>
      </c>
      <c r="C106" t="inlineStr">
        <is>
          <t>3. Adjacent occupational and wellbeing</t>
        </is>
      </c>
      <c r="D106" t="inlineStr">
        <is>
          <t>Transcription</t>
        </is>
      </c>
      <c r="E106" t="inlineStr">
        <is>
          <t>Transcribed 18 October 2026 from https://paulspector.com/assessment-files/other/jds-report.pdf; independent check: verified with corrections. The 15 core job characteristics items (Section One questions 2, 3, 4, 5 and 7 and the 10 Section Two statements for the 5 core dimensions) were transcribed from the public domain 1974 technical report (Yale Technical Report No. 4, Appendix A) via the copy hosted at paulspector.com; the DTIC copy of the same report is itemsUrl. The fetch returned the Section One question stems and anchors and the Section Two statements in full; the source is an OCR scan, so quotation marks around 'whole' and 'feedback' were inconsistent in the returned text and are normalised to double quotation marks here, and the absence of a comma before 'aside' in item 5 follows the returned text. The Idaszak and Drasgow (1987) revision rewrote the 5 negatively worded Section Two statements (items 7, 9, 11, 13 and 15 here) in positive form; that revised wording could not be retrieved from any reachable open access source (the paulspector.com DOCX of the revised 15 item measure is binary and unreadable through WebFetch, the Journal of Applied Psychology article is paywalled, and the Buys, Olckers and Schaap 2007 article reports item numbers only). The original 1974 wording with reverse scoring is therefore recorded, which yields the same 5 scale structure as the revised form. Items here are numbered 1 to 15 in codebook order; the source numbering is given in each note. Section One items use a 7 point scale with descriptive anchors at 1, 4 and 7 (in each note); Section Two items use the 7 point accuracy scale in responseOptions. Section Two items 2, 6, 7 and 10 (dealing with others, feedback from agents) are not core dimensions and are omitted. Source wording uses US spelling and double hyphens retained where present; Section One anchors use single quotation marks as rendered by the fetch. Second pass: DTIC release line quoted exactly.</t>
        </is>
      </c>
    </row>
    <row r="107">
      <c r="A107" t="inlineStr">
        <is>
          <t>MEWS</t>
        </is>
      </c>
      <c r="B107" t="inlineStr">
        <is>
          <t>Mind Excessively Wandering Scale</t>
        </is>
      </c>
      <c r="C107" t="inlineStr">
        <is>
          <t>1. Executive functioning and ADHD</t>
        </is>
      </c>
      <c r="D107" t="inlineStr">
        <is>
          <t>Developer</t>
        </is>
      </c>
      <c r="E107" t="inlineStr">
        <is>
          <t>Mowlem, F. D., Skirrow, C., Reid, P., Maltezos, S., Nijjar, S. K., Merwood, A., Barker, E., Cooper, R., Kuntsi, J., &amp; Asherson, P. (2019). Validation of the Mind Excessively Wandering Scale and the relationship of mind wandering to impairment in adult ADHD. Journal of Attention Disorders, 23(6), 624–634. https://doi.org/10.1177/1087054716651927</t>
        </is>
      </c>
    </row>
    <row r="108">
      <c r="A108" t="inlineStr">
        <is>
          <t>MEWS</t>
        </is>
      </c>
      <c r="B108" t="inlineStr">
        <is>
          <t>Mind Excessively Wandering Scale</t>
        </is>
      </c>
      <c r="C108" t="inlineStr">
        <is>
          <t>1. Executive functioning and ADHD</t>
        </is>
      </c>
      <c r="D108" t="inlineStr">
        <is>
          <t>Transcription</t>
        </is>
      </c>
      <c r="E108" t="inlineStr">
        <is>
          <t>Transcribed 18 October 2026 from https://discovery-pp.ucl.ac.uk/id/eprint/1513566/1/Journal%20of%20Attention%20Disorders-2016-Mowlem-1087054716651927.pdf; independent check: verified. Items transcribed from Figure 1 of the Journal of Attention Disorders author manuscript (UCL Discovery copy). The paper gives no written respondent instructions and no time frame, so instructions is left empty. The paper does not state the scoring formula explicitly; the cut off of 15 can only be a summed total, so sum scoring is recorded. Original UK spelling (disorganised) retained. The CC BY 2019 validation paper (sourceUrl in the target record) used the 12 item version and does not reproduce the items or response labels.</t>
        </is>
      </c>
    </row>
    <row r="109">
      <c r="A109" t="inlineStr">
        <is>
          <t>MINI-IPIP</t>
        </is>
      </c>
      <c r="B109" t="inlineStr">
        <is>
          <t>Mini International Personality Item Pool</t>
        </is>
      </c>
      <c r="C109" t="inlineStr">
        <is>
          <t>5. Self talk, thinking patterns and personality</t>
        </is>
      </c>
      <c r="D109" t="inlineStr">
        <is>
          <t>Developer</t>
        </is>
      </c>
      <c r="E109" t="inlineStr">
        <is>
          <t>Donnellan, M. B., Oswald, F. L., Baird, B. M., &amp; Lucas, R. E. (2006). The Mini-IPIP scales: Tiny-yet-effective measures of the Big Five factors of personality. Psychological Assessment, 18(2), 192–203. https://doi.org/10.1037/1040-3590.18.2.192</t>
        </is>
      </c>
    </row>
    <row r="110">
      <c r="A110" t="inlineStr">
        <is>
          <t>MINI-IPIP</t>
        </is>
      </c>
      <c r="B110" t="inlineStr">
        <is>
          <t>Mini International Personality Item Pool</t>
        </is>
      </c>
      <c r="C110" t="inlineStr">
        <is>
          <t>5. Self talk, thinking patterns and personality</t>
        </is>
      </c>
      <c r="D110" t="inlineStr">
        <is>
          <t>Transcription</t>
        </is>
      </c>
      <c r="E110" t="inlineStr">
        <is>
          <t>Transcribed 18 October 2026 from https://ipip.ori.org/MiniIPIPKey.htm; independent check: verified. Item text, factor membership and plus or minus keying transcribed from the IPIP Mini-IPIP key page, which gives no item numbers, instructions or response labels. Item order 1 to 20, the standard IPIP instructions and the 5 response labels were taken from the LibreTexts reproduction of the Donnellan et al. (2006) Mini-IPIP (CC BY-NC-SA page; items themselves public domain); that ordering matches the factor and reverse keying pattern of the Millisecond Mini-IPIP manual (item 1 E, 2 A, 3 C, 4 N, 5 I, 6 E reversed, and so on). Item wording is identical across the IPIP key and LibreTexts. Factor V is named Intellect or Imagination on the IPIP key and Openness on LibreTexts.</t>
        </is>
      </c>
    </row>
    <row r="111">
      <c r="A111" t="inlineStr">
        <is>
          <t>MWQ</t>
        </is>
      </c>
      <c r="B111" t="inlineStr">
        <is>
          <t>Mind Wandering Questionnaire</t>
        </is>
      </c>
      <c r="C111" t="inlineStr">
        <is>
          <t>1. Executive functioning and ADHD</t>
        </is>
      </c>
      <c r="D111" t="inlineStr">
        <is>
          <t>Developer</t>
        </is>
      </c>
      <c r="E111" t="inlineStr">
        <is>
          <t>Mrazek, M. D., Phillips, D. T., Franklin, M. S., Broadway, J. M., &amp; Schooler, J. W. (2013). Young and restless: Validation of the Mind-Wandering Questionnaire (MWQ) reveals disruptive impact of mind-wandering for youth. Frontiers in Psychology, 4, 560. https://doi.org/10.3389/fpsyg.2013.00560</t>
        </is>
      </c>
    </row>
    <row r="112">
      <c r="A112" t="inlineStr">
        <is>
          <t>MWQ</t>
        </is>
      </c>
      <c r="B112" t="inlineStr">
        <is>
          <t>Mind Wandering Questionnaire</t>
        </is>
      </c>
      <c r="C112" t="inlineStr">
        <is>
          <t>1. Executive functioning and ADHD</t>
        </is>
      </c>
      <c r="D112" t="inlineStr">
        <is>
          <t>Transcription</t>
        </is>
      </c>
      <c r="E112" t="inlineStr">
        <is>
          <t>Transcribed 18 October 2026 from https://www.frontiersin.org/journals/psychology/articles/10.3389/fpsyg.2013.00560/full; independent check: verified. Items transcribed from Table 1 of the open access article. The article does not print respondent instructions, so the instructions field is empty. Response labels are quoted from the Methods (1 almost never to 6 almost always). Item 5 wording: 'or' used, following the article text; Table 1 prints 'of'.</t>
        </is>
      </c>
    </row>
    <row r="113">
      <c r="A113" t="inlineStr">
        <is>
          <t>NCS-6</t>
        </is>
      </c>
      <c r="B113" t="inlineStr">
        <is>
          <t>Need for Cognition Scale, 6 item</t>
        </is>
      </c>
      <c r="C113" t="inlineStr">
        <is>
          <t>5. Self talk, thinking patterns and personality</t>
        </is>
      </c>
      <c r="D113" t="inlineStr">
        <is>
          <t>Developer</t>
        </is>
      </c>
      <c r="E113" t="inlineStr">
        <is>
          <t>Coelho, G. L. de H., Hanel, P. H. P., &amp; Wolf, L. J. (2020). The very efficient assessment of need for cognition: Developing a six-item version. Assessment, 27(8), 1870–1885. https://doi.org/10.1177/1073191118793208</t>
        </is>
      </c>
    </row>
    <row r="114">
      <c r="A114" t="inlineStr">
        <is>
          <t>NCS-6</t>
        </is>
      </c>
      <c r="B114" t="inlineStr">
        <is>
          <t>Need for Cognition Scale, 6 item</t>
        </is>
      </c>
      <c r="C114" t="inlineStr">
        <is>
          <t>5. Self talk, thinking patterns and personality</t>
        </is>
      </c>
      <c r="D114" t="inlineStr">
        <is>
          <t>Transcription</t>
        </is>
      </c>
      <c r="E114" t="inlineStr">
        <is>
          <t>Transcribed 18 October 2026 from https://www.psytoolkit.org/survey-library/need-for-cognition-ncs6.html; independent check: verified. Items transcribed from the PsyToolkit survey library page and checked against the Appendix of the Sage article; wording was identical in both. Item 6 was returned in 2 segments by the fetch tool and is joined here. Only the endpoint labels are given in either source (PsyToolkit prints the middle points as dots; the article gives 1 = extremely uncharacteristic of me, 5 = extremely characteristic of me), so points 2 to 4 are unlabelled. The PubMed Central copy (licenceUrl in the target record) could not be fetched because of a browser check, so the Sage page was used for the licence. Page numbers 1870–1885 in the citation were not visible on the Sage page and should be verified.</t>
        </is>
      </c>
    </row>
    <row r="115">
      <c r="A115" t="inlineStr">
        <is>
          <t>PHQ-2</t>
        </is>
      </c>
      <c r="B115" t="inlineStr">
        <is>
          <t>Patient Health Questionnaire 2</t>
        </is>
      </c>
      <c r="C115" t="inlineStr">
        <is>
          <t>4. Clinical and distress screening</t>
        </is>
      </c>
      <c r="D115" t="inlineStr">
        <is>
          <t>Developer</t>
        </is>
      </c>
      <c r="E115" t="inlineStr">
        <is>
          <t>Kroenke, K., Spitzer, R. L., &amp; Williams, J. B. W. (2003). The Patient Health Questionnaire-2: Validity of a two-item depression screener. Medical Care, 41(11), 1284-1292. https://doi.org/10.1097/01.MLR.0000093487.78664.3C</t>
        </is>
      </c>
    </row>
    <row r="116">
      <c r="A116" t="inlineStr">
        <is>
          <t>PHQ-2</t>
        </is>
      </c>
      <c r="B116" t="inlineStr">
        <is>
          <t>Patient Health Questionnaire 2</t>
        </is>
      </c>
      <c r="C116" t="inlineStr">
        <is>
          <t>4. Clinical and distress screening</t>
        </is>
      </c>
      <c r="D116" t="inlineStr">
        <is>
          <t>Transcription</t>
        </is>
      </c>
      <c r="E116" t="inlineStr">
        <is>
          <t>Transcribed 18 October 2026 from https://psytoolkit.org/survey-library/depression-phq.html; independent check: verified. The phqscreeners.com home page (itemsUrl) and the NIDA CDE page (sourceUrl in the target) describe the measure but do not print the items, so the stem, the 2 items and the response options were transcribed from the PsyToolkit PHQ-9 page, where they appear as items 1 and 2 of the PHQ-9; the PHQ-2 consists of these 2 items unchanged. PsyToolkit prints the response labels in lower case; sentence case is used above as on the PHQ forms. The NIDA CDE page supplied the scoring, cut offs and permission statement.</t>
        </is>
      </c>
    </row>
    <row r="117">
      <c r="A117" t="inlineStr">
        <is>
          <t>PHQ-9</t>
        </is>
      </c>
      <c r="B117" t="inlineStr">
        <is>
          <t>Patient Health Questionnaire 9</t>
        </is>
      </c>
      <c r="C117" t="inlineStr">
        <is>
          <t>4. Clinical and distress screening</t>
        </is>
      </c>
      <c r="D117" t="inlineStr">
        <is>
          <t>Developer</t>
        </is>
      </c>
      <c r="E117" t="inlineStr">
        <is>
          <t>Kroenke, K., Spitzer, R. L., &amp; Williams, J. B. W. (2001). The PHQ-9: Validity of a brief depression severity measure. Journal of General Internal Medicine, 16(9), 606–613. https://doi.org/10.1046/j.1525-1497.2001.016009606.x</t>
        </is>
      </c>
    </row>
    <row r="118">
      <c r="A118" t="inlineStr">
        <is>
          <t>PHQ-9</t>
        </is>
      </c>
      <c r="B118" t="inlineStr">
        <is>
          <t>Patient Health Questionnaire 9</t>
        </is>
      </c>
      <c r="C118" t="inlineStr">
        <is>
          <t>4. Clinical and distress screening</t>
        </is>
      </c>
      <c r="D118" t="inlineStr">
        <is>
          <t>Transcription</t>
        </is>
      </c>
      <c r="E118" t="inlineStr">
        <is>
          <t>Transcribed 18 October 2026 from https://cde.nida.nih.gov/system/files/PatientHealthQuestionnaire-9_2014Mar19.pdf; independent check: verified. phqscreeners.com (itemsUrl) disallows automated fetching and the Mind toolkit PDF (sourceUrl) lists the PHQ-9 by name only, so the items were transcribed from the NIDA Clinical Trials Network copy of the standard Pfizer form. Item 8 is printed across 2 lines in the source and is joined here with the original question mark and hyphen retained. The hyphens in items 6 and 8 are the source's own punctuation. The source form itself gives only "Clinic personnel will follow standard scoring"; the severity bands come from the developer citation.</t>
        </is>
      </c>
    </row>
    <row r="119">
      <c r="A119" t="inlineStr">
        <is>
          <t>PROMIS-GH10</t>
        </is>
      </c>
      <c r="B119" t="inlineStr">
        <is>
          <t>PROMIS Scale v1.2 Global Health</t>
        </is>
      </c>
      <c r="C119" t="inlineStr">
        <is>
          <t>8. Functioning and health</t>
        </is>
      </c>
      <c r="D119" t="inlineStr">
        <is>
          <t>Developer</t>
        </is>
      </c>
      <c r="E119" t="inlineStr">
        <is>
          <t>Hays, R. D., Bjorner, J. B., Revicki, D. A., Spritzer, K. L., &amp; Cella, D. (2009). Development of physical and mental health summary scores from the Patient-Reported Outcomes Measurement Information System (PROMIS) global items. Quality of Life Research, 18(7), 873-880. https://doi.org/10.1007/s11136-009-9496-9</t>
        </is>
      </c>
    </row>
    <row r="120">
      <c r="A120" t="inlineStr">
        <is>
          <t>PROMIS-GH10</t>
        </is>
      </c>
      <c r="B120" t="inlineStr">
        <is>
          <t>PROMIS Scale v1.2 Global Health</t>
        </is>
      </c>
      <c r="C120" t="inlineStr">
        <is>
          <t>8. Functioning and health</t>
        </is>
      </c>
      <c r="D120" t="inlineStr">
        <is>
          <t>Transcription</t>
        </is>
      </c>
      <c r="E120" t="inlineStr">
        <is>
          <t>Transcribed 18 October 2026 from https://curesicklecell.rti.org/Forms/Global_Health_Scale_v1.2_13Apr2018.pdf; independent check: verified. The HealthMeasures search page (itemsUrl) is a form driven search and returned no measure entries, so the items were transcribed from the RTI Cure Sickle Cell copy of the PROMIS Scale v1.2 Global Health form dated 13 April 2018 (sourceUrl). Item order and codes follow that form (Global01, 02, 03, 04, 05, 09r, 06, 10r, 08r, 07r). Items 6 and 7 were returned in fragments and joined with single spaces as the fetch instructed. The response scale differs by item; the default responseOptions is the Excellent to Poor set used by items 1 to 6, and each item's own options and any 'In the past 7 days...' stem are in its note. The form contains no scoring text; the component membership, recoding and T score method are from the HealthMeasures scoring manual and the Hays et al. (2009) article and should be checked against the current manual.</t>
        </is>
      </c>
    </row>
    <row r="121">
      <c r="A121" t="inlineStr">
        <is>
          <t>PROMIS-APSRA-8A</t>
        </is>
      </c>
      <c r="B121" t="inlineStr">
        <is>
          <t>PROMIS Ability to Participate in Social Roles and Activities Short Form 8a</t>
        </is>
      </c>
      <c r="C121" t="inlineStr">
        <is>
          <t>8. Functioning and health</t>
        </is>
      </c>
      <c r="D121" t="inlineStr">
        <is>
          <t>Developer</t>
        </is>
      </c>
      <c r="E121" t="inlineStr">
        <is>
          <t>Hahn, E. A., DeVellis, R. F., Bode, R. K., Garcia, S. F., Castel, L. D., Eisen, S. V., Bosworth, H. B., Heinemann, A. W., Rothrock, N., Cella, D., &amp; PROMIS Cooperative Group. (2010). Measuring social health in the Patient-Reported Outcomes Measurement Information System (PROMIS): Item bank development and testing. Quality of Life Research, 19(7), 1035–1044. https://doi.org/10.1007/s11136-010-9654-0. Instrument: HealthMeasures. (2012). PROMIS Item Bank v2.0 – Ability to Participate in Social Roles and Activities – Short Form 8a. Northwestern University.</t>
        </is>
      </c>
    </row>
    <row r="122">
      <c r="A122" t="inlineStr">
        <is>
          <t>PROMIS-APSRA-8A</t>
        </is>
      </c>
      <c r="B122" t="inlineStr">
        <is>
          <t>PROMIS Ability to Participate in Social Roles and Activities Short Form 8a</t>
        </is>
      </c>
      <c r="C122" t="inlineStr">
        <is>
          <t>8. Functioning and health</t>
        </is>
      </c>
      <c r="D122" t="inlineStr">
        <is>
          <t>Transcription</t>
        </is>
      </c>
      <c r="E122" t="inlineStr">
        <is>
          <t>Transcribed 18 October 2026 from https://loinc.org/76731-9/panel; independent check: verified. The HealthMeasures page is behind a form and the NIH HEAL CRF PDF redirected to a landing page, so the official PDF was not read. Items and the answer list with scores were transcribed from the LOINC panel for 76731-9 (7 items listed on the panel page plus the eighth panel member 76710-3, whose text was taken from its own LOINC page and confirmed in a LOINC based value set). Item order follows the LOINC panel listing and may not match the HealthMeasures PDF. The official form's instruction line and copyright line were not retrieved, so the instructions field is empty. The raw to T score conversion table was not retrieved.</t>
        </is>
      </c>
    </row>
    <row r="123">
      <c r="A123" t="inlineStr">
        <is>
          <t>PROMIS-COGA-8A</t>
        </is>
      </c>
      <c r="B123" t="inlineStr">
        <is>
          <t>PROMIS Cognitive Function Abilities Short Form 8a</t>
        </is>
      </c>
      <c r="C123" t="inlineStr">
        <is>
          <t>1. Executive functioning and ADHD</t>
        </is>
      </c>
      <c r="D123" t="inlineStr">
        <is>
          <t>Developer</t>
        </is>
      </c>
      <c r="E123" t="inlineStr">
        <is>
          <t>Lai, J.-S., Wagner, L. I., Jacobsen, P. B., &amp; Cella, D. (2014). Self-reported cognitive concerns and abilities: Two sides of one coin? Psycho-Oncology, 23(10), 1133–1141. https://doi.org/10.1002/pon.3522. Instrument: HealthMeasures. (2017). PROMIS Item Bank v2.0 – Cognitive Function – Abilities Subset – Short Form 8a. Northwestern University.</t>
        </is>
      </c>
    </row>
    <row r="124">
      <c r="A124" t="inlineStr">
        <is>
          <t>PROMIS-COGA-8A</t>
        </is>
      </c>
      <c r="B124" t="inlineStr">
        <is>
          <t>PROMIS Cognitive Function Abilities Short Form 8a</t>
        </is>
      </c>
      <c r="C124" t="inlineStr">
        <is>
          <t>1. Executive functioning and ADHD</t>
        </is>
      </c>
      <c r="D124" t="inlineStr">
        <is>
          <t>Transcription</t>
        </is>
      </c>
      <c r="E124" t="inlineStr">
        <is>
          <t>Transcribed 18 October 2026 from https://cdn.loinc.org/81527-4/panel; independent check: verified. The HealthMeasures search-view-measures page is behind a form and its PDF could not be fetched. Items, the 'In the past 7 days' time frame and the answer list with scores were transcribed from the LOINC panel for 81527-4 (PROMIS short form cognitive function abilities subset 8a v2.0), which reproduces the item text. Item order follows the LOINC panel listing and may not match the order on the HealthMeasures PDF. The official form's instruction line (Please respond to each question or statement by marking one box per row) and the HealthMeasures copyright line were not retrieved, so the instructions field is empty. The raw to T score conversion table was not retrieved.</t>
        </is>
      </c>
    </row>
    <row r="125">
      <c r="A125" t="inlineStr">
        <is>
          <t>PROMIS-COGF-8A</t>
        </is>
      </c>
      <c r="B125" t="inlineStr">
        <is>
          <t>PROMIS Cognitive Function Short Form 8a</t>
        </is>
      </c>
      <c r="C125" t="inlineStr">
        <is>
          <t>1. Executive functioning and ADHD</t>
        </is>
      </c>
      <c r="D125" t="inlineStr">
        <is>
          <t>Developer</t>
        </is>
      </c>
      <c r="E125" t="inlineStr">
        <is>
          <t>Lai, J.-S., Wagner, L. I., Jacobsen, P. B., &amp; Cella, D. (2014). Self-reported cognitive concerns and abilities: Two sides of one coin? Psycho-Oncology, 23(10), 1133–1141. https://doi.org/10.1002/pon.3522 (PROMIS Cognitive Function item bank). Instrument: PROMIS Health Organization. (2017). PROMIS Item Bank v2.0 – Cognitive Function – Short Form 8a. HealthMeasures.</t>
        </is>
      </c>
    </row>
    <row r="126">
      <c r="A126" t="inlineStr">
        <is>
          <t>PROMIS-COGF-8A</t>
        </is>
      </c>
      <c r="B126" t="inlineStr">
        <is>
          <t>PROMIS Cognitive Function Short Form 8a</t>
        </is>
      </c>
      <c r="C126" t="inlineStr">
        <is>
          <t>1. Executive functioning and ADHD</t>
        </is>
      </c>
      <c r="D126" t="inlineStr">
        <is>
          <t>Transcription</t>
        </is>
      </c>
      <c r="E126" t="inlineStr">
        <is>
          <t>Transcribed 18 October 2026 from https://loinc.org/81530-8/panel; independent check: verified. The HealthMeasures search page (itemsUrl) is a form driven library with no readable PDF link, so the items were transcribed from the LOINC panel 81530-8 ("PROMIS short form - cognitive function 8a - version 2.0"), which records each item's text and answer list. LOINC stores the stem "In the past 7 days" as a prefix on each item; it is recorded once as the instructions here. LOINC item text omits terminal punctuation and the HealthMeasures form may print the items with full stops; wording is otherwise as given. Item order follows the LOINC panel order and may differ from the HealthMeasures PDF order. The response option values follow the LOINC answer list (Never = 5 through Very often = 1).</t>
        </is>
      </c>
    </row>
    <row r="127">
      <c r="A127" t="inlineStr">
        <is>
          <t>PROMIS-FAT-8A</t>
        </is>
      </c>
      <c r="B127" t="inlineStr">
        <is>
          <t>PROMIS Fatigue Short Form 8a</t>
        </is>
      </c>
      <c r="C127" t="inlineStr">
        <is>
          <t>8. Functioning and health</t>
        </is>
      </c>
      <c r="D127" t="inlineStr">
        <is>
          <t>Developer</t>
        </is>
      </c>
      <c r="E127" t="inlineStr">
        <is>
          <t>Cella, D., Riley, W., Stone, A., Rothrock, N., Reeve, B., Yount, S., Amtmann, D., Bode, R., Buysse, D., Choi, S., Cook, K., DeVellis, R., DeWalt, D., Fries, J. F., Gershon, R., Hahn, E. A., Lai, J.-S., Pilkonis, P., Revicki, D., ... Hays, R. (2010). The Patient-Reported Outcomes Measurement Information System (PROMIS) developed and tested its first wave of adult self-reported health outcome item banks: 2005–2008. Journal of Clinical Epidemiology, 63(11), 1179–1194. https://doi.org/10.1016/j.jclinepi.2010.04.011</t>
        </is>
      </c>
    </row>
    <row r="128">
      <c r="A128" t="inlineStr">
        <is>
          <t>PROMIS-FAT-8A</t>
        </is>
      </c>
      <c r="B128" t="inlineStr">
        <is>
          <t>PROMIS Fatigue Short Form 8a</t>
        </is>
      </c>
      <c r="C128" t="inlineStr">
        <is>
          <t>8. Functioning and health</t>
        </is>
      </c>
      <c r="D128" t="inlineStr">
        <is>
          <t>Transcription</t>
        </is>
      </c>
      <c r="E128" t="inlineStr">
        <is>
          <t>Transcribed 18 October 2026 from https://psytests.org/diag/promF8en-bl.html (English item text) and https://heal.nih.gov/files/CDEs/2023-07/promis-fatigue-8a-crf.pdf (item codes, response values, copyright; Spanish Universal version); independent check: verified. The HealthMeasures measure library (itemsUrl) returned no measure pages or PDF links to WebFetch. English item text was transcribed from the psytests.org reproduction, which is not an official form, carries no copyright line and shows response labels without numeric values. Item codes (HI7, AN3, FATEXP41, FATEXP40, FATEXP35, FATIMP49, FATIMP3, FATIMP16), the 1 to 5 values, the 2 response sets (items 1 to 6 intensity, items 7 to 8 frequency), the instruction sentence and the copyright line were confirmed from the NIH HEAL case report form, which is the Spanish Universal version of the same 8a form; the English instruction sentence given here is the standard PROMIS wording matching that Spanish sentence and the English MAPP PROMIS Fatigue form ("Please respond to each question by marking one box per row."). The psytests page prints the stem as "During the past 7 days..." before item 1 and "In the past 7 days..." before item 7. The response labels for items 3 to 6 were inferred from the single label row printed above items 1 and 2 on both sources. Verify against the official HealthMeasures PDF before clinical use.</t>
        </is>
      </c>
    </row>
    <row r="129">
      <c r="A129" t="inlineStr">
        <is>
          <t>PROMIS-GSE-4A</t>
        </is>
      </c>
      <c r="B129" t="inlineStr">
        <is>
          <t>PROMIS General Self-Efficacy Short Form 4a</t>
        </is>
      </c>
      <c r="C129" t="inlineStr">
        <is>
          <t>3. Adjacent occupational and wellbeing</t>
        </is>
      </c>
      <c r="D129" t="inlineStr">
        <is>
          <t>Developer</t>
        </is>
      </c>
      <c r="E129" t="inlineStr">
        <is>
          <t>Gruber-Baldini, A. L., Velozo, C., Romero, S., &amp; Shulman, L. M. (2017). Validation of the PROMIS® measures of self-efficacy for managing chronic conditions. Quality of Life Research, 26(7), 1915–1924. https://doi.org/10.1007/s11136-017-1527-3. Instrument: PROMIS Health Organization. (2015). PROMIS Item Bank v1.0 – General Self-Efficacy – Short Form 4a. HealthMeasures.</t>
        </is>
      </c>
    </row>
    <row r="130">
      <c r="A130" t="inlineStr">
        <is>
          <t>PROMIS-GSE-4A</t>
        </is>
      </c>
      <c r="B130" t="inlineStr">
        <is>
          <t>PROMIS General Self-Efficacy Short Form 4a</t>
        </is>
      </c>
      <c r="C130" t="inlineStr">
        <is>
          <t>3. Adjacent occupational and wellbeing</t>
        </is>
      </c>
      <c r="D130" t="inlineStr">
        <is>
          <t>Transcription</t>
        </is>
      </c>
      <c r="E130" t="inlineStr">
        <is>
          <t>Transcribed 18 October 2026 from https://cdn.clinicaltrials.gov/large-docs/37/NCT04059237/Prot_SAP_001.pdf; independent check: verified with corrections. The HealthMeasures search page (itemsUrl) exposes no readable PDF, the NIH HEAL CRF PDF redirected to a landing page, and no LOINC panel for the general self efficacy 4a form was located. The items, instructions and response options were transcribed from Appendix K ("PROMIS Self Efficacy, General Self Efficacy") of a ClinicalTrials.gov protocol (NCT04059237) that reproduces the form. The official HealthMeasures form instruction may read differently (the standard PROMIS wording is "Please respond to each item by marking one box per row" followed by "CURRENT level of confidence"), the version number and the PROMIS copyright line were not reproduced in that appendix, and the item order should be checked against the official PDF before clinical use. The PhenX protocol 180606 at the same name is the 10 item NIH Toolbox Self-Efficacy fixed form, not this PROMIS short form, and was not used. Second pass: first instruction line restored from the ClinicalTrials.gov appendix.</t>
        </is>
      </c>
    </row>
    <row r="131">
      <c r="A131" t="inlineStr">
        <is>
          <t>PROMIS-MP-8A</t>
        </is>
      </c>
      <c r="B131" t="inlineStr">
        <is>
          <t>PROMIS Meaning and Purpose Short Form 8a</t>
        </is>
      </c>
      <c r="C131" t="inlineStr">
        <is>
          <t>7. Wellbeing and life satisfaction</t>
        </is>
      </c>
      <c r="D131" t="inlineStr">
        <is>
          <t>Developer</t>
        </is>
      </c>
      <c r="E131" t="inlineStr">
        <is>
          <t>Salsman, J. M., Schalet, B. D., Park, C. L., George, L., Steger, M. F., Hahn, E. A., Snyder, M. A., &amp; Cella, D. (2020). Assessing meaning &amp; purpose in life: Development and validation of an item bank and short forms for the NIH PROMIS®. Quality of Life Research, 29(8), 2299–2310. https://doi.org/10.1007/s11136-020-02489-3</t>
        </is>
      </c>
    </row>
    <row r="132">
      <c r="A132" t="inlineStr">
        <is>
          <t>PROMIS-MP-8A</t>
        </is>
      </c>
      <c r="B132" t="inlineStr">
        <is>
          <t>PROMIS Meaning and Purpose Short Form 8a</t>
        </is>
      </c>
      <c r="C132" t="inlineStr">
        <is>
          <t>7. Wellbeing and life satisfaction</t>
        </is>
      </c>
      <c r="D132" t="inlineStr">
        <is>
          <t>Transcription</t>
        </is>
      </c>
      <c r="E132" t="inlineStr">
        <is>
          <t>Transcribed 18 October 2026 from https://pmc.ncbi.nlm.nih.gov/articles/PMC7367748 (Salsman et al., 2020, Table 3, 8 item short form column); independent check: verified. The HealthMeasures measure library (itemsUrl) returned no measure pages or PDF links to WebFetch, and the only LOINC panels reachable were the pediatric and parent proxy forms. The 8 adult items were transcribed from the 8 item short form column of Table 3 in the open access development article (Salsman et al., 2020, PMC7367748). That article gives no item codes, no instructions and no numeric values; it states the bank uses 5 point scales from "strongly disagree" to "strongly agree" and from "not at all" to "very much", and does not say which format each short form item uses. The response options above assume the agreement format named in the target record with values 1 to 5 and leave the 3 intermediate labels blank. Verify item order, response labels and instructions against the official HealthMeasures PDF before clinical use.</t>
        </is>
      </c>
    </row>
    <row r="133">
      <c r="A133" t="inlineStr">
        <is>
          <t>PROMIS-SSRA-8A</t>
        </is>
      </c>
      <c r="B133" t="inlineStr">
        <is>
          <t>PROMIS Satisfaction with Social Roles and Activities Short Form 8a</t>
        </is>
      </c>
      <c r="C133" t="inlineStr">
        <is>
          <t>8. Functioning and health</t>
        </is>
      </c>
      <c r="D133" t="inlineStr">
        <is>
          <t>Developer</t>
        </is>
      </c>
      <c r="E133" t="inlineStr">
        <is>
          <t>Hahn, E. A., DeWalt, D. A., Bode, R. K., Garcia, S. F., DeVellis, R. F., Correia, H., &amp; Cella, D. (2014). New English and Spanish social health measures will facilitate evaluating health determinants. Health Psychology, 33(5), 490–499. https://doi.org/10.1037/hea0000055</t>
        </is>
      </c>
    </row>
    <row r="134">
      <c r="A134" t="inlineStr">
        <is>
          <t>PROMIS-SSRA-8A</t>
        </is>
      </c>
      <c r="B134" t="inlineStr">
        <is>
          <t>PROMIS Satisfaction with Social Roles and Activities Short Form 8a</t>
        </is>
      </c>
      <c r="C134" t="inlineStr">
        <is>
          <t>8. Functioning and health</t>
        </is>
      </c>
      <c r="D134" t="inlineStr">
        <is>
          <t>Transcription</t>
        </is>
      </c>
      <c r="E134" t="inlineStr">
        <is>
          <t>Transcribed 18 October 2026 from https://loinc.org/76800-2/panel; independent check: verified. healthmeasures.net search pages are behind a form, the NIH HEAL CRF PDF redirected to a landing page and the HealthMeasures scoring manual URL failed, so no official PDF could be read. Items (text and order) and the normative answer list LL1017-4 (Not at all 1 to Very much 5) were transcribed from the LOINC panel 76800-2 (PROMIS short form - satisfaction with social roles and activities 8a - version 2.0). LOINC does not show PROMIS item IDs (SRPSAT codes) or respondent instructions for this panel, so instructions is left empty; the standard PROMIS instruction for this bank is a single line asking the respondent to mark one box per row with no recall period, but it was not seen in a fetched source. The T score conversion table was not retrievable from an open source and the interpretive bands in scoring are HealthMeasures' general guidance rather than text from a fetched document.</t>
        </is>
      </c>
    </row>
    <row r="135">
      <c r="A135" t="inlineStr">
        <is>
          <t>PROMIS-SD-8A</t>
        </is>
      </c>
      <c r="B135" t="inlineStr">
        <is>
          <t>PROMIS Sleep Disturbance Short Form 8a</t>
        </is>
      </c>
      <c r="C135" t="inlineStr">
        <is>
          <t>8. Functioning and health</t>
        </is>
      </c>
      <c r="D135" t="inlineStr">
        <is>
          <t>Developer</t>
        </is>
      </c>
      <c r="E135"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row>
    <row r="136">
      <c r="A136" t="inlineStr">
        <is>
          <t>PROMIS-SD-8A</t>
        </is>
      </c>
      <c r="B136" t="inlineStr">
        <is>
          <t>PROMIS Sleep Disturbance Short Form 8a</t>
        </is>
      </c>
      <c r="C136" t="inlineStr">
        <is>
          <t>8. Functioning and health</t>
        </is>
      </c>
      <c r="D136" t="inlineStr">
        <is>
          <t>Transcription</t>
        </is>
      </c>
      <c r="E136" t="inlineStr">
        <is>
          <t>Transcribed 18 October 2026 from https://loinc.org/76703-8/panel; independent check: verified. healthmeasures.net search pages are behind a form and the NIH HEAL CRF PDF redirected to a landing page, so no official 8a PDF could be read. Items 1 to 6 (text, item IDs Sleep109, Sleep116, Sleep20, Sleep44, Sleep108 and Sleep72 by LOINC code, response lists and keying) were transcribed from the LOINC panel for Sleep Disturbance 6a v1.0 (76703-8), whose 6 items are the first 6 of the 8a form, and from the 4a panel (75258-4). Items 7 and 8 and the 8 item order were taken from the psytests.org rendering of SF-8a (https://psytests.org/diag/promS8en-bl.html), which is not an official form; item 8's reverse keying is confirmed by LOINC 61985-8 in the 8b panel, item 7's keying is inferred from its negative wording. The DSM-5 Level 2 Sleep Disturbance Adult PDF on psychiatry.org and the NIDDK MAPP form both reproduce the 8b item set (restless, satisfied, refreshing, difficulty falling asleep, trouble staying asleep, trouble sleeping, got enough sleep, sleep quality), not 8a, so they were not used for items. Instructions recorded as the LOINC item stem "In the past 7 days"; the full PROMIS instruction ("Please respond to each item by marking one box per row") appears on the 8b MAPP form and is presumably identical. T score table from the PROMIS Sleep Disturbance Scoring Manual copy at curesicklecell.rti.org. Response options field shows the standard Not at all to Very much list; per item lists differ and are given in each item note.</t>
        </is>
      </c>
    </row>
    <row r="137">
      <c r="A137" t="inlineStr">
        <is>
          <t>PROMIS-SRI-8A</t>
        </is>
      </c>
      <c r="B137" t="inlineStr">
        <is>
          <t>PROMIS Sleep-Related Impairment Short Form 8a</t>
        </is>
      </c>
      <c r="C137" t="inlineStr">
        <is>
          <t>8. Functioning and health</t>
        </is>
      </c>
      <c r="D137" t="inlineStr">
        <is>
          <t>Developer</t>
        </is>
      </c>
      <c r="E137"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row>
    <row r="138">
      <c r="A138" t="inlineStr">
        <is>
          <t>PROMIS-SRI-8A</t>
        </is>
      </c>
      <c r="B138" t="inlineStr">
        <is>
          <t>PROMIS Sleep-Related Impairment Short Form 8a</t>
        </is>
      </c>
      <c r="C138" t="inlineStr">
        <is>
          <t>8. Functioning and health</t>
        </is>
      </c>
      <c r="D138" t="inlineStr">
        <is>
          <t>Transcription</t>
        </is>
      </c>
      <c r="E138" t="inlineStr">
        <is>
          <t>Transcribed 18 October 2026 from https://www.heal.nih.gov/files/CDEs/2023-09/promis-sleep-related-impairment-8a-crf.pdf; independent check: verified. The HealthMeasures search page (itemsUrl) is a form driven search and returned no measure entries, so the items were transcribed from the NIH HEAL Initiative case report form copy of "PROMIS Item Bank v. 1.0 – Sleep-Related Impairment – Short Form 8a" (sourceUrl). Item codes and order follow that form. Punctuation follows the form: items 6, 7 and 8 end with a full stop, items 1 to 5 do not. The form carries no T score conversion table; the T score method and bands in scoring are from HealthMeasures guidance and should be checked against the current scoring manual.</t>
        </is>
      </c>
    </row>
    <row r="139">
      <c r="A139" t="inlineStr">
        <is>
          <t>PSWQ</t>
        </is>
      </c>
      <c r="B139" t="inlineStr">
        <is>
          <t>Penn State Worry Questionnaire</t>
        </is>
      </c>
      <c r="C139" t="inlineStr">
        <is>
          <t>4. Clinical and distress screening</t>
        </is>
      </c>
      <c r="D139" t="inlineStr">
        <is>
          <t>Developer</t>
        </is>
      </c>
      <c r="E139" t="inlineStr">
        <is>
          <t>Meyer, T. J., Miller, M. L., Metzger, R. L., &amp; Borkovec, T. D. (1990). Development and validation of the Penn State Worry Questionnaire. Behaviour Research and Therapy, 28(6), 487–495. https://doi.org/10.1016/0005-7967(90)90135-6</t>
        </is>
      </c>
    </row>
    <row r="140">
      <c r="A140" t="inlineStr">
        <is>
          <t>PSWQ</t>
        </is>
      </c>
      <c r="B140" t="inlineStr">
        <is>
          <t>Penn State Worry Questionnaire</t>
        </is>
      </c>
      <c r="C140" t="inlineStr">
        <is>
          <t>4. Clinical and distress screening</t>
        </is>
      </c>
      <c r="D140" t="inlineStr">
        <is>
          <t>Transcription</t>
        </is>
      </c>
      <c r="E140" t="inlineStr">
        <is>
          <t>Transcribed 18 October 2026 from https://www.ncbi.nlm.nih.gov/books/NBK571032/bin/ch9.p265.pdf (NIHR Journals Library open access appendix reproducing the PSWQ); independent check: verified with corrections. The ARC Wisconsin page (itemsUrl) and the CamCOPS page (sourceUrl) describe the PSWQ without printing the items, and psytoolkit.org could not be fetched. Items were transcribed from the NIHR Journals Library open access reproduction (NBK571032 appendix), cross checked against the Carepatron and Hachette reproductions, which match it word for word apart from contraction and spacing variants. Text extraction of the NIHR PDF dropped the fi ligature in items 8 and 9 ("fnd", "fnish"); these are restored as "find" and "finish". Variants between sources: the NovoPsych form uses contractions ("donʼt", "shouldnʼt", "Iʼve", "canʼt") and "until they are done" in item 16; Carepatron and Hachette print "any more" in item 11 where the NIHR copy prints "anymore". Only the 2 anchor labels are given in the NIHR and Hachette sources; the NovoPsych and Carepatron forms add intermediate labels (Rarely, Somewhat, Often typical of me) that differ between them, so intermediate labels are left blank. Reverse keyed items are from the Hachette reproduction, which marks them with asterisks, and agree with the ARC scoring note that 5 bold items are reversed. Second pass (18 October 2026): the NIHR appendix expands the contractions of the published PSWQ (Meyer et al., 1990); the 8 affected items now follow the standard contracted wording as reproduced in the Hachette and Carepatron copies, with the expanded form kept in each item note. Response labels 3 Somewhat typical is printed on some forms; the hub labels the endpoints only.</t>
        </is>
      </c>
    </row>
    <row r="141">
      <c r="A141" t="inlineStr">
        <is>
          <t>RAADS-14</t>
        </is>
      </c>
      <c r="B141" t="inlineStr">
        <is>
          <t>Ritvo Autism Asperger Diagnostic Scale, 14 item Screen</t>
        </is>
      </c>
      <c r="C141" t="inlineStr">
        <is>
          <t>4. Clinical and distress screening</t>
        </is>
      </c>
      <c r="D141" t="inlineStr">
        <is>
          <t>Developer</t>
        </is>
      </c>
      <c r="E141" t="inlineStr">
        <is>
          <t>Eriksson, J. M., Andersen, L. M., &amp; Bejerot, S. (2013). RAADS-14 Screen: Validity of a screening tool for autism spectrum disorder in an adult psychiatric population. Molecular Autism, 4(1), 49. https://doi.org/10.1186/2040-2392-4-49</t>
        </is>
      </c>
    </row>
    <row r="142">
      <c r="A142" t="inlineStr">
        <is>
          <t>RAADS-14</t>
        </is>
      </c>
      <c r="B142" t="inlineStr">
        <is>
          <t>Ritvo Autism Asperger Diagnostic Scale, 14 item Screen</t>
        </is>
      </c>
      <c r="C142" t="inlineStr">
        <is>
          <t>4. Clinical and distress screening</t>
        </is>
      </c>
      <c r="D142" t="inlineStr">
        <is>
          <t>Transcription</t>
        </is>
      </c>
      <c r="E142" t="inlineStr">
        <is>
          <t>Transcribed 18 October 2026 from https://pmc.ncbi.nlm.nih.gov/articles/PMC3907126; independent check: verified. Items transcribed from Table 2 ('The RAADS-14 Screen') of the PMC copy of the open access article (PMC3907126), with subscale membership from Tables 3 and 4 and item 6 marked as the only reversed item; item 10 was returned in two fragments and rejoined. The BMC article page itself returned only 2 item texts to WebFetch and the Additional file 1 (print version with clinician instructions) URL was not exposed. Response labels are quoted from the Methods description of the RAADS-R 4 point scale; Table 2's own label wording was not quoted and may differ slightly (the Swedish Region Kronoberg form phrases them as 'True for me now and when I was young', 'True only for me now', 'True only when I was young (before age 16)', 'Never true for me'). Normative medians by population were not transcribed. Second pass: response labels confirmed against Table 2 headers.</t>
        </is>
      </c>
    </row>
    <row r="143">
      <c r="A143" t="inlineStr">
        <is>
          <t>SAPS</t>
        </is>
      </c>
      <c r="B143" t="inlineStr">
        <is>
          <t>Short Almost Perfect Scale</t>
        </is>
      </c>
      <c r="C143" t="inlineStr">
        <is>
          <t>5. Self talk, thinking patterns and personality</t>
        </is>
      </c>
      <c r="D143" t="inlineStr">
        <is>
          <t>Developer</t>
        </is>
      </c>
      <c r="E143" t="inlineStr">
        <is>
          <t>Rice, K. G., Richardson, C. M. E., &amp; Tueller, S. (2014). The Short Form of the Revised Almost Perfect Scale. Journal of Personality Assessment, 96(3), 368–379. https://doi.org/10.1080/00223891.2013.838172</t>
        </is>
      </c>
    </row>
    <row r="144">
      <c r="A144" t="inlineStr">
        <is>
          <t>SAPS</t>
        </is>
      </c>
      <c r="B144" t="inlineStr">
        <is>
          <t>Short Almost Perfect Scale</t>
        </is>
      </c>
      <c r="C144" t="inlineStr">
        <is>
          <t>5. Self talk, thinking patterns and personality</t>
        </is>
      </c>
      <c r="D144" t="inlineStr">
        <is>
          <t>Transcription</t>
        </is>
      </c>
      <c r="E144" t="inlineStr">
        <is>
          <t>Transcribed 18 October 2026 from https://kennethwang.com/apsr/scales/SAPS-English.pdf; independent check: verified. Transcribed from the SAPS-English.pdf hosted by Kenneth Wang, titled "SAPS (Short Almost Perfect Scale)". All 8 items, the instructions, the 7 anchor labels (printed in capitals) and the scoring key were read in full. No uncertainties.</t>
        </is>
      </c>
    </row>
    <row r="145">
      <c r="A145" t="inlineStr">
        <is>
          <t>SCS</t>
        </is>
      </c>
      <c r="B145" t="inlineStr">
        <is>
          <t>Self-Compassion Scale, long form</t>
        </is>
      </c>
      <c r="C145" t="inlineStr">
        <is>
          <t>5. Self talk, thinking patterns and personality</t>
        </is>
      </c>
      <c r="D145" t="inlineStr">
        <is>
          <t>Developer</t>
        </is>
      </c>
      <c r="E145" t="inlineStr">
        <is>
          <t>Neff, K. D. (2003). The development and validation of a scale to measure self-compassion. Self and Identity, 2(3), 223–250. https://doi.org/10.1080/15298860309027</t>
        </is>
      </c>
    </row>
    <row r="146">
      <c r="A146" t="inlineStr">
        <is>
          <t>SCS</t>
        </is>
      </c>
      <c r="B146" t="inlineStr">
        <is>
          <t>Self-Compassion Scale, long form</t>
        </is>
      </c>
      <c r="C146" t="inlineStr">
        <is>
          <t>5. Self talk, thinking patterns and personality</t>
        </is>
      </c>
      <c r="D146" t="inlineStr">
        <is>
          <t>Transcription</t>
        </is>
      </c>
      <c r="E146" t="inlineStr">
        <is>
          <t>Transcribed 18 October 2026 from https://self-compassion.org/wptest/wp-content/uploads/Self_Compassion_Scale_for_researchers.pdf; independent check: verified. Items transcribed from the researcher PDF on self-compassion.org; US spelling (judgmental) retained. The response scale labels only the endpoints 1 Almost never and 5 Almost always, so points 2 to 4 are unlabelled. Subscale names follow the PDF's coding key (Self-Kindness, Self-Judgment, Common Humanity, Isolation, Mindfulness, Over-identified). Total score method: the researcher PDF says to take the mean of all 26 items after reverse coding, while SCS-information.pdf (licence source) says to average the 6 subscale means; both are recorded in scoring. The instruction text was confirmed sentence by sentence against the PDF, where the scale line is printed as "Almost never 1 2 3 4 5 Almost always".</t>
        </is>
      </c>
    </row>
    <row r="147">
      <c r="A147" t="inlineStr">
        <is>
          <t>SRQ-63</t>
        </is>
      </c>
      <c r="B147" t="inlineStr">
        <is>
          <t>Self-Regulation Questionnaire</t>
        </is>
      </c>
      <c r="C147" t="inlineStr">
        <is>
          <t>1. Executive functioning and ADHD</t>
        </is>
      </c>
      <c r="D147" t="inlineStr">
        <is>
          <t>Developer</t>
        </is>
      </c>
      <c r="E147" t="inlineStr">
        <is>
          <t>Brown, J. M., Miller, W. R., &amp; Lawendowski, L. A. (1999). The Self-Regulation Questionnaire. In L. VandeCreek &amp; T. L. Jackson (Eds.), Innovations in clinical practice: A source book (Vol. 17, pp. 281–292). Professional Resource Press.</t>
        </is>
      </c>
    </row>
    <row r="148">
      <c r="A148" t="inlineStr">
        <is>
          <t>SRQ-63</t>
        </is>
      </c>
      <c r="B148" t="inlineStr">
        <is>
          <t>Self-Regulation Questionnaire</t>
        </is>
      </c>
      <c r="C148" t="inlineStr">
        <is>
          <t>1. Executive functioning and ADHD</t>
        </is>
      </c>
      <c r="D148" t="inlineStr">
        <is>
          <t>Transcription</t>
        </is>
      </c>
      <c r="E148" t="inlineStr">
        <is>
          <t>Transcribed 18 October 2026 from https://casaa.unm.edu/assets/inst/selfregulation-questionnaire-srq.pdf; independent check: verified. All 63 items transcribed from the CASAA PDF in 3 passes. The instructions in the extracted text omitted the circled numbers ("circle ."); the numbers 1 to 5 have been restored from the response scale, which is the only edit. The printed column headers are split across lines in the PDF; the labels above are taken from the Scoring section of the same document. Subscale membership follows the 7 item cycle given in the source (item n belongs to the subscale in position n mod 7).</t>
        </is>
      </c>
    </row>
    <row r="149">
      <c r="A149" t="inlineStr">
        <is>
          <t>SWLS</t>
        </is>
      </c>
      <c r="B149" t="inlineStr">
        <is>
          <t>Satisfaction with Life Scale</t>
        </is>
      </c>
      <c r="C149" t="inlineStr">
        <is>
          <t>7. Wellbeing and life satisfaction</t>
        </is>
      </c>
      <c r="D149" t="inlineStr">
        <is>
          <t>Developer</t>
        </is>
      </c>
      <c r="E149" t="inlineStr">
        <is>
          <t>Diener, E., Emmons, R. A., Larsen, R. J., &amp; Griffin, S. (1985). The Satisfaction with Life Scale. Journal of Personality Assessment, 49(1), 71-75. https://doi.org/10.1207/s15327752jpa4901_13</t>
        </is>
      </c>
    </row>
    <row r="150">
      <c r="A150" t="inlineStr">
        <is>
          <t>SWLS</t>
        </is>
      </c>
      <c r="B150" t="inlineStr">
        <is>
          <t>Satisfaction with Life Scale</t>
        </is>
      </c>
      <c r="C150" t="inlineStr">
        <is>
          <t>7. Wellbeing and life satisfaction</t>
        </is>
      </c>
      <c r="D150" t="inlineStr">
        <is>
          <t>Transcription</t>
        </is>
      </c>
      <c r="E150" t="inlineStr">
        <is>
          <t>Transcribed 18 October 2026 from https://psytoolkit.org/survey-library/satisfaction-with-life.html; independent check: verified with corrections. The eddiener.com pages (itemsUrl and the SWLS page) link to the scale PDF but do not print the items in HTML, and the PDF could not be read through WebFetch, so the items, response options and score bands were transcribed from the PsyToolkit survey library page, which reproduces the scale and its permission statement. The PsyToolkit instructions are adapted for online completion ("by clicking the appropriate selection"); the instructions recorded above are the standard paper form wording ("placing the appropriate number on the line preceding that item") as reproduced by Diener and were not verified against the eddiener.com PDF in this pass. The target record states Diener places the SWLS in the public domain; the eddiener.com wording is "copyrighted but ... free to use", quoted in licence. Second pass: licence quotes re-attributed; the practitioner wording is on PsyToolkit, not the current eddiener.com page, which limits use to non commercial purposes.</t>
        </is>
      </c>
    </row>
    <row r="151">
      <c r="A151" t="inlineStr">
        <is>
          <t>UCLA-LS-3</t>
        </is>
      </c>
      <c r="B151" t="inlineStr">
        <is>
          <t>UCLA Loneliness Scale, Version 3 (PhenX Social Isolation)</t>
        </is>
      </c>
      <c r="C151" t="inlineStr">
        <is>
          <t>7. Wellbeing and life satisfaction</t>
        </is>
      </c>
      <c r="D151" t="inlineStr">
        <is>
          <t>Developer</t>
        </is>
      </c>
      <c r="E151" t="inlineStr">
        <is>
          <t>Russell, D. W. (1996). UCLA Loneliness Scale (Version 3): Reliability, validity, and factor structure. Journal of Personality Assessment, 66(1), 20–40. https://doi.org/10.1207/s15327752jpa6601_2</t>
        </is>
      </c>
    </row>
    <row r="152">
      <c r="A152" t="inlineStr">
        <is>
          <t>UCLA-LS-3</t>
        </is>
      </c>
      <c r="B152" t="inlineStr">
        <is>
          <t>UCLA Loneliness Scale, Version 3 (PhenX Social Isolation)</t>
        </is>
      </c>
      <c r="C152" t="inlineStr">
        <is>
          <t>7. Wellbeing and life satisfaction</t>
        </is>
      </c>
      <c r="D152" t="inlineStr">
        <is>
          <t>Transcription</t>
        </is>
      </c>
      <c r="E152" t="inlineStr">
        <is>
          <t>Transcribed 18 October 2026 from https://www.phenxtoolkit.org/protocols/view/181001; independent check: verified. All 20 items, instructions, response labels and scoring text transcribed from the PhenX Toolkit protocol 181001 page. The PhenX page prints the fourth response label as ALWAYS; Russell's (1996) published version labels point 4 as Often. PhenX wording is retained verbatim and this difference should be checked before administration. Sample means quoted in the scoring field are from general knowledge of Russell (1996) and were not read from the PhenX page.</t>
        </is>
      </c>
    </row>
    <row r="153">
      <c r="A153" t="inlineStr">
        <is>
          <t>WEBEXEC</t>
        </is>
      </c>
      <c r="B153" t="inlineStr">
        <is>
          <t>Webexec</t>
        </is>
      </c>
      <c r="C153" t="inlineStr">
        <is>
          <t>1. Executive functioning and ADHD</t>
        </is>
      </c>
      <c r="D153" t="inlineStr">
        <is>
          <t>Developer</t>
        </is>
      </c>
      <c r="E153" t="inlineStr">
        <is>
          <t>Buchanan, T., Heffernan, T. M., Parrott, A. C., Ling, J., Rodgers, J., &amp; Scholey, A. B. (2010). A short self-report measure of problems with executive function suitable for administration via the Internet. Behavior Research Methods, 42(3), 709-714. https://doi.org/10.3758/BRM.42.3.709</t>
        </is>
      </c>
    </row>
    <row r="154">
      <c r="A154" t="inlineStr">
        <is>
          <t>WEBEXEC</t>
        </is>
      </c>
      <c r="B154" t="inlineStr">
        <is>
          <t>Webexec</t>
        </is>
      </c>
      <c r="C154" t="inlineStr">
        <is>
          <t>1. Executive functioning and ADHD</t>
        </is>
      </c>
      <c r="D154" t="inlineStr">
        <is>
          <t>Transcription</t>
        </is>
      </c>
      <c r="E154" t="inlineStr">
        <is>
          <t>Transcribed 18 October 2026 from https://psytoolkit.org/survey-library/webexec.html; independent check: verified with corrections. Items transcribed from the PsyToolkit survey library page, which reproduces the scale for online administration. The PsyToolkit instructions are written for its own online format (answers confidential, participants may stop at any time); the instruction line above is the task relevant sentence from that page and the original paper wording was not checked. The page lists the 4 response labels in order and states each item is scored 1 to 4 but does not print the numeric values beside the labels; values 1 to 4 are assigned in listed order. The response labels are in sentence case as recorded by the fetch; original capitalisation on the page was not confirmed. Second pass: instruction sentence quoted exactly from PsyToolkit; option labels are printed in lower case there and shown in sentence case here.</t>
        </is>
      </c>
    </row>
    <row r="155">
      <c r="A155" t="inlineStr">
        <is>
          <t>WFIRS-S</t>
        </is>
      </c>
      <c r="B155" t="inlineStr">
        <is>
          <t>Weiss Functional Impairment Rating Scale, Self Report</t>
        </is>
      </c>
      <c r="C155" t="inlineStr">
        <is>
          <t>8. Functioning and health</t>
        </is>
      </c>
      <c r="D155" t="inlineStr">
        <is>
          <t>Developer</t>
        </is>
      </c>
      <c r="E155" t="inlineStr">
        <is>
          <t>Weiss, M. D. (2000). Weiss Functional Impairment Rating Scale – Self Report (WFIRS-S) [Measurement instrument]. University of British Columbia.</t>
        </is>
      </c>
    </row>
    <row r="156">
      <c r="A156" t="inlineStr">
        <is>
          <t>WFIRS-S</t>
        </is>
      </c>
      <c r="B156" t="inlineStr">
        <is>
          <t>Weiss Functional Impairment Rating Scale, Self Report</t>
        </is>
      </c>
      <c r="C156" t="inlineStr">
        <is>
          <t>8. Functioning and health</t>
        </is>
      </c>
      <c r="D156" t="inlineStr">
        <is>
          <t>Transcription</t>
        </is>
      </c>
      <c r="E156" t="inlineStr">
        <is>
          <t>Transcribed 18 October 2026 from https://www.ucc.ie/en/media/support/studenthealthservice/docs/ADHD-WeissFunctionalImpairmentScale.pdf; independent check: verified. All 69 items transcribed from the UCC Student Health Service PDF, title 'WEISS FUNCTIONAL IMPAIRMENT RATING SCALE – SELF REPORT (WFIRS-S)'. Items are numbered 1 to 69 sequentially here; the source numbers items within each lettered domain (A1 to G14) and the source label is given in each item note. The form prints the 4 response labels plus n/a but does not print the numbers 0 to 3; the 0 to 3 values are inferred from the scoring box, which refers to items scored '2' or '3'. Spelling follows the form (behavioural, neighbours). WebFetch returned the items in 3 domain batches; the instruction and copyright statement were returned in consecutive fragments and rejoined.</t>
        </is>
      </c>
    </row>
    <row r="157">
      <c r="A157" t="inlineStr">
        <is>
          <t>WHO-5</t>
        </is>
      </c>
      <c r="B157" t="inlineStr">
        <is>
          <t>WHO-5 Well-Being Index</t>
        </is>
      </c>
      <c r="C157" t="inlineStr">
        <is>
          <t>7. Wellbeing and life satisfaction</t>
        </is>
      </c>
      <c r="D157" t="inlineStr">
        <is>
          <t>Developer</t>
        </is>
      </c>
      <c r="E157" t="inlineStr">
        <is>
          <t>World Health Organization Regional Office for Europe. (1998). Wellbeing measures in primary health care/The DepCare Project: Report on a WHO meeting, Stockholm, Sweden, 12–13 February 1998. WHO Regional Office for Europe. See also Topp, C. W., Østergaard, S. D., Søndergaard, S., &amp; Bech, P. (2015). The WHO-5 Well-Being Index: A systematic review of the literature. Psychotherapy and Psychosomatics, 84(3), 167–176. https://doi.org/10.1159/000376585</t>
        </is>
      </c>
    </row>
    <row r="158">
      <c r="A158" t="inlineStr">
        <is>
          <t>WHO-5</t>
        </is>
      </c>
      <c r="B158" t="inlineStr">
        <is>
          <t>WHO-5 Well-Being Index</t>
        </is>
      </c>
      <c r="C158" t="inlineStr">
        <is>
          <t>7. Wellbeing and life satisfaction</t>
        </is>
      </c>
      <c r="D158" t="inlineStr">
        <is>
          <t>Transcription</t>
        </is>
      </c>
      <c r="E158" t="inlineStr">
        <is>
          <t>Transcribed 18 October 2026 from https://www.psytoolkit.org/survey-library/who5.html; independent check: verified. Items, stem, instruction and response values transcribed from the PsyToolkit survey library page. Item 1 on PsyToolkit reads 'cheerful in good spirits' whereas the WHO original (quoted on tepou.co.nz) reads 'cheerful and in good spirits'; PsyToolkit wording retained verbatim with the difference flagged. CORC prints the response labels as 'More than half of the time' and 'Less than half of the time'; PsyToolkit omits 'of'. The official WHO form (psykiatri-regionh.dk) was not fetched, so its instruction wording was not compared.</t>
        </is>
      </c>
    </row>
    <row r="159">
      <c r="A159" t="inlineStr">
        <is>
          <t>WHODAS-36</t>
        </is>
      </c>
      <c r="B159" t="inlineStr">
        <is>
          <t>WHO Disability Assessment Schedule 2.0, 36 item self administered</t>
        </is>
      </c>
      <c r="C159" t="inlineStr">
        <is>
          <t>8. Functioning and health</t>
        </is>
      </c>
      <c r="D159" t="inlineStr">
        <is>
          <t>Developer</t>
        </is>
      </c>
      <c r="E159" t="inlineStr">
        <is>
          <t>Üstün, T. B., Kostanjsek, N., Chatterji, S., &amp; Rehm, J. (Eds.). (2010). Measuring health and disability: Manual for WHO Disability Assessment Schedule (WHODAS 2.0). World Health Organization.</t>
        </is>
      </c>
    </row>
    <row r="160">
      <c r="A160" t="inlineStr">
        <is>
          <t>WHODAS-36</t>
        </is>
      </c>
      <c r="B160" t="inlineStr">
        <is>
          <t>WHO Disability Assessment Schedule 2.0, 36 item self administered</t>
        </is>
      </c>
      <c r="C160" t="inlineStr">
        <is>
          <t>8. Functioning and health</t>
        </is>
      </c>
      <c r="D160" t="inlineStr">
        <is>
          <t>Transcription</t>
        </is>
      </c>
      <c r="E160" t="inlineStr">
        <is>
          <t>Transcribed 18 October 2026 from https://www.psychiatry.org/getmedia/5f4794de-8d66-4434-99f3-784a3fd1e567/APA-DSM5TR-WHODAS2SelfAdministered.pdf; independent check: verified with corrections. Items transcribed from the APA DSM-5-TR reproduction of the WHODAS 2.0 36 item self administered version, retrieved domain by domain. Items are numbered 1 to 36 here with the WHO item code (D1.1 to D6.8) in each note. Domain 6 items are full questions under the stem "In the past 30 days:" rather than completions of "how much difficulty did you have in:". Item D6.4 uses different response labels (None, Some, Moderate, A Lot, Extreme or cannot do). The H1 to H3 items (days affected) in the WHO interviewer version are not present in the APA self administered version. The APA page itself carries no permission statement beyond the lines quoted from the PDF. Second pass: WHO page quoted exactly; electronic use requires a WHO licence.</t>
        </is>
      </c>
    </row>
    <row r="161">
      <c r="A161" t="inlineStr">
        <is>
          <t>WSAS</t>
        </is>
      </c>
      <c r="B161" t="inlineStr">
        <is>
          <t>Work and Social Adjustment Scale</t>
        </is>
      </c>
      <c r="C161" t="inlineStr">
        <is>
          <t>8. Functioning and health</t>
        </is>
      </c>
      <c r="D161" t="inlineStr">
        <is>
          <t>Developer</t>
        </is>
      </c>
      <c r="E161" t="inlineStr">
        <is>
          <t>Mundt, J. C., Marks, I. M., Shear, M. K., &amp; Greist, J. M. (2002). The Work and Social Adjustment Scale: A simple measure of impairment in functioning. British Journal of Psychiatry, 180(5), 461–464. https://doi.org/10.1192/bjp.180.5.461</t>
        </is>
      </c>
    </row>
    <row r="162">
      <c r="A162" t="inlineStr">
        <is>
          <t>WSAS</t>
        </is>
      </c>
      <c r="B162" t="inlineStr">
        <is>
          <t>Work and Social Adjustment Scale</t>
        </is>
      </c>
      <c r="C162" t="inlineStr">
        <is>
          <t>8. Functioning and health</t>
        </is>
      </c>
      <c r="D162" t="inlineStr">
        <is>
          <t>Transcription</t>
        </is>
      </c>
      <c r="E162" t="inlineStr">
        <is>
          <t>Transcribed 18 October 2026 from https://www.ciusss-capitalenationale.gouv.qc.ca/sites/d8/files/docs/ProfSante/SanteMentale/DSMDI_Form-questionnaire-WSAS_EN.pdf; independent check: verified with corrections. Items and instructions transcribed from the English MSSS (Quebec) form hosted by CIUSSS de la Capitale-Nationale, which is an adaptation with permission: the stem reads 'Because of the ways I think, feel, or behave' where the Mundt et al. (2002) original reads 'Because of my [disorder]', and the instruction references the last two weeks or last consultation. The Cambridge Core article page was fetched but the WebFetch model would not reproduce the appendix verbatim; the Mind toolkit PDF (target sourceUrl) does not contain the WSAS. The response labels Not at all, Slightly, Definitely, Markedly and Very severely impaired are printed beneath the 0 to 8 row; text extraction did not confirm column alignment, so their placement at 0, 2, 4, 6 and 8 follows the standard WSAS layout and points 1, 3, 5 and 7 are left unlabelled. Item 1 text includes the two explanatory sentences printed with it on the form. Second pass: the form also prints N/A as a response (item 1, retired or choosing not to have a job); not offered in the hub, where item 1 may be left unanswered.</t>
        </is>
      </c>
    </row>
  </sheetData>
  <autoFilter ref="A1:E6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Executive Skills Questionnaire - Revised (ESQ-R)</t>
        </is>
      </c>
    </row>
    <row r="2"/>
    <row r="3" ht="15" customHeight="1" s="17">
      <c r="A3" s="35" t="inlineStr">
        <is>
          <t>Instrument</t>
        </is>
      </c>
      <c r="B3" s="27" t="inlineStr">
        <is>
          <t>Executive Skills Questionnaire - Revised (ESQ-R)</t>
        </is>
      </c>
    </row>
    <row r="4" ht="15" customHeight="1" s="17">
      <c r="A4" s="35" t="inlineStr">
        <is>
          <t>Code</t>
        </is>
      </c>
      <c r="B4" s="27" t="inlineStr">
        <is>
          <t>ESQ-R</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Executive functioning skills, including plan and time management, organization, and emotional and behavioral regulation</t>
        </is>
      </c>
    </row>
    <row r="8" ht="15" customHeight="1" s="17">
      <c r="A8" s="35" t="inlineStr">
        <is>
          <t>Respondent</t>
        </is>
      </c>
      <c r="B8" s="27" t="inlineStr">
        <is>
          <t>Self-report</t>
        </is>
      </c>
    </row>
    <row r="9" ht="15" customHeight="1" s="17">
      <c r="A9" s="35" t="inlineStr">
        <is>
          <t>Age range</t>
        </is>
      </c>
      <c r="B9" s="27" t="inlineStr">
        <is>
          <t>14+</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5 minutes</t>
        </is>
      </c>
    </row>
    <row r="13" ht="30" customHeight="1" s="17">
      <c r="A13" s="35" t="inlineStr">
        <is>
          <t>Cost and access</t>
        </is>
      </c>
      <c r="B13" s="27" t="inlineStr">
        <is>
          <t>Included on NovoPsych with the permission of Dr Peg Dawson; blank form hosted free. Scoring and percentiles need a NovoPsych account.</t>
        </is>
      </c>
    </row>
    <row r="14" ht="30" customHeight="1" s="17">
      <c r="A14" s="35" t="inlineStr">
        <is>
          <t>Coaching application</t>
        </is>
      </c>
      <c r="B14" s="27" t="inlineStr">
        <is>
          <t>The core executive skills profile for coaching; the five subscales map directly onto coaching targets. Measures higher order skills rather than core executive functions.</t>
        </is>
      </c>
    </row>
    <row r="15" ht="60" customHeight="1" s="17">
      <c r="A15" s="35" t="inlineStr">
        <is>
          <t>Purpose</t>
        </is>
      </c>
      <c r="B15" s="27" t="inlineStr">
        <is>
          <t>The ESQ-R is a 25-item self-report measure of executive functioning skills, including plan and time management, organization, and emotional and behavioral regulation. It was developed and published by Strait et al. (2020) and is included on NovoPsych with permission from Dr. Peg Dawson. It is intended to help identify specific areas of executive skill difficulty across five domains.</t>
        </is>
      </c>
    </row>
    <row r="16" ht="15" customHeight="1" s="17">
      <c r="A16" s="35" t="inlineStr">
        <is>
          <t>Instructions / prompt</t>
        </is>
      </c>
      <c r="B16" s="27" t="inlineStr">
        <is>
          <t>Read each item and decide how often it's a problem for you.</t>
        </is>
      </c>
    </row>
    <row r="17" ht="15" customHeight="1" s="17">
      <c r="A17" s="35" t="inlineStr">
        <is>
          <t>Response options</t>
        </is>
      </c>
      <c r="B17" s="27" t="inlineStr">
        <is>
          <t>Never or rarely = 0 | Sometimes = 1 | Often = 2 | Very often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on a 4-point Likert-type scale from 0 to 3 reflecting the frequency with which a respondent experiences a specific difficulty. Item scores are summed to produce a total score (range 0-75) and five subscale scores (Plan Management 0-33, Time Management 0-12, Organization 0-9, Emotional Regulation 0-9, Behavioral Regulation 0-12). Higher scores indicate more difficulties with executive functioning. No reverse-scored items were identified in the retrieved source material.</t>
        </is>
      </c>
    </row>
    <row r="21" ht="165" customHeight="1" s="17">
      <c r="A21" s="35" t="inlineStr">
        <is>
          <t>Interpretation bands</t>
        </is>
      </c>
      <c r="B21" s="27" t="inlineStr">
        <is>
          <t>Low Difficulties: ≤10th percentile - Low difficulties with executive functioning skills relative to the normative sample.
Below Average Difficulties: 10th-24th percentile - Below average difficulties with executive functioning skills relative to the normative sample.
Average Difficulties: 25th-75th percentile - Average difficulties with executive functioning skills relative to the normative sample.
Above Average Difficulties: 76th-89th percentile - Above average difficulties with executive functioning skills relative to the normative sample.
High Difficulties: ≥90th percentile - High difficulties with executive functioning skills relative to the normative sample.</t>
        </is>
      </c>
    </row>
    <row r="22" ht="75" customHeight="1" s="17">
      <c r="A22" s="35" t="inlineStr">
        <is>
          <t>Cut-offs</t>
        </is>
      </c>
      <c r="B22" s="27" t="inlineStr">
        <is>
          <t>No diagnostic cut-off. Total score percentile bands: Low Difficulties (&lt;=10th), Below Average (11th-24th), Average (25th-75th), Above Average (76th-89th), High (&gt;=90th). Above Average or High suggests clinically significant executive functioning challenges. Subscale average ratings: No or Low Difficulty 0-1; Moderate Difficulty 1.01-1.99; High Difficulty 2-3. A change of 5 or more points on the total score is a Minimally Important Difference.</t>
        </is>
      </c>
    </row>
    <row r="23" ht="75" customHeight="1" s="17">
      <c r="A23" s="35" t="inlineStr">
        <is>
          <t>Normative data</t>
        </is>
      </c>
      <c r="B23" s="27" t="inlineStr">
        <is>
          <t>Sample of 327 working adults in Malaysia (153 male, 171 female, 1 unknown; aged 23-80, M = 40.34, SD = 10.39) completing a modified ESQ-R (Nasir et al., 2021). Total M = 20.54 (SD 10.27); Plan Management M = 7.59 (SD 5.08); Time Management M = 3.03 (SD 2.24); Organization M = 2.57 (SD 1.96); Emotional Regulation M = 3.02 (SD 1.88); Behavioral Regulation M = 4.32 (SD 2.08). These means and SDs convert raw scores to percentiles.</t>
        </is>
      </c>
    </row>
    <row r="24" ht="75" customHeight="1" s="17">
      <c r="A24" s="35" t="inlineStr">
        <is>
          <t>Psychometric properties</t>
        </is>
      </c>
      <c r="B24" s="27" t="inlineStr">
        <is>
          <t>Internal consistency Cronbach's alpha = .91; test-retest reliability r = .70 (Strait et al., 2020). Factor alphas: Plan Management .89 (11 items), Time Management .74 (4), Organization .76 (3), Emotional Regulation .75 (3), Behavioral Regulation .65 (4). Convergent validity: Current Behavior Scale r = .74; Adult Executive Functioning Inventory r = .69. Discriminant validity: DASS-21 Depression r = .48, Anxiety r = .38, Stress r = .44; GAD-7 r = .45; PSS-10 r = .55. Academic engagement r = -.40.</t>
        </is>
      </c>
    </row>
    <row r="25" ht="60" customHeight="1" s="17">
      <c r="A25" s="35" t="inlineStr">
        <is>
          <t>Developer citation</t>
        </is>
      </c>
      <c r="B25" s="27" t="inlineStr">
        <is>
          <t>Developed by Dr. Peg Dawson (Smart But Scattered Kids). Original citation: Strait, J. E., Dawson, P., Walther, C. A. P., Strait, G. G., Barton, A. K., &amp; McClain, M. B. (2020). Refinement and psychometric evaluation of the Executive Skills Questionnaire-Revised. Contemporary School Psychology, 24, 378-388. https://doi.org/10.1007/s40688-018-00224-x</t>
        </is>
      </c>
    </row>
    <row r="26" ht="30" customHeight="1" s="17">
      <c r="A26" s="35" t="inlineStr">
        <is>
          <t>Copyright and licensing</t>
        </is>
      </c>
      <c r="B26" s="27" t="inlineStr">
        <is>
          <t>© 2026 Copyright – NovoPsych – All rights reserved. The ESQ-R was developed and published by Strait et al. (2020) and is included on NovoPsych with permission from Dr. Peg Dawson.</t>
        </is>
      </c>
    </row>
    <row r="27" ht="15" customHeight="1" s="17">
      <c r="A27" s="35" t="inlineStr">
        <is>
          <t>Source URL</t>
        </is>
      </c>
      <c r="B27" s="27" t="inlineStr">
        <is>
          <t>https://novopsych.com/assessments/formulation/executive-skills-questionnaire-revised-esq-r/</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act on impulse.</t>
        </is>
      </c>
      <c r="C30" s="27" t="inlineStr">
        <is>
          <t>Behavioral Regulation</t>
        </is>
      </c>
      <c r="D30" s="27" t="inlineStr">
        <is>
          <t>FALSE</t>
        </is>
      </c>
      <c r="E30" s="27" t="inlineStr">
        <is>
          <t>FALSE</t>
        </is>
      </c>
      <c r="F30" s="27" t="n"/>
    </row>
    <row r="31" ht="15" customHeight="1" s="17">
      <c r="A31" s="28" t="n">
        <v>2</v>
      </c>
      <c r="B31" s="27" t="inlineStr">
        <is>
          <t>I say things without thinking.</t>
        </is>
      </c>
      <c r="C31" s="27" t="inlineStr">
        <is>
          <t>Behavioral Regulation</t>
        </is>
      </c>
      <c r="D31" s="27" t="inlineStr">
        <is>
          <t>FALSE</t>
        </is>
      </c>
      <c r="E31" s="27" t="inlineStr">
        <is>
          <t>FALSE</t>
        </is>
      </c>
      <c r="F31" s="27" t="n"/>
    </row>
    <row r="32" ht="15" customHeight="1" s="17">
      <c r="A32" s="28" t="n">
        <v>3</v>
      </c>
      <c r="B32" s="27" t="inlineStr">
        <is>
          <t>I lose things.</t>
        </is>
      </c>
      <c r="C32" s="27" t="inlineStr">
        <is>
          <t>Organization</t>
        </is>
      </c>
      <c r="D32" s="27" t="inlineStr">
        <is>
          <t>FALSE</t>
        </is>
      </c>
      <c r="E32" s="27" t="inlineStr">
        <is>
          <t>FALSE</t>
        </is>
      </c>
      <c r="F32" s="27" t="n"/>
    </row>
    <row r="33" ht="15" customHeight="1" s="17">
      <c r="A33" s="28" t="n">
        <v>4</v>
      </c>
      <c r="B33" s="27" t="inlineStr">
        <is>
          <t>I have a short fuse.</t>
        </is>
      </c>
      <c r="C33" s="27" t="inlineStr">
        <is>
          <t>Emotional Regulation</t>
        </is>
      </c>
      <c r="D33" s="27" t="inlineStr">
        <is>
          <t>FALSE</t>
        </is>
      </c>
      <c r="E33" s="27" t="inlineStr">
        <is>
          <t>FALSE</t>
        </is>
      </c>
      <c r="F33" s="27" t="n"/>
    </row>
    <row r="34" ht="15" customHeight="1" s="17">
      <c r="A34" s="28" t="n">
        <v>5</v>
      </c>
      <c r="B34" s="27" t="inlineStr">
        <is>
          <t>I get upset when things don't go as planned.</t>
        </is>
      </c>
      <c r="C34" s="27" t="inlineStr">
        <is>
          <t>Emotional Regulation</t>
        </is>
      </c>
      <c r="D34" s="27" t="inlineStr">
        <is>
          <t>FALSE</t>
        </is>
      </c>
      <c r="E34" s="27" t="inlineStr">
        <is>
          <t>FALSE</t>
        </is>
      </c>
      <c r="F34" s="27" t="n"/>
    </row>
    <row r="35" ht="15" customHeight="1" s="17">
      <c r="A35" s="28" t="n">
        <v>6</v>
      </c>
      <c r="B35" s="27" t="inlineStr">
        <is>
          <t>I run out of steam before finishing a task.</t>
        </is>
      </c>
      <c r="C35" s="27" t="inlineStr">
        <is>
          <t>Plan Management</t>
        </is>
      </c>
      <c r="D35" s="27" t="inlineStr">
        <is>
          <t>FALSE</t>
        </is>
      </c>
      <c r="E35" s="27" t="inlineStr">
        <is>
          <t>FALSE</t>
        </is>
      </c>
      <c r="F35" s="27" t="n"/>
    </row>
    <row r="36" ht="15" customHeight="1" s="17">
      <c r="A36" s="28" t="n">
        <v>7</v>
      </c>
      <c r="B36" s="27" t="inlineStr">
        <is>
          <t>It's hard for me to set priorities when I have a lot of things to do.</t>
        </is>
      </c>
      <c r="C36" s="27" t="inlineStr">
        <is>
          <t>Plan Management</t>
        </is>
      </c>
      <c r="D36" s="27" t="inlineStr">
        <is>
          <t>FALSE</t>
        </is>
      </c>
      <c r="E36" s="27" t="inlineStr">
        <is>
          <t>FALSE</t>
        </is>
      </c>
      <c r="F36" s="27" t="n"/>
    </row>
    <row r="37" ht="15" customHeight="1" s="17">
      <c r="A37" s="28" t="n">
        <v>8</v>
      </c>
      <c r="B37" s="27" t="inlineStr">
        <is>
          <t>My desk or workspace is a mess.</t>
        </is>
      </c>
      <c r="C37" s="27" t="inlineStr">
        <is>
          <t>Organization</t>
        </is>
      </c>
      <c r="D37" s="27" t="inlineStr">
        <is>
          <t>FALSE</t>
        </is>
      </c>
      <c r="E37" s="27" t="inlineStr">
        <is>
          <t>FALSE</t>
        </is>
      </c>
      <c r="F37" s="27" t="n"/>
    </row>
    <row r="38" ht="15" customHeight="1" s="17">
      <c r="A38" s="28" t="n">
        <v>9</v>
      </c>
      <c r="B38" s="27" t="inlineStr">
        <is>
          <t>I have trouble keeping my house or room clean.</t>
        </is>
      </c>
      <c r="C38" s="27" t="inlineStr">
        <is>
          <t>Organization</t>
        </is>
      </c>
      <c r="D38" s="27" t="inlineStr">
        <is>
          <t>FALSE</t>
        </is>
      </c>
      <c r="E38" s="27" t="inlineStr">
        <is>
          <t>FALSE</t>
        </is>
      </c>
      <c r="F38" s="27" t="n"/>
    </row>
    <row r="39" ht="15" customHeight="1" s="17">
      <c r="A39" s="28" t="n">
        <v>10</v>
      </c>
      <c r="B39" s="27" t="inlineStr">
        <is>
          <t>I have trouble estimating how long it will take to complete a task.</t>
        </is>
      </c>
      <c r="C39" s="27" t="inlineStr">
        <is>
          <t>Time Management</t>
        </is>
      </c>
      <c r="D39" s="27" t="inlineStr">
        <is>
          <t>FALSE</t>
        </is>
      </c>
      <c r="E39" s="27" t="inlineStr">
        <is>
          <t>FALSE</t>
        </is>
      </c>
      <c r="F39" s="27" t="n"/>
    </row>
    <row r="40" ht="15" customHeight="1" s="17">
      <c r="A40" s="28" t="n">
        <v>11</v>
      </c>
      <c r="B40" s="27" t="inlineStr">
        <is>
          <t>I'm slow at getting ready for school, work, or appointments.</t>
        </is>
      </c>
      <c r="C40" s="27" t="inlineStr">
        <is>
          <t>Time Management</t>
        </is>
      </c>
      <c r="D40" s="27" t="inlineStr">
        <is>
          <t>FALSE</t>
        </is>
      </c>
      <c r="E40" s="27" t="inlineStr">
        <is>
          <t>FALSE</t>
        </is>
      </c>
      <c r="F40" s="27" t="n"/>
    </row>
    <row r="41" ht="15" customHeight="1" s="17">
      <c r="A41" s="28" t="n">
        <v>12</v>
      </c>
      <c r="B41" s="27" t="inlineStr">
        <is>
          <t>If the first solution to a problem doesn't work, I have trouble thinking of a different one.</t>
        </is>
      </c>
      <c r="C41" s="27" t="inlineStr">
        <is>
          <t>Plan Management</t>
        </is>
      </c>
      <c r="D41" s="27" t="inlineStr">
        <is>
          <t>FALSE</t>
        </is>
      </c>
      <c r="E41" s="27" t="inlineStr">
        <is>
          <t>FALSE</t>
        </is>
      </c>
      <c r="F41" s="27" t="n"/>
    </row>
    <row r="42" ht="15" customHeight="1" s="17">
      <c r="A42" s="28" t="n">
        <v>13</v>
      </c>
      <c r="B42" s="27" t="inlineStr">
        <is>
          <t>I skip checking my work for mistakes, even when the stakes are high.</t>
        </is>
      </c>
      <c r="C42" s="27" t="inlineStr">
        <is>
          <t>Plan Management</t>
        </is>
      </c>
      <c r="D42" s="27" t="inlineStr">
        <is>
          <t>FALSE</t>
        </is>
      </c>
      <c r="E42" s="27" t="inlineStr">
        <is>
          <t>FALSE</t>
        </is>
      </c>
      <c r="F42" s="27" t="n"/>
    </row>
    <row r="43" ht="15" customHeight="1" s="17">
      <c r="A43" s="28" t="n">
        <v>14</v>
      </c>
      <c r="B43" s="27" t="inlineStr">
        <is>
          <t>I get annoyed when tasks are too hard.</t>
        </is>
      </c>
      <c r="C43" s="27" t="inlineStr">
        <is>
          <t>Plan Management</t>
        </is>
      </c>
      <c r="D43" s="27" t="inlineStr">
        <is>
          <t>FALSE</t>
        </is>
      </c>
      <c r="E43" s="27" t="inlineStr">
        <is>
          <t>FALSE</t>
        </is>
      </c>
      <c r="F43" s="27" t="n"/>
    </row>
    <row r="44" ht="15" customHeight="1" s="17">
      <c r="A44" s="28" t="n">
        <v>15</v>
      </c>
      <c r="B44" s="27" t="inlineStr">
        <is>
          <t>It's hard for me to put aside fun activities to start things I know I need to do.</t>
        </is>
      </c>
      <c r="C44" s="27" t="inlineStr">
        <is>
          <t>Time Management</t>
        </is>
      </c>
      <c r="D44" s="27" t="inlineStr">
        <is>
          <t>FALSE</t>
        </is>
      </c>
      <c r="E44" s="27" t="inlineStr">
        <is>
          <t>FALSE</t>
        </is>
      </c>
      <c r="F44" s="27" t="n"/>
    </row>
    <row r="45" ht="15" customHeight="1" s="17">
      <c r="A45" s="28" t="n">
        <v>16</v>
      </c>
      <c r="B45" s="27" t="inlineStr">
        <is>
          <t>I have trouble with tasks where I have to come up with my own ideas.</t>
        </is>
      </c>
      <c r="C45" s="27" t="inlineStr">
        <is>
          <t>Plan Management</t>
        </is>
      </c>
      <c r="D45" s="27" t="inlineStr">
        <is>
          <t>FALSE</t>
        </is>
      </c>
      <c r="E45" s="27" t="inlineStr">
        <is>
          <t>FALSE</t>
        </is>
      </c>
      <c r="F45" s="27" t="n"/>
    </row>
    <row r="46" ht="15" customHeight="1" s="17">
      <c r="A46" s="28" t="n">
        <v>17</v>
      </c>
      <c r="B46" s="27" t="inlineStr">
        <is>
          <t>It's hard for me to tell how well I'm doing on a task.</t>
        </is>
      </c>
      <c r="C46" s="27" t="inlineStr">
        <is>
          <t>Plan Management</t>
        </is>
      </c>
      <c r="D46" s="27" t="inlineStr">
        <is>
          <t>FALSE</t>
        </is>
      </c>
      <c r="E46" s="27" t="inlineStr">
        <is>
          <t>FALSE</t>
        </is>
      </c>
      <c r="F46" s="27" t="n"/>
    </row>
    <row r="47" ht="15" customHeight="1" s="17">
      <c r="A47" s="28" t="n">
        <v>18</v>
      </c>
      <c r="B47" s="27" t="inlineStr">
        <is>
          <t>I have trouble reaching long-term goals.</t>
        </is>
      </c>
      <c r="C47" s="27" t="inlineStr">
        <is>
          <t>Plan Management</t>
        </is>
      </c>
      <c r="D47" s="27" t="inlineStr">
        <is>
          <t>FALSE</t>
        </is>
      </c>
      <c r="E47" s="27" t="inlineStr">
        <is>
          <t>FALSE</t>
        </is>
      </c>
      <c r="F47" s="27" t="n"/>
    </row>
    <row r="48" ht="15" customHeight="1" s="17">
      <c r="A48" s="28" t="n">
        <v>19</v>
      </c>
      <c r="B48" s="27" t="inlineStr">
        <is>
          <t>I "go with my gut" when making decisions.</t>
        </is>
      </c>
      <c r="C48" s="27" t="inlineStr">
        <is>
          <t>Behavioral Regulation</t>
        </is>
      </c>
      <c r="D48" s="27" t="inlineStr">
        <is>
          <t>FALSE</t>
        </is>
      </c>
      <c r="E48" s="27" t="inlineStr">
        <is>
          <t>FALSE</t>
        </is>
      </c>
      <c r="F48" s="27" t="n"/>
    </row>
    <row r="49" ht="15" customHeight="1" s="17">
      <c r="A49" s="28" t="n">
        <v>20</v>
      </c>
      <c r="B49" s="27" t="inlineStr">
        <is>
          <t>I get so wrapped up in what I'm doing that I forget about other things I need to do.</t>
        </is>
      </c>
      <c r="C49" s="27" t="inlineStr">
        <is>
          <t>Time Management</t>
        </is>
      </c>
      <c r="D49" s="27" t="inlineStr">
        <is>
          <t>FALSE</t>
        </is>
      </c>
      <c r="E49" s="27" t="inlineStr">
        <is>
          <t>FALSE</t>
        </is>
      </c>
      <c r="F49" s="27" t="n"/>
    </row>
    <row r="50" ht="15" customHeight="1" s="17">
      <c r="A50" s="28" t="n">
        <v>21</v>
      </c>
      <c r="B50" s="27" t="inlineStr">
        <is>
          <t>Little things frustrate me.</t>
        </is>
      </c>
      <c r="C50" s="27" t="inlineStr">
        <is>
          <t>Emotional Regulation</t>
        </is>
      </c>
      <c r="D50" s="27" t="inlineStr">
        <is>
          <t>FALSE</t>
        </is>
      </c>
      <c r="E50" s="27" t="inlineStr">
        <is>
          <t>FALSE</t>
        </is>
      </c>
      <c r="F50" s="27" t="n"/>
    </row>
    <row r="51" ht="15" customHeight="1" s="17">
      <c r="A51" s="28" t="n">
        <v>22</v>
      </c>
      <c r="B51" s="27" t="inlineStr">
        <is>
          <t>I have trouble getting back on track if I'm interrupted.</t>
        </is>
      </c>
      <c r="C51" s="27" t="inlineStr">
        <is>
          <t>Plan Management</t>
        </is>
      </c>
      <c r="D51" s="27" t="inlineStr">
        <is>
          <t>FALSE</t>
        </is>
      </c>
      <c r="E51" s="27" t="inlineStr">
        <is>
          <t>FALSE</t>
        </is>
      </c>
      <c r="F51" s="27" t="n"/>
    </row>
    <row r="52" ht="15" customHeight="1" s="17">
      <c r="A52" s="28" t="n">
        <v>23</v>
      </c>
      <c r="B52" s="27" t="inlineStr">
        <is>
          <t>I have trouble making a plan.</t>
        </is>
      </c>
      <c r="C52" s="27" t="inlineStr">
        <is>
          <t>Plan Management</t>
        </is>
      </c>
      <c r="D52" s="27" t="inlineStr">
        <is>
          <t>FALSE</t>
        </is>
      </c>
      <c r="E52" s="27" t="inlineStr">
        <is>
          <t>FALSE</t>
        </is>
      </c>
      <c r="F52" s="27" t="n"/>
    </row>
    <row r="53" ht="15" customHeight="1" s="17">
      <c r="A53" s="28" t="n">
        <v>24</v>
      </c>
      <c r="B53" s="27" t="inlineStr">
        <is>
          <t>I miss the big picture.</t>
        </is>
      </c>
      <c r="C53" s="27" t="inlineStr">
        <is>
          <t>Plan Management</t>
        </is>
      </c>
      <c r="D53" s="27" t="inlineStr">
        <is>
          <t>FALSE</t>
        </is>
      </c>
      <c r="E53" s="27" t="inlineStr">
        <is>
          <t>FALSE</t>
        </is>
      </c>
      <c r="F53" s="27" t="n"/>
    </row>
    <row r="54" ht="15" customHeight="1" s="17">
      <c r="A54" s="28" t="n">
        <v>25</v>
      </c>
      <c r="B54" s="27" t="inlineStr">
        <is>
          <t>I live for the moment.</t>
        </is>
      </c>
      <c r="C54" s="27" t="inlineStr">
        <is>
          <t>Behavioral Regulation</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4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Cognitive Flexibility Inventory (CFI)</t>
        </is>
      </c>
    </row>
    <row r="2"/>
    <row r="3" ht="15" customHeight="1" s="17">
      <c r="A3" s="35" t="inlineStr">
        <is>
          <t>Instrument</t>
        </is>
      </c>
      <c r="B3" s="27" t="inlineStr">
        <is>
          <t>Cognitive Flexibility Inventory (CFI)</t>
        </is>
      </c>
    </row>
    <row r="4" ht="15" customHeight="1" s="17">
      <c r="A4" s="35" t="inlineStr">
        <is>
          <t>Code</t>
        </is>
      </c>
      <c r="B4" s="27" t="inlineStr">
        <is>
          <t>CFI</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45" customHeight="1" s="17">
      <c r="A7" s="35" t="inlineStr">
        <is>
          <t>Construct</t>
        </is>
      </c>
      <c r="B7" s="27" t="inlineStr">
        <is>
          <t>Cognitive flexibility - the ability to perceive multiple alternative explanations for life occurrences and human behaviour, generate multiple alternative solutions to difficult situations, and perceive difficult situations as controllable</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20</t>
        </is>
      </c>
    </row>
    <row r="11" ht="15" customHeight="1" s="17">
      <c r="A11" s="35" t="inlineStr">
        <is>
          <t>Items reproduced here</t>
        </is>
      </c>
      <c r="B11" s="27" t="inlineStr">
        <is>
          <t>20</t>
        </is>
      </c>
    </row>
    <row r="12" ht="15" customHeight="1" s="17">
      <c r="A12" s="35" t="inlineStr">
        <is>
          <t>Administration time</t>
        </is>
      </c>
      <c r="B12" s="27" t="inlineStr">
        <is>
          <t>3 minutes</t>
        </is>
      </c>
    </row>
    <row r="13" ht="15" customHeight="1" s="17">
      <c r="A13" s="35" t="inlineStr">
        <is>
          <t>Cost and access</t>
        </is>
      </c>
      <c r="B13" s="27" t="inlineStr">
        <is>
          <t>Published in Dennis and Vander Wal (2010); blank form hosted free on NovoPsych.</t>
        </is>
      </c>
    </row>
    <row r="14" ht="30" customHeight="1" s="17">
      <c r="A14" s="35" t="inlineStr">
        <is>
          <t>Coaching application</t>
        </is>
      </c>
      <c r="B14" s="27" t="inlineStr">
        <is>
          <t>Measures cognitive flexibility, useful for tracking response to reframing and problem solving work. Scored in the opposite direction to the ESQ-R.</t>
        </is>
      </c>
    </row>
    <row r="15" ht="60" customHeight="1" s="17">
      <c r="A15" s="35" t="inlineStr">
        <is>
          <t>Purpose</t>
        </is>
      </c>
      <c r="B15" s="27" t="inlineStr">
        <is>
          <t>The CFI is a 20-item self-report measure used to monitor how often individuals engaged in cognitive behavioural thought challenging interventions. Cognitive flexibility is a core skill targeted in cognitive behavioral therapy that enables adaptive thinking during stressful life events and helps individuals avoid maladaptive thinking patterns.</t>
        </is>
      </c>
    </row>
    <row r="16" ht="30" customHeight="1" s="17">
      <c r="A16" s="35" t="inlineStr">
        <is>
          <t>Instructions / prompt</t>
        </is>
      </c>
      <c r="B16" s="27" t="inlineStr">
        <is>
          <t>Please use the scale below to indicate the extent to which you agree or disagree with the following statements.</t>
        </is>
      </c>
    </row>
    <row r="17" ht="30" customHeight="1" s="17">
      <c r="A17" s="35" t="inlineStr">
        <is>
          <t>Response options</t>
        </is>
      </c>
      <c r="B17" s="27" t="inlineStr">
        <is>
          <t>Strongly disagree = 1 | Disagree = 2 | Somewhat disagree = 3 | Neutral = 4 | Somewhat agree = 5 | Agree = 6 | Strongly agree = 7</t>
        </is>
      </c>
    </row>
    <row r="18" ht="15" customHeight="1" s="17">
      <c r="A18" s="35" t="inlineStr">
        <is>
          <t>Reverse-scored items</t>
        </is>
      </c>
      <c r="B18" s="27" t="inlineStr">
        <is>
          <t>2, 4, 7, 9, 11, 17</t>
        </is>
      </c>
    </row>
    <row r="19" ht="15" customHeight="1" s="17">
      <c r="A19" s="35" t="inlineStr">
        <is>
          <t>Filler items (not scored)</t>
        </is>
      </c>
      <c r="B19" s="27" t="inlineStr">
        <is>
          <t>None</t>
        </is>
      </c>
    </row>
    <row r="20" ht="60" customHeight="1" s="17">
      <c r="A20" s="35" t="inlineStr">
        <is>
          <t>Total scoring</t>
        </is>
      </c>
      <c r="B20" s="27" t="inlineStr">
        <is>
          <t>Each item is rated on a 7-point Likert scale from 1 (Strongly disagree) to 7 (Strongly agree). Items 2, 4, 7, 9, 11, and 17 are reverse scored. Item scores are summed to produce a total CFI score and two subscale scores (Alternatives and Control). A higher score indicates more cognitive flexibility.</t>
        </is>
      </c>
    </row>
    <row r="21" ht="90" customHeight="1" s="17">
      <c r="A21" s="35" t="inlineStr">
        <is>
          <t>Interpretation bands</t>
        </is>
      </c>
      <c r="B21" s="27" t="inlineStr">
        <is>
          <t>Clinically significant inflexibility: Below approximately the 25th percentile - Cognitive inflexibility of clinical significance; a target for CBT.
Average: Around the 50th percentile - More cognitive flexibility than 50 per cent of the normative sample.
High flexibility: Upper percentiles - Higher likelihood of adaptive responses to difficult life experiences.</t>
        </is>
      </c>
    </row>
    <row r="22" ht="30" customHeight="1" s="17">
      <c r="A22" s="35" t="inlineStr">
        <is>
          <t>Cut-offs</t>
        </is>
      </c>
      <c r="B22" s="27" t="inlineStr">
        <is>
          <t>No formal diagnostic cut-off. Percentiles below approximately 25 represent clinically significant cognitive inflexibility, which would be important to target within cognitive behavioural therapy.</t>
        </is>
      </c>
    </row>
    <row r="23" ht="30" customHeight="1" s="17">
      <c r="A23" s="35" t="inlineStr">
        <is>
          <t>Normative data</t>
        </is>
      </c>
      <c r="B23" s="27" t="inlineStr">
        <is>
          <t>Sample of 196 university students (Dennis &amp; Vander Wal, 2010): CFI total M = 102.98 (SD = 13.91); Alternatives M = 67.59 (SD = 9.41); Control M = 35.35 (SD = 7.02).</t>
        </is>
      </c>
    </row>
    <row r="24" ht="90" customHeight="1" s="17">
      <c r="A24" s="35" t="inlineStr">
        <is>
          <t>Psychometric properties</t>
        </is>
      </c>
      <c r="B24" s="27" t="inlineStr">
        <is>
          <t>Test-retest reliability: total r = .81; Alternatives r = .75; Control r = .77 (Dennis &amp; Vander Wal, 2010). Internal consistency: Alternatives alpha = .91; Control alpha = .86; total alpha = .90. Convergent construct validity established through associations with other measures of cognitive flexibility, depressive symptomatology and coping (Dennis &amp; Vander Wal, 2010). The CFI differentiates a clinical group (anxiety and depression) from a non-clinical sample, with the clinical group scoring significantly lower on total and subscale scores (Johnco, Wuthrich, &amp; Rapee, 2014).</t>
        </is>
      </c>
    </row>
    <row r="25" ht="45" customHeight="1" s="17">
      <c r="A25" s="35" t="inlineStr">
        <is>
          <t>Developer citation</t>
        </is>
      </c>
      <c r="B25" s="27" t="inlineStr">
        <is>
          <t>Dennis, J. P., &amp; Vander Wal, J. S. (2010). The cognitive flexibility inventory: Instrument development and estimates of reliability and validity. Cognitive Therapy and Research, 34(3), 241-253. https://doi.org/10.1007/s10608-009-9276-4</t>
        </is>
      </c>
    </row>
    <row r="26" ht="30" customHeight="1" s="17">
      <c r="A26" s="35" t="inlineStr">
        <is>
          <t>Copyright and licensing</t>
        </is>
      </c>
      <c r="B26" s="27" t="inlineStr">
        <is>
          <t>© 2026 Copyright – NovoPsych – All rights reserved. Sample report footer: Copyright 2022 NovoPsych Pty Ltd.</t>
        </is>
      </c>
    </row>
    <row r="27" ht="15" customHeight="1" s="17">
      <c r="A27" s="35" t="inlineStr">
        <is>
          <t>Source URL</t>
        </is>
      </c>
      <c r="B27" s="27" t="inlineStr">
        <is>
          <t>https://novopsych.com/assessments/formulation/cognitive-flexibility-inventory-cfi/</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good at "sizing up" situations.</t>
        </is>
      </c>
      <c r="C30" s="27" t="inlineStr">
        <is>
          <t>Alternatives</t>
        </is>
      </c>
      <c r="D30" s="27" t="inlineStr">
        <is>
          <t>FALSE</t>
        </is>
      </c>
      <c r="E30" s="27" t="inlineStr">
        <is>
          <t>FALSE</t>
        </is>
      </c>
      <c r="F30" s="27" t="n"/>
    </row>
    <row r="31" ht="15" customHeight="1" s="17">
      <c r="A31" s="28" t="n">
        <v>2</v>
      </c>
      <c r="B31" s="27" t="inlineStr">
        <is>
          <t>I have a hard time making decisions when faced with difficult situations.</t>
        </is>
      </c>
      <c r="C31" s="27" t="inlineStr">
        <is>
          <t>Control</t>
        </is>
      </c>
      <c r="D31" s="34" t="inlineStr">
        <is>
          <t>TRUE</t>
        </is>
      </c>
      <c r="E31" s="27" t="inlineStr">
        <is>
          <t>FALSE</t>
        </is>
      </c>
      <c r="F31" s="27" t="n"/>
    </row>
    <row r="32" ht="15" customHeight="1" s="17">
      <c r="A32" s="28" t="n">
        <v>3</v>
      </c>
      <c r="B32" s="27" t="inlineStr">
        <is>
          <t>I consider multiple options before making a decision.</t>
        </is>
      </c>
      <c r="C32" s="27" t="inlineStr">
        <is>
          <t>Alternatives</t>
        </is>
      </c>
      <c r="D32" s="27" t="inlineStr">
        <is>
          <t>FALSE</t>
        </is>
      </c>
      <c r="E32" s="27" t="inlineStr">
        <is>
          <t>FALSE</t>
        </is>
      </c>
      <c r="F32" s="27" t="n"/>
    </row>
    <row r="33" ht="15" customHeight="1" s="17">
      <c r="A33" s="28" t="n">
        <v>4</v>
      </c>
      <c r="B33" s="27" t="inlineStr">
        <is>
          <t>When I encounter difficult situations, I feel like I am losing control.</t>
        </is>
      </c>
      <c r="C33" s="27" t="inlineStr">
        <is>
          <t>Control</t>
        </is>
      </c>
      <c r="D33" s="34" t="inlineStr">
        <is>
          <t>TRUE</t>
        </is>
      </c>
      <c r="E33" s="27" t="inlineStr">
        <is>
          <t>FALSE</t>
        </is>
      </c>
      <c r="F33" s="27" t="n"/>
    </row>
    <row r="34" ht="15" customHeight="1" s="17">
      <c r="A34" s="28" t="n">
        <v>5</v>
      </c>
      <c r="B34" s="27" t="inlineStr">
        <is>
          <t>I like to look at difficult situations from many different angles.</t>
        </is>
      </c>
      <c r="C34" s="27" t="inlineStr">
        <is>
          <t>Alternatives</t>
        </is>
      </c>
      <c r="D34" s="27" t="inlineStr">
        <is>
          <t>FALSE</t>
        </is>
      </c>
      <c r="E34" s="27" t="inlineStr">
        <is>
          <t>FALSE</t>
        </is>
      </c>
      <c r="F34" s="27" t="n"/>
    </row>
    <row r="35" ht="15" customHeight="1" s="17">
      <c r="A35" s="28" t="n">
        <v>6</v>
      </c>
      <c r="B35" s="27" t="inlineStr">
        <is>
          <t>I seek additional information not immediately available before attributing causes to behaviour.</t>
        </is>
      </c>
      <c r="C35" s="27" t="inlineStr">
        <is>
          <t>Alternatives</t>
        </is>
      </c>
      <c r="D35" s="27" t="inlineStr">
        <is>
          <t>FALSE</t>
        </is>
      </c>
      <c r="E35" s="27" t="inlineStr">
        <is>
          <t>FALSE</t>
        </is>
      </c>
      <c r="F35" s="27" t="n"/>
    </row>
    <row r="36" ht="23.85" customHeight="1" s="17">
      <c r="A36" s="28" t="n">
        <v>7</v>
      </c>
      <c r="B36" s="27" t="inlineStr">
        <is>
          <t>When encountering difficult situations, I become so stressed that I can not think of a way to resolve the situation.</t>
        </is>
      </c>
      <c r="C36" s="27" t="inlineStr">
        <is>
          <t>Control</t>
        </is>
      </c>
      <c r="D36" s="34" t="inlineStr">
        <is>
          <t>TRUE</t>
        </is>
      </c>
      <c r="E36" s="27" t="inlineStr">
        <is>
          <t>FALSE</t>
        </is>
      </c>
      <c r="F36" s="27" t="n"/>
    </row>
    <row r="37" ht="15" customHeight="1" s="17">
      <c r="A37" s="28" t="n">
        <v>8</v>
      </c>
      <c r="B37" s="27" t="inlineStr">
        <is>
          <t>I try to think about things from another person's point of view.</t>
        </is>
      </c>
      <c r="C37" s="27" t="inlineStr">
        <is>
          <t>Alternatives</t>
        </is>
      </c>
      <c r="D37" s="27" t="inlineStr">
        <is>
          <t>FALSE</t>
        </is>
      </c>
      <c r="E37" s="27" t="inlineStr">
        <is>
          <t>FALSE</t>
        </is>
      </c>
      <c r="F37" s="27" t="n"/>
    </row>
    <row r="38" ht="15" customHeight="1" s="17">
      <c r="A38" s="28" t="n">
        <v>9</v>
      </c>
      <c r="B38" s="27" t="inlineStr">
        <is>
          <t>I find it troublesome that there are so many different ways to deal with difficult situations.</t>
        </is>
      </c>
      <c r="C38" s="27" t="inlineStr">
        <is>
          <t>Control</t>
        </is>
      </c>
      <c r="D38" s="34" t="inlineStr">
        <is>
          <t>TRUE</t>
        </is>
      </c>
      <c r="E38" s="27" t="inlineStr">
        <is>
          <t>FALSE</t>
        </is>
      </c>
      <c r="F38" s="27" t="n"/>
    </row>
    <row r="39" ht="15" customHeight="1" s="17">
      <c r="A39" s="28" t="n">
        <v>10</v>
      </c>
      <c r="B39" s="27" t="inlineStr">
        <is>
          <t>I am good at putting myself in others' shoes.</t>
        </is>
      </c>
      <c r="C39" s="27" t="inlineStr">
        <is>
          <t>Alternatives</t>
        </is>
      </c>
      <c r="D39" s="27" t="inlineStr">
        <is>
          <t>FALSE</t>
        </is>
      </c>
      <c r="E39" s="27" t="inlineStr">
        <is>
          <t>FALSE</t>
        </is>
      </c>
      <c r="F39" s="27" t="n"/>
    </row>
    <row r="40" ht="15" customHeight="1" s="17">
      <c r="A40" s="28" t="n">
        <v>11</v>
      </c>
      <c r="B40" s="27" t="inlineStr">
        <is>
          <t>When I encounter difficult situations, I just don't know what to do.</t>
        </is>
      </c>
      <c r="C40" s="27" t="inlineStr">
        <is>
          <t>Control</t>
        </is>
      </c>
      <c r="D40" s="34" t="inlineStr">
        <is>
          <t>TRUE</t>
        </is>
      </c>
      <c r="E40" s="27" t="inlineStr">
        <is>
          <t>FALSE</t>
        </is>
      </c>
      <c r="F40" s="27" t="n"/>
    </row>
    <row r="41" ht="15" customHeight="1" s="17">
      <c r="A41" s="28" t="n">
        <v>12</v>
      </c>
      <c r="B41" s="27" t="inlineStr">
        <is>
          <t>It is important to look at difficult situations from many angles.</t>
        </is>
      </c>
      <c r="C41" s="27" t="inlineStr">
        <is>
          <t>Alternatives</t>
        </is>
      </c>
      <c r="D41" s="27" t="inlineStr">
        <is>
          <t>FALSE</t>
        </is>
      </c>
      <c r="E41" s="27" t="inlineStr">
        <is>
          <t>FALSE</t>
        </is>
      </c>
      <c r="F41" s="27" t="n"/>
    </row>
    <row r="42" ht="15" customHeight="1" s="17">
      <c r="A42" s="28" t="n">
        <v>13</v>
      </c>
      <c r="B42" s="27" t="inlineStr">
        <is>
          <t>When in difficult situations, I consider multiple options before deciding how to behave.</t>
        </is>
      </c>
      <c r="C42" s="27" t="inlineStr">
        <is>
          <t>Alternatives</t>
        </is>
      </c>
      <c r="D42" s="27" t="inlineStr">
        <is>
          <t>FALSE</t>
        </is>
      </c>
      <c r="E42" s="27" t="inlineStr">
        <is>
          <t>FALSE</t>
        </is>
      </c>
      <c r="F42" s="27" t="n"/>
    </row>
    <row r="43" ht="15" customHeight="1" s="17">
      <c r="A43" s="28" t="n">
        <v>14</v>
      </c>
      <c r="B43" s="27" t="inlineStr">
        <is>
          <t>I often look at a situation from different view-points.</t>
        </is>
      </c>
      <c r="C43" s="27" t="inlineStr">
        <is>
          <t>Alternatives</t>
        </is>
      </c>
      <c r="D43" s="27" t="inlineStr">
        <is>
          <t>FALSE</t>
        </is>
      </c>
      <c r="E43" s="27" t="inlineStr">
        <is>
          <t>FALSE</t>
        </is>
      </c>
      <c r="F43" s="27" t="n"/>
    </row>
    <row r="44" ht="15" customHeight="1" s="17">
      <c r="A44" s="28" t="n">
        <v>15</v>
      </c>
      <c r="B44" s="27" t="inlineStr">
        <is>
          <t>I am capable of overcoming the difficulties in life that I face.</t>
        </is>
      </c>
      <c r="C44" s="27" t="inlineStr">
        <is>
          <t>Control</t>
        </is>
      </c>
      <c r="D44" s="27" t="inlineStr">
        <is>
          <t>FALSE</t>
        </is>
      </c>
      <c r="E44" s="27" t="inlineStr">
        <is>
          <t>FALSE</t>
        </is>
      </c>
      <c r="F44" s="27" t="n"/>
    </row>
    <row r="45" ht="15" customHeight="1" s="17">
      <c r="A45" s="28" t="n">
        <v>16</v>
      </c>
      <c r="B45" s="27" t="inlineStr">
        <is>
          <t>I consider all the available facts and information when attributing causes to behaviour.</t>
        </is>
      </c>
      <c r="C45" s="27" t="inlineStr">
        <is>
          <t>Alternatives</t>
        </is>
      </c>
      <c r="D45" s="27" t="inlineStr">
        <is>
          <t>FALSE</t>
        </is>
      </c>
      <c r="E45" s="27" t="inlineStr">
        <is>
          <t>FALSE</t>
        </is>
      </c>
      <c r="F45" s="27" t="n"/>
    </row>
    <row r="46" ht="15" customHeight="1" s="17">
      <c r="A46" s="28" t="n">
        <v>17</v>
      </c>
      <c r="B46" s="27" t="inlineStr">
        <is>
          <t>I feel I have no power to change things in difficult situations.</t>
        </is>
      </c>
      <c r="C46" s="27" t="inlineStr">
        <is>
          <t>Control</t>
        </is>
      </c>
      <c r="D46" s="34" t="inlineStr">
        <is>
          <t>TRUE</t>
        </is>
      </c>
      <c r="E46" s="27" t="inlineStr">
        <is>
          <t>FALSE</t>
        </is>
      </c>
      <c r="F46" s="27" t="n"/>
    </row>
    <row r="47" ht="15" customHeight="1" s="17">
      <c r="A47" s="28" t="n">
        <v>18</v>
      </c>
      <c r="B47" s="27" t="inlineStr">
        <is>
          <t>When I encounter difficult situations, I stop and try to think of several ways to resolve it.</t>
        </is>
      </c>
      <c r="C47" s="27" t="inlineStr">
        <is>
          <t>Alternatives</t>
        </is>
      </c>
      <c r="D47" s="27" t="inlineStr">
        <is>
          <t>FALSE</t>
        </is>
      </c>
      <c r="E47" s="27" t="inlineStr">
        <is>
          <t>FALSE</t>
        </is>
      </c>
      <c r="F47" s="27" t="n"/>
    </row>
    <row r="48" ht="15" customHeight="1" s="17">
      <c r="A48" s="28" t="n">
        <v>19</v>
      </c>
      <c r="B48" s="27" t="inlineStr">
        <is>
          <t>I can think of more than one way to resolve a difficult situation I'm confronted with.</t>
        </is>
      </c>
      <c r="C48" s="27" t="inlineStr">
        <is>
          <t>Alternatives</t>
        </is>
      </c>
      <c r="D48" s="27" t="inlineStr">
        <is>
          <t>FALSE</t>
        </is>
      </c>
      <c r="E48" s="27" t="inlineStr">
        <is>
          <t>FALSE</t>
        </is>
      </c>
      <c r="F48" s="27" t="n"/>
    </row>
    <row r="49" ht="15" customHeight="1" s="17">
      <c r="A49" s="28" t="n">
        <v>20</v>
      </c>
      <c r="B49" s="27" t="inlineStr">
        <is>
          <t>I consider multiple options before responding to difficult situations.</t>
        </is>
      </c>
      <c r="C49" s="27" t="inlineStr">
        <is>
          <t>Alternatives</t>
        </is>
      </c>
      <c r="D49" s="27" t="inlineStr">
        <is>
          <t>FALSE</t>
        </is>
      </c>
      <c r="E49" s="27" t="inlineStr">
        <is>
          <t>FALSE</t>
        </is>
      </c>
      <c r="F49" s="27" t="n"/>
    </row>
  </sheetData>
  <autoFilter ref="A29:F4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4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Adult ADHD Self-Report Scale (ASRS v1.1)</t>
        </is>
      </c>
    </row>
    <row r="2"/>
    <row r="3" ht="15" customHeight="1" s="17">
      <c r="A3" s="35" t="inlineStr">
        <is>
          <t>Instrument</t>
        </is>
      </c>
      <c r="B3" s="27" t="inlineStr">
        <is>
          <t>Adult ADHD Self-Report Scale (ASRS v1.1)</t>
        </is>
      </c>
    </row>
    <row r="4" ht="15" customHeight="1" s="17">
      <c r="A4" s="35" t="inlineStr">
        <is>
          <t>Code</t>
        </is>
      </c>
      <c r="B4" s="27" t="inlineStr">
        <is>
          <t>ASRS</t>
        </is>
      </c>
    </row>
    <row r="5" ht="15" customHeight="1" s="17">
      <c r="A5" s="35" t="inlineStr">
        <is>
          <t>Domain</t>
        </is>
      </c>
      <c r="B5" s="27" t="inlineStr">
        <is>
          <t>1. Executive functioning and ADHD</t>
        </is>
      </c>
    </row>
    <row r="6" ht="15" customHeight="1" s="17">
      <c r="A6" s="35" t="inlineStr">
        <is>
          <t>Availability</t>
        </is>
      </c>
      <c r="B6" s="27" t="inlineStr">
        <is>
          <t>Free / open access</t>
        </is>
      </c>
    </row>
    <row r="7" ht="30" customHeight="1" s="17">
      <c r="A7" s="35" t="inlineStr">
        <is>
          <t>Construct</t>
        </is>
      </c>
      <c r="B7" s="27" t="inlineStr">
        <is>
          <t>Attention Deficit Hyperactivity Disorder (ADHD) symptoms in adults, spanning inattentiveness and hyperactivity/impulsivity (including motor and verbal components)</t>
        </is>
      </c>
    </row>
    <row r="8" ht="15" customHeight="1" s="17">
      <c r="A8" s="35" t="inlineStr">
        <is>
          <t>Respondent</t>
        </is>
      </c>
      <c r="B8" s="27" t="inlineStr">
        <is>
          <t>self-report</t>
        </is>
      </c>
    </row>
    <row r="9" ht="15" customHeight="1" s="17">
      <c r="A9" s="35" t="inlineStr">
        <is>
          <t>Age range</t>
        </is>
      </c>
      <c r="B9" s="27" t="inlineStr">
        <is>
          <t>18+</t>
        </is>
      </c>
    </row>
    <row r="10" ht="15" customHeight="1" s="17">
      <c r="A10" s="35" t="inlineStr">
        <is>
          <t>Items in instrument</t>
        </is>
      </c>
      <c r="B10" s="27" t="inlineStr">
        <is>
          <t>18</t>
        </is>
      </c>
    </row>
    <row r="11" ht="15" customHeight="1" s="17">
      <c r="A11" s="35" t="inlineStr">
        <is>
          <t>Items reproduced here</t>
        </is>
      </c>
      <c r="B11" s="27" t="inlineStr">
        <is>
          <t>18</t>
        </is>
      </c>
    </row>
    <row r="12" ht="15" customHeight="1" s="17">
      <c r="A12" s="35" t="inlineStr">
        <is>
          <t>Administration time</t>
        </is>
      </c>
      <c r="B12" s="27" t="inlineStr">
        <is>
          <t>3 minutes</t>
        </is>
      </c>
    </row>
    <row r="13" ht="30" customHeight="1" s="17">
      <c r="A13" s="35" t="inlineStr">
        <is>
          <t>Cost and access</t>
        </is>
      </c>
      <c r="B13" s="27" t="inlineStr">
        <is>
          <t>Public domain WHO instrument. Blank form hosted free on NovoPsych; scoring and reports need a NovoPsych account.</t>
        </is>
      </c>
    </row>
    <row r="14" ht="30" customHeight="1" s="17">
      <c r="A14" s="35" t="inlineStr">
        <is>
          <t>Coaching application</t>
        </is>
      </c>
      <c r="B14" s="27" t="inlineStr">
        <is>
          <t>Screening and severity measure for current adult ADHD symptoms; pairs with the WURS-25 for childhood history. Not a diagnostic instrument on its own.</t>
        </is>
      </c>
    </row>
    <row r="15" ht="75" customHeight="1" s="17">
      <c r="A15" s="35" t="inlineStr">
        <is>
          <t>Purpose</t>
        </is>
      </c>
      <c r="B15" s="27" t="inlineStr">
        <is>
          <t>The ASRS v1.1 is an 18-item self-report questionnaire designed to assess ADHD symptoms in adults. It is based on the World Health Organization Composite International Diagnostic Interview (2001) and is worded to be consistent with both DSM-IV and DSM-5-TR criteria as they manifest in adults. It is intended as a screening tool used alongside clinical interview and other measures (e.g. the WURS for childhood history) rather than as a standalone diagnostic instrument.</t>
        </is>
      </c>
    </row>
    <row r="16" ht="45" customHeight="1" s="17">
      <c r="A16" s="35" t="inlineStr">
        <is>
          <t>Instructions / prompt</t>
        </is>
      </c>
      <c r="B16" s="27" t="inlineStr">
        <is>
          <t>Please answer the questions below, rating yourself on each of the criteria shown. As you answer each question, select the box that best describes how you have felt and conducted yourself over the past 6 months.</t>
        </is>
      </c>
    </row>
    <row r="17" ht="15" customHeight="1" s="17">
      <c r="A17" s="35" t="inlineStr">
        <is>
          <t>Response options</t>
        </is>
      </c>
      <c r="B17" s="27" t="inlineStr">
        <is>
          <t>Never = 0 | Rarely = 1 | Sometimes = 2 | Often = 3 | Very Often = 4</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As of the 2024 update, each of the 18 items is scored on a 5-point Likert scale (Never=0, Rarely=1, Sometimes=2, Often=3, Very Often=4). Part A = sum of items 1-6 (range 0-24). Part B = sum of items 7-18 (range 0-48). Total = sum of all 18 items (range 0-72). The original dichotomous (0/1) scoring is still used separately to calculate the 'percent of symptoms endorsed' for subtype/subscale reporting.</t>
        </is>
      </c>
    </row>
    <row r="21" ht="169.5" customHeight="1" s="17">
      <c r="A21" s="35" t="inlineStr">
        <is>
          <t>Interpretation bands</t>
        </is>
      </c>
      <c r="B21" s="27" t="inlineStr">
        <is>
          <t>Part A - Low: 0-9 - Not consistent with an ADHD diagnosis.
Part A - Mild to Moderate: 10-13 - Below the screening threshold; some symptoms reported.
Part A - High: 14-17 - Clinically significant. Symptom profile consistent with a DSM-5-TR ADHD diagnosis in adults.
Part A - Very High: 18-24 - Clinically significant; symptoms endorsed at high frequency.
Part B - Low: 0-19 - Low additional symptom burden.
Part B - Mild to Moderate: 20-26 - Below the clinically significant range.
Part B - High: 27-32 - Clinically significant.
Part B - Very High: 33-48 - Clinically significant; high additional symptom burden.
Total - Low: 0-30 - Low overall symptom burden.
Total - Mild to Moderate: 31-39 - Below the range typical of adults with ADHD.
Total - High: 40-49 - At or above the 79th percentile; in most cases someone with ADHD will score in this range or above.
Total - Very High: 50-72 - Very high overall symptom burden.</t>
        </is>
      </c>
    </row>
    <row r="22" ht="75" customHeight="1" s="17">
      <c r="A22" s="35" t="inlineStr">
        <is>
          <t>Cut-offs</t>
        </is>
      </c>
      <c r="B22" s="27" t="inlineStr">
        <is>
          <t>Part A &gt;= 14 constitutes a positive screen and a symptom profile consistent with a DSM-5-TR adult ADHD diagnosis (Adler et al., 2006; Kessler et al., 2007; Harvard Medical School, 2024). Part B &gt;= 27 is clinically significant. A total score at or above the 79th percentile (raw &gt;= 40) typically indicates ADHD. Kessler et al. (2007) four-level Part A classification: 0-9, 10-13, 14-17, 18-24 (AUC = 0.90). Always use alongside clinical interview.</t>
        </is>
      </c>
    </row>
    <row r="23" ht="75" customHeight="1" s="17">
      <c r="A23" s="35" t="inlineStr">
        <is>
          <t>Normative data</t>
        </is>
      </c>
      <c r="B23" s="27" t="inlineStr">
        <is>
          <t>Adler et al. (2018/2019) sample of 22,397 adults, 465 (2.1%) self-reporting a physician ADHD diagnosis. NovoPsych recalculated summed means/SDs (Likert scoring), accounting for inter-item correlations (r = 0.32 within parts, r = 0.74 between Parts A and B). ADHD group (n = 465): Part A M = 16.71 (SD 5.07); Part B M = 32.74 (SD 9.16); Total M = 49.45 (SD 13.36). Community sample (n = 21,932): Part A M = 10.88 (SD 3.76); Part B M = 21.60 (SD 6.69); Total M = 32.48 (SD 9.80).</t>
        </is>
      </c>
    </row>
    <row r="24" ht="120" customHeight="1" s="17">
      <c r="A24" s="35" t="inlineStr">
        <is>
          <t>Psychometric properties</t>
        </is>
      </c>
      <c r="B24" s="27" t="inlineStr">
        <is>
          <t>Internal consistency: Cronbach's alpha = .88 in adult ADHD patients (Adler et al., 2006); .952 for the full scale (Brevik et al., 2020). Concurrent validity with clinician-rated symptoms r = .84 (Adler et al., 2006). Diagnostic accuracy: AUC = .904 for the 18-item scale and .903 for the six Part A items (Brevik et al., 2020); AUC = .90 for the Kessler et al. (2007) four-level Part A classification. Under the previous scoring convention, sensitivity 1.0, specificity .71, PPP .52, NPP 1.0 (Hines, King &amp; Curry, 2012). Combined with the WURS-25, AUC = .964. Factor structure: CFA in over 1,000 adults identified three factors - Inattentiveness, Motor Hyperactivity/Impulsivity, Verbal Hyperactivity/Impulsivity (Stanton et al., 2018).</t>
        </is>
      </c>
    </row>
    <row r="25" ht="60" customHeight="1" s="17">
      <c r="A25" s="35" t="inlineStr">
        <is>
          <t>Developer citation</t>
        </is>
      </c>
      <c r="B25" s="27" t="inlineStr">
        <is>
          <t>Kessler, R. C., Adler, L., Ames, M., Demler, O., Faraone, S., Hiripi, E., Howes, M. J., Jin, R., Secnik, K., Spencer, T., Ustun, T. B., &amp; Walters, E. E. (2005). The World Health Organization Adult ADHD Self-Report Scale (ASRS): a short screening scale for use in the general population. Psychological Medicine, 35(2), 245-256. https://doi.org/10.1017/s0033291704002892</t>
        </is>
      </c>
    </row>
    <row r="26" ht="30" customHeight="1" s="17">
      <c r="A26" s="35" t="inlineStr">
        <is>
          <t>Copyright and licensing</t>
        </is>
      </c>
      <c r="B26" s="27" t="inlineStr">
        <is>
          <t>Public-domain WHO instrument (ASRS v1.1 Symptom Checklist). Freely reproducible for clinical and research use; NovoPsych hosts the blank form as a public PDF.</t>
        </is>
      </c>
    </row>
    <row r="27" ht="15" customHeight="1" s="17">
      <c r="A27" s="35" t="inlineStr">
        <is>
          <t>Source URL</t>
        </is>
      </c>
      <c r="B27" s="27" t="inlineStr">
        <is>
          <t>https://novopsych.com/assessments/diagnosis/adult-adhd-self-report-scale-asrs/</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How often do you have trouble wrapping up the final details of a project, once the challenging parts have been done?</t>
        </is>
      </c>
      <c r="C30" s="27" t="inlineStr">
        <is>
          <t>Part A | Inattentiveness</t>
        </is>
      </c>
      <c r="D30" s="27" t="inlineStr">
        <is>
          <t>FALSE</t>
        </is>
      </c>
      <c r="E30" s="27" t="inlineStr">
        <is>
          <t>FALSE</t>
        </is>
      </c>
      <c r="F30" s="27" t="n"/>
    </row>
    <row r="31" ht="23.85" customHeight="1" s="17">
      <c r="A31" s="28" t="n">
        <v>2</v>
      </c>
      <c r="B31" s="27" t="inlineStr">
        <is>
          <t>How often do you have difficulty getting things in order when you have to do a task that requires organisation?</t>
        </is>
      </c>
      <c r="C31" s="27" t="inlineStr">
        <is>
          <t>Part A | Inattentiveness</t>
        </is>
      </c>
      <c r="D31" s="27" t="inlineStr">
        <is>
          <t>FALSE</t>
        </is>
      </c>
      <c r="E31" s="27" t="inlineStr">
        <is>
          <t>FALSE</t>
        </is>
      </c>
      <c r="F31" s="27" t="n"/>
    </row>
    <row r="32" ht="15" customHeight="1" s="17">
      <c r="A32" s="28" t="n">
        <v>3</v>
      </c>
      <c r="B32" s="27" t="inlineStr">
        <is>
          <t>How often do you have problems remembering appointments or obligations?</t>
        </is>
      </c>
      <c r="C32" s="27" t="inlineStr">
        <is>
          <t>Part A | Inattentiveness</t>
        </is>
      </c>
      <c r="D32" s="27" t="inlineStr">
        <is>
          <t>FALSE</t>
        </is>
      </c>
      <c r="E32" s="27" t="inlineStr">
        <is>
          <t>FALSE</t>
        </is>
      </c>
      <c r="F32" s="27" t="n"/>
    </row>
    <row r="33" ht="23.85" customHeight="1" s="17">
      <c r="A33" s="28" t="n">
        <v>4</v>
      </c>
      <c r="B33" s="27" t="inlineStr">
        <is>
          <t>When you have a task that requires a lot of thought, how often do you avoid or delay getting started?</t>
        </is>
      </c>
      <c r="C33" s="27" t="inlineStr">
        <is>
          <t>Part A | Inattentiveness</t>
        </is>
      </c>
      <c r="D33" s="27" t="inlineStr">
        <is>
          <t>FALSE</t>
        </is>
      </c>
      <c r="E33" s="27" t="inlineStr">
        <is>
          <t>FALSE</t>
        </is>
      </c>
      <c r="F33" s="27" t="n"/>
    </row>
    <row r="34" ht="23.85" customHeight="1" s="17">
      <c r="A34" s="28" t="n">
        <v>5</v>
      </c>
      <c r="B34" s="27" t="inlineStr">
        <is>
          <t>How often do you fidget or squirm with your hands or feet when you have to sit down for a long time?</t>
        </is>
      </c>
      <c r="C34" s="27" t="inlineStr">
        <is>
          <t>Part A | Hyperactivity/Impulsivity - Motor</t>
        </is>
      </c>
      <c r="D34" s="27" t="inlineStr">
        <is>
          <t>FALSE</t>
        </is>
      </c>
      <c r="E34" s="27" t="inlineStr">
        <is>
          <t>FALSE</t>
        </is>
      </c>
      <c r="F34" s="27" t="n"/>
    </row>
    <row r="35" ht="15" customHeight="1" s="17">
      <c r="A35" s="28" t="n">
        <v>6</v>
      </c>
      <c r="B35" s="27" t="inlineStr">
        <is>
          <t>How often do you feel overly active and compelled to do things, like you were driven by a motor?</t>
        </is>
      </c>
      <c r="C35" s="27" t="inlineStr">
        <is>
          <t>Part A | Hyperactivity/Impulsivity - Motor</t>
        </is>
      </c>
      <c r="D35" s="27" t="inlineStr">
        <is>
          <t>FALSE</t>
        </is>
      </c>
      <c r="E35" s="27" t="inlineStr">
        <is>
          <t>FALSE</t>
        </is>
      </c>
      <c r="F35" s="27" t="n"/>
    </row>
    <row r="36" ht="15" customHeight="1" s="17">
      <c r="A36" s="28" t="n">
        <v>7</v>
      </c>
      <c r="B36" s="27" t="inlineStr">
        <is>
          <t>How often do you make careless mistakes when you have to work on a boring or difficult project?</t>
        </is>
      </c>
      <c r="C36" s="27" t="inlineStr">
        <is>
          <t>Part B | Inattentiveness</t>
        </is>
      </c>
      <c r="D36" s="27" t="inlineStr">
        <is>
          <t>FALSE</t>
        </is>
      </c>
      <c r="E36" s="27" t="inlineStr">
        <is>
          <t>FALSE</t>
        </is>
      </c>
      <c r="F36" s="27" t="n"/>
    </row>
    <row r="37" ht="23.85" customHeight="1" s="17">
      <c r="A37" s="28" t="n">
        <v>8</v>
      </c>
      <c r="B37" s="27" t="inlineStr">
        <is>
          <t>How often do you have difficulty keeping your attention when you are doing boring or repetitive work?</t>
        </is>
      </c>
      <c r="C37" s="27" t="inlineStr">
        <is>
          <t>Part B | Inattentiveness</t>
        </is>
      </c>
      <c r="D37" s="27" t="inlineStr">
        <is>
          <t>FALSE</t>
        </is>
      </c>
      <c r="E37" s="27" t="inlineStr">
        <is>
          <t>FALSE</t>
        </is>
      </c>
      <c r="F37" s="27" t="n"/>
    </row>
    <row r="38" ht="23.85" customHeight="1" s="17">
      <c r="A38" s="28" t="n">
        <v>9</v>
      </c>
      <c r="B38" s="27" t="inlineStr">
        <is>
          <t>How often do you have difficulty concentrating on what people say to you, even when they are speaking to you directly?</t>
        </is>
      </c>
      <c r="C38" s="27" t="inlineStr">
        <is>
          <t>Part B | Inattentiveness</t>
        </is>
      </c>
      <c r="D38" s="27" t="inlineStr">
        <is>
          <t>FALSE</t>
        </is>
      </c>
      <c r="E38" s="27" t="inlineStr">
        <is>
          <t>FALSE</t>
        </is>
      </c>
      <c r="F38" s="27" t="n"/>
    </row>
    <row r="39" ht="15" customHeight="1" s="17">
      <c r="A39" s="28" t="n">
        <v>10</v>
      </c>
      <c r="B39" s="27" t="inlineStr">
        <is>
          <t>How often do you misplace or have difficulty finding things at home or at work?</t>
        </is>
      </c>
      <c r="C39" s="27" t="inlineStr">
        <is>
          <t>Part B | Inattentiveness</t>
        </is>
      </c>
      <c r="D39" s="27" t="inlineStr">
        <is>
          <t>FALSE</t>
        </is>
      </c>
      <c r="E39" s="27" t="inlineStr">
        <is>
          <t>FALSE</t>
        </is>
      </c>
      <c r="F39" s="27" t="n"/>
    </row>
    <row r="40" ht="15" customHeight="1" s="17">
      <c r="A40" s="28" t="n">
        <v>11</v>
      </c>
      <c r="B40" s="27" t="inlineStr">
        <is>
          <t>How often are you distracted by activity or noise around you?</t>
        </is>
      </c>
      <c r="C40" s="27" t="inlineStr">
        <is>
          <t>Part B | Inattentiveness</t>
        </is>
      </c>
      <c r="D40" s="27" t="inlineStr">
        <is>
          <t>FALSE</t>
        </is>
      </c>
      <c r="E40" s="27" t="inlineStr">
        <is>
          <t>FALSE</t>
        </is>
      </c>
      <c r="F40" s="27" t="n"/>
    </row>
    <row r="41" ht="23.85" customHeight="1" s="17">
      <c r="A41" s="28" t="n">
        <v>12</v>
      </c>
      <c r="B41" s="27" t="inlineStr">
        <is>
          <t>How often do you leave your seat in meetings or other situations in which you are expected to remain seated?</t>
        </is>
      </c>
      <c r="C41" s="27" t="inlineStr">
        <is>
          <t>Part B | Hyperactivity/Impulsivity - Motor</t>
        </is>
      </c>
      <c r="D41" s="27" t="inlineStr">
        <is>
          <t>FALSE</t>
        </is>
      </c>
      <c r="E41" s="27" t="inlineStr">
        <is>
          <t>FALSE</t>
        </is>
      </c>
      <c r="F41" s="27" t="n"/>
    </row>
    <row r="42" ht="15" customHeight="1" s="17">
      <c r="A42" s="28" t="n">
        <v>13</v>
      </c>
      <c r="B42" s="27" t="inlineStr">
        <is>
          <t>How often do you feel restless or fidgety?</t>
        </is>
      </c>
      <c r="C42" s="27" t="inlineStr">
        <is>
          <t>Part B | Hyperactivity/Impulsivity - Motor</t>
        </is>
      </c>
      <c r="D42" s="27" t="inlineStr">
        <is>
          <t>FALSE</t>
        </is>
      </c>
      <c r="E42" s="27" t="inlineStr">
        <is>
          <t>FALSE</t>
        </is>
      </c>
      <c r="F42" s="27" t="n"/>
    </row>
    <row r="43" ht="15" customHeight="1" s="17">
      <c r="A43" s="28" t="n">
        <v>14</v>
      </c>
      <c r="B43" s="27" t="inlineStr">
        <is>
          <t>How often do you have difficulty unwinding and relaxing when you have time to yourself?</t>
        </is>
      </c>
      <c r="C43" s="27" t="inlineStr">
        <is>
          <t>Part B | Hyperactivity/Impulsivity - Motor</t>
        </is>
      </c>
      <c r="D43" s="27" t="inlineStr">
        <is>
          <t>FALSE</t>
        </is>
      </c>
      <c r="E43" s="27" t="inlineStr">
        <is>
          <t>FALSE</t>
        </is>
      </c>
      <c r="F43" s="27" t="n"/>
    </row>
    <row r="44" ht="15" customHeight="1" s="17">
      <c r="A44" s="28" t="n">
        <v>15</v>
      </c>
      <c r="B44" s="27" t="inlineStr">
        <is>
          <t>How often do you find yourself talking too much when you are in social situations?</t>
        </is>
      </c>
      <c r="C44" s="27" t="inlineStr">
        <is>
          <t>Part B | Hyperactivity/Impulsivity - Verbal</t>
        </is>
      </c>
      <c r="D44" s="27" t="inlineStr">
        <is>
          <t>FALSE</t>
        </is>
      </c>
      <c r="E44" s="27" t="inlineStr">
        <is>
          <t>FALSE</t>
        </is>
      </c>
      <c r="F44" s="27" t="n"/>
    </row>
    <row r="45" ht="23.85" customHeight="1" s="17">
      <c r="A45" s="28" t="n">
        <v>16</v>
      </c>
      <c r="B45" s="27" t="inlineStr">
        <is>
          <t>When you're in a conversation, how often do you find yourself finishing the sentences of the people you are talking to, before they can finish them themselves?</t>
        </is>
      </c>
      <c r="C45" s="27" t="inlineStr">
        <is>
          <t>Part B | Hyperactivity/Impulsivity - Verbal</t>
        </is>
      </c>
      <c r="D45" s="27" t="inlineStr">
        <is>
          <t>FALSE</t>
        </is>
      </c>
      <c r="E45" s="27" t="inlineStr">
        <is>
          <t>FALSE</t>
        </is>
      </c>
      <c r="F45" s="27" t="n"/>
    </row>
    <row r="46" ht="15" customHeight="1" s="17">
      <c r="A46" s="28" t="n">
        <v>17</v>
      </c>
      <c r="B46" s="27" t="inlineStr">
        <is>
          <t>How often do you have difficulty waiting your turn in situations when turn taking is required?</t>
        </is>
      </c>
      <c r="C46" s="27" t="inlineStr">
        <is>
          <t>Part B | Hyperactivity/Impulsivity - Verbal</t>
        </is>
      </c>
      <c r="D46" s="27" t="inlineStr">
        <is>
          <t>FALSE</t>
        </is>
      </c>
      <c r="E46" s="27" t="inlineStr">
        <is>
          <t>FALSE</t>
        </is>
      </c>
      <c r="F46" s="27" t="n"/>
    </row>
    <row r="47" ht="15" customHeight="1" s="17">
      <c r="A47" s="28" t="n">
        <v>18</v>
      </c>
      <c r="B47" s="27" t="inlineStr">
        <is>
          <t>How often do you interrupt others when they are busy?</t>
        </is>
      </c>
      <c r="C47" s="27" t="inlineStr">
        <is>
          <t>Part B | Hyperactivity/Impulsivity - Verbal</t>
        </is>
      </c>
      <c r="D47" s="27" t="inlineStr">
        <is>
          <t>FALSE</t>
        </is>
      </c>
      <c r="E47" s="27" t="inlineStr">
        <is>
          <t>FALSE</t>
        </is>
      </c>
      <c r="F47" s="27" t="n"/>
    </row>
  </sheetData>
  <autoFilter ref="A29:F4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F37"/>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Knowledge Scale</t>
        </is>
      </c>
    </row>
    <row r="2"/>
    <row r="3" ht="15" customHeight="1" s="17">
      <c r="A3" s="35" t="inlineStr">
        <is>
          <t>Instrument</t>
        </is>
      </c>
      <c r="B3" s="27" t="inlineStr">
        <is>
          <t>Strengths Knowledge Scale</t>
        </is>
      </c>
    </row>
    <row r="4" ht="15" customHeight="1" s="17">
      <c r="A4" s="35" t="inlineStr">
        <is>
          <t>Code</t>
        </is>
      </c>
      <c r="B4" s="27" t="inlineStr">
        <is>
          <t>SKS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self-knowledge of one's own personal strengths, i.e. the extent to which a person is aware of what they do best.</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8</t>
        </is>
      </c>
    </row>
    <row r="11" ht="15" customHeight="1" s="17">
      <c r="A11" s="35" t="inlineStr">
        <is>
          <t>Items reproduced here</t>
        </is>
      </c>
      <c r="B11" s="27" t="inlineStr">
        <is>
          <t>8</t>
        </is>
      </c>
    </row>
    <row r="12" ht="15" customHeight="1" s="17">
      <c r="A12" s="35" t="inlineStr">
        <is>
          <t>Administration time</t>
        </is>
      </c>
      <c r="B12" s="27" t="inlineStr">
        <is>
          <t>2-3 minutes</t>
        </is>
      </c>
    </row>
    <row r="13" ht="135" customHeight="1" s="17">
      <c r="A13" s="35" t="inlineStr">
        <is>
          <t>Cost and access</t>
        </is>
      </c>
      <c r="B13" s="27" t="inlineStr">
        <is>
          <t>No licence fee or permission is required to use the SKS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A practitioner can administer it as a simple paper or online 7-point rating form; no test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20" customHeight="1" s="17">
      <c r="A14" s="35" t="inlineStr">
        <is>
          <t>Coaching application</t>
        </is>
      </c>
      <c r="B14" s="27" t="inlineStr">
        <is>
          <t>The SKS is useful early in strengths coaching to establish a baseline of how well a client can already name and recognise their own best qualities, which shapes whether initial sessions should focus on strength identification (e.g. via VIA or Realise2) before moving to strengths use. Low scores flag clients who may benefit from structured strength-spotting exercises, feedback from others, or a formal strengths assessment before goal-setting. Its main limit is that it only captures self-perceived awareness, not accuracy of that self-knowledge, so it should be paired with an objective strengths measure or 360-degree feedback rather than used alone to confirm what a client's real strengths are.</t>
        </is>
      </c>
    </row>
    <row r="15" ht="60" customHeight="1" s="17">
      <c r="A15" s="35" t="inlineStr">
        <is>
          <t>Purpose</t>
        </is>
      </c>
      <c r="B15" s="27" t="inlineStr">
        <is>
          <t>The SKS was developed by Govindji and Linley (2007) to measure the degree to which individuals know their own strengths, as a companion construct to strengths use. It was designed for use in positive psychology and coaching research examining how strengths knowledge and strengths use relate to well-being outcomes (subjective well-being, psychological well-being and vitality).</t>
        </is>
      </c>
    </row>
    <row r="16" ht="15" customHeight="1" s="17">
      <c r="A16" s="35" t="inlineStr">
        <is>
          <t>Instructions / prompt</t>
        </is>
      </c>
      <c r="B16" s="27" t="inlineStr">
        <is>
          <t>Not stated on source</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8 item ratings. Higher total scores indicate greater self-perceived knowledge of one's own strengths. No published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SKS. It is used as a continuous research/coaching variable, typically compared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high: Cronbach's alpha = .90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knowledge, strengths use,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SKS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Other people see the strengths that I have</t>
        </is>
      </c>
      <c r="C30" s="27" t="inlineStr">
        <is>
          <t>Strengths Knowledge (total scale)</t>
        </is>
      </c>
      <c r="D30" s="27" t="inlineStr">
        <is>
          <t>FALSE</t>
        </is>
      </c>
      <c r="E30" s="27" t="inlineStr">
        <is>
          <t>FALSE</t>
        </is>
      </c>
      <c r="F30" s="27" t="inlineStr">
        <is>
          <t>Verbatim as reproduced in Frontiers in Psychology (2023), Table 5, citing Govindji &amp; Linley (2007).</t>
        </is>
      </c>
    </row>
    <row r="31" ht="79.84999999999999" customHeight="1" s="17">
      <c r="A31" s="28" t="n">
        <v>2</v>
      </c>
      <c r="B31" s="27" t="inlineStr">
        <is>
          <t>I have to think hard about what my strengths are</t>
        </is>
      </c>
      <c r="C31" s="27" t="inlineStr">
        <is>
          <t>Strengths Knowledge (total scale)</t>
        </is>
      </c>
      <c r="D31" s="27" t="inlineStr">
        <is>
          <t>FALSE</t>
        </is>
      </c>
      <c r="E31" s="27" t="inlineStr">
        <is>
          <t>FALSE</t>
        </is>
      </c>
      <c r="F31" s="27" t="inlineStr">
        <is>
          <t>Verbatim as reproduced in Frontiers in Psychology (2023), Table 5. One secondary aggregator source (db.arabpsychology.com) describes this item as reverse-scored, but the Frontiers (2023) reproduction directly consulted for this record states no reverse-scored items are present for either scale, so reverse scoring for this item could not be independently confirmed and is left unmarked pending sight of the original 2007 scoring key.</t>
        </is>
      </c>
    </row>
    <row r="32" ht="15" customHeight="1" s="17">
      <c r="A32" s="28" t="n">
        <v>3</v>
      </c>
      <c r="B32" s="27" t="inlineStr">
        <is>
          <t>I know what I do best</t>
        </is>
      </c>
      <c r="C32" s="27" t="inlineStr">
        <is>
          <t>Strengths Knowledge (total scale)</t>
        </is>
      </c>
      <c r="D32" s="27" t="inlineStr">
        <is>
          <t>FALSE</t>
        </is>
      </c>
      <c r="E32" s="27" t="inlineStr">
        <is>
          <t>FALSE</t>
        </is>
      </c>
      <c r="F32" s="27" t="inlineStr">
        <is>
          <t>Verbatim as reproduced in Frontiers in Psychology (2023), Table 5.</t>
        </is>
      </c>
    </row>
    <row r="33" ht="15" customHeight="1" s="17">
      <c r="A33" s="28" t="n">
        <v>4</v>
      </c>
      <c r="B33" s="27" t="inlineStr">
        <is>
          <t>I am aware of my strengths</t>
        </is>
      </c>
      <c r="C33" s="27" t="inlineStr">
        <is>
          <t>Strengths Knowledge (total scale)</t>
        </is>
      </c>
      <c r="D33" s="27" t="inlineStr">
        <is>
          <t>FALSE</t>
        </is>
      </c>
      <c r="E33" s="27" t="inlineStr">
        <is>
          <t>FALSE</t>
        </is>
      </c>
      <c r="F33" s="27" t="inlineStr">
        <is>
          <t>Verbatim as reproduced in Frontiers in Psychology (2023), Table 5.</t>
        </is>
      </c>
    </row>
    <row r="34" ht="15" customHeight="1" s="17">
      <c r="A34" s="28" t="n">
        <v>5</v>
      </c>
      <c r="B34" s="27" t="inlineStr">
        <is>
          <t>I know the things I am good at doing</t>
        </is>
      </c>
      <c r="C34" s="27" t="inlineStr">
        <is>
          <t>Strengths Knowledge (total scale)</t>
        </is>
      </c>
      <c r="D34" s="27" t="inlineStr">
        <is>
          <t>FALSE</t>
        </is>
      </c>
      <c r="E34" s="27" t="inlineStr">
        <is>
          <t>FALSE</t>
        </is>
      </c>
      <c r="F34" s="27" t="inlineStr">
        <is>
          <t>Verbatim as reproduced in Frontiers in Psychology (2023), Table 5.</t>
        </is>
      </c>
    </row>
    <row r="35" ht="15" customHeight="1" s="17">
      <c r="A35" s="28" t="n">
        <v>6</v>
      </c>
      <c r="B35" s="27" t="inlineStr">
        <is>
          <t>I know my strengths well</t>
        </is>
      </c>
      <c r="C35" s="27" t="inlineStr">
        <is>
          <t>Strengths Knowledge (total scale)</t>
        </is>
      </c>
      <c r="D35" s="27" t="inlineStr">
        <is>
          <t>FALSE</t>
        </is>
      </c>
      <c r="E35" s="27" t="inlineStr">
        <is>
          <t>FALSE</t>
        </is>
      </c>
      <c r="F35" s="27" t="inlineStr">
        <is>
          <t>Verbatim as reproduced in Frontiers in Psychology (2023), Table 5.</t>
        </is>
      </c>
    </row>
    <row r="36" ht="15" customHeight="1" s="17">
      <c r="A36" s="28" t="n">
        <v>7</v>
      </c>
      <c r="B36" s="27" t="inlineStr">
        <is>
          <t>I know the things I do best</t>
        </is>
      </c>
      <c r="C36" s="27" t="inlineStr">
        <is>
          <t>Strengths Knowledge (total scale)</t>
        </is>
      </c>
      <c r="D36" s="27" t="inlineStr">
        <is>
          <t>FALSE</t>
        </is>
      </c>
      <c r="E36" s="27" t="inlineStr">
        <is>
          <t>FALSE</t>
        </is>
      </c>
      <c r="F36" s="27" t="inlineStr">
        <is>
          <t>Verbatim as reproduced in Frontiers in Psychology (2023), Table 5.</t>
        </is>
      </c>
    </row>
    <row r="37" ht="15" customHeight="1" s="17">
      <c r="A37" s="28" t="n">
        <v>8</v>
      </c>
      <c r="B37" s="27" t="inlineStr">
        <is>
          <t>I know when I am at my best</t>
        </is>
      </c>
      <c r="C37" s="27" t="inlineStr">
        <is>
          <t>Strengths Knowledge (total scale)</t>
        </is>
      </c>
      <c r="D37" s="27" t="inlineStr">
        <is>
          <t>FALSE</t>
        </is>
      </c>
      <c r="E37" s="27" t="inlineStr">
        <is>
          <t>FALSE</t>
        </is>
      </c>
      <c r="F37" s="27" t="inlineStr">
        <is>
          <t>Verbatim as reproduced in Frontiers in Psychology (2023), Table 5.</t>
        </is>
      </c>
    </row>
  </sheetData>
  <autoFilter ref="A29:F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F4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Use Scale</t>
        </is>
      </c>
    </row>
    <row r="2"/>
    <row r="3" ht="15" customHeight="1" s="17">
      <c r="A3" s="35" t="inlineStr">
        <is>
          <t>Instrument</t>
        </is>
      </c>
      <c r="B3" s="27" t="inlineStr">
        <is>
          <t>Strengths Use Scale</t>
        </is>
      </c>
    </row>
    <row r="4" ht="15" customHeight="1" s="17">
      <c r="A4" s="35" t="inlineStr">
        <is>
          <t>Code</t>
        </is>
      </c>
      <c r="B4" s="27" t="inlineStr">
        <is>
          <t>SUS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deployment of one's own personal strengths in daily life, i.e. the extent to which a person actively uses what they do best across situations.</t>
        </is>
      </c>
    </row>
    <row r="8" ht="15" customHeight="1" s="17">
      <c r="A8" s="35" t="inlineStr">
        <is>
          <t>Respondent</t>
        </is>
      </c>
      <c r="B8" s="27" t="inlineStr">
        <is>
          <t>Self-report</t>
        </is>
      </c>
    </row>
    <row r="9" ht="30" customHeight="1" s="17">
      <c r="A9" s="35" t="inlineStr">
        <is>
          <t>Age range</t>
        </is>
      </c>
      <c r="B9" s="27" t="inlineStr">
        <is>
          <t>Adults and university students; used in adolescent samples (secondary school age) in later validations, but the original 2007 development sample was working adults</t>
        </is>
      </c>
    </row>
    <row r="10" ht="15" customHeight="1" s="17">
      <c r="A10" s="35" t="inlineStr">
        <is>
          <t>Items in instrument</t>
        </is>
      </c>
      <c r="B10" s="27" t="inlineStr">
        <is>
          <t>14</t>
        </is>
      </c>
    </row>
    <row r="11" ht="15" customHeight="1" s="17">
      <c r="A11" s="35" t="inlineStr">
        <is>
          <t>Items reproduced here</t>
        </is>
      </c>
      <c r="B11" s="27" t="inlineStr">
        <is>
          <t>14</t>
        </is>
      </c>
    </row>
    <row r="12" ht="15" customHeight="1" s="17">
      <c r="A12" s="35" t="inlineStr">
        <is>
          <t>Administration time</t>
        </is>
      </c>
      <c r="B12" s="27" t="inlineStr">
        <is>
          <t>3-5 minutes</t>
        </is>
      </c>
    </row>
    <row r="13" ht="135" customHeight="1" s="17">
      <c r="A13" s="35" t="inlineStr">
        <is>
          <t>Cost and access</t>
        </is>
      </c>
      <c r="B13" s="27" t="inlineStr">
        <is>
          <t>No licence fee or permission is required to use the SUS in coaching practice. The scale was published in full within the original journal article (Govindji &amp; Linley, 2007, International Coaching Psychology Review, a BPS Special Group in Coaching Psychology publication) and has since been reproduced verbatim in several open-access peer-reviewed validation papers (e.g. the Frontiers in Psychology 2023 Spanish validation used as the source for this record). It can be administered as a simple paper or online 7-point rating form; no manual, scoring software or purchase is needed. The original 2007 article itself is not reliably available as an open PDF (International Coaching Psychology Review back issues are not consistently hosted online), so items here were transcribed from an open-access reproduction rather than the original publication.</t>
        </is>
      </c>
    </row>
    <row r="14" ht="105" customHeight="1" s="17">
      <c r="A14" s="35" t="inlineStr">
        <is>
          <t>Coaching application</t>
        </is>
      </c>
      <c r="B14" s="27" t="inlineStr">
        <is>
          <t>The SUS is well suited to tracking a client's progress in strengths coaching over time, since it directly measures how often and how naturally strengths are being deployed at work, study and in life generally, which is the practical outcome most strengths coaching aims to move. It works well as a short pre/post measure around a block of coaching focused on applying identified strengths to goals. Its limit is that it assumes the client already knows what their strengths are (it should usually follow, not replace, a strengths-identification step such as VIA or the SKS) and it captures frequency and ease of use rather than the fit or appropriateness of how strengths are being applied.</t>
        </is>
      </c>
    </row>
    <row r="15" ht="60" customHeight="1" s="17">
      <c r="A15" s="35" t="inlineStr">
        <is>
          <t>Purpose</t>
        </is>
      </c>
      <c r="B15" s="27" t="inlineStr">
        <is>
          <t>The SUS was developed by Govindji and Linley (2007) to measure the degree to which individuals use their strengths in everyday life, for use in positive psychology and coaching research examining how strengths use relates to self-concordance and to well-being outcomes (subjective well-being, psychological well-being and vitality).</t>
        </is>
      </c>
    </row>
    <row r="16" ht="30" customHeight="1" s="17">
      <c r="A16" s="35" t="inlineStr">
        <is>
          <t>Instructions / prompt</t>
        </is>
      </c>
      <c r="B16" s="27" t="inlineStr">
        <is>
          <t>The following 14 questions ask about your strengths, that is, the things that you can do well or do best.</t>
        </is>
      </c>
    </row>
    <row r="17" ht="15" customHeight="1" s="17">
      <c r="A17" s="35" t="inlineStr">
        <is>
          <t>Response options</t>
        </is>
      </c>
      <c r="B17" s="27" t="inlineStr">
        <is>
          <t>Strongly disagree = 1 | 2 = 2 | 3 = 3 | 4 = 4 | 5 = 5 | 6 = 6 |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14 item ratings. Higher total scores indicate greater self-reported use of personal strengths in daily life. No reverse-scored items were identified for this scale in the sources reviewed.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SUS. It is used as a continuous research/coaching variable, typically tracked against a client's own baseline over time rather than against population norms.</t>
        </is>
      </c>
    </row>
    <row r="23" ht="60" customHeight="1" s="17">
      <c r="A23" s="35" t="inlineStr">
        <is>
          <t>Normative data</t>
        </is>
      </c>
      <c r="B23" s="27" t="inlineStr">
        <is>
          <t>No formal normative tables were located. Reported sample means come from individual studies using varied populations (e.g. UK working adults in the original 2007 study; Chinese adolescents in Duan, Li &amp; Mu, 2018, Journal of Happiness Studies; Spanish-speaking adults in the 2023 Frontiers validation) and are not interchangeable as norms.</t>
        </is>
      </c>
    </row>
    <row r="24" ht="105" customHeight="1" s="17">
      <c r="A24" s="35" t="inlineStr">
        <is>
          <t>Psychometric properties</t>
        </is>
      </c>
      <c r="B24" s="27" t="inlineStr">
        <is>
          <t>Internal consistency has repeatedly been reported as very high: Cronbach's alpha = .95 for the English-language items in a 2023 Spanish validation study (Frontiers in Psychology, fpsyg.2023.1086510), which also confirmed a single-factor structure. The original Govindji &amp; Linley (2007) paper is reported in secondary sources to have found good reliability and significant positive correlations between strengths use, self-concordance, subjective well-being, psychological well-being and vitality, but the exact original alpha coefficient could not be independently confirmed from a source directly accessed for this record.</t>
        </is>
      </c>
    </row>
    <row r="25" ht="45" customHeight="1" s="17">
      <c r="A25" s="35" t="inlineStr">
        <is>
          <t>Developer citation</t>
        </is>
      </c>
      <c r="B25" s="27" t="inlineStr">
        <is>
          <t>Govindji, R., &amp; Linley, P. A. (2007). Strengths use, self-concordance and well-being: Implications for strengths coaching and coaching psychologists. International Coaching Psychology Review, 2(2), 143-153.</t>
        </is>
      </c>
    </row>
    <row r="26" ht="75" customHeight="1" s="17">
      <c r="A26" s="35" t="inlineStr">
        <is>
          <t>Copyright and licensing</t>
        </is>
      </c>
      <c r="B26" s="27" t="inlineStr">
        <is>
          <t>No explicit copyright statement, licence, or restriction on use was found for the SUS in any source reviewed. It is a short academic research scale that has been freely reprinted in full within multiple peer-reviewed, open-access journal articles without any stated permission requirement; practitioners typically cite Govindji and Linley (2007) as the source when using it. This should not be taken as a formal confirmation of public-domain status, only as the licensing position actually found.</t>
        </is>
      </c>
    </row>
    <row r="27" ht="15" customHeight="1" s="17">
      <c r="A27" s="35" t="inlineStr">
        <is>
          <t>Source URL</t>
        </is>
      </c>
      <c r="B27" s="27" t="inlineStr">
        <is>
          <t>https://www.frontiersin.org/journals/psychology/articles/10.3389/fpsyg.2023.1086510/full</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regularly able to do what I do best.</t>
        </is>
      </c>
      <c r="C30" s="27" t="inlineStr">
        <is>
          <t>Strengths Use (total scale)</t>
        </is>
      </c>
      <c r="D30" s="27" t="inlineStr">
        <is>
          <t>FALSE</t>
        </is>
      </c>
      <c r="E30" s="27" t="inlineStr">
        <is>
          <t>FALSE</t>
        </is>
      </c>
      <c r="F30" s="27" t="inlineStr">
        <is>
          <t>Verbatim as reproduced in Frontiers in Psychology (2023), Table 2, citing Govindji &amp; Linley (2007).</t>
        </is>
      </c>
    </row>
    <row r="31" ht="15" customHeight="1" s="17">
      <c r="A31" s="28" t="n">
        <v>2</v>
      </c>
      <c r="B31" s="27" t="inlineStr">
        <is>
          <t>I always play to my strengths.</t>
        </is>
      </c>
      <c r="C31" s="27" t="inlineStr">
        <is>
          <t>Strengths Use (total scale)</t>
        </is>
      </c>
      <c r="D31" s="27" t="inlineStr">
        <is>
          <t>FALSE</t>
        </is>
      </c>
      <c r="E31" s="27" t="inlineStr">
        <is>
          <t>FALSE</t>
        </is>
      </c>
      <c r="F31" s="27" t="inlineStr">
        <is>
          <t>Verbatim as reproduced in Frontiers in Psychology (2023), Table 2.</t>
        </is>
      </c>
    </row>
    <row r="32" ht="15" customHeight="1" s="17">
      <c r="A32" s="28" t="n">
        <v>3</v>
      </c>
      <c r="B32" s="27" t="inlineStr">
        <is>
          <t>I always try to use my strengths.</t>
        </is>
      </c>
      <c r="C32" s="27" t="inlineStr">
        <is>
          <t>Strengths Use (total scale)</t>
        </is>
      </c>
      <c r="D32" s="27" t="inlineStr">
        <is>
          <t>FALSE</t>
        </is>
      </c>
      <c r="E32" s="27" t="inlineStr">
        <is>
          <t>FALSE</t>
        </is>
      </c>
      <c r="F32" s="27" t="inlineStr">
        <is>
          <t>Verbatim as reproduced in Frontiers in Psychology (2023), Table 2.</t>
        </is>
      </c>
    </row>
    <row r="33" ht="15" customHeight="1" s="17">
      <c r="A33" s="28" t="n">
        <v>4</v>
      </c>
      <c r="B33" s="27" t="inlineStr">
        <is>
          <t>I achieve what I want by using my strengths.</t>
        </is>
      </c>
      <c r="C33" s="27" t="inlineStr">
        <is>
          <t>Strengths Use (total scale)</t>
        </is>
      </c>
      <c r="D33" s="27" t="inlineStr">
        <is>
          <t>FALSE</t>
        </is>
      </c>
      <c r="E33" s="27" t="inlineStr">
        <is>
          <t>FALSE</t>
        </is>
      </c>
      <c r="F33" s="27" t="inlineStr">
        <is>
          <t>Verbatim as reproduced in Frontiers in Psychology (2023), Table 2.</t>
        </is>
      </c>
    </row>
    <row r="34" ht="15" customHeight="1" s="17">
      <c r="A34" s="28" t="n">
        <v>5</v>
      </c>
      <c r="B34" s="27" t="inlineStr">
        <is>
          <t>I use my strengths every day.</t>
        </is>
      </c>
      <c r="C34" s="27" t="inlineStr">
        <is>
          <t>Strengths Use (total scale)</t>
        </is>
      </c>
      <c r="D34" s="27" t="inlineStr">
        <is>
          <t>FALSE</t>
        </is>
      </c>
      <c r="E34" s="27" t="inlineStr">
        <is>
          <t>FALSE</t>
        </is>
      </c>
      <c r="F34" s="27" t="inlineStr">
        <is>
          <t>Verbatim as reproduced in Frontiers in Psychology (2023), Table 2.</t>
        </is>
      </c>
    </row>
    <row r="35" ht="15" customHeight="1" s="17">
      <c r="A35" s="28" t="n">
        <v>6</v>
      </c>
      <c r="B35" s="27" t="inlineStr">
        <is>
          <t>I use my strengths to get what I want out of life.</t>
        </is>
      </c>
      <c r="C35" s="27" t="inlineStr">
        <is>
          <t>Strengths Use (total scale)</t>
        </is>
      </c>
      <c r="D35" s="27" t="inlineStr">
        <is>
          <t>FALSE</t>
        </is>
      </c>
      <c r="E35" s="27" t="inlineStr">
        <is>
          <t>FALSE</t>
        </is>
      </c>
      <c r="F35" s="27" t="inlineStr">
        <is>
          <t>Verbatim as reproduced in Frontiers in Psychology (2023), Table 2.</t>
        </is>
      </c>
    </row>
    <row r="36" ht="15" customHeight="1" s="17">
      <c r="A36" s="28" t="n">
        <v>7</v>
      </c>
      <c r="B36" s="27" t="inlineStr">
        <is>
          <t>My work gives me lots of opportunities to use my strengths.</t>
        </is>
      </c>
      <c r="C36" s="27" t="inlineStr">
        <is>
          <t>Strengths Use (total scale)</t>
        </is>
      </c>
      <c r="D36" s="27" t="inlineStr">
        <is>
          <t>FALSE</t>
        </is>
      </c>
      <c r="E36" s="27" t="inlineStr">
        <is>
          <t>FALSE</t>
        </is>
      </c>
      <c r="F36" s="27" t="inlineStr">
        <is>
          <t>Verbatim as reproduced in Frontiers in Psychology (2023), Table 2.</t>
        </is>
      </c>
    </row>
    <row r="37" ht="15" customHeight="1" s="17">
      <c r="A37" s="28" t="n">
        <v>8</v>
      </c>
      <c r="B37" s="27" t="inlineStr">
        <is>
          <t>My life presents me with lots of different ways to use my strengths.</t>
        </is>
      </c>
      <c r="C37" s="27" t="inlineStr">
        <is>
          <t>Strengths Use (total scale)</t>
        </is>
      </c>
      <c r="D37" s="27" t="inlineStr">
        <is>
          <t>FALSE</t>
        </is>
      </c>
      <c r="E37" s="27" t="inlineStr">
        <is>
          <t>FALSE</t>
        </is>
      </c>
      <c r="F37" s="27" t="inlineStr">
        <is>
          <t>Verbatim as reproduced in Frontiers in Psychology (2023), Table 2.</t>
        </is>
      </c>
    </row>
    <row r="38" ht="15" customHeight="1" s="17">
      <c r="A38" s="28" t="n">
        <v>9</v>
      </c>
      <c r="B38" s="27" t="inlineStr">
        <is>
          <t>Using my strengths comes naturally to me.</t>
        </is>
      </c>
      <c r="C38" s="27" t="inlineStr">
        <is>
          <t>Strengths Use (total scale)</t>
        </is>
      </c>
      <c r="D38" s="27" t="inlineStr">
        <is>
          <t>FALSE</t>
        </is>
      </c>
      <c r="E38" s="27" t="inlineStr">
        <is>
          <t>FALSE</t>
        </is>
      </c>
      <c r="F38" s="27" t="inlineStr">
        <is>
          <t>Verbatim as reproduced in Frontiers in Psychology (2023), Table 2.</t>
        </is>
      </c>
    </row>
    <row r="39" ht="15" customHeight="1" s="17">
      <c r="A39" s="28" t="n">
        <v>10</v>
      </c>
      <c r="B39" s="27" t="inlineStr">
        <is>
          <t>I find it easy to use my strengths in the things I do.</t>
        </is>
      </c>
      <c r="C39" s="27" t="inlineStr">
        <is>
          <t>Strengths Use (total scale)</t>
        </is>
      </c>
      <c r="D39" s="27" t="inlineStr">
        <is>
          <t>FALSE</t>
        </is>
      </c>
      <c r="E39" s="27" t="inlineStr">
        <is>
          <t>FALSE</t>
        </is>
      </c>
      <c r="F39" s="27" t="inlineStr">
        <is>
          <t>Verbatim as reproduced in Frontiers in Psychology (2023), Table 2.</t>
        </is>
      </c>
    </row>
    <row r="40" ht="15" customHeight="1" s="17">
      <c r="A40" s="28" t="n">
        <v>11</v>
      </c>
      <c r="B40" s="27" t="inlineStr">
        <is>
          <t>I am able to use my strengths in lots of different situations.</t>
        </is>
      </c>
      <c r="C40" s="27" t="inlineStr">
        <is>
          <t>Strengths Use (total scale)</t>
        </is>
      </c>
      <c r="D40" s="27" t="inlineStr">
        <is>
          <t>FALSE</t>
        </is>
      </c>
      <c r="E40" s="27" t="inlineStr">
        <is>
          <t>FALSE</t>
        </is>
      </c>
      <c r="F40" s="27" t="inlineStr">
        <is>
          <t>Verbatim as reproduced in Frontiers in Psychology (2023), Table 2.</t>
        </is>
      </c>
    </row>
    <row r="41" ht="15" customHeight="1" s="17">
      <c r="A41" s="28" t="n">
        <v>12</v>
      </c>
      <c r="B41" s="27" t="inlineStr">
        <is>
          <t>Most of my time is spent doing the things that I am good at doing.</t>
        </is>
      </c>
      <c r="C41" s="27" t="inlineStr">
        <is>
          <t>Strengths Use (total scale)</t>
        </is>
      </c>
      <c r="D41" s="27" t="inlineStr">
        <is>
          <t>FALSE</t>
        </is>
      </c>
      <c r="E41" s="27" t="inlineStr">
        <is>
          <t>FALSE</t>
        </is>
      </c>
      <c r="F41" s="27" t="inlineStr">
        <is>
          <t>Verbatim as reproduced in Frontiers in Psychology (2023), Table 2.</t>
        </is>
      </c>
    </row>
    <row r="42" ht="15" customHeight="1" s="17">
      <c r="A42" s="28" t="n">
        <v>13</v>
      </c>
      <c r="B42" s="27" t="inlineStr">
        <is>
          <t>Using my strengths is something I am familiar with.</t>
        </is>
      </c>
      <c r="C42" s="27" t="inlineStr">
        <is>
          <t>Strengths Use (total scale)</t>
        </is>
      </c>
      <c r="D42" s="27" t="inlineStr">
        <is>
          <t>FALSE</t>
        </is>
      </c>
      <c r="E42" s="27" t="inlineStr">
        <is>
          <t>FALSE</t>
        </is>
      </c>
      <c r="F42" s="27" t="inlineStr">
        <is>
          <t>Verbatim as reproduced in Frontiers in Psychology (2023), Table 2.</t>
        </is>
      </c>
    </row>
    <row r="43" ht="15" customHeight="1" s="17">
      <c r="A43" s="28" t="n">
        <v>14</v>
      </c>
      <c r="B43" s="27" t="inlineStr">
        <is>
          <t>I am able to use my strengths in lots of different ways.</t>
        </is>
      </c>
      <c r="C43" s="27" t="inlineStr">
        <is>
          <t>Strengths Use (total scale)</t>
        </is>
      </c>
      <c r="D43" s="27" t="inlineStr">
        <is>
          <t>FALSE</t>
        </is>
      </c>
      <c r="E43" s="27" t="inlineStr">
        <is>
          <t>FALSE</t>
        </is>
      </c>
      <c r="F43" s="27" t="inlineStr">
        <is>
          <t>Verbatim as reproduced in Frontiers in Psychology (2023), Table 2.</t>
        </is>
      </c>
    </row>
  </sheetData>
  <autoFilter ref="A29:F4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4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Strengths Self-Efficacy Scale</t>
        </is>
      </c>
    </row>
    <row r="2"/>
    <row r="3" ht="15" customHeight="1" s="17">
      <c r="A3" s="35" t="inlineStr">
        <is>
          <t>Instrument</t>
        </is>
      </c>
      <c r="B3" s="27" t="inlineStr">
        <is>
          <t>Strengths Self-Efficacy Scale</t>
        </is>
      </c>
    </row>
    <row r="4" ht="15" customHeight="1" s="17">
      <c r="A4" s="35" t="inlineStr">
        <is>
          <t>Code</t>
        </is>
      </c>
      <c r="B4" s="27" t="inlineStr">
        <is>
          <t>SSES</t>
        </is>
      </c>
    </row>
    <row r="5" ht="15" customHeight="1" s="17">
      <c r="A5" s="35" t="inlineStr">
        <is>
          <t>Domain</t>
        </is>
      </c>
      <c r="B5" s="27" t="inlineStr">
        <is>
          <t>2. Strengths knowledge, use and support at work</t>
        </is>
      </c>
    </row>
    <row r="6" ht="15" customHeight="1" s="17">
      <c r="A6" s="35" t="inlineStr">
        <is>
          <t>Availability</t>
        </is>
      </c>
      <c r="B6" s="27" t="inlineStr">
        <is>
          <t>Free / open access</t>
        </is>
      </c>
    </row>
    <row r="7" ht="30" customHeight="1" s="17">
      <c r="A7" s="35" t="inlineStr">
        <is>
          <t>Construct</t>
        </is>
      </c>
      <c r="B7" s="27" t="inlineStr">
        <is>
          <t>Perceived self-efficacy (confidence) in one's ability to identify, apply and use one's personal strengths across everyday situations, at work or study, and in pursuit of goals.</t>
        </is>
      </c>
    </row>
    <row r="8" ht="15" customHeight="1" s="17">
      <c r="A8" s="35" t="inlineStr">
        <is>
          <t>Respondent</t>
        </is>
      </c>
      <c r="B8" s="27" t="inlineStr">
        <is>
          <t>Self-report</t>
        </is>
      </c>
    </row>
    <row r="9" ht="30" customHeight="1" s="17">
      <c r="A9" s="35" t="inlineStr">
        <is>
          <t>Age range</t>
        </is>
      </c>
      <c r="B9" s="27" t="inlineStr">
        <is>
          <t>Adults; validated with U.S. college students and working adults, applicable to late-secondary and university-age coaching clients</t>
        </is>
      </c>
    </row>
    <row r="10" ht="15" customHeight="1" s="17">
      <c r="A10" s="35" t="inlineStr">
        <is>
          <t>Items in instrument</t>
        </is>
      </c>
      <c r="B10" s="27" t="inlineStr">
        <is>
          <t>11</t>
        </is>
      </c>
    </row>
    <row r="11" ht="15" customHeight="1" s="17">
      <c r="A11" s="35" t="inlineStr">
        <is>
          <t>Items reproduced here</t>
        </is>
      </c>
      <c r="B11" s="27" t="inlineStr">
        <is>
          <t>11</t>
        </is>
      </c>
    </row>
    <row r="12" ht="15" customHeight="1" s="17">
      <c r="A12" s="35" t="inlineStr">
        <is>
          <t>Administration time</t>
        </is>
      </c>
      <c r="B12" s="27" t="inlineStr">
        <is>
          <t>3-5 minutes</t>
        </is>
      </c>
    </row>
    <row r="13" ht="90" customHeight="1" s="17">
      <c r="A13" s="35" t="inlineStr">
        <is>
          <t>Cost and access</t>
        </is>
      </c>
      <c r="B13" s="27" t="inlineStr">
        <is>
          <t>The SSES is free to use for practice and research; the full 11-item form (with its instructions, five-signature-strengths preamble, and 10-point response scale) is published as an open-access downloadable PDF by PositivePsychology.com, and the same item wording is corroborated by an independent academic reproduction. No licence fee or formal permission is required, though practitioners should cite Tsai, Chaichanasakul, Zhao, Flores and Lopez (2014) as the scale's developers. The original peer-reviewed validation article is behind a SAGE subscription paywall (Journal of Career Assessment).</t>
        </is>
      </c>
    </row>
    <row r="14" ht="120" customHeight="1" s="17">
      <c r="A14" s="35" t="inlineStr">
        <is>
          <t>Coaching application</t>
        </is>
      </c>
      <c r="B14" s="27" t="inlineStr">
        <is>
          <t>The SSES is a good fit for strengths-based career and academic coaching because it measures confidence in actually applying strengths, which is the practical skill most coaching aims to build, and it can be re-administered after a coaching block to check whether a client's confidence in using their strengths has shifted. Because it asks respondents to first name their own five signature strengths, it works well paired with a prior strengths-identification step (VIA, Realise2, or the SKS/SUS above). Its limit is that it measures perceived confidence rather than actual competent strengths use, so a client can score highly while still using strengths in an unhelpful or overextended way, and low scores need follow-up to distinguish a genuine skills gap from low self-belief alone.</t>
        </is>
      </c>
    </row>
    <row r="15" ht="60" customHeight="1" s="17">
      <c r="A15" s="35" t="inlineStr">
        <is>
          <t>Purpose</t>
        </is>
      </c>
      <c r="B15" s="27" t="inlineStr">
        <is>
          <t>The SSES was developed by Tsai, Chaichanasakul, Zhao, Flores and Lopez (2014) to give career counsellors, educators and researchers a brief measure of an individual's confidence in their ability to build on and apply their personal strengths in daily life, extending Bandura's self-efficacy framework to the strengths domain.</t>
        </is>
      </c>
    </row>
    <row r="16" ht="30" customHeight="1" s="17">
      <c r="A16" s="35" t="inlineStr">
        <is>
          <t>Instructions / prompt</t>
        </is>
      </c>
      <c r="B16" s="27" t="inlineStr">
        <is>
          <t>First, please list your 5 signature strengths below: [space for 5 strengths]. How confident are you in your ability to ....</t>
        </is>
      </c>
    </row>
    <row r="17" ht="30" customHeight="1" s="17">
      <c r="A17" s="35" t="inlineStr">
        <is>
          <t>Response options</t>
        </is>
      </c>
      <c r="B17" s="27" t="inlineStr">
        <is>
          <t>Not confident at all = 1 | 2 = 2 | 3 = 3 | 4 = 4 | Moderately confident = 5 | 6 = 6 | 7 = 7 | 8 = 8 | 9 = 9 | Extremely confident = 10</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the 11 item scores for a total (range 11-110); a weighted/mean score can also be calculated by dividing the total by 11. Higher scores indicate greater confidence in using one's strengths. No items are reverse-scored.</t>
        </is>
      </c>
    </row>
    <row r="21" ht="15" customHeight="1" s="17">
      <c r="A21" s="35" t="inlineStr">
        <is>
          <t>Interpretation bands</t>
        </is>
      </c>
      <c r="B21" s="27" t="inlineStr">
        <is>
          <t>Not stated on source</t>
        </is>
      </c>
    </row>
    <row r="22" ht="45" customHeight="1" s="17">
      <c r="A22" s="35" t="inlineStr">
        <is>
          <t>Cut-offs</t>
        </is>
      </c>
      <c r="B22" s="27" t="inlineStr">
        <is>
          <t>No clinical or normative cut-off scores have been published for the SSES. It is intended as a continuous measure for research and for tracking an individual's own change over time, not for categorical classification.</t>
        </is>
      </c>
    </row>
    <row r="23" ht="45" customHeight="1" s="17">
      <c r="A23" s="35" t="inlineStr">
        <is>
          <t>Normative data</t>
        </is>
      </c>
      <c r="B23" s="27" t="inlineStr">
        <is>
          <t>No published normative tables were located. The original validation samples were U.S. adults: 275 in the exploratory factor analysis phase, 302 in the confirmatory phase, and 36 in a 3-week test-retest reliability subsample.</t>
        </is>
      </c>
    </row>
    <row r="24" ht="105" customHeight="1" s="17">
      <c r="A24" s="35" t="inlineStr">
        <is>
          <t>Psychometric properties</t>
        </is>
      </c>
      <c r="B24" s="27" t="inlineStr">
        <is>
          <t>In the original validation (Tsai et al., 2014), exploratory factor analysis on the first adult sample (n = 275) supported a single general strengths-self-efficacy factor with internal consistency of alpha = .96; confirmatory factor analysis on a second sample (n = 302) confirmed the one-factor structure with alpha = .95. A 3-week test-retest reliability check (n = 36) showed stable scores over time. Validity evidence included moderate positive correlations with self-esteem and life satisfaction, and a weak relationship with social desirability, supporting discriminant validity from mere impression management.</t>
        </is>
      </c>
    </row>
    <row r="25" ht="45" customHeight="1" s="17">
      <c r="A25" s="35" t="inlineStr">
        <is>
          <t>Developer citation</t>
        </is>
      </c>
      <c r="B25" s="27" t="inlineStr">
        <is>
          <t>Tsai, C.-L., Chaichanasakul, A., Zhao, R., Flores, L. Y., &amp; Lopez, S. J. (2014). Development and validation of the Strengths Self-Efficacy Scale (SSES). Journal of Career Assessment, 22(2), 221-232. https://doi.org/10.1177/1069072713493761</t>
        </is>
      </c>
    </row>
    <row r="26" ht="90" customHeight="1" s="17">
      <c r="A26" s="35" t="inlineStr">
        <is>
          <t>Copyright and licensing</t>
        </is>
      </c>
      <c r="B26" s="27" t="inlineStr">
        <is>
          <t>No explicit copyright restriction or paid-licence requirement was found; PositivePsychology.com distributes the full instrument as a free downloadable PDF for practitioner use, and an independent academic reproduction (academia.edu) carries identical item wording, both without a stated permissions requirement beyond citing the original authors. The peer-reviewed source article remains behind a SAGE subscription paywall. This reflects the licensing position actually found, not a confirmed public-domain status.</t>
        </is>
      </c>
    </row>
    <row r="27" ht="15" customHeight="1" s="17">
      <c r="A27" s="35" t="inlineStr">
        <is>
          <t>Source URL</t>
        </is>
      </c>
      <c r="B27" s="27" t="inlineStr">
        <is>
          <t>https://positivepsychology.com/wp-content/uploads/The-Strengths-Self-efficacy-Scale.pdf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35.05" customHeight="1" s="17">
      <c r="A30" s="28" t="n">
        <v>1</v>
      </c>
      <c r="B30" s="27" t="inlineStr">
        <is>
          <t>Use your strengths at work?</t>
        </is>
      </c>
      <c r="C30" s="27" t="inlineStr">
        <is>
          <t>Strengths Self-Efficacy (total scale)</t>
        </is>
      </c>
      <c r="D30" s="27" t="inlineStr">
        <is>
          <t>FALSE</t>
        </is>
      </c>
      <c r="E30" s="27" t="inlineStr">
        <is>
          <t>FALSE</t>
        </is>
      </c>
      <c r="F30" s="27" t="inlineStr">
        <is>
          <t>Verbatim as reproduced in the PositivePsychology.com PDF and corroborated by an independent academia.edu reproduction, both stemmed from "How confident are you in your ability to ...."</t>
        </is>
      </c>
    </row>
    <row r="31" ht="23.85" customHeight="1" s="17">
      <c r="A31" s="28" t="n">
        <v>2</v>
      </c>
      <c r="B31" s="27" t="inlineStr">
        <is>
          <t>Use your strengths without any struggles?</t>
        </is>
      </c>
      <c r="C31" s="27" t="inlineStr">
        <is>
          <t>Strengths Self-Efficacy (total scale)</t>
        </is>
      </c>
      <c r="D31" s="27" t="inlineStr">
        <is>
          <t>FALSE</t>
        </is>
      </c>
      <c r="E31" s="27" t="inlineStr">
        <is>
          <t>FALSE</t>
        </is>
      </c>
      <c r="F31" s="27" t="inlineStr">
        <is>
          <t>Verbatim as reproduced in the PositivePsychology.com PDF, corroborated by academia.edu reproduction.</t>
        </is>
      </c>
    </row>
    <row r="32" ht="23.85" customHeight="1" s="17">
      <c r="A32" s="28" t="n">
        <v>3</v>
      </c>
      <c r="B32" s="27" t="inlineStr">
        <is>
          <t>Find ways to apply your strengths in the things you do everyday?</t>
        </is>
      </c>
      <c r="C32" s="27" t="inlineStr">
        <is>
          <t>Strengths Self-Efficacy (total scale)</t>
        </is>
      </c>
      <c r="D32" s="27" t="inlineStr">
        <is>
          <t>FALSE</t>
        </is>
      </c>
      <c r="E32" s="27" t="inlineStr">
        <is>
          <t>FALSE</t>
        </is>
      </c>
      <c r="F32" s="27" t="inlineStr">
        <is>
          <t>Verbatim as reproduced in the PositivePsychology.com PDF, corroborated by academia.edu reproduction.</t>
        </is>
      </c>
    </row>
    <row r="33" ht="23.85" customHeight="1" s="17">
      <c r="A33" s="28" t="n">
        <v>4</v>
      </c>
      <c r="B33" s="27" t="inlineStr">
        <is>
          <t>Accomplish a lot using your strengths?</t>
        </is>
      </c>
      <c r="C33" s="27" t="inlineStr">
        <is>
          <t>Strengths Self-Efficacy (total scale)</t>
        </is>
      </c>
      <c r="D33" s="27" t="inlineStr">
        <is>
          <t>FALSE</t>
        </is>
      </c>
      <c r="E33" s="27" t="inlineStr">
        <is>
          <t>FALSE</t>
        </is>
      </c>
      <c r="F33" s="27" t="inlineStr">
        <is>
          <t>Verbatim as reproduced in the PositivePsychology.com PDF, corroborated by academia.edu reproduction.</t>
        </is>
      </c>
    </row>
    <row r="34" ht="23.85" customHeight="1" s="17">
      <c r="A34" s="28" t="n">
        <v>5</v>
      </c>
      <c r="B34" s="27" t="inlineStr">
        <is>
          <t>Apply your strengths at work/school?</t>
        </is>
      </c>
      <c r="C34" s="27" t="inlineStr">
        <is>
          <t>Strengths Self-Efficacy (total scale)</t>
        </is>
      </c>
      <c r="D34" s="27" t="inlineStr">
        <is>
          <t>FALSE</t>
        </is>
      </c>
      <c r="E34" s="27" t="inlineStr">
        <is>
          <t>FALSE</t>
        </is>
      </c>
      <c r="F34" s="27" t="inlineStr">
        <is>
          <t>Verbatim as reproduced in the PositivePsychology.com PDF, corroborated by academia.edu reproduction.</t>
        </is>
      </c>
    </row>
    <row r="35" ht="23.85" customHeight="1" s="17">
      <c r="A35" s="28" t="n">
        <v>6</v>
      </c>
      <c r="B35" s="27" t="inlineStr">
        <is>
          <t>Use your strengths in many situations?</t>
        </is>
      </c>
      <c r="C35" s="27" t="inlineStr">
        <is>
          <t>Strengths Self-Efficacy (total scale)</t>
        </is>
      </c>
      <c r="D35" s="27" t="inlineStr">
        <is>
          <t>FALSE</t>
        </is>
      </c>
      <c r="E35" s="27" t="inlineStr">
        <is>
          <t>FALSE</t>
        </is>
      </c>
      <c r="F35" s="27" t="inlineStr">
        <is>
          <t>Verbatim as reproduced in the PositivePsychology.com PDF, corroborated by academia.edu reproduction.</t>
        </is>
      </c>
    </row>
    <row r="36" ht="23.85" customHeight="1" s="17">
      <c r="A36" s="28" t="n">
        <v>7</v>
      </c>
      <c r="B36" s="27" t="inlineStr">
        <is>
          <t>Use your strengths to succeed?</t>
        </is>
      </c>
      <c r="C36" s="27" t="inlineStr">
        <is>
          <t>Strengths Self-Efficacy (total scale)</t>
        </is>
      </c>
      <c r="D36" s="27" t="inlineStr">
        <is>
          <t>FALSE</t>
        </is>
      </c>
      <c r="E36" s="27" t="inlineStr">
        <is>
          <t>FALSE</t>
        </is>
      </c>
      <c r="F36" s="27" t="inlineStr">
        <is>
          <t>Verbatim as reproduced in the PositivePsychology.com PDF, corroborated by academia.edu reproduction.</t>
        </is>
      </c>
    </row>
    <row r="37" ht="23.85" customHeight="1" s="17">
      <c r="A37" s="28" t="n">
        <v>8</v>
      </c>
      <c r="B37" s="27" t="inlineStr">
        <is>
          <t>Find ways to use your strengths at work/school everyday?</t>
        </is>
      </c>
      <c r="C37" s="27" t="inlineStr">
        <is>
          <t>Strengths Self-Efficacy (total scale)</t>
        </is>
      </c>
      <c r="D37" s="27" t="inlineStr">
        <is>
          <t>FALSE</t>
        </is>
      </c>
      <c r="E37" s="27" t="inlineStr">
        <is>
          <t>FALSE</t>
        </is>
      </c>
      <c r="F37" s="27" t="inlineStr">
        <is>
          <t>Verbatim as reproduced in the PositivePsychology.com PDF, corroborated by academia.edu reproduction.</t>
        </is>
      </c>
    </row>
    <row r="38" ht="23.85" customHeight="1" s="17">
      <c r="A38" s="28" t="n">
        <v>9</v>
      </c>
      <c r="B38" s="27" t="inlineStr">
        <is>
          <t>Use your strengths at any time?</t>
        </is>
      </c>
      <c r="C38" s="27" t="inlineStr">
        <is>
          <t>Strengths Self-Efficacy (total scale)</t>
        </is>
      </c>
      <c r="D38" s="27" t="inlineStr">
        <is>
          <t>FALSE</t>
        </is>
      </c>
      <c r="E38" s="27" t="inlineStr">
        <is>
          <t>FALSE</t>
        </is>
      </c>
      <c r="F38" s="27" t="inlineStr">
        <is>
          <t>Verbatim as reproduced in the PositivePsychology.com PDF, corroborated by academia.edu reproduction.</t>
        </is>
      </c>
    </row>
    <row r="39" ht="23.85" customHeight="1" s="17">
      <c r="A39" s="28" t="n">
        <v>10</v>
      </c>
      <c r="B39" s="27" t="inlineStr">
        <is>
          <t>Use your strengths to help you achieve your goals in life?</t>
        </is>
      </c>
      <c r="C39" s="27" t="inlineStr">
        <is>
          <t>Strengths Self-Efficacy (total scale)</t>
        </is>
      </c>
      <c r="D39" s="27" t="inlineStr">
        <is>
          <t>FALSE</t>
        </is>
      </c>
      <c r="E39" s="27" t="inlineStr">
        <is>
          <t>FALSE</t>
        </is>
      </c>
      <c r="F39" s="27" t="inlineStr">
        <is>
          <t>Verbatim as reproduced in the PositivePsychology.com PDF, corroborated by academia.edu reproduction.</t>
        </is>
      </c>
    </row>
    <row r="40" ht="23.85" customHeight="1" s="17">
      <c r="A40" s="28" t="n">
        <v>11</v>
      </c>
      <c r="B40" s="27" t="inlineStr">
        <is>
          <t>Practice your strengths in areas where you excel?</t>
        </is>
      </c>
      <c r="C40" s="27" t="inlineStr">
        <is>
          <t>Strengths Self-Efficacy (total scale)</t>
        </is>
      </c>
      <c r="D40" s="27" t="inlineStr">
        <is>
          <t>FALSE</t>
        </is>
      </c>
      <c r="E40" s="27" t="inlineStr">
        <is>
          <t>FALSE</t>
        </is>
      </c>
      <c r="F40" s="27" t="inlineStr">
        <is>
          <t>Verbatim as reproduced in the PositivePsychology.com PDF, corroborated by academia.edu reproduction.</t>
        </is>
      </c>
    </row>
  </sheetData>
  <autoFilter ref="A29:F4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Core Self-Evaluations Scale</t>
        </is>
      </c>
    </row>
    <row r="2"/>
    <row r="3" ht="15" customHeight="1" s="17">
      <c r="A3" s="35" t="inlineStr">
        <is>
          <t>Instrument</t>
        </is>
      </c>
      <c r="B3" s="27" t="inlineStr">
        <is>
          <t>Core Self-Evaluations Scale</t>
        </is>
      </c>
    </row>
    <row r="4" ht="15" customHeight="1" s="17">
      <c r="A4" s="35" t="inlineStr">
        <is>
          <t>Code</t>
        </is>
      </c>
      <c r="B4" s="27" t="inlineStr">
        <is>
          <t>CSES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Core self-evaluations: a broad, fundamental positive self-appraisal trait combining self-esteem, generalised self-efficacy, internal locus of control and low neuroticism (emotional stability).</t>
        </is>
      </c>
    </row>
    <row r="8" ht="15" customHeight="1" s="17">
      <c r="A8" s="35" t="inlineStr">
        <is>
          <t>Respondent</t>
        </is>
      </c>
      <c r="B8" s="27" t="inlineStr">
        <is>
          <t>Self-report</t>
        </is>
      </c>
    </row>
    <row r="9" ht="30" customHeight="1" s="17">
      <c r="A9" s="35" t="inlineStr">
        <is>
          <t>Age range</t>
        </is>
      </c>
      <c r="B9" s="27" t="inlineStr">
        <is>
          <t>Working adults (Samples 1-2 of the original validation); also validated with university undergraduates (Samples 3-4). Suitable for university-age and early-career coaching clients.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45" customHeight="1" s="17">
      <c r="A13" s="35" t="inlineStr">
        <is>
          <t>Cost and access</t>
        </is>
      </c>
      <c r="B13" s="27" t="inlineStr">
        <is>
          <t>The scale is explicitly stated by the developers to be non-proprietary and free to use without permission. The full 12-item scale, with response format and scoring key, is reproduced in an open PDF of the original SIOP conference/journal materials.</t>
        </is>
      </c>
    </row>
    <row r="14" ht="105" customHeight="1" s="17">
      <c r="A14" s="35" t="inlineStr">
        <is>
          <t>Coaching application</t>
        </is>
      </c>
      <c r="B14" s="27" t="inlineStr">
        <is>
          <t>The CSES is useful as a brief baseline measure of a student or early-career client's general positive self-appraisal (self-esteem, self-efficacy, sense of control) at the start of a coaching relationship, and can flag when low scores on 'control' or 'competence' items point to executive-function or confidence work rather than a skills gap. It is not a strengths-identification tool and should not be presented to a client as diagnostic; its brevity and free licence make it practical for repeat use, but coaches should be alert that several reverse-scored items touch on depressed mood and hopelessness, which needs sensitive framing with any client where wellbeing is a live concern.</t>
        </is>
      </c>
    </row>
    <row r="15" ht="60" customHeight="1" s="17">
      <c r="A15" s="35" t="inlineStr">
        <is>
          <t>Purpose</t>
        </is>
      </c>
      <c r="B15" s="27" t="inlineStr">
        <is>
          <t>Judge, Erez, Bono and Thoresen developed the CSES to provide a direct, parsimonious measure of core self-evaluations, a higher-order trait they argued underlies self-esteem, generalised self-efficacy, locus of control and neuroticism, and which predicts job and life satisfaction and job performance.</t>
        </is>
      </c>
    </row>
    <row r="16" ht="45" customHeight="1" s="17">
      <c r="A16" s="35" t="inlineStr">
        <is>
          <t>Instructions / prompt</t>
        </is>
      </c>
      <c r="B16" s="27" t="inlineStr">
        <is>
          <t>Not retrieved verbatim from a fetched source; the CSES PDF reproduces the item table and response scale but the source fetched did not include a printed respondent-facing preamble/instruction sentence.</t>
        </is>
      </c>
    </row>
    <row r="17" ht="15" customHeight="1" s="17">
      <c r="A17" s="35" t="inlineStr">
        <is>
          <t>Response options</t>
        </is>
      </c>
      <c r="B17" s="27" t="inlineStr">
        <is>
          <t>Strongly Disagree = 1 | Disagree = 2 | Neutral = 3 | Agree = 4 | Strongly Agree = 5</t>
        </is>
      </c>
    </row>
    <row r="18" ht="15" customHeight="1" s="17">
      <c r="A18" s="35" t="inlineStr">
        <is>
          <t>Reverse-scored items</t>
        </is>
      </c>
      <c r="B18" s="27" t="inlineStr">
        <is>
          <t>2, 4, 6, 8, 10, 12</t>
        </is>
      </c>
    </row>
    <row r="19" ht="15" customHeight="1" s="17">
      <c r="A19" s="35" t="inlineStr">
        <is>
          <t>Filler items (not scored)</t>
        </is>
      </c>
      <c r="B19" s="27" t="inlineStr">
        <is>
          <t>None</t>
        </is>
      </c>
    </row>
    <row r="20" ht="30" customHeight="1" s="17">
      <c r="A20" s="35" t="inlineStr">
        <is>
          <t>Total scoring</t>
        </is>
      </c>
      <c r="B20" s="27" t="inlineStr">
        <is>
          <t>Reverse-score items 2, 4, 6, 8, 10 and 12 (6 minus the raw response on the 1-5 scale), then sum or average all 12 items. Higher scores indicate more positive core self-evaluations.</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individual-differences measure for research and comparison, not categorical classification.</t>
        </is>
      </c>
    </row>
    <row r="23" ht="75" customHeight="1" s="17">
      <c r="A23" s="35" t="inlineStr">
        <is>
          <t>Normative data</t>
        </is>
      </c>
      <c r="B23" s="27" t="inlineStr">
        <is>
          <t>No population percentile norm tables were retrieved. Original validation means/SDs by sample were not reproduced in the source fetched; sample sizes and composition were: Sample 1, N = 280, US food-service company employees (roles from truck driver to manager); Sample 2, N = 175, pharmaceutical sales representatives, mean age 42.1; Sample 3, N = 265 (T1) and 205 (T2), undergraduates; Sample 4, N = 126, undergraduates.</t>
        </is>
      </c>
    </row>
    <row r="24" ht="90" customHeight="1" s="17">
      <c r="A24" s="35" t="inlineStr">
        <is>
          <t>Psychometric properties</t>
        </is>
      </c>
      <c r="B24" s="27" t="inlineStr">
        <is>
          <t>Internal consistency (Cronbach's alpha): Sample 1 = .85; Sample 2 = .83; Sample 3 T1 = .85, T2 = .87; Sample 4 (self-report) = .83, (other-report) = .81. Test-retest reliability over one month (Sample 3) = .81. Inter-rater (self/significant-other) agreement ICC = .43. Convergent validity (corrected correlations): self-esteem .80-.92, generalised self-efficacy .78-.90, neuroticism -.67 to -.84, locus of control .41-.62. Criterion validity (corrected correlations): job satisfaction .49-.59, job performance .26-.27, life satisfaction .53-.66. (Judge, Erez, Bono &amp; Thoresen, 2003, Table 4.)</t>
        </is>
      </c>
    </row>
    <row r="25" ht="45" customHeight="1" s="17">
      <c r="A25" s="35" t="inlineStr">
        <is>
          <t>Developer citation</t>
        </is>
      </c>
      <c r="B25" s="27" t="inlineStr">
        <is>
          <t>Judge, T. A., Erez, A., Bono, J. E., &amp; Thoresen, C. J. (2003). The Core Self-Evaluations Scale: Development of a measure. Personnel Psychology, 56(2), 303-331. https://doi.org/10.1111/j.1744-6570.2003.tb00152.x</t>
        </is>
      </c>
    </row>
    <row r="26" ht="30" customHeight="1" s="17">
      <c r="A26" s="35" t="inlineStr">
        <is>
          <t>Copyright and licensing</t>
        </is>
      </c>
      <c r="B26" s="27" t="inlineStr">
        <is>
          <t>"This measure is non-proprietary (free) and may be used without permission," as stated in the source fetched.</t>
        </is>
      </c>
    </row>
    <row r="27" ht="15" customHeight="1" s="17">
      <c r="A27" s="35" t="inlineStr">
        <is>
          <t>Source URL</t>
        </is>
      </c>
      <c r="B27" s="27" t="inlineStr">
        <is>
          <t>http://ionilies.com/SIOP03/Files/CSES.pdf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am confident I get the success I deserve in life.</t>
        </is>
      </c>
      <c r="C30" s="27" t="inlineStr">
        <is>
          <t>Core Self-Evaluations (total scale, unidimensional)</t>
        </is>
      </c>
      <c r="D30" s="27" t="inlineStr">
        <is>
          <t>FALSE</t>
        </is>
      </c>
      <c r="E30" s="27" t="inlineStr">
        <is>
          <t>FALSE</t>
        </is>
      </c>
      <c r="F30" s="27" t="n"/>
    </row>
    <row r="31" ht="23.85" customHeight="1" s="17">
      <c r="A31" s="28" t="n">
        <v>2</v>
      </c>
      <c r="B31" s="27" t="inlineStr">
        <is>
          <t>Sometimes I feel depressed.</t>
        </is>
      </c>
      <c r="C31" s="27" t="inlineStr">
        <is>
          <t>Core Self-Evaluations (total scale, unidimensional)</t>
        </is>
      </c>
      <c r="D31" s="34" t="inlineStr">
        <is>
          <t>TRUE</t>
        </is>
      </c>
      <c r="E31" s="27" t="inlineStr">
        <is>
          <t>FALSE</t>
        </is>
      </c>
      <c r="F31" s="27" t="inlineStr">
        <is>
          <t>Touches on depressed mood; use sensitively with clients where wellbeing is a live concern.</t>
        </is>
      </c>
    </row>
    <row r="32" ht="23.85" customHeight="1" s="17">
      <c r="A32" s="28" t="n">
        <v>3</v>
      </c>
      <c r="B32" s="27" t="inlineStr">
        <is>
          <t>When I try, I generally succeed.</t>
        </is>
      </c>
      <c r="C32" s="27" t="inlineStr">
        <is>
          <t>Core Self-Evaluations (total scale, unidimensional)</t>
        </is>
      </c>
      <c r="D32" s="27" t="inlineStr">
        <is>
          <t>FALSE</t>
        </is>
      </c>
      <c r="E32" s="27" t="inlineStr">
        <is>
          <t>FALSE</t>
        </is>
      </c>
      <c r="F32" s="27" t="n"/>
    </row>
    <row r="33" ht="23.85" customHeight="1" s="17">
      <c r="A33" s="28" t="n">
        <v>4</v>
      </c>
      <c r="B33" s="27" t="inlineStr">
        <is>
          <t>Sometimes when I fail I feel worthless.</t>
        </is>
      </c>
      <c r="C33" s="27" t="inlineStr">
        <is>
          <t>Core Self-Evaluations (total scale, unidimensional)</t>
        </is>
      </c>
      <c r="D33" s="34" t="inlineStr">
        <is>
          <t>TRUE</t>
        </is>
      </c>
      <c r="E33" s="27" t="inlineStr">
        <is>
          <t>FALSE</t>
        </is>
      </c>
      <c r="F33" s="27" t="n"/>
    </row>
    <row r="34" ht="23.85" customHeight="1" s="17">
      <c r="A34" s="28" t="n">
        <v>5</v>
      </c>
      <c r="B34" s="27" t="inlineStr">
        <is>
          <t>I complete tasks successfully.</t>
        </is>
      </c>
      <c r="C34" s="27" t="inlineStr">
        <is>
          <t>Core Self-Evaluations (total scale, unidimensional)</t>
        </is>
      </c>
      <c r="D34" s="27" t="inlineStr">
        <is>
          <t>FALSE</t>
        </is>
      </c>
      <c r="E34" s="27" t="inlineStr">
        <is>
          <t>FALSE</t>
        </is>
      </c>
      <c r="F34" s="27" t="n"/>
    </row>
    <row r="35" ht="23.85" customHeight="1" s="17">
      <c r="A35" s="28" t="n">
        <v>6</v>
      </c>
      <c r="B35" s="27" t="inlineStr">
        <is>
          <t>Sometimes, I do not feel in control of my work.</t>
        </is>
      </c>
      <c r="C35" s="27" t="inlineStr">
        <is>
          <t>Core Self-Evaluations (total scale, unidimensional)</t>
        </is>
      </c>
      <c r="D35" s="34" t="inlineStr">
        <is>
          <t>TRUE</t>
        </is>
      </c>
      <c r="E35" s="27" t="inlineStr">
        <is>
          <t>FALSE</t>
        </is>
      </c>
      <c r="F35" s="27" t="n"/>
    </row>
    <row r="36" ht="23.85" customHeight="1" s="17">
      <c r="A36" s="28" t="n">
        <v>7</v>
      </c>
      <c r="B36" s="27" t="inlineStr">
        <is>
          <t>Overall, I am satisfied with myself.</t>
        </is>
      </c>
      <c r="C36" s="27" t="inlineStr">
        <is>
          <t>Core Self-Evaluations (total scale, unidimensional)</t>
        </is>
      </c>
      <c r="D36" s="27" t="inlineStr">
        <is>
          <t>FALSE</t>
        </is>
      </c>
      <c r="E36" s="27" t="inlineStr">
        <is>
          <t>FALSE</t>
        </is>
      </c>
      <c r="F36" s="27" t="n"/>
    </row>
    <row r="37" ht="23.85" customHeight="1" s="17">
      <c r="A37" s="28" t="n">
        <v>8</v>
      </c>
      <c r="B37" s="27" t="inlineStr">
        <is>
          <t>I am filled with doubts about my competence.</t>
        </is>
      </c>
      <c r="C37" s="27" t="inlineStr">
        <is>
          <t>Core Self-Evaluations (total scale, unidimensional)</t>
        </is>
      </c>
      <c r="D37" s="34" t="inlineStr">
        <is>
          <t>TRUE</t>
        </is>
      </c>
      <c r="E37" s="27" t="inlineStr">
        <is>
          <t>FALSE</t>
        </is>
      </c>
      <c r="F37" s="27" t="n"/>
    </row>
    <row r="38" ht="23.85" customHeight="1" s="17">
      <c r="A38" s="28" t="n">
        <v>9</v>
      </c>
      <c r="B38" s="27" t="inlineStr">
        <is>
          <t>I determine what will happen in my life.</t>
        </is>
      </c>
      <c r="C38" s="27" t="inlineStr">
        <is>
          <t>Core Self-Evaluations (total scale, unidimensional)</t>
        </is>
      </c>
      <c r="D38" s="27" t="inlineStr">
        <is>
          <t>FALSE</t>
        </is>
      </c>
      <c r="E38" s="27" t="inlineStr">
        <is>
          <t>FALSE</t>
        </is>
      </c>
      <c r="F38" s="27" t="n"/>
    </row>
    <row r="39" ht="23.85" customHeight="1" s="17">
      <c r="A39" s="28" t="n">
        <v>10</v>
      </c>
      <c r="B39" s="27" t="inlineStr">
        <is>
          <t>I do not feel in control of my success in my career.</t>
        </is>
      </c>
      <c r="C39" s="27" t="inlineStr">
        <is>
          <t>Core Self-Evaluations (total scale, unidimensional)</t>
        </is>
      </c>
      <c r="D39" s="34" t="inlineStr">
        <is>
          <t>TRUE</t>
        </is>
      </c>
      <c r="E39" s="27" t="inlineStr">
        <is>
          <t>FALSE</t>
        </is>
      </c>
      <c r="F39" s="27" t="n"/>
    </row>
    <row r="40" ht="23.85" customHeight="1" s="17">
      <c r="A40" s="28" t="n">
        <v>11</v>
      </c>
      <c r="B40" s="27" t="inlineStr">
        <is>
          <t>I am capable of coping with most of my problems.</t>
        </is>
      </c>
      <c r="C40" s="27" t="inlineStr">
        <is>
          <t>Core Self-Evaluations (total scale, unidimensional)</t>
        </is>
      </c>
      <c r="D40" s="27" t="inlineStr">
        <is>
          <t>FALSE</t>
        </is>
      </c>
      <c r="E40" s="27" t="inlineStr">
        <is>
          <t>FALSE</t>
        </is>
      </c>
      <c r="F40" s="27" t="n"/>
    </row>
    <row r="41" ht="23.85" customHeight="1" s="17">
      <c r="A41" s="28" t="n">
        <v>12</v>
      </c>
      <c r="B41" s="27" t="inlineStr">
        <is>
          <t>There are times when things look pretty bleak and hopeless to me.</t>
        </is>
      </c>
      <c r="C41" s="27" t="inlineStr">
        <is>
          <t>Core Self-Evaluations (total scale, unidimensional)</t>
        </is>
      </c>
      <c r="D41" s="34" t="inlineStr">
        <is>
          <t>TRUE</t>
        </is>
      </c>
      <c r="E41" s="27" t="inlineStr">
        <is>
          <t>FALSE</t>
        </is>
      </c>
      <c r="F41" s="27" t="inlineStr">
        <is>
          <t>Touches on hopelessness; use sensitively with clients where wellbeing is a live concern.</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Psychological Empowerment Scale</t>
        </is>
      </c>
    </row>
    <row r="2"/>
    <row r="3" ht="15" customHeight="1" s="17">
      <c r="A3" s="35" t="inlineStr">
        <is>
          <t>Instrument</t>
        </is>
      </c>
      <c r="B3" s="27" t="inlineStr">
        <is>
          <t>Psychological Empowerment Scale</t>
        </is>
      </c>
    </row>
    <row r="4" ht="15" customHeight="1" s="17">
      <c r="A4" s="35" t="inlineStr">
        <is>
          <t>Code</t>
        </is>
      </c>
      <c r="B4" s="27" t="inlineStr">
        <is>
          <t>PES</t>
        </is>
      </c>
    </row>
    <row r="5" ht="15" customHeight="1" s="17">
      <c r="A5" s="35" t="inlineStr">
        <is>
          <t>Domain</t>
        </is>
      </c>
      <c r="B5" s="27" t="inlineStr">
        <is>
          <t>3. Adjacent occupational and wellbeing</t>
        </is>
      </c>
    </row>
    <row r="6" ht="15" customHeight="1" s="17">
      <c r="A6" s="35" t="inlineStr">
        <is>
          <t>Availability</t>
        </is>
      </c>
      <c r="B6" s="27" t="inlineStr">
        <is>
          <t>Free / open access</t>
        </is>
      </c>
    </row>
    <row r="7" ht="30" customHeight="1" s="17">
      <c r="A7" s="35" t="inlineStr">
        <is>
          <t>Construct</t>
        </is>
      </c>
      <c r="B7" s="27" t="inlineStr">
        <is>
          <t>Psychological empowerment at work, a motivational construct with four cognitive dimensions: meaning, competence, self-determination and impact.</t>
        </is>
      </c>
    </row>
    <row r="8" ht="15" customHeight="1" s="17">
      <c r="A8" s="35" t="inlineStr">
        <is>
          <t>Respondent</t>
        </is>
      </c>
      <c r="B8" s="27" t="inlineStr">
        <is>
          <t>Self-report, employed adults</t>
        </is>
      </c>
    </row>
    <row r="9" ht="30" customHeight="1" s="17">
      <c r="A9" s="35" t="inlineStr">
        <is>
          <t>Age range</t>
        </is>
      </c>
      <c r="B9" s="27" t="inlineStr">
        <is>
          <t>Working adults; original validation used middle managers and industrial-firm employees. Applicable to early-career and internship-stage clients holding a defined work role.</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3-5 minutes</t>
        </is>
      </c>
    </row>
    <row r="13" ht="30" customHeight="1" s="17">
      <c r="A13" s="35" t="inlineStr">
        <is>
          <t>Cost and access</t>
        </is>
      </c>
      <c r="B13" s="27" t="inlineStr">
        <is>
          <t>The instrument is hosted freely by the developer, Gretchen Spreitzer, on her own university web page for research and practice use, with no stated fee or formal permission process.</t>
        </is>
      </c>
    </row>
    <row r="14" ht="105" customHeight="1" s="17">
      <c r="A14" s="35" t="inlineStr">
        <is>
          <t>Coaching application</t>
        </is>
      </c>
      <c r="B14" s="27" t="inlineStr">
        <is>
          <t>This scale works well in coaching to make explicit which of the four empowerment dimensions (meaning, competence, self-determination, impact) is weakest for a client in a job, internship or leadership role, giving a concrete focus for goal-setting. It is designed for someone already in a defined work role with a 'department' or team, so it fits early-career and placement clients better than full-time students without paid work, and it measures a felt cognitive state rather than actual job conditions, so a low score should prompt exploration of both the client's perception and the realities of their role rather than being taken as a fixed trait.</t>
        </is>
      </c>
    </row>
    <row r="15" ht="45" customHeight="1" s="17">
      <c r="A15" s="35" t="inlineStr">
        <is>
          <t>Purpose</t>
        </is>
      </c>
      <c r="B15" s="27" t="inlineStr">
        <is>
          <t>Spreitzer (1995) developed this scale to operationalise and measure psychological empowerment as a multidimensional motivational construct in the workplace, validating it as an antecedent of managerial effectiveness and innovation.</t>
        </is>
      </c>
    </row>
    <row r="16" ht="45" customHeight="1" s="17">
      <c r="A16" s="35" t="inlineStr">
        <is>
          <t>Instructions / prompt</t>
        </is>
      </c>
      <c r="B16" s="27" t="inlineStr">
        <is>
          <t>Listed below are a number of self-orientations that people may have with regard to their work role. Using the following scale, please indicate the extent to which you agree or disagree that each one describes your self-orientation.</t>
        </is>
      </c>
    </row>
    <row r="17" ht="30" customHeight="1" s="17">
      <c r="A17" s="35" t="inlineStr">
        <is>
          <t>Response options</t>
        </is>
      </c>
      <c r="B17" s="27" t="inlineStr">
        <is>
          <t>Very Strongly Disagree = 1 | Strongly Disagree = 2 | Disagree = 3 | Neutral = 4 | Agree = 5 | Strongly Agree = 6 | Very Strongly Agree = 7</t>
        </is>
      </c>
    </row>
    <row r="18" ht="15" customHeight="1" s="17">
      <c r="A18" s="35" t="inlineStr">
        <is>
          <t>Reverse-scored items</t>
        </is>
      </c>
      <c r="B18" s="27" t="inlineStr">
        <is>
          <t>None</t>
        </is>
      </c>
    </row>
    <row r="19" ht="15" customHeight="1" s="17">
      <c r="A19" s="35" t="inlineStr">
        <is>
          <t>Filler items (not scored)</t>
        </is>
      </c>
      <c r="B19" s="27" t="inlineStr">
        <is>
          <t>None</t>
        </is>
      </c>
    </row>
    <row r="20" ht="60" customHeight="1" s="17">
      <c r="A20" s="35" t="inlineStr">
        <is>
          <t>Total scoring</t>
        </is>
      </c>
      <c r="B20" s="27" t="inlineStr">
        <is>
          <t>Each subscale is scored as the mean of its 3 items (range 1-7). An overall empowerment score can be computed as the mean of the four subscale means, as the source document itself instructs: "You may use the subdimensions individually (taking the mean of the 3 items measuring one dimension) or take the mean of the 4 subdimension means to create an overall empowerment score."</t>
        </is>
      </c>
    </row>
    <row r="21" ht="15" customHeight="1" s="17">
      <c r="A21" s="35" t="inlineStr">
        <is>
          <t>Interpretation bands</t>
        </is>
      </c>
      <c r="B21" s="27" t="inlineStr">
        <is>
          <t>Not stated on source</t>
        </is>
      </c>
    </row>
    <row r="22" ht="30" customHeight="1" s="17">
      <c r="A22" s="35" t="inlineStr">
        <is>
          <t>Cut-offs</t>
        </is>
      </c>
      <c r="B22" s="27" t="inlineStr">
        <is>
          <t>No published clinical or normative cut-off scores; intended as a continuous research and diagnostic measure, not categorical classification.</t>
        </is>
      </c>
    </row>
    <row r="23" ht="60" customHeight="1" s="17">
      <c r="A23" s="35" t="inlineStr">
        <is>
          <t>Normative data</t>
        </is>
      </c>
      <c r="B23" s="27" t="inlineStr">
        <is>
          <t>No specific normative table (means/SDs) was retrieved. The instrument page states the scale has been "used successfully in more than 50 different studies" since the original 1995 validation, which used two working-adult field samples (insurance-company middle managers and a Fortune 50 industrial firm), with typical test-retest reliability and validity coefficients around .80 across studies.</t>
        </is>
      </c>
    </row>
    <row r="24" ht="60" customHeight="1" s="17">
      <c r="A24" s="35" t="inlineStr">
        <is>
          <t>Psychometric properties</t>
        </is>
      </c>
      <c r="B24" s="27" t="inlineStr">
        <is>
          <t>Test-retest reliability described on the source page as "strong," with validity estimates for the four dimensions "typically around .80" across the more than 50 studies that have used the scale. Exact original-validation alpha coefficients per subscale were not reproduced on the instrument page fetched.</t>
        </is>
      </c>
    </row>
    <row r="25" ht="30" customHeight="1" s="17">
      <c r="A25" s="35" t="inlineStr">
        <is>
          <t>Developer citation</t>
        </is>
      </c>
      <c r="B25" s="27" t="inlineStr">
        <is>
          <t>Spreitzer, G. M. (1995). Psychological empowerment in the workplace: Dimensions, measurement, and validation. Academy of Management Journal, 38(5), 1442-1465. https://doi.org/10.2307/256865</t>
        </is>
      </c>
    </row>
    <row r="26" ht="30" customHeight="1" s="17">
      <c r="A26" s="35" t="inlineStr">
        <is>
          <t>Copyright and licensing</t>
        </is>
      </c>
      <c r="B26" s="27" t="inlineStr">
        <is>
          <t>Hosted freely by the author for research and practice use; no explicit restriction or fee is stated on the page.</t>
        </is>
      </c>
    </row>
    <row r="27" ht="15" customHeight="1" s="17">
      <c r="A27" s="35" t="inlineStr">
        <is>
          <t>Source URL</t>
        </is>
      </c>
      <c r="B27" s="27" t="inlineStr">
        <is>
          <t>https://webuser.bus.umich.edu/spreitze/Pdfs/EmpowerInstrument.pdf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The work that I do is important to me.</t>
        </is>
      </c>
      <c r="C30" s="27" t="inlineStr">
        <is>
          <t>Meaning</t>
        </is>
      </c>
      <c r="D30" s="27" t="inlineStr">
        <is>
          <t>FALSE</t>
        </is>
      </c>
      <c r="E30" s="27" t="inlineStr">
        <is>
          <t>FALSE</t>
        </is>
      </c>
      <c r="F30" s="27" t="n"/>
    </row>
    <row r="31" ht="15" customHeight="1" s="17">
      <c r="A31" s="28" t="n">
        <v>2</v>
      </c>
      <c r="B31" s="27" t="inlineStr">
        <is>
          <t>My job activities are personally meaningful to me.</t>
        </is>
      </c>
      <c r="C31" s="27" t="inlineStr">
        <is>
          <t>Meaning</t>
        </is>
      </c>
      <c r="D31" s="27" t="inlineStr">
        <is>
          <t>FALSE</t>
        </is>
      </c>
      <c r="E31" s="27" t="inlineStr">
        <is>
          <t>FALSE</t>
        </is>
      </c>
      <c r="F31" s="27" t="n"/>
    </row>
    <row r="32" ht="15" customHeight="1" s="17">
      <c r="A32" s="28" t="n">
        <v>3</v>
      </c>
      <c r="B32" s="27" t="inlineStr">
        <is>
          <t>The work I do is meaningful to me.</t>
        </is>
      </c>
      <c r="C32" s="27" t="inlineStr">
        <is>
          <t>Meaning</t>
        </is>
      </c>
      <c r="D32" s="27" t="inlineStr">
        <is>
          <t>FALSE</t>
        </is>
      </c>
      <c r="E32" s="27" t="inlineStr">
        <is>
          <t>FALSE</t>
        </is>
      </c>
      <c r="F32" s="27" t="n"/>
    </row>
    <row r="33" ht="15" customHeight="1" s="17">
      <c r="A33" s="28" t="n">
        <v>4</v>
      </c>
      <c r="B33" s="27" t="inlineStr">
        <is>
          <t>I am confident about my ability to do my job.</t>
        </is>
      </c>
      <c r="C33" s="27" t="inlineStr">
        <is>
          <t>Competence</t>
        </is>
      </c>
      <c r="D33" s="27" t="inlineStr">
        <is>
          <t>FALSE</t>
        </is>
      </c>
      <c r="E33" s="27" t="inlineStr">
        <is>
          <t>FALSE</t>
        </is>
      </c>
      <c r="F33" s="27" t="n"/>
    </row>
    <row r="34" ht="15" customHeight="1" s="17">
      <c r="A34" s="28" t="n">
        <v>5</v>
      </c>
      <c r="B34" s="27" t="inlineStr">
        <is>
          <t>I have mastered the skills necessary for my job.</t>
        </is>
      </c>
      <c r="C34" s="27" t="inlineStr">
        <is>
          <t>Competence</t>
        </is>
      </c>
      <c r="D34" s="27" t="inlineStr">
        <is>
          <t>FALSE</t>
        </is>
      </c>
      <c r="E34" s="27" t="inlineStr">
        <is>
          <t>FALSE</t>
        </is>
      </c>
      <c r="F34" s="27" t="n"/>
    </row>
    <row r="35" ht="15" customHeight="1" s="17">
      <c r="A35" s="28" t="n">
        <v>6</v>
      </c>
      <c r="B35" s="27" t="inlineStr">
        <is>
          <t>I am self-assured about my capabilities to perform my work activities.</t>
        </is>
      </c>
      <c r="C35" s="27" t="inlineStr">
        <is>
          <t>Competence</t>
        </is>
      </c>
      <c r="D35" s="27" t="inlineStr">
        <is>
          <t>FALSE</t>
        </is>
      </c>
      <c r="E35" s="27" t="inlineStr">
        <is>
          <t>FALSE</t>
        </is>
      </c>
      <c r="F35" s="27" t="n"/>
    </row>
    <row r="36" ht="15" customHeight="1" s="17">
      <c r="A36" s="28" t="n">
        <v>7</v>
      </c>
      <c r="B36" s="27" t="inlineStr">
        <is>
          <t>I have significant autonomy in determining how I do my job.</t>
        </is>
      </c>
      <c r="C36" s="27" t="inlineStr">
        <is>
          <t>Self-Determination</t>
        </is>
      </c>
      <c r="D36" s="27" t="inlineStr">
        <is>
          <t>FALSE</t>
        </is>
      </c>
      <c r="E36" s="27" t="inlineStr">
        <is>
          <t>FALSE</t>
        </is>
      </c>
      <c r="F36" s="27" t="n"/>
    </row>
    <row r="37" ht="15" customHeight="1" s="17">
      <c r="A37" s="28" t="n">
        <v>8</v>
      </c>
      <c r="B37" s="27" t="inlineStr">
        <is>
          <t>I can decide on my own how to go about doing my own work.</t>
        </is>
      </c>
      <c r="C37" s="27" t="inlineStr">
        <is>
          <t>Self-Determination</t>
        </is>
      </c>
      <c r="D37" s="27" t="inlineStr">
        <is>
          <t>FALSE</t>
        </is>
      </c>
      <c r="E37" s="27" t="inlineStr">
        <is>
          <t>FALSE</t>
        </is>
      </c>
      <c r="F37" s="27" t="n"/>
    </row>
    <row r="38" ht="15" customHeight="1" s="17">
      <c r="A38" s="28" t="n">
        <v>9</v>
      </c>
      <c r="B38" s="27" t="inlineStr">
        <is>
          <t>I have considerable opportunity for independence and freedom in how I do my job.</t>
        </is>
      </c>
      <c r="C38" s="27" t="inlineStr">
        <is>
          <t>Self-Determination</t>
        </is>
      </c>
      <c r="D38" s="27" t="inlineStr">
        <is>
          <t>FALSE</t>
        </is>
      </c>
      <c r="E38" s="27" t="inlineStr">
        <is>
          <t>FALSE</t>
        </is>
      </c>
      <c r="F38" s="27" t="n"/>
    </row>
    <row r="39" ht="15" customHeight="1" s="17">
      <c r="A39" s="28" t="n">
        <v>10</v>
      </c>
      <c r="B39" s="27" t="inlineStr">
        <is>
          <t>My impact on what happens in my department is large.</t>
        </is>
      </c>
      <c r="C39" s="27" t="inlineStr">
        <is>
          <t>Impact</t>
        </is>
      </c>
      <c r="D39" s="27" t="inlineStr">
        <is>
          <t>FALSE</t>
        </is>
      </c>
      <c r="E39" s="27" t="inlineStr">
        <is>
          <t>FALSE</t>
        </is>
      </c>
      <c r="F39" s="27" t="n"/>
    </row>
    <row r="40" ht="15" customHeight="1" s="17">
      <c r="A40" s="28" t="n">
        <v>11</v>
      </c>
      <c r="B40" s="27" t="inlineStr">
        <is>
          <t>I have a great deal of control over what happens in my department.</t>
        </is>
      </c>
      <c r="C40" s="27" t="inlineStr">
        <is>
          <t>Impact</t>
        </is>
      </c>
      <c r="D40" s="27" t="inlineStr">
        <is>
          <t>FALSE</t>
        </is>
      </c>
      <c r="E40" s="27" t="inlineStr">
        <is>
          <t>FALSE</t>
        </is>
      </c>
      <c r="F40" s="27" t="n"/>
    </row>
    <row r="41" ht="15" customHeight="1" s="17">
      <c r="A41" s="28" t="n">
        <v>12</v>
      </c>
      <c r="B41" s="27" t="inlineStr">
        <is>
          <t>I have significant influence over what happens in my department.</t>
        </is>
      </c>
      <c r="C41" s="27" t="inlineStr">
        <is>
          <t>Impact</t>
        </is>
      </c>
      <c r="D41" s="27" t="inlineStr">
        <is>
          <t>FALSE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F50"/>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Depression Anxiety Stress Scales, 21 item version (DASS-21)</t>
        </is>
      </c>
    </row>
    <row r="2"/>
    <row r="3" ht="15" customHeight="1" s="17">
      <c r="A3" s="35" t="inlineStr">
        <is>
          <t>Instrument</t>
        </is>
      </c>
      <c r="B3" s="27" t="inlineStr">
        <is>
          <t>Depression Anxiety Stress Scales, 21 item version (DASS-21)</t>
        </is>
      </c>
    </row>
    <row r="4" ht="15" customHeight="1" s="17">
      <c r="A4" s="35" t="inlineStr">
        <is>
          <t>Code</t>
        </is>
      </c>
      <c r="B4" s="27" t="inlineStr">
        <is>
          <t>DASS-21</t>
        </is>
      </c>
    </row>
    <row r="5" ht="15" customHeight="1" s="17">
      <c r="A5" s="35" t="inlineStr">
        <is>
          <t>Domain</t>
        </is>
      </c>
      <c r="B5" s="27" t="inlineStr">
        <is>
          <t>4. Clinical and distress screening</t>
        </is>
      </c>
    </row>
    <row r="6" ht="15" customHeight="1" s="17">
      <c r="A6" s="35" t="inlineStr">
        <is>
          <t>Availability</t>
        </is>
      </c>
      <c r="B6" s="27" t="inlineStr">
        <is>
          <t>Free / open access</t>
        </is>
      </c>
    </row>
    <row r="7" ht="75" customHeight="1" s="17">
      <c r="A7" s="35" t="inlineStr">
        <is>
          <t>Construct</t>
        </is>
      </c>
      <c r="B7" s="27" t="inlineStr">
        <is>
          <t>Three related negative emotional states over the past week: depression (dysphoria, hopelessness, devaluation of life, self deprecation, lack of interest or involvement, anhedonia, inertia), anxiety (autonomic arousal, skeletal muscle effects, situational anxiety, subjective experience of anxious affect) and stress (difficulty relaxing, nervous arousal, being easily upset or agitated, irritable or over reactive, impatient). Built on a dimensional rather than a categorical model of distress.</t>
        </is>
      </c>
    </row>
    <row r="8" ht="15" customHeight="1" s="17">
      <c r="A8" s="35" t="inlineStr">
        <is>
          <t>Respondent</t>
        </is>
      </c>
      <c r="B8" s="27" t="inlineStr">
        <is>
          <t>Self-report</t>
        </is>
      </c>
    </row>
    <row r="9" ht="15" customHeight="1" s="17">
      <c r="A9" s="35" t="inlineStr">
        <is>
          <t>Age range</t>
        </is>
      </c>
      <c r="B9" s="27" t="inlineStr">
        <is>
          <t>17+ (NovoPsych); adults and older adolescents</t>
        </is>
      </c>
    </row>
    <row r="10" ht="15" customHeight="1" s="17">
      <c r="A10" s="35" t="inlineStr">
        <is>
          <t>Items in instrument</t>
        </is>
      </c>
      <c r="B10" s="27" t="inlineStr">
        <is>
          <t>21</t>
        </is>
      </c>
    </row>
    <row r="11" ht="15" customHeight="1" s="17">
      <c r="A11" s="35" t="inlineStr">
        <is>
          <t>Items reproduced here</t>
        </is>
      </c>
      <c r="B11" s="27" t="inlineStr">
        <is>
          <t>21</t>
        </is>
      </c>
    </row>
    <row r="12" ht="15" customHeight="1" s="17">
      <c r="A12" s="35" t="inlineStr">
        <is>
          <t>Administration time</t>
        </is>
      </c>
      <c r="B12" s="27" t="inlineStr">
        <is>
          <t>4 minutes</t>
        </is>
      </c>
    </row>
    <row r="13" ht="75" customHeight="1" s="17">
      <c r="A13" s="35" t="inlineStr">
        <is>
          <t>Cost and access</t>
        </is>
      </c>
      <c r="B13" s="27" t="inlineStr">
        <is>
          <t>Public domain. The University of New South Wales DASS site states that the DASS questionnaire is in the public domain and may be downloaded from the site without charge. The form, scoring template and translations are free; only the printed manual is sold (AUD 55). NovoPsych also hosts the DASS-21 with automated scoring and reports for account holders. Charlotte Price Consulting administers it through a Tally form and scores it with the practice DASS-21 report builder.</t>
        </is>
      </c>
    </row>
    <row r="14" ht="90" customHeight="1" s="17">
      <c r="A14" s="35" t="inlineStr">
        <is>
          <t>Coaching application</t>
        </is>
      </c>
      <c r="B14" s="27" t="inlineStr">
        <is>
          <t>A brief screening measure to establish whether a client's current distress sits within the range coaching can safely hold, or whether a general practitioner or registered mental health practitioner should be involved before or alongside coaching. Scores describe the past week only, so a repeat administration is needed to separate a difficult week from a developing pattern. It is not a diagnostic instrument and does not assess suicide risk; items 10, 17 and 21 are followed up directly when endorsed at 2 or 3, as the practice report builder does.</t>
        </is>
      </c>
    </row>
    <row r="15" ht="75" customHeight="1" s="17">
      <c r="A15" s="35" t="inlineStr">
        <is>
          <t>Purpose</t>
        </is>
      </c>
      <c r="B15" s="27" t="inlineStr">
        <is>
          <t>The DASS was developed by Lovibond and Lovibond (1995) to measure the three related negative emotional states of depression, anxiety and stress, and to discriminate between them as fully as possible. The 21 item short form takes 7 items from each of the three 14 item scales of the full DASS-42. It is used across clinical, research and non clinical settings to describe current symptom severity and to track change over time, rather than to assign diagnostic categories.</t>
        </is>
      </c>
    </row>
    <row r="16" ht="45" customHeight="1" s="17">
      <c r="A16" s="35" t="inlineStr">
        <is>
          <t>Instructions / prompt</t>
        </is>
      </c>
      <c r="B16" s="27" t="inlineStr">
        <is>
          <t>Please read each statement and circle a number 0, 1, 2 or 3 which indicates how much the statement applied to you over the past week. There are no right or wrong answers. Do not spend too much time on any statement.</t>
        </is>
      </c>
    </row>
    <row r="17" ht="45" customHeight="1" s="17">
      <c r="A17" s="35" t="inlineStr">
        <is>
          <t>Response options</t>
        </is>
      </c>
      <c r="B17" s="27" t="inlineStr">
        <is>
          <t>Did not apply to me at all = 0 | Applied to me to some degree, or some of the time = 1 | Applied to me to a considerable degree, or a good part of time = 2 | Applied to me very much, or most of the time = 3</t>
        </is>
      </c>
    </row>
    <row r="18" ht="15" customHeight="1" s="17">
      <c r="A18" s="35" t="inlineStr">
        <is>
          <t>Reverse-scored items</t>
        </is>
      </c>
      <c r="B18" s="27" t="inlineStr">
        <is>
          <t>None</t>
        </is>
      </c>
    </row>
    <row r="19" ht="15" customHeight="1" s="17">
      <c r="A19" s="35" t="inlineStr">
        <is>
          <t>Filler items (not scored)</t>
        </is>
      </c>
      <c r="B19" s="27" t="inlineStr">
        <is>
          <t>None</t>
        </is>
      </c>
    </row>
    <row r="20" ht="75" customHeight="1" s="17">
      <c r="A20" s="35" t="inlineStr">
        <is>
          <t>Total scoring</t>
        </is>
      </c>
      <c r="B20" s="27" t="inlineStr">
        <is>
          <t>Each item is rated 0 to 3 for the past week. The 7 items of each subscale are summed (raw range 0 to 21) and the sum is multiplied by 2, placing each subscale on the same 0 to 42 range as the full DASS-42 so that the published severity labels can be applied. No items are reverse scored. A total distress score (sum of all 21 items, doubled) is sometimes reported but the three subscales are the primary outputs.</t>
        </is>
      </c>
    </row>
    <row r="21" ht="169.5" customHeight="1" s="17">
      <c r="A21" s="35" t="inlineStr">
        <is>
          <t>Interpretation bands</t>
        </is>
      </c>
      <c r="B21" s="27" t="inlineStr">
        <is>
          <t>Depression - Normal: 0-9 - Within the normal range for the general adult population.
Depression - Mild: 10-13 - Above the population mean; conventionally labelled mild.
Depression - Moderate: 14-20 - Clearly above the normal range; duration is the key clinical question.
Depression - Severe: 21-27 - Well above the normal range; clinical involvement is indicated.
Depression - Extremely severe: 28-42 - Highest severity band; clinical contact is the first step.
Anxiety - Normal: 0-7 - Within the normal range.
Anxiety - Mild: 8-9 - Above the population mean.
Anxiety - Moderate: 10-14 - Clearly above the normal range.
Anxiety - Severe: 15-19 - Well above the normal range; general practitioner review is also useful because several items are physical symptoms.
Anxiety - Extremely severe: 20-42 - Highest severity band.
Stress - Normal: 0-14 - Within the normal range.
Stress - Mild: 15-18 - Above the population mean.
Stress - Moderate: 19-25 - Clearly above the normal range; most responsive of the three to workload and structure.
Stress - Severe: 26-33 - Well above the normal range; sustained arousal at this level commonly precedes exhaustion.
Stress - Extremely severe: 34-42 - Highest severity band.</t>
        </is>
      </c>
    </row>
    <row r="22" ht="105" customHeight="1" s="17">
      <c r="A22" s="35" t="inlineStr">
        <is>
          <t>Cut-offs</t>
        </is>
      </c>
      <c r="B22" s="27" t="inlineStr">
        <is>
          <t>Severity labels (Lovibond &amp; Lovibond, 1995) applied to the doubled subscale score. Depression: Normal 0-9, Mild 10-13, Moderate 14-20, Severe 21-27, Extremely severe 28+. Anxiety: Normal 0-7, Mild 8-9, Moderate 10-14, Severe 15-19, Extremely severe 20+. Stress: Normal 0-14, Mild 15-18, Moderate 19-25, Severe 26-33, Extremely severe 34+. These are conventional descriptors of position relative to the population distribution (Normal to approximately the 78th percentile, Mild 78th to 87th, Moderate 87th to 95th, Severe 95th to 98th, Extremely severe 98th and above), not diagnostic thresholds. The DASS-21 contains no item on suicidal thinking and does not assess risk.</t>
        </is>
      </c>
    </row>
    <row r="23" ht="60" customHeight="1" s="17">
      <c r="A23" s="35" t="inlineStr">
        <is>
          <t>Normative data</t>
        </is>
      </c>
      <c r="B23" s="27" t="inlineStr">
        <is>
          <t>Henry and Crawford (2005): non clinical UK adult sample, n = 1,794, provided normative data for the DASS-21 and supported use of the three subscales plus a general distress factor. Antony et al. (1998): clinical groups and a community sample comparing the 42 and 21 item versions. The severity labels derive from the Australian normative work reported in the Lovibond and Lovibond (1995) manual.</t>
        </is>
      </c>
    </row>
    <row r="24" ht="120" customHeight="1" s="17">
      <c r="A24" s="35" t="inlineStr">
        <is>
          <t>Psychometric properties</t>
        </is>
      </c>
      <c r="B24" s="27" t="inlineStr">
        <is>
          <t>Internal consistency in the Henry and Crawford (2005) non clinical sample of 1,794 adults: Depression alpha = .88, Anxiety alpha = .82, Stress alpha = .90, total scale alpha = .93. Confirmatory factor analysis supported a quadripartite structure: three correlated specific factors plus a general negative affectivity factor. Antony et al. (1998) found the DASS-21 subscales reproduced the three factor structure of the full DASS in clinical and community samples, with alphas of .94 (Depression), .87 (Anxiety) and .91 (Stress), and the 21 item version showed a cleaner factor structure than the 42 item version. Brown et al. (1997) supported the three factor structure and discriminant validity in clinical samples.</t>
        </is>
      </c>
    </row>
    <row r="25" ht="30" customHeight="1" s="17">
      <c r="A25" s="35" t="inlineStr">
        <is>
          <t>Developer citation</t>
        </is>
      </c>
      <c r="B25" s="27" t="inlineStr">
        <is>
          <t>Lovibond, S. H., &amp; Lovibond, P. F. (1995). Manual for the Depression Anxiety Stress Scales (2nd ed.). Sydney: Psychology Foundation of Australia.</t>
        </is>
      </c>
    </row>
    <row r="26" ht="45" customHeight="1" s="17">
      <c r="A26" s="35" t="inlineStr">
        <is>
          <t>Copyright and licensing</t>
        </is>
      </c>
      <c r="B26" s="27" t="inlineStr">
        <is>
          <t>Public domain. The developers state on the official UNSW DASS site that the questionnaire is in the public domain and may be downloaded and used freely; the printed manual is the only priced item. Items reproduced here verbatim from the official DASS-21 form PDF.</t>
        </is>
      </c>
    </row>
    <row r="27" ht="15" customHeight="1" s="17">
      <c r="A27" s="35" t="inlineStr">
        <is>
          <t>Source URL</t>
        </is>
      </c>
      <c r="B27" s="27" t="inlineStr">
        <is>
          <t>https://www2.psy.unsw.edu.au/dass/</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found it hard to wind down</t>
        </is>
      </c>
      <c r="C30" s="27" t="inlineStr">
        <is>
          <t>Stress</t>
        </is>
      </c>
      <c r="D30" s="27" t="inlineStr">
        <is>
          <t>FALSE</t>
        </is>
      </c>
      <c r="E30" s="27" t="inlineStr">
        <is>
          <t>FALSE</t>
        </is>
      </c>
      <c r="F30" s="27" t="n"/>
    </row>
    <row r="31" ht="15" customHeight="1" s="17">
      <c r="A31" s="28" t="n">
        <v>2</v>
      </c>
      <c r="B31" s="27" t="inlineStr">
        <is>
          <t>I was aware of dryness of my mouth</t>
        </is>
      </c>
      <c r="C31" s="27" t="inlineStr">
        <is>
          <t>Anxiety</t>
        </is>
      </c>
      <c r="D31" s="27" t="inlineStr">
        <is>
          <t>FALSE</t>
        </is>
      </c>
      <c r="E31" s="27" t="inlineStr">
        <is>
          <t>FALSE</t>
        </is>
      </c>
      <c r="F31" s="27" t="n"/>
    </row>
    <row r="32" ht="15" customHeight="1" s="17">
      <c r="A32" s="28" t="n">
        <v>3</v>
      </c>
      <c r="B32" s="27" t="inlineStr">
        <is>
          <t>I couldn't seem to experience any positive feeling at all</t>
        </is>
      </c>
      <c r="C32" s="27" t="inlineStr">
        <is>
          <t>Depression</t>
        </is>
      </c>
      <c r="D32" s="27" t="inlineStr">
        <is>
          <t>FALSE</t>
        </is>
      </c>
      <c r="E32" s="27" t="inlineStr">
        <is>
          <t>FALSE</t>
        </is>
      </c>
      <c r="F32" s="27" t="n"/>
    </row>
    <row r="33" ht="23.85" customHeight="1" s="17">
      <c r="A33" s="28" t="n">
        <v>4</v>
      </c>
      <c r="B33" s="27" t="inlineStr">
        <is>
          <t>I experienced breathing difficulty (eg, excessively rapid breathing, breathlessness in the absence of physical exertion)</t>
        </is>
      </c>
      <c r="C33" s="27" t="inlineStr">
        <is>
          <t>Anxiety</t>
        </is>
      </c>
      <c r="D33" s="27" t="inlineStr">
        <is>
          <t>FALSE</t>
        </is>
      </c>
      <c r="E33" s="27" t="inlineStr">
        <is>
          <t>FALSE</t>
        </is>
      </c>
      <c r="F33" s="27" t="n"/>
    </row>
    <row r="34" ht="15" customHeight="1" s="17">
      <c r="A34" s="28" t="n">
        <v>5</v>
      </c>
      <c r="B34" s="27" t="inlineStr">
        <is>
          <t>I found it difficult to work up the initiative to do things</t>
        </is>
      </c>
      <c r="C34" s="27" t="inlineStr">
        <is>
          <t>Depression</t>
        </is>
      </c>
      <c r="D34" s="27" t="inlineStr">
        <is>
          <t>FALSE</t>
        </is>
      </c>
      <c r="E34" s="27" t="inlineStr">
        <is>
          <t>FALSE</t>
        </is>
      </c>
      <c r="F34" s="27" t="n"/>
    </row>
    <row r="35" ht="15" customHeight="1" s="17">
      <c r="A35" s="28" t="n">
        <v>6</v>
      </c>
      <c r="B35" s="27" t="inlineStr">
        <is>
          <t>I tended to over-react to situations</t>
        </is>
      </c>
      <c r="C35" s="27" t="inlineStr">
        <is>
          <t>Stress</t>
        </is>
      </c>
      <c r="D35" s="27" t="inlineStr">
        <is>
          <t>FALSE</t>
        </is>
      </c>
      <c r="E35" s="27" t="inlineStr">
        <is>
          <t>FALSE</t>
        </is>
      </c>
      <c r="F35" s="27" t="n"/>
    </row>
    <row r="36" ht="15" customHeight="1" s="17">
      <c r="A36" s="28" t="n">
        <v>7</v>
      </c>
      <c r="B36" s="27" t="inlineStr">
        <is>
          <t>I experienced trembling (eg, in the hands)</t>
        </is>
      </c>
      <c r="C36" s="27" t="inlineStr">
        <is>
          <t>Anxiety</t>
        </is>
      </c>
      <c r="D36" s="27" t="inlineStr">
        <is>
          <t>FALSE</t>
        </is>
      </c>
      <c r="E36" s="27" t="inlineStr">
        <is>
          <t>FALSE</t>
        </is>
      </c>
      <c r="F36" s="27" t="n"/>
    </row>
    <row r="37" ht="15" customHeight="1" s="17">
      <c r="A37" s="28" t="n">
        <v>8</v>
      </c>
      <c r="B37" s="27" t="inlineStr">
        <is>
          <t>I felt that I was using a lot of nervous energy</t>
        </is>
      </c>
      <c r="C37" s="27" t="inlineStr">
        <is>
          <t>Stress</t>
        </is>
      </c>
      <c r="D37" s="27" t="inlineStr">
        <is>
          <t>FALSE</t>
        </is>
      </c>
      <c r="E37" s="27" t="inlineStr">
        <is>
          <t>FALSE</t>
        </is>
      </c>
      <c r="F37" s="27" t="n"/>
    </row>
    <row r="38" ht="15" customHeight="1" s="17">
      <c r="A38" s="28" t="n">
        <v>9</v>
      </c>
      <c r="B38" s="27" t="inlineStr">
        <is>
          <t>I was worried about situations in which I might panic and make a fool of myself</t>
        </is>
      </c>
      <c r="C38" s="27" t="inlineStr">
        <is>
          <t>Anxiety</t>
        </is>
      </c>
      <c r="D38" s="27" t="inlineStr">
        <is>
          <t>FALSE</t>
        </is>
      </c>
      <c r="E38" s="27" t="inlineStr">
        <is>
          <t>FALSE</t>
        </is>
      </c>
      <c r="F38" s="27" t="n"/>
    </row>
    <row r="39" ht="15" customHeight="1" s="17">
      <c r="A39" s="28" t="n">
        <v>10</v>
      </c>
      <c r="B39" s="27" t="inlineStr">
        <is>
          <t>I felt that I had nothing to look forward to</t>
        </is>
      </c>
      <c r="C39" s="27" t="inlineStr">
        <is>
          <t>Depression</t>
        </is>
      </c>
      <c r="D39" s="27" t="inlineStr">
        <is>
          <t>FALSE</t>
        </is>
      </c>
      <c r="E39" s="27" t="inlineStr">
        <is>
          <t>FALSE</t>
        </is>
      </c>
      <c r="F39" s="27" t="inlineStr">
        <is>
          <t>Followed up directly when endorsed at 2 or 3 (practice protocol).</t>
        </is>
      </c>
    </row>
    <row r="40" ht="15" customHeight="1" s="17">
      <c r="A40" s="28" t="n">
        <v>11</v>
      </c>
      <c r="B40" s="27" t="inlineStr">
        <is>
          <t>I found myself getting agitated</t>
        </is>
      </c>
      <c r="C40" s="27" t="inlineStr">
        <is>
          <t>Stress</t>
        </is>
      </c>
      <c r="D40" s="27" t="inlineStr">
        <is>
          <t>FALSE</t>
        </is>
      </c>
      <c r="E40" s="27" t="inlineStr">
        <is>
          <t>FALSE</t>
        </is>
      </c>
      <c r="F40" s="27" t="n"/>
    </row>
    <row r="41" ht="15" customHeight="1" s="17">
      <c r="A41" s="28" t="n">
        <v>12</v>
      </c>
      <c r="B41" s="27" t="inlineStr">
        <is>
          <t>I found it difficult to relax</t>
        </is>
      </c>
      <c r="C41" s="27" t="inlineStr">
        <is>
          <t>Stress</t>
        </is>
      </c>
      <c r="D41" s="27" t="inlineStr">
        <is>
          <t>FALSE</t>
        </is>
      </c>
      <c r="E41" s="27" t="inlineStr">
        <is>
          <t>FALSE</t>
        </is>
      </c>
      <c r="F41" s="27" t="n"/>
    </row>
    <row r="42" ht="15" customHeight="1" s="17">
      <c r="A42" s="28" t="n">
        <v>13</v>
      </c>
      <c r="B42" s="27" t="inlineStr">
        <is>
          <t>I felt down-hearted and blue</t>
        </is>
      </c>
      <c r="C42" s="27" t="inlineStr">
        <is>
          <t>Depression</t>
        </is>
      </c>
      <c r="D42" s="27" t="inlineStr">
        <is>
          <t>FALSE</t>
        </is>
      </c>
      <c r="E42" s="27" t="inlineStr">
        <is>
          <t>FALSE</t>
        </is>
      </c>
      <c r="F42" s="27" t="n"/>
    </row>
    <row r="43" ht="15" customHeight="1" s="17">
      <c r="A43" s="28" t="n">
        <v>14</v>
      </c>
      <c r="B43" s="27" t="inlineStr">
        <is>
          <t>I was intolerant of anything that kept me from getting on with what I was doing</t>
        </is>
      </c>
      <c r="C43" s="27" t="inlineStr">
        <is>
          <t>Stress</t>
        </is>
      </c>
      <c r="D43" s="27" t="inlineStr">
        <is>
          <t>FALSE</t>
        </is>
      </c>
      <c r="E43" s="27" t="inlineStr">
        <is>
          <t>FALSE</t>
        </is>
      </c>
      <c r="F43" s="27" t="n"/>
    </row>
    <row r="44" ht="15" customHeight="1" s="17">
      <c r="A44" s="28" t="n">
        <v>15</v>
      </c>
      <c r="B44" s="27" t="inlineStr">
        <is>
          <t>I felt I was close to panic</t>
        </is>
      </c>
      <c r="C44" s="27" t="inlineStr">
        <is>
          <t>Anxiety</t>
        </is>
      </c>
      <c r="D44" s="27" t="inlineStr">
        <is>
          <t>FALSE</t>
        </is>
      </c>
      <c r="E44" s="27" t="inlineStr">
        <is>
          <t>FALSE</t>
        </is>
      </c>
      <c r="F44" s="27" t="n"/>
    </row>
    <row r="45" ht="15" customHeight="1" s="17">
      <c r="A45" s="28" t="n">
        <v>16</v>
      </c>
      <c r="B45" s="27" t="inlineStr">
        <is>
          <t>I was unable to become enthusiastic about anything</t>
        </is>
      </c>
      <c r="C45" s="27" t="inlineStr">
        <is>
          <t>Depression</t>
        </is>
      </c>
      <c r="D45" s="27" t="inlineStr">
        <is>
          <t>FALSE</t>
        </is>
      </c>
      <c r="E45" s="27" t="inlineStr">
        <is>
          <t>FALSE</t>
        </is>
      </c>
      <c r="F45" s="27" t="n"/>
    </row>
    <row r="46" ht="15" customHeight="1" s="17">
      <c r="A46" s="28" t="n">
        <v>17</v>
      </c>
      <c r="B46" s="27" t="inlineStr">
        <is>
          <t>I felt I wasn't worth much as a person</t>
        </is>
      </c>
      <c r="C46" s="27" t="inlineStr">
        <is>
          <t>Depression</t>
        </is>
      </c>
      <c r="D46" s="27" t="inlineStr">
        <is>
          <t>FALSE</t>
        </is>
      </c>
      <c r="E46" s="27" t="inlineStr">
        <is>
          <t>FALSE</t>
        </is>
      </c>
      <c r="F46" s="27" t="inlineStr">
        <is>
          <t>Followed up directly when endorsed at 2 or 3 (practice protocol).</t>
        </is>
      </c>
    </row>
    <row r="47" ht="15" customHeight="1" s="17">
      <c r="A47" s="28" t="n">
        <v>18</v>
      </c>
      <c r="B47" s="27" t="inlineStr">
        <is>
          <t>I felt that I was rather touchy</t>
        </is>
      </c>
      <c r="C47" s="27" t="inlineStr">
        <is>
          <t>Stress</t>
        </is>
      </c>
      <c r="D47" s="27" t="inlineStr">
        <is>
          <t>FALSE</t>
        </is>
      </c>
      <c r="E47" s="27" t="inlineStr">
        <is>
          <t>FALSE</t>
        </is>
      </c>
      <c r="F47" s="27" t="n"/>
    </row>
    <row r="48" ht="23.85" customHeight="1" s="17">
      <c r="A48" s="28" t="n">
        <v>19</v>
      </c>
      <c r="B48" s="27" t="inlineStr">
        <is>
          <t>I was aware of the action of my heart in the absence of physical exertion (eg, sense of heart rate increase, heart missing a beat)</t>
        </is>
      </c>
      <c r="C48" s="27" t="inlineStr">
        <is>
          <t>Anxiety</t>
        </is>
      </c>
      <c r="D48" s="27" t="inlineStr">
        <is>
          <t>FALSE</t>
        </is>
      </c>
      <c r="E48" s="27" t="inlineStr">
        <is>
          <t>FALSE</t>
        </is>
      </c>
      <c r="F48" s="27" t="n"/>
    </row>
    <row r="49" ht="15" customHeight="1" s="17">
      <c r="A49" s="28" t="n">
        <v>20</v>
      </c>
      <c r="B49" s="27" t="inlineStr">
        <is>
          <t>I felt scared without any good reason</t>
        </is>
      </c>
      <c r="C49" s="27" t="inlineStr">
        <is>
          <t>Anxiety</t>
        </is>
      </c>
      <c r="D49" s="27" t="inlineStr">
        <is>
          <t>FALSE</t>
        </is>
      </c>
      <c r="E49" s="27" t="inlineStr">
        <is>
          <t>FALSE</t>
        </is>
      </c>
      <c r="F49" s="27" t="n"/>
    </row>
    <row r="50" ht="15" customHeight="1" s="17">
      <c r="A50" s="28" t="n">
        <v>21</v>
      </c>
      <c r="B50" s="27" t="inlineStr">
        <is>
          <t>I felt that life was meaningless</t>
        </is>
      </c>
      <c r="C50" s="27" t="inlineStr">
        <is>
          <t>Depression</t>
        </is>
      </c>
      <c r="D50" s="27" t="inlineStr">
        <is>
          <t>FALSE</t>
        </is>
      </c>
      <c r="E50" s="27" t="inlineStr">
        <is>
          <t>FALSE</t>
        </is>
      </c>
      <c r="F50" s="27" t="inlineStr">
        <is>
          <t>Followed up directly when endorsed at 2 or 3 (practice protocol).</t>
        </is>
      </c>
    </row>
  </sheetData>
  <autoFilter ref="A29:F5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4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Perseverative Thinking Questionnaire</t>
        </is>
      </c>
    </row>
    <row r="2"/>
    <row r="3" ht="15" customHeight="1" s="17">
      <c r="A3" s="35" t="inlineStr">
        <is>
          <t>Instrument</t>
        </is>
      </c>
      <c r="B3" s="27" t="inlineStr">
        <is>
          <t>Perseverative Thinking Questionnaire</t>
        </is>
      </c>
    </row>
    <row r="4" ht="15" customHeight="1" s="17">
      <c r="A4" s="35" t="inlineStr">
        <is>
          <t>Code</t>
        </is>
      </c>
      <c r="B4" s="27" t="inlineStr">
        <is>
          <t>PTQ</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Repetitive negative thinking (RNT), measured as a content-independent process (applies equally to worry, rumination, or any other form of repetitive negative thought about problems), rather than a specific symptom or diagnostic construct.</t>
        </is>
      </c>
    </row>
    <row r="8" ht="15" customHeight="1" s="17">
      <c r="A8" s="35" t="inlineStr">
        <is>
          <t>Respondent</t>
        </is>
      </c>
      <c r="B8" s="27" t="inlineStr">
        <is>
          <t>Adult self-report</t>
        </is>
      </c>
    </row>
    <row r="9" ht="30" customHeight="1" s="17">
      <c r="A9" s="35" t="inlineStr">
        <is>
          <t>Age range</t>
        </is>
      </c>
      <c r="B9" s="27" t="inlineStr">
        <is>
          <t>Not stated in the source article. Validation samples were adult (internet, non-clinical, clinical, and English-language) populations; no minimum/maximum age is specified in the text retrieved.</t>
        </is>
      </c>
    </row>
    <row r="10" ht="15" customHeight="1" s="17">
      <c r="A10" s="35" t="inlineStr">
        <is>
          <t>Items in instrument</t>
        </is>
      </c>
      <c r="B10" s="27" t="inlineStr">
        <is>
          <t>15</t>
        </is>
      </c>
    </row>
    <row r="11" ht="15" customHeight="1" s="17">
      <c r="A11" s="35" t="inlineStr">
        <is>
          <t>Items reproduced here</t>
        </is>
      </c>
      <c r="B11" s="27" t="inlineStr">
        <is>
          <t>15</t>
        </is>
      </c>
    </row>
    <row r="12" ht="30" customHeight="1" s="17">
      <c r="A12" s="35" t="inlineStr">
        <is>
          <t>Administration time</t>
        </is>
      </c>
      <c r="B12" s="27" t="inlineStr">
        <is>
          <t>Not stated in the source. A brief 15-item self-report measure, typically completed in a few minutes.</t>
        </is>
      </c>
    </row>
    <row r="13" ht="120" customHeight="1" s="17">
      <c r="A13" s="35" t="inlineStr">
        <is>
          <t>Cost and access</t>
        </is>
      </c>
      <c r="B13" s="27" t="inlineStr">
        <is>
          <t>No formal licensing or fee-for-use process was found. The hosted PDF (via OxCADAT Resources, a University of Oxford-affiliated trauma/CBT resource site) carries the standard journal notice "© 2010 Elsevier Ltd. All rights reserved." from Journal of Behavior Therapy and Experimental Psychiatry. No explicit blanket grant for commercial or paid-coaching administration was found in the source, but equally no restriction on non-research/practitioner use was stated; the measure is very widely reproduced in open clinical and training materials without visible enforcement. For a paid coaching practice, treat as reasonably low-risk to administer informally with citation, but not as a confirmed formal commercial licence. Licensing note: Free / open access, with a standard journal copyright notice</t>
        </is>
      </c>
    </row>
    <row r="14" ht="120" customHeight="1" s="17">
      <c r="A14" s="35" t="inlineStr">
        <is>
          <t>Coaching application</t>
        </is>
      </c>
      <c r="B14" s="27" t="inlineStr">
        <is>
          <t>The PTQ is useful in coaching as a transdiagnostic check on whether a student or early-career client is getting cognitively "stuck" in repetitive negative thinking about study, performance or career worries, independent of the topic they are ruminating on. Its brevity and content-neutral wording make it easy to reuse across sessions to track whether coaching strategies are reducing the repetitive, unproductive quality of the thinking rather than the topic itself. It is a process measure, not a diagnostic or symptom-severity tool, so elevated scores should prompt a coaching conversation about thinking patterns rather than a clinical judgement, and persistent high scores alongside distress should prompt referral consideration.</t>
        </is>
      </c>
    </row>
    <row r="15" ht="90" customHeight="1" s="17">
      <c r="A15" s="35" t="inlineStr">
        <is>
          <t>Purpose</t>
        </is>
      </c>
      <c r="B15" s="27" t="inlineStr">
        <is>
          <t>The PTQ was developed to measure repetitive negative thinking (RNT) as a content-independent process common to worry, rumination and related forms of perseverative thought, rather than measuring a specific content domain (e.g. depressive rumination or anxious worry). It captures three lower-order aspects of RNT: its core repetitive/intrusive characteristics, its perceived unproductiveness, and the degree to which it captures mental capacity. It was designed to be usable across clinical and research contexts where a single content-independent RNT measure is needed.</t>
        </is>
      </c>
    </row>
    <row r="16" ht="45" customHeight="1" s="17">
      <c r="A16" s="35" t="inlineStr">
        <is>
          <t>Instructions / prompt</t>
        </is>
      </c>
      <c r="B16" s="27" t="inlineStr">
        <is>
          <t>In this questionnaire, you will be asked to describe how you typically think about negative experiences or problems. Please read the following statements and rate the extent to which they apply to you when you think about negative experiences or problems.</t>
        </is>
      </c>
    </row>
    <row r="17" ht="15" customHeight="1" s="17">
      <c r="A17" s="35" t="inlineStr">
        <is>
          <t>Response options</t>
        </is>
      </c>
      <c r="B17" s="27" t="inlineStr">
        <is>
          <t>never = 0 | rarely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PTQ score is the sum of all 15 items (range 0-60), computed as recommended in the source article. Each of the three subscale scores is the sum of its own items (each subscale range 0-36 for Core Characteristics, 0-12 for the other two).</t>
        </is>
      </c>
    </row>
    <row r="21" ht="15" customHeight="1" s="17">
      <c r="A21" s="35" t="inlineStr">
        <is>
          <t>Interpretation bands</t>
        </is>
      </c>
      <c r="B21" s="27" t="inlineStr">
        <is>
          <t>Not stated on source</t>
        </is>
      </c>
    </row>
    <row r="22" ht="30" customHeight="1" s="17">
      <c r="A22" s="35" t="inlineStr">
        <is>
          <t>Cut-offs</t>
        </is>
      </c>
      <c r="B22" s="27" t="inlineStr">
        <is>
          <t>No clinical cutoff scores or interpretive bands were reported in the source article that was fetched.</t>
        </is>
      </c>
    </row>
    <row r="23" ht="60" customHeight="1" s="17">
      <c r="A23" s="35" t="inlineStr">
        <is>
          <t>Normative data</t>
        </is>
      </c>
      <c r="B23" s="27" t="inlineStr">
        <is>
          <t>No published normative means/SDs by population were reported in the source article beyond describing four validation samples: an internet sample, a German non-clinical sample, a German clinical sample, and an English-language sample, totalling N = 1,832 across Study 1 and Study 2. Exact per-sample means/SDs were not extractable from the fetched text.</t>
        </is>
      </c>
    </row>
    <row r="24" ht="45" customHeight="1" s="17">
      <c r="A24" s="35" t="inlineStr">
        <is>
          <t>Psychometric properties</t>
        </is>
      </c>
      <c r="B24" s="27" t="inlineStr">
        <is>
          <t>Internal consistency: Cronbach's alpha = .95 (Study 1, internet sample), .94 (Study 1, non-clinical sample), .95 (Study 1, clinical sample), .95 (Study 2, English-language sample). Test-retest reliability over a 4-week interval: r = .69, p &lt; .001 (n = 186). (Ehring et al., 2011.)</t>
        </is>
      </c>
    </row>
    <row r="25" ht="60" customHeight="1" s="17">
      <c r="A25" s="35" t="inlineStr">
        <is>
          <t>Developer citation</t>
        </is>
      </c>
      <c r="B25" s="27" t="inlineStr">
        <is>
          <t>Ehring, T., Zetsche, U., Weidacker, K., Wahl, K., Schönfeld, S., &amp; Ehlers, A. (2011). The Perseverative Thinking Questionnaire (PTQ): Validation of a content-independent measure of repetitive negative thinking. Journal of Behavior Therapy and Experimental Psychiatry, 42(2), 225–232. https://doi.org/10.1016/j.jbtep.2010.12.003</t>
        </is>
      </c>
    </row>
    <row r="26" ht="45" customHeight="1" s="17">
      <c r="A26" s="35" t="inlineStr">
        <is>
          <t>Copyright and licensing</t>
        </is>
      </c>
      <c r="B26" s="27" t="inlineStr">
        <is>
          <t>© 2010 Elsevier Ltd. All rights reserved. (Copyright notice appears on the hosted article/PDF; no separate explicit permission statement for reproduction, non-commercial use, or commercial/coaching administration was found in the fetched source.)</t>
        </is>
      </c>
    </row>
    <row r="27" ht="15" customHeight="1" s="17">
      <c r="A27" s="35" t="inlineStr">
        <is>
          <t>Source URL</t>
        </is>
      </c>
      <c r="B27" s="27" t="inlineStr">
        <is>
          <t>https://oxcadatresources.com/wp-content/uploads/2020/09/EhringetalRuminationQuestionnaire.2011.pdf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The same thoughts keep going through my mind again and again.</t>
        </is>
      </c>
      <c r="C30" s="27" t="inlineStr">
        <is>
          <t>Core Characteristics of Repetitive Negative Thinking</t>
        </is>
      </c>
      <c r="D30" s="27" t="inlineStr">
        <is>
          <t>FALSE</t>
        </is>
      </c>
      <c r="E30" s="27" t="inlineStr">
        <is>
          <t>FALSE</t>
        </is>
      </c>
      <c r="F30" s="27" t="n"/>
    </row>
    <row r="31" ht="23.85" customHeight="1" s="17">
      <c r="A31" s="28" t="n">
        <v>2</v>
      </c>
      <c r="B31" s="27" t="inlineStr">
        <is>
          <t>Thoughts intrude into my mind.</t>
        </is>
      </c>
      <c r="C31" s="27" t="inlineStr">
        <is>
          <t>Core Characteristics of Repetitive Negative Thinking</t>
        </is>
      </c>
      <c r="D31" s="27" t="inlineStr">
        <is>
          <t>FALSE</t>
        </is>
      </c>
      <c r="E31" s="27" t="inlineStr">
        <is>
          <t>FALSE</t>
        </is>
      </c>
      <c r="F31" s="27" t="n"/>
    </row>
    <row r="32" ht="23.85" customHeight="1" s="17">
      <c r="A32" s="28" t="n">
        <v>3</v>
      </c>
      <c r="B32" s="27" t="inlineStr">
        <is>
          <t>I can't stop dwelling on them.</t>
        </is>
      </c>
      <c r="C32" s="27" t="inlineStr">
        <is>
          <t>Core Characteristics of Repetitive Negative Thinking</t>
        </is>
      </c>
      <c r="D32" s="27" t="inlineStr">
        <is>
          <t>FALSE</t>
        </is>
      </c>
      <c r="E32" s="27" t="inlineStr">
        <is>
          <t>FALSE</t>
        </is>
      </c>
      <c r="F32" s="27" t="n"/>
    </row>
    <row r="33" ht="15" customHeight="1" s="17">
      <c r="A33" s="28" t="n">
        <v>4</v>
      </c>
      <c r="B33" s="27" t="inlineStr">
        <is>
          <t>I think about many problems without solving any of them.</t>
        </is>
      </c>
      <c r="C33" s="27" t="inlineStr">
        <is>
          <t>Unproductiveness</t>
        </is>
      </c>
      <c r="D33" s="27" t="inlineStr">
        <is>
          <t>FALSE</t>
        </is>
      </c>
      <c r="E33" s="27" t="inlineStr">
        <is>
          <t>FALSE</t>
        </is>
      </c>
      <c r="F33" s="27" t="n"/>
    </row>
    <row r="34" ht="15" customHeight="1" s="17">
      <c r="A34" s="28" t="n">
        <v>5</v>
      </c>
      <c r="B34" s="27" t="inlineStr">
        <is>
          <t>I can't do anything else while thinking about my problems.</t>
        </is>
      </c>
      <c r="C34" s="27" t="inlineStr">
        <is>
          <t>Capturing Mental Capacity</t>
        </is>
      </c>
      <c r="D34" s="27" t="inlineStr">
        <is>
          <t>FALSE</t>
        </is>
      </c>
      <c r="E34" s="27" t="inlineStr">
        <is>
          <t>FALSE</t>
        </is>
      </c>
      <c r="F34" s="27" t="n"/>
    </row>
    <row r="35" ht="23.85" customHeight="1" s="17">
      <c r="A35" s="28" t="n">
        <v>6</v>
      </c>
      <c r="B35" s="27" t="inlineStr">
        <is>
          <t>My thoughts repeat themselves.</t>
        </is>
      </c>
      <c r="C35" s="27" t="inlineStr">
        <is>
          <t>Core Characteristics of Repetitive Negative Thinking</t>
        </is>
      </c>
      <c r="D35" s="27" t="inlineStr">
        <is>
          <t>FALSE</t>
        </is>
      </c>
      <c r="E35" s="27" t="inlineStr">
        <is>
          <t>FALSE</t>
        </is>
      </c>
      <c r="F35" s="27" t="n"/>
    </row>
    <row r="36" ht="23.85" customHeight="1" s="17">
      <c r="A36" s="28" t="n">
        <v>7</v>
      </c>
      <c r="B36" s="27" t="inlineStr">
        <is>
          <t>Thoughts come to my mind without me wanting them to.</t>
        </is>
      </c>
      <c r="C36" s="27" t="inlineStr">
        <is>
          <t>Core Characteristics of Repetitive Negative Thinking</t>
        </is>
      </c>
      <c r="D36" s="27" t="inlineStr">
        <is>
          <t>FALSE</t>
        </is>
      </c>
      <c r="E36" s="27" t="inlineStr">
        <is>
          <t>FALSE</t>
        </is>
      </c>
      <c r="F36" s="27" t="n"/>
    </row>
    <row r="37" ht="23.85" customHeight="1" s="17">
      <c r="A37" s="28" t="n">
        <v>8</v>
      </c>
      <c r="B37" s="27" t="inlineStr">
        <is>
          <t>I get stuck on certain issues and can't move on.</t>
        </is>
      </c>
      <c r="C37" s="27" t="inlineStr">
        <is>
          <t>Core Characteristics of Repetitive Negative Thinking</t>
        </is>
      </c>
      <c r="D37" s="27" t="inlineStr">
        <is>
          <t>FALSE</t>
        </is>
      </c>
      <c r="E37" s="27" t="inlineStr">
        <is>
          <t>FALSE</t>
        </is>
      </c>
      <c r="F37" s="27" t="n"/>
    </row>
    <row r="38" ht="15" customHeight="1" s="17">
      <c r="A38" s="28" t="n">
        <v>9</v>
      </c>
      <c r="B38" s="27" t="inlineStr">
        <is>
          <t>I keep asking myself questions without finding an answer.</t>
        </is>
      </c>
      <c r="C38" s="27" t="inlineStr">
        <is>
          <t>Unproductiveness</t>
        </is>
      </c>
      <c r="D38" s="27" t="inlineStr">
        <is>
          <t>FALSE</t>
        </is>
      </c>
      <c r="E38" s="27" t="inlineStr">
        <is>
          <t>FALSE</t>
        </is>
      </c>
      <c r="F38" s="27" t="n"/>
    </row>
    <row r="39" ht="15" customHeight="1" s="17">
      <c r="A39" s="28" t="n">
        <v>10</v>
      </c>
      <c r="B39" s="27" t="inlineStr">
        <is>
          <t>My thoughts prevent me from focusing on other things.</t>
        </is>
      </c>
      <c r="C39" s="27" t="inlineStr">
        <is>
          <t>Capturing Mental Capacity</t>
        </is>
      </c>
      <c r="D39" s="27" t="inlineStr">
        <is>
          <t>FALSE</t>
        </is>
      </c>
      <c r="E39" s="27" t="inlineStr">
        <is>
          <t>FALSE</t>
        </is>
      </c>
      <c r="F39" s="27" t="n"/>
    </row>
    <row r="40" ht="23.85" customHeight="1" s="17">
      <c r="A40" s="28" t="n">
        <v>11</v>
      </c>
      <c r="B40" s="27" t="inlineStr">
        <is>
          <t>I keep thinking about the same issue all the time.</t>
        </is>
      </c>
      <c r="C40" s="27" t="inlineStr">
        <is>
          <t>Core Characteristics of Repetitive Negative Thinking</t>
        </is>
      </c>
      <c r="D40" s="27" t="inlineStr">
        <is>
          <t>FALSE</t>
        </is>
      </c>
      <c r="E40" s="27" t="inlineStr">
        <is>
          <t>FALSE</t>
        </is>
      </c>
      <c r="F40" s="27" t="n"/>
    </row>
    <row r="41" ht="23.85" customHeight="1" s="17">
      <c r="A41" s="28" t="n">
        <v>12</v>
      </c>
      <c r="B41" s="27" t="inlineStr">
        <is>
          <t>Thoughts just pop into my mind.</t>
        </is>
      </c>
      <c r="C41" s="27" t="inlineStr">
        <is>
          <t>Core Characteristics of Repetitive Negative Thinking</t>
        </is>
      </c>
      <c r="D41" s="27" t="inlineStr">
        <is>
          <t>FALSE</t>
        </is>
      </c>
      <c r="E41" s="27" t="inlineStr">
        <is>
          <t>FALSE</t>
        </is>
      </c>
      <c r="F41" s="27" t="n"/>
    </row>
    <row r="42" ht="23.85" customHeight="1" s="17">
      <c r="A42" s="28" t="n">
        <v>13</v>
      </c>
      <c r="B42" s="27" t="inlineStr">
        <is>
          <t>I feel driven to continue dwelling on the same issue.</t>
        </is>
      </c>
      <c r="C42" s="27" t="inlineStr">
        <is>
          <t>Core Characteristics of Repetitive Negative Thinking</t>
        </is>
      </c>
      <c r="D42" s="27" t="inlineStr">
        <is>
          <t>FALSE</t>
        </is>
      </c>
      <c r="E42" s="27" t="inlineStr">
        <is>
          <t>FALSE</t>
        </is>
      </c>
      <c r="F42" s="27" t="n"/>
    </row>
    <row r="43" ht="15" customHeight="1" s="17">
      <c r="A43" s="28" t="n">
        <v>14</v>
      </c>
      <c r="B43" s="27" t="inlineStr">
        <is>
          <t>My thoughts are not much help to me.</t>
        </is>
      </c>
      <c r="C43" s="27" t="inlineStr">
        <is>
          <t>Unproductiveness</t>
        </is>
      </c>
      <c r="D43" s="27" t="inlineStr">
        <is>
          <t>FALSE</t>
        </is>
      </c>
      <c r="E43" s="27" t="inlineStr">
        <is>
          <t>FALSE</t>
        </is>
      </c>
      <c r="F43" s="27" t="n"/>
    </row>
    <row r="44" ht="15" customHeight="1" s="17">
      <c r="A44" s="28" t="n">
        <v>15</v>
      </c>
      <c r="B44" s="27" t="inlineStr">
        <is>
          <t>My thoughts take up all my attention.</t>
        </is>
      </c>
      <c r="C44" s="27" t="inlineStr">
        <is>
          <t>Capturing Mental Capacity</t>
        </is>
      </c>
      <c r="D44" s="27" t="inlineStr">
        <is>
          <t>FALSE</t>
        </is>
      </c>
      <c r="E44" s="27" t="inlineStr">
        <is>
          <t>FALSE</t>
        </is>
      </c>
      <c r="F44" s="27" t="n"/>
    </row>
  </sheetData>
  <autoFilter ref="A29:F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Ruminative Responses Scale</t>
        </is>
      </c>
    </row>
    <row r="2"/>
    <row r="3" ht="15" customHeight="1" s="17">
      <c r="A3" s="35" t="inlineStr">
        <is>
          <t>Instrument</t>
        </is>
      </c>
      <c r="B3" s="27" t="inlineStr">
        <is>
          <t>Ruminative Responses Scale</t>
        </is>
      </c>
    </row>
    <row r="4" ht="15" customHeight="1" s="17">
      <c r="A4" s="35" t="inlineStr">
        <is>
          <t>Code</t>
        </is>
      </c>
      <c r="B4" s="27" t="inlineStr">
        <is>
          <t>RRS</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75" customHeight="1" s="17">
      <c r="A7" s="35" t="inlineStr">
        <is>
          <t>Construct</t>
        </is>
      </c>
      <c r="B7" s="27" t="inlineStr">
        <is>
          <t>Trait rumination in response to low mood: the tendency to repetitively focus attention on the symptoms and possible causes/consequences of one's depressed mood. The Treynor et al. (2003) refinement splits this into a passive, self-critical/moody-pondering component (Brooding) and a more deliberate, analytic component (Reflection), leaving 12 items that overlap with depressive symptoms unscored in either subscale.</t>
        </is>
      </c>
    </row>
    <row r="8" ht="15" customHeight="1" s="17">
      <c r="A8" s="35" t="inlineStr">
        <is>
          <t>Respondent</t>
        </is>
      </c>
      <c r="B8" s="27" t="inlineStr">
        <is>
          <t>Adult self-report</t>
        </is>
      </c>
    </row>
    <row r="9" ht="30" customHeight="1" s="17">
      <c r="A9" s="35" t="inlineStr">
        <is>
          <t>Age range</t>
        </is>
      </c>
      <c r="B9" s="27" t="inlineStr">
        <is>
          <t>NovoPsych lists 18 years and older. The original Nolen-Hoeksema &amp; Morrow (1991) and Treynor et al. (2003) sources do not themselves state an age range in the text retrieved.</t>
        </is>
      </c>
    </row>
    <row r="10" ht="15" customHeight="1" s="17">
      <c r="A10" s="35" t="inlineStr">
        <is>
          <t>Items in instrument</t>
        </is>
      </c>
      <c r="B10" s="27" t="inlineStr">
        <is>
          <t>22</t>
        </is>
      </c>
    </row>
    <row r="11" ht="15" customHeight="1" s="17">
      <c r="A11" s="35" t="inlineStr">
        <is>
          <t>Items reproduced here</t>
        </is>
      </c>
      <c r="B11" s="27" t="inlineStr">
        <is>
          <t>22</t>
        </is>
      </c>
    </row>
    <row r="12" ht="15" customHeight="1" s="17">
      <c r="A12" s="35" t="inlineStr">
        <is>
          <t>Administration time</t>
        </is>
      </c>
      <c r="B12" s="27" t="inlineStr">
        <is>
          <t>Approximately 2 minutes (per NovoPsych).</t>
        </is>
      </c>
    </row>
    <row r="13" ht="169.5" customHeight="1" s="17">
      <c r="A13" s="35" t="inlineStr">
        <is>
          <t>Cost and access</t>
        </is>
      </c>
      <c r="B13" s="27" t="inlineStr">
        <is>
          <t>The 22 items and simple summed scoring are freely available from the developer-hosted PDFs (Susan Nolen-Hoeksema's own item sheet, and the Treynor et al. subscale-mapping paper), with no explicit copyright or commercial-use restriction stated on either document. NovoPsych also hosts the RRS with automated scoring, but its scoring/psychometrics detail is gated behind NovoPsych's paid professional-access platform (app.novopsych.com registration required); this session could not retrieve NovoPsych's own cutoff, norm or psychometric text for the RRS specifically (its RRS page did not expose that content, and no NovoPsych-hosted RRS blank-form or sample-results PDF could be located). For manual/paper administration in coaching, the items may be used and hand-scored directly from the developer sources with citation; for automated scoring, reporting and any NovoPsych-specific norms, a NovoPsych subscription would be required. Licensing note: Free / open access for the item content and scoring algorithm (no restriction found in the developer sources); full scoring, norms and psychometrics on the NovoPsych platform sit behind NovoPsych's professional/paid clinician access.</t>
        </is>
      </c>
    </row>
    <row r="14" ht="120" customHeight="1" s="17">
      <c r="A14" s="35" t="inlineStr">
        <is>
          <t>Coaching application</t>
        </is>
      </c>
      <c r="B14" s="27" t="inlineStr">
        <is>
          <t>The RRS, and the Brooding subscale in particular, is well suited to coaching conversations with students and early-career clients about unhelpful dwelling on setbacks (e.g. "why can't I handle things better") versus more adaptive, problem-focused reflection. Distinguishing Brooding from Reflection lets Charlotte target the maladaptive pattern directly (as a coaching focus) while validating that some analytic self-reflection is normal and can be constructive. Because 12 of the 22 items closely track depressive symptoms rather than rumination style, the total 22-item score should be interpreted cautiously in a non-clinical coaching context and the Brooding/Reflection subscales are generally the more directly actionable pickup.</t>
        </is>
      </c>
    </row>
    <row r="15" ht="105" customHeight="1" s="17">
      <c r="A15" s="35" t="inlineStr">
        <is>
          <t>Purpose</t>
        </is>
      </c>
      <c r="B15" s="27" t="inlineStr">
        <is>
          <t>The RRS was originally developed by Nolen-Hoeksema and Morrow (1991) to assess ruminative responses to depressed mood as part of the Response Styles Questionnaire. Treynor, Gonzalez and Nolen-Hoeksema (2003) later re-analysed the scale and identified two "pure" 5-item subscales within it, Brooding (passive, self-critical comparison of one's current state to an unachieved standard) and Reflection (deliberate, analytic turning inward to understand one's low mood), while the remaining 12 items were found to overlap substantially with depressive symptoms themselves and are not used in either subscale score.</t>
        </is>
      </c>
    </row>
    <row r="16" ht="45" customHeight="1" s="17">
      <c r="A16" s="35" t="inlineStr">
        <is>
          <t>Instructions / prompt</t>
        </is>
      </c>
      <c r="B16" s="27" t="inlineStr">
        <is>
          <t>Please read each of the items below and indicate whether you almost never, sometimes, often, or almost always think or do each one when you feel down, sad, or depressed. Please indicate what you generally do, not what you think you should do.</t>
        </is>
      </c>
    </row>
    <row r="17" ht="15" customHeight="1" s="17">
      <c r="A17" s="35" t="inlineStr">
        <is>
          <t>Response options</t>
        </is>
      </c>
      <c r="B17" s="27" t="inlineStr">
        <is>
          <t>almost never = 1 | sometimes = 2 | often = 3 | almost always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Full-scale total: sum of all 22 items (range 22-88), per Nolen-Hoeksema's own scoring note ("simply sum the scores on the 22 items"). Brooding and Reflection subscale scores are each the sum of their 5 items (range 5-20 each), per Treynor et al. (2003).</t>
        </is>
      </c>
    </row>
    <row r="21" ht="15" customHeight="1" s="17">
      <c r="A21" s="35" t="inlineStr">
        <is>
          <t>Interpretation bands</t>
        </is>
      </c>
      <c r="B21" s="27" t="inlineStr">
        <is>
          <t>Not stated on source</t>
        </is>
      </c>
    </row>
    <row r="22" ht="45" customHeight="1" s="17">
      <c r="A22" s="35" t="inlineStr">
        <is>
          <t>Cut-offs</t>
        </is>
      </c>
      <c r="B22" s="27" t="inlineStr">
        <is>
          <t>No clinical cutoff scores were found in the developer sources (Nolen-Hoeksema &amp; Morrow, 1991; Treynor et al., 2003) or retrievable from the NovoPsych RRS page, which itself does not display specific score ranges or interpretation bands in the content that could be fetched this session.</t>
        </is>
      </c>
    </row>
    <row r="23" ht="75" customHeight="1" s="17">
      <c r="A23" s="35" t="inlineStr">
        <is>
          <t>Normative data</t>
        </is>
      </c>
      <c r="B23" s="27" t="inlineStr">
        <is>
          <t>Treynor et al. (2003) used a community sample of N = 1,130 adults assessed at two time points approximately one year apart, but exact normative means/SDs were not extractable from the fetched text. NovoPsych's own normative data for the RRS could not be retrieved this session (its scoring/psychometrics content did not come through fetch, and no NovoPsych-hosted RRS blank-form or sample-results PDF could be located via search).</t>
        </is>
      </c>
    </row>
    <row r="24" ht="60" customHeight="1" s="17">
      <c r="A24" s="35" t="inlineStr">
        <is>
          <t>Psychometric properties</t>
        </is>
      </c>
      <c r="B24" s="27" t="inlineStr">
        <is>
          <t>Full 22-item scale: Cronbach's alpha = .90 (Time 1); test-retest r = .67 across the ~1-year interval. Brooding subscale: alpha = .77 (Time 1); test-retest r = .62. Reflection subscale: alpha = .72 (Time 1); test-retest r = .60. Sample: N = 1,130 community adults (Treynor, Gonzalez, &amp; Nolen-Hoeksema, 2003).</t>
        </is>
      </c>
    </row>
    <row r="25" ht="45" customHeight="1" s="17">
      <c r="A25" s="35" t="inlineStr">
        <is>
          <t>Developer citation</t>
        </is>
      </c>
      <c r="B25" s="27" t="inlineStr">
        <is>
          <t>Nolen-Hoeksema, S., &amp; Morrow, J. (1991). A prospective study of depression and posttraumatic stress symptoms after a natural disaster: The 1989 Loma Prieta earthquake. Journal of Personality and Social Psychology, 61(1), 115–121. https://doi.org/10.1037/0022-3514.61.1.115</t>
        </is>
      </c>
    </row>
    <row r="26" ht="60" customHeight="1" s="17">
      <c r="A26" s="35" t="inlineStr">
        <is>
          <t>Copyright and licensing</t>
        </is>
      </c>
      <c r="B26" s="27" t="inlineStr">
        <is>
          <t>The Nolen-Hoeksema item PDF carries no explicit copyright/licence statement beyond her name and Yale University letter header in the source fetched; no blanket free-for-commercial-use grant nor an explicit restriction was found in either developer source. NovoPsych's own terms govern use of its platform-hosted administration and scoring, which was not accessible in full this session.</t>
        </is>
      </c>
    </row>
    <row r="27" ht="15" customHeight="1" s="17">
      <c r="A27" s="35" t="inlineStr">
        <is>
          <t>Source URL</t>
        </is>
      </c>
      <c r="B27" s="27" t="inlineStr">
        <is>
          <t>https://novopsych.com/assessments/formulation/ruminative-responses-scale-rrs/</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Think about how alone you feel</t>
        </is>
      </c>
      <c r="C30" s="27" t="inlineStr">
        <is>
          <t>Depression-related items (not scored as a subscale)</t>
        </is>
      </c>
      <c r="D30" s="27" t="inlineStr">
        <is>
          <t>FALSE</t>
        </is>
      </c>
      <c r="E30" s="27" t="inlineStr">
        <is>
          <t>FALSE</t>
        </is>
      </c>
      <c r="F30" s="27" t="n"/>
    </row>
    <row r="31" ht="23.85" customHeight="1" s="17">
      <c r="A31" s="28" t="n">
        <v>2</v>
      </c>
      <c r="B31" s="27" t="inlineStr">
        <is>
          <t>Think "I won't be able to do my job if I don't snap out of this"</t>
        </is>
      </c>
      <c r="C31" s="27" t="inlineStr">
        <is>
          <t>Depression-related items (not scored as a subscale)</t>
        </is>
      </c>
      <c r="D31" s="27" t="inlineStr">
        <is>
          <t>FALSE</t>
        </is>
      </c>
      <c r="E31" s="27" t="inlineStr">
        <is>
          <t>FALSE</t>
        </is>
      </c>
      <c r="F31" s="27" t="n"/>
    </row>
    <row r="32" ht="23.85" customHeight="1" s="17">
      <c r="A32" s="28" t="n">
        <v>3</v>
      </c>
      <c r="B32" s="27" t="inlineStr">
        <is>
          <t>Think about your feelings of fatigue and achiness</t>
        </is>
      </c>
      <c r="C32" s="27" t="inlineStr">
        <is>
          <t>Depression-related items (not scored as a subscale)</t>
        </is>
      </c>
      <c r="D32" s="27" t="inlineStr">
        <is>
          <t>FALSE</t>
        </is>
      </c>
      <c r="E32" s="27" t="inlineStr">
        <is>
          <t>FALSE</t>
        </is>
      </c>
      <c r="F32" s="27" t="n"/>
    </row>
    <row r="33" ht="23.85" customHeight="1" s="17">
      <c r="A33" s="28" t="n">
        <v>4</v>
      </c>
      <c r="B33" s="27" t="inlineStr">
        <is>
          <t>Think about how hard it is to concentrate</t>
        </is>
      </c>
      <c r="C33" s="27" t="inlineStr">
        <is>
          <t>Depression-related items (not scored as a subscale)</t>
        </is>
      </c>
      <c r="D33" s="27" t="inlineStr">
        <is>
          <t>FALSE</t>
        </is>
      </c>
      <c r="E33" s="27" t="inlineStr">
        <is>
          <t>FALSE</t>
        </is>
      </c>
      <c r="F33" s="27" t="n"/>
    </row>
    <row r="34" ht="15" customHeight="1" s="17">
      <c r="A34" s="28" t="n">
        <v>5</v>
      </c>
      <c r="B34" s="27" t="inlineStr">
        <is>
          <t>Think "What am I doing to deserve this?"</t>
        </is>
      </c>
      <c r="C34" s="27" t="inlineStr">
        <is>
          <t>Brooding</t>
        </is>
      </c>
      <c r="D34" s="27" t="inlineStr">
        <is>
          <t>FALSE</t>
        </is>
      </c>
      <c r="E34" s="27" t="inlineStr">
        <is>
          <t>FALSE</t>
        </is>
      </c>
      <c r="F34" s="27" t="n"/>
    </row>
    <row r="35" ht="23.85" customHeight="1" s="17">
      <c r="A35" s="28" t="n">
        <v>6</v>
      </c>
      <c r="B35" s="27" t="inlineStr">
        <is>
          <t>Think about how passive and unmotivated you feel</t>
        </is>
      </c>
      <c r="C35" s="27" t="inlineStr">
        <is>
          <t>Depression-related items (not scored as a subscale)</t>
        </is>
      </c>
      <c r="D35" s="27" t="inlineStr">
        <is>
          <t>FALSE</t>
        </is>
      </c>
      <c r="E35" s="27" t="inlineStr">
        <is>
          <t>FALSE</t>
        </is>
      </c>
      <c r="F35" s="27" t="n"/>
    </row>
    <row r="36" ht="15" customHeight="1" s="17">
      <c r="A36" s="28" t="n">
        <v>7</v>
      </c>
      <c r="B36" s="27" t="inlineStr">
        <is>
          <t>Analyze recent events to try to understand why you are depressed</t>
        </is>
      </c>
      <c r="C36" s="27" t="inlineStr">
        <is>
          <t>Reflection</t>
        </is>
      </c>
      <c r="D36" s="27" t="inlineStr">
        <is>
          <t>FALSE</t>
        </is>
      </c>
      <c r="E36" s="27" t="inlineStr">
        <is>
          <t>FALSE</t>
        </is>
      </c>
      <c r="F36" s="27" t="n"/>
    </row>
    <row r="37" ht="23.85" customHeight="1" s="17">
      <c r="A37" s="28" t="n">
        <v>8</v>
      </c>
      <c r="B37" s="27" t="inlineStr">
        <is>
          <t>Think about how you don't seem to feel anything anymore</t>
        </is>
      </c>
      <c r="C37" s="27" t="inlineStr">
        <is>
          <t>Depression-related items (not scored as a subscale)</t>
        </is>
      </c>
      <c r="D37" s="27" t="inlineStr">
        <is>
          <t>FALSE</t>
        </is>
      </c>
      <c r="E37" s="27" t="inlineStr">
        <is>
          <t>FALSE</t>
        </is>
      </c>
      <c r="F37" s="27" t="n"/>
    </row>
    <row r="38" ht="23.85" customHeight="1" s="17">
      <c r="A38" s="28" t="n">
        <v>9</v>
      </c>
      <c r="B38" s="27" t="inlineStr">
        <is>
          <t>Think "Why can't I get going?"</t>
        </is>
      </c>
      <c r="C38" s="27" t="inlineStr">
        <is>
          <t>Depression-related items (not scored as a subscale)</t>
        </is>
      </c>
      <c r="D38" s="27" t="inlineStr">
        <is>
          <t>FALSE</t>
        </is>
      </c>
      <c r="E38" s="27" t="inlineStr">
        <is>
          <t>FALSE</t>
        </is>
      </c>
      <c r="F38" s="27" t="n"/>
    </row>
    <row r="39" ht="15" customHeight="1" s="17">
      <c r="A39" s="28" t="n">
        <v>10</v>
      </c>
      <c r="B39" s="27" t="inlineStr">
        <is>
          <t>Think "Why do I always react this way?"</t>
        </is>
      </c>
      <c r="C39" s="27" t="inlineStr">
        <is>
          <t>Brooding</t>
        </is>
      </c>
      <c r="D39" s="27" t="inlineStr">
        <is>
          <t>FALSE</t>
        </is>
      </c>
      <c r="E39" s="27" t="inlineStr">
        <is>
          <t>FALSE</t>
        </is>
      </c>
      <c r="F39" s="27" t="n"/>
    </row>
    <row r="40" ht="15" customHeight="1" s="17">
      <c r="A40" s="28" t="n">
        <v>11</v>
      </c>
      <c r="B40" s="27" t="inlineStr">
        <is>
          <t>Go away by yourself and think about why you feel this way</t>
        </is>
      </c>
      <c r="C40" s="27" t="inlineStr">
        <is>
          <t>Reflection</t>
        </is>
      </c>
      <c r="D40" s="27" t="inlineStr">
        <is>
          <t>FALSE</t>
        </is>
      </c>
      <c r="E40" s="27" t="inlineStr">
        <is>
          <t>FALSE</t>
        </is>
      </c>
      <c r="F40" s="27" t="n"/>
    </row>
    <row r="41" ht="68.65000000000001" customHeight="1" s="17">
      <c r="A41" s="28" t="n">
        <v>12</v>
      </c>
      <c r="B41" s="27" t="inlineStr">
        <is>
          <t>Write down what you are thinking about and analyze it</t>
        </is>
      </c>
      <c r="C41" s="27" t="inlineStr">
        <is>
          <t>Reflection</t>
        </is>
      </c>
      <c r="D41" s="27" t="inlineStr">
        <is>
          <t>FALSE</t>
        </is>
      </c>
      <c r="E41" s="27" t="inlineStr">
        <is>
          <t>FALSE</t>
        </is>
      </c>
      <c r="F41" s="27" t="inlineStr">
        <is>
          <t>Text as given in the original Nolen-Hoeksema item sheet (websites.umich.edu/~gonzo/RuminationScale.pdf). The Treynor et al. (2003) subscale-mapping paper quotes this item slightly differently, without "about" ("Write down what you are thinking and analyze it") — flagging the minor wording discrepancy between the two fetched sources.</t>
        </is>
      </c>
    </row>
    <row r="42" ht="15" customHeight="1" s="17">
      <c r="A42" s="28" t="n">
        <v>13</v>
      </c>
      <c r="B42" s="27" t="inlineStr">
        <is>
          <t>Think about a recent situation, wishing it had gone better</t>
        </is>
      </c>
      <c r="C42" s="27" t="inlineStr">
        <is>
          <t>Brooding</t>
        </is>
      </c>
      <c r="D42" s="27" t="inlineStr">
        <is>
          <t>FALSE</t>
        </is>
      </c>
      <c r="E42" s="27" t="inlineStr">
        <is>
          <t>FALSE</t>
        </is>
      </c>
      <c r="F42" s="27" t="n"/>
    </row>
    <row r="43" ht="23.85" customHeight="1" s="17">
      <c r="A43" s="28" t="n">
        <v>14</v>
      </c>
      <c r="B43" s="27" t="inlineStr">
        <is>
          <t>Think "I won't be able to concentrate if I keep feeling this way"</t>
        </is>
      </c>
      <c r="C43" s="27" t="inlineStr">
        <is>
          <t>Depression-related items (not scored as a subscale)</t>
        </is>
      </c>
      <c r="D43" s="27" t="inlineStr">
        <is>
          <t>FALSE</t>
        </is>
      </c>
      <c r="E43" s="27" t="inlineStr">
        <is>
          <t>FALSE</t>
        </is>
      </c>
      <c r="F43" s="27" t="n"/>
    </row>
    <row r="44" ht="15" customHeight="1" s="17">
      <c r="A44" s="28" t="n">
        <v>15</v>
      </c>
      <c r="B44" s="27" t="inlineStr">
        <is>
          <t>Think "Why do I have problems other people don't have?"</t>
        </is>
      </c>
      <c r="C44" s="27" t="inlineStr">
        <is>
          <t>Brooding</t>
        </is>
      </c>
      <c r="D44" s="27" t="inlineStr">
        <is>
          <t>FALSE</t>
        </is>
      </c>
      <c r="E44" s="27" t="inlineStr">
        <is>
          <t>FALSE</t>
        </is>
      </c>
      <c r="F44" s="27" t="n"/>
    </row>
    <row r="45" ht="15" customHeight="1" s="17">
      <c r="A45" s="28" t="n">
        <v>16</v>
      </c>
      <c r="B45" s="27" t="inlineStr">
        <is>
          <t>Think "Why can't I handle things better?"</t>
        </is>
      </c>
      <c r="C45" s="27" t="inlineStr">
        <is>
          <t>Brooding</t>
        </is>
      </c>
      <c r="D45" s="27" t="inlineStr">
        <is>
          <t>FALSE</t>
        </is>
      </c>
      <c r="E45" s="27" t="inlineStr">
        <is>
          <t>FALSE</t>
        </is>
      </c>
      <c r="F45" s="27" t="n"/>
    </row>
    <row r="46" ht="23.85" customHeight="1" s="17">
      <c r="A46" s="28" t="n">
        <v>17</v>
      </c>
      <c r="B46" s="27" t="inlineStr">
        <is>
          <t>Think about how sad you feel</t>
        </is>
      </c>
      <c r="C46" s="27" t="inlineStr">
        <is>
          <t>Depression-related items (not scored as a subscale)</t>
        </is>
      </c>
      <c r="D46" s="27" t="inlineStr">
        <is>
          <t>FALSE</t>
        </is>
      </c>
      <c r="E46" s="27" t="inlineStr">
        <is>
          <t>FALSE</t>
        </is>
      </c>
      <c r="F46" s="27" t="n"/>
    </row>
    <row r="47" ht="23.85" customHeight="1" s="17">
      <c r="A47" s="28" t="n">
        <v>18</v>
      </c>
      <c r="B47" s="27" t="inlineStr">
        <is>
          <t>Think about all your shortcomings, failings, faults, mistakes</t>
        </is>
      </c>
      <c r="C47" s="27" t="inlineStr">
        <is>
          <t>Depression-related items (not scored as a subscale)</t>
        </is>
      </c>
      <c r="D47" s="27" t="inlineStr">
        <is>
          <t>FALSE</t>
        </is>
      </c>
      <c r="E47" s="27" t="inlineStr">
        <is>
          <t>FALSE</t>
        </is>
      </c>
      <c r="F47" s="27" t="n"/>
    </row>
    <row r="48" ht="23.85" customHeight="1" s="17">
      <c r="A48" s="28" t="n">
        <v>19</v>
      </c>
      <c r="B48" s="27" t="inlineStr">
        <is>
          <t>Think about how you don't feel up to doing anything</t>
        </is>
      </c>
      <c r="C48" s="27" t="inlineStr">
        <is>
          <t>Depression-related items (not scored as a subscale)</t>
        </is>
      </c>
      <c r="D48" s="27" t="inlineStr">
        <is>
          <t>FALSE</t>
        </is>
      </c>
      <c r="E48" s="27" t="inlineStr">
        <is>
          <t>FALSE</t>
        </is>
      </c>
      <c r="F48" s="27" t="n"/>
    </row>
    <row r="49" ht="15" customHeight="1" s="17">
      <c r="A49" s="28" t="n">
        <v>20</v>
      </c>
      <c r="B49" s="27" t="inlineStr">
        <is>
          <t>Analyze your personality to try to understand why you are depressed</t>
        </is>
      </c>
      <c r="C49" s="27" t="inlineStr">
        <is>
          <t>Reflection</t>
        </is>
      </c>
      <c r="D49" s="27" t="inlineStr">
        <is>
          <t>FALSE</t>
        </is>
      </c>
      <c r="E49" s="27" t="inlineStr">
        <is>
          <t>FALSE</t>
        </is>
      </c>
      <c r="F49" s="27" t="n"/>
    </row>
    <row r="50" ht="15" customHeight="1" s="17">
      <c r="A50" s="28" t="n">
        <v>21</v>
      </c>
      <c r="B50" s="27" t="inlineStr">
        <is>
          <t>Go someplace alone to think about your feelings</t>
        </is>
      </c>
      <c r="C50" s="27" t="inlineStr">
        <is>
          <t>Reflection</t>
        </is>
      </c>
      <c r="D50" s="27" t="inlineStr">
        <is>
          <t>FALSE</t>
        </is>
      </c>
      <c r="E50" s="27" t="inlineStr">
        <is>
          <t>FALSE</t>
        </is>
      </c>
      <c r="F50" s="27" t="n"/>
    </row>
    <row r="51" ht="23.85" customHeight="1" s="17">
      <c r="A51" s="28" t="n">
        <v>22</v>
      </c>
      <c r="B51" s="27" t="inlineStr">
        <is>
          <t>Think about how angry you are with yourself</t>
        </is>
      </c>
      <c r="C51" s="27" t="inlineStr">
        <is>
          <t>Depression-related items (not scored as a subscale)</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5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Forms of Self-Criticising/Attacking and Self-Reassuring Scale</t>
        </is>
      </c>
    </row>
    <row r="2"/>
    <row r="3" ht="15" customHeight="1" s="17">
      <c r="A3" s="35" t="inlineStr">
        <is>
          <t>Instrument</t>
        </is>
      </c>
      <c r="B3" s="27" t="inlineStr">
        <is>
          <t>Forms of Self-Criticising/Attacking and Self-Reassuring Scale</t>
        </is>
      </c>
    </row>
    <row r="4" ht="15" customHeight="1" s="17">
      <c r="A4" s="35" t="inlineStr">
        <is>
          <t>Code</t>
        </is>
      </c>
      <c r="B4" s="27" t="inlineStr">
        <is>
          <t>FSCRS</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Self-criticism and self-reassurance as distinct forms of self-relating that people use when things go wrong: an inadequacy-focused form of self-criticism, a more punitive, self-disgust-based (hated-self) form of self-criticism, and the capacity to be self-reassuring/self-supportive.</t>
        </is>
      </c>
    </row>
    <row r="8" ht="15" customHeight="1" s="17">
      <c r="A8" s="35" t="inlineStr">
        <is>
          <t>Respondent</t>
        </is>
      </c>
      <c r="B8" s="27" t="inlineStr">
        <is>
          <t>Adult self-report</t>
        </is>
      </c>
    </row>
    <row r="9" ht="45" customHeight="1" s="17">
      <c r="A9" s="35" t="inlineStr">
        <is>
          <t>Age range</t>
        </is>
      </c>
      <c r="B9" s="27" t="inlineStr">
        <is>
          <t>Not stated on the source document. The original 2004 development sample was female university students; the scale has since been used across adult clinical and non-clinical populations, but no formal age range is specified in the fetched source.</t>
        </is>
      </c>
    </row>
    <row r="10" ht="15" customHeight="1" s="17">
      <c r="A10" s="35" t="inlineStr">
        <is>
          <t>Items in instrument</t>
        </is>
      </c>
      <c r="B10" s="27" t="inlineStr">
        <is>
          <t>22</t>
        </is>
      </c>
    </row>
    <row r="11" ht="15" customHeight="1" s="17">
      <c r="A11" s="35" t="inlineStr">
        <is>
          <t>Items reproduced here</t>
        </is>
      </c>
      <c r="B11" s="27" t="inlineStr">
        <is>
          <t>22</t>
        </is>
      </c>
    </row>
    <row r="12" ht="30" customHeight="1" s="17">
      <c r="A12" s="35" t="inlineStr">
        <is>
          <t>Administration time</t>
        </is>
      </c>
      <c r="B12" s="27" t="inlineStr">
        <is>
          <t>Not stated in the source. A brief 22-item self-report measure, typically completed in a few minutes.</t>
        </is>
      </c>
    </row>
    <row r="13" ht="105" customHeight="1" s="17">
      <c r="A13" s="35" t="inlineStr">
        <is>
          <t>Cost and access</t>
        </is>
      </c>
      <c r="B13" s="27" t="inlineStr">
        <is>
          <t>The scale is freely downloadable (e.g. via the Portland Psychotherapy Clinic hosting used here) and is very widely used in clinical, compassion-focused therapy and coaching-adjacent contexts without a reported paywall or licensing fee. The document carries the notice "© Gilbert et al., 2004" but no explicit statement granting or restricting commercial/paid-coaching use. Treat as reasonably safe to administer with citation, but not as a confirmed formal commercial licence; a courtesy email to the authors would close this gap before large-scale paid use. Licensing note: Free / open access, with an author copyright notice</t>
        </is>
      </c>
    </row>
    <row r="14" ht="135" customHeight="1" s="17">
      <c r="A14" s="35" t="inlineStr">
        <is>
          <t>Coaching application</t>
        </is>
      </c>
      <c r="B14" s="27" t="inlineStr">
        <is>
          <t>The FSCRS is one of the strongest available tools for identifying harsh, punitive self-talk under academic or early-career performance pressure, and it usefully separates self-criticism (Inadequate Self, Hated Self) from the client's existing capacity to self-reassure (Reassured Self), which is directly actionable as a coaching target. Because item 9 references wanting to hurt or injure oneself, it needs careful, consent-based framing in a non-clinical coaching setting, with a clear plan for what happens if it is endorsed, and should be introduced only once appropriate rapport and safety-checking practices are in place. As a self-report measure of self-relating style rather than a diagnostic tool, elevated Hated Self scores should prompt sensitive follow-up and, where indicated, referral rather than being worked with in coaching alone.</t>
        </is>
      </c>
    </row>
    <row r="15" ht="75" customHeight="1" s="17">
      <c r="A15" s="35" t="inlineStr">
        <is>
          <t>Purpose</t>
        </is>
      </c>
      <c r="B15" s="27" t="inlineStr">
        <is>
          <t>The FSCRS was developed by Gilbert, Clarke, Hempel, Miles and Irons (2004) to explore the different forms, styles and functions of self-criticism and self-reassurance that people use when they feel they have fallen short or things have gone wrong. It distinguishes an inadequacy-focused form of self-attacking from a more hostile, punitive, self-disgust/self-hatred form, and separately measures the person's capacity to respond to setbacks with self-support and self-reassurance.</t>
        </is>
      </c>
    </row>
    <row r="16" ht="90" customHeight="1" s="17">
      <c r="A16" s="35" t="inlineStr">
        <is>
          <t>Instructions / prompt</t>
        </is>
      </c>
      <c r="B16" s="27" t="inlineStr">
        <is>
          <t>When things go wrong in our lives or don't work out as we hoped, and we feel we could have done better, we sometimes have negative and self-critical thoughts and feelings. These may take the form of feeling worthless, useless or inferior etc. However, people can also try to be supportive of themselves. Below are a series of thoughts and feelings that people sometimes have. Read each statement carefully and circle the number that best describes how much each statement is true for you. Please use the scale below.</t>
        </is>
      </c>
    </row>
    <row r="17" ht="30" customHeight="1" s="17">
      <c r="A17" s="35" t="inlineStr">
        <is>
          <t>Response options</t>
        </is>
      </c>
      <c r="B17" s="27" t="inlineStr">
        <is>
          <t>Not at all like me = 0 | A little bit like me = 1 | Moderately like me = 2 | Quite a bit like me = 3 | Extremely like 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Each subscale is scored as the sum of its own items: Inadequate Self (9 items, range 0-36), Hated Self (5 items, range 0-20), Reassured Self (8 items, range 0-32). There is no single overall FSCRS total; the three subscales are interpreted separately (Gilbert et al., 2004).</t>
        </is>
      </c>
    </row>
    <row r="21" ht="15" customHeight="1" s="17">
      <c r="A21" s="35" t="inlineStr">
        <is>
          <t>Interpretation bands</t>
        </is>
      </c>
      <c r="B21" s="27" t="inlineStr">
        <is>
          <t>Not stated on source</t>
        </is>
      </c>
    </row>
    <row r="22" ht="15" customHeight="1" s="17">
      <c r="A22" s="35" t="inlineStr">
        <is>
          <t>Cut-offs</t>
        </is>
      </c>
      <c r="B22" s="27" t="inlineStr">
        <is>
          <t>No clinical cutoff scores were reported in the fetched source.</t>
        </is>
      </c>
    </row>
    <row r="23" ht="60" customHeight="1" s="17">
      <c r="A23" s="35" t="inlineStr">
        <is>
          <t>Normative data</t>
        </is>
      </c>
      <c r="B23" s="27" t="inlineStr">
        <is>
          <t>No normative means/SDs by population were extractable from the fetched source. The original development sample was female university students (UK); the source notes the scale has since been re-validated across thirteen countries (Baíao et al., 2015 normative study), but that paper was not directly fetched this session.</t>
        </is>
      </c>
    </row>
    <row r="24" ht="30" customHeight="1" s="17">
      <c r="A24" s="35" t="inlineStr">
        <is>
          <t>Psychometric properties</t>
        </is>
      </c>
      <c r="B24" s="27" t="inlineStr">
        <is>
          <t>Cronbach's alpha = .90 (Inadequate Self), .86 (Hated Self), .86 (Reassured Self), as reported in the fetched source document (Gilbert et al., 2004).</t>
        </is>
      </c>
    </row>
    <row r="25" ht="45" customHeight="1" s="17">
      <c r="A25" s="35" t="inlineStr">
        <is>
          <t>Developer citation</t>
        </is>
      </c>
      <c r="B25" s="27" t="inlineStr">
        <is>
          <t>Gilbert, P., Clarke, M., Hempel, S., Miles, J. N. V., &amp; Irons, C. (2004). Criticizing and reassuring oneself: An exploration of forms, styles and reasons in female students. British Journal of Clinical Psychology, 43(1), 31–50. https://doi.org/10.1348/014466504772812959</t>
        </is>
      </c>
    </row>
    <row r="26" ht="30" customHeight="1" s="17">
      <c r="A26" s="35" t="inlineStr">
        <is>
          <t>Copyright and licensing</t>
        </is>
      </c>
      <c r="B26" s="27" t="inlineStr">
        <is>
          <t>© Gilbert et al., 2004 (notice appears on the source document). No explicit commercial-use grant or restriction was found beyond this author copyright notice.</t>
        </is>
      </c>
    </row>
    <row r="27" ht="30" customHeight="1" s="17">
      <c r="A27" s="35" t="inlineStr">
        <is>
          <t>Source URL</t>
        </is>
      </c>
      <c r="B27" s="27" t="inlineStr">
        <is>
          <t>https://d3n8a8pro7vhmx.cloudfront.net/portlandpsychotherapy/pages/21/attachments/original/1438799410/Forms_of_self-criticising_and_self_reassuring_scale.pdf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am easily disappointed with myself.</t>
        </is>
      </c>
      <c r="C30" s="27" t="inlineStr">
        <is>
          <t>Inadequate Self</t>
        </is>
      </c>
      <c r="D30" s="27" t="inlineStr">
        <is>
          <t>FALSE</t>
        </is>
      </c>
      <c r="E30" s="27" t="inlineStr">
        <is>
          <t>FALSE</t>
        </is>
      </c>
      <c r="F30" s="27" t="n"/>
    </row>
    <row r="31" ht="15" customHeight="1" s="17">
      <c r="A31" s="28" t="n">
        <v>2</v>
      </c>
      <c r="B31" s="27" t="inlineStr">
        <is>
          <t>There is a part of me that puts me down.</t>
        </is>
      </c>
      <c r="C31" s="27" t="inlineStr">
        <is>
          <t>Inadequate Self</t>
        </is>
      </c>
      <c r="D31" s="27" t="inlineStr">
        <is>
          <t>FALSE</t>
        </is>
      </c>
      <c r="E31" s="27" t="inlineStr">
        <is>
          <t>FALSE</t>
        </is>
      </c>
      <c r="F31" s="27" t="n"/>
    </row>
    <row r="32" ht="15" customHeight="1" s="17">
      <c r="A32" s="28" t="n">
        <v>3</v>
      </c>
      <c r="B32" s="27" t="inlineStr">
        <is>
          <t>I am able to remind myself of positive things about myself.</t>
        </is>
      </c>
      <c r="C32" s="27" t="inlineStr">
        <is>
          <t>Reassured Self</t>
        </is>
      </c>
      <c r="D32" s="27" t="inlineStr">
        <is>
          <t>FALSE</t>
        </is>
      </c>
      <c r="E32" s="27" t="inlineStr">
        <is>
          <t>FALSE</t>
        </is>
      </c>
      <c r="F32" s="27" t="n"/>
    </row>
    <row r="33" ht="15" customHeight="1" s="17">
      <c r="A33" s="28" t="n">
        <v>4</v>
      </c>
      <c r="B33" s="27" t="inlineStr">
        <is>
          <t>I find it difficult to control my anger and frustration at myself.</t>
        </is>
      </c>
      <c r="C33" s="27" t="inlineStr">
        <is>
          <t>Inadequate Self</t>
        </is>
      </c>
      <c r="D33" s="27" t="inlineStr">
        <is>
          <t>FALSE</t>
        </is>
      </c>
      <c r="E33" s="27" t="inlineStr">
        <is>
          <t>FALSE</t>
        </is>
      </c>
      <c r="F33" s="27" t="n"/>
    </row>
    <row r="34" ht="15" customHeight="1" s="17">
      <c r="A34" s="28" t="n">
        <v>5</v>
      </c>
      <c r="B34" s="27" t="inlineStr">
        <is>
          <t>I find it easy to forgive myself.</t>
        </is>
      </c>
      <c r="C34" s="27" t="inlineStr">
        <is>
          <t>Reassured Self</t>
        </is>
      </c>
      <c r="D34" s="27" t="inlineStr">
        <is>
          <t>FALSE</t>
        </is>
      </c>
      <c r="E34" s="27" t="inlineStr">
        <is>
          <t>FALSE</t>
        </is>
      </c>
      <c r="F34" s="27" t="n"/>
    </row>
    <row r="35" ht="15" customHeight="1" s="17">
      <c r="A35" s="28" t="n">
        <v>6</v>
      </c>
      <c r="B35" s="27" t="inlineStr">
        <is>
          <t>There is a part of me that feels I am not good enough.</t>
        </is>
      </c>
      <c r="C35" s="27" t="inlineStr">
        <is>
          <t>Inadequate Self</t>
        </is>
      </c>
      <c r="D35" s="27" t="inlineStr">
        <is>
          <t>FALSE</t>
        </is>
      </c>
      <c r="E35" s="27" t="inlineStr">
        <is>
          <t>FALSE</t>
        </is>
      </c>
      <c r="F35" s="27" t="n"/>
    </row>
    <row r="36" ht="15" customHeight="1" s="17">
      <c r="A36" s="28" t="n">
        <v>7</v>
      </c>
      <c r="B36" s="27" t="inlineStr">
        <is>
          <t>I feel beaten down by my own self-critical thoughts.</t>
        </is>
      </c>
      <c r="C36" s="27" t="inlineStr">
        <is>
          <t>Inadequate Self</t>
        </is>
      </c>
      <c r="D36" s="27" t="inlineStr">
        <is>
          <t>FALSE</t>
        </is>
      </c>
      <c r="E36" s="27" t="inlineStr">
        <is>
          <t>FALSE</t>
        </is>
      </c>
      <c r="F36" s="27" t="n"/>
    </row>
    <row r="37" ht="15" customHeight="1" s="17">
      <c r="A37" s="28" t="n">
        <v>8</v>
      </c>
      <c r="B37" s="27" t="inlineStr">
        <is>
          <t>I still like being me.</t>
        </is>
      </c>
      <c r="C37" s="27" t="inlineStr">
        <is>
          <t>Reassured Self</t>
        </is>
      </c>
      <c r="D37" s="27" t="inlineStr">
        <is>
          <t>FALSE</t>
        </is>
      </c>
      <c r="E37" s="27" t="inlineStr">
        <is>
          <t>FALSE</t>
        </is>
      </c>
      <c r="F37" s="27" t="n"/>
    </row>
    <row r="38" ht="57.45" customHeight="1" s="17">
      <c r="A38" s="28" t="n">
        <v>9</v>
      </c>
      <c r="B38" s="27" t="inlineStr">
        <is>
          <t>I have become so angry with myself that I want to hurt or injure myself.</t>
        </is>
      </c>
      <c r="C38" s="27" t="inlineStr">
        <is>
          <t>Hated Self</t>
        </is>
      </c>
      <c r="D38" s="27" t="inlineStr">
        <is>
          <t>FALSE</t>
        </is>
      </c>
      <c r="E38" s="27" t="inlineStr">
        <is>
          <t>FALSE</t>
        </is>
      </c>
      <c r="F38" s="27" t="inlineStr">
        <is>
          <t>Sits close to self-harm content. Needs careful, consent-based framing in coaching: introduce only with appropriate rapport and a clear safety-checking plan for what happens if this item is endorsed, and treat any endorsement as a prompt for sensitive follow-up and referral consideration rather than something to work with in coaching alone.</t>
        </is>
      </c>
    </row>
    <row r="39" ht="15" customHeight="1" s="17">
      <c r="A39" s="28" t="n">
        <v>10</v>
      </c>
      <c r="B39" s="27" t="inlineStr">
        <is>
          <t>I have a sense of disgust with myself.</t>
        </is>
      </c>
      <c r="C39" s="27" t="inlineStr">
        <is>
          <t>Hated Self</t>
        </is>
      </c>
      <c r="D39" s="27" t="inlineStr">
        <is>
          <t>FALSE</t>
        </is>
      </c>
      <c r="E39" s="27" t="inlineStr">
        <is>
          <t>FALSE</t>
        </is>
      </c>
      <c r="F39" s="27" t="n"/>
    </row>
    <row r="40" ht="15" customHeight="1" s="17">
      <c r="A40" s="28" t="n">
        <v>11</v>
      </c>
      <c r="B40" s="27" t="inlineStr">
        <is>
          <t>I can still feel lovable and acceptable.</t>
        </is>
      </c>
      <c r="C40" s="27" t="inlineStr">
        <is>
          <t>Reassured Self</t>
        </is>
      </c>
      <c r="D40" s="27" t="inlineStr">
        <is>
          <t>FALSE</t>
        </is>
      </c>
      <c r="E40" s="27" t="inlineStr">
        <is>
          <t>FALSE</t>
        </is>
      </c>
      <c r="F40" s="27" t="n"/>
    </row>
    <row r="41" ht="15" customHeight="1" s="17">
      <c r="A41" s="28" t="n">
        <v>12</v>
      </c>
      <c r="B41" s="27" t="inlineStr">
        <is>
          <t>I stop caring about myself.</t>
        </is>
      </c>
      <c r="C41" s="27" t="inlineStr">
        <is>
          <t>Hated Self</t>
        </is>
      </c>
      <c r="D41" s="27" t="inlineStr">
        <is>
          <t>FALSE</t>
        </is>
      </c>
      <c r="E41" s="27" t="inlineStr">
        <is>
          <t>FALSE</t>
        </is>
      </c>
      <c r="F41" s="27" t="n"/>
    </row>
    <row r="42" ht="15" customHeight="1" s="17">
      <c r="A42" s="28" t="n">
        <v>13</v>
      </c>
      <c r="B42" s="27" t="inlineStr">
        <is>
          <t>I find it easy to like myself.</t>
        </is>
      </c>
      <c r="C42" s="27" t="inlineStr">
        <is>
          <t>Reassured Self</t>
        </is>
      </c>
      <c r="D42" s="27" t="inlineStr">
        <is>
          <t>FALSE</t>
        </is>
      </c>
      <c r="E42" s="27" t="inlineStr">
        <is>
          <t>FALSE</t>
        </is>
      </c>
      <c r="F42" s="27" t="n"/>
    </row>
    <row r="43" ht="15" customHeight="1" s="17">
      <c r="A43" s="28" t="n">
        <v>14</v>
      </c>
      <c r="B43" s="27" t="inlineStr">
        <is>
          <t>I remember and dwell on my failings.</t>
        </is>
      </c>
      <c r="C43" s="27" t="inlineStr">
        <is>
          <t>Inadequate Self</t>
        </is>
      </c>
      <c r="D43" s="27" t="inlineStr">
        <is>
          <t>FALSE</t>
        </is>
      </c>
      <c r="E43" s="27" t="inlineStr">
        <is>
          <t>FALSE</t>
        </is>
      </c>
      <c r="F43" s="27" t="n"/>
    </row>
    <row r="44" ht="15" customHeight="1" s="17">
      <c r="A44" s="28" t="n">
        <v>15</v>
      </c>
      <c r="B44" s="27" t="inlineStr">
        <is>
          <t>I call myself names.</t>
        </is>
      </c>
      <c r="C44" s="27" t="inlineStr">
        <is>
          <t>Hated Self</t>
        </is>
      </c>
      <c r="D44" s="27" t="inlineStr">
        <is>
          <t>FALSE</t>
        </is>
      </c>
      <c r="E44" s="27" t="inlineStr">
        <is>
          <t>FALSE</t>
        </is>
      </c>
      <c r="F44" s="27" t="n"/>
    </row>
    <row r="45" ht="15" customHeight="1" s="17">
      <c r="A45" s="28" t="n">
        <v>16</v>
      </c>
      <c r="B45" s="27" t="inlineStr">
        <is>
          <t>I am gentle and supportive with myself.</t>
        </is>
      </c>
      <c r="C45" s="27" t="inlineStr">
        <is>
          <t>Reassured Self</t>
        </is>
      </c>
      <c r="D45" s="27" t="inlineStr">
        <is>
          <t>FALSE</t>
        </is>
      </c>
      <c r="E45" s="27" t="inlineStr">
        <is>
          <t>FALSE</t>
        </is>
      </c>
      <c r="F45" s="27" t="n"/>
    </row>
    <row r="46" ht="15" customHeight="1" s="17">
      <c r="A46" s="28" t="n">
        <v>17</v>
      </c>
      <c r="B46" s="27" t="inlineStr">
        <is>
          <t>I can't accept failures and setbacks without feeling inadequate.</t>
        </is>
      </c>
      <c r="C46" s="27" t="inlineStr">
        <is>
          <t>Inadequate Self</t>
        </is>
      </c>
      <c r="D46" s="27" t="inlineStr">
        <is>
          <t>FALSE</t>
        </is>
      </c>
      <c r="E46" s="27" t="inlineStr">
        <is>
          <t>FALSE</t>
        </is>
      </c>
      <c r="F46" s="27" t="n"/>
    </row>
    <row r="47" ht="15" customHeight="1" s="17">
      <c r="A47" s="28" t="n">
        <v>18</v>
      </c>
      <c r="B47" s="27" t="inlineStr">
        <is>
          <t>I think I deserve my self-criticism.</t>
        </is>
      </c>
      <c r="C47" s="27" t="inlineStr">
        <is>
          <t>Inadequate Self</t>
        </is>
      </c>
      <c r="D47" s="27" t="inlineStr">
        <is>
          <t>FALSE</t>
        </is>
      </c>
      <c r="E47" s="27" t="inlineStr">
        <is>
          <t>FALSE</t>
        </is>
      </c>
      <c r="F47" s="27" t="n"/>
    </row>
    <row r="48" ht="15" customHeight="1" s="17">
      <c r="A48" s="28" t="n">
        <v>19</v>
      </c>
      <c r="B48" s="27" t="inlineStr">
        <is>
          <t>I am able to care and look after myself.</t>
        </is>
      </c>
      <c r="C48" s="27" t="inlineStr">
        <is>
          <t>Reassured Self</t>
        </is>
      </c>
      <c r="D48" s="27" t="inlineStr">
        <is>
          <t>FALSE</t>
        </is>
      </c>
      <c r="E48" s="27" t="inlineStr">
        <is>
          <t>FALSE</t>
        </is>
      </c>
      <c r="F48" s="27" t="n"/>
    </row>
    <row r="49" ht="15" customHeight="1" s="17">
      <c r="A49" s="28" t="n">
        <v>20</v>
      </c>
      <c r="B49" s="27" t="inlineStr">
        <is>
          <t>There is a part of me that wants to get rid of the bits I don't like.</t>
        </is>
      </c>
      <c r="C49" s="27" t="inlineStr">
        <is>
          <t>Inadequate Self</t>
        </is>
      </c>
      <c r="D49" s="27" t="inlineStr">
        <is>
          <t>FALSE</t>
        </is>
      </c>
      <c r="E49" s="27" t="inlineStr">
        <is>
          <t>FALSE</t>
        </is>
      </c>
      <c r="F49" s="27" t="n"/>
    </row>
    <row r="50" ht="15" customHeight="1" s="17">
      <c r="A50" s="28" t="n">
        <v>21</v>
      </c>
      <c r="B50" s="27" t="inlineStr">
        <is>
          <t>I encourage myself for the future.</t>
        </is>
      </c>
      <c r="C50" s="27" t="inlineStr">
        <is>
          <t>Reassured Self</t>
        </is>
      </c>
      <c r="D50" s="27" t="inlineStr">
        <is>
          <t>FALSE</t>
        </is>
      </c>
      <c r="E50" s="27" t="inlineStr">
        <is>
          <t>FALSE</t>
        </is>
      </c>
      <c r="F50" s="27" t="n"/>
    </row>
    <row r="51" ht="15" customHeight="1" s="17">
      <c r="A51" s="28" t="n">
        <v>22</v>
      </c>
      <c r="B51" s="27" t="inlineStr">
        <is>
          <t>I do not like being me.</t>
        </is>
      </c>
      <c r="C51" s="27" t="inlineStr">
        <is>
          <t>Hated Self</t>
        </is>
      </c>
      <c r="D51" s="27" t="inlineStr">
        <is>
          <t>FALSE</t>
        </is>
      </c>
      <c r="E51" s="27" t="inlineStr">
        <is>
          <t>FALSE</t>
        </is>
      </c>
      <c r="F51" s="27" t="n"/>
    </row>
  </sheetData>
  <autoFilter ref="A29:F5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F5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Perfectionism Cognitions Inventory</t>
        </is>
      </c>
    </row>
    <row r="2"/>
    <row r="3" ht="15" customHeight="1" s="17">
      <c r="A3" s="35" t="inlineStr">
        <is>
          <t>Instrument</t>
        </is>
      </c>
      <c r="B3" s="27" t="inlineStr">
        <is>
          <t>Perfectionism Cognitions Inventory</t>
        </is>
      </c>
    </row>
    <row r="4" ht="15" customHeight="1" s="17">
      <c r="A4" s="35" t="inlineStr">
        <is>
          <t>Code</t>
        </is>
      </c>
      <c r="B4" s="27" t="inlineStr">
        <is>
          <t>PCI</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Frequency of perfectionism-related automatic thoughts (perfectionistic cognitions) over the preceding week, e.g. thoughts such as "Why can't I be perfect" or "My work should be flawless", as distinct from trait perfectionism itself.</t>
        </is>
      </c>
    </row>
    <row r="8" ht="15" customHeight="1" s="17">
      <c r="A8" s="35" t="inlineStr">
        <is>
          <t>Respondent</t>
        </is>
      </c>
      <c r="B8" s="27" t="inlineStr">
        <is>
          <t>Self-report</t>
        </is>
      </c>
    </row>
    <row r="9" ht="45" customHeight="1" s="17">
      <c r="A9" s="35" t="inlineStr">
        <is>
          <t>Age range</t>
        </is>
      </c>
      <c r="B9" s="27" t="inlineStr">
        <is>
          <t>NovoPsych lists the PCI as suitable from age 15 and up. The original Flett, Hewitt, Blankstein &amp; Gray (1998) development/validation samples were adult (psychiatric patients, adults recovering from alcoholism, and university students).</t>
        </is>
      </c>
    </row>
    <row r="10" ht="15" customHeight="1" s="17">
      <c r="A10" s="35" t="inlineStr">
        <is>
          <t>Items in instrument</t>
        </is>
      </c>
      <c r="B10" s="27" t="inlineStr">
        <is>
          <t>25</t>
        </is>
      </c>
    </row>
    <row r="11" ht="15" customHeight="1" s="17">
      <c r="A11" s="35" t="inlineStr">
        <is>
          <t>Items reproduced here</t>
        </is>
      </c>
      <c r="B11" s="27" t="inlineStr">
        <is>
          <t>25</t>
        </is>
      </c>
    </row>
    <row r="12" ht="15" customHeight="1" s="17">
      <c r="A12" s="35" t="inlineStr">
        <is>
          <t>Administration time</t>
        </is>
      </c>
      <c r="B12" s="27" t="inlineStr">
        <is>
          <t>Approximately 4 minutes (per NovoPsych).</t>
        </is>
      </c>
    </row>
    <row r="13" ht="135" customHeight="1" s="17">
      <c r="A13" s="35" t="inlineStr">
        <is>
          <t>Cost and access</t>
        </is>
      </c>
      <c r="B13" s="27" t="inlineStr">
        <is>
          <t>The 25 items, respondent instructions and simple 0-100 summed scoring are freely reproduced across the psychometric literature and hosted by the original authors' own lab (Hewitt Lab, UBC) with no visible paywall or explicit commercial restriction. NovoPsych also hosts the PCI with automated scoring against community and clinical percentile norms; its sample results report was retrievable and used for the norm/interpretation detail below, but full access to run and score the instrument on the platform requires a NovoPsych professional registration (app.novopsych.com). For manual/paper administration in coaching, the items may be used and hand-scored directly with citation. Licensing note: Free / open access for the items and scoring algorithm (no restriction found in the developer sources); NovoPsych's own norms/percentiles are presented through NovoPsych's professional-access platform.</t>
        </is>
      </c>
    </row>
    <row r="14" ht="135" customHeight="1" s="17">
      <c r="A14" s="35" t="inlineStr">
        <is>
          <t>Coaching application</t>
        </is>
      </c>
      <c r="B14" s="27" t="inlineStr">
        <is>
          <t>The PCI is the clearest "automatic thoughts of perfectionism" instrument among the measures reviewed, making it a natural session-opener for university students and early-career professionals whose main presenting issue is perfectionistic self-talk (e.g. around assignments, exams or performance reviews) rather than general worry or low mood. Because it measures frequency of thoughts over the past week, it can be re-administered across a coaching programme to track whether strategies are reducing how often these thoughts intrude, which is directly useful for session-to-session progress tracking. As with all self-report frequency measures, a high score identifies a thinking pattern to work with in coaching, not a diagnosis, and very high or distressing scores should prompt a broader wellbeing check.</t>
        </is>
      </c>
    </row>
    <row r="15" ht="75" customHeight="1" s="17">
      <c r="A15" s="35" t="inlineStr">
        <is>
          <t>Purpose</t>
        </is>
      </c>
      <c r="B15" s="27" t="inlineStr">
        <is>
          <t>The PCI was developed by Flett, Hewitt, Blankstein and Gray (1998) as a 25-item measure of the frequency of automatic thoughts with perfectionistic themes (e.g. the need to be perfect, self-criticism for falling short of perfection) occurring over the preceding week. It was designed to capture perfectionism at the level of momentary automatic cognition, complementing trait-level perfectionism measures, and has been used to study links between perfectionistic thinking and psychological distress.</t>
        </is>
      </c>
    </row>
    <row r="16" ht="45" customHeight="1" s="17">
      <c r="A16" s="35" t="inlineStr">
        <is>
          <t>Instructions / prompt</t>
        </is>
      </c>
      <c r="B16" s="27" t="inlineStr">
        <is>
          <t>Listed below are a variety of thoughts about perfectionism that sometimes pop into people's heads. Please read each thought and indicate how frequently, if at all, the thoughts occurred to you over the last week.</t>
        </is>
      </c>
    </row>
    <row r="17" ht="15" customHeight="1" s="17">
      <c r="A17" s="35" t="inlineStr">
        <is>
          <t>Response options</t>
        </is>
      </c>
      <c r="B17" s="27" t="inlineStr">
        <is>
          <t>Not At All = 0 | Sometimes = 1 | Moderately Often = 2 | Often = 3 | All of the time = 4</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Total score is the sum of all 25 items, converted/reported on a 0-100 scale, with higher scores indicating a greater frequency of perfectionistic cognitions (per NovoPsych's automatic scoring report). The instrument is unidimensional; no subscales are used.</t>
        </is>
      </c>
    </row>
    <row r="21" ht="90" customHeight="1" s="17">
      <c r="A21" s="35" t="inlineStr">
        <is>
          <t>Interpretation bands</t>
        </is>
      </c>
      <c r="B21" s="27" t="inlineStr">
        <is>
          <t>Typical: around the 50th percentile of the community reference sample - Frequency of perfectionistic thinking broadly typical of the community normative sample (NovoPsych).
Clinically elevated: 85th percentile and above - Frequency of perfectionistic cognitions notably higher than the community reference sample, described by NovoPsych as clinically elevated (exact score-to-percentile mapping not further specified in the retrieved report excerpt).</t>
        </is>
      </c>
    </row>
    <row r="22" ht="45" customHeight="1" s="17">
      <c r="A22" s="35" t="inlineStr">
        <is>
          <t>Cut-offs</t>
        </is>
      </c>
      <c r="B22" s="27" t="inlineStr">
        <is>
          <t>NovoPsych's sample scoring report references percentile bands (50th percentile as typical, 85th percentile and above as clinically elevated) against a community/clinical reference sample, but did not provide the underlying raw-score-to-percentile table in the content retrieved this session.</t>
        </is>
      </c>
    </row>
    <row r="23" ht="75" customHeight="1" s="17">
      <c r="A23" s="35" t="inlineStr">
        <is>
          <t>Normative data</t>
        </is>
      </c>
      <c r="B23" s="27" t="inlineStr">
        <is>
          <t>NovoPsych's sample report states that community and clinical normative samples are used, with a reference age group of 26-45 years, but exact sample sizes and means/SDs were not retrievable from the content fetched this session. The original Flett et al. (1998) development sample was N = 747 university students, with subsequent validation in N = 258 psychiatric patients (Study 1) and N = 80 adults recovering from alcoholism (Study 2).</t>
        </is>
      </c>
    </row>
    <row r="24" ht="60" customHeight="1" s="17">
      <c r="A24" s="35" t="inlineStr">
        <is>
          <t>Psychometric properties</t>
        </is>
      </c>
      <c r="B24" s="27" t="inlineStr">
        <is>
          <t>Cronbach's alpha = .95 in both the psychiatric patient sample (N = 258, Study 1) and the recovering-alcoholism sample (N = 80, Study 2); mean inter-item correlation = .44. An earlier reported sample (N = 62 psychiatric patients) gave alpha = .95 with 3-month test-retest reliability = .85 (Flett, Hewitt, Blankstein, &amp; Gray, 1998).</t>
        </is>
      </c>
    </row>
    <row r="25" ht="45" customHeight="1" s="17">
      <c r="A25" s="35" t="inlineStr">
        <is>
          <t>Developer citation</t>
        </is>
      </c>
      <c r="B25" s="27" t="inlineStr">
        <is>
          <t>Flett, G. L., Hewitt, P. L., Blankstein, K. R., &amp; Gray, L. (1998). Psychological distress and the frequency of perfectionistic thinking. Journal of Personality and Social Psychology, 75(5), 1363–1381. https://doi.org/10.1037/0022-3514.75.5.1363</t>
        </is>
      </c>
    </row>
    <row r="26" ht="30" customHeight="1" s="17">
      <c r="A26" s="35" t="inlineStr">
        <is>
          <t>Copyright and licensing</t>
        </is>
      </c>
      <c r="B26" s="27" t="inlineStr">
        <is>
          <t>No explicit copyright or commercial-use restriction was found on the fetched sources (Hewitt Lab-hosted document, db.arabpsychology.com scale database, or the NovoPsych sample scoring report).</t>
        </is>
      </c>
    </row>
    <row r="27" ht="15" customHeight="1" s="17">
      <c r="A27" s="35" t="inlineStr">
        <is>
          <t>Source URL</t>
        </is>
      </c>
      <c r="B27" s="27" t="inlineStr">
        <is>
          <t>https://novopsych.com/assessments/formulation/perfectionistic-cognitions-inventory-pci/</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Why can't I be perfect</t>
        </is>
      </c>
      <c r="C30" s="27" t="inlineStr">
        <is>
          <t>Not stated on source</t>
        </is>
      </c>
      <c r="D30" s="27" t="inlineStr">
        <is>
          <t>FALSE</t>
        </is>
      </c>
      <c r="E30" s="27" t="inlineStr">
        <is>
          <t>FALSE</t>
        </is>
      </c>
      <c r="F30" s="27" t="n"/>
    </row>
    <row r="31" ht="15" customHeight="1" s="17">
      <c r="A31" s="28" t="n">
        <v>2</v>
      </c>
      <c r="B31" s="27" t="inlineStr">
        <is>
          <t>I need to do better</t>
        </is>
      </c>
      <c r="C31" s="27" t="inlineStr">
        <is>
          <t>Not stated on source</t>
        </is>
      </c>
      <c r="D31" s="27" t="inlineStr">
        <is>
          <t>FALSE</t>
        </is>
      </c>
      <c r="E31" s="27" t="inlineStr">
        <is>
          <t>FALSE</t>
        </is>
      </c>
      <c r="F31" s="27" t="n"/>
    </row>
    <row r="32" ht="15" customHeight="1" s="17">
      <c r="A32" s="28" t="n">
        <v>3</v>
      </c>
      <c r="B32" s="27" t="inlineStr">
        <is>
          <t>I should be perfect</t>
        </is>
      </c>
      <c r="C32" s="27" t="inlineStr">
        <is>
          <t>Not stated on source</t>
        </is>
      </c>
      <c r="D32" s="27" t="inlineStr">
        <is>
          <t>FALSE</t>
        </is>
      </c>
      <c r="E32" s="27" t="inlineStr">
        <is>
          <t>FALSE</t>
        </is>
      </c>
      <c r="F32" s="27" t="n"/>
    </row>
    <row r="33" ht="15" customHeight="1" s="17">
      <c r="A33" s="28" t="n">
        <v>4</v>
      </c>
      <c r="B33" s="27" t="inlineStr">
        <is>
          <t>I should never make the same mistake twice</t>
        </is>
      </c>
      <c r="C33" s="27" t="inlineStr">
        <is>
          <t>Not stated on source</t>
        </is>
      </c>
      <c r="D33" s="27" t="inlineStr">
        <is>
          <t>FALSE</t>
        </is>
      </c>
      <c r="E33" s="27" t="inlineStr">
        <is>
          <t>FALSE</t>
        </is>
      </c>
      <c r="F33" s="27" t="n"/>
    </row>
    <row r="34" ht="15" customHeight="1" s="17">
      <c r="A34" s="28" t="n">
        <v>5</v>
      </c>
      <c r="B34" s="27" t="inlineStr">
        <is>
          <t>I've got to keep working on my goals</t>
        </is>
      </c>
      <c r="C34" s="27" t="inlineStr">
        <is>
          <t>Not stated on source</t>
        </is>
      </c>
      <c r="D34" s="27" t="inlineStr">
        <is>
          <t>FALSE</t>
        </is>
      </c>
      <c r="E34" s="27" t="inlineStr">
        <is>
          <t>FALSE</t>
        </is>
      </c>
      <c r="F34" s="27" t="n"/>
    </row>
    <row r="35" ht="15" customHeight="1" s="17">
      <c r="A35" s="28" t="n">
        <v>6</v>
      </c>
      <c r="B35" s="27" t="inlineStr">
        <is>
          <t>I have to be the best</t>
        </is>
      </c>
      <c r="C35" s="27" t="inlineStr">
        <is>
          <t>Not stated on source</t>
        </is>
      </c>
      <c r="D35" s="27" t="inlineStr">
        <is>
          <t>FALSE</t>
        </is>
      </c>
      <c r="E35" s="27" t="inlineStr">
        <is>
          <t>FALSE</t>
        </is>
      </c>
      <c r="F35" s="27" t="n"/>
    </row>
    <row r="36" ht="15" customHeight="1" s="17">
      <c r="A36" s="28" t="n">
        <v>7</v>
      </c>
      <c r="B36" s="27" t="inlineStr">
        <is>
          <t>I should be doing more</t>
        </is>
      </c>
      <c r="C36" s="27" t="inlineStr">
        <is>
          <t>Not stated on source</t>
        </is>
      </c>
      <c r="D36" s="27" t="inlineStr">
        <is>
          <t>FALSE</t>
        </is>
      </c>
      <c r="E36" s="27" t="inlineStr">
        <is>
          <t>FALSE</t>
        </is>
      </c>
      <c r="F36" s="27" t="n"/>
    </row>
    <row r="37" ht="15" customHeight="1" s="17">
      <c r="A37" s="28" t="n">
        <v>8</v>
      </c>
      <c r="B37" s="27" t="inlineStr">
        <is>
          <t>I can't stand to make mistakes</t>
        </is>
      </c>
      <c r="C37" s="27" t="inlineStr">
        <is>
          <t>Not stated on source</t>
        </is>
      </c>
      <c r="D37" s="27" t="inlineStr">
        <is>
          <t>FALSE</t>
        </is>
      </c>
      <c r="E37" s="27" t="inlineStr">
        <is>
          <t>FALSE</t>
        </is>
      </c>
      <c r="F37" s="27" t="n"/>
    </row>
    <row r="38" ht="15" customHeight="1" s="17">
      <c r="A38" s="28" t="n">
        <v>9</v>
      </c>
      <c r="B38" s="27" t="inlineStr">
        <is>
          <t>I have to work hard all the time</t>
        </is>
      </c>
      <c r="C38" s="27" t="inlineStr">
        <is>
          <t>Not stated on source</t>
        </is>
      </c>
      <c r="D38" s="27" t="inlineStr">
        <is>
          <t>FALSE</t>
        </is>
      </c>
      <c r="E38" s="27" t="inlineStr">
        <is>
          <t>FALSE</t>
        </is>
      </c>
      <c r="F38" s="27" t="n"/>
    </row>
    <row r="39" ht="15" customHeight="1" s="17">
      <c r="A39" s="28" t="n">
        <v>10</v>
      </c>
      <c r="B39" s="27" t="inlineStr">
        <is>
          <t>No matter how much I do, it's never enough</t>
        </is>
      </c>
      <c r="C39" s="27" t="inlineStr">
        <is>
          <t>Not stated on source</t>
        </is>
      </c>
      <c r="D39" s="27" t="inlineStr">
        <is>
          <t>FALSE</t>
        </is>
      </c>
      <c r="E39" s="27" t="inlineStr">
        <is>
          <t>FALSE</t>
        </is>
      </c>
      <c r="F39" s="27" t="n"/>
    </row>
    <row r="40" ht="15" customHeight="1" s="17">
      <c r="A40" s="28" t="n">
        <v>11</v>
      </c>
      <c r="B40" s="27" t="inlineStr">
        <is>
          <t>People expect me to be perfect</t>
        </is>
      </c>
      <c r="C40" s="27" t="inlineStr">
        <is>
          <t>Not stated on source</t>
        </is>
      </c>
      <c r="D40" s="27" t="inlineStr">
        <is>
          <t>FALSE</t>
        </is>
      </c>
      <c r="E40" s="27" t="inlineStr">
        <is>
          <t>FALSE</t>
        </is>
      </c>
      <c r="F40" s="27" t="n"/>
    </row>
    <row r="41" ht="15" customHeight="1" s="17">
      <c r="A41" s="28" t="n">
        <v>12</v>
      </c>
      <c r="B41" s="27" t="inlineStr">
        <is>
          <t>I must be efficient at all times</t>
        </is>
      </c>
      <c r="C41" s="27" t="inlineStr">
        <is>
          <t>Not stated on source</t>
        </is>
      </c>
      <c r="D41" s="27" t="inlineStr">
        <is>
          <t>FALSE</t>
        </is>
      </c>
      <c r="E41" s="27" t="inlineStr">
        <is>
          <t>FALSE</t>
        </is>
      </c>
      <c r="F41" s="27" t="n"/>
    </row>
    <row r="42" ht="15" customHeight="1" s="17">
      <c r="A42" s="28" t="n">
        <v>13</v>
      </c>
      <c r="B42" s="27" t="inlineStr">
        <is>
          <t>My goals are very high</t>
        </is>
      </c>
      <c r="C42" s="27" t="inlineStr">
        <is>
          <t>Not stated on source</t>
        </is>
      </c>
      <c r="D42" s="27" t="inlineStr">
        <is>
          <t>FALSE</t>
        </is>
      </c>
      <c r="E42" s="27" t="inlineStr">
        <is>
          <t>FALSE</t>
        </is>
      </c>
      <c r="F42" s="27" t="n"/>
    </row>
    <row r="43" ht="15" customHeight="1" s="17">
      <c r="A43" s="28" t="n">
        <v>14</v>
      </c>
      <c r="B43" s="27" t="inlineStr">
        <is>
          <t>I can always do better, even if things are almost perfect</t>
        </is>
      </c>
      <c r="C43" s="27" t="inlineStr">
        <is>
          <t>Not stated on source</t>
        </is>
      </c>
      <c r="D43" s="27" t="inlineStr">
        <is>
          <t>FALSE</t>
        </is>
      </c>
      <c r="E43" s="27" t="inlineStr">
        <is>
          <t>FALSE</t>
        </is>
      </c>
      <c r="F43" s="27" t="n"/>
    </row>
    <row r="44" ht="15" customHeight="1" s="17">
      <c r="A44" s="28" t="n">
        <v>15</v>
      </c>
      <c r="B44" s="27" t="inlineStr">
        <is>
          <t>I expect to be perfect</t>
        </is>
      </c>
      <c r="C44" s="27" t="inlineStr">
        <is>
          <t>Not stated on source</t>
        </is>
      </c>
      <c r="D44" s="27" t="inlineStr">
        <is>
          <t>FALSE</t>
        </is>
      </c>
      <c r="E44" s="27" t="inlineStr">
        <is>
          <t>FALSE</t>
        </is>
      </c>
      <c r="F44" s="27" t="n"/>
    </row>
    <row r="45" ht="15" customHeight="1" s="17">
      <c r="A45" s="28" t="n">
        <v>16</v>
      </c>
      <c r="B45" s="27" t="inlineStr">
        <is>
          <t>Why can't things be perfect?</t>
        </is>
      </c>
      <c r="C45" s="27" t="inlineStr">
        <is>
          <t>Not stated on source</t>
        </is>
      </c>
      <c r="D45" s="27" t="inlineStr">
        <is>
          <t>FALSE</t>
        </is>
      </c>
      <c r="E45" s="27" t="inlineStr">
        <is>
          <t>FALSE</t>
        </is>
      </c>
      <c r="F45" s="27" t="n"/>
    </row>
    <row r="46" ht="15" customHeight="1" s="17">
      <c r="A46" s="28" t="n">
        <v>17</v>
      </c>
      <c r="B46" s="27" t="inlineStr">
        <is>
          <t>My work has to be superior</t>
        </is>
      </c>
      <c r="C46" s="27" t="inlineStr">
        <is>
          <t>Not stated on source</t>
        </is>
      </c>
      <c r="D46" s="27" t="inlineStr">
        <is>
          <t>FALSE</t>
        </is>
      </c>
      <c r="E46" s="27" t="inlineStr">
        <is>
          <t>FALSE</t>
        </is>
      </c>
      <c r="F46" s="27" t="n"/>
    </row>
    <row r="47" ht="15" customHeight="1" s="17">
      <c r="A47" s="28" t="n">
        <v>18</v>
      </c>
      <c r="B47" s="27" t="inlineStr">
        <is>
          <t>It would be great if everything in my life was perfect</t>
        </is>
      </c>
      <c r="C47" s="27" t="inlineStr">
        <is>
          <t>Not stated on source</t>
        </is>
      </c>
      <c r="D47" s="27" t="inlineStr">
        <is>
          <t>FALSE</t>
        </is>
      </c>
      <c r="E47" s="27" t="inlineStr">
        <is>
          <t>FALSE</t>
        </is>
      </c>
      <c r="F47" s="27" t="n"/>
    </row>
    <row r="48" ht="15" customHeight="1" s="17">
      <c r="A48" s="28" t="n">
        <v>19</v>
      </c>
      <c r="B48" s="27" t="inlineStr">
        <is>
          <t>My work should be flawless</t>
        </is>
      </c>
      <c r="C48" s="27" t="inlineStr">
        <is>
          <t>Not stated on source</t>
        </is>
      </c>
      <c r="D48" s="27" t="inlineStr">
        <is>
          <t>FALSE</t>
        </is>
      </c>
      <c r="E48" s="27" t="inlineStr">
        <is>
          <t>FALSE</t>
        </is>
      </c>
      <c r="F48" s="27" t="n"/>
    </row>
    <row r="49" ht="15" customHeight="1" s="17">
      <c r="A49" s="28" t="n">
        <v>20</v>
      </c>
      <c r="B49" s="27" t="inlineStr">
        <is>
          <t>Things are seldom ideal</t>
        </is>
      </c>
      <c r="C49" s="27" t="inlineStr">
        <is>
          <t>Not stated on source</t>
        </is>
      </c>
      <c r="D49" s="27" t="inlineStr">
        <is>
          <t>FALSE</t>
        </is>
      </c>
      <c r="E49" s="27" t="inlineStr">
        <is>
          <t>FALSE</t>
        </is>
      </c>
      <c r="F49" s="27" t="n"/>
    </row>
    <row r="50" ht="15" customHeight="1" s="17">
      <c r="A50" s="28" t="n">
        <v>21</v>
      </c>
      <c r="B50" s="27" t="inlineStr">
        <is>
          <t>How well am I doing?</t>
        </is>
      </c>
      <c r="C50" s="27" t="inlineStr">
        <is>
          <t>Not stated on source</t>
        </is>
      </c>
      <c r="D50" s="27" t="inlineStr">
        <is>
          <t>FALSE</t>
        </is>
      </c>
      <c r="E50" s="27" t="inlineStr">
        <is>
          <t>FALSE</t>
        </is>
      </c>
      <c r="F50" s="27" t="n"/>
    </row>
    <row r="51" ht="15" customHeight="1" s="17">
      <c r="A51" s="28" t="n">
        <v>22</v>
      </c>
      <c r="B51" s="27" t="inlineStr">
        <is>
          <t>I can't do this perfectly</t>
        </is>
      </c>
      <c r="C51" s="27" t="inlineStr">
        <is>
          <t>Not stated on source</t>
        </is>
      </c>
      <c r="D51" s="27" t="inlineStr">
        <is>
          <t>FALSE</t>
        </is>
      </c>
      <c r="E51" s="27" t="inlineStr">
        <is>
          <t>FALSE</t>
        </is>
      </c>
      <c r="F51" s="27" t="n"/>
    </row>
    <row r="52" ht="15" customHeight="1" s="17">
      <c r="A52" s="28" t="n">
        <v>23</v>
      </c>
      <c r="B52" s="27" t="inlineStr">
        <is>
          <t>I certainly have high standards</t>
        </is>
      </c>
      <c r="C52" s="27" t="inlineStr">
        <is>
          <t>Not stated on source</t>
        </is>
      </c>
      <c r="D52" s="27" t="inlineStr">
        <is>
          <t>FALSE</t>
        </is>
      </c>
      <c r="E52" s="27" t="inlineStr">
        <is>
          <t>FALSE</t>
        </is>
      </c>
      <c r="F52" s="27" t="n"/>
    </row>
    <row r="53" ht="15" customHeight="1" s="17">
      <c r="A53" s="28" t="n">
        <v>24</v>
      </c>
      <c r="B53" s="27" t="inlineStr">
        <is>
          <t>Maybe I should lower my goals</t>
        </is>
      </c>
      <c r="C53" s="27" t="inlineStr">
        <is>
          <t>Not stated on source</t>
        </is>
      </c>
      <c r="D53" s="27" t="inlineStr">
        <is>
          <t>FALSE</t>
        </is>
      </c>
      <c r="E53" s="27" t="inlineStr">
        <is>
          <t>FALSE</t>
        </is>
      </c>
      <c r="F53" s="27" t="n"/>
    </row>
    <row r="54" ht="15" customHeight="1" s="17">
      <c r="A54" s="28" t="n">
        <v>25</v>
      </c>
      <c r="B54" s="27" t="inlineStr">
        <is>
          <t>I am too much of a perfectionist</t>
        </is>
      </c>
      <c r="C54" s="27" t="inlineStr">
        <is>
          <t>Not stated on source</t>
        </is>
      </c>
      <c r="D54" s="27" t="inlineStr">
        <is>
          <t>FALSE</t>
        </is>
      </c>
      <c r="E54" s="27" t="inlineStr">
        <is>
          <t>FALSE</t>
        </is>
      </c>
      <c r="F54" s="27" t="n"/>
    </row>
  </sheetData>
  <autoFilter ref="A29:F5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Self-Compassion Scale – Short Form</t>
        </is>
      </c>
    </row>
    <row r="2"/>
    <row r="3" ht="15" customHeight="1" s="17">
      <c r="A3" s="35" t="inlineStr">
        <is>
          <t>Instrument</t>
        </is>
      </c>
      <c r="B3" s="27" t="inlineStr">
        <is>
          <t>Self-Compassion Scale – Short Form</t>
        </is>
      </c>
    </row>
    <row r="4" ht="15" customHeight="1" s="17">
      <c r="A4" s="35" t="inlineStr">
        <is>
          <t>Code</t>
        </is>
      </c>
      <c r="B4" s="27" t="inlineStr">
        <is>
          <t>SCS-SF</t>
        </is>
      </c>
    </row>
    <row r="5" ht="15" customHeight="1" s="17">
      <c r="A5" s="35" t="inlineStr">
        <is>
          <t>Domain</t>
        </is>
      </c>
      <c r="B5" s="27" t="inlineStr">
        <is>
          <t>5. Self talk, thinking patterns and personality</t>
        </is>
      </c>
    </row>
    <row r="6" ht="15" customHeight="1" s="17">
      <c r="A6" s="35" t="inlineStr">
        <is>
          <t>Availability</t>
        </is>
      </c>
      <c r="B6" s="27" t="inlineStr">
        <is>
          <t>Free / open access</t>
        </is>
      </c>
    </row>
    <row r="7" ht="45" customHeight="1" s="17">
      <c r="A7" s="35" t="inlineStr">
        <is>
          <t>Construct</t>
        </is>
      </c>
      <c r="B7" s="27" t="inlineStr">
        <is>
          <t>Self-compassion: treating oneself with kindness during difficult times, recognising one's experience as part shared common humanity, and holding painful thoughts/feelings in mindful awareness, versus self-judgment, isolation and over-identification with negative emotion.</t>
        </is>
      </c>
    </row>
    <row r="8" ht="15" customHeight="1" s="17">
      <c r="A8" s="35" t="inlineStr">
        <is>
          <t>Respondent</t>
        </is>
      </c>
      <c r="B8" s="27" t="inlineStr">
        <is>
          <t>Self-report</t>
        </is>
      </c>
    </row>
    <row r="9" ht="30" customHeight="1" s="17">
      <c r="A9" s="35" t="inlineStr">
        <is>
          <t>Age range</t>
        </is>
      </c>
      <c r="B9" s="27" t="inlineStr">
        <is>
          <t>NovoPsych lists 18 years and over. The English validation sample was University of Texas at Austin students; construction samples were Dutch/Belgian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Approximately 2 minutes (per NovoPsych).</t>
        </is>
      </c>
    </row>
    <row r="13" ht="120" customHeight="1" s="17">
      <c r="A13" s="35" t="inlineStr">
        <is>
          <t>Cost and access</t>
        </is>
      </c>
      <c r="B13" s="27" t="inlineStr">
        <is>
          <t>The author's own distribution site (self-compassion.org, Kristin Neff's official scale page) states explicitly: "Please feel free to use the Self-Compassion Scale – Short Form in your research," and does not gate clinical or coaching use; the standard Wiley 2010 journal copyright notice applies to the validation article itself, not to use of the instrument. NovoPsych also hosts the SCS-SF with automated scoring against normative comparison groups, with full scoring/psychometric detail sitting behind NovoPsych's professional-access platform (app.novopsych.com); NovoPsych's blank form and sample scoring report were both retrieved and used below. For manual/paper administration in coaching, the items and mean-based scoring can be used and hand-scored directly with citation.</t>
        </is>
      </c>
    </row>
    <row r="14" ht="120" customHeight="1" s="17">
      <c r="A14" s="35" t="inlineStr">
        <is>
          <t>Coaching application</t>
        </is>
      </c>
      <c r="B14" s="27" t="inlineStr">
        <is>
          <t>The SCS-SF is the natural "what to build" counterpart to a self-criticism measure like the FSCRS: rather than only identifying harsh self-talk, it measures the client's existing capacity for self-kindness, common humanity and mindful acceptance, which coaching can then work to strengthen. It is well suited to university students and early-career professionals navigating academic or performance setbacks, as a light, explicitly open-licensed check-in that pairs naturally with perfectionism- or rumination-focused work. As with all brief self-report scales, low scores flag a coaching target rather than a diagnosis, and very low scores alongside signs of distress should prompt a broader wellbeing conversation.</t>
        </is>
      </c>
    </row>
    <row r="15" ht="75" customHeight="1" s="17">
      <c r="A15" s="35" t="inlineStr">
        <is>
          <t>Purpose</t>
        </is>
      </c>
      <c r="B15" s="27" t="inlineStr">
        <is>
          <t>The SCS-SF was developed by Raes, Pommier, Neff and Van Gucht (2011) as a 12-item short form of Neff's original 26-item Self-Compassion Scale, designed to be a more time-efficient measure for use when the longer scale is impractical, while preserving the same six-facet structure (Self-Kindness, Self-Judgment, Common Humanity, Isolation, Mindfulness, Over-Identification) and strongly correlating with the long-form total score.</t>
        </is>
      </c>
    </row>
    <row r="16" ht="30" customHeight="1" s="17">
      <c r="A16" s="35" t="inlineStr">
        <is>
          <t>Instructions / prompt</t>
        </is>
      </c>
      <c r="B16" s="27" t="inlineStr">
        <is>
          <t>Please read each statement carefully before answering. Indicate how often you behave in the stated manner.</t>
        </is>
      </c>
    </row>
    <row r="17" ht="15" customHeight="1" s="17">
      <c r="A17" s="35" t="inlineStr">
        <is>
          <t>Response options</t>
        </is>
      </c>
      <c r="B17" s="27" t="inlineStr">
        <is>
          <t>Almost never = 1 | 2 = 2 | 3 = 3 | 4 = 4 | Almost always = 5</t>
        </is>
      </c>
    </row>
    <row r="18" ht="15" customHeight="1" s="17">
      <c r="A18" s="35" t="inlineStr">
        <is>
          <t>Reverse-scored items</t>
        </is>
      </c>
      <c r="B18" s="27" t="inlineStr">
        <is>
          <t>1, 4, 8-9, 11-12</t>
        </is>
      </c>
    </row>
    <row r="19" ht="15" customHeight="1" s="17">
      <c r="A19" s="35" t="inlineStr">
        <is>
          <t>Filler items (not scored)</t>
        </is>
      </c>
      <c r="B19" s="27" t="inlineStr">
        <is>
          <t>None</t>
        </is>
      </c>
    </row>
    <row r="20" ht="105" customHeight="1" s="17">
      <c r="A20" s="35" t="inlineStr">
        <is>
          <t>Total scoring</t>
        </is>
      </c>
      <c r="B20" s="27" t="inlineStr">
        <is>
          <t>Reverse score the six negative-subscale items (1, 4, 8, 9, 11, 12) using 1=5, 2=4, 3=3, 4=2, 5=1. Each of the six subscale scores is the mean of its 2 items (range 1-5). The total self-compassion score is the mean of all 12 item scores after reverse-scoring (range 1-5), as stated in the source (self-compassion.org). NovoPsych additionally reports two composite groupings from its own sample scoring report: Self-Care (the 6 positively-worded items: 2, 3, 5, 6, 7, 10) and Self-Disparagement (the 6 negatively-worded items: 1, 4, 8, 9, 11, 12, unreversed), with total self-compassion characterised as high Self-Care combined with low Self-Disparagement.</t>
        </is>
      </c>
    </row>
    <row r="21" ht="45" customHeight="1" s="17">
      <c r="A21" s="35" t="inlineStr">
        <is>
          <t>Interpretation bands</t>
        </is>
      </c>
      <c r="B21" s="27" t="inlineStr">
        <is>
          <t>Average: around the 50th percentile - Level of self-compassion broadly typical of NovoPsych's comparison group (per NovoPsych's sample scoring report, which compares individual scores to a clinical/psychotherapy-client reference group).</t>
        </is>
      </c>
    </row>
    <row r="22" ht="45" customHeight="1" s="17">
      <c r="A22" s="35" t="inlineStr">
        <is>
          <t>Cut-offs</t>
        </is>
      </c>
      <c r="B22" s="27" t="inlineStr">
        <is>
          <t>No formal clinical cutoff scores were found in the developer source (self-compassion.org). NovoPsych's sample scoring report presents results as percentiles against a normative comparison group but did not provide a specific raw-score cutoff table in the content retrieved this session.</t>
        </is>
      </c>
    </row>
    <row r="23" ht="75" customHeight="1" s="17">
      <c r="A23" s="35" t="inlineStr">
        <is>
          <t>Normative data</t>
        </is>
      </c>
      <c r="B23" s="27" t="inlineStr">
        <is>
          <t>NovoPsych's sample scoring report states norms are presented in comparison to a clinical group with no previous suicidal ideation, citing Hayes et al. (2016); exact sample size and means/SDs were not retrievable from the content fetched this session. The original short-form validation (Raes et al., 2011) used Dutch/Belgian construction samples plus an English validation sample of N = 415 University of Texas at Austin students.</t>
        </is>
      </c>
    </row>
    <row r="24" ht="45" customHeight="1" s="17">
      <c r="A24" s="35" t="inlineStr">
        <is>
          <t>Psychometric properties</t>
        </is>
      </c>
      <c r="B24" s="27" t="inlineStr">
        <is>
          <t>Total-score Cronbach's alpha = .86 across the construction samples and the N = 415 English-language student validation sample (Raes, Pommier, Neff, &amp; Van Gucht, 2011). No additional subscale-level reliability coefficients were extractable from the sources fetched this session.</t>
        </is>
      </c>
    </row>
    <row r="25" ht="45" customHeight="1" s="17">
      <c r="A25" s="35" t="inlineStr">
        <is>
          <t>Developer citation</t>
        </is>
      </c>
      <c r="B25" s="27" t="inlineStr">
        <is>
          <t>Raes, F., Pommier, E., Neff, K. D., &amp; Van Gucht, D. (2011). Construction and factorial validation of a short form of the Self-Compassion Scale. Clinical Psychology &amp; Psychotherapy, 18(3), 250–255. https://doi.org/10.1002/cpp.702</t>
        </is>
      </c>
    </row>
    <row r="26" ht="45" customHeight="1" s="17">
      <c r="A26" s="35" t="inlineStr">
        <is>
          <t>Copyright and licensing</t>
        </is>
      </c>
      <c r="B26" s="27" t="inlineStr">
        <is>
          <t>self-compassion.org (Kristin Neff's official scale page) states: "Please feel free to use the Self-Compassion Scale – Short Form in your research." Standard journal copyright (Wiley, 2010) applies to the Raes et al. validation article itself, not to use of the instrument.</t>
        </is>
      </c>
    </row>
    <row r="27" ht="15" customHeight="1" s="17">
      <c r="A27" s="35" t="inlineStr">
        <is>
          <t>Source URL</t>
        </is>
      </c>
      <c r="B27" s="27" t="inlineStr">
        <is>
          <t>https://self-compassion.org/wp-content/uploads/2015/02/ShortSCS.pdf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When I fail at something important to me I become consumed by feelings of inadequacy.</t>
        </is>
      </c>
      <c r="C30" s="27" t="inlineStr">
        <is>
          <t>Over-Identification</t>
        </is>
      </c>
      <c r="D30" s="34" t="inlineStr">
        <is>
          <t>TRUE</t>
        </is>
      </c>
      <c r="E30" s="27" t="inlineStr">
        <is>
          <t>FALSE</t>
        </is>
      </c>
      <c r="F30" s="27" t="n"/>
    </row>
    <row r="31" ht="15" customHeight="1" s="17">
      <c r="A31" s="28" t="n">
        <v>2</v>
      </c>
      <c r="B31" s="27" t="inlineStr">
        <is>
          <t>I try to be understanding and patient towards those aspects of my personality I don't like.</t>
        </is>
      </c>
      <c r="C31" s="27" t="inlineStr">
        <is>
          <t>Self-Kindness</t>
        </is>
      </c>
      <c r="D31" s="27" t="inlineStr">
        <is>
          <t>FALSE</t>
        </is>
      </c>
      <c r="E31" s="27" t="inlineStr">
        <is>
          <t>FALSE</t>
        </is>
      </c>
      <c r="F31" s="27" t="n"/>
    </row>
    <row r="32" ht="15" customHeight="1" s="17">
      <c r="A32" s="28" t="n">
        <v>3</v>
      </c>
      <c r="B32" s="27" t="inlineStr">
        <is>
          <t>When something painful happens I try to take a balanced view of the situation.</t>
        </is>
      </c>
      <c r="C32" s="27" t="inlineStr">
        <is>
          <t>Mindfulness</t>
        </is>
      </c>
      <c r="D32" s="27" t="inlineStr">
        <is>
          <t>FALSE</t>
        </is>
      </c>
      <c r="E32" s="27" t="inlineStr">
        <is>
          <t>FALSE</t>
        </is>
      </c>
      <c r="F32" s="27" t="n"/>
    </row>
    <row r="33" ht="15" customHeight="1" s="17">
      <c r="A33" s="28" t="n">
        <v>4</v>
      </c>
      <c r="B33" s="27" t="inlineStr">
        <is>
          <t>When I'm feeling down, I tend to feel like most other people are probably happier than I am.</t>
        </is>
      </c>
      <c r="C33" s="27" t="inlineStr">
        <is>
          <t>Isolation</t>
        </is>
      </c>
      <c r="D33" s="34" t="inlineStr">
        <is>
          <t>TRUE</t>
        </is>
      </c>
      <c r="E33" s="27" t="inlineStr">
        <is>
          <t>FALSE</t>
        </is>
      </c>
      <c r="F33" s="27" t="n"/>
    </row>
    <row r="34" ht="15" customHeight="1" s="17">
      <c r="A34" s="28" t="n">
        <v>5</v>
      </c>
      <c r="B34" s="27" t="inlineStr">
        <is>
          <t>I try to see my failings as part of the human condition.</t>
        </is>
      </c>
      <c r="C34" s="27" t="inlineStr">
        <is>
          <t>Common Humanity</t>
        </is>
      </c>
      <c r="D34" s="27" t="inlineStr">
        <is>
          <t>FALSE</t>
        </is>
      </c>
      <c r="E34" s="27" t="inlineStr">
        <is>
          <t>FALSE</t>
        </is>
      </c>
      <c r="F34" s="27" t="n"/>
    </row>
    <row r="35" ht="15" customHeight="1" s="17">
      <c r="A35" s="28" t="n">
        <v>6</v>
      </c>
      <c r="B35" s="27" t="inlineStr">
        <is>
          <t>When I'm going through a very hard time, I give myself the caring and tenderness I need.</t>
        </is>
      </c>
      <c r="C35" s="27" t="inlineStr">
        <is>
          <t>Self-Kindness</t>
        </is>
      </c>
      <c r="D35" s="27" t="inlineStr">
        <is>
          <t>FALSE</t>
        </is>
      </c>
      <c r="E35" s="27" t="inlineStr">
        <is>
          <t>FALSE</t>
        </is>
      </c>
      <c r="F35" s="27" t="n"/>
    </row>
    <row r="36" ht="15" customHeight="1" s="17">
      <c r="A36" s="28" t="n">
        <v>7</v>
      </c>
      <c r="B36" s="27" t="inlineStr">
        <is>
          <t>When something upsets me I try to keep my emotions in balance.</t>
        </is>
      </c>
      <c r="C36" s="27" t="inlineStr">
        <is>
          <t>Mindfulness</t>
        </is>
      </c>
      <c r="D36" s="27" t="inlineStr">
        <is>
          <t>FALSE</t>
        </is>
      </c>
      <c r="E36" s="27" t="inlineStr">
        <is>
          <t>FALSE</t>
        </is>
      </c>
      <c r="F36" s="27" t="n"/>
    </row>
    <row r="37" ht="15" customHeight="1" s="17">
      <c r="A37" s="28" t="n">
        <v>8</v>
      </c>
      <c r="B37" s="27" t="inlineStr">
        <is>
          <t>When I fail at something that's important to me, I tend to feel alone in my failure.</t>
        </is>
      </c>
      <c r="C37" s="27" t="inlineStr">
        <is>
          <t>Isolation</t>
        </is>
      </c>
      <c r="D37" s="34" t="inlineStr">
        <is>
          <t>TRUE</t>
        </is>
      </c>
      <c r="E37" s="27" t="inlineStr">
        <is>
          <t>FALSE</t>
        </is>
      </c>
      <c r="F37" s="27" t="n"/>
    </row>
    <row r="38" ht="15" customHeight="1" s="17">
      <c r="A38" s="28" t="n">
        <v>9</v>
      </c>
      <c r="B38" s="27" t="inlineStr">
        <is>
          <t>When I'm feeling down I tend to obsess and fixate on everything that's wrong.</t>
        </is>
      </c>
      <c r="C38" s="27" t="inlineStr">
        <is>
          <t>Over-Identification</t>
        </is>
      </c>
      <c r="D38" s="34" t="inlineStr">
        <is>
          <t>TRUE</t>
        </is>
      </c>
      <c r="E38" s="27" t="inlineStr">
        <is>
          <t>FALSE</t>
        </is>
      </c>
      <c r="F38" s="27" t="n"/>
    </row>
    <row r="39" ht="23.85" customHeight="1" s="17">
      <c r="A39" s="28" t="n">
        <v>10</v>
      </c>
      <c r="B39" s="27" t="inlineStr">
        <is>
          <t>When I feel inadequate in some way, I try to remind myself that feelings of inadequacy are shared by most people.</t>
        </is>
      </c>
      <c r="C39" s="27" t="inlineStr">
        <is>
          <t>Common Humanity</t>
        </is>
      </c>
      <c r="D39" s="27" t="inlineStr">
        <is>
          <t>FALSE</t>
        </is>
      </c>
      <c r="E39" s="27" t="inlineStr">
        <is>
          <t>FALSE</t>
        </is>
      </c>
      <c r="F39" s="27" t="n"/>
    </row>
    <row r="40" ht="15" customHeight="1" s="17">
      <c r="A40" s="28" t="n">
        <v>11</v>
      </c>
      <c r="B40" s="27" t="inlineStr">
        <is>
          <t>I'm disapproving and judgmental about my own flaws and inadequacies.</t>
        </is>
      </c>
      <c r="C40" s="27" t="inlineStr">
        <is>
          <t>Self-Judgment</t>
        </is>
      </c>
      <c r="D40" s="34" t="inlineStr">
        <is>
          <t>TRUE</t>
        </is>
      </c>
      <c r="E40" s="27" t="inlineStr">
        <is>
          <t>FALSE</t>
        </is>
      </c>
      <c r="F40" s="27" t="n"/>
    </row>
    <row r="41" ht="15" customHeight="1" s="17">
      <c r="A41" s="28" t="n">
        <v>12</v>
      </c>
      <c r="B41" s="27" t="inlineStr">
        <is>
          <t>I'm intolerant and impatient towards those aspects of my personality I don't like.</t>
        </is>
      </c>
      <c r="C41" s="27" t="inlineStr">
        <is>
          <t>Self-Judgment</t>
        </is>
      </c>
      <c r="D41" s="34" t="inlineStr">
        <is>
          <t>TRUE</t>
        </is>
      </c>
      <c r="E41" s="27" t="inlineStr">
        <is>
          <t>FALSE</t>
        </is>
      </c>
      <c r="F41" s="27" t="n"/>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53"/>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Basic Psychological Need Satisfaction and Frustration Scale (BPNSFS)</t>
        </is>
      </c>
    </row>
    <row r="2"/>
    <row r="3" ht="15" customHeight="1" s="17">
      <c r="A3" s="35" t="inlineStr">
        <is>
          <t>Instrument</t>
        </is>
      </c>
      <c r="B3" s="27" t="inlineStr">
        <is>
          <t>Basic Psychological Need Satisfaction and Frustration Scale (BPNSFS)</t>
        </is>
      </c>
    </row>
    <row r="4" ht="15" customHeight="1" s="17">
      <c r="A4" s="35" t="inlineStr">
        <is>
          <t>Code</t>
        </is>
      </c>
      <c r="B4" s="27" t="inlineStr">
        <is>
          <t>BPNSFS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The satisfaction and the frustration of the three basic psychological needs identified in self-determination theory: autonomy, competence and relatedness. The scale distinguishes need satisfaction (the needs being met) from need frustration (the needs being actively thwarted, not merely unmet), producing six subscale scores rather than three.</t>
        </is>
      </c>
    </row>
    <row r="8" ht="60" customHeight="1" s="17">
      <c r="A8" s="35" t="inlineStr">
        <is>
          <t>Respondent</t>
        </is>
      </c>
      <c r="B8" s="27" t="inlineStr">
        <is>
          <t>General adult respondents (self-report). The Center for Self-Determination Theory also publishes separate BPNSFS versions for children and for adults with intellectual disabilities, and domain-specific adaptations (e.g. school, work, sport, physical education, exercise, relationships, motherhood) in numerous languages; this record documents the general, life-wide, English adult version.</t>
        </is>
      </c>
    </row>
    <row r="9" ht="30" customHeight="1" s="17">
      <c r="A9" s="35" t="inlineStr">
        <is>
          <t>Age range</t>
        </is>
      </c>
      <c r="B9" s="27" t="inlineStr">
        <is>
          <t>Not stated precisely in the source; the general version is written for adults. Separate child and intellectual-disability versions exist but were not transcribed here.</t>
        </is>
      </c>
    </row>
    <row r="10" ht="15" customHeight="1" s="17">
      <c r="A10" s="35" t="inlineStr">
        <is>
          <t>Items in instrument</t>
        </is>
      </c>
      <c r="B10" s="27" t="inlineStr">
        <is>
          <t>24</t>
        </is>
      </c>
    </row>
    <row r="11" ht="15" customHeight="1" s="17">
      <c r="A11" s="35" t="inlineStr">
        <is>
          <t>Items reproduced here</t>
        </is>
      </c>
      <c r="B11" s="27" t="inlineStr">
        <is>
          <t>24</t>
        </is>
      </c>
    </row>
    <row r="12" ht="15" customHeight="1" s="17">
      <c r="A12" s="35" t="inlineStr">
        <is>
          <t>Administration time</t>
        </is>
      </c>
      <c r="B12" s="27" t="inlineStr">
        <is>
          <t>Not stated on source</t>
        </is>
      </c>
    </row>
    <row r="13" ht="120" customHeight="1" s="17">
      <c r="A13" s="35" t="inlineStr">
        <is>
          <t>Cost and access</t>
        </is>
      </c>
      <c r="B13" s="27" t="inlineStr">
        <is>
          <t>The form is downloaded free of charge from the Center for Self-Determination Theory website (selfdeterminationtheory.org), which requires agreeing to terms before download. The Questionnaires page (https://selfdeterminationtheory.org/questionnaires/) states: 'You are welcome to use the instruments for academic (non-commercial) research projects.' and 'However, you may not use any of them for any commercial purposes without written permission to do so from the Center for Self-Determination Theory.' It also states: 'Please note that all questionnaires on this web site, developed for research on self-determination theory, are copyrighted.' No fee is specified for research use; commercial use requires contacting the Center for written permission.</t>
        </is>
      </c>
    </row>
    <row r="14" ht="150" customHeight="1" s="17">
      <c r="A14" s="35" t="inlineStr">
        <is>
          <t>Coaching application</t>
        </is>
      </c>
      <c r="B14" s="27" t="inlineStr">
        <is>
          <t>In coaching university students and early-career professionals, the BPNSFS is useful because it separates need satisfaction from need frustration rather than collapsing autonomy, competence and relatedness onto a single dimension each, so a client can show low satisfaction with no active frustration (an unmet need, e.g. a quiet sense that study choices are not their own) or high frustration (an actively thwarted need, e.g. feeling coerced or excluded), which point to different interventions. This distinction is well suited to conversations about study or career direction, workload and belonging during placements or early jobs. Its limits are that it is a general self-report measure not normed for coaching or clinical decision-making, carries no published cutoffs, and (per Chen et al., 2015) shows lower and more variable reliability for some subscales outside Western samples, so scores should inform discussion rather than stand as a diagnostic result.</t>
        </is>
      </c>
    </row>
    <row r="15" ht="105" customHeight="1" s="17">
      <c r="A15" s="35" t="inlineStr">
        <is>
          <t>Purpose</t>
        </is>
      </c>
      <c r="B15" s="27" t="inlineStr">
        <is>
          <t>The BPNSFS was developed to measure the degree to which people experience their basic psychological needs for autonomy, competence and relatedness as satisfied in their life, and separately, the degree to which those needs are actively frustrated. It was designed to test self-determination theory's proposition that need frustration is not simply the absence of need satisfaction but a distinct experience with its own consequences for ill-being. The general version asks about need satisfaction and frustration in life as a whole, while domain-specific versions ask about the same six constructs within a particular context such as work, school, sport or relationships.</t>
        </is>
      </c>
    </row>
    <row r="16" ht="45" customHeight="1" s="17">
      <c r="A16" s="35" t="inlineStr">
        <is>
          <t>Instructions / prompt</t>
        </is>
      </c>
      <c r="B16" s="27" t="inlineStr">
        <is>
          <t>Below, we ask you about the kind of experiences you actually have in your life. Please read each of the following items carefully. You can choose from 1 to 5 to indicate the degree to which the statement is true for you at this point in your life.</t>
        </is>
      </c>
    </row>
    <row r="17" ht="15" customHeight="1" s="17">
      <c r="A17" s="35" t="inlineStr">
        <is>
          <t>Response options</t>
        </is>
      </c>
      <c r="B17" s="27" t="inlineStr">
        <is>
          <t>Not true at all = 1 | 2 = 2 | 3 = 3 | 4 = 4 | Completely true = 5</t>
        </is>
      </c>
    </row>
    <row r="18" ht="15" customHeight="1" s="17">
      <c r="A18" s="35" t="inlineStr">
        <is>
          <t>Reverse-scored items</t>
        </is>
      </c>
      <c r="B18" s="27" t="inlineStr">
        <is>
          <t>None</t>
        </is>
      </c>
    </row>
    <row r="19" ht="15" customHeight="1" s="17">
      <c r="A19" s="35" t="inlineStr">
        <is>
          <t>Filler items (not scored)</t>
        </is>
      </c>
      <c r="B19" s="27" t="inlineStr">
        <is>
          <t>None</t>
        </is>
      </c>
    </row>
    <row r="20" ht="169.5" customHeight="1" s="17">
      <c r="A20" s="35" t="inlineStr">
        <is>
          <t>Total scoring</t>
        </is>
      </c>
      <c r="B20" s="27" t="inlineStr">
        <is>
          <t>The BPNSFS manual (BPNSFS_Complete_2020.pdf) specifies only which four items belong to each of the six subscales; it does not itself print an explicit averaging or summing instruction. The Center for Self-Determination Theory manual discusses more than one scoring approach used in the literature, including subscale scores kept separate, and composite need-satisfaction and need-frustration scores formed by combining the three relevant subscales; it does not state that combining is prohibited. The standard and most commonly reported approach in the validation literature (Chen et al., 2015) is to score the six four-item subscales separately (mean or sum of their four items) and, where a broader summary is wanted, to form composite satisfaction and composite frustration scores from the three satisfaction and three frustration subscales respectively, keeping satisfaction and frustration as two separate scores rather than collapsing them into one overall index, because Chen et al. (2015) found satisfaction and frustration had 'relatively unique associations' with well-being and ill-being outcomes respectively.</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Chen et al. (2015), Study 2 (N = 525 across four countries), reported Cronbach's alpha internal consistencies for the six subscales as follows (extracted from an open-access full-text copy of the article, since the publisher (Springer) version and the Center for Self-Determination Theory's own hosted copy required login/subscription and could not be opened directly): United States - autonomy satisfaction .81, autonomy frustration .71, relatedness satisfaction .83, relatedness frustration .81, competence satisfaction .88, competence frustration .86; China - autonomy satisfaction .69, autonomy frustration .72, relatedness satisfaction .65, relatedness frustration .73, competence satisfaction .74, competence frustration .76; Peru - autonomy satisfaction .74, autonomy frustration .77, relatedness satisfaction .75, relatedness frustration .64, competence satisfaction .78, competence frustration .67; Belgium - autonomy satisfaction .82, autonomy frustration .77, relatedness satisfaction .83, relatedness frustration .67, competence satisfaction .82, competence frustration .84. The source text also describes the overall set of alphas as ranging 'between 0.64 and 0.89' across the four countries, a fractionally wider range than the highest individual subscale value located (.88, US competence satisfaction), which may reflect a composite need-satisfaction or need-frustration score not itemised in the extracted table. Chen, B., et al. (2015), Motivation and Emotion, 39, 216-236, https://doi.org/10.1007/s11031-014-9450-1.</t>
        </is>
      </c>
    </row>
    <row r="25" ht="60" customHeight="1" s="17">
      <c r="A25" s="35" t="inlineStr">
        <is>
          <t>Developer citation</t>
        </is>
      </c>
      <c r="B25" s="27" t="inlineStr">
        <is>
          <t>Chen, B., Vansteenkiste, M., Beyers, W., Boone, L., Deci, E. L., Van der Kaap-Deeder, J., Duriez, B., Lens, W., Matos, L., Mouratidis, A., Ryan, R. M., Sheldon, K. M., Soenens, B., Van Petegem, S., &amp; Verstuyf, J. (2015). Basic psychological need satisfaction, need frustration, and need strength across four cultures. Motivation and Emotion, 39(2), 216-236. https://doi.org/10.1007/s11031-014-9450-1</t>
        </is>
      </c>
    </row>
    <row r="26" ht="45" customHeight="1" s="17">
      <c r="A26" s="35" t="inlineStr">
        <is>
          <t>Copyright and licensing</t>
        </is>
      </c>
      <c r="B26" s="27" t="inlineStr">
        <is>
          <t>All questionnaires on selfdeterminationtheory.org, including the BPNSFS, are stated to be copyrighted. Free for academic, non-commercial research use. Written permission from the Center for Self-Determination Theory is required for any commercial use.</t>
        </is>
      </c>
    </row>
    <row r="27" ht="15" customHeight="1" s="17">
      <c r="A27" s="35" t="inlineStr">
        <is>
          <t>Source URL</t>
        </is>
      </c>
      <c r="B27" s="27" t="inlineStr">
        <is>
          <t>https://selfdeterminationtheory.org/basic-psychological-need-satisfaction-and-frustration-scale/</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feel a sense of choice and freedom in the things I undertake.</t>
        </is>
      </c>
      <c r="C30" s="27" t="inlineStr">
        <is>
          <t>Autonomy satisfaction</t>
        </is>
      </c>
      <c r="D30" s="27" t="inlineStr">
        <is>
          <t>FALSE</t>
        </is>
      </c>
      <c r="E30" s="27" t="inlineStr">
        <is>
          <t>FALSE</t>
        </is>
      </c>
      <c r="F30" s="27" t="n"/>
    </row>
    <row r="31" ht="15" customHeight="1" s="17">
      <c r="A31" s="28" t="n">
        <v>2</v>
      </c>
      <c r="B31" s="27" t="inlineStr">
        <is>
          <t>Most of the things I do feel like "I have to".</t>
        </is>
      </c>
      <c r="C31" s="27" t="inlineStr">
        <is>
          <t>Autonomy frustration</t>
        </is>
      </c>
      <c r="D31" s="27" t="inlineStr">
        <is>
          <t>FALSE</t>
        </is>
      </c>
      <c r="E31" s="27" t="inlineStr">
        <is>
          <t>FALSE</t>
        </is>
      </c>
      <c r="F31" s="27" t="n"/>
    </row>
    <row r="32" ht="15" customHeight="1" s="17">
      <c r="A32" s="28" t="n">
        <v>3</v>
      </c>
      <c r="B32" s="27" t="inlineStr">
        <is>
          <t>I feel that the people I care about also care about me.</t>
        </is>
      </c>
      <c r="C32" s="27" t="inlineStr">
        <is>
          <t>Relatedness satisfaction</t>
        </is>
      </c>
      <c r="D32" s="27" t="inlineStr">
        <is>
          <t>FALSE</t>
        </is>
      </c>
      <c r="E32" s="27" t="inlineStr">
        <is>
          <t>FALSE</t>
        </is>
      </c>
      <c r="F32" s="27" t="n"/>
    </row>
    <row r="33" ht="15" customHeight="1" s="17">
      <c r="A33" s="28" t="n">
        <v>4</v>
      </c>
      <c r="B33" s="27" t="inlineStr">
        <is>
          <t>I feel excluded from the group I want to belong to.</t>
        </is>
      </c>
      <c r="C33" s="27" t="inlineStr">
        <is>
          <t>Relatedness frustration</t>
        </is>
      </c>
      <c r="D33" s="27" t="inlineStr">
        <is>
          <t>FALSE</t>
        </is>
      </c>
      <c r="E33" s="27" t="inlineStr">
        <is>
          <t>FALSE</t>
        </is>
      </c>
      <c r="F33" s="27" t="n"/>
    </row>
    <row r="34" ht="15" customHeight="1" s="17">
      <c r="A34" s="28" t="n">
        <v>5</v>
      </c>
      <c r="B34" s="27" t="inlineStr">
        <is>
          <t>I feel confident that I can do things well.</t>
        </is>
      </c>
      <c r="C34" s="27" t="inlineStr">
        <is>
          <t>Competence satisfaction</t>
        </is>
      </c>
      <c r="D34" s="27" t="inlineStr">
        <is>
          <t>FALSE</t>
        </is>
      </c>
      <c r="E34" s="27" t="inlineStr">
        <is>
          <t>FALSE</t>
        </is>
      </c>
      <c r="F34" s="27" t="n"/>
    </row>
    <row r="35" ht="15" customHeight="1" s="17">
      <c r="A35" s="28" t="n">
        <v>6</v>
      </c>
      <c r="B35" s="27" t="inlineStr">
        <is>
          <t>I have serious doubts about whether I can do things well.</t>
        </is>
      </c>
      <c r="C35" s="27" t="inlineStr">
        <is>
          <t>Competence frustration</t>
        </is>
      </c>
      <c r="D35" s="27" t="inlineStr">
        <is>
          <t>FALSE</t>
        </is>
      </c>
      <c r="E35" s="27" t="inlineStr">
        <is>
          <t>FALSE</t>
        </is>
      </c>
      <c r="F35" s="27" t="n"/>
    </row>
    <row r="36" ht="15" customHeight="1" s="17">
      <c r="A36" s="28" t="n">
        <v>7</v>
      </c>
      <c r="B36" s="27" t="inlineStr">
        <is>
          <t>I feel that my decisions reflect what I really want.</t>
        </is>
      </c>
      <c r="C36" s="27" t="inlineStr">
        <is>
          <t>Autonomy satisfaction</t>
        </is>
      </c>
      <c r="D36" s="27" t="inlineStr">
        <is>
          <t>FALSE</t>
        </is>
      </c>
      <c r="E36" s="27" t="inlineStr">
        <is>
          <t>FALSE</t>
        </is>
      </c>
      <c r="F36" s="27" t="n"/>
    </row>
    <row r="37" ht="15" customHeight="1" s="17">
      <c r="A37" s="28" t="n">
        <v>8</v>
      </c>
      <c r="B37" s="27" t="inlineStr">
        <is>
          <t>I feel forced to do many things I wouldn't choose to do.</t>
        </is>
      </c>
      <c r="C37" s="27" t="inlineStr">
        <is>
          <t>Autonomy frustration</t>
        </is>
      </c>
      <c r="D37" s="27" t="inlineStr">
        <is>
          <t>FALSE</t>
        </is>
      </c>
      <c r="E37" s="27" t="inlineStr">
        <is>
          <t>FALSE</t>
        </is>
      </c>
      <c r="F37" s="27" t="n"/>
    </row>
    <row r="38" ht="15" customHeight="1" s="17">
      <c r="A38" s="28" t="n">
        <v>9</v>
      </c>
      <c r="B38" s="27" t="inlineStr">
        <is>
          <t>I feel connected with people who care for me, and for whom I care.</t>
        </is>
      </c>
      <c r="C38" s="27" t="inlineStr">
        <is>
          <t>Relatedness satisfaction</t>
        </is>
      </c>
      <c r="D38" s="27" t="inlineStr">
        <is>
          <t>FALSE</t>
        </is>
      </c>
      <c r="E38" s="27" t="inlineStr">
        <is>
          <t>FALSE</t>
        </is>
      </c>
      <c r="F38" s="27" t="n"/>
    </row>
    <row r="39" ht="15" customHeight="1" s="17">
      <c r="A39" s="28" t="n">
        <v>10</v>
      </c>
      <c r="B39" s="27" t="inlineStr">
        <is>
          <t>I feel that people who are important to me are cold and distant towards me.</t>
        </is>
      </c>
      <c r="C39" s="27" t="inlineStr">
        <is>
          <t>Relatedness frustration</t>
        </is>
      </c>
      <c r="D39" s="27" t="inlineStr">
        <is>
          <t>FALSE</t>
        </is>
      </c>
      <c r="E39" s="27" t="inlineStr">
        <is>
          <t>FALSE</t>
        </is>
      </c>
      <c r="F39" s="27" t="n"/>
    </row>
    <row r="40" ht="15" customHeight="1" s="17">
      <c r="A40" s="28" t="n">
        <v>11</v>
      </c>
      <c r="B40" s="27" t="inlineStr">
        <is>
          <t>I feel capable at what I do.</t>
        </is>
      </c>
      <c r="C40" s="27" t="inlineStr">
        <is>
          <t>Competence satisfaction</t>
        </is>
      </c>
      <c r="D40" s="27" t="inlineStr">
        <is>
          <t>FALSE</t>
        </is>
      </c>
      <c r="E40" s="27" t="inlineStr">
        <is>
          <t>FALSE</t>
        </is>
      </c>
      <c r="F40" s="27" t="n"/>
    </row>
    <row r="41" ht="15" customHeight="1" s="17">
      <c r="A41" s="28" t="n">
        <v>12</v>
      </c>
      <c r="B41" s="27" t="inlineStr">
        <is>
          <t>I feel disappointed with many of my performances.</t>
        </is>
      </c>
      <c r="C41" s="27" t="inlineStr">
        <is>
          <t>Competence frustration</t>
        </is>
      </c>
      <c r="D41" s="27" t="inlineStr">
        <is>
          <t>FALSE</t>
        </is>
      </c>
      <c r="E41" s="27" t="inlineStr">
        <is>
          <t>FALSE</t>
        </is>
      </c>
      <c r="F41" s="27" t="n"/>
    </row>
    <row r="42" ht="15" customHeight="1" s="17">
      <c r="A42" s="28" t="n">
        <v>13</v>
      </c>
      <c r="B42" s="27" t="inlineStr">
        <is>
          <t>I feel my choices express who I really am.</t>
        </is>
      </c>
      <c r="C42" s="27" t="inlineStr">
        <is>
          <t>Autonomy satisfaction</t>
        </is>
      </c>
      <c r="D42" s="27" t="inlineStr">
        <is>
          <t>FALSE</t>
        </is>
      </c>
      <c r="E42" s="27" t="inlineStr">
        <is>
          <t>FALSE</t>
        </is>
      </c>
      <c r="F42" s="27" t="n"/>
    </row>
    <row r="43" ht="15" customHeight="1" s="17">
      <c r="A43" s="28" t="n">
        <v>14</v>
      </c>
      <c r="B43" s="27" t="inlineStr">
        <is>
          <t>I feel pressured to do too many things.</t>
        </is>
      </c>
      <c r="C43" s="27" t="inlineStr">
        <is>
          <t>Autonomy frustration</t>
        </is>
      </c>
      <c r="D43" s="27" t="inlineStr">
        <is>
          <t>FALSE</t>
        </is>
      </c>
      <c r="E43" s="27" t="inlineStr">
        <is>
          <t>FALSE</t>
        </is>
      </c>
      <c r="F43" s="27" t="n"/>
    </row>
    <row r="44" ht="15" customHeight="1" s="17">
      <c r="A44" s="28" t="n">
        <v>15</v>
      </c>
      <c r="B44" s="27" t="inlineStr">
        <is>
          <t>I feel close and connected with other people who are important to me.</t>
        </is>
      </c>
      <c r="C44" s="27" t="inlineStr">
        <is>
          <t>Relatedness satisfaction</t>
        </is>
      </c>
      <c r="D44" s="27" t="inlineStr">
        <is>
          <t>FALSE</t>
        </is>
      </c>
      <c r="E44" s="27" t="inlineStr">
        <is>
          <t>FALSE</t>
        </is>
      </c>
      <c r="F44" s="27" t="n"/>
    </row>
    <row r="45" ht="15" customHeight="1" s="17">
      <c r="A45" s="28" t="n">
        <v>16</v>
      </c>
      <c r="B45" s="27" t="inlineStr">
        <is>
          <t>I have the impression that people I spend time with dislike me.</t>
        </is>
      </c>
      <c r="C45" s="27" t="inlineStr">
        <is>
          <t>Relatedness frustration</t>
        </is>
      </c>
      <c r="D45" s="27" t="inlineStr">
        <is>
          <t>FALSE</t>
        </is>
      </c>
      <c r="E45" s="27" t="inlineStr">
        <is>
          <t>FALSE</t>
        </is>
      </c>
      <c r="F45" s="27" t="n"/>
    </row>
    <row r="46" ht="15" customHeight="1" s="17">
      <c r="A46" s="28" t="n">
        <v>17</v>
      </c>
      <c r="B46" s="27" t="inlineStr">
        <is>
          <t>I feel competent to achieve my goals.</t>
        </is>
      </c>
      <c r="C46" s="27" t="inlineStr">
        <is>
          <t>Competence satisfaction</t>
        </is>
      </c>
      <c r="D46" s="27" t="inlineStr">
        <is>
          <t>FALSE</t>
        </is>
      </c>
      <c r="E46" s="27" t="inlineStr">
        <is>
          <t>FALSE</t>
        </is>
      </c>
      <c r="F46" s="27" t="n"/>
    </row>
    <row r="47" ht="15" customHeight="1" s="17">
      <c r="A47" s="28" t="n">
        <v>18</v>
      </c>
      <c r="B47" s="27" t="inlineStr">
        <is>
          <t>I feel insecure about my abilities.</t>
        </is>
      </c>
      <c r="C47" s="27" t="inlineStr">
        <is>
          <t>Competence frustration</t>
        </is>
      </c>
      <c r="D47" s="27" t="inlineStr">
        <is>
          <t>FALSE</t>
        </is>
      </c>
      <c r="E47" s="27" t="inlineStr">
        <is>
          <t>FALSE</t>
        </is>
      </c>
      <c r="F47" s="27" t="n"/>
    </row>
    <row r="48" ht="15" customHeight="1" s="17">
      <c r="A48" s="28" t="n">
        <v>19</v>
      </c>
      <c r="B48" s="27" t="inlineStr">
        <is>
          <t>I feel I have been doing what really interests me.</t>
        </is>
      </c>
      <c r="C48" s="27" t="inlineStr">
        <is>
          <t>Autonomy satisfaction</t>
        </is>
      </c>
      <c r="D48" s="27" t="inlineStr">
        <is>
          <t>FALSE</t>
        </is>
      </c>
      <c r="E48" s="27" t="inlineStr">
        <is>
          <t>FALSE</t>
        </is>
      </c>
      <c r="F48" s="27" t="n"/>
    </row>
    <row r="49" ht="15" customHeight="1" s="17">
      <c r="A49" s="28" t="n">
        <v>20</v>
      </c>
      <c r="B49" s="27" t="inlineStr">
        <is>
          <t>My daily activities feel like a chain of obligations.</t>
        </is>
      </c>
      <c r="C49" s="27" t="inlineStr">
        <is>
          <t>Autonomy frustration</t>
        </is>
      </c>
      <c r="D49" s="27" t="inlineStr">
        <is>
          <t>FALSE</t>
        </is>
      </c>
      <c r="E49" s="27" t="inlineStr">
        <is>
          <t>FALSE</t>
        </is>
      </c>
      <c r="F49" s="27" t="n"/>
    </row>
    <row r="50" ht="15" customHeight="1" s="17">
      <c r="A50" s="28" t="n">
        <v>21</v>
      </c>
      <c r="B50" s="27" t="inlineStr">
        <is>
          <t>I experience a warm feeling with the people I spend time with.</t>
        </is>
      </c>
      <c r="C50" s="27" t="inlineStr">
        <is>
          <t>Relatedness satisfaction</t>
        </is>
      </c>
      <c r="D50" s="27" t="inlineStr">
        <is>
          <t>FALSE</t>
        </is>
      </c>
      <c r="E50" s="27" t="inlineStr">
        <is>
          <t>FALSE</t>
        </is>
      </c>
      <c r="F50" s="27" t="n"/>
    </row>
    <row r="51" ht="15" customHeight="1" s="17">
      <c r="A51" s="28" t="n">
        <v>22</v>
      </c>
      <c r="B51" s="27" t="inlineStr">
        <is>
          <t>I feel the relationships I have are just superficial.</t>
        </is>
      </c>
      <c r="C51" s="27" t="inlineStr">
        <is>
          <t>Relatedness frustration</t>
        </is>
      </c>
      <c r="D51" s="27" t="inlineStr">
        <is>
          <t>FALSE</t>
        </is>
      </c>
      <c r="E51" s="27" t="inlineStr">
        <is>
          <t>FALSE</t>
        </is>
      </c>
      <c r="F51" s="27" t="n"/>
    </row>
    <row r="52" ht="15" customHeight="1" s="17">
      <c r="A52" s="28" t="n">
        <v>23</v>
      </c>
      <c r="B52" s="27" t="inlineStr">
        <is>
          <t>I feel I can successfully complete difficult tasks.</t>
        </is>
      </c>
      <c r="C52" s="27" t="inlineStr">
        <is>
          <t>Competence satisfaction</t>
        </is>
      </c>
      <c r="D52" s="27" t="inlineStr">
        <is>
          <t>FALSE</t>
        </is>
      </c>
      <c r="E52" s="27" t="inlineStr">
        <is>
          <t>FALSE</t>
        </is>
      </c>
      <c r="F52" s="27" t="n"/>
    </row>
    <row r="53" ht="15" customHeight="1" s="17">
      <c r="A53" s="28" t="n">
        <v>24</v>
      </c>
      <c r="B53" s="27" t="inlineStr">
        <is>
          <t>I feel like a failure because of the mistakes I make.</t>
        </is>
      </c>
      <c r="C53" s="27" t="inlineStr">
        <is>
          <t>Competence frustration</t>
        </is>
      </c>
      <c r="D53" s="27" t="inlineStr">
        <is>
          <t>FALSE</t>
        </is>
      </c>
      <c r="E53" s="27" t="inlineStr">
        <is>
          <t>FALSE</t>
        </is>
      </c>
      <c r="F53" s="27" t="n"/>
    </row>
  </sheetData>
  <autoFilter ref="A29:F53"/>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Pure Procrastination Scale</t>
        </is>
      </c>
    </row>
    <row r="2"/>
    <row r="3" ht="15" customHeight="1" s="17">
      <c r="A3" s="35" t="inlineStr">
        <is>
          <t>Instrument</t>
        </is>
      </c>
      <c r="B3" s="27" t="inlineStr">
        <is>
          <t>Pure Procrastination Scale</t>
        </is>
      </c>
    </row>
    <row r="4" ht="15" customHeight="1" s="17">
      <c r="A4" s="35" t="inlineStr">
        <is>
          <t>Code</t>
        </is>
      </c>
      <c r="B4" s="27" t="inlineStr">
        <is>
          <t>PPS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60" customHeight="1" s="17">
      <c r="A7" s="35" t="inlineStr">
        <is>
          <t>Construct</t>
        </is>
      </c>
      <c r="B7" s="27" t="inlineStr">
        <is>
          <t>Trait (general) procrastination, i.e. the tendency to voluntarily delay an intended course of action despite expecting to be worse off for the delay. The PPS is a distilled, 12-item unidimensional measure combining items drawn from three earlier procrastination scales (the Decisional Procrastination Scale, the General Procrastination Scale, and the Adult Inventory of Procrastination).</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(used with university students and working adults)</t>
        </is>
      </c>
    </row>
    <row r="10" ht="15" customHeight="1" s="17">
      <c r="A10" s="35" t="inlineStr">
        <is>
          <t>Items in instrument</t>
        </is>
      </c>
      <c r="B10" s="27" t="inlineStr">
        <is>
          <t>12</t>
        </is>
      </c>
    </row>
    <row r="11" ht="15" customHeight="1" s="17">
      <c r="A11" s="35" t="inlineStr">
        <is>
          <t>Items reproduced here</t>
        </is>
      </c>
      <c r="B11" s="27" t="inlineStr">
        <is>
          <t>12</t>
        </is>
      </c>
    </row>
    <row r="12" ht="15" customHeight="1" s="17">
      <c r="A12" s="35" t="inlineStr">
        <is>
          <t>Administration time</t>
        </is>
      </c>
      <c r="B12" s="27" t="inlineStr">
        <is>
          <t>2-3 minutes</t>
        </is>
      </c>
    </row>
    <row r="13" ht="120" customHeight="1" s="17">
      <c r="A13" s="35" t="inlineStr">
        <is>
          <t>Cost and access</t>
        </is>
      </c>
      <c r="B13" s="27" t="inlineStr">
        <is>
          <t>No licence fee or permission is required to use the PPS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20" customHeight="1" s="17">
      <c r="A14" s="35" t="inlineStr">
        <is>
          <t>Coaching application</t>
        </is>
      </c>
      <c r="B14" s="27" t="inlineStr">
        <is>
          <t>The PPS is a strong short screening tool for executive-function coaching with university students and early-career professionals, giving a quick trait-level read on how pervasive delay and avoidance behaviour is before goal-setting or study-skills work begins. It pairs well with the shorter Irrational Procrastination Scale and the Brief Self-Control Scale for a "what's actually driving the delay" conversation. Its main limit is that it is a broad trait measure rather than a task-specific or state measure, so it should be framed as a starting-point reflection tool rather than a diagnostic instrument, and re-administration over a coaching programme should be treated as indicative rather than clinically validated change tracking.</t>
        </is>
      </c>
    </row>
    <row r="15" ht="90" customHeight="1" s="17">
      <c r="A15" s="35" t="inlineStr">
        <is>
          <t>Purpose</t>
        </is>
      </c>
      <c r="B15" s="27" t="inlineStr">
        <is>
          <t>The PPS was developed by Piers Steel to provide a short, psychometrically distilled trait measure of procrastination for research and applied use, drawing together the strongest items from three earlier scales (Decisional Procrastination Scale, General Procrastination Scale, Adult Inventory of Procrastination). Svartdal and Steel (2017) re-examined the PPS alongside four other procrastination scales, including the companion Irrational Procrastination Scale,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None</t>
        </is>
      </c>
    </row>
    <row r="19" ht="15" customHeight="1" s="17">
      <c r="A19" s="35" t="inlineStr">
        <is>
          <t>Filler items (not scored)</t>
        </is>
      </c>
      <c r="B19" s="27" t="inlineStr">
        <is>
          <t>None</t>
        </is>
      </c>
    </row>
    <row r="20" ht="45" customHeight="1" s="17">
      <c r="A20" s="35" t="inlineStr">
        <is>
          <t>Total scoring</t>
        </is>
      </c>
      <c r="B20" s="27" t="inlineStr">
        <is>
          <t>Sum (or mean) of the 12 item ratings. Higher total scores indicate greater trait procrastination. No reverse-scored items are indicated for the PPS in the source table (unlike the companion IPS, which has three reverse-scored items).</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30" customHeight="1" s="17">
      <c r="A23" s="35" t="inlineStr">
        <is>
          <t>Normative data</t>
        </is>
      </c>
      <c r="B23" s="27" t="inlineStr">
        <is>
          <t>No normative table was printed in the fetched excerpt of the source article. Piers Steel's own measure page invites direct contact for norms and scoring materials.</t>
        </is>
      </c>
    </row>
    <row r="24" ht="60" customHeight="1" s="17">
      <c r="A24" s="35" t="inlineStr">
        <is>
          <t>Psychometric properties</t>
        </is>
      </c>
      <c r="B24" s="27" t="inlineStr">
        <is>
          <t>Svartdal and Steel (2017) report Cronbach's alpha = .92 for the 12-item PPS in their multi-country sample, and alpha = .87 for the abbreviated 5-item PPS version (items 4-8) reported separately in the article.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delay making decision until it's too late</t>
        </is>
      </c>
      <c r="C30" s="27" t="inlineStr">
        <is>
          <t>Pure Procrastination (total scale)</t>
        </is>
      </c>
      <c r="D30" s="27" t="inlineStr">
        <is>
          <t>FALSE</t>
        </is>
      </c>
      <c r="E30" s="27" t="inlineStr">
        <is>
          <t>FALSE</t>
        </is>
      </c>
      <c r="F30" s="27" t="inlineStr">
        <is>
          <t>Verbatim from Table 1, Svartdal &amp; Steel (2017); sourced from the Decisional Procrastination Scale (DPS).</t>
        </is>
      </c>
    </row>
    <row r="31" ht="23.85" customHeight="1" s="17">
      <c r="A31" s="28" t="n">
        <v>2</v>
      </c>
      <c r="B31" s="27" t="inlineStr">
        <is>
          <t>Even after I make a decision I delay acting upon it</t>
        </is>
      </c>
      <c r="C31" s="27" t="inlineStr">
        <is>
          <t>Pure Procrastination (total scale)</t>
        </is>
      </c>
      <c r="D31" s="27" t="inlineStr">
        <is>
          <t>FALSE</t>
        </is>
      </c>
      <c r="E31" s="27" t="inlineStr">
        <is>
          <t>FALSE</t>
        </is>
      </c>
      <c r="F31" s="27" t="inlineStr">
        <is>
          <t>Verbatim from Table 1, Svartdal &amp; Steel (2017); sourced from the Decisional Procrastination Scale (DPS).</t>
        </is>
      </c>
    </row>
    <row r="32" ht="23.85" customHeight="1" s="17">
      <c r="A32" s="28" t="n">
        <v>3</v>
      </c>
      <c r="B32" s="27" t="inlineStr">
        <is>
          <t>I waste a lot of time on trivial matters before getting to final decisions</t>
        </is>
      </c>
      <c r="C32" s="27" t="inlineStr">
        <is>
          <t>Pure Procrastination (total scale)</t>
        </is>
      </c>
      <c r="D32" s="27" t="inlineStr">
        <is>
          <t>FALSE</t>
        </is>
      </c>
      <c r="E32" s="27" t="inlineStr">
        <is>
          <t>FALSE</t>
        </is>
      </c>
      <c r="F32" s="27" t="inlineStr">
        <is>
          <t>Verbatim from Table 1, Svartdal &amp; Steel (2017); sourced from the Decisional Procrastination Scale (DPS).</t>
        </is>
      </c>
    </row>
    <row r="33" ht="23.85" customHeight="1" s="17">
      <c r="A33" s="28" t="n">
        <v>4</v>
      </c>
      <c r="B33" s="27" t="inlineStr">
        <is>
          <t>In preparation for some deadlines, I often waste time by doing other things</t>
        </is>
      </c>
      <c r="C33" s="27" t="inlineStr">
        <is>
          <t>Pure Procrastination (total scale)</t>
        </is>
      </c>
      <c r="D33" s="27" t="inlineStr">
        <is>
          <t>FALSE</t>
        </is>
      </c>
      <c r="E33" s="27" t="inlineStr">
        <is>
          <t>FALSE</t>
        </is>
      </c>
      <c r="F33" s="27" t="inlineStr">
        <is>
          <t>Verbatim from Table 1, Svartdal &amp; Steel (2017); sourced from the General Procrastination Scale (GPS).</t>
        </is>
      </c>
    </row>
    <row r="34" ht="23.85" customHeight="1" s="17">
      <c r="A34" s="28" t="n">
        <v>5</v>
      </c>
      <c r="B34" s="27" t="inlineStr">
        <is>
          <t>Even jobs that require little else except sitting down and doing them, I find they seldom get done for days</t>
        </is>
      </c>
      <c r="C34" s="27" t="inlineStr">
        <is>
          <t>Pure Procrastination (total scale)</t>
        </is>
      </c>
      <c r="D34" s="27" t="inlineStr">
        <is>
          <t>FALSE</t>
        </is>
      </c>
      <c r="E34" s="27" t="inlineStr">
        <is>
          <t>FALSE</t>
        </is>
      </c>
      <c r="F34" s="27" t="inlineStr">
        <is>
          <t>Verbatim from Table 1, Svartdal &amp; Steel (2017); sourced from the General Procrastination Scale (GPS).</t>
        </is>
      </c>
    </row>
    <row r="35" ht="23.85" customHeight="1" s="17">
      <c r="A35" s="28" t="n">
        <v>6</v>
      </c>
      <c r="B35" s="27" t="inlineStr">
        <is>
          <t>I often find myself performing tasks that I had intended to do days before</t>
        </is>
      </c>
      <c r="C35" s="27" t="inlineStr">
        <is>
          <t>Pure Procrastination (total scale)</t>
        </is>
      </c>
      <c r="D35" s="27" t="inlineStr">
        <is>
          <t>FALSE</t>
        </is>
      </c>
      <c r="E35" s="27" t="inlineStr">
        <is>
          <t>FALSE</t>
        </is>
      </c>
      <c r="F35" s="27" t="inlineStr">
        <is>
          <t>Verbatim from Table 1, Svartdal &amp; Steel (2017); sourced from the General Procrastination Scale (GPS).</t>
        </is>
      </c>
    </row>
    <row r="36" ht="23.85" customHeight="1" s="17">
      <c r="A36" s="28" t="n">
        <v>7</v>
      </c>
      <c r="B36" s="27" t="inlineStr">
        <is>
          <t>I am continually saying 'I'll do it tomorrow'</t>
        </is>
      </c>
      <c r="C36" s="27" t="inlineStr">
        <is>
          <t>Pure Procrastination (total scale)</t>
        </is>
      </c>
      <c r="D36" s="27" t="inlineStr">
        <is>
          <t>FALSE</t>
        </is>
      </c>
      <c r="E36" s="27" t="inlineStr">
        <is>
          <t>FALSE</t>
        </is>
      </c>
      <c r="F36" s="27" t="inlineStr">
        <is>
          <t>Verbatim from Table 1, Svartdal &amp; Steel (2017); sourced from the General Procrastination Scale (GPS).</t>
        </is>
      </c>
    </row>
    <row r="37" ht="23.85" customHeight="1" s="17">
      <c r="A37" s="28" t="n">
        <v>8</v>
      </c>
      <c r="B37" s="27" t="inlineStr">
        <is>
          <t>I generally delay before starting on work I have to do</t>
        </is>
      </c>
      <c r="C37" s="27" t="inlineStr">
        <is>
          <t>Pure Procrastination (total scale)</t>
        </is>
      </c>
      <c r="D37" s="27" t="inlineStr">
        <is>
          <t>FALSE</t>
        </is>
      </c>
      <c r="E37" s="27" t="inlineStr">
        <is>
          <t>FALSE</t>
        </is>
      </c>
      <c r="F37" s="27" t="inlineStr">
        <is>
          <t>Verbatim from Table 1, Svartdal &amp; Steel (2017); sourced from the General Procrastination Scale (GPS).</t>
        </is>
      </c>
    </row>
    <row r="38" ht="23.85" customHeight="1" s="17">
      <c r="A38" s="28" t="n">
        <v>9</v>
      </c>
      <c r="B38" s="27" t="inlineStr">
        <is>
          <t>I find myself running out of time</t>
        </is>
      </c>
      <c r="C38" s="27" t="inlineStr">
        <is>
          <t>Pure Procrastination (total scale)</t>
        </is>
      </c>
      <c r="D38" s="27" t="inlineStr">
        <is>
          <t>FALSE</t>
        </is>
      </c>
      <c r="E38" s="27" t="inlineStr">
        <is>
          <t>FALSE</t>
        </is>
      </c>
      <c r="F38" s="27" t="inlineStr">
        <is>
          <t>Verbatim from Table 1, Svartdal &amp; Steel (2017); sourced from the Adult Inventory of Procrastination (AIP).</t>
        </is>
      </c>
    </row>
    <row r="39" ht="23.85" customHeight="1" s="17">
      <c r="A39" s="28" t="n">
        <v>10</v>
      </c>
      <c r="B39" s="27" t="inlineStr">
        <is>
          <t>I don't get things done on time</t>
        </is>
      </c>
      <c r="C39" s="27" t="inlineStr">
        <is>
          <t>Pure Procrastination (total scale)</t>
        </is>
      </c>
      <c r="D39" s="27" t="inlineStr">
        <is>
          <t>FALSE</t>
        </is>
      </c>
      <c r="E39" s="27" t="inlineStr">
        <is>
          <t>FALSE</t>
        </is>
      </c>
      <c r="F39" s="27" t="inlineStr">
        <is>
          <t>Verbatim from Table 1, Svartdal &amp; Steel (2017); sourced from the Adult Inventory of Procrastination (AIP).</t>
        </is>
      </c>
    </row>
    <row r="40" ht="23.85" customHeight="1" s="17">
      <c r="A40" s="28" t="n">
        <v>11</v>
      </c>
      <c r="B40" s="27" t="inlineStr">
        <is>
          <t>I am not very good at meeting deadlines</t>
        </is>
      </c>
      <c r="C40" s="27" t="inlineStr">
        <is>
          <t>Pure Procrastination (total scale)</t>
        </is>
      </c>
      <c r="D40" s="27" t="inlineStr">
        <is>
          <t>FALSE</t>
        </is>
      </c>
      <c r="E40" s="27" t="inlineStr">
        <is>
          <t>FALSE</t>
        </is>
      </c>
      <c r="F40" s="27" t="inlineStr">
        <is>
          <t>Verbatim from Table 1, Svartdal &amp; Steel (2017); sourced from the Adult Inventory of Procrastination (AIP).</t>
        </is>
      </c>
    </row>
    <row r="41" ht="23.85" customHeight="1" s="17">
      <c r="A41" s="28" t="n">
        <v>12</v>
      </c>
      <c r="B41" s="27" t="inlineStr">
        <is>
          <t>Putting things off till the last minute has cost me money in the past</t>
        </is>
      </c>
      <c r="C41" s="27" t="inlineStr">
        <is>
          <t>Pure Procrastination (total scale)</t>
        </is>
      </c>
      <c r="D41" s="27" t="inlineStr">
        <is>
          <t>FALSE</t>
        </is>
      </c>
      <c r="E41" s="27" t="inlineStr">
        <is>
          <t>FALSE</t>
        </is>
      </c>
      <c r="F41" s="27" t="inlineStr">
        <is>
          <t>Verbatim from Table 1, Svartdal &amp; Steel (2017); sourced from the Adult Inventory of Procrastination (AIP).</t>
        </is>
      </c>
    </row>
  </sheetData>
  <autoFilter ref="A29:F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F38"/>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Irrational Procrastination Scale</t>
        </is>
      </c>
    </row>
    <row r="2"/>
    <row r="3" ht="15" customHeight="1" s="17">
      <c r="A3" s="35" t="inlineStr">
        <is>
          <t>Instrument</t>
        </is>
      </c>
      <c r="B3" s="27" t="inlineStr">
        <is>
          <t>Irrational Procrastination Scale</t>
        </is>
      </c>
    </row>
    <row r="4" ht="15" customHeight="1" s="17">
      <c r="A4" s="35" t="inlineStr">
        <is>
          <t>Code</t>
        </is>
      </c>
      <c r="B4" s="27" t="inlineStr">
        <is>
          <t>IPS</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Irrational procrastination, i.e. the tendency to delay in a way that is knowingly counterproductive to one's own well-being or efficiency, distinguishing procrastination proper from merely intentional or strategic delay.</t>
        </is>
      </c>
    </row>
    <row r="8" ht="15" customHeight="1" s="17">
      <c r="A8" s="35" t="inlineStr">
        <is>
          <t>Respondent</t>
        </is>
      </c>
      <c r="B8" s="27" t="inlineStr">
        <is>
          <t>Self-report</t>
        </is>
      </c>
    </row>
    <row r="9" ht="30" customHeight="1" s="17">
      <c r="A9" s="35" t="inlineStr">
        <is>
          <t>Age range</t>
        </is>
      </c>
      <c r="B9" s="27" t="inlineStr">
        <is>
          <t>Adults; validated in a global cross-national adult sample (16,413 adults across multiple languages per Steel's own measure page)</t>
        </is>
      </c>
    </row>
    <row r="10" ht="15" customHeight="1" s="17">
      <c r="A10" s="35" t="inlineStr">
        <is>
          <t>Items in instrument</t>
        </is>
      </c>
      <c r="B10" s="27" t="inlineStr">
        <is>
          <t>9</t>
        </is>
      </c>
    </row>
    <row r="11" ht="15" customHeight="1" s="17">
      <c r="A11" s="35" t="inlineStr">
        <is>
          <t>Items reproduced here</t>
        </is>
      </c>
      <c r="B11" s="27" t="inlineStr">
        <is>
          <t>9</t>
        </is>
      </c>
    </row>
    <row r="12" ht="15" customHeight="1" s="17">
      <c r="A12" s="35" t="inlineStr">
        <is>
          <t>Administration time</t>
        </is>
      </c>
      <c r="B12" s="27" t="inlineStr">
        <is>
          <t>1-2 minutes</t>
        </is>
      </c>
    </row>
    <row r="13" ht="120" customHeight="1" s="17">
      <c r="A13" s="35" t="inlineStr">
        <is>
          <t>Cost and access</t>
        </is>
      </c>
      <c r="B13" s="27" t="inlineStr">
        <is>
          <t>No licence fee or permission is required to use the IPS in coaching practice. The scale is reproduced in full in Table 1 of Svartdal and Steel (2017), which is published under a Creative Commons Attribution License (CC BY), explicitly permitting reuse including commercial use with attribution. Separately, on his own measure page (procrastinus.com), the scale's co-developer Piers Steel states: "Feel free to use it for any research purpose or clinical purposes and adjust the scale length or anchors as you see fit," and invites practitioners to email him (steel@ucalgary.ca) for norms and scoring materials. A practitioner can administer it as a simple 1-5 rating form; no test manual, scoring software or purchase is needed.</t>
        </is>
      </c>
    </row>
    <row r="14" ht="105" customHeight="1" s="17">
      <c r="A14" s="35" t="inlineStr">
        <is>
          <t>Coaching application</t>
        </is>
      </c>
      <c r="B14" s="27" t="inlineStr">
        <is>
          <t>The IPS is a compact, unidimensional measure well suited to opening an executive-function coaching conversation with university students and early-career professionals, quickly surfacing whether a client's delay is experienced as genuinely counterproductive rather than a considered choice. It pairs well with the longer Pure Procrastination Scale and the Brief Self-Control Scale for exploring what is driving the delay. Its main limit is that, like the PPS, it is a broad trait measure rather than task-specific, so it should support reflection and goal-setting rather than serve as a clinical or diagnostic tool.</t>
        </is>
      </c>
    </row>
    <row r="15" ht="60" customHeight="1" s="17">
      <c r="A15" s="35" t="inlineStr">
        <is>
          <t>Purpose</t>
        </is>
      </c>
      <c r="B15" s="27" t="inlineStr">
        <is>
          <t>The IPS was developed by Piers Steel as a short, unidimensional companion measure to the Pure Procrastination Scale, targeting the irrational, self-defeating core of procrastination rather than delay in general. Svartdal and Steel (2017) re-examined the IPS alongside four other procrastination scales across a large multi-country adult sample to compare their measurement properties.</t>
        </is>
      </c>
    </row>
    <row r="16" ht="15" customHeight="1" s="17">
      <c r="A16" s="35" t="inlineStr">
        <is>
          <t>Instructions / prompt</t>
        </is>
      </c>
      <c r="B16" s="27" t="inlineStr">
        <is>
          <t>Not stated on source</t>
        </is>
      </c>
    </row>
    <row r="17" ht="15" customHeight="1" s="17">
      <c r="A17" s="35" t="inlineStr">
        <is>
          <t>Response options</t>
        </is>
      </c>
      <c r="B17" s="27" t="inlineStr">
        <is>
          <t>Very seldom or not true of me = 1 | 2 = 2 | 3 = 3 | 4 = 4 | Very often true, or true of me = 5</t>
        </is>
      </c>
    </row>
    <row r="18" ht="15" customHeight="1" s="17">
      <c r="A18" s="35" t="inlineStr">
        <is>
          <t>Reverse-scored items</t>
        </is>
      </c>
      <c r="B18" s="27" t="inlineStr">
        <is>
          <t>2, 6, 9</t>
        </is>
      </c>
    </row>
    <row r="19" ht="15" customHeight="1" s="17">
      <c r="A19" s="35" t="inlineStr">
        <is>
          <t>Filler items (not scored)</t>
        </is>
      </c>
      <c r="B19" s="27" t="inlineStr">
        <is>
          <t>None</t>
        </is>
      </c>
    </row>
    <row r="20" ht="30" customHeight="1" s="17">
      <c r="A20" s="35" t="inlineStr">
        <is>
          <t>Total scoring</t>
        </is>
      </c>
      <c r="B20" s="27" t="inlineStr">
        <is>
          <t>Reverse-code items 2, 6 and 9, then sum (or mean) all 9 item ratings. Higher total scores indicate greater irrational procrastination.</t>
        </is>
      </c>
    </row>
    <row r="21" ht="15" customHeight="1" s="17">
      <c r="A21" s="35" t="inlineStr">
        <is>
          <t>Interpretation bands</t>
        </is>
      </c>
      <c r="B21" s="27" t="inlineStr">
        <is>
          <t>Not stated on source</t>
        </is>
      </c>
    </row>
    <row r="22" ht="30" customHeight="1" s="17">
      <c r="A22" s="35" t="inlineStr">
        <is>
          <t>Cut-offs</t>
        </is>
      </c>
      <c r="B22" s="27" t="inlineStr">
        <is>
          <t>No clinical or normative cut-off scores were given in the fetched source. It is used as a continuous research/coaching variable.</t>
        </is>
      </c>
    </row>
    <row r="23" ht="45" customHeight="1" s="17">
      <c r="A23" s="35" t="inlineStr">
        <is>
          <t>Normative data</t>
        </is>
      </c>
      <c r="B23" s="27" t="inlineStr">
        <is>
          <t>No normative table was printed in the fetched excerpt of the source article. Piers Steel's own measure page states the IPS has been validated across international samples totalling 16,413 adults and invites direct contact for norms and scoring materials.</t>
        </is>
      </c>
    </row>
    <row r="24" ht="45" customHeight="1" s="17">
      <c r="A24" s="35" t="inlineStr">
        <is>
          <t>Psychometric properties</t>
        </is>
      </c>
      <c r="B24" s="27" t="inlineStr">
        <is>
          <t>Svartdal and Steel (2017) report Cronbach's alpha = .91 for the 9-item IPS in their multi-country sample. The article states psychometric adequacy for the scale across the six European countries sampled, in a comparison of five procrastination scales.</t>
        </is>
      </c>
    </row>
    <row r="25" ht="30" customHeight="1" s="17">
      <c r="A25" s="35" t="inlineStr">
        <is>
          <t>Developer citation</t>
        </is>
      </c>
      <c r="B25" s="27" t="inlineStr">
        <is>
          <t>Svartdal, F., &amp; Steel, P. (2017). Irrational delay revisited: Examining five procrastination scales in a global sample. Frontiers in Psychology, 8, 1927. https://doi.org/10.3389/fpsyg.2017.01927</t>
        </is>
      </c>
    </row>
    <row r="26" ht="75" customHeight="1" s="17">
      <c r="A26" s="35" t="inlineStr">
        <is>
          <t>Copyright and licensing</t>
        </is>
      </c>
      <c r="B26" s="27" t="inlineStr">
        <is>
          <t>The source article (Svartdal &amp; Steel, 2017) is published under the Creative Commons Attribution License (CC BY): "Copyright © 2017 Svartdal and Steel. This is an open-access article distributed under the terms of the Creative Commons Attribution License (CC BY)." Piers Steel's own measure page (procrastinus.com/piers-steel/about-the-measure/) additionally states: "Feel free to use it for any research purpose or clinical purposes and adjust the scale length or anchors as you see fit."</t>
        </is>
      </c>
    </row>
    <row r="27" ht="15" customHeight="1" s="17">
      <c r="A27" s="35" t="inlineStr">
        <is>
          <t>Source URL</t>
        </is>
      </c>
      <c r="B27" s="27" t="inlineStr">
        <is>
          <t>https://www.frontiersin.org/articles/10.3389/fpsyg.2017.01927/full</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15" customHeight="1" s="17">
      <c r="A30" s="28" t="n">
        <v>1</v>
      </c>
      <c r="B30" s="27" t="inlineStr">
        <is>
          <t>I put things off so long that my well-being or efficiency unnecessarily suffers</t>
        </is>
      </c>
      <c r="C30" s="27" t="inlineStr">
        <is>
          <t>Irrational Procrastination (total scale)</t>
        </is>
      </c>
      <c r="D30" s="27" t="inlineStr">
        <is>
          <t>FALSE</t>
        </is>
      </c>
      <c r="E30" s="27" t="inlineStr">
        <is>
          <t>FALSE</t>
        </is>
      </c>
      <c r="F30" s="27" t="inlineStr">
        <is>
          <t>Verbatim from Table 1, Svartdal &amp; Steel (2017).</t>
        </is>
      </c>
    </row>
    <row r="31" ht="23.85" customHeight="1" s="17">
      <c r="A31" s="28" t="n">
        <v>2</v>
      </c>
      <c r="B31" s="27" t="inlineStr">
        <is>
          <t>If there is something I should do, I get to it before attending to lesser tasks</t>
        </is>
      </c>
      <c r="C31" s="27" t="inlineStr">
        <is>
          <t>Irrational Procrastination (total scale)</t>
        </is>
      </c>
      <c r="D31" s="34" t="inlineStr">
        <is>
          <t>TRUE</t>
        </is>
      </c>
      <c r="E31" s="27" t="inlineStr">
        <is>
          <t>FALSE</t>
        </is>
      </c>
      <c r="F31" s="27" t="inlineStr">
        <is>
          <t>Verbatim from Table 1, Svartdal &amp; Steel (2017); marked '(R)' (reverse-scored) in the source table.</t>
        </is>
      </c>
    </row>
    <row r="32" ht="15" customHeight="1" s="17">
      <c r="A32" s="28" t="n">
        <v>3</v>
      </c>
      <c r="B32" s="27" t="inlineStr">
        <is>
          <t>My life would be better if I did some activities or tasks earlier</t>
        </is>
      </c>
      <c r="C32" s="27" t="inlineStr">
        <is>
          <t>Irrational Procrastination (total scale)</t>
        </is>
      </c>
      <c r="D32" s="27" t="inlineStr">
        <is>
          <t>FALSE</t>
        </is>
      </c>
      <c r="E32" s="27" t="inlineStr">
        <is>
          <t>FALSE</t>
        </is>
      </c>
      <c r="F32" s="27" t="inlineStr">
        <is>
          <t>Verbatim from Table 1, Svartdal &amp; Steel (2017).</t>
        </is>
      </c>
    </row>
    <row r="33" ht="15" customHeight="1" s="17">
      <c r="A33" s="28" t="n">
        <v>4</v>
      </c>
      <c r="B33" s="27" t="inlineStr">
        <is>
          <t>When I should be doing one thing, I will do another</t>
        </is>
      </c>
      <c r="C33" s="27" t="inlineStr">
        <is>
          <t>Irrational Procrastination (total scale)</t>
        </is>
      </c>
      <c r="D33" s="27" t="inlineStr">
        <is>
          <t>FALSE</t>
        </is>
      </c>
      <c r="E33" s="27" t="inlineStr">
        <is>
          <t>FALSE</t>
        </is>
      </c>
      <c r="F33" s="27" t="inlineStr">
        <is>
          <t>Verbatim from Table 1, Svartdal &amp; Steel (2017).</t>
        </is>
      </c>
    </row>
    <row r="34" ht="15" customHeight="1" s="17">
      <c r="A34" s="28" t="n">
        <v>5</v>
      </c>
      <c r="B34" s="27" t="inlineStr">
        <is>
          <t>At the end of the day, I know I could have spent the time better</t>
        </is>
      </c>
      <c r="C34" s="27" t="inlineStr">
        <is>
          <t>Irrational Procrastination (total scale)</t>
        </is>
      </c>
      <c r="D34" s="27" t="inlineStr">
        <is>
          <t>FALSE</t>
        </is>
      </c>
      <c r="E34" s="27" t="inlineStr">
        <is>
          <t>FALSE</t>
        </is>
      </c>
      <c r="F34" s="27" t="inlineStr">
        <is>
          <t>Verbatim from Table 1, Svartdal &amp; Steel (2017).</t>
        </is>
      </c>
    </row>
    <row r="35" ht="23.85" customHeight="1" s="17">
      <c r="A35" s="28" t="n">
        <v>6</v>
      </c>
      <c r="B35" s="27" t="inlineStr">
        <is>
          <t>I spend my time wisely</t>
        </is>
      </c>
      <c r="C35" s="27" t="inlineStr">
        <is>
          <t>Irrational Procrastination (total scale)</t>
        </is>
      </c>
      <c r="D35" s="34" t="inlineStr">
        <is>
          <t>TRUE</t>
        </is>
      </c>
      <c r="E35" s="27" t="inlineStr">
        <is>
          <t>FALSE</t>
        </is>
      </c>
      <c r="F35" s="27" t="inlineStr">
        <is>
          <t>Verbatim from Table 1, Svartdal &amp; Steel (2017); marked '(R)' (reverse-scored) in the source table.</t>
        </is>
      </c>
    </row>
    <row r="36" ht="15" customHeight="1" s="17">
      <c r="A36" s="28" t="n">
        <v>7</v>
      </c>
      <c r="B36" s="27" t="inlineStr">
        <is>
          <t>I delay tasks beyond what is reasonable</t>
        </is>
      </c>
      <c r="C36" s="27" t="inlineStr">
        <is>
          <t>Irrational Procrastination (total scale)</t>
        </is>
      </c>
      <c r="D36" s="27" t="inlineStr">
        <is>
          <t>FALSE</t>
        </is>
      </c>
      <c r="E36" s="27" t="inlineStr">
        <is>
          <t>FALSE</t>
        </is>
      </c>
      <c r="F36" s="27" t="inlineStr">
        <is>
          <t>Verbatim from Table 1, Svartdal &amp; Steel (2017).</t>
        </is>
      </c>
    </row>
    <row r="37" ht="15" customHeight="1" s="17">
      <c r="A37" s="28" t="n">
        <v>8</v>
      </c>
      <c r="B37" s="27" t="inlineStr">
        <is>
          <t>I procrastinate</t>
        </is>
      </c>
      <c r="C37" s="27" t="inlineStr">
        <is>
          <t>Irrational Procrastination (total scale)</t>
        </is>
      </c>
      <c r="D37" s="27" t="inlineStr">
        <is>
          <t>FALSE</t>
        </is>
      </c>
      <c r="E37" s="27" t="inlineStr">
        <is>
          <t>FALSE</t>
        </is>
      </c>
      <c r="F37" s="27" t="inlineStr">
        <is>
          <t>Verbatim from Table 1, Svartdal &amp; Steel (2017).</t>
        </is>
      </c>
    </row>
    <row r="38" ht="23.85" customHeight="1" s="17">
      <c r="A38" s="28" t="n">
        <v>9</v>
      </c>
      <c r="B38" s="27" t="inlineStr">
        <is>
          <t>I do everything when I believe it needs to be done</t>
        </is>
      </c>
      <c r="C38" s="27" t="inlineStr">
        <is>
          <t>Irrational Procrastination (total scale)</t>
        </is>
      </c>
      <c r="D38" s="34" t="inlineStr">
        <is>
          <t>TRUE</t>
        </is>
      </c>
      <c r="E38" s="27" t="inlineStr">
        <is>
          <t>FALSE</t>
        </is>
      </c>
      <c r="F38" s="27" t="inlineStr">
        <is>
          <t>Verbatim from Table 1, Svartdal &amp; Steel (2017); marked '(R)' (reverse-scored) in the source table.</t>
        </is>
      </c>
    </row>
  </sheetData>
  <autoFilter ref="A29:F3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General Self-Efficacy Scale</t>
        </is>
      </c>
    </row>
    <row r="2"/>
    <row r="3" ht="15" customHeight="1" s="17">
      <c r="A3" s="35" t="inlineStr">
        <is>
          <t>Instrument</t>
        </is>
      </c>
      <c r="B3" s="27" t="inlineStr">
        <is>
          <t>General Self-Efficacy Scale</t>
        </is>
      </c>
    </row>
    <row r="4" ht="15" customHeight="1" s="17">
      <c r="A4" s="35" t="inlineStr">
        <is>
          <t>Code</t>
        </is>
      </c>
      <c r="B4" s="27" t="inlineStr">
        <is>
          <t>GSE</t>
        </is>
      </c>
    </row>
    <row r="5" ht="15" customHeight="1" s="17">
      <c r="A5" s="35" t="inlineStr">
        <is>
          <t>Domain</t>
        </is>
      </c>
      <c r="B5" s="27" t="inlineStr">
        <is>
          <t>6. Motivation, self determination and goal pursuit</t>
        </is>
      </c>
    </row>
    <row r="6" ht="15" customHeight="1" s="17">
      <c r="A6" s="35" t="inlineStr">
        <is>
          <t>Availability</t>
        </is>
      </c>
      <c r="B6" s="27" t="inlineStr">
        <is>
          <t>Free / open access</t>
        </is>
      </c>
    </row>
    <row r="7" ht="45" customHeight="1" s="17">
      <c r="A7" s="35" t="inlineStr">
        <is>
          <t>Construct</t>
        </is>
      </c>
      <c r="B7" s="27" t="inlineStr">
        <is>
          <t>Generalized self-efficacy, i.e. a broad and stable sense of personal competence to deal effectively with a variety of stressful or difficult situations, treated as a unidimensional trait rather than task-specific self-efficacy.</t>
        </is>
      </c>
    </row>
    <row r="8" ht="15" customHeight="1" s="17">
      <c r="A8" s="35" t="inlineStr">
        <is>
          <t>Respondent</t>
        </is>
      </c>
      <c r="B8" s="27" t="inlineStr">
        <is>
          <t>Self-report</t>
        </is>
      </c>
    </row>
    <row r="9" ht="15" customHeight="1" s="17">
      <c r="A9" s="35" t="inlineStr">
        <is>
          <t>Age range</t>
        </is>
      </c>
      <c r="B9" s="27" t="inlineStr">
        <is>
          <t>Adolescents through adults; validated across 23 nations in general population and student samples</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4 minutes average (per the official FU Berlin documentation)</t>
        </is>
      </c>
    </row>
    <row r="13" ht="105" customHeight="1" s="17">
      <c r="A13" s="35" t="inlineStr">
        <is>
          <t>Cost and access</t>
        </is>
      </c>
      <c r="B13" s="27" t="inlineStr">
        <is>
          <t>No licence fee or permission is required to use the GSE in coaching practice. The official documentation (faq_gse.pdf, hosted on the developers' own Freie Universität Berlin page) states explicitly: "You do not need our explicit permission to utilize the scale in your research studies. We hereby grant you permission to use and reproduce the General Self-Efficacy Scale for your study, given that appropriate recognition of the source of the scale is made." No commercial-use exclusion is stated anywhere on the official site. Items and instructions are freely viewable on the official page; no purchase, manual or scoring software is required.</t>
        </is>
      </c>
    </row>
    <row r="14" ht="105" customHeight="1" s="17">
      <c r="A14" s="35" t="inlineStr">
        <is>
          <t>Coaching application</t>
        </is>
      </c>
      <c r="B14" s="27" t="inlineStr">
        <is>
          <t>The GSE is a strong short default confidence measure for university students and early-career professionals in executive-function, study-skills and career coaching, giving a quick read on a client's general belief in their capacity to handle difficult or unfamiliar academic and career tasks, which is directly actionable in goal-setting and in framing setbacks. Its limits are that it measures a broad, stable trait rather than confidence in a specific task or domain (such as a particular assignment or job search step), so a low score should prompt further, more specific exploration rather than be treated as a complete picture of a client's confidence.</t>
        </is>
      </c>
    </row>
    <row r="15" ht="45" customHeight="1" s="17">
      <c r="A15" s="35" t="inlineStr">
        <is>
          <t>Purpose</t>
        </is>
      </c>
      <c r="B15" s="27" t="inlineStr">
        <is>
          <t>The GSE was developed by Schwarzer and Jerusalem to provide a short, psychometrically robust measure of a person's general sense of perceived self-efficacy, intended to predict how well people cope with daily hassles and adapt after experiencing stressful life events, across cultures and languages.</t>
        </is>
      </c>
    </row>
    <row r="16" ht="15" customHeight="1" s="17">
      <c r="A16" s="35" t="inlineStr">
        <is>
          <t>Instructions / prompt</t>
        </is>
      </c>
      <c r="B16" s="27" t="inlineStr">
        <is>
          <t>Not stated on source</t>
        </is>
      </c>
    </row>
    <row r="17" ht="15" customHeight="1" s="17">
      <c r="A17" s="35" t="inlineStr">
        <is>
          <t>Response options</t>
        </is>
      </c>
      <c r="B17" s="27" t="inlineStr">
        <is>
          <t>Not at all true = 1 | Hardly true = 2 | Moderately true = 3 | Exactly true = 4</t>
        </is>
      </c>
    </row>
    <row r="18" ht="15" customHeight="1" s="17">
      <c r="A18" s="35" t="inlineStr">
        <is>
          <t>Reverse-scored items</t>
        </is>
      </c>
      <c r="B18" s="27" t="inlineStr">
        <is>
          <t>None</t>
        </is>
      </c>
    </row>
    <row r="19" ht="15" customHeight="1" s="17">
      <c r="A19" s="35" t="inlineStr">
        <is>
          <t>Filler items (not scored)</t>
        </is>
      </c>
      <c r="B19" s="27" t="inlineStr">
        <is>
          <t>None</t>
        </is>
      </c>
    </row>
    <row r="20" ht="30" customHeight="1" s="17">
      <c r="A20" s="35" t="inlineStr">
        <is>
          <t>Total scoring</t>
        </is>
      </c>
      <c r="B20" s="27" t="inlineStr">
        <is>
          <t>Sum of the 10 item ratings, giving a total score ranging from 10 to 40. Higher scores indicate greater generalized self-efficacy. No items are reverse-scored.</t>
        </is>
      </c>
    </row>
    <row r="21" ht="15" customHeight="1" s="17">
      <c r="A21" s="35" t="inlineStr">
        <is>
          <t>Interpretation bands</t>
        </is>
      </c>
      <c r="B21" s="27" t="inlineStr">
        <is>
          <t>Not stated on source</t>
        </is>
      </c>
    </row>
    <row r="22" ht="15" customHeight="1" s="17">
      <c r="A22" s="35" t="inlineStr">
        <is>
          <t>Cut-offs</t>
        </is>
      </c>
      <c r="B22" s="27" t="inlineStr">
        <is>
          <t>No clinical cut-off scores are given on the official page; it is used as a continuous variable.</t>
        </is>
      </c>
    </row>
    <row r="23" ht="45" customHeight="1" s="17">
      <c r="A23" s="35" t="inlineStr">
        <is>
          <t>Normative data</t>
        </is>
      </c>
      <c r="B23" s="27" t="inlineStr">
        <is>
          <t>The official page states the scale has been validated in samples from 23 nations. No specific mean/SD norm tables were printed in the fetched page text, though the page indicates such information is discussed in the accompanying FAQ documentation.</t>
        </is>
      </c>
    </row>
    <row r="24" ht="30" customHeight="1" s="17">
      <c r="A24" s="35" t="inlineStr">
        <is>
          <t>Psychometric properties</t>
        </is>
      </c>
      <c r="B24" s="27" t="inlineStr">
        <is>
          <t>Cronbach's alpha coefficients ranged from .76 to .90 across the 23-nation samples, with the majority in the high .80s, per the official FU Berlin documentation.</t>
        </is>
      </c>
    </row>
    <row r="25" ht="45" customHeight="1" s="17">
      <c r="A25" s="35" t="inlineStr">
        <is>
          <t>Developer citation</t>
        </is>
      </c>
      <c r="B25" s="27" t="inlineStr">
        <is>
          <t>Schwarzer, R., &amp; Jerusalem, M. (1995). Generalized Self-Efficacy scale. In J. Weinman, S. Wright, &amp; M. Johnston, Measures in health psychology: A user's portfolio. Causal and control beliefs (pp. 35-37). NFER-NELSON.</t>
        </is>
      </c>
    </row>
    <row r="26" ht="75" customHeight="1" s="17">
      <c r="A26" s="35" t="inlineStr">
        <is>
          <t>Copyright and licensing</t>
        </is>
      </c>
      <c r="B26" s="27" t="inlineStr">
        <is>
          <t>The official FAQ documentation (faq_gse.pdf) states: "You do not need our explicit permission to utilize the scale in your research studies. We hereby grant you permission to use and reproduce the General Self-Efficacy Scale for your study, given that appropriate recognition of the source of the scale is made." No copyright or permission statement restricting commercial use appears on the item-hosting page itself.</t>
        </is>
      </c>
    </row>
    <row r="27" ht="15" customHeight="1" s="17">
      <c r="A27" s="35" t="inlineStr">
        <is>
          <t>Source URL</t>
        </is>
      </c>
      <c r="B27" s="27" t="inlineStr">
        <is>
          <t>https://userpage.fu-berlin.de/~health/engscal.htm</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 can always manage to solve difficult problems if I try hard enough.</t>
        </is>
      </c>
      <c r="C30" s="27" t="inlineStr">
        <is>
          <t>General Self-Efficacy (total scale)</t>
        </is>
      </c>
      <c r="D30" s="27" t="inlineStr">
        <is>
          <t>FALSE</t>
        </is>
      </c>
      <c r="E30" s="27" t="inlineStr">
        <is>
          <t>FALSE</t>
        </is>
      </c>
      <c r="F30" s="27" t="inlineStr">
        <is>
          <t>Verbatim from the official FU Berlin page, https://userpage.fu-berlin.de/~health/engscal.htm.</t>
        </is>
      </c>
    </row>
    <row r="31" ht="15" customHeight="1" s="17">
      <c r="A31" s="28" t="n">
        <v>2</v>
      </c>
      <c r="B31" s="27" t="inlineStr">
        <is>
          <t>If someone opposes me, I can find the means and ways to get what I want.</t>
        </is>
      </c>
      <c r="C31" s="27" t="inlineStr">
        <is>
          <t>General Self-Efficacy (total scale)</t>
        </is>
      </c>
      <c r="D31" s="27" t="inlineStr">
        <is>
          <t>FALSE</t>
        </is>
      </c>
      <c r="E31" s="27" t="inlineStr">
        <is>
          <t>FALSE</t>
        </is>
      </c>
      <c r="F31" s="27" t="inlineStr">
        <is>
          <t>Verbatim from the official FU Berlin page.</t>
        </is>
      </c>
    </row>
    <row r="32" ht="15" customHeight="1" s="17">
      <c r="A32" s="28" t="n">
        <v>3</v>
      </c>
      <c r="B32" s="27" t="inlineStr">
        <is>
          <t>It is easy for me to stick to my aims and accomplish my goals.</t>
        </is>
      </c>
      <c r="C32" s="27" t="inlineStr">
        <is>
          <t>General Self-Efficacy (total scale)</t>
        </is>
      </c>
      <c r="D32" s="27" t="inlineStr">
        <is>
          <t>FALSE</t>
        </is>
      </c>
      <c r="E32" s="27" t="inlineStr">
        <is>
          <t>FALSE</t>
        </is>
      </c>
      <c r="F32" s="27" t="inlineStr">
        <is>
          <t>Verbatim from the official FU Berlin page.</t>
        </is>
      </c>
    </row>
    <row r="33" ht="15" customHeight="1" s="17">
      <c r="A33" s="28" t="n">
        <v>4</v>
      </c>
      <c r="B33" s="27" t="inlineStr">
        <is>
          <t>I am confident that I could deal efficiently with unexpected events.</t>
        </is>
      </c>
      <c r="C33" s="27" t="inlineStr">
        <is>
          <t>General Self-Efficacy (total scale)</t>
        </is>
      </c>
      <c r="D33" s="27" t="inlineStr">
        <is>
          <t>FALSE</t>
        </is>
      </c>
      <c r="E33" s="27" t="inlineStr">
        <is>
          <t>FALSE</t>
        </is>
      </c>
      <c r="F33" s="27" t="inlineStr">
        <is>
          <t>Verbatim from the official FU Berlin page.</t>
        </is>
      </c>
    </row>
    <row r="34" ht="15" customHeight="1" s="17">
      <c r="A34" s="28" t="n">
        <v>5</v>
      </c>
      <c r="B34" s="27" t="inlineStr">
        <is>
          <t>Thanks to my resourcefulness, I know how to handle unforeseen situations.</t>
        </is>
      </c>
      <c r="C34" s="27" t="inlineStr">
        <is>
          <t>General Self-Efficacy (total scale)</t>
        </is>
      </c>
      <c r="D34" s="27" t="inlineStr">
        <is>
          <t>FALSE</t>
        </is>
      </c>
      <c r="E34" s="27" t="inlineStr">
        <is>
          <t>FALSE</t>
        </is>
      </c>
      <c r="F34" s="27" t="inlineStr">
        <is>
          <t>Verbatim from the official FU Berlin page.</t>
        </is>
      </c>
    </row>
    <row r="35" ht="15" customHeight="1" s="17">
      <c r="A35" s="28" t="n">
        <v>6</v>
      </c>
      <c r="B35" s="27" t="inlineStr">
        <is>
          <t>I can solve most problems if I invest the necessary effort.</t>
        </is>
      </c>
      <c r="C35" s="27" t="inlineStr">
        <is>
          <t>General Self-Efficacy (total scale)</t>
        </is>
      </c>
      <c r="D35" s="27" t="inlineStr">
        <is>
          <t>FALSE</t>
        </is>
      </c>
      <c r="E35" s="27" t="inlineStr">
        <is>
          <t>FALSE</t>
        </is>
      </c>
      <c r="F35" s="27" t="inlineStr">
        <is>
          <t>Verbatim from the official FU Berlin page.</t>
        </is>
      </c>
    </row>
    <row r="36" ht="15" customHeight="1" s="17">
      <c r="A36" s="28" t="n">
        <v>7</v>
      </c>
      <c r="B36" s="27" t="inlineStr">
        <is>
          <t>I can remain calm when facing difficulties because I can rely on my coping abilities.</t>
        </is>
      </c>
      <c r="C36" s="27" t="inlineStr">
        <is>
          <t>General Self-Efficacy (total scale)</t>
        </is>
      </c>
      <c r="D36" s="27" t="inlineStr">
        <is>
          <t>FALSE</t>
        </is>
      </c>
      <c r="E36" s="27" t="inlineStr">
        <is>
          <t>FALSE</t>
        </is>
      </c>
      <c r="F36" s="27" t="inlineStr">
        <is>
          <t>Verbatim from the official FU Berlin page.</t>
        </is>
      </c>
    </row>
    <row r="37" ht="15" customHeight="1" s="17">
      <c r="A37" s="28" t="n">
        <v>8</v>
      </c>
      <c r="B37" s="27" t="inlineStr">
        <is>
          <t>When I am confronted with a problem, I can usually find several solutions.</t>
        </is>
      </c>
      <c r="C37" s="27" t="inlineStr">
        <is>
          <t>General Self-Efficacy (total scale)</t>
        </is>
      </c>
      <c r="D37" s="27" t="inlineStr">
        <is>
          <t>FALSE</t>
        </is>
      </c>
      <c r="E37" s="27" t="inlineStr">
        <is>
          <t>FALSE</t>
        </is>
      </c>
      <c r="F37" s="27" t="inlineStr">
        <is>
          <t>Verbatim from the official FU Berlin page.</t>
        </is>
      </c>
    </row>
    <row r="38" ht="15" customHeight="1" s="17">
      <c r="A38" s="28" t="n">
        <v>9</v>
      </c>
      <c r="B38" s="27" t="inlineStr">
        <is>
          <t>If I am in trouble, I can usually think of a solution.</t>
        </is>
      </c>
      <c r="C38" s="27" t="inlineStr">
        <is>
          <t>General Self-Efficacy (total scale)</t>
        </is>
      </c>
      <c r="D38" s="27" t="inlineStr">
        <is>
          <t>FALSE</t>
        </is>
      </c>
      <c r="E38" s="27" t="inlineStr">
        <is>
          <t>FALSE</t>
        </is>
      </c>
      <c r="F38" s="27" t="inlineStr">
        <is>
          <t>Verbatim from the official FU Berlin page.</t>
        </is>
      </c>
    </row>
    <row r="39" ht="15" customHeight="1" s="17">
      <c r="A39" s="28" t="n">
        <v>10</v>
      </c>
      <c r="B39" s="27" t="inlineStr">
        <is>
          <t>I can usually handle whatever comes my way.</t>
        </is>
      </c>
      <c r="C39" s="27" t="inlineStr">
        <is>
          <t>General Self-Efficacy (total scale)</t>
        </is>
      </c>
      <c r="D39" s="27" t="inlineStr">
        <is>
          <t>FALSE</t>
        </is>
      </c>
      <c r="E39" s="27" t="inlineStr">
        <is>
          <t>FALSE</t>
        </is>
      </c>
      <c r="F39" s="27" t="inlineStr">
        <is>
          <t>Verbatim from the official FU Berlin page.</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34"/>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Commitment Scale (5-item unidimensional version)</t>
        </is>
      </c>
    </row>
    <row r="2"/>
    <row r="3" ht="15" customHeight="1" s="17">
      <c r="A3" s="35" t="inlineStr">
        <is>
          <t>Instrument</t>
        </is>
      </c>
      <c r="B3" s="27" t="inlineStr">
        <is>
          <t>Goal Commitment Scale (5-item unidimensional version)</t>
        </is>
      </c>
    </row>
    <row r="4" ht="15" customHeight="1" s="17">
      <c r="A4" s="35" t="inlineStr">
        <is>
          <t>Code</t>
        </is>
      </c>
      <c r="B4" s="27" t="inlineStr">
        <is>
          <t>GCS</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30" customHeight="1" s="17">
      <c r="A7" s="35" t="inlineStr">
        <is>
          <t>Construct</t>
        </is>
      </c>
      <c r="B7" s="27" t="inlineStr">
        <is>
          <t>Unidimensional goal commitment, i.e. the degree of attachment to, and determination to reach, a specific goal the respondent has in mind, independent of the goal's difficulty or content.</t>
        </is>
      </c>
    </row>
    <row r="8" ht="45" customHeight="1" s="17">
      <c r="A8" s="35" t="inlineStr">
        <is>
          <t>Respondent</t>
        </is>
      </c>
      <c r="B8" s="27" t="inlineStr">
        <is>
          <t>Self-report, completed with reference to a specific goal the respondent names or is given (items are worded around "this goal"); used with working adults and students across the many studies aggregated in the 2001 meta-analysis.</t>
        </is>
      </c>
    </row>
    <row r="9" ht="30" customHeight="1" s="17">
      <c r="A9" s="35" t="inlineStr">
        <is>
          <t>Age range</t>
        </is>
      </c>
      <c r="B9" s="27" t="inlineStr">
        <is>
          <t>Adult (18+) in the studies identified; no child or adolescent validation located in the sources fetched.</t>
        </is>
      </c>
    </row>
    <row r="10" ht="15" customHeight="1" s="17">
      <c r="A10" s="35" t="inlineStr">
        <is>
          <t>Items in instrument</t>
        </is>
      </c>
      <c r="B10" s="27" t="inlineStr">
        <is>
          <t>5</t>
        </is>
      </c>
    </row>
    <row r="11" ht="15" customHeight="1" s="17">
      <c r="A11" s="35" t="inlineStr">
        <is>
          <t>Items reproduced here</t>
        </is>
      </c>
      <c r="B11" s="27" t="inlineStr">
        <is>
          <t>5</t>
        </is>
      </c>
    </row>
    <row r="12" ht="15" customHeight="1" s="17">
      <c r="A12" s="35" t="inlineStr">
        <is>
          <t>Administration time</t>
        </is>
      </c>
      <c r="B12" s="27" t="inlineStr">
        <is>
          <t>Not stated on source</t>
        </is>
      </c>
    </row>
    <row r="13" ht="169.5" customHeight="1" s="17">
      <c r="A13" s="35" t="inlineStr">
        <is>
          <t>Cost and access</t>
        </is>
      </c>
      <c r="B13" s="27" t="inlineStr">
        <is>
          <t>No purchase, licence fee, manual, or scoring software is needed to administer the 5 items themselves. The item text is reproduced by an aggregator (scales.arabpsychology.com and its sister site db.arabpsychology.com, both fetched and cross-checked against each other in this session) which states verbatim: "Generally utilized freely for non-commercial academic research, provided proper attribution and citation are given to the original authors. Commercial use or modifications may require explicit permission." This is the aggregator's own licensing note, not a statement issued by Klein et al. or by Elsevier/Organizational Behavior and Human Decision Processes, and no author contact address was found on either aggregator page. The original 2001 article itself is behind the ScienceDirect paywall, so no publisher-issued licence text could be checked directly. Recommend written confirmation from Howard J. Klein (Ohio State University) before using the scale as a scored instrument within a paid coaching product; low-risk for informal, unscored use as a single reflective rating within an individual coaching session. Licensing detail: Free to view for research and academic use; the hosting database states commercial use or modification may require explicit permission from the original authors (position as stated by the aggregator, not by the original publisher, Elsevier)</t>
        </is>
      </c>
    </row>
    <row r="14" ht="120" customHeight="1" s="17">
      <c r="A14" s="35" t="inlineStr">
        <is>
          <t>Coaching application</t>
        </is>
      </c>
      <c r="B14" s="27" t="inlineStr">
        <is>
          <t>The 5-item Goal Commitment Scale is a well-validated, quick diagnostic for how genuinely committed a client is to a goal they have just set, which is useful before investing coaching effort in goal-setting or accountability work with university students or early-career professionals. It works best as a short check-in on a specific, named goal (e.g. a study goal or a career-transition goal) rather than as a general trait measure, and because it was developed and validated in organisational/laboratory goal-setting research rather than in coaching or clinical samples, any score interpretation should stay descriptive and conversational rather than being presented as a validated clinical cut-off.</t>
        </is>
      </c>
    </row>
    <row r="15" ht="105" customHeight="1" s="17">
      <c r="A15" s="35" t="inlineStr">
        <is>
          <t>Purpose</t>
        </is>
      </c>
      <c r="B15" s="27" t="inlineStr">
        <is>
          <t>The Goal Commitment Scale was originally developed by Hollenbeck, Williams and Klein (1989) as a 9-item measure of commitment to a specific, often difficult, goal, extending earlier single-item approaches used in goal-setting research. Klein, Wesson, Hollenbeck, Wright and DeShon (2001) conducted a measurement-model meta-analysis of goal commitment measures across the accumulated literature and concluded that a unidimensional, 5-item subset of the original 9 items (items 1 to 5 below) provided the best-fitting and most parsimonious measurement model, recommending it over the full 9-item version and over the other item combinations tested.</t>
        </is>
      </c>
    </row>
    <row r="16" ht="45" customHeight="1" s="17">
      <c r="A16" s="35" t="inlineStr">
        <is>
          <t>Instructions / prompt</t>
        </is>
      </c>
      <c r="B16" s="27" t="inlineStr">
        <is>
          <t>Not retrieved verbatim from a published source. The items refer to 'this goal', so the respondent must first name the goal being rated; a practitioner instruction such as asking the client to write down the goal and rate each statement about it is needed on the form.</t>
        </is>
      </c>
    </row>
    <row r="17" ht="30" customHeight="1" s="17">
      <c r="A17" s="35" t="inlineStr">
        <is>
          <t>Response options</t>
        </is>
      </c>
      <c r="B17" s="27" t="inlineStr">
        <is>
          <t>Strongly Disagree = 1 | Moderately Disagree = 2 | Neutral = 3 | Moderately Agree = 4 | Strongly Agree = 5</t>
        </is>
      </c>
    </row>
    <row r="18" ht="15" customHeight="1" s="17">
      <c r="A18" s="35" t="inlineStr">
        <is>
          <t>Reverse-scored items</t>
        </is>
      </c>
      <c r="B18" s="27" t="inlineStr">
        <is>
          <t>1-2, 4</t>
        </is>
      </c>
    </row>
    <row r="19" ht="15" customHeight="1" s="17">
      <c r="A19" s="35" t="inlineStr">
        <is>
          <t>Filler items (not scored)</t>
        </is>
      </c>
      <c r="B19" s="27" t="inlineStr">
        <is>
          <t>None</t>
        </is>
      </c>
    </row>
    <row r="20" ht="60" customHeight="1" s="17">
      <c r="A20" s="35" t="inlineStr">
        <is>
          <t>Total scoring</t>
        </is>
      </c>
      <c r="B20" s="27" t="inlineStr">
        <is>
          <t>Reverse score items 1, 2 and 4 (6 minus the response on a 1 to 5 scale), then sum or average all 5 items. Higher scores indicate stronger commitment to the named goal. Klein et al. (2001) recommended these 5 items from the 9 item Hollenbeck, Williams and Klein (1989) scale on the basis of their meta-analytic measurement model; the scale is unidimensional.</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69.5" customHeight="1" s="17">
      <c r="A24" s="35" t="inlineStr">
        <is>
          <t>Psychometric properties</t>
        </is>
      </c>
      <c r="B24" s="27" t="inlineStr">
        <is>
          <t>The original Klein et al. (2001) primary-source alpha for the 5-item scale could not be independently retrieved in this session (ScienceDirect paywall). A secondary source that cites Klein et al. (2001) directly (Examination of Goal Commitment and Subjective..., ERIC document EJ1263534, fetched in this session) states: "the internal consistency coefficient of the scale was found to be 0.74," attributed to the Klein et al. (2001) 5-item version, but this figure is a secondary citation, not a quote taken from the original 2001 article itself. A separate, unrelated study using the same 5-item scale (fetched via PMC8490751, a feedback-and-goal-commitment study) reports Cronbach's alpha ranging from .80 to .88 across experimental conditions at Time 1, again not from the original 2001 source. A later, related 4-item unidimensional target-free measure derived from this tradition (the KUT; Klein, Cooper, Molloy &amp; Swanson, 2014, cited in a secondary dissertation source fetched in this session) is reported with alpha = .92, but this is a different, shorter instrument, not the Klein et al. (2001) 5-item GCS itself, and is included here only for context. No alpha figure could be confirmed as coming directly from the text of Klein et al. (2001). Correction note: an earlier draft of this record, taken from an aggregator site, listed two items from the 9 item parent scale ('It's unrealistic for me to expect to reach this goal' and 'It is quite likely that this goal may need to be revised') in place of 2 of the 5 recommended items. The items were corrected against Klein et al. (2001, p. 34) as quoted in an independent thesis; reliability figures quoted above from sources using the aggregator's set should be treated with caution.</t>
        </is>
      </c>
    </row>
    <row r="25" ht="45" customHeight="1" s="17">
      <c r="A25" s="35" t="inlineStr">
        <is>
          <t>Developer citation</t>
        </is>
      </c>
      <c r="B25" s="27" t="inlineStr">
        <is>
          <t>Klein, H. J., Wesson, M. J., Hollenbeck, J. R., Wright, P. M., &amp; DeShon, R. P. (2001). The assessment of goal commitment: A measurement model meta-analysis. Organizational Behavior and Human Decision Processes, 85(1), 32-55.</t>
        </is>
      </c>
    </row>
    <row r="26" ht="165" customHeight="1" s="17">
      <c r="A26" s="35" t="inlineStr">
        <is>
          <t>Copyright and licensing</t>
        </is>
      </c>
      <c r="B26" s="27" t="inlineStr">
        <is>
          <t>No copyright or licence statement was found on the original publisher's own materials (the article is paywalled at Elsevier/ScienceDirect and no author-hosted copy was located). The item-hosting aggregator (arabpsychology.com, both scales. and db. subdomains, cross-checked against each other) states verbatim: "Generally utilized freely for non-commercial academic research, provided proper attribution and citation are given to the original authors. Commercial use or modifications may require explicit permission." One of the two aggregator pages additionally attributes the underlying construct to a different 1989 citation (Hollenbeck, Klein, O'Leary &amp; Wright, 1989, Journal of Applied Psychology, 74, 951-956, "Investigation of the construct validity of a self-report measure of goal commitment") rather than to the Hollenbeck, Williams &amp; Klein (1989) citation specified in this record's brief; both 1989 papers exist in the literature and this discrepancy between the two aggregator pages should be treated as an aggregator inconsistency, not a confirmed fact about the scale's origin.</t>
        </is>
      </c>
    </row>
    <row r="27" ht="15" customHeight="1" s="17">
      <c r="A27" s="35" t="inlineStr">
        <is>
          <t>Source URL</t>
        </is>
      </c>
      <c r="B27" s="27" t="inlineStr">
        <is>
          <t>https://bearworks.missouristate.edu/cgi/viewcontent.cgi?article=4229&amp;context=theses</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46.25" customHeight="1" s="17">
      <c r="A30" s="28" t="n">
        <v>1</v>
      </c>
      <c r="B30" s="27" t="inlineStr">
        <is>
          <t>It's hard to take this goal seriously.</t>
        </is>
      </c>
      <c r="C30" s="27" t="inlineStr">
        <is>
          <t>Goal Commitment</t>
        </is>
      </c>
      <c r="D30" s="34" t="inlineStr">
        <is>
          <t>TRUE</t>
        </is>
      </c>
      <c r="E30" s="27" t="inlineStr">
        <is>
          <t>FALSE</t>
        </is>
      </c>
      <c r="F30" s="27" t="inlineStr">
        <is>
          <t>Item wording and reverse keying per Klein et al. (2001, p. 34) as quoted in Missouri State University thesis https://bearworks.missouristate.edu/cgi/viewcontent.cgi?article=4229&amp;context=theses.</t>
        </is>
      </c>
    </row>
    <row r="31" ht="46.25" customHeight="1" s="17">
      <c r="A31" s="28" t="n">
        <v>2</v>
      </c>
      <c r="B31" s="27" t="inlineStr">
        <is>
          <t>Quite frankly, I don't care if I achieve this goal or not.</t>
        </is>
      </c>
      <c r="C31" s="27" t="inlineStr">
        <is>
          <t>Goal Commitment</t>
        </is>
      </c>
      <c r="D31" s="34" t="inlineStr">
        <is>
          <t>TRUE</t>
        </is>
      </c>
      <c r="E31" s="27" t="inlineStr">
        <is>
          <t>FALSE</t>
        </is>
      </c>
      <c r="F31" s="27" t="inlineStr">
        <is>
          <t>Item wording and reverse keying per Klein et al. (2001, p. 34) as quoted in Missouri State University thesis https://bearworks.missouristate.edu/cgi/viewcontent.cgi?article=4229&amp;context=theses.</t>
        </is>
      </c>
    </row>
    <row r="32" ht="46.25" customHeight="1" s="17">
      <c r="A32" s="28" t="n">
        <v>3</v>
      </c>
      <c r="B32" s="27" t="inlineStr">
        <is>
          <t>I am strongly committed to pursuing this goal.</t>
        </is>
      </c>
      <c r="C32" s="27" t="inlineStr">
        <is>
          <t>Goal Commitment</t>
        </is>
      </c>
      <c r="D32" s="27" t="inlineStr">
        <is>
          <t>FALSE</t>
        </is>
      </c>
      <c r="E32" s="27" t="inlineStr">
        <is>
          <t>FALSE</t>
        </is>
      </c>
      <c r="F32" s="27" t="inlineStr">
        <is>
          <t>Item wording and reverse keying per Klein et al. (2001, p. 34) as quoted in Missouri State University thesis https://bearworks.missouristate.edu/cgi/viewcontent.cgi?article=4229&amp;context=theses.</t>
        </is>
      </c>
    </row>
    <row r="33" ht="46.25" customHeight="1" s="17">
      <c r="A33" s="28" t="n">
        <v>4</v>
      </c>
      <c r="B33" s="27" t="inlineStr">
        <is>
          <t>It wouldn't take much to make me abandon this goal.</t>
        </is>
      </c>
      <c r="C33" s="27" t="inlineStr">
        <is>
          <t>Goal Commitment</t>
        </is>
      </c>
      <c r="D33" s="34" t="inlineStr">
        <is>
          <t>TRUE</t>
        </is>
      </c>
      <c r="E33" s="27" t="inlineStr">
        <is>
          <t>FALSE</t>
        </is>
      </c>
      <c r="F33" s="27" t="inlineStr">
        <is>
          <t>Item wording and reverse keying per Klein et al. (2001, p. 34) as quoted in Missouri State University thesis https://bearworks.missouristate.edu/cgi/viewcontent.cgi?article=4229&amp;context=theses.</t>
        </is>
      </c>
    </row>
    <row r="34" ht="46.25" customHeight="1" s="17">
      <c r="A34" s="28" t="n">
        <v>5</v>
      </c>
      <c r="B34" s="27" t="inlineStr">
        <is>
          <t>I think this is a good goal to shoot for.</t>
        </is>
      </c>
      <c r="C34" s="27" t="inlineStr">
        <is>
          <t>Goal Commitment</t>
        </is>
      </c>
      <c r="D34" s="27" t="inlineStr">
        <is>
          <t>FALSE</t>
        </is>
      </c>
      <c r="E34" s="27" t="inlineStr">
        <is>
          <t>FALSE</t>
        </is>
      </c>
      <c r="F34" s="27" t="inlineStr">
        <is>
          <t>Item wording and reverse keying per Klein et al. (2001, p. 34) as quoted in Missouri State University thesis https://bearworks.missouristate.edu/cgi/viewcontent.cgi?article=4229&amp;context=theses.</t>
        </is>
      </c>
    </row>
  </sheetData>
  <autoFilter ref="A29:F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F39"/>
  <sheetViews>
    <sheetView showFormulas="0" showGridLines="0" showRowColHeaders="1" showZeros="1" rightToLeft="0" tabSelected="0" showOutlineSymbols="1" defaultGridColor="1" view="normal" topLeftCell="A1" colorId="64" zoomScale="100" zoomScaleNormal="100" zoomScalePageLayoutView="100" workbookViewId="0">
      <pane xSplit="0" ySplit="29" topLeftCell="A3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16" min="1" max="1"/>
    <col width="80" customWidth="1" style="16" min="2" max="2"/>
    <col width="34" customWidth="1" style="16" min="3" max="3"/>
    <col width="10" customWidth="1" style="16" min="4" max="5"/>
    <col width="58" customWidth="1" style="16" min="6" max="6"/>
  </cols>
  <sheetData>
    <row r="1" ht="17.35" customHeight="1" s="17">
      <c r="A1" s="31" t="inlineStr">
        <is>
          <t>Goal Adjustment Scale</t>
        </is>
      </c>
    </row>
    <row r="2"/>
    <row r="3" ht="15" customHeight="1" s="17">
      <c r="A3" s="35" t="inlineStr">
        <is>
          <t>Instrument</t>
        </is>
      </c>
      <c r="B3" s="27" t="inlineStr">
        <is>
          <t>Goal Adjustment Scale</t>
        </is>
      </c>
    </row>
    <row r="4" ht="15" customHeight="1" s="17">
      <c r="A4" s="35" t="inlineStr">
        <is>
          <t>Code</t>
        </is>
      </c>
      <c r="B4" s="27" t="inlineStr">
        <is>
          <t>GADJ</t>
        </is>
      </c>
    </row>
    <row r="5" ht="15" customHeight="1" s="17">
      <c r="A5" s="35" t="inlineStr">
        <is>
          <t>Domain</t>
        </is>
      </c>
      <c r="B5" s="27" t="inlineStr">
        <is>
          <t>6. Motivation, self determination and goal pursuit</t>
        </is>
      </c>
    </row>
    <row r="6" ht="15" customHeight="1" s="17">
      <c r="A6" s="35" t="inlineStr">
        <is>
          <t>Availability</t>
        </is>
      </c>
      <c r="B6" s="27" t="inlineStr">
        <is>
          <t>Free for research; permission needed for commercial use</t>
        </is>
      </c>
    </row>
    <row r="7" ht="60" customHeight="1" s="17">
      <c r="A7" s="35" t="inlineStr">
        <is>
          <t>Construct</t>
        </is>
      </c>
      <c r="B7" s="27" t="inlineStr">
        <is>
          <t>Adaptive self-regulation in the face of unattainable goals, comprising two related capacities: Goal Disengagement (the ability to withdraw effort and commitment from a goal that can no longer be reached) and Goal Reengagement (the ability to identify, commit to, and pursue new goals after disengaging from an old one).</t>
        </is>
      </c>
    </row>
    <row r="8" ht="30" customHeight="1" s="17">
      <c r="A8" s="35" t="inlineStr">
        <is>
          <t>Respondent</t>
        </is>
      </c>
      <c r="B8" s="27" t="inlineStr">
        <is>
          <t>Self-report, answered with respect to a general stem about an important, unattainable goal in the respondent's own life (not a goal supplied by an interviewer).</t>
        </is>
      </c>
    </row>
    <row r="9" ht="60" customHeight="1" s="17">
      <c r="A9" s="35" t="inlineStr">
        <is>
          <t>Age range</t>
        </is>
      </c>
      <c r="B9" s="27" t="inlineStr">
        <is>
          <t>Validated across three studies spanning young adulthood to old age: Study 1, undergraduates aged 17-23 (M = 19.35, SD = 1.08); Study 2, young adults aged 19-35 (M = 22.47) and older adults aged 55-89 (M = 69.67); Study 3, parents in their mid-30s to mid-40s (M around 36.9-37.6). No dedicated adolescent (under 17) validation was located.</t>
        </is>
      </c>
    </row>
    <row r="10" ht="15" customHeight="1" s="17">
      <c r="A10" s="35" t="inlineStr">
        <is>
          <t>Items in instrument</t>
        </is>
      </c>
      <c r="B10" s="27" t="inlineStr">
        <is>
          <t>10</t>
        </is>
      </c>
    </row>
    <row r="11" ht="15" customHeight="1" s="17">
      <c r="A11" s="35" t="inlineStr">
        <is>
          <t>Items reproduced here</t>
        </is>
      </c>
      <c r="B11" s="27" t="inlineStr">
        <is>
          <t>10</t>
        </is>
      </c>
    </row>
    <row r="12" ht="15" customHeight="1" s="17">
      <c r="A12" s="35" t="inlineStr">
        <is>
          <t>Administration time</t>
        </is>
      </c>
      <c r="B12" s="27" t="inlineStr">
        <is>
          <t>Not stated on source</t>
        </is>
      </c>
    </row>
    <row r="13" ht="169.5" customHeight="1" s="17">
      <c r="A13" s="35" t="inlineStr">
        <is>
          <t>Cost and access</t>
        </is>
      </c>
      <c r="B13" s="27" t="inlineStr">
        <is>
          <t>No purchase or licence fee is required to view the 10 items; they are reproduced in Table 1 of the original journal article, re-hosted at https://www.cmu.edu/dietrich/psychology/pdf/scales/GAS_article.pdf (fetched and confirmed in this session; this is the original 2003 Personality and Social Psychology Bulletin article, carrying the line "\u00a9 2003 by the Society for Personality and Social Psychology, Inc."). Carnegie Mellon's psychology department also hosts what its filename indicates is a standalone scale-only document at https://www.cmu.edu/dietrich/psychology/pdf/scales/GAS_scale.pdf; this URL was fetched in this session but returned no machine-readable text ("This PDF is empty or contains no machine-readable text"), so it could not be used to confirm a separate administration-ready form, and its existence as a genuinely standalone form is unconfirmed. No copyright, licence, or commercial-use statement appears anywhere in the original article itself. A third-party aggregator, Psychology Roots (https://psychologyroots.com/goal-adjustment-scale/, fetched and quoted directly in this session), states: "Psychology Roots does not have the right to grant permission for the use of any psychological scales or assessments listed on its website. To use any scale or assessment, you must obtain permission directly from the author or translator of the tool," naming the original authors (Wrosch, Scheier, Miller, Schulz, Carver) as the people to contact. Recommend written permission from Carsten Wrosch or Michael F. Scheier before using the GAS as a scored instrument in a commercial coaching product. Licensing detail: Free to view via a university-hosted copy of the original journal article; commercial/paid use is not explicitly addressed by the original authors or publisher, and a third-party scale-listing site states that permission must be obtained directly from the authors</t>
        </is>
      </c>
    </row>
    <row r="14" ht="135" customHeight="1" s="17">
      <c r="A14" s="35" t="inlineStr">
        <is>
          <t>Coaching application</t>
        </is>
      </c>
      <c r="B14" s="27" t="inlineStr">
        <is>
          <t>The Goal Adjustment Scale is directly useful in goal-setting coaching with university students and early-career professionals when the presenting issue is a stalled, blocked, or no-longer-realistic goal, such as a failed course, a missed graduate-entry pathway, or a career plan overtaken by events, because it separates the client's capacity to let go of that goal from their capacity to reinvest energy in a new one. Its main limits for this population are that it was validated primarily on undergraduates, community adults, and parents of ill children rather than on a coaching-specific sample, and that a low Reengagement score in a young client may reflect a genuinely open-ended transitional life stage rather than a self-regulatory deficit, so scores should inform conversation rather than be treated as a fixed trait diagnosis.</t>
        </is>
      </c>
    </row>
    <row r="15" ht="90" customHeight="1" s="17">
      <c r="A15" s="35" t="inlineStr">
        <is>
          <t>Purpose</t>
        </is>
      </c>
      <c r="B15" s="27" t="inlineStr">
        <is>
          <t>The Goal Adjustment Scale was developed by Wrosch, Scheier, Miller, Schulz and Carver (2003) to measure two theoretically distinct components of adaptive self-regulation when a personal goal becomes unattainable: disengaging from the blocked goal, and reengaging with new, attainable goals. The scale was validated across three studies (university students, a community sample of young and older adults, and parents of children with or without cancer) and used to test whether disengagement and reengagement independently predict subjective well-being and physical health symptoms.</t>
        </is>
      </c>
    </row>
    <row r="16" ht="90" customHeight="1" s="17">
      <c r="A16" s="35" t="inlineStr">
        <is>
          <t>Instructions / prompt</t>
        </is>
      </c>
      <c r="B16" s="27" t="inlineStr">
        <is>
          <t>"If I have to stop pursuing an important goal in my life . . ." This is the generic item stem used for all 10 items in Study 2 and Study 3, quoted verbatim from a footnote to Table 1 of Wrosch et al. (2003), fetched and confirmed in this session. In Study 1, the goal disengagement items only were instead presented against three separate situational stems, one of which is quoted verbatim in the article as: "If it becomes likely that I have to stop pursuing an important goal because I no longer have the opportunity to realize it . . ."</t>
        </is>
      </c>
    </row>
    <row r="17" ht="15" customHeight="1" s="17">
      <c r="A17" s="35" t="inlineStr">
        <is>
          <t>Response options</t>
        </is>
      </c>
      <c r="B17" s="27" t="inlineStr">
        <is>
          <t>Almost never true = 1 | 2 = 2 | 3 = 3 | 4 = 4 | Almost always true = 5</t>
        </is>
      </c>
    </row>
    <row r="18" ht="15" customHeight="1" s="17">
      <c r="A18" s="35" t="inlineStr">
        <is>
          <t>Reverse-scored items</t>
        </is>
      </c>
      <c r="B18" s="27" t="inlineStr">
        <is>
          <t>2-3</t>
        </is>
      </c>
    </row>
    <row r="19" ht="15" customHeight="1" s="17">
      <c r="A19" s="35" t="inlineStr">
        <is>
          <t>Filler items (not scored)</t>
        </is>
      </c>
      <c r="B19" s="27" t="inlineStr">
        <is>
          <t>None</t>
        </is>
      </c>
    </row>
    <row r="20" ht="60" customHeight="1" s="17">
      <c r="A20" s="35" t="inlineStr">
        <is>
          <t>Total scoring</t>
        </is>
      </c>
      <c r="B20" s="27" t="inlineStr">
        <is>
          <t>Score the two subscales separately; the instrument does not sum to a single overall score. For Goal Disengagement, reverse-score items 2 and 3, then average (or sum) all 4 items; higher scores indicate greater ability to disengage from an unattainable goal. For Goal Reengagement, average (or sum) all 6 items with no reversal; higher scores indicate greater capacity to reengage with new goals.</t>
        </is>
      </c>
    </row>
    <row r="21" ht="15" customHeight="1" s="17">
      <c r="A21" s="35" t="inlineStr">
        <is>
          <t>Interpretation bands</t>
        </is>
      </c>
      <c r="B21" s="27" t="inlineStr">
        <is>
          <t>Not stated on source</t>
        </is>
      </c>
    </row>
    <row r="22" ht="15" customHeight="1" s="17">
      <c r="A22" s="35" t="inlineStr">
        <is>
          <t>Cut-offs</t>
        </is>
      </c>
      <c r="B22" s="27" t="inlineStr">
        <is>
          <t>Not stated on source</t>
        </is>
      </c>
    </row>
    <row r="23" ht="15" customHeight="1" s="17">
      <c r="A23" s="35" t="inlineStr">
        <is>
          <t>Normative data</t>
        </is>
      </c>
      <c r="B23" s="27" t="inlineStr">
        <is>
          <t>Not stated on source</t>
        </is>
      </c>
    </row>
    <row r="24" ht="135" customHeight="1" s="17">
      <c r="A24" s="35" t="inlineStr">
        <is>
          <t>Psychometric properties</t>
        </is>
      </c>
      <c r="B24" s="27" t="inlineStr">
        <is>
          <t>Cronbach's alpha values quoted verbatim from Wrosch et al. (2003), fetched and confirmed in this session: Study 1 (N = 115 undergraduates), Goal Disengagement α = .84, Goal Reengagement α = .86; Study 2 (N = 120 community adults), Goal Disengagement α = .76, Goal Reengagement α = .89; Study 3 (N = 45 parents), Goal Disengagement α = .79, Goal Reengagement α = .86. Note that a third-party aggregator page (Psychology Roots) states the Study 1 figures (.84 disengagement / .86 reengagement) as if they were the scale's single reliability figures and separately describes the response scale as "1 (Strongly Disagree) to 5 (Strongly Agree)," which conflicts with the "almost never true" to "almost always true" anchors confirmed directly from the primary article's Table 1 footnote; the primary-source anchors are used in this record and the aggregator's anchor wording should be treated as an error.</t>
        </is>
      </c>
    </row>
    <row r="25" ht="45" customHeight="1" s="17">
      <c r="A25" s="35" t="inlineStr">
        <is>
          <t>Developer citation</t>
        </is>
      </c>
      <c r="B25" s="27" t="inlineStr">
        <is>
          <t>Wrosch, C., Scheier, M. F., Miller, G. E., Schulz, R., &amp; Carver, C. S. (2003). Adaptive self-regulation of unattainable goals: Goal disengagement, goal reengagement, and subjective well-being. Personality and Social Psychology Bulletin, 29(12), 1494-1508.</t>
        </is>
      </c>
    </row>
    <row r="26" ht="75" customHeight="1" s="17">
      <c r="A26" s="35" t="inlineStr">
        <is>
          <t>Copyright and licensing</t>
        </is>
      </c>
      <c r="B26" s="27" t="inlineStr">
        <is>
          <t>The original article carries the line "\u00a9 2003 by the Society for Personality and Social Psychology, Inc." but no explicit statement about permission to reproduce or use the scale for research, clinical, or commercial purposes appears anywhere in the fetched text. Psychology Roots (third-party aggregator, quoted verbatim above) states that permission must be sought directly from the original authors and that the aggregator itself has no right to grant use permission.</t>
        </is>
      </c>
    </row>
    <row r="27" ht="15" customHeight="1" s="17">
      <c r="A27" s="35" t="inlineStr">
        <is>
          <t>Source URL</t>
        </is>
      </c>
      <c r="B27" s="27" t="inlineStr">
        <is>
          <t>https://www.cmu.edu/dietrich/psychology/pdf/scales/GAS_article.pdf</t>
        </is>
      </c>
    </row>
    <row r="28"/>
    <row r="29" ht="15" customHeight="1" s="17">
      <c r="A29" s="25" t="inlineStr">
        <is>
          <t>Item Number</t>
        </is>
      </c>
      <c r="B29" s="25" t="inlineStr">
        <is>
          <t>Item Text (verbatim)</t>
        </is>
      </c>
      <c r="C29" s="25" t="inlineStr">
        <is>
          <t>Subscale / Domain</t>
        </is>
      </c>
      <c r="D29" s="25" t="inlineStr">
        <is>
          <t>Reverse</t>
        </is>
      </c>
      <c r="E29" s="25" t="inlineStr">
        <is>
          <t>Filler</t>
        </is>
      </c>
      <c r="F29" s="25" t="inlineStr">
        <is>
          <t>Item Notes</t>
        </is>
      </c>
    </row>
    <row r="30" ht="23.85" customHeight="1" s="17">
      <c r="A30" s="28" t="n">
        <v>1</v>
      </c>
      <c r="B30" s="27" t="inlineStr">
        <is>
          <t>It's easy for me to reduce my effort toward the goal.</t>
        </is>
      </c>
      <c r="C30" s="27" t="inlineStr">
        <is>
          <t>Goal Disengagement</t>
        </is>
      </c>
      <c r="D30" s="27" t="inlineStr">
        <is>
          <t>FALSE</t>
        </is>
      </c>
      <c r="E30" s="27" t="inlineStr">
        <is>
          <t>FALSE</t>
        </is>
      </c>
      <c r="F30" s="27" t="inlineStr">
        <is>
          <t>Verbatim from Table 1, Wrosch et al. (2003), fetched from the Carnegie Mellon-hosted copy of the original article.</t>
        </is>
      </c>
    </row>
    <row r="31" ht="35.05" customHeight="1" s="17">
      <c r="A31" s="28" t="n">
        <v>2</v>
      </c>
      <c r="B31" s="27" t="inlineStr">
        <is>
          <t>I find it difficult to stop trying to achieve the goal.</t>
        </is>
      </c>
      <c r="C31" s="27" t="inlineStr">
        <is>
          <t>Goal Disengagement</t>
        </is>
      </c>
      <c r="D31" s="34" t="inlineStr">
        <is>
          <t>TRUE</t>
        </is>
      </c>
      <c r="E31" s="27" t="inlineStr">
        <is>
          <t>FALSE</t>
        </is>
      </c>
      <c r="F31" s="27" t="inlineStr">
        <is>
          <t>Verbatim from Table 1, Wrosch et al. (2003); marked with a reverse-scoring symbol in the original table because it is worded in the direction of persistence, not disengagement.</t>
        </is>
      </c>
    </row>
    <row r="32" ht="23.85" customHeight="1" s="17">
      <c r="A32" s="28" t="n">
        <v>3</v>
      </c>
      <c r="B32" s="27" t="inlineStr">
        <is>
          <t>I stay committed to the goal for a long time; I can't let it go.</t>
        </is>
      </c>
      <c r="C32" s="27" t="inlineStr">
        <is>
          <t>Goal Disengagement</t>
        </is>
      </c>
      <c r="D32" s="34" t="inlineStr">
        <is>
          <t>TRUE</t>
        </is>
      </c>
      <c r="E32" s="27" t="inlineStr">
        <is>
          <t>FALSE</t>
        </is>
      </c>
      <c r="F32" s="27" t="inlineStr">
        <is>
          <t>Verbatim from Table 1, Wrosch et al. (2003); marked with a reverse-scoring symbol in the original table for the same reason as item 2.</t>
        </is>
      </c>
    </row>
    <row r="33" ht="15" customHeight="1" s="17">
      <c r="A33" s="28" t="n">
        <v>4</v>
      </c>
      <c r="B33" s="27" t="inlineStr">
        <is>
          <t>It's easy for me to stop thinking about the goal and let it go.</t>
        </is>
      </c>
      <c r="C33" s="27" t="inlineStr">
        <is>
          <t>Goal Disengagement</t>
        </is>
      </c>
      <c r="D33" s="27" t="inlineStr">
        <is>
          <t>FALSE</t>
        </is>
      </c>
      <c r="E33" s="27" t="inlineStr">
        <is>
          <t>FALSE</t>
        </is>
      </c>
      <c r="F33" s="27" t="inlineStr">
        <is>
          <t>Verbatim from Table 1, Wrosch et al. (2003).</t>
        </is>
      </c>
    </row>
    <row r="34" ht="15" customHeight="1" s="17">
      <c r="A34" s="28" t="n">
        <v>5</v>
      </c>
      <c r="B34" s="27" t="inlineStr">
        <is>
          <t>I think about other new goals to pursue.</t>
        </is>
      </c>
      <c r="C34" s="27" t="inlineStr">
        <is>
          <t>Goal Reengagement</t>
        </is>
      </c>
      <c r="D34" s="27" t="inlineStr">
        <is>
          <t>FALSE</t>
        </is>
      </c>
      <c r="E34" s="27" t="inlineStr">
        <is>
          <t>FALSE</t>
        </is>
      </c>
      <c r="F34" s="27" t="inlineStr">
        <is>
          <t>Verbatim from Table 1, Wrosch et al. (2003).</t>
        </is>
      </c>
    </row>
    <row r="35" ht="15" customHeight="1" s="17">
      <c r="A35" s="28" t="n">
        <v>6</v>
      </c>
      <c r="B35" s="27" t="inlineStr">
        <is>
          <t>I seek other meaningful goals.</t>
        </is>
      </c>
      <c r="C35" s="27" t="inlineStr">
        <is>
          <t>Goal Reengagement</t>
        </is>
      </c>
      <c r="D35" s="27" t="inlineStr">
        <is>
          <t>FALSE</t>
        </is>
      </c>
      <c r="E35" s="27" t="inlineStr">
        <is>
          <t>FALSE</t>
        </is>
      </c>
      <c r="F35" s="27" t="inlineStr">
        <is>
          <t>Verbatim from Table 1, Wrosch et al. (2003).</t>
        </is>
      </c>
    </row>
    <row r="36" ht="15" customHeight="1" s="17">
      <c r="A36" s="28" t="n">
        <v>7</v>
      </c>
      <c r="B36" s="27" t="inlineStr">
        <is>
          <t>I convince myself that I have other meaningful goals to pursue.</t>
        </is>
      </c>
      <c r="C36" s="27" t="inlineStr">
        <is>
          <t>Goal Reengagement</t>
        </is>
      </c>
      <c r="D36" s="27" t="inlineStr">
        <is>
          <t>FALSE</t>
        </is>
      </c>
      <c r="E36" s="27" t="inlineStr">
        <is>
          <t>FALSE</t>
        </is>
      </c>
      <c r="F36" s="27" t="inlineStr">
        <is>
          <t>Verbatim from Table 1, Wrosch et al. (2003).</t>
        </is>
      </c>
    </row>
    <row r="37" ht="15" customHeight="1" s="17">
      <c r="A37" s="28" t="n">
        <v>8</v>
      </c>
      <c r="B37" s="27" t="inlineStr">
        <is>
          <t>I tell myself that I have a number of other new goals to draw on.</t>
        </is>
      </c>
      <c r="C37" s="27" t="inlineStr">
        <is>
          <t>Goal Reengagement</t>
        </is>
      </c>
      <c r="D37" s="27" t="inlineStr">
        <is>
          <t>FALSE</t>
        </is>
      </c>
      <c r="E37" s="27" t="inlineStr">
        <is>
          <t>FALSE</t>
        </is>
      </c>
      <c r="F37" s="27" t="inlineStr">
        <is>
          <t>Verbatim from Table 1, Wrosch et al. (2003).</t>
        </is>
      </c>
    </row>
    <row r="38" ht="15" customHeight="1" s="17">
      <c r="A38" s="28" t="n">
        <v>9</v>
      </c>
      <c r="B38" s="27" t="inlineStr">
        <is>
          <t>I start working on other new goals.</t>
        </is>
      </c>
      <c r="C38" s="27" t="inlineStr">
        <is>
          <t>Goal Reengagement</t>
        </is>
      </c>
      <c r="D38" s="27" t="inlineStr">
        <is>
          <t>FALSE</t>
        </is>
      </c>
      <c r="E38" s="27" t="inlineStr">
        <is>
          <t>FALSE</t>
        </is>
      </c>
      <c r="F38" s="27" t="inlineStr">
        <is>
          <t>Verbatim from Table 1, Wrosch et al. (2003).</t>
        </is>
      </c>
    </row>
    <row r="39" ht="15" customHeight="1" s="17">
      <c r="A39" s="28" t="n">
        <v>10</v>
      </c>
      <c r="B39" s="27" t="inlineStr">
        <is>
          <t>I put effort toward other meaningful goals.</t>
        </is>
      </c>
      <c r="C39" s="27" t="inlineStr">
        <is>
          <t>Goal Reengagement</t>
        </is>
      </c>
      <c r="D39" s="27" t="inlineStr">
        <is>
          <t>FALSE</t>
        </is>
      </c>
      <c r="E39" s="27" t="inlineStr">
        <is>
          <t>FALSE</t>
        </is>
      </c>
      <c r="F39" s="27" t="inlineStr">
        <is>
          <t>Verbatim from Table 1, Wrosch et al. (2003).</t>
        </is>
      </c>
    </row>
  </sheetData>
  <autoFilter ref="A29:F3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Adult Executive Functioning Inventory</t>
        </is>
      </c>
    </row>
    <row r="3">
      <c r="A3" s="37" t="inlineStr">
        <is>
          <t>Instrument</t>
        </is>
      </c>
      <c r="B3" s="24" t="inlineStr">
        <is>
          <t>Adult Executive Functioning Inventory</t>
        </is>
      </c>
      <c r="C3" s="24" t="n"/>
      <c r="D3" s="24" t="n"/>
      <c r="E3" s="24" t="n"/>
      <c r="F3" s="24" t="n"/>
      <c r="G3" s="24" t="n"/>
    </row>
    <row r="4">
      <c r="A4" s="37" t="inlineStr">
        <is>
          <t>Code</t>
        </is>
      </c>
      <c r="B4" s="24" t="inlineStr">
        <is>
          <t>ADEXI</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Everyday executive functioning deficits in adults in the areas of working memory and inhibition, as the adult counterpart of the CHEXI.</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14</v>
      </c>
      <c r="C10" s="24" t="n"/>
      <c r="D10" s="24" t="n"/>
      <c r="E10" s="24" t="n"/>
      <c r="F10" s="24" t="n"/>
      <c r="G10" s="24" t="n"/>
    </row>
    <row r="11">
      <c r="A11" s="37" t="inlineStr">
        <is>
          <t>Items reproduced here</t>
        </is>
      </c>
      <c r="B11" s="24" t="n">
        <v>14</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"All three instruments are freely available for both researchers and clinicians." "The CHEXI, ADEXI, and TEXI are freely available in several different languages." No formal licence text is given on the site or the PDF.</t>
        </is>
      </c>
      <c r="C13" s="24" t="n"/>
      <c r="D13" s="24" t="n"/>
      <c r="E13" s="24" t="n"/>
      <c r="F13" s="24" t="n"/>
      <c r="G13" s="24" t="n"/>
    </row>
    <row r="14">
      <c r="A14" s="37" t="inlineStr">
        <is>
          <t>Coaching application</t>
        </is>
      </c>
      <c r="B14" s="24" t="inlineStr">
        <is>
          <t>Short, plain language and directly relevant to working memory and inhibition goals; well suited to intake and progress review.</t>
        </is>
      </c>
      <c r="C14" s="24" t="n"/>
      <c r="D14" s="24" t="n"/>
      <c r="E14" s="24" t="n"/>
      <c r="F14" s="24" t="n"/>
      <c r="G14" s="24" t="n"/>
    </row>
    <row r="15">
      <c r="A15" s="37" t="inlineStr">
        <is>
          <t>Purpose</t>
        </is>
      </c>
      <c r="B15" s="24" t="inlineStr">
        <is>
          <t>Everyday executive functioning deficits in adults in the areas of working memory and inhibition, as the adult counterpart of the CHEXI.</t>
        </is>
      </c>
      <c r="C15" s="24" t="n"/>
      <c r="D15" s="24" t="n"/>
      <c r="E15" s="24" t="n"/>
      <c r="F15" s="24" t="n"/>
      <c r="G15" s="24" t="n"/>
    </row>
    <row r="16">
      <c r="A16" s="37" t="inlineStr">
        <is>
          <t>Instructions / prompt</t>
        </is>
      </c>
      <c r="B16" s="24" t="inlineStr">
        <is>
          <t>Below you will find a number of statements. Please circle a number to the right of each statement to indicate how well that statement describes how you are as a person. People that you know might feel differently about you – we want to know what you think about yourself. Try to answer as honestly as possible.</t>
        </is>
      </c>
      <c r="C16" s="24" t="n"/>
      <c r="D16" s="24" t="n"/>
      <c r="E16" s="24" t="n"/>
      <c r="F16" s="24" t="n"/>
      <c r="G16" s="24" t="n"/>
    </row>
    <row r="17">
      <c r="A17" s="37" t="inlineStr">
        <is>
          <t>Response options</t>
        </is>
      </c>
      <c r="B17" s="24" t="inlineStr">
        <is>
          <t>Definitely not true = 1 | Not true = 2 | Partially true = 3 | True = 4 | Definitely true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The author subscale sheet (https://chexi.se/onewebmedia/ADEXI%20subscales.pdf) gives each subscale as the mean of its items: Working Memory, mean of items 1, 2, 5, 7, 8, 9, 11, 12, 13; Inhibition, mean of items 3, 4, 6, 10 and 14. The self report form has a field for the total score for each factor and an ADEXI total score. Higher scores indicate greater executive difficulties. No cut offs are published; the site states that normative data for these instruments are not yet available.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Holst, Y., &amp; Thorell, L. B. (2018). Adult executive functioning inventory (ADEXI): Validity, reliability, and relations to ADHD. International Journal of Methods in Psychiatric Research, 27(1), e1567. https://doi.org/10.1002/mpr.1567</t>
        </is>
      </c>
      <c r="C25" s="24" t="n"/>
      <c r="D25" s="24" t="n"/>
      <c r="E25" s="24" t="n"/>
      <c r="F25" s="24" t="n"/>
      <c r="G25" s="24" t="n"/>
    </row>
    <row r="26">
      <c r="A26" s="37" t="inlineStr">
        <is>
          <t>Copyright and licensing</t>
        </is>
      </c>
      <c r="B26" s="24" t="inlineStr">
        <is>
          <t>"All three instruments are freely available for both researchers and clinicians." "The CHEXI, ADEXI, and TEXI are freely available in several different languages." No formal licence text is given on the site or the PDF. Source: https://chexi.se/</t>
        </is>
      </c>
      <c r="C26" s="24" t="n"/>
      <c r="D26" s="24" t="n"/>
      <c r="E26" s="24" t="n"/>
      <c r="F26" s="24" t="n"/>
      <c r="G26" s="24" t="n"/>
    </row>
    <row r="27">
      <c r="A27" s="37" t="inlineStr">
        <is>
          <t>Source URL</t>
        </is>
      </c>
      <c r="B27" s="24" t="inlineStr">
        <is>
          <t>https://chexi.se/onewebmedia/English%20ADEXI%20self-report.pdf</t>
        </is>
      </c>
      <c r="C27" s="24" t="n"/>
      <c r="D27" s="24" t="n"/>
      <c r="E27" s="24" t="n"/>
      <c r="F27" s="24" t="n"/>
      <c r="G27" s="24" t="n"/>
    </row>
    <row r="28">
      <c r="A28" s="37" t="inlineStr">
        <is>
          <t>Transcription note</t>
        </is>
      </c>
      <c r="B28" s="24" t="inlineStr">
        <is>
          <t>Items transcribed from the English ADEXI self-report PDF on chexi.se. Item 6 reads "refraining for smiling" in the source (sic). Item 4 ends with a full stop in the source; the other items do not. Subscale membership taken from the ADEXI subscales PDF on chexi.se (colour coding in the colour coded PDF could not be read as text). The PDF carries no copyright line, only a translator credit to Lisa B. Thorell, Karolinska Institutet.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difficulty remembering lengthy instructions</t>
        </is>
      </c>
      <c r="C32" s="24" t="inlineStr">
        <is>
          <t>Working Memory</t>
        </is>
      </c>
      <c r="D32" s="24" t="inlineStr">
        <is>
          <t>FALSE</t>
        </is>
      </c>
      <c r="E32" s="24" t="inlineStr">
        <is>
          <t>FALSE</t>
        </is>
      </c>
      <c r="F32" s="24" t="n"/>
      <c r="G32" s="24" t="inlineStr">
        <is>
          <t>Definitely not true = 1 | Not true = 2 | Partially true = 3 | True = 4 | Definitely true = 5</t>
        </is>
      </c>
    </row>
    <row r="33">
      <c r="A33" s="24" t="n">
        <v>2</v>
      </c>
      <c r="B33" s="24" t="inlineStr">
        <is>
          <t>I have difficulty remembering what I am doing in the middle of an activity</t>
        </is>
      </c>
      <c r="C33" s="24" t="inlineStr">
        <is>
          <t>Working Memory</t>
        </is>
      </c>
      <c r="D33" s="24" t="inlineStr">
        <is>
          <t>FALSE</t>
        </is>
      </c>
      <c r="E33" s="24" t="inlineStr">
        <is>
          <t>FALSE</t>
        </is>
      </c>
      <c r="F33" s="24" t="n"/>
      <c r="G33" s="24" t="inlineStr">
        <is>
          <t>Definitely not true = 1 | Not true = 2 | Partially true = 3 | True = 4 | Definitely true = 5</t>
        </is>
      </c>
    </row>
    <row r="34">
      <c r="A34" s="24" t="n">
        <v>3</v>
      </c>
      <c r="B34" s="24" t="inlineStr">
        <is>
          <t>I have a tendency to do things without first thinking about what could happen</t>
        </is>
      </c>
      <c r="C34" s="24" t="inlineStr">
        <is>
          <t>Inhibition</t>
        </is>
      </c>
      <c r="D34" s="24" t="inlineStr">
        <is>
          <t>FALSE</t>
        </is>
      </c>
      <c r="E34" s="24" t="inlineStr">
        <is>
          <t>FALSE</t>
        </is>
      </c>
      <c r="F34" s="24" t="n"/>
      <c r="G34" s="24" t="inlineStr">
        <is>
          <t>Definitely not true = 1 | Not true = 2 | Partially true = 3 | True = 4 | Definitely true = 5</t>
        </is>
      </c>
    </row>
    <row r="35">
      <c r="A35" s="24" t="n">
        <v>4</v>
      </c>
      <c r="B35" s="24" t="inlineStr">
        <is>
          <t>I have difficulty stopping myself from doing something that I like even though someone tells me that it is not allowed.</t>
        </is>
      </c>
      <c r="C35" s="24" t="inlineStr">
        <is>
          <t>Inhibition</t>
        </is>
      </c>
      <c r="D35" s="24" t="inlineStr">
        <is>
          <t>FALSE</t>
        </is>
      </c>
      <c r="E35" s="24" t="inlineStr">
        <is>
          <t>FALSE</t>
        </is>
      </c>
      <c r="F35" s="24" t="n"/>
      <c r="G35" s="24" t="inlineStr">
        <is>
          <t>Definitely not true = 1 | Not true = 2 | Partially true = 3 | True = 4 | Definitely true = 5</t>
        </is>
      </c>
    </row>
    <row r="36">
      <c r="A36" s="24" t="n">
        <v>5</v>
      </c>
      <c r="B36" s="24" t="inlineStr">
        <is>
          <t>When someone asks me to do several things, I remember only the first or last</t>
        </is>
      </c>
      <c r="C36" s="24" t="inlineStr">
        <is>
          <t>Working Memory</t>
        </is>
      </c>
      <c r="D36" s="24" t="inlineStr">
        <is>
          <t>FALSE</t>
        </is>
      </c>
      <c r="E36" s="24" t="inlineStr">
        <is>
          <t>FALSE</t>
        </is>
      </c>
      <c r="F36" s="24" t="n"/>
      <c r="G36" s="24" t="inlineStr">
        <is>
          <t>Definitely not true = 1 | Not true = 2 | Partially true = 3 | True = 4 | Definitely true = 5</t>
        </is>
      </c>
    </row>
    <row r="37">
      <c r="A37" s="24" t="n">
        <v>6</v>
      </c>
      <c r="B37" s="24" t="inlineStr">
        <is>
          <t>I have difficulty refraining for smiling or laughing in situations where it is inappropriate</t>
        </is>
      </c>
      <c r="C37" s="24" t="inlineStr">
        <is>
          <t>Inhibition</t>
        </is>
      </c>
      <c r="D37" s="24" t="inlineStr">
        <is>
          <t>FALSE</t>
        </is>
      </c>
      <c r="E37" s="24" t="inlineStr">
        <is>
          <t>FALSE</t>
        </is>
      </c>
      <c r="F37" s="24" t="n"/>
      <c r="G37" s="24" t="inlineStr">
        <is>
          <t>Definitely not true = 1 | Not true = 2 | Partially true = 3 | True = 4 | Definitely true = 5</t>
        </is>
      </c>
    </row>
    <row r="38">
      <c r="A38" s="24" t="n">
        <v>7</v>
      </c>
      <c r="B38" s="24" t="inlineStr">
        <is>
          <t>I have difficulty coming up with a different way of solving a problem when I get stuck</t>
        </is>
      </c>
      <c r="C38" s="24" t="inlineStr">
        <is>
          <t>Working Memory</t>
        </is>
      </c>
      <c r="D38" s="24" t="inlineStr">
        <is>
          <t>FALSE</t>
        </is>
      </c>
      <c r="E38" s="24" t="inlineStr">
        <is>
          <t>FALSE</t>
        </is>
      </c>
      <c r="F38" s="24" t="n"/>
      <c r="G38" s="24" t="inlineStr">
        <is>
          <t>Definitely not true = 1 | Not true = 2 | Partially true = 3 | True = 4 | Definitely true = 5</t>
        </is>
      </c>
    </row>
    <row r="39">
      <c r="A39" s="24" t="n">
        <v>8</v>
      </c>
      <c r="B39" s="24" t="inlineStr">
        <is>
          <t>When someone asks me to fetch something, I forget what I am supposed to fetch</t>
        </is>
      </c>
      <c r="C39" s="24" t="inlineStr">
        <is>
          <t>Working Memory</t>
        </is>
      </c>
      <c r="D39" s="24" t="inlineStr">
        <is>
          <t>FALSE</t>
        </is>
      </c>
      <c r="E39" s="24" t="inlineStr">
        <is>
          <t>FALSE</t>
        </is>
      </c>
      <c r="F39" s="24" t="n"/>
      <c r="G39" s="24" t="inlineStr">
        <is>
          <t>Definitely not true = 1 | Not true = 2 | Partially true = 3 | True = 4 | Definitely true = 5</t>
        </is>
      </c>
    </row>
    <row r="40">
      <c r="A40" s="24" t="n">
        <v>9</v>
      </c>
      <c r="B40" s="24" t="inlineStr">
        <is>
          <t>I have difficulty planning for an activity (e.g., remembering to bring everything necessary when going on a trip/to work/to school)</t>
        </is>
      </c>
      <c r="C40" s="24" t="inlineStr">
        <is>
          <t>Working Memory</t>
        </is>
      </c>
      <c r="D40" s="24" t="inlineStr">
        <is>
          <t>FALSE</t>
        </is>
      </c>
      <c r="E40" s="24" t="inlineStr">
        <is>
          <t>FALSE</t>
        </is>
      </c>
      <c r="F40" s="24" t="n"/>
      <c r="G40" s="24" t="inlineStr">
        <is>
          <t>Definitely not true = 1 | Not true = 2 | Partially true = 3 | True = 4 | Definitely true = 5</t>
        </is>
      </c>
    </row>
    <row r="41">
      <c r="A41" s="24" t="n">
        <v>10</v>
      </c>
      <c r="B41" s="24" t="inlineStr">
        <is>
          <t>I have difficulty stopping an activity that I like (e.g., I watch TV or sit in front of the computer in the evening even though it is time to go to bed)</t>
        </is>
      </c>
      <c r="C41" s="24" t="inlineStr">
        <is>
          <t>Inhibition</t>
        </is>
      </c>
      <c r="D41" s="24" t="inlineStr">
        <is>
          <t>FALSE</t>
        </is>
      </c>
      <c r="E41" s="24" t="inlineStr">
        <is>
          <t>FALSE</t>
        </is>
      </c>
      <c r="F41" s="24" t="n"/>
      <c r="G41" s="24" t="inlineStr">
        <is>
          <t>Definitely not true = 1 | Not true = 2 | Partially true = 3 | True = 4 | Definitely true = 5</t>
        </is>
      </c>
    </row>
    <row r="42">
      <c r="A42" s="24" t="n">
        <v>11</v>
      </c>
      <c r="B42" s="24" t="inlineStr">
        <is>
          <t>I have difficulty understanding verbal instructions unless I am also shown how to do something</t>
        </is>
      </c>
      <c r="C42" s="24" t="inlineStr">
        <is>
          <t>Working Memory</t>
        </is>
      </c>
      <c r="D42" s="24" t="inlineStr">
        <is>
          <t>FALSE</t>
        </is>
      </c>
      <c r="E42" s="24" t="inlineStr">
        <is>
          <t>FALSE</t>
        </is>
      </c>
      <c r="F42" s="24" t="n"/>
      <c r="G42" s="24" t="inlineStr">
        <is>
          <t>Definitely not true = 1 | Not true = 2 | Partially true = 3 | True = 4 | Definitely true = 5</t>
        </is>
      </c>
    </row>
    <row r="43">
      <c r="A43" s="24" t="n">
        <v>12</v>
      </c>
      <c r="B43" s="24" t="inlineStr">
        <is>
          <t>I have difficulties with tasks or activities that involve several steps</t>
        </is>
      </c>
      <c r="C43" s="24" t="inlineStr">
        <is>
          <t>Working Memory</t>
        </is>
      </c>
      <c r="D43" s="24" t="inlineStr">
        <is>
          <t>FALSE</t>
        </is>
      </c>
      <c r="E43" s="24" t="inlineStr">
        <is>
          <t>FALSE</t>
        </is>
      </c>
      <c r="F43" s="24" t="n"/>
      <c r="G43" s="24" t="inlineStr">
        <is>
          <t>Definitely not true = 1 | Not true = 2 | Partially true = 3 | True = 4 | Definitely true = 5</t>
        </is>
      </c>
    </row>
    <row r="44">
      <c r="A44" s="24" t="n">
        <v>13</v>
      </c>
      <c r="B44" s="24" t="inlineStr">
        <is>
          <t>I have difficulty thinking ahead or learning from experience</t>
        </is>
      </c>
      <c r="C44" s="24" t="inlineStr">
        <is>
          <t>Working Memory</t>
        </is>
      </c>
      <c r="D44" s="24" t="inlineStr">
        <is>
          <t>FALSE</t>
        </is>
      </c>
      <c r="E44" s="24" t="inlineStr">
        <is>
          <t>FALSE</t>
        </is>
      </c>
      <c r="F44" s="24" t="n"/>
      <c r="G44" s="24" t="inlineStr">
        <is>
          <t>Definitely not true = 1 | Not true = 2 | Partially true = 3 | True = 4 | Definitely true = 5</t>
        </is>
      </c>
    </row>
    <row r="45">
      <c r="A45" s="24" t="n">
        <v>14</v>
      </c>
      <c r="B45" s="24" t="inlineStr">
        <is>
          <t>People that I meet seem to think that I am more lively/wilder compared to other people my age</t>
        </is>
      </c>
      <c r="C45" s="24" t="inlineStr">
        <is>
          <t>Inhibition</t>
        </is>
      </c>
      <c r="D45" s="24" t="inlineStr">
        <is>
          <t>FALSE</t>
        </is>
      </c>
      <c r="E45" s="24" t="inlineStr">
        <is>
          <t>FALSE</t>
        </is>
      </c>
      <c r="F45" s="24" t="n"/>
      <c r="G45" s="24" t="inlineStr">
        <is>
          <t>Definitely not true = 1 | Not true = 2 | Partially true = 3 | True = 4 | Definitely true = 5</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Academic Motivation Scale (College version, AMS-C 28)</t>
        </is>
      </c>
    </row>
    <row r="3">
      <c r="A3" s="37" t="inlineStr">
        <is>
          <t>Instrument</t>
        </is>
      </c>
      <c r="B3" s="24" t="inlineStr">
        <is>
          <t>Academic Motivation Scale (College version, AMS-C 28)</t>
        </is>
      </c>
      <c r="C3" s="24" t="n"/>
      <c r="D3" s="24" t="n"/>
      <c r="E3" s="24" t="n"/>
      <c r="F3" s="24" t="n"/>
      <c r="G3" s="24" t="n"/>
    </row>
    <row r="4">
      <c r="A4" s="37" t="inlineStr">
        <is>
          <t>Code</t>
        </is>
      </c>
      <c r="B4" s="24" t="inlineStr">
        <is>
          <t>AMS-C</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Motivation for study along the self determination continuum, from amotivation through 3 forms of extrinsic motivation to 3 forms of intrinsic motivation.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17+ (college and university students)</t>
        </is>
      </c>
      <c r="C9" s="24" t="n"/>
      <c r="D9" s="24" t="n"/>
      <c r="E9" s="24" t="n"/>
      <c r="F9" s="24" t="n"/>
      <c r="G9" s="24" t="n"/>
    </row>
    <row r="10">
      <c r="A10" s="37" t="inlineStr">
        <is>
          <t>Items in instrument</t>
        </is>
      </c>
      <c r="B10" s="24" t="n">
        <v>28</v>
      </c>
      <c r="C10" s="24" t="n"/>
      <c r="D10" s="24" t="n"/>
      <c r="E10" s="24" t="n"/>
      <c r="F10" s="24" t="n"/>
      <c r="G10" s="24" t="n"/>
    </row>
    <row r="11">
      <c r="A11" s="37" t="inlineStr">
        <is>
          <t>Items reproduced here</t>
        </is>
      </c>
      <c r="B11" s="24" t="n">
        <v>28</v>
      </c>
      <c r="C11" s="24" t="n"/>
      <c r="D11" s="24" t="n"/>
      <c r="E11" s="24" t="n"/>
      <c r="F11" s="24" t="n"/>
      <c r="G11" s="24" t="n"/>
    </row>
    <row r="12">
      <c r="A12" s="37" t="inlineStr">
        <is>
          <t>Administration time</t>
        </is>
      </c>
      <c r="B12" s="24" t="inlineStr">
        <is>
          <t>7 minutes</t>
        </is>
      </c>
      <c r="C12" s="24" t="n"/>
      <c r="D12" s="24" t="n"/>
      <c r="E12" s="24" t="n"/>
      <c r="F12" s="24" t="n"/>
      <c r="G12" s="24" t="n"/>
    </row>
    <row r="13">
      <c r="A13" s="37" t="inlineStr">
        <is>
          <t>Cost and access</t>
        </is>
      </c>
      <c r="B13" s="24" t="inlineStr">
        <is>
          <t>Form footer: "© Robert J. Vallerand, Luc G. Pelletier, Marc R. Blais, Nathalie M. Brière, Caroline B. Senécal, Évelyne F. Vallières, 1992" and "Note: To use this scale you require only to mention the complete reference data."</t>
        </is>
      </c>
      <c r="C13" s="24" t="n"/>
      <c r="D13" s="24" t="n"/>
      <c r="E13" s="24" t="n"/>
      <c r="F13" s="24" t="n"/>
      <c r="G13" s="24" t="n"/>
    </row>
    <row r="14">
      <c r="A14" s="37" t="inlineStr">
        <is>
          <t>Coaching application</t>
        </is>
      </c>
      <c r="B14" s="24" t="inlineStr">
        <is>
          <t>Suited to student and early career coaching clients; use the college version for adults in tertiary study.</t>
        </is>
      </c>
      <c r="C14" s="24" t="n"/>
      <c r="D14" s="24" t="n"/>
      <c r="E14" s="24" t="n"/>
      <c r="F14" s="24" t="n"/>
      <c r="G14" s="24" t="n"/>
    </row>
    <row r="15">
      <c r="A15" s="37" t="inlineStr">
        <is>
          <t>Purpose</t>
        </is>
      </c>
      <c r="B15" s="24" t="inlineStr">
        <is>
          <t>Motivation for study along the self determination continuum, from amotivation through 3 forms of extrinsic motivation to 3 forms of intrinsic motivation.</t>
        </is>
      </c>
      <c r="C15" s="24" t="n"/>
      <c r="D15" s="24" t="n"/>
      <c r="E15" s="24" t="n"/>
      <c r="F15" s="24" t="n"/>
      <c r="G15" s="24" t="n"/>
    </row>
    <row r="16">
      <c r="A16" s="37" t="inlineStr">
        <is>
          <t>Instructions / prompt</t>
        </is>
      </c>
      <c r="B16" s="24" t="inlineStr">
        <is>
          <t>WHY DO YOU GO TO COLLEGE ? Using the scale below, indicate to what extent each of the following items presently corresponds to one of the reasons why you go to college.</t>
        </is>
      </c>
      <c r="C16" s="24" t="n"/>
      <c r="D16" s="24" t="n"/>
      <c r="E16" s="24" t="n"/>
      <c r="F16" s="24" t="n"/>
      <c r="G16" s="24" t="n"/>
    </row>
    <row r="17">
      <c r="A17" s="37" t="inlineStr">
        <is>
          <t>Response options</t>
        </is>
      </c>
      <c r="B17" s="24" t="inlineStr">
        <is>
          <t>Does not correspond at all = 1 | Corresponds a little = 2 | Corresponds a little = 3 | Corresponds moderately = 4 | Corresponds a lot = 5 | Corresponds a lot = 6 | Corresponds exactly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Compute each of the 7 subscales as the mean (1 to 7) or sum (4 to 28) of its 4 items; higher scores indicate stronger endorsement of that type of motivation. No items are reverse scored. A self determination index can be computed by weighting the subscales (commonly intrinsic +2, identified +1, introjected and external -1, amotivation -2), although the form itself does not give this formula.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Vallerand, R. J., Pelletier, L. G., Blais, M. R., Brière, N. M., Senécal, C., &amp; Vallières, E. F. (1992). The Academic Motivation Scale: A measure of intrinsic, extrinsic, and amotivation in education. Educational and Psychological Measurement, 52(4), 1003–1017. https://doi.org/10.1177/0013164492052004025</t>
        </is>
      </c>
      <c r="C25" s="24" t="n"/>
      <c r="D25" s="24" t="n"/>
      <c r="E25" s="24" t="n"/>
      <c r="F25" s="24" t="n"/>
      <c r="G25" s="24" t="n"/>
    </row>
    <row r="26">
      <c r="A26" s="37" t="inlineStr">
        <is>
          <t>Copyright and licensing</t>
        </is>
      </c>
      <c r="B26" s="24" t="inlineStr">
        <is>
          <t>Form footer: "© Robert J. Vallerand, Luc G. Pelletier, Marc R. Blais, Nathalie M. Brière, Caroline B. Senécal, Évelyne F. Vallières, 1992" and "Note: To use this scale you require only to mention the complete reference data." Source: https://www.lrcs.uqam.ca/wp-content/uploads/2017/08/emec_en.pdf</t>
        </is>
      </c>
      <c r="C26" s="24" t="n"/>
      <c r="D26" s="24" t="n"/>
      <c r="E26" s="24" t="n"/>
      <c r="F26" s="24" t="n"/>
      <c r="G26" s="24" t="n"/>
    </row>
    <row r="27">
      <c r="A27" s="37" t="inlineStr">
        <is>
          <t>Source URL</t>
        </is>
      </c>
      <c r="B27" s="24" t="inlineStr">
        <is>
          <t>https://www.lrcs.uqam.ca/wp-content/uploads/2017/08/emec_en.pdf</t>
        </is>
      </c>
      <c r="C27" s="24" t="n"/>
      <c r="D27" s="24" t="n"/>
      <c r="E27" s="24" t="n"/>
      <c r="F27" s="24" t="n"/>
      <c r="G27" s="24" t="n"/>
    </row>
    <row r="28">
      <c r="A28" s="37" t="inlineStr">
        <is>
          <t>Transcription note</t>
        </is>
      </c>
      <c r="B28" s="24" t="inlineStr">
        <is>
          <t>The itemsUrl in the target record (HS-emes_en.pdf) is the High School version (AMS-HS 28), not the college version. The college version was transcribed from the same laboratory site at emec_en.pdf (titled "ACADEMIC MOTIVATION SCALE (AMS-C 28)"), which carries the same copyright footer and permission note. The 7 point scale prints 5 verbal anchors over the numbers 1 to 7: "Does not correspond at all" over 1, "Corresponds a little" over 2 and 3, "Corresponds moderately" over 4, "Corresponds a lot" over 5 and 6, and "Corresponds exactly" over 7. The text extraction could not confirm this alignment and it is recorded here from the standard layout of the form; values 2, 3, 5 and 6 share the adjacent anchor. Subscale membership is taken verbatim from the key printed on the form.</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Because with only a high-school degree I would not find a high-paying job later on.</t>
        </is>
      </c>
      <c r="C32" s="24" t="inlineStr">
        <is>
          <t>Extrinsic motivation - external regulation</t>
        </is>
      </c>
      <c r="D32" s="24" t="inlineStr">
        <is>
          <t>FALSE</t>
        </is>
      </c>
      <c r="E32" s="24" t="inlineStr">
        <is>
          <t>FALSE</t>
        </is>
      </c>
      <c r="F32" s="24" t="n"/>
      <c r="G32" s="24" t="inlineStr">
        <is>
          <t>Does not correspond at all = 1 | Corresponds a little = 2 | Corresponds a little = 3 | Corresponds moderately = 4 | Corresponds a lot = 5 | Corresponds a lot = 6 | Corresponds exactly = 7</t>
        </is>
      </c>
    </row>
    <row r="33">
      <c r="A33" s="24" t="n">
        <v>2</v>
      </c>
      <c r="B33" s="24" t="inlineStr">
        <is>
          <t>Because I experience pleasure and satisfaction while learning new things.</t>
        </is>
      </c>
      <c r="C33" s="24" t="inlineStr">
        <is>
          <t>Intrinsic motivation - to know</t>
        </is>
      </c>
      <c r="D33" s="24" t="inlineStr">
        <is>
          <t>FALSE</t>
        </is>
      </c>
      <c r="E33" s="24" t="inlineStr">
        <is>
          <t>FALSE</t>
        </is>
      </c>
      <c r="F33" s="24" t="n"/>
      <c r="G33" s="24" t="inlineStr">
        <is>
          <t>Does not correspond at all = 1 | Corresponds a little = 2 | Corresponds a little = 3 | Corresponds moderately = 4 | Corresponds a lot = 5 | Corresponds a lot = 6 | Corresponds exactly = 7</t>
        </is>
      </c>
    </row>
    <row r="34">
      <c r="A34" s="24" t="n">
        <v>3</v>
      </c>
      <c r="B34" s="24" t="inlineStr">
        <is>
          <t>Because I think that a college education will help me better prepare for the career I have chosen.</t>
        </is>
      </c>
      <c r="C34" s="24" t="inlineStr">
        <is>
          <t>Extrinsic motivation - identified</t>
        </is>
      </c>
      <c r="D34" s="24" t="inlineStr">
        <is>
          <t>FALSE</t>
        </is>
      </c>
      <c r="E34" s="24" t="inlineStr">
        <is>
          <t>FALSE</t>
        </is>
      </c>
      <c r="F34" s="24" t="n"/>
      <c r="G34" s="24" t="inlineStr">
        <is>
          <t>Does not correspond at all = 1 | Corresponds a little = 2 | Corresponds a little = 3 | Corresponds moderately = 4 | Corresponds a lot = 5 | Corresponds a lot = 6 | Corresponds exactly = 7</t>
        </is>
      </c>
    </row>
    <row r="35">
      <c r="A35" s="24" t="n">
        <v>4</v>
      </c>
      <c r="B35" s="24" t="inlineStr">
        <is>
          <t>For the intense feelings I experience when I am communicating my own ideas to others.</t>
        </is>
      </c>
      <c r="C35" s="24" t="inlineStr">
        <is>
          <t>Intrinsic motivation - to experience stimulation</t>
        </is>
      </c>
      <c r="D35" s="24" t="inlineStr">
        <is>
          <t>FALSE</t>
        </is>
      </c>
      <c r="E35" s="24" t="inlineStr">
        <is>
          <t>FALSE</t>
        </is>
      </c>
      <c r="F35" s="24" t="n"/>
      <c r="G35" s="24" t="inlineStr">
        <is>
          <t>Does not correspond at all = 1 | Corresponds a little = 2 | Corresponds a little = 3 | Corresponds moderately = 4 | Corresponds a lot = 5 | Corresponds a lot = 6 | Corresponds exactly = 7</t>
        </is>
      </c>
    </row>
    <row r="36">
      <c r="A36" s="24" t="n">
        <v>5</v>
      </c>
      <c r="B36" s="24" t="inlineStr">
        <is>
          <t>Honestly, I don't know; I really feel that I am wasting my time in school.</t>
        </is>
      </c>
      <c r="C36" s="24" t="inlineStr">
        <is>
          <t>Amotivation</t>
        </is>
      </c>
      <c r="D36" s="24" t="inlineStr">
        <is>
          <t>FALSE</t>
        </is>
      </c>
      <c r="E36" s="24" t="inlineStr">
        <is>
          <t>FALSE</t>
        </is>
      </c>
      <c r="F36" s="24" t="n"/>
      <c r="G36" s="24" t="inlineStr">
        <is>
          <t>Does not correspond at all = 1 | Corresponds a little = 2 | Corresponds a little = 3 | Corresponds moderately = 4 | Corresponds a lot = 5 | Corresponds a lot = 6 | Corresponds exactly = 7</t>
        </is>
      </c>
    </row>
    <row r="37">
      <c r="A37" s="24" t="n">
        <v>6</v>
      </c>
      <c r="B37" s="24" t="inlineStr">
        <is>
          <t>For the pleasure I experience while surpassing myself in my studies.</t>
        </is>
      </c>
      <c r="C37" s="24" t="inlineStr">
        <is>
          <t>Intrinsic motivation - toward accomplishment</t>
        </is>
      </c>
      <c r="D37" s="24" t="inlineStr">
        <is>
          <t>FALSE</t>
        </is>
      </c>
      <c r="E37" s="24" t="inlineStr">
        <is>
          <t>FALSE</t>
        </is>
      </c>
      <c r="F37" s="24" t="n"/>
      <c r="G37" s="24" t="inlineStr">
        <is>
          <t>Does not correspond at all = 1 | Corresponds a little = 2 | Corresponds a little = 3 | Corresponds moderately = 4 | Corresponds a lot = 5 | Corresponds a lot = 6 | Corresponds exactly = 7</t>
        </is>
      </c>
    </row>
    <row r="38">
      <c r="A38" s="24" t="n">
        <v>7</v>
      </c>
      <c r="B38" s="24" t="inlineStr">
        <is>
          <t>To prove to myself that I am capable of completing my college degree.</t>
        </is>
      </c>
      <c r="C38" s="24" t="inlineStr">
        <is>
          <t>Extrinsic motivation - introjected</t>
        </is>
      </c>
      <c r="D38" s="24" t="inlineStr">
        <is>
          <t>FALSE</t>
        </is>
      </c>
      <c r="E38" s="24" t="inlineStr">
        <is>
          <t>FALSE</t>
        </is>
      </c>
      <c r="F38" s="24" t="n"/>
      <c r="G38" s="24" t="inlineStr">
        <is>
          <t>Does not correspond at all = 1 | Corresponds a little = 2 | Corresponds a little = 3 | Corresponds moderately = 4 | Corresponds a lot = 5 | Corresponds a lot = 6 | Corresponds exactly = 7</t>
        </is>
      </c>
    </row>
    <row r="39">
      <c r="A39" s="24" t="n">
        <v>8</v>
      </c>
      <c r="B39" s="24" t="inlineStr">
        <is>
          <t>In order to obtain a more prestigious job later on.</t>
        </is>
      </c>
      <c r="C39" s="24" t="inlineStr">
        <is>
          <t>Extrinsic motivation - external regulation</t>
        </is>
      </c>
      <c r="D39" s="24" t="inlineStr">
        <is>
          <t>FALSE</t>
        </is>
      </c>
      <c r="E39" s="24" t="inlineStr">
        <is>
          <t>FALSE</t>
        </is>
      </c>
      <c r="F39" s="24" t="n"/>
      <c r="G39" s="24" t="inlineStr">
        <is>
          <t>Does not correspond at all = 1 | Corresponds a little = 2 | Corresponds a little = 3 | Corresponds moderately = 4 | Corresponds a lot = 5 | Corresponds a lot = 6 | Corresponds exactly = 7</t>
        </is>
      </c>
    </row>
    <row r="40">
      <c r="A40" s="24" t="n">
        <v>9</v>
      </c>
      <c r="B40" s="24" t="inlineStr">
        <is>
          <t>For the pleasure I experience when I discover new things never seen before.</t>
        </is>
      </c>
      <c r="C40" s="24" t="inlineStr">
        <is>
          <t>Intrinsic motivation - to know</t>
        </is>
      </c>
      <c r="D40" s="24" t="inlineStr">
        <is>
          <t>FALSE</t>
        </is>
      </c>
      <c r="E40" s="24" t="inlineStr">
        <is>
          <t>FALSE</t>
        </is>
      </c>
      <c r="F40" s="24" t="n"/>
      <c r="G40" s="24" t="inlineStr">
        <is>
          <t>Does not correspond at all = 1 | Corresponds a little = 2 | Corresponds a little = 3 | Corresponds moderately = 4 | Corresponds a lot = 5 | Corresponds a lot = 6 | Corresponds exactly = 7</t>
        </is>
      </c>
    </row>
    <row r="41">
      <c r="A41" s="24" t="n">
        <v>10</v>
      </c>
      <c r="B41" s="24" t="inlineStr">
        <is>
          <t>Because eventually it will enable me to enter the job market in a field that I like.</t>
        </is>
      </c>
      <c r="C41" s="24" t="inlineStr">
        <is>
          <t>Extrinsic motivation - identified</t>
        </is>
      </c>
      <c r="D41" s="24" t="inlineStr">
        <is>
          <t>FALSE</t>
        </is>
      </c>
      <c r="E41" s="24" t="inlineStr">
        <is>
          <t>FALSE</t>
        </is>
      </c>
      <c r="F41" s="24" t="n"/>
      <c r="G41" s="24" t="inlineStr">
        <is>
          <t>Does not correspond at all = 1 | Corresponds a little = 2 | Corresponds a little = 3 | Corresponds moderately = 4 | Corresponds a lot = 5 | Corresponds a lot = 6 | Corresponds exactly = 7</t>
        </is>
      </c>
    </row>
    <row r="42">
      <c r="A42" s="24" t="n">
        <v>11</v>
      </c>
      <c r="B42" s="24" t="inlineStr">
        <is>
          <t>For the pleasure that I experience when I read interesting authors.</t>
        </is>
      </c>
      <c r="C42" s="24" t="inlineStr">
        <is>
          <t>Intrinsic motivation - to experience stimulation</t>
        </is>
      </c>
      <c r="D42" s="24" t="inlineStr">
        <is>
          <t>FALSE</t>
        </is>
      </c>
      <c r="E42" s="24" t="inlineStr">
        <is>
          <t>FALSE</t>
        </is>
      </c>
      <c r="F42" s="24" t="n"/>
      <c r="G42" s="24" t="inlineStr">
        <is>
          <t>Does not correspond at all = 1 | Corresponds a little = 2 | Corresponds a little = 3 | Corresponds moderately = 4 | Corresponds a lot = 5 | Corresponds a lot = 6 | Corresponds exactly = 7</t>
        </is>
      </c>
    </row>
    <row r="43">
      <c r="A43" s="24" t="n">
        <v>12</v>
      </c>
      <c r="B43" s="24" t="inlineStr">
        <is>
          <t>I once had good reasons for going to college; however, now I wonder whether I should continue.</t>
        </is>
      </c>
      <c r="C43" s="24" t="inlineStr">
        <is>
          <t>Amotivation</t>
        </is>
      </c>
      <c r="D43" s="24" t="inlineStr">
        <is>
          <t>FALSE</t>
        </is>
      </c>
      <c r="E43" s="24" t="inlineStr">
        <is>
          <t>FALSE</t>
        </is>
      </c>
      <c r="F43" s="24" t="n"/>
      <c r="G43" s="24" t="inlineStr">
        <is>
          <t>Does not correspond at all = 1 | Corresponds a little = 2 | Corresponds a little = 3 | Corresponds moderately = 4 | Corresponds a lot = 5 | Corresponds a lot = 6 | Corresponds exactly = 7</t>
        </is>
      </c>
    </row>
    <row r="44">
      <c r="A44" s="24" t="n">
        <v>13</v>
      </c>
      <c r="B44" s="24" t="inlineStr">
        <is>
          <t>For the pleasure that I experience while I am surpassing myself in one of my personal accomplishments.</t>
        </is>
      </c>
      <c r="C44" s="24" t="inlineStr">
        <is>
          <t>Intrinsic motivation - toward accomplishment</t>
        </is>
      </c>
      <c r="D44" s="24" t="inlineStr">
        <is>
          <t>FALSE</t>
        </is>
      </c>
      <c r="E44" s="24" t="inlineStr">
        <is>
          <t>FALSE</t>
        </is>
      </c>
      <c r="F44" s="24" t="n"/>
      <c r="G44" s="24" t="inlineStr">
        <is>
          <t>Does not correspond at all = 1 | Corresponds a little = 2 | Corresponds a little = 3 | Corresponds moderately = 4 | Corresponds a lot = 5 | Corresponds a lot = 6 | Corresponds exactly = 7</t>
        </is>
      </c>
    </row>
    <row r="45">
      <c r="A45" s="24" t="n">
        <v>14</v>
      </c>
      <c r="B45" s="24" t="inlineStr">
        <is>
          <t>Because of the fact that when I succeed in college I feel important.</t>
        </is>
      </c>
      <c r="C45" s="24" t="inlineStr">
        <is>
          <t>Extrinsic motivation - introjected</t>
        </is>
      </c>
      <c r="D45" s="24" t="inlineStr">
        <is>
          <t>FALSE</t>
        </is>
      </c>
      <c r="E45" s="24" t="inlineStr">
        <is>
          <t>FALSE</t>
        </is>
      </c>
      <c r="F45" s="24" t="n"/>
      <c r="G45" s="24" t="inlineStr">
        <is>
          <t>Does not correspond at all = 1 | Corresponds a little = 2 | Corresponds a little = 3 | Corresponds moderately = 4 | Corresponds a lot = 5 | Corresponds a lot = 6 | Corresponds exactly = 7</t>
        </is>
      </c>
    </row>
    <row r="46">
      <c r="A46" s="24" t="n">
        <v>15</v>
      </c>
      <c r="B46" s="24" t="inlineStr">
        <is>
          <t>Because I want to have "the good life" later on.</t>
        </is>
      </c>
      <c r="C46" s="24" t="inlineStr">
        <is>
          <t>Extrinsic motivation - external regulation</t>
        </is>
      </c>
      <c r="D46" s="24" t="inlineStr">
        <is>
          <t>FALSE</t>
        </is>
      </c>
      <c r="E46" s="24" t="inlineStr">
        <is>
          <t>FALSE</t>
        </is>
      </c>
      <c r="F46" s="24" t="n"/>
      <c r="G46" s="24" t="inlineStr">
        <is>
          <t>Does not correspond at all = 1 | Corresponds a little = 2 | Corresponds a little = 3 | Corresponds moderately = 4 | Corresponds a lot = 5 | Corresponds a lot = 6 | Corresponds exactly = 7</t>
        </is>
      </c>
    </row>
    <row r="47">
      <c r="A47" s="24" t="n">
        <v>16</v>
      </c>
      <c r="B47" s="24" t="inlineStr">
        <is>
          <t>For the pleasure that I experience in broadening my knowledge about subjects which appeal to me.</t>
        </is>
      </c>
      <c r="C47" s="24" t="inlineStr">
        <is>
          <t>Intrinsic motivation - to know</t>
        </is>
      </c>
      <c r="D47" s="24" t="inlineStr">
        <is>
          <t>FALSE</t>
        </is>
      </c>
      <c r="E47" s="24" t="inlineStr">
        <is>
          <t>FALSE</t>
        </is>
      </c>
      <c r="F47" s="24" t="n"/>
      <c r="G47" s="24" t="inlineStr">
        <is>
          <t>Does not correspond at all = 1 | Corresponds a little = 2 | Corresponds a little = 3 | Corresponds moderately = 4 | Corresponds a lot = 5 | Corresponds a lot = 6 | Corresponds exactly = 7</t>
        </is>
      </c>
    </row>
    <row r="48">
      <c r="A48" s="24" t="n">
        <v>17</v>
      </c>
      <c r="B48" s="24" t="inlineStr">
        <is>
          <t>Because this will help me make a better choice regarding my career orientation.</t>
        </is>
      </c>
      <c r="C48" s="24" t="inlineStr">
        <is>
          <t>Extrinsic motivation - identified</t>
        </is>
      </c>
      <c r="D48" s="24" t="inlineStr">
        <is>
          <t>FALSE</t>
        </is>
      </c>
      <c r="E48" s="24" t="inlineStr">
        <is>
          <t>FALSE</t>
        </is>
      </c>
      <c r="F48" s="24" t="n"/>
      <c r="G48" s="24" t="inlineStr">
        <is>
          <t>Does not correspond at all = 1 | Corresponds a little = 2 | Corresponds a little = 3 | Corresponds moderately = 4 | Corresponds a lot = 5 | Corresponds a lot = 6 | Corresponds exactly = 7</t>
        </is>
      </c>
    </row>
    <row r="49">
      <c r="A49" s="24" t="n">
        <v>18</v>
      </c>
      <c r="B49" s="24" t="inlineStr">
        <is>
          <t>For the pleasure that I experience when I feel completely absorbed by what certain authors have written.</t>
        </is>
      </c>
      <c r="C49" s="24" t="inlineStr">
        <is>
          <t>Intrinsic motivation - to experience stimulation</t>
        </is>
      </c>
      <c r="D49" s="24" t="inlineStr">
        <is>
          <t>FALSE</t>
        </is>
      </c>
      <c r="E49" s="24" t="inlineStr">
        <is>
          <t>FALSE</t>
        </is>
      </c>
      <c r="F49" s="24" t="n"/>
      <c r="G49" s="24" t="inlineStr">
        <is>
          <t>Does not correspond at all = 1 | Corresponds a little = 2 | Corresponds a little = 3 | Corresponds moderately = 4 | Corresponds a lot = 5 | Corresponds a lot = 6 | Corresponds exactly = 7</t>
        </is>
      </c>
    </row>
    <row r="50">
      <c r="A50" s="24" t="n">
        <v>19</v>
      </c>
      <c r="B50" s="24" t="inlineStr">
        <is>
          <t>I can't see why I go to college and frankly, I couldn't care less.</t>
        </is>
      </c>
      <c r="C50" s="24" t="inlineStr">
        <is>
          <t>Amotivation</t>
        </is>
      </c>
      <c r="D50" s="24" t="inlineStr">
        <is>
          <t>FALSE</t>
        </is>
      </c>
      <c r="E50" s="24" t="inlineStr">
        <is>
          <t>FALSE</t>
        </is>
      </c>
      <c r="F50" s="24" t="n"/>
      <c r="G50" s="24" t="inlineStr">
        <is>
          <t>Does not correspond at all = 1 | Corresponds a little = 2 | Corresponds a little = 3 | Corresponds moderately = 4 | Corresponds a lot = 5 | Corresponds a lot = 6 | Corresponds exactly = 7</t>
        </is>
      </c>
    </row>
    <row r="51">
      <c r="A51" s="24" t="n">
        <v>20</v>
      </c>
      <c r="B51" s="24" t="inlineStr">
        <is>
          <t>For the satisfaction I feel when I am in the process of accomplishing difficult academic activities.</t>
        </is>
      </c>
      <c r="C51" s="24" t="inlineStr">
        <is>
          <t>Intrinsic motivation - toward accomplishment</t>
        </is>
      </c>
      <c r="D51" s="24" t="inlineStr">
        <is>
          <t>FALSE</t>
        </is>
      </c>
      <c r="E51" s="24" t="inlineStr">
        <is>
          <t>FALSE</t>
        </is>
      </c>
      <c r="F51" s="24" t="n"/>
      <c r="G51" s="24" t="inlineStr">
        <is>
          <t>Does not correspond at all = 1 | Corresponds a little = 2 | Corresponds a little = 3 | Corresponds moderately = 4 | Corresponds a lot = 5 | Corresponds a lot = 6 | Corresponds exactly = 7</t>
        </is>
      </c>
    </row>
    <row r="52">
      <c r="A52" s="24" t="n">
        <v>21</v>
      </c>
      <c r="B52" s="24" t="inlineStr">
        <is>
          <t>To show myself that I am an intelligent person.</t>
        </is>
      </c>
      <c r="C52" s="24" t="inlineStr">
        <is>
          <t>Extrinsic motivation - introjected</t>
        </is>
      </c>
      <c r="D52" s="24" t="inlineStr">
        <is>
          <t>FALSE</t>
        </is>
      </c>
      <c r="E52" s="24" t="inlineStr">
        <is>
          <t>FALSE</t>
        </is>
      </c>
      <c r="F52" s="24" t="n"/>
      <c r="G52" s="24" t="inlineStr">
        <is>
          <t>Does not correspond at all = 1 | Corresponds a little = 2 | Corresponds a little = 3 | Corresponds moderately = 4 | Corresponds a lot = 5 | Corresponds a lot = 6 | Corresponds exactly = 7</t>
        </is>
      </c>
    </row>
    <row r="53">
      <c r="A53" s="24" t="n">
        <v>22</v>
      </c>
      <c r="B53" s="24" t="inlineStr">
        <is>
          <t>In order to have a better salary later on.</t>
        </is>
      </c>
      <c r="C53" s="24" t="inlineStr">
        <is>
          <t>Extrinsic motivation - external regulation</t>
        </is>
      </c>
      <c r="D53" s="24" t="inlineStr">
        <is>
          <t>FALSE</t>
        </is>
      </c>
      <c r="E53" s="24" t="inlineStr">
        <is>
          <t>FALSE</t>
        </is>
      </c>
      <c r="F53" s="24" t="n"/>
      <c r="G53" s="24" t="inlineStr">
        <is>
          <t>Does not correspond at all = 1 | Corresponds a little = 2 | Corresponds a little = 3 | Corresponds moderately = 4 | Corresponds a lot = 5 | Corresponds a lot = 6 | Corresponds exactly = 7</t>
        </is>
      </c>
    </row>
    <row r="54">
      <c r="A54" s="24" t="n">
        <v>23</v>
      </c>
      <c r="B54" s="24" t="inlineStr">
        <is>
          <t>Because my studies allow me to continue to learn about many things that interest me.</t>
        </is>
      </c>
      <c r="C54" s="24" t="inlineStr">
        <is>
          <t>Intrinsic motivation - to know</t>
        </is>
      </c>
      <c r="D54" s="24" t="inlineStr">
        <is>
          <t>FALSE</t>
        </is>
      </c>
      <c r="E54" s="24" t="inlineStr">
        <is>
          <t>FALSE</t>
        </is>
      </c>
      <c r="F54" s="24" t="n"/>
      <c r="G54" s="24" t="inlineStr">
        <is>
          <t>Does not correspond at all = 1 | Corresponds a little = 2 | Corresponds a little = 3 | Corresponds moderately = 4 | Corresponds a lot = 5 | Corresponds a lot = 6 | Corresponds exactly = 7</t>
        </is>
      </c>
    </row>
    <row r="55">
      <c r="A55" s="24" t="n">
        <v>24</v>
      </c>
      <c r="B55" s="24" t="inlineStr">
        <is>
          <t>Because I believe that a few additional years of education will improve my competence as a worker.</t>
        </is>
      </c>
      <c r="C55" s="24" t="inlineStr">
        <is>
          <t>Extrinsic motivation - identified</t>
        </is>
      </c>
      <c r="D55" s="24" t="inlineStr">
        <is>
          <t>FALSE</t>
        </is>
      </c>
      <c r="E55" s="24" t="inlineStr">
        <is>
          <t>FALSE</t>
        </is>
      </c>
      <c r="F55" s="24" t="n"/>
      <c r="G55" s="24" t="inlineStr">
        <is>
          <t>Does not correspond at all = 1 | Corresponds a little = 2 | Corresponds a little = 3 | Corresponds moderately = 4 | Corresponds a lot = 5 | Corresponds a lot = 6 | Corresponds exactly = 7</t>
        </is>
      </c>
    </row>
    <row r="56">
      <c r="A56" s="24" t="n">
        <v>25</v>
      </c>
      <c r="B56" s="24" t="inlineStr">
        <is>
          <t>For the "high" feeling that I experience while reading about various interesting subjects.</t>
        </is>
      </c>
      <c r="C56" s="24" t="inlineStr">
        <is>
          <t>Intrinsic motivation - to experience stimulation</t>
        </is>
      </c>
      <c r="D56" s="24" t="inlineStr">
        <is>
          <t>FALSE</t>
        </is>
      </c>
      <c r="E56" s="24" t="inlineStr">
        <is>
          <t>FALSE</t>
        </is>
      </c>
      <c r="F56" s="24" t="n"/>
      <c r="G56" s="24" t="inlineStr">
        <is>
          <t>Does not correspond at all = 1 | Corresponds a little = 2 | Corresponds a little = 3 | Corresponds moderately = 4 | Corresponds a lot = 5 | Corresponds a lot = 6 | Corresponds exactly = 7</t>
        </is>
      </c>
    </row>
    <row r="57">
      <c r="A57" s="24" t="n">
        <v>26</v>
      </c>
      <c r="B57" s="24" t="inlineStr">
        <is>
          <t>I don't know; I can't understand what I am doing in school.</t>
        </is>
      </c>
      <c r="C57" s="24" t="inlineStr">
        <is>
          <t>Amotivation</t>
        </is>
      </c>
      <c r="D57" s="24" t="inlineStr">
        <is>
          <t>FALSE</t>
        </is>
      </c>
      <c r="E57" s="24" t="inlineStr">
        <is>
          <t>FALSE</t>
        </is>
      </c>
      <c r="F57" s="24" t="n"/>
      <c r="G57" s="24" t="inlineStr">
        <is>
          <t>Does not correspond at all = 1 | Corresponds a little = 2 | Corresponds a little = 3 | Corresponds moderately = 4 | Corresponds a lot = 5 | Corresponds a lot = 6 | Corresponds exactly = 7</t>
        </is>
      </c>
    </row>
    <row r="58">
      <c r="A58" s="24" t="n">
        <v>27</v>
      </c>
      <c r="B58" s="24" t="inlineStr">
        <is>
          <t>Because college allows me to experience a personal satisfaction in my quest for excellence in my studies.</t>
        </is>
      </c>
      <c r="C58" s="24" t="inlineStr">
        <is>
          <t>Intrinsic motivation - toward accomplishment</t>
        </is>
      </c>
      <c r="D58" s="24" t="inlineStr">
        <is>
          <t>FALSE</t>
        </is>
      </c>
      <c r="E58" s="24" t="inlineStr">
        <is>
          <t>FALSE</t>
        </is>
      </c>
      <c r="F58" s="24" t="n"/>
      <c r="G58" s="24" t="inlineStr">
        <is>
          <t>Does not correspond at all = 1 | Corresponds a little = 2 | Corresponds a little = 3 | Corresponds moderately = 4 | Corresponds a lot = 5 | Corresponds a lot = 6 | Corresponds exactly = 7</t>
        </is>
      </c>
    </row>
    <row r="59">
      <c r="A59" s="24" t="n">
        <v>28</v>
      </c>
      <c r="B59" s="24" t="inlineStr">
        <is>
          <t>Because I want to show myself that I can succeed in my studies.</t>
        </is>
      </c>
      <c r="C59" s="24" t="inlineStr">
        <is>
          <t>Extrinsic motivation - introjected</t>
        </is>
      </c>
      <c r="D59" s="24" t="inlineStr">
        <is>
          <t>FALSE</t>
        </is>
      </c>
      <c r="E59" s="24" t="inlineStr">
        <is>
          <t>FALSE</t>
        </is>
      </c>
      <c r="F59" s="24" t="n"/>
      <c r="G59" s="24" t="inlineStr">
        <is>
          <t>Does not correspond at all = 1 | Corresponds a little = 2 | Corresponds a little = 3 | Corresponds moderately = 4 | Corresponds a lot = 5 | Corresponds a lot = 6 | Corresponds exactly = 7</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G54"/>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Almost Perfect Scale Revised</t>
        </is>
      </c>
    </row>
    <row r="3">
      <c r="A3" s="37" t="inlineStr">
        <is>
          <t>Instrument</t>
        </is>
      </c>
      <c r="B3" s="24" t="inlineStr">
        <is>
          <t>Almost Perfect Scale Revised</t>
        </is>
      </c>
      <c r="C3" s="24" t="n"/>
      <c r="D3" s="24" t="n"/>
      <c r="E3" s="24" t="n"/>
      <c r="F3" s="24" t="n"/>
      <c r="G3" s="24" t="n"/>
    </row>
    <row r="4">
      <c r="A4" s="37" t="inlineStr">
        <is>
          <t>Code</t>
        </is>
      </c>
      <c r="B4" s="24" t="inlineStr">
        <is>
          <t>APS-R</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Perfectionism as high personal standards, a preference for order, and the discrepancy perceived between one's standards and one's performance.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23</v>
      </c>
      <c r="C10" s="24" t="n"/>
      <c r="D10" s="24" t="n"/>
      <c r="E10" s="24" t="n"/>
      <c r="F10" s="24" t="n"/>
      <c r="G10" s="24" t="n"/>
    </row>
    <row r="11">
      <c r="A11" s="37" t="inlineStr">
        <is>
          <t>Items reproduced here</t>
        </is>
      </c>
      <c r="B11" s="24" t="n">
        <v>23</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t>
        </is>
      </c>
      <c r="C13" s="24" t="n"/>
      <c r="D13" s="24" t="n"/>
      <c r="E13" s="24" t="n"/>
      <c r="F13" s="24" t="n"/>
      <c r="G13" s="24" t="n"/>
    </row>
    <row r="14">
      <c r="A14" s="37" t="inlineStr">
        <is>
          <t>Coaching application</t>
        </is>
      </c>
      <c r="B14" s="24" t="inlineStr">
        <is>
          <t>Distinguishes adaptive from maladaptive perfectionists with published cut offs, which works well for high achieving coaching clients.</t>
        </is>
      </c>
      <c r="C14" s="24" t="n"/>
      <c r="D14" s="24" t="n"/>
      <c r="E14" s="24" t="n"/>
      <c r="F14" s="24" t="n"/>
      <c r="G14" s="24" t="n"/>
    </row>
    <row r="15">
      <c r="A15" s="37" t="inlineStr">
        <is>
          <t>Purpose</t>
        </is>
      </c>
      <c r="B15" s="24" t="inlineStr">
        <is>
          <t>Perfectionism as high personal standards, a preference for order, and the discrepancy perceived between one's standards and one's performance.</t>
        </is>
      </c>
      <c r="C15" s="24" t="n"/>
      <c r="D15" s="24" t="n"/>
      <c r="E15" s="24" t="n"/>
      <c r="F15" s="24" t="n"/>
      <c r="G15" s="24" t="n"/>
    </row>
    <row r="16">
      <c r="A16" s="37" t="inlineStr">
        <is>
          <t>Instructions / prompt</t>
        </is>
      </c>
      <c r="B16" s="24" t="inlineStr">
        <is>
          <t>The following items are designed to measure attitudes people have toward themselves, their performance, and toward others. There are no right or wrong answers. Please respond to all of the items. Use your first impression and do not spend too much time on individual items in responding. Respond to each of the items using the scale below to describe your degree of agreement with each item. Circle the appropriate rating for each item.</t>
        </is>
      </c>
      <c r="C16" s="24" t="n"/>
      <c r="D16" s="24" t="n"/>
      <c r="E16" s="24" t="n"/>
      <c r="F16" s="24" t="n"/>
      <c r="G16" s="24" t="n"/>
    </row>
    <row r="17">
      <c r="A17" s="37" t="inlineStr">
        <is>
          <t>Response options</t>
        </is>
      </c>
      <c r="B17" s="24" t="inlineStr">
        <is>
          <t>Strongly Disagree = 1 | Disagree = 2 | Slightly Disagree = 3 | Neutral = 4 | Slightly Agree = 5 | Agree = 6 | Strongly Agree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item ratings within each subscale to obtain Standards, Order and Discrepancy scores; no items are reverse scored and no total score is used. Higher scores indicate more of each attribute. Classification rule (Rice and Ashby, 2007, as reproduced on the scale PDF): Standards below 42, non perfectionist; Standards 42 or above with Discrepancy 42 or above, maladaptive perfectionist; Standards 42 or above with Discrepancy below 42, adaptive perfectionist.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Slaney, R. B., Rice, K. G., Mobley, M., Trippi, J., &amp; Ashby, J. S. (2001). The revised Almost Perfect Scale. Measurement and Evaluation in Counseling and Development, 34(3), 130–145. https://doi.org/10.1080/07481756.2002.12069030</t>
        </is>
      </c>
      <c r="C25" s="24" t="n"/>
      <c r="D25" s="24" t="n"/>
      <c r="E25" s="24" t="n"/>
      <c r="F25" s="24" t="n"/>
      <c r="G25" s="24" t="n"/>
    </row>
    <row r="26">
      <c r="A26" s="37" t="inlineStr">
        <is>
          <t>Copyright and licensing</t>
        </is>
      </c>
      <c r="B26" s="24" t="inlineStr">
        <is>
          <t>Rice lab page (licenceUrl): "There is no permission needed to use or translate the scale. It should be cited properly as shown above." The scale PDF itself carries an older note: "NOTE: You have my permission to use the APS-R for research only. Such use indicates agreement with the stated terms, is limited to one year from today’s date, and involves appropriate citations in the event of publication. I would also like to be informed of any data gathered and findings on the scale." Source: https://sites.gsu.edu/cpyricelab/?p=264</t>
        </is>
      </c>
      <c r="C26" s="24" t="n"/>
      <c r="D26" s="24" t="n"/>
      <c r="E26" s="24" t="n"/>
      <c r="F26" s="24" t="n"/>
      <c r="G26" s="24" t="n"/>
    </row>
    <row r="27">
      <c r="A27" s="37" t="inlineStr">
        <is>
          <t>Source URL</t>
        </is>
      </c>
      <c r="B27" s="24" t="inlineStr">
        <is>
          <t>https://www.kennethwang.com/apsr/scales/APSR-English.pdf</t>
        </is>
      </c>
      <c r="C27" s="24" t="n"/>
      <c r="D27" s="24" t="n"/>
      <c r="E27" s="24" t="n"/>
      <c r="F27" s="24" t="n"/>
      <c r="G27" s="24" t="n"/>
    </row>
    <row r="28">
      <c r="A28" s="37" t="inlineStr">
        <is>
          <t>Transcription note</t>
        </is>
      </c>
      <c r="B28" s="24" t="inlineStr">
        <is>
          <t>Items transcribed from the English APS-R PDF on kennethwang.com. Item 7 has no closing full stop in the source. Curly apostrophes retained as printed. The permission note on the PDF (research only, one year) conflicts with the current Rice lab statement that no permission is needed; both are quoted in the licence field and the Rice lab page is the licenceUrl. Second pass (18 October 2026): subscale renamed Standards to match the scoring key printed on the form; Rice lab quote corrected to "It should be cited properly as shown above."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high standards for my performance at work or at school.</t>
        </is>
      </c>
      <c r="C32" s="24" t="inlineStr">
        <is>
          <t>Standards</t>
        </is>
      </c>
      <c r="D32" s="24" t="inlineStr">
        <is>
          <t>FALSE</t>
        </is>
      </c>
      <c r="E32" s="24" t="inlineStr">
        <is>
          <t>FALSE</t>
        </is>
      </c>
      <c r="F32" s="24" t="n"/>
      <c r="G32" s="24" t="inlineStr">
        <is>
          <t>Strongly Disagree = 1 | Disagree = 2 | Slightly Disagree = 3 | Neutral = 4 | Slightly Agree = 5 | Agree = 6 | Strongly Agree = 7</t>
        </is>
      </c>
    </row>
    <row r="33">
      <c r="A33" s="24" t="n">
        <v>2</v>
      </c>
      <c r="B33" s="24" t="inlineStr">
        <is>
          <t>I am an orderly person.</t>
        </is>
      </c>
      <c r="C33" s="24" t="inlineStr">
        <is>
          <t>Order</t>
        </is>
      </c>
      <c r="D33" s="24" t="inlineStr">
        <is>
          <t>FALSE</t>
        </is>
      </c>
      <c r="E33" s="24" t="inlineStr">
        <is>
          <t>FALSE</t>
        </is>
      </c>
      <c r="F33" s="24" t="n"/>
      <c r="G33" s="24" t="inlineStr">
        <is>
          <t>Strongly Disagree = 1 | Disagree = 2 | Slightly Disagree = 3 | Neutral = 4 | Slightly Agree = 5 | Agree = 6 | Strongly Agree = 7</t>
        </is>
      </c>
    </row>
    <row r="34">
      <c r="A34" s="24" t="n">
        <v>3</v>
      </c>
      <c r="B34" s="24" t="inlineStr">
        <is>
          <t>I often feel frustrated because I can’t meet my goals.</t>
        </is>
      </c>
      <c r="C34" s="24" t="inlineStr">
        <is>
          <t>Discrepancy</t>
        </is>
      </c>
      <c r="D34" s="24" t="inlineStr">
        <is>
          <t>FALSE</t>
        </is>
      </c>
      <c r="E34" s="24" t="inlineStr">
        <is>
          <t>FALSE</t>
        </is>
      </c>
      <c r="F34" s="24" t="n"/>
      <c r="G34" s="24" t="inlineStr">
        <is>
          <t>Strongly Disagree = 1 | Disagree = 2 | Slightly Disagree = 3 | Neutral = 4 | Slightly Agree = 5 | Agree = 6 | Strongly Agree = 7</t>
        </is>
      </c>
    </row>
    <row r="35">
      <c r="A35" s="24" t="n">
        <v>4</v>
      </c>
      <c r="B35" s="24" t="inlineStr">
        <is>
          <t>Neatness is important to me.</t>
        </is>
      </c>
      <c r="C35" s="24" t="inlineStr">
        <is>
          <t>Order</t>
        </is>
      </c>
      <c r="D35" s="24" t="inlineStr">
        <is>
          <t>FALSE</t>
        </is>
      </c>
      <c r="E35" s="24" t="inlineStr">
        <is>
          <t>FALSE</t>
        </is>
      </c>
      <c r="F35" s="24" t="n"/>
      <c r="G35" s="24" t="inlineStr">
        <is>
          <t>Strongly Disagree = 1 | Disagree = 2 | Slightly Disagree = 3 | Neutral = 4 | Slightly Agree = 5 | Agree = 6 | Strongly Agree = 7</t>
        </is>
      </c>
    </row>
    <row r="36">
      <c r="A36" s="24" t="n">
        <v>5</v>
      </c>
      <c r="B36" s="24" t="inlineStr">
        <is>
          <t>If you don’t expect much out of yourself, you will never succeed.</t>
        </is>
      </c>
      <c r="C36" s="24" t="inlineStr">
        <is>
          <t>Standards</t>
        </is>
      </c>
      <c r="D36" s="24" t="inlineStr">
        <is>
          <t>FALSE</t>
        </is>
      </c>
      <c r="E36" s="24" t="inlineStr">
        <is>
          <t>FALSE</t>
        </is>
      </c>
      <c r="F36" s="24" t="n"/>
      <c r="G36" s="24" t="inlineStr">
        <is>
          <t>Strongly Disagree = 1 | Disagree = 2 | Slightly Disagree = 3 | Neutral = 4 | Slightly Agree = 5 | Agree = 6 | Strongly Agree = 7</t>
        </is>
      </c>
    </row>
    <row r="37">
      <c r="A37" s="24" t="n">
        <v>6</v>
      </c>
      <c r="B37" s="24" t="inlineStr">
        <is>
          <t>My best just never seems to be good enough for me.</t>
        </is>
      </c>
      <c r="C37" s="24" t="inlineStr">
        <is>
          <t>Discrepancy</t>
        </is>
      </c>
      <c r="D37" s="24" t="inlineStr">
        <is>
          <t>FALSE</t>
        </is>
      </c>
      <c r="E37" s="24" t="inlineStr">
        <is>
          <t>FALSE</t>
        </is>
      </c>
      <c r="F37" s="24" t="n"/>
      <c r="G37" s="24" t="inlineStr">
        <is>
          <t>Strongly Disagree = 1 | Disagree = 2 | Slightly Disagree = 3 | Neutral = 4 | Slightly Agree = 5 | Agree = 6 | Strongly Agree = 7</t>
        </is>
      </c>
    </row>
    <row r="38">
      <c r="A38" s="24" t="n">
        <v>7</v>
      </c>
      <c r="B38" s="24" t="inlineStr">
        <is>
          <t>I think things should be put away in their place</t>
        </is>
      </c>
      <c r="C38" s="24" t="inlineStr">
        <is>
          <t>Order</t>
        </is>
      </c>
      <c r="D38" s="24" t="inlineStr">
        <is>
          <t>FALSE</t>
        </is>
      </c>
      <c r="E38" s="24" t="inlineStr">
        <is>
          <t>FALSE</t>
        </is>
      </c>
      <c r="F38" s="24" t="n"/>
      <c r="G38" s="24" t="inlineStr">
        <is>
          <t>Strongly Disagree = 1 | Disagree = 2 | Slightly Disagree = 3 | Neutral = 4 | Slightly Agree = 5 | Agree = 6 | Strongly Agree = 7</t>
        </is>
      </c>
    </row>
    <row r="39">
      <c r="A39" s="24" t="n">
        <v>8</v>
      </c>
      <c r="B39" s="24" t="inlineStr">
        <is>
          <t>I have high expectations for myself.</t>
        </is>
      </c>
      <c r="C39" s="24" t="inlineStr">
        <is>
          <t>Standards</t>
        </is>
      </c>
      <c r="D39" s="24" t="inlineStr">
        <is>
          <t>FALSE</t>
        </is>
      </c>
      <c r="E39" s="24" t="inlineStr">
        <is>
          <t>FALSE</t>
        </is>
      </c>
      <c r="F39" s="24" t="n"/>
      <c r="G39" s="24" t="inlineStr">
        <is>
          <t>Strongly Disagree = 1 | Disagree = 2 | Slightly Disagree = 3 | Neutral = 4 | Slightly Agree = 5 | Agree = 6 | Strongly Agree = 7</t>
        </is>
      </c>
    </row>
    <row r="40">
      <c r="A40" s="24" t="n">
        <v>9</v>
      </c>
      <c r="B40" s="24" t="inlineStr">
        <is>
          <t>I rarely live up to my high standards.</t>
        </is>
      </c>
      <c r="C40" s="24" t="inlineStr">
        <is>
          <t>Discrepancy</t>
        </is>
      </c>
      <c r="D40" s="24" t="inlineStr">
        <is>
          <t>FALSE</t>
        </is>
      </c>
      <c r="E40" s="24" t="inlineStr">
        <is>
          <t>FALSE</t>
        </is>
      </c>
      <c r="F40" s="24" t="n"/>
      <c r="G40" s="24" t="inlineStr">
        <is>
          <t>Strongly Disagree = 1 | Disagree = 2 | Slightly Disagree = 3 | Neutral = 4 | Slightly Agree = 5 | Agree = 6 | Strongly Agree = 7</t>
        </is>
      </c>
    </row>
    <row r="41">
      <c r="A41" s="24" t="n">
        <v>10</v>
      </c>
      <c r="B41" s="24" t="inlineStr">
        <is>
          <t>I like to always be organized and disciplined.</t>
        </is>
      </c>
      <c r="C41" s="24" t="inlineStr">
        <is>
          <t>Order</t>
        </is>
      </c>
      <c r="D41" s="24" t="inlineStr">
        <is>
          <t>FALSE</t>
        </is>
      </c>
      <c r="E41" s="24" t="inlineStr">
        <is>
          <t>FALSE</t>
        </is>
      </c>
      <c r="F41" s="24" t="n"/>
      <c r="G41" s="24" t="inlineStr">
        <is>
          <t>Strongly Disagree = 1 | Disagree = 2 | Slightly Disagree = 3 | Neutral = 4 | Slightly Agree = 5 | Agree = 6 | Strongly Agree = 7</t>
        </is>
      </c>
    </row>
    <row r="42">
      <c r="A42" s="24" t="n">
        <v>11</v>
      </c>
      <c r="B42" s="24" t="inlineStr">
        <is>
          <t>Doing my best never seems to be enough.</t>
        </is>
      </c>
      <c r="C42" s="24" t="inlineStr">
        <is>
          <t>Discrepancy</t>
        </is>
      </c>
      <c r="D42" s="24" t="inlineStr">
        <is>
          <t>FALSE</t>
        </is>
      </c>
      <c r="E42" s="24" t="inlineStr">
        <is>
          <t>FALSE</t>
        </is>
      </c>
      <c r="F42" s="24" t="n"/>
      <c r="G42" s="24" t="inlineStr">
        <is>
          <t>Strongly Disagree = 1 | Disagree = 2 | Slightly Disagree = 3 | Neutral = 4 | Slightly Agree = 5 | Agree = 6 | Strongly Agree = 7</t>
        </is>
      </c>
    </row>
    <row r="43">
      <c r="A43" s="24" t="n">
        <v>12</v>
      </c>
      <c r="B43" s="24" t="inlineStr">
        <is>
          <t>I set very high standards for myself.</t>
        </is>
      </c>
      <c r="C43" s="24" t="inlineStr">
        <is>
          <t>Standards</t>
        </is>
      </c>
      <c r="D43" s="24" t="inlineStr">
        <is>
          <t>FALSE</t>
        </is>
      </c>
      <c r="E43" s="24" t="inlineStr">
        <is>
          <t>FALSE</t>
        </is>
      </c>
      <c r="F43" s="24" t="n"/>
      <c r="G43" s="24" t="inlineStr">
        <is>
          <t>Strongly Disagree = 1 | Disagree = 2 | Slightly Disagree = 3 | Neutral = 4 | Slightly Agree = 5 | Agree = 6 | Strongly Agree = 7</t>
        </is>
      </c>
    </row>
    <row r="44">
      <c r="A44" s="24" t="n">
        <v>13</v>
      </c>
      <c r="B44" s="24" t="inlineStr">
        <is>
          <t>I am never satisfied with my accomplishments.</t>
        </is>
      </c>
      <c r="C44" s="24" t="inlineStr">
        <is>
          <t>Discrepancy</t>
        </is>
      </c>
      <c r="D44" s="24" t="inlineStr">
        <is>
          <t>FALSE</t>
        </is>
      </c>
      <c r="E44" s="24" t="inlineStr">
        <is>
          <t>FALSE</t>
        </is>
      </c>
      <c r="F44" s="24" t="n"/>
      <c r="G44" s="24" t="inlineStr">
        <is>
          <t>Strongly Disagree = 1 | Disagree = 2 | Slightly Disagree = 3 | Neutral = 4 | Slightly Agree = 5 | Agree = 6 | Strongly Agree = 7</t>
        </is>
      </c>
    </row>
    <row r="45">
      <c r="A45" s="24" t="n">
        <v>14</v>
      </c>
      <c r="B45" s="24" t="inlineStr">
        <is>
          <t>I expect the best from myself.</t>
        </is>
      </c>
      <c r="C45" s="24" t="inlineStr">
        <is>
          <t>Standards</t>
        </is>
      </c>
      <c r="D45" s="24" t="inlineStr">
        <is>
          <t>FALSE</t>
        </is>
      </c>
      <c r="E45" s="24" t="inlineStr">
        <is>
          <t>FALSE</t>
        </is>
      </c>
      <c r="F45" s="24" t="n"/>
      <c r="G45" s="24" t="inlineStr">
        <is>
          <t>Strongly Disagree = 1 | Disagree = 2 | Slightly Disagree = 3 | Neutral = 4 | Slightly Agree = 5 | Agree = 6 | Strongly Agree = 7</t>
        </is>
      </c>
    </row>
    <row r="46">
      <c r="A46" s="24" t="n">
        <v>15</v>
      </c>
      <c r="B46" s="24" t="inlineStr">
        <is>
          <t>I often worry about not measuring up to my own expectations.</t>
        </is>
      </c>
      <c r="C46" s="24" t="inlineStr">
        <is>
          <t>Discrepancy</t>
        </is>
      </c>
      <c r="D46" s="24" t="inlineStr">
        <is>
          <t>FALSE</t>
        </is>
      </c>
      <c r="E46" s="24" t="inlineStr">
        <is>
          <t>FALSE</t>
        </is>
      </c>
      <c r="F46" s="24" t="n"/>
      <c r="G46" s="24" t="inlineStr">
        <is>
          <t>Strongly Disagree = 1 | Disagree = 2 | Slightly Disagree = 3 | Neutral = 4 | Slightly Agree = 5 | Agree = 6 | Strongly Agree = 7</t>
        </is>
      </c>
    </row>
    <row r="47">
      <c r="A47" s="24" t="n">
        <v>16</v>
      </c>
      <c r="B47" s="24" t="inlineStr">
        <is>
          <t>My performance rarely measures up to my standards.</t>
        </is>
      </c>
      <c r="C47" s="24" t="inlineStr">
        <is>
          <t>Discrepancy</t>
        </is>
      </c>
      <c r="D47" s="24" t="inlineStr">
        <is>
          <t>FALSE</t>
        </is>
      </c>
      <c r="E47" s="24" t="inlineStr">
        <is>
          <t>FALSE</t>
        </is>
      </c>
      <c r="F47" s="24" t="n"/>
      <c r="G47" s="24" t="inlineStr">
        <is>
          <t>Strongly Disagree = 1 | Disagree = 2 | Slightly Disagree = 3 | Neutral = 4 | Slightly Agree = 5 | Agree = 6 | Strongly Agree = 7</t>
        </is>
      </c>
    </row>
    <row r="48">
      <c r="A48" s="24" t="n">
        <v>17</v>
      </c>
      <c r="B48" s="24" t="inlineStr">
        <is>
          <t>I am not satisfied even when I know I have done my best.</t>
        </is>
      </c>
      <c r="C48" s="24" t="inlineStr">
        <is>
          <t>Discrepancy</t>
        </is>
      </c>
      <c r="D48" s="24" t="inlineStr">
        <is>
          <t>FALSE</t>
        </is>
      </c>
      <c r="E48" s="24" t="inlineStr">
        <is>
          <t>FALSE</t>
        </is>
      </c>
      <c r="F48" s="24" t="n"/>
      <c r="G48" s="24" t="inlineStr">
        <is>
          <t>Strongly Disagree = 1 | Disagree = 2 | Slightly Disagree = 3 | Neutral = 4 | Slightly Agree = 5 | Agree = 6 | Strongly Agree = 7</t>
        </is>
      </c>
    </row>
    <row r="49">
      <c r="A49" s="24" t="n">
        <v>18</v>
      </c>
      <c r="B49" s="24" t="inlineStr">
        <is>
          <t>I try to do my best at everything I do.</t>
        </is>
      </c>
      <c r="C49" s="24" t="inlineStr">
        <is>
          <t>Standards</t>
        </is>
      </c>
      <c r="D49" s="24" t="inlineStr">
        <is>
          <t>FALSE</t>
        </is>
      </c>
      <c r="E49" s="24" t="inlineStr">
        <is>
          <t>FALSE</t>
        </is>
      </c>
      <c r="F49" s="24" t="n"/>
      <c r="G49" s="24" t="inlineStr">
        <is>
          <t>Strongly Disagree = 1 | Disagree = 2 | Slightly Disagree = 3 | Neutral = 4 | Slightly Agree = 5 | Agree = 6 | Strongly Agree = 7</t>
        </is>
      </c>
    </row>
    <row r="50">
      <c r="A50" s="24" t="n">
        <v>19</v>
      </c>
      <c r="B50" s="24" t="inlineStr">
        <is>
          <t>I am seldom able to meet my own high standards of performance.</t>
        </is>
      </c>
      <c r="C50" s="24" t="inlineStr">
        <is>
          <t>Discrepancy</t>
        </is>
      </c>
      <c r="D50" s="24" t="inlineStr">
        <is>
          <t>FALSE</t>
        </is>
      </c>
      <c r="E50" s="24" t="inlineStr">
        <is>
          <t>FALSE</t>
        </is>
      </c>
      <c r="F50" s="24" t="n"/>
      <c r="G50" s="24" t="inlineStr">
        <is>
          <t>Strongly Disagree = 1 | Disagree = 2 | Slightly Disagree = 3 | Neutral = 4 | Slightly Agree = 5 | Agree = 6 | Strongly Agree = 7</t>
        </is>
      </c>
    </row>
    <row r="51">
      <c r="A51" s="24" t="n">
        <v>20</v>
      </c>
      <c r="B51" s="24" t="inlineStr">
        <is>
          <t>I am hardly ever satisfied with my performance.</t>
        </is>
      </c>
      <c r="C51" s="24" t="inlineStr">
        <is>
          <t>Discrepancy</t>
        </is>
      </c>
      <c r="D51" s="24" t="inlineStr">
        <is>
          <t>FALSE</t>
        </is>
      </c>
      <c r="E51" s="24" t="inlineStr">
        <is>
          <t>FALSE</t>
        </is>
      </c>
      <c r="F51" s="24" t="n"/>
      <c r="G51" s="24" t="inlineStr">
        <is>
          <t>Strongly Disagree = 1 | Disagree = 2 | Slightly Disagree = 3 | Neutral = 4 | Slightly Agree = 5 | Agree = 6 | Strongly Agree = 7</t>
        </is>
      </c>
    </row>
    <row r="52">
      <c r="A52" s="24" t="n">
        <v>21</v>
      </c>
      <c r="B52" s="24" t="inlineStr">
        <is>
          <t>I hardly ever feel that what I’ve done is good enough.</t>
        </is>
      </c>
      <c r="C52" s="24" t="inlineStr">
        <is>
          <t>Discrepancy</t>
        </is>
      </c>
      <c r="D52" s="24" t="inlineStr">
        <is>
          <t>FALSE</t>
        </is>
      </c>
      <c r="E52" s="24" t="inlineStr">
        <is>
          <t>FALSE</t>
        </is>
      </c>
      <c r="F52" s="24" t="n"/>
      <c r="G52" s="24" t="inlineStr">
        <is>
          <t>Strongly Disagree = 1 | Disagree = 2 | Slightly Disagree = 3 | Neutral = 4 | Slightly Agree = 5 | Agree = 6 | Strongly Agree = 7</t>
        </is>
      </c>
    </row>
    <row r="53">
      <c r="A53" s="24" t="n">
        <v>22</v>
      </c>
      <c r="B53" s="24" t="inlineStr">
        <is>
          <t>I have a strong need to strive for excellence.</t>
        </is>
      </c>
      <c r="C53" s="24" t="inlineStr">
        <is>
          <t>Standards</t>
        </is>
      </c>
      <c r="D53" s="24" t="inlineStr">
        <is>
          <t>FALSE</t>
        </is>
      </c>
      <c r="E53" s="24" t="inlineStr">
        <is>
          <t>FALSE</t>
        </is>
      </c>
      <c r="F53" s="24" t="n"/>
      <c r="G53" s="24" t="inlineStr">
        <is>
          <t>Strongly Disagree = 1 | Disagree = 2 | Slightly Disagree = 3 | Neutral = 4 | Slightly Agree = 5 | Agree = 6 | Strongly Agree = 7</t>
        </is>
      </c>
    </row>
    <row r="54">
      <c r="A54" s="24" t="n">
        <v>23</v>
      </c>
      <c r="B54" s="24" t="inlineStr">
        <is>
          <t>I often feel disappointment after completing a task because I know I could have done better.</t>
        </is>
      </c>
      <c r="C54" s="24" t="inlineStr">
        <is>
          <t>Discrepancy</t>
        </is>
      </c>
      <c r="D54" s="24" t="inlineStr">
        <is>
          <t>FALSE</t>
        </is>
      </c>
      <c r="E54" s="24" t="inlineStr">
        <is>
          <t>FALSE</t>
        </is>
      </c>
      <c r="F54" s="24" t="n"/>
      <c r="G54" s="24" t="inlineStr">
        <is>
          <t>Strongly Disagree = 1 | Disagree = 2 | Slightly Disagree = 3 | Neutral = 4 | Slightly Agree = 5 | Agree = 6 | Strongly Agree = 7</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AUDIT Consumption</t>
        </is>
      </c>
    </row>
    <row r="3">
      <c r="A3" s="37" t="inlineStr">
        <is>
          <t>Instrument</t>
        </is>
      </c>
      <c r="B3" s="24" t="inlineStr">
        <is>
          <t>AUDIT Consumption</t>
        </is>
      </c>
      <c r="C3" s="24" t="n"/>
      <c r="D3" s="24" t="n"/>
      <c r="E3" s="24" t="n"/>
      <c r="F3" s="24" t="n"/>
      <c r="G3" s="24" t="n"/>
    </row>
    <row r="4">
      <c r="A4" s="37" t="inlineStr">
        <is>
          <t>Code</t>
        </is>
      </c>
      <c r="B4" s="24" t="inlineStr">
        <is>
          <t>AUDIT-C</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Brief screen for hazardous drinking using the 3 AUDIT alcohol consumption items.</t>
        </is>
      </c>
      <c r="C7" s="24" t="n"/>
      <c r="D7" s="24" t="n"/>
      <c r="E7" s="24" t="n"/>
      <c r="F7" s="24" t="n"/>
      <c r="G7" s="24" t="n"/>
    </row>
    <row r="8">
      <c r="A8" s="37" t="inlineStr">
        <is>
          <t>Respondent</t>
        </is>
      </c>
      <c r="B8" s="24" t="inlineStr">
        <is>
          <t>Self report or clinician administered</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3</v>
      </c>
      <c r="C10" s="24" t="n"/>
      <c r="D10" s="24" t="n"/>
      <c r="E10" s="24" t="n"/>
      <c r="F10" s="24" t="n"/>
      <c r="G10" s="24" t="n"/>
    </row>
    <row r="11">
      <c r="A11" s="37" t="inlineStr">
        <is>
          <t>Items reproduced here</t>
        </is>
      </c>
      <c r="B11" s="24" t="n">
        <v>3</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t>
        </is>
      </c>
      <c r="C13" s="24" t="n"/>
      <c r="D13" s="24" t="n"/>
      <c r="E13" s="24" t="n"/>
      <c r="F13" s="24" t="n"/>
      <c r="G13" s="24" t="n"/>
    </row>
    <row r="14">
      <c r="A14" s="37" t="inlineStr">
        <is>
          <t>Coaching application</t>
        </is>
      </c>
      <c r="B14" s="24" t="inlineStr">
        <is>
          <t>Ideal intake screen; positive screens proceed to the full AUDIT</t>
        </is>
      </c>
      <c r="C14" s="24" t="n"/>
      <c r="D14" s="24" t="n"/>
      <c r="E14" s="24" t="n"/>
      <c r="F14" s="24" t="n"/>
      <c r="G14" s="24" t="n"/>
    </row>
    <row r="15">
      <c r="A15" s="37" t="inlineStr">
        <is>
          <t>Purpose</t>
        </is>
      </c>
      <c r="B15" s="24" t="inlineStr">
        <is>
          <t>Brief screen for hazardous drinking using the 3 AUDIT alcohol consumption items.</t>
        </is>
      </c>
      <c r="C15" s="24" t="n"/>
      <c r="D15" s="24" t="n"/>
      <c r="E15" s="24" t="n"/>
      <c r="F15" s="24" t="n"/>
      <c r="G15" s="24" t="n"/>
    </row>
    <row r="16">
      <c r="A16" s="37" t="inlineStr">
        <is>
          <t>Instructions / prompt</t>
        </is>
      </c>
      <c r="B16" s="24" t="inlineStr">
        <is>
          <t>Please circle the answer that is correct for you.</t>
        </is>
      </c>
      <c r="C16" s="24" t="n"/>
      <c r="D16" s="24" t="n"/>
      <c r="E16" s="24" t="n"/>
      <c r="F16" s="24" t="n"/>
      <c r="G16" s="24" t="n"/>
    </row>
    <row r="17">
      <c r="A17" s="37" t="inlineStr">
        <is>
          <t>Response options</t>
        </is>
      </c>
      <c r="B17" s="24" t="inlineStr">
        <is>
          <t>Never = 0 | Monthly or less = 1 | 2 to 4 times a month = 2 | 2 to 3 times a week = 3 | 4 or more times a week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3 item scores (0 to 12); higher scores indicate heavier consumption. Bush et al. (1998) and the AHRQ sheet: a score of 4 or more identifies 86 percent of men who report drinking above recommended levels or meet criteria for alcohol use disorders, and a score of 3 or more identifies 84 percent of women who report hazardous drinking or alcohol use disorders (US primary care). A threshold of 5 or more is commonly used in NZ and UK settings. In the full AUDIT a total of 0 on items 2 and 3 allows skipping to items 9 and 10. Positive screens proceed to the full 10 item AUDIT.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Bush, K., Kivlahan, D. R., McDonell, M. B., Fihn, S. D., &amp; Bradley, K. A. (1998). The AUDIT alcohol consumption questions (AUDIT-C): An effective brief screening test for problem drinking. Archives of Internal Medicine, 158(16), 1789–1795. https://doi.org/10.1001/archinte.158.16.1789</t>
        </is>
      </c>
      <c r="C25" s="24" t="n"/>
      <c r="D25" s="24" t="n"/>
      <c r="E25" s="24" t="n"/>
      <c r="F25" s="24" t="n"/>
      <c r="G25" s="24" t="n"/>
    </row>
    <row r="26">
      <c r="A26" s="37" t="inlineStr">
        <is>
          <t>Copyright and licensing</t>
        </is>
      </c>
      <c r="B26" s="24" t="inlineStr">
        <is>
          <t>"AUDIT-C is available for use in the public domain." (SAMHSA tool sheet, quoted by CamCOPS and reproduced on the deploymentpsych.org and ANTHC forms). The parent WHO AUDIT document "may, however, be freely reviewed, abstracted, reproduced, and translated, in part or in whole, but not for sale or for use in conjunction with commercial purposes." Source: https://camcops.readthedocs.io/en/latest/tasks/audit.html</t>
        </is>
      </c>
      <c r="C26" s="24" t="n"/>
      <c r="D26" s="24" t="n"/>
      <c r="E26" s="24" t="n"/>
      <c r="F26" s="24" t="n"/>
      <c r="G26" s="24" t="n"/>
    </row>
    <row r="27">
      <c r="A27" s="37" t="inlineStr">
        <is>
          <t>Source URL</t>
        </is>
      </c>
      <c r="B27" s="24" t="inlineStr">
        <is>
          <t>https://integrationacademy.ahrq.gov/sites/default/files/2020-07/AUDIT-C.pdf</t>
        </is>
      </c>
      <c r="C27" s="24" t="n"/>
      <c r="D27" s="24" t="n"/>
      <c r="E27" s="24" t="n"/>
      <c r="F27" s="24" t="n"/>
      <c r="G27" s="24" t="n"/>
    </row>
    <row r="28">
      <c r="A28" s="37" t="inlineStr">
        <is>
          <t>Transcription note</t>
        </is>
      </c>
      <c r="B28" s="24" t="inlineStr">
        <is>
          <t>The WHO AUDIT manual PDF (itemsUrl, iris.who.int and apps.who.int) could not be fetched, so item text was transcribed from the AHRQ Academy AUDIT-C sheet, whose questions 1 and 2 match the WHO manual wording; response options for question 3 follow the WHO wording as reproduced in the NIH reprint of the WHO questionnaire (uspreventiveservicestaskforce.org, GetFileByID/221) and the ANTHC and deploymentpsych.org forms, because the AHRQ copy prints non standard labels for options 3 and 4 of question 3. The AHRQ sheet writes the scoring thresholds as "&gt; 4" for men and "&gt; 2" for women, which other sources render as 4 or more and 3 or more. Copies differ in minor wording (standard drinks vs drinks; 2-4 times a month vs Two to four times a month; six vs five drinks in US adaptations; past year framing on the ANTHC form); differences are recorded in the item notes. The responseOptions field combines the 3 item specific option sets by scored value.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have a drink containing alcohol?</t>
        </is>
      </c>
      <c r="C32" s="24" t="inlineStr">
        <is>
          <t>Total</t>
        </is>
      </c>
      <c r="D32" s="24" t="inlineStr">
        <is>
          <t>FALSE</t>
        </is>
      </c>
      <c r="E32" s="24" t="inlineStr">
        <is>
          <t>FALSE</t>
        </is>
      </c>
      <c r="F32" s="24" t="inlineStr">
        <is>
          <t>Options: Never (0), Monthly or less (1), Two to four times a month (2), Two to three times per week (3), Four or more times a week (4). WHO form prints these as 2 to 4 times a month, 2 to 3 times a week, 4 or more times a week.</t>
        </is>
      </c>
      <c r="G32" s="24" t="inlineStr">
        <is>
          <t>Never = 0 | Monthly or less = 1 | 2 to 4 times a month = 2 | 2 to 3 times a week = 3 | 4 or more times a week = 4</t>
        </is>
      </c>
    </row>
    <row r="33">
      <c r="A33" s="24" t="n">
        <v>2</v>
      </c>
      <c r="B33" s="24" t="inlineStr">
        <is>
          <t>How many drinks containing alcohol do you have on a typical day when you are drinking?</t>
        </is>
      </c>
      <c r="C33" s="24" t="inlineStr">
        <is>
          <t>Total</t>
        </is>
      </c>
      <c r="D33" s="24" t="inlineStr">
        <is>
          <t>FALSE</t>
        </is>
      </c>
      <c r="E33" s="24" t="inlineStr">
        <is>
          <t>FALSE</t>
        </is>
      </c>
      <c r="F33" s="24" t="inlineStr">
        <is>
          <t>Options: 1 or 2 (0), 3 or 4 (1), 5 or 6 (2), 7 to 9 (3), 10 or more (4). Some forms say standard drinks.</t>
        </is>
      </c>
      <c r="G33" s="24" t="inlineStr">
        <is>
          <t>1 or 2 = 0 | 3 or 4 = 1 | 5 or 6 = 2 | 7 to 9 = 3 | 10 or more = 4</t>
        </is>
      </c>
    </row>
    <row r="34">
      <c r="A34" s="24" t="n">
        <v>3</v>
      </c>
      <c r="B34" s="24" t="inlineStr">
        <is>
          <t>How often do you have six or more drinks on one occasion?</t>
        </is>
      </c>
      <c r="C34" s="24" t="inlineStr">
        <is>
          <t>Total</t>
        </is>
      </c>
      <c r="D34" s="24" t="inlineStr">
        <is>
          <t>FALSE</t>
        </is>
      </c>
      <c r="E34" s="24" t="inlineStr">
        <is>
          <t>FALSE</t>
        </is>
      </c>
      <c r="F34" s="24" t="inlineStr">
        <is>
          <t>Options (WHO wording): Never (0), Less than monthly (1), Monthly (2), Weekly (3), Daily or almost daily (4). The AHRQ copy prints Two to three times per week and Four or more times a week for options 3 and 4 instead; US adaptations change six to five drinks.</t>
        </is>
      </c>
      <c r="G34" s="24" t="inlineStr">
        <is>
          <t>Never = 0 | Less than monthly = 1 | Monthly = 2 | Weekly = 3 | Daily or almost daily = 4</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Barratt Impulsiveness Scale, version 11</t>
        </is>
      </c>
    </row>
    <row r="3">
      <c r="A3" s="37" t="inlineStr">
        <is>
          <t>Instrument</t>
        </is>
      </c>
      <c r="B3" s="24" t="inlineStr">
        <is>
          <t>Barratt Impulsiveness Scale, version 11</t>
        </is>
      </c>
      <c r="C3" s="24" t="n"/>
      <c r="D3" s="24" t="n"/>
      <c r="E3" s="24" t="n"/>
      <c r="F3" s="24" t="n"/>
      <c r="G3" s="24" t="n"/>
    </row>
    <row r="4">
      <c r="A4" s="37" t="inlineStr">
        <is>
          <t>Code</t>
        </is>
      </c>
      <c r="B4" s="24" t="inlineStr">
        <is>
          <t>BIS-11</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Trait impulsiveness across attentional, motor and non planning domains.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30</v>
      </c>
      <c r="C10" s="24" t="n"/>
      <c r="D10" s="24" t="n"/>
      <c r="E10" s="24" t="n"/>
      <c r="F10" s="24" t="n"/>
      <c r="G10" s="24" t="n"/>
    </row>
    <row r="11">
      <c r="A11" s="37" t="inlineStr">
        <is>
          <t>Items reproduced here</t>
        </is>
      </c>
      <c r="B11" s="24" t="n">
        <v>30</v>
      </c>
      <c r="C11" s="24" t="n"/>
      <c r="D11" s="24" t="n"/>
      <c r="E11" s="24" t="n"/>
      <c r="F11" s="24" t="n"/>
      <c r="G11" s="24" t="n"/>
    </row>
    <row r="12">
      <c r="A12" s="37" t="inlineStr">
        <is>
          <t>Administration time</t>
        </is>
      </c>
      <c r="B12" s="24" t="inlineStr">
        <is>
          <t>10 minutes</t>
        </is>
      </c>
      <c r="C12" s="24" t="n"/>
      <c r="D12" s="24" t="n"/>
      <c r="E12" s="24" t="n"/>
      <c r="F12" s="24" t="n"/>
      <c r="G12" s="24" t="n"/>
    </row>
    <row r="13">
      <c r="A13" s="37" t="inlineStr">
        <is>
          <t>Cost and access</t>
        </is>
      </c>
      <c r="B13" s="24"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t>
        </is>
      </c>
      <c r="C13" s="24" t="n"/>
      <c r="D13" s="24" t="n"/>
      <c r="E13" s="24" t="n"/>
      <c r="F13" s="24" t="n"/>
      <c r="G13" s="24" t="n"/>
    </row>
    <row r="14">
      <c r="A14" s="37" t="inlineStr">
        <is>
          <t>Coaching application</t>
        </is>
      </c>
      <c r="B14" s="24" t="inlineStr">
        <is>
          <t>Established norms and cut offs make it a solid baseline for impulsivity, though item tone is clinical rather than coaching oriented.</t>
        </is>
      </c>
      <c r="C14" s="24" t="n"/>
      <c r="D14" s="24" t="n"/>
      <c r="E14" s="24" t="n"/>
      <c r="F14" s="24" t="n"/>
      <c r="G14" s="24" t="n"/>
    </row>
    <row r="15">
      <c r="A15" s="37" t="inlineStr">
        <is>
          <t>Purpose</t>
        </is>
      </c>
      <c r="B15" s="24" t="inlineStr">
        <is>
          <t>Trait impulsiveness across attentional, motor and non planning domains.</t>
        </is>
      </c>
      <c r="C15" s="24" t="n"/>
      <c r="D15" s="24" t="n"/>
      <c r="E15" s="24" t="n"/>
      <c r="F15" s="24" t="n"/>
      <c r="G15" s="24" t="n"/>
    </row>
    <row r="16">
      <c r="A16" s="37" t="inlineStr">
        <is>
          <t>Instructions / prompt</t>
        </is>
      </c>
      <c r="B16" s="24" t="inlineStr">
        <is>
          <t>People differ in the ways they act and think in different situations. This is a test to measure some of the ways in which you act and think. Read each statement and select how often this applies to you. Do not spend too much time on any statement. Answer quickly and honestly.</t>
        </is>
      </c>
      <c r="C16" s="24" t="n"/>
      <c r="D16" s="24" t="n"/>
      <c r="E16" s="24" t="n"/>
      <c r="F16" s="24" t="n"/>
      <c r="G16" s="24" t="n"/>
    </row>
    <row r="17">
      <c r="A17" s="37" t="inlineStr">
        <is>
          <t>Response options</t>
        </is>
      </c>
      <c r="B17" s="24" t="inlineStr">
        <is>
          <t>Rarely/Never = 1 | Occasionally = 2 | Often = 3 | Almost Always/Always = 4</t>
        </is>
      </c>
      <c r="C17" s="24" t="n"/>
      <c r="D17" s="24" t="n"/>
      <c r="E17" s="24" t="n"/>
      <c r="F17" s="24" t="n"/>
      <c r="G17" s="24" t="n"/>
    </row>
    <row r="18">
      <c r="A18" s="37" t="inlineStr">
        <is>
          <t>Reverse-scored items</t>
        </is>
      </c>
      <c r="B18" s="24" t="inlineStr">
        <is>
          <t>1, 7, 8, 9, 10, 12, 13, 15, 20, 29, 30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(Rarely/Never) to 4 (Almost Always/Always). Reverse score items 1, 7, 8, 9, 10, 12, 13, 15, 20, 29 and 30 (4 becomes 1, 3 becomes 2, 2 becomes 3, 1 becomes 4). Sum all items for a total of 30 to 120; sum the item sets above for the 6 first order and 3 second order factor scores. Higher scores indicate greater impulsiveness. Stanford et al. (2009) describe total scores of 72 and above as highly impulsive, 52 to 71 as within normal limits, and below 52 as over controlled or possibly invalid responding (the impulsivity.org page refers to Stanford et al. 2009 but does not itself print the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Patton, J. H., Stanford, M. S., &amp; Barratt, E. S. (1995). Factor structure of the Barratt Impulsiveness Scale. Journal of Clinical Psychology, 51(6), 768-774. https://doi.org/10.1002/1097-4679(199511)51:6&lt;768::AID-JCLP2270510607&gt;3.0.CO;2-1</t>
        </is>
      </c>
      <c r="C25" s="24" t="n"/>
      <c r="D25" s="24" t="n"/>
      <c r="E25" s="24" t="n"/>
      <c r="F25" s="24" t="n"/>
      <c r="G25" s="24" t="n"/>
    </row>
    <row r="26">
      <c r="A26" s="37" t="inlineStr">
        <is>
          <t>Copyright and licensing</t>
        </is>
      </c>
      <c r="B26" s="24" t="inlineStr">
        <is>
          <t>Secondary sources state: "The BIS-11 is distributed free of charge for research and clinical use with proper attribution to the original authors." Shirley Ryan AbilityLab lists cost as free. No publisher licence applies. Note that the official scale page (impulsivity.org) carries the footer "Copyright International Society for Research on Impulsivity and it's licensor's. All Rights Reserved." and directs clinical or research users to contact Dr Matthew S. Stanford; it does not print an explicit grant of permission. Source: https://www.testable.org/scale/bis-11-barratt-impulsiveness-scale</t>
        </is>
      </c>
      <c r="C26" s="24" t="n"/>
      <c r="D26" s="24" t="n"/>
      <c r="E26" s="24" t="n"/>
      <c r="F26" s="24" t="n"/>
      <c r="G26" s="24" t="n"/>
    </row>
    <row r="27">
      <c r="A27" s="37" t="inlineStr">
        <is>
          <t>Source URL</t>
        </is>
      </c>
      <c r="B27" s="24" t="inlineStr">
        <is>
          <t>https://psytoolkit.org/survey-library/impulsiveness-barratt.html</t>
        </is>
      </c>
      <c r="C27" s="24" t="n"/>
      <c r="D27" s="24" t="n"/>
      <c r="E27" s="24" t="n"/>
      <c r="F27" s="24" t="n"/>
      <c r="G27" s="24" t="n"/>
    </row>
    <row r="28">
      <c r="A28" s="37" t="inlineStr">
        <is>
          <t>Transcription note</t>
        </is>
      </c>
      <c r="B28" s="24" t="inlineStr">
        <is>
          <t>The NIDA Data Share page (itemsUrl) carries only a summary and no items, so the item text was transcribed from the PsyToolkit survey library page, which reproduces the BIS-11 for online use and marks the 11 reverse scored items. Factor membership and the 1 to 4 response values were taken from the official scale page https://www.impulsivity.org/measurement/bis11 (which links the English PDF at https://www.impulsivity.org/files/wp-content/uploads/2021/09/bis11english.pdf; that PDF was not fetched). PsyToolkit prints the response labels without numeric values; the 30 to 120 range and the impulsivity.org page confirm 1 to 4. Punctuation of items 5 and 17 (closing quotation marks around a full stop) follows the PsyToolkit rendering; items 3 and 8 retain the source spelling "make-up" and "self controlled". US spelling (theater) retained. The Stanford et al. (2009) cut offs are carried from the target record and were not verified against the article in this pass. Second pass: item 17 punctuation, full instructions and the factor name Nonplanning corrected to match the sources.</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plan tasks carefully.</t>
        </is>
      </c>
      <c r="C32" s="24" t="inlineStr">
        <is>
          <t>Self-Control</t>
        </is>
      </c>
      <c r="D32" s="24" t="inlineStr">
        <is>
          <t>TRUE</t>
        </is>
      </c>
      <c r="E32" s="24" t="inlineStr">
        <is>
          <t>FALSE</t>
        </is>
      </c>
      <c r="F32" s="24" t="inlineStr">
        <is>
          <t>Second order factor: Nonplanning</t>
        </is>
      </c>
      <c r="G32" s="24" t="inlineStr">
        <is>
          <t>Rarely/Never = 1 | Occasionally = 2 | Often = 3 | Almost Always/Always = 4</t>
        </is>
      </c>
    </row>
    <row r="33">
      <c r="A33" s="24" t="n">
        <v>2</v>
      </c>
      <c r="B33" s="24" t="inlineStr">
        <is>
          <t>I do things without thinking.</t>
        </is>
      </c>
      <c r="C33" s="24" t="inlineStr">
        <is>
          <t>Motor</t>
        </is>
      </c>
      <c r="D33" s="24" t="inlineStr">
        <is>
          <t>FALSE</t>
        </is>
      </c>
      <c r="E33" s="24" t="inlineStr">
        <is>
          <t>FALSE</t>
        </is>
      </c>
      <c r="F33" s="24" t="inlineStr">
        <is>
          <t>Second order factor: Motor</t>
        </is>
      </c>
      <c r="G33" s="24" t="inlineStr">
        <is>
          <t>Rarely/Never = 1 | Occasionally = 2 | Often = 3 | Almost Always/Always = 4</t>
        </is>
      </c>
    </row>
    <row r="34">
      <c r="A34" s="24" t="n">
        <v>3</v>
      </c>
      <c r="B34" s="24" t="inlineStr">
        <is>
          <t>I make-up my mind quickly.</t>
        </is>
      </c>
      <c r="C34" s="24" t="inlineStr">
        <is>
          <t>Motor</t>
        </is>
      </c>
      <c r="D34" s="24" t="inlineStr">
        <is>
          <t>FALSE</t>
        </is>
      </c>
      <c r="E34" s="24" t="inlineStr">
        <is>
          <t>FALSE</t>
        </is>
      </c>
      <c r="F34" s="24" t="inlineStr">
        <is>
          <t>Second order factor: Motor</t>
        </is>
      </c>
      <c r="G34" s="24" t="inlineStr">
        <is>
          <t>Rarely/Never = 1 | Occasionally = 2 | Often = 3 | Almost Always/Always = 4</t>
        </is>
      </c>
    </row>
    <row r="35">
      <c r="A35" s="24" t="n">
        <v>4</v>
      </c>
      <c r="B35" s="24" t="inlineStr">
        <is>
          <t>I am happy-go-lucky.</t>
        </is>
      </c>
      <c r="C35" s="24" t="inlineStr">
        <is>
          <t>Motor</t>
        </is>
      </c>
      <c r="D35" s="24" t="inlineStr">
        <is>
          <t>FALSE</t>
        </is>
      </c>
      <c r="E35" s="24" t="inlineStr">
        <is>
          <t>FALSE</t>
        </is>
      </c>
      <c r="F35" s="24" t="inlineStr">
        <is>
          <t>Second order factor: Motor</t>
        </is>
      </c>
      <c r="G35" s="24" t="inlineStr">
        <is>
          <t>Rarely/Never = 1 | Occasionally = 2 | Often = 3 | Almost Always/Always = 4</t>
        </is>
      </c>
    </row>
    <row r="36">
      <c r="A36" s="24" t="n">
        <v>5</v>
      </c>
      <c r="B36" s="24" t="inlineStr">
        <is>
          <t>I don't "pay attention."</t>
        </is>
      </c>
      <c r="C36" s="24" t="inlineStr">
        <is>
          <t>Attention</t>
        </is>
      </c>
      <c r="D36" s="24" t="inlineStr">
        <is>
          <t>FALSE</t>
        </is>
      </c>
      <c r="E36" s="24" t="inlineStr">
        <is>
          <t>FALSE</t>
        </is>
      </c>
      <c r="F36" s="24" t="inlineStr">
        <is>
          <t>Second order factor: Attentional</t>
        </is>
      </c>
      <c r="G36" s="24" t="inlineStr">
        <is>
          <t>Rarely/Never = 1 | Occasionally = 2 | Often = 3 | Almost Always/Always = 4</t>
        </is>
      </c>
    </row>
    <row r="37">
      <c r="A37" s="24" t="n">
        <v>6</v>
      </c>
      <c r="B37" s="24" t="inlineStr">
        <is>
          <t>I have "racing" thoughts.</t>
        </is>
      </c>
      <c r="C37" s="24" t="inlineStr">
        <is>
          <t>Cognitive Instability</t>
        </is>
      </c>
      <c r="D37" s="24" t="inlineStr">
        <is>
          <t>FALSE</t>
        </is>
      </c>
      <c r="E37" s="24" t="inlineStr">
        <is>
          <t>FALSE</t>
        </is>
      </c>
      <c r="F37" s="24" t="inlineStr">
        <is>
          <t>Second order factor: Attentional</t>
        </is>
      </c>
      <c r="G37" s="24" t="inlineStr">
        <is>
          <t>Rarely/Never = 1 | Occasionally = 2 | Often = 3 | Almost Always/Always = 4</t>
        </is>
      </c>
    </row>
    <row r="38">
      <c r="A38" s="24" t="n">
        <v>7</v>
      </c>
      <c r="B38" s="24" t="inlineStr">
        <is>
          <t>I plan trips well ahead of time.</t>
        </is>
      </c>
      <c r="C38" s="24" t="inlineStr">
        <is>
          <t>Self-Control</t>
        </is>
      </c>
      <c r="D38" s="24" t="inlineStr">
        <is>
          <t>TRUE</t>
        </is>
      </c>
      <c r="E38" s="24" t="inlineStr">
        <is>
          <t>FALSE</t>
        </is>
      </c>
      <c r="F38" s="24" t="inlineStr">
        <is>
          <t>Second order factor: Nonplanning</t>
        </is>
      </c>
      <c r="G38" s="24" t="inlineStr">
        <is>
          <t>Rarely/Never = 1 | Occasionally = 2 | Often = 3 | Almost Always/Always = 4</t>
        </is>
      </c>
    </row>
    <row r="39">
      <c r="A39" s="24" t="n">
        <v>8</v>
      </c>
      <c r="B39" s="24" t="inlineStr">
        <is>
          <t>I am self controlled.</t>
        </is>
      </c>
      <c r="C39" s="24" t="inlineStr">
        <is>
          <t>Self-Control</t>
        </is>
      </c>
      <c r="D39" s="24" t="inlineStr">
        <is>
          <t>TRUE</t>
        </is>
      </c>
      <c r="E39" s="24" t="inlineStr">
        <is>
          <t>FALSE</t>
        </is>
      </c>
      <c r="F39" s="24" t="inlineStr">
        <is>
          <t>Second order factor: Nonplanning</t>
        </is>
      </c>
      <c r="G39" s="24" t="inlineStr">
        <is>
          <t>Rarely/Never = 1 | Occasionally = 2 | Often = 3 | Almost Always/Always = 4</t>
        </is>
      </c>
    </row>
    <row r="40">
      <c r="A40" s="24" t="n">
        <v>9</v>
      </c>
      <c r="B40" s="24" t="inlineStr">
        <is>
          <t>I concentrate easily.</t>
        </is>
      </c>
      <c r="C40" s="24" t="inlineStr">
        <is>
          <t>Attention</t>
        </is>
      </c>
      <c r="D40" s="24" t="inlineStr">
        <is>
          <t>TRUE</t>
        </is>
      </c>
      <c r="E40" s="24" t="inlineStr">
        <is>
          <t>FALSE</t>
        </is>
      </c>
      <c r="F40" s="24" t="inlineStr">
        <is>
          <t>Second order factor: Attentional</t>
        </is>
      </c>
      <c r="G40" s="24" t="inlineStr">
        <is>
          <t>Rarely/Never = 1 | Occasionally = 2 | Often = 3 | Almost Always/Always = 4</t>
        </is>
      </c>
    </row>
    <row r="41">
      <c r="A41" s="24" t="n">
        <v>10</v>
      </c>
      <c r="B41" s="24" t="inlineStr">
        <is>
          <t>I save regularly.</t>
        </is>
      </c>
      <c r="C41" s="24" t="inlineStr">
        <is>
          <t>Cognitive Complexity</t>
        </is>
      </c>
      <c r="D41" s="24" t="inlineStr">
        <is>
          <t>TRUE</t>
        </is>
      </c>
      <c r="E41" s="24" t="inlineStr">
        <is>
          <t>FALSE</t>
        </is>
      </c>
      <c r="F41" s="24" t="inlineStr">
        <is>
          <t>Second order factor: Nonplanning</t>
        </is>
      </c>
      <c r="G41" s="24" t="inlineStr">
        <is>
          <t>Rarely/Never = 1 | Occasionally = 2 | Often = 3 | Almost Always/Always = 4</t>
        </is>
      </c>
    </row>
    <row r="42">
      <c r="A42" s="24" t="n">
        <v>11</v>
      </c>
      <c r="B42" s="24" t="inlineStr">
        <is>
          <t>I "squirm" at plays or lectures.</t>
        </is>
      </c>
      <c r="C42" s="24" t="inlineStr">
        <is>
          <t>Attention</t>
        </is>
      </c>
      <c r="D42" s="24" t="inlineStr">
        <is>
          <t>FALSE</t>
        </is>
      </c>
      <c r="E42" s="24" t="inlineStr">
        <is>
          <t>FALSE</t>
        </is>
      </c>
      <c r="F42" s="24" t="inlineStr">
        <is>
          <t>Second order factor: Attentional</t>
        </is>
      </c>
      <c r="G42" s="24" t="inlineStr">
        <is>
          <t>Rarely/Never = 1 | Occasionally = 2 | Often = 3 | Almost Always/Always = 4</t>
        </is>
      </c>
    </row>
    <row r="43">
      <c r="A43" s="24" t="n">
        <v>12</v>
      </c>
      <c r="B43" s="24" t="inlineStr">
        <is>
          <t>I am a careful thinker.</t>
        </is>
      </c>
      <c r="C43" s="24" t="inlineStr">
        <is>
          <t>Self-Control</t>
        </is>
      </c>
      <c r="D43" s="24" t="inlineStr">
        <is>
          <t>TRUE</t>
        </is>
      </c>
      <c r="E43" s="24" t="inlineStr">
        <is>
          <t>FALSE</t>
        </is>
      </c>
      <c r="F43" s="24" t="inlineStr">
        <is>
          <t>Second order factor: Nonplanning</t>
        </is>
      </c>
      <c r="G43" s="24" t="inlineStr">
        <is>
          <t>Rarely/Never = 1 | Occasionally = 2 | Often = 3 | Almost Always/Always = 4</t>
        </is>
      </c>
    </row>
    <row r="44">
      <c r="A44" s="24" t="n">
        <v>13</v>
      </c>
      <c r="B44" s="24" t="inlineStr">
        <is>
          <t>I plan for job security.</t>
        </is>
      </c>
      <c r="C44" s="24" t="inlineStr">
        <is>
          <t>Self-Control</t>
        </is>
      </c>
      <c r="D44" s="24" t="inlineStr">
        <is>
          <t>TRUE</t>
        </is>
      </c>
      <c r="E44" s="24" t="inlineStr">
        <is>
          <t>FALSE</t>
        </is>
      </c>
      <c r="F44" s="24" t="inlineStr">
        <is>
          <t>Second order factor: Nonplanning</t>
        </is>
      </c>
      <c r="G44" s="24" t="inlineStr">
        <is>
          <t>Rarely/Never = 1 | Occasionally = 2 | Often = 3 | Almost Always/Always = 4</t>
        </is>
      </c>
    </row>
    <row r="45">
      <c r="A45" s="24" t="n">
        <v>14</v>
      </c>
      <c r="B45" s="24" t="inlineStr">
        <is>
          <t>I say things without thinking.</t>
        </is>
      </c>
      <c r="C45" s="24" t="inlineStr">
        <is>
          <t>Self-Control</t>
        </is>
      </c>
      <c r="D45" s="24" t="inlineStr">
        <is>
          <t>FALSE</t>
        </is>
      </c>
      <c r="E45" s="24" t="inlineStr">
        <is>
          <t>FALSE</t>
        </is>
      </c>
      <c r="F45" s="24" t="inlineStr">
        <is>
          <t>Second order factor: Nonplanning</t>
        </is>
      </c>
      <c r="G45" s="24" t="inlineStr">
        <is>
          <t>Rarely/Never = 1 | Occasionally = 2 | Often = 3 | Almost Always/Always = 4</t>
        </is>
      </c>
    </row>
    <row r="46">
      <c r="A46" s="24" t="n">
        <v>15</v>
      </c>
      <c r="B46" s="24" t="inlineStr">
        <is>
          <t>I like to think about complex problems.</t>
        </is>
      </c>
      <c r="C46" s="24" t="inlineStr">
        <is>
          <t>Cognitive Complexity</t>
        </is>
      </c>
      <c r="D46" s="24" t="inlineStr">
        <is>
          <t>TRUE</t>
        </is>
      </c>
      <c r="E46" s="24" t="inlineStr">
        <is>
          <t>FALSE</t>
        </is>
      </c>
      <c r="F46" s="24" t="inlineStr">
        <is>
          <t>Second order factor: Nonplanning</t>
        </is>
      </c>
      <c r="G46" s="24" t="inlineStr">
        <is>
          <t>Rarely/Never = 1 | Occasionally = 2 | Often = 3 | Almost Always/Always = 4</t>
        </is>
      </c>
    </row>
    <row r="47">
      <c r="A47" s="24" t="n">
        <v>16</v>
      </c>
      <c r="B47" s="24" t="inlineStr">
        <is>
          <t>I change jobs.</t>
        </is>
      </c>
      <c r="C47" s="24" t="inlineStr">
        <is>
          <t>Perseverance</t>
        </is>
      </c>
      <c r="D47" s="24" t="inlineStr">
        <is>
          <t>FALSE</t>
        </is>
      </c>
      <c r="E47" s="24" t="inlineStr">
        <is>
          <t>FALSE</t>
        </is>
      </c>
      <c r="F47" s="24" t="inlineStr">
        <is>
          <t>Second order factor: Motor</t>
        </is>
      </c>
      <c r="G47" s="24" t="inlineStr">
        <is>
          <t>Rarely/Never = 1 | Occasionally = 2 | Often = 3 | Almost Always/Always = 4</t>
        </is>
      </c>
    </row>
    <row r="48">
      <c r="A48" s="24" t="n">
        <v>17</v>
      </c>
      <c r="B48" s="24" t="inlineStr">
        <is>
          <t>I act "on impulse".</t>
        </is>
      </c>
      <c r="C48" s="24" t="inlineStr">
        <is>
          <t>Motor</t>
        </is>
      </c>
      <c r="D48" s="24" t="inlineStr">
        <is>
          <t>FALSE</t>
        </is>
      </c>
      <c r="E48" s="24" t="inlineStr">
        <is>
          <t>FALSE</t>
        </is>
      </c>
      <c r="F48" s="24" t="inlineStr">
        <is>
          <t>Second order factor: Motor</t>
        </is>
      </c>
      <c r="G48" s="24" t="inlineStr">
        <is>
          <t>Rarely/Never = 1 | Occasionally = 2 | Often = 3 | Almost Always/Always = 4</t>
        </is>
      </c>
    </row>
    <row r="49">
      <c r="A49" s="24" t="n">
        <v>18</v>
      </c>
      <c r="B49" s="24" t="inlineStr">
        <is>
          <t>I get easily bored when solving thought problems.</t>
        </is>
      </c>
      <c r="C49" s="24" t="inlineStr">
        <is>
          <t>Cognitive Complexity</t>
        </is>
      </c>
      <c r="D49" s="24" t="inlineStr">
        <is>
          <t>FALSE</t>
        </is>
      </c>
      <c r="E49" s="24" t="inlineStr">
        <is>
          <t>FALSE</t>
        </is>
      </c>
      <c r="F49" s="24" t="inlineStr">
        <is>
          <t>Second order factor: Nonplanning</t>
        </is>
      </c>
      <c r="G49" s="24" t="inlineStr">
        <is>
          <t>Rarely/Never = 1 | Occasionally = 2 | Often = 3 | Almost Always/Always = 4</t>
        </is>
      </c>
    </row>
    <row r="50">
      <c r="A50" s="24" t="n">
        <v>19</v>
      </c>
      <c r="B50" s="24" t="inlineStr">
        <is>
          <t>I act on the spur of the moment.</t>
        </is>
      </c>
      <c r="C50" s="24" t="inlineStr">
        <is>
          <t>Motor</t>
        </is>
      </c>
      <c r="D50" s="24" t="inlineStr">
        <is>
          <t>FALSE</t>
        </is>
      </c>
      <c r="E50" s="24" t="inlineStr">
        <is>
          <t>FALSE</t>
        </is>
      </c>
      <c r="F50" s="24" t="inlineStr">
        <is>
          <t>Second order factor: Motor</t>
        </is>
      </c>
      <c r="G50" s="24" t="inlineStr">
        <is>
          <t>Rarely/Never = 1 | Occasionally = 2 | Often = 3 | Almost Always/Always = 4</t>
        </is>
      </c>
    </row>
    <row r="51">
      <c r="A51" s="24" t="n">
        <v>20</v>
      </c>
      <c r="B51" s="24" t="inlineStr">
        <is>
          <t>I am a steady thinker.</t>
        </is>
      </c>
      <c r="C51" s="24" t="inlineStr">
        <is>
          <t>Attention</t>
        </is>
      </c>
      <c r="D51" s="24" t="inlineStr">
        <is>
          <t>TRUE</t>
        </is>
      </c>
      <c r="E51" s="24" t="inlineStr">
        <is>
          <t>FALSE</t>
        </is>
      </c>
      <c r="F51" s="24" t="inlineStr">
        <is>
          <t>Second order factor: Attentional</t>
        </is>
      </c>
      <c r="G51" s="24" t="inlineStr">
        <is>
          <t>Rarely/Never = 1 | Occasionally = 2 | Often = 3 | Almost Always/Always = 4</t>
        </is>
      </c>
    </row>
    <row r="52">
      <c r="A52" s="24" t="n">
        <v>21</v>
      </c>
      <c r="B52" s="24" t="inlineStr">
        <is>
          <t>I change residences.</t>
        </is>
      </c>
      <c r="C52" s="24" t="inlineStr">
        <is>
          <t>Perseverance</t>
        </is>
      </c>
      <c r="D52" s="24" t="inlineStr">
        <is>
          <t>FALSE</t>
        </is>
      </c>
      <c r="E52" s="24" t="inlineStr">
        <is>
          <t>FALSE</t>
        </is>
      </c>
      <c r="F52" s="24" t="inlineStr">
        <is>
          <t>Second order factor: Motor</t>
        </is>
      </c>
      <c r="G52" s="24" t="inlineStr">
        <is>
          <t>Rarely/Never = 1 | Occasionally = 2 | Often = 3 | Almost Always/Always = 4</t>
        </is>
      </c>
    </row>
    <row r="53">
      <c r="A53" s="24" t="n">
        <v>22</v>
      </c>
      <c r="B53" s="24" t="inlineStr">
        <is>
          <t>I buy things on impulse.</t>
        </is>
      </c>
      <c r="C53" s="24" t="inlineStr">
        <is>
          <t>Motor</t>
        </is>
      </c>
      <c r="D53" s="24" t="inlineStr">
        <is>
          <t>FALSE</t>
        </is>
      </c>
      <c r="E53" s="24" t="inlineStr">
        <is>
          <t>FALSE</t>
        </is>
      </c>
      <c r="F53" s="24" t="inlineStr">
        <is>
          <t>Second order factor: Motor</t>
        </is>
      </c>
      <c r="G53" s="24" t="inlineStr">
        <is>
          <t>Rarely/Never = 1 | Occasionally = 2 | Often = 3 | Almost Always/Always = 4</t>
        </is>
      </c>
    </row>
    <row r="54">
      <c r="A54" s="24" t="n">
        <v>23</v>
      </c>
      <c r="B54" s="24" t="inlineStr">
        <is>
          <t>I can only think about one thing at a time.</t>
        </is>
      </c>
      <c r="C54" s="24" t="inlineStr">
        <is>
          <t>Perseverance</t>
        </is>
      </c>
      <c r="D54" s="24" t="inlineStr">
        <is>
          <t>FALSE</t>
        </is>
      </c>
      <c r="E54" s="24" t="inlineStr">
        <is>
          <t>FALSE</t>
        </is>
      </c>
      <c r="F54" s="24" t="inlineStr">
        <is>
          <t>Second order factor: Motor</t>
        </is>
      </c>
      <c r="G54" s="24" t="inlineStr">
        <is>
          <t>Rarely/Never = 1 | Occasionally = 2 | Often = 3 | Almost Always/Always = 4</t>
        </is>
      </c>
    </row>
    <row r="55">
      <c r="A55" s="24" t="n">
        <v>24</v>
      </c>
      <c r="B55" s="24" t="inlineStr">
        <is>
          <t>I change hobbies.</t>
        </is>
      </c>
      <c r="C55" s="24" t="inlineStr">
        <is>
          <t>Cognitive Instability</t>
        </is>
      </c>
      <c r="D55" s="24" t="inlineStr">
        <is>
          <t>FALSE</t>
        </is>
      </c>
      <c r="E55" s="24" t="inlineStr">
        <is>
          <t>FALSE</t>
        </is>
      </c>
      <c r="F55" s="24" t="inlineStr">
        <is>
          <t>Second order factor: Attentional</t>
        </is>
      </c>
      <c r="G55" s="24" t="inlineStr">
        <is>
          <t>Rarely/Never = 1 | Occasionally = 2 | Often = 3 | Almost Always/Always = 4</t>
        </is>
      </c>
    </row>
    <row r="56">
      <c r="A56" s="24" t="n">
        <v>25</v>
      </c>
      <c r="B56" s="24" t="inlineStr">
        <is>
          <t>I spend or charge more than I earn.</t>
        </is>
      </c>
      <c r="C56" s="24" t="inlineStr">
        <is>
          <t>Motor</t>
        </is>
      </c>
      <c r="D56" s="24" t="inlineStr">
        <is>
          <t>FALSE</t>
        </is>
      </c>
      <c r="E56" s="24" t="inlineStr">
        <is>
          <t>FALSE</t>
        </is>
      </c>
      <c r="F56" s="24" t="inlineStr">
        <is>
          <t>Second order factor: Motor</t>
        </is>
      </c>
      <c r="G56" s="24" t="inlineStr">
        <is>
          <t>Rarely/Never = 1 | Occasionally = 2 | Often = 3 | Almost Always/Always = 4</t>
        </is>
      </c>
    </row>
    <row r="57">
      <c r="A57" s="24" t="n">
        <v>26</v>
      </c>
      <c r="B57" s="24" t="inlineStr">
        <is>
          <t>I often have extraneous thoughts when thinking.</t>
        </is>
      </c>
      <c r="C57" s="24" t="inlineStr">
        <is>
          <t>Cognitive Instability</t>
        </is>
      </c>
      <c r="D57" s="24" t="inlineStr">
        <is>
          <t>FALSE</t>
        </is>
      </c>
      <c r="E57" s="24" t="inlineStr">
        <is>
          <t>FALSE</t>
        </is>
      </c>
      <c r="F57" s="24" t="inlineStr">
        <is>
          <t>Second order factor: Attentional</t>
        </is>
      </c>
      <c r="G57" s="24" t="inlineStr">
        <is>
          <t>Rarely/Never = 1 | Occasionally = 2 | Often = 3 | Almost Always/Always = 4</t>
        </is>
      </c>
    </row>
    <row r="58">
      <c r="A58" s="24" t="n">
        <v>27</v>
      </c>
      <c r="B58" s="24" t="inlineStr">
        <is>
          <t>I am more interested in the present than the future.</t>
        </is>
      </c>
      <c r="C58" s="24" t="inlineStr">
        <is>
          <t>Cognitive Complexity</t>
        </is>
      </c>
      <c r="D58" s="24" t="inlineStr">
        <is>
          <t>FALSE</t>
        </is>
      </c>
      <c r="E58" s="24" t="inlineStr">
        <is>
          <t>FALSE</t>
        </is>
      </c>
      <c r="F58" s="24" t="inlineStr">
        <is>
          <t>Second order factor: Nonplanning</t>
        </is>
      </c>
      <c r="G58" s="24" t="inlineStr">
        <is>
          <t>Rarely/Never = 1 | Occasionally = 2 | Often = 3 | Almost Always/Always = 4</t>
        </is>
      </c>
    </row>
    <row r="59">
      <c r="A59" s="24" t="n">
        <v>28</v>
      </c>
      <c r="B59" s="24" t="inlineStr">
        <is>
          <t>I am restless at the theater or lectures.</t>
        </is>
      </c>
      <c r="C59" s="24" t="inlineStr">
        <is>
          <t>Attention</t>
        </is>
      </c>
      <c r="D59" s="24" t="inlineStr">
        <is>
          <t>FALSE</t>
        </is>
      </c>
      <c r="E59" s="24" t="inlineStr">
        <is>
          <t>FALSE</t>
        </is>
      </c>
      <c r="F59" s="24" t="inlineStr">
        <is>
          <t>Second order factor: Attentional</t>
        </is>
      </c>
      <c r="G59" s="24" t="inlineStr">
        <is>
          <t>Rarely/Never = 1 | Occasionally = 2 | Often = 3 | Almost Always/Always = 4</t>
        </is>
      </c>
    </row>
    <row r="60">
      <c r="A60" s="24" t="n">
        <v>29</v>
      </c>
      <c r="B60" s="24" t="inlineStr">
        <is>
          <t>I like puzzles.</t>
        </is>
      </c>
      <c r="C60" s="24" t="inlineStr">
        <is>
          <t>Cognitive Complexity</t>
        </is>
      </c>
      <c r="D60" s="24" t="inlineStr">
        <is>
          <t>TRUE</t>
        </is>
      </c>
      <c r="E60" s="24" t="inlineStr">
        <is>
          <t>FALSE</t>
        </is>
      </c>
      <c r="F60" s="24" t="inlineStr">
        <is>
          <t>Second order factor: Nonplanning</t>
        </is>
      </c>
      <c r="G60" s="24" t="inlineStr">
        <is>
          <t>Rarely/Never = 1 | Occasionally = 2 | Often = 3 | Almost Always/Always = 4</t>
        </is>
      </c>
    </row>
    <row r="61">
      <c r="A61" s="24" t="n">
        <v>30</v>
      </c>
      <c r="B61" s="24" t="inlineStr">
        <is>
          <t>I am future oriented.</t>
        </is>
      </c>
      <c r="C61" s="24" t="inlineStr">
        <is>
          <t>Perseverance</t>
        </is>
      </c>
      <c r="D61" s="24" t="inlineStr">
        <is>
          <t>TRUE</t>
        </is>
      </c>
      <c r="E61" s="24" t="inlineStr">
        <is>
          <t>FALSE</t>
        </is>
      </c>
      <c r="F61" s="24" t="inlineStr">
        <is>
          <t>Second order factor: Motor</t>
        </is>
      </c>
      <c r="G61" s="24" t="inlineStr">
        <is>
          <t>Rarely/Never = 1 | Occasionally = 2 | Often = 3 | Almost Always/Always = 4</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Barratt Impulsiveness Scale, Brief</t>
        </is>
      </c>
    </row>
    <row r="3">
      <c r="A3" s="37" t="inlineStr">
        <is>
          <t>Instrument</t>
        </is>
      </c>
      <c r="B3" s="24" t="inlineStr">
        <is>
          <t>Barratt Impulsiveness Scale, Brief</t>
        </is>
      </c>
      <c r="C3" s="24" t="n"/>
      <c r="D3" s="24" t="n"/>
      <c r="E3" s="24" t="n"/>
      <c r="F3" s="24" t="n"/>
      <c r="G3" s="24" t="n"/>
    </row>
    <row r="4">
      <c r="A4" s="37" t="inlineStr">
        <is>
          <t>Code</t>
        </is>
      </c>
      <c r="B4" s="24" t="inlineStr">
        <is>
          <t>BIS-BRIEF</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General trait impulsiveness measured as a unidimensional 8 item short form of the BIS-11 derived by item response theory.</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The article makes no availability or permission statement. The items are a subset of the freely distributed BIS-11 (Patton, Stanford and Barratt, 1995) and are listed in Table 3 of the article. The corresponding author is Lynne Steinberg (lsteinberg@uh.edu).</t>
        </is>
      </c>
      <c r="C13" s="24" t="n"/>
      <c r="D13" s="24" t="n"/>
      <c r="E13" s="24" t="n"/>
      <c r="F13" s="24" t="n"/>
      <c r="G13" s="24" t="n"/>
    </row>
    <row r="14">
      <c r="A14" s="37" t="inlineStr">
        <is>
          <t>Coaching application</t>
        </is>
      </c>
      <c r="B14" s="24" t="inlineStr">
        <is>
          <t>Quick repeatable impulsivity marker when the full BIS-11 is too long for session by session tracking.</t>
        </is>
      </c>
      <c r="C14" s="24" t="n"/>
      <c r="D14" s="24" t="n"/>
      <c r="E14" s="24" t="n"/>
      <c r="F14" s="24" t="n"/>
      <c r="G14" s="24" t="n"/>
    </row>
    <row r="15">
      <c r="A15" s="37" t="inlineStr">
        <is>
          <t>Purpose</t>
        </is>
      </c>
      <c r="B15" s="24" t="inlineStr">
        <is>
          <t>General trait impulsiveness measured as a unidimensional 8 item short form of the BIS-11 derived by item response theory.</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Rarely/Never = 1 | Occasionally = 2 | Often = 3 | Almost Always/Always = 4</t>
        </is>
      </c>
      <c r="C17" s="24" t="n"/>
      <c r="D17" s="24" t="n"/>
      <c r="E17" s="24" t="n"/>
      <c r="F17" s="24" t="n"/>
      <c r="G17" s="24" t="n"/>
    </row>
    <row r="18">
      <c r="A18" s="37" t="inlineStr">
        <is>
          <t>Reverse-scored items</t>
        </is>
      </c>
      <c r="B18" s="24" t="inlineStr">
        <is>
          <t>1, 4, 5, 6</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"The items are scored on a 4-point scale" and "total scores can be calculated by summing up the responses to the eight items" (range 8 to 32). Higher scores indicate greater impulsiveness. The article does not itself list reverse keyed items; the BIS-11 keying (impulsivity.org, Patton et al., 1995) reverse scores BIS-11 items 1, 7, 8, 9, 10, 12, 13, 15, 20, 29 and 30, which within the BIS-Brief are BIS-11 items 1, 8, 9 and 12 (BIS-Brief items 1, 4, 5 and 6 here). Items 5 and 9 (BIS-11 numbering) were treated as a testlet in the IRT analysis but both contribute to the summed score. No published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Steinberg, L., Sharp, C., Stanford, M. S., &amp; Tharp, A. T. (2013). New tricks for an old measure: The development of the Barratt Impulsiveness Scale–Brief (BIS-Brief). Psychological Assessment, 25(1), 216–226. https://doi.org/10.1037/a0030550</t>
        </is>
      </c>
      <c r="C25" s="24" t="n"/>
      <c r="D25" s="24" t="n"/>
      <c r="E25" s="24" t="n"/>
      <c r="F25" s="24" t="n"/>
      <c r="G25" s="24" t="n"/>
    </row>
    <row r="26">
      <c r="A26" s="37" t="inlineStr">
        <is>
          <t>Copyright and licensing</t>
        </is>
      </c>
      <c r="B26" s="24" t="inlineStr">
        <is>
          <t>The article makes no availability or permission statement. The items are a subset of the freely distributed BIS-11 (Patton, Stanford and Barratt, 1995) and are listed in Table 3 of the article. The corresponding author is Lynne Steinberg (lsteinberg@uh.edu). Source: https://www.uh.edu/class/psychology/clinical-psych/research/dpl/_files/publications/steinberg-sharp-stanford-tharp-2013.pdf</t>
        </is>
      </c>
      <c r="C26" s="24" t="n"/>
      <c r="D26" s="24" t="n"/>
      <c r="E26" s="24" t="n"/>
      <c r="F26" s="24" t="n"/>
      <c r="G26" s="24" t="n"/>
    </row>
    <row r="27">
      <c r="A27" s="37" t="inlineStr">
        <is>
          <t>Source URL</t>
        </is>
      </c>
      <c r="B27" s="24" t="inlineStr">
        <is>
          <t>https://www.uh.edu/class/psychology/clinical-psych/research/dpl/_files/publications/steinberg-sharp-stanford-tharp-2013.pdf</t>
        </is>
      </c>
      <c r="C27" s="24" t="n"/>
      <c r="D27" s="24" t="n"/>
      <c r="E27" s="24" t="n"/>
      <c r="F27" s="24" t="n"/>
      <c r="G27" s="24" t="n"/>
    </row>
    <row r="28">
      <c r="A28" s="37" t="inlineStr">
        <is>
          <t>Transcription note</t>
        </is>
      </c>
      <c r="B28" s="24" t="inlineStr">
        <is>
          <t>Item text transcribed from Table 3 of the article (Graded Model Item Parameter Estimates for the Eight BIS-11 Items); the table gives BIS-11 item numbers only, so items are renumbered 1 to 8 here with the original BIS-11 number in each item note. Item 3 keeps the article's typographic quotation marks around "pay attention." The article gives no respondent instructions, so the instructions field is empty; the BIS-11 instructions were not retrieved. Response option labels and values are from the article; reverse keying is from the BIS-11 scoring key at https://www.impulsivity.org/measurement/bis11, not from the BIS-Brief article.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plan tasks carefully.</t>
        </is>
      </c>
      <c r="C32" s="24" t="inlineStr">
        <is>
          <t>Total</t>
        </is>
      </c>
      <c r="D32" s="24" t="inlineStr">
        <is>
          <t>TRUE</t>
        </is>
      </c>
      <c r="E32" s="24" t="inlineStr">
        <is>
          <t>FALSE</t>
        </is>
      </c>
      <c r="F32" s="24" t="inlineStr">
        <is>
          <t>BIS-11 item 1</t>
        </is>
      </c>
      <c r="G32" s="24" t="inlineStr">
        <is>
          <t>Rarely/Never = 1 | Occasionally = 2 | Often = 3 | Almost Always/Always = 4</t>
        </is>
      </c>
    </row>
    <row r="33">
      <c r="A33" s="24" t="n">
        <v>2</v>
      </c>
      <c r="B33" s="24" t="inlineStr">
        <is>
          <t>I do things without thinking.</t>
        </is>
      </c>
      <c r="C33" s="24" t="inlineStr">
        <is>
          <t>Total</t>
        </is>
      </c>
      <c r="D33" s="24" t="inlineStr">
        <is>
          <t>FALSE</t>
        </is>
      </c>
      <c r="E33" s="24" t="inlineStr">
        <is>
          <t>FALSE</t>
        </is>
      </c>
      <c r="F33" s="24" t="inlineStr">
        <is>
          <t>BIS-11 item 2</t>
        </is>
      </c>
      <c r="G33" s="24" t="inlineStr">
        <is>
          <t>Rarely/Never = 1 | Occasionally = 2 | Often = 3 | Almost Always/Always = 4</t>
        </is>
      </c>
    </row>
    <row r="34">
      <c r="A34" s="24" t="n">
        <v>3</v>
      </c>
      <c r="B34" s="24" t="inlineStr">
        <is>
          <t>I don’t “pay attention.”</t>
        </is>
      </c>
      <c r="C34" s="24" t="inlineStr">
        <is>
          <t>Total</t>
        </is>
      </c>
      <c r="D34" s="24" t="inlineStr">
        <is>
          <t>FALSE</t>
        </is>
      </c>
      <c r="E34" s="24" t="inlineStr">
        <is>
          <t>FALSE</t>
        </is>
      </c>
      <c r="F34" s="24" t="inlineStr">
        <is>
          <t>BIS-11 item 5</t>
        </is>
      </c>
      <c r="G34" s="24" t="inlineStr">
        <is>
          <t>Rarely/Never = 1 | Occasionally = 2 | Often = 3 | Almost Always/Always = 4</t>
        </is>
      </c>
    </row>
    <row r="35">
      <c r="A35" s="24" t="n">
        <v>4</v>
      </c>
      <c r="B35" s="24" t="inlineStr">
        <is>
          <t>I am self-controlled.</t>
        </is>
      </c>
      <c r="C35" s="24" t="inlineStr">
        <is>
          <t>Total</t>
        </is>
      </c>
      <c r="D35" s="24" t="inlineStr">
        <is>
          <t>TRUE</t>
        </is>
      </c>
      <c r="E35" s="24" t="inlineStr">
        <is>
          <t>FALSE</t>
        </is>
      </c>
      <c r="F35" s="24" t="inlineStr">
        <is>
          <t>BIS-11 item 8</t>
        </is>
      </c>
      <c r="G35" s="24" t="inlineStr">
        <is>
          <t>Rarely/Never = 1 | Occasionally = 2 | Often = 3 | Almost Always/Always = 4</t>
        </is>
      </c>
    </row>
    <row r="36">
      <c r="A36" s="24" t="n">
        <v>5</v>
      </c>
      <c r="B36" s="24" t="inlineStr">
        <is>
          <t>I concentrate easily.</t>
        </is>
      </c>
      <c r="C36" s="24" t="inlineStr">
        <is>
          <t>Total</t>
        </is>
      </c>
      <c r="D36" s="24" t="inlineStr">
        <is>
          <t>TRUE</t>
        </is>
      </c>
      <c r="E36" s="24" t="inlineStr">
        <is>
          <t>FALSE</t>
        </is>
      </c>
      <c r="F36" s="24" t="inlineStr">
        <is>
          <t>BIS-11 item 9</t>
        </is>
      </c>
      <c r="G36" s="24" t="inlineStr">
        <is>
          <t>Rarely/Never = 1 | Occasionally = 2 | Often = 3 | Almost Always/Always = 4</t>
        </is>
      </c>
    </row>
    <row r="37">
      <c r="A37" s="24" t="n">
        <v>6</v>
      </c>
      <c r="B37" s="24" t="inlineStr">
        <is>
          <t>I am a careful thinker.</t>
        </is>
      </c>
      <c r="C37" s="24" t="inlineStr">
        <is>
          <t>Total</t>
        </is>
      </c>
      <c r="D37" s="24" t="inlineStr">
        <is>
          <t>TRUE</t>
        </is>
      </c>
      <c r="E37" s="24" t="inlineStr">
        <is>
          <t>FALSE</t>
        </is>
      </c>
      <c r="F37" s="24" t="inlineStr">
        <is>
          <t>BIS-11 item 12</t>
        </is>
      </c>
      <c r="G37" s="24" t="inlineStr">
        <is>
          <t>Rarely/Never = 1 | Occasionally = 2 | Often = 3 | Almost Always/Always = 4</t>
        </is>
      </c>
    </row>
    <row r="38">
      <c r="A38" s="24" t="n">
        <v>7</v>
      </c>
      <c r="B38" s="24" t="inlineStr">
        <is>
          <t>I say things without thinking.</t>
        </is>
      </c>
      <c r="C38" s="24" t="inlineStr">
        <is>
          <t>Total</t>
        </is>
      </c>
      <c r="D38" s="24" t="inlineStr">
        <is>
          <t>FALSE</t>
        </is>
      </c>
      <c r="E38" s="24" t="inlineStr">
        <is>
          <t>FALSE</t>
        </is>
      </c>
      <c r="F38" s="24" t="inlineStr">
        <is>
          <t>BIS-11 item 14</t>
        </is>
      </c>
      <c r="G38" s="24" t="inlineStr">
        <is>
          <t>Rarely/Never = 1 | Occasionally = 2 | Often = 3 | Almost Always/Always = 4</t>
        </is>
      </c>
    </row>
    <row r="39">
      <c r="A39" s="24" t="n">
        <v>8</v>
      </c>
      <c r="B39" s="24" t="inlineStr">
        <is>
          <t>I act on the spur of the moment.</t>
        </is>
      </c>
      <c r="C39" s="24" t="inlineStr">
        <is>
          <t>Total</t>
        </is>
      </c>
      <c r="D39" s="24" t="inlineStr">
        <is>
          <t>FALSE</t>
        </is>
      </c>
      <c r="E39" s="24" t="inlineStr">
        <is>
          <t>FALSE</t>
        </is>
      </c>
      <c r="F39" s="24" t="inlineStr">
        <is>
          <t>BIS-11 item 19</t>
        </is>
      </c>
      <c r="G39" s="24" t="inlineStr">
        <is>
          <t>Rarely/Never = 1 | Occasionally = 2 | Often = 3 | Almost Always/Always = 4</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Brief Trauma Questionnaire</t>
        </is>
      </c>
    </row>
    <row r="3">
      <c r="A3" s="37" t="inlineStr">
        <is>
          <t>Instrument</t>
        </is>
      </c>
      <c r="B3" s="24" t="inlineStr">
        <is>
          <t>Brief Trauma Questionnaire</t>
        </is>
      </c>
      <c r="C3" s="24" t="n"/>
      <c r="D3" s="24" t="n"/>
      <c r="E3" s="24" t="n"/>
      <c r="F3" s="24" t="n"/>
      <c r="G3" s="24" t="n"/>
    </row>
    <row r="4">
      <c r="A4" s="37" t="inlineStr">
        <is>
          <t>Code</t>
        </is>
      </c>
      <c r="B4" s="24" t="inlineStr">
        <is>
          <t>BTQ</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Lifetime exposure to 10 categories of potentially traumatic events and whether each involved perceived life threat or serious injury (DSM-IV Criterion A).</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10</v>
      </c>
      <c r="C10" s="24" t="n"/>
      <c r="D10" s="24" t="n"/>
      <c r="E10" s="24" t="n"/>
      <c r="F10" s="24" t="n"/>
      <c r="G10" s="24" t="n"/>
    </row>
    <row r="11">
      <c r="A11" s="37" t="inlineStr">
        <is>
          <t>Items reproduced here</t>
        </is>
      </c>
      <c r="B11" s="24" t="n">
        <v>10</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t>
        </is>
      </c>
      <c r="C13" s="24" t="n"/>
      <c r="D13" s="24" t="n"/>
      <c r="E13" s="24" t="n"/>
      <c r="F13" s="24" t="n"/>
      <c r="G13" s="24" t="n"/>
    </row>
    <row r="14">
      <c r="A14" s="37" t="inlineStr">
        <is>
          <t>Coaching application</t>
        </is>
      </c>
      <c r="B14" s="24" t="inlineStr">
        <is>
          <t>Natural companion to the PCL-5 to document index trauma; review distressing disclosures in session</t>
        </is>
      </c>
      <c r="C14" s="24" t="n"/>
      <c r="D14" s="24" t="n"/>
      <c r="E14" s="24" t="n"/>
      <c r="F14" s="24" t="n"/>
      <c r="G14" s="24" t="n"/>
    </row>
    <row r="15">
      <c r="A15" s="37" t="inlineStr">
        <is>
          <t>Purpose</t>
        </is>
      </c>
      <c r="B15" s="24" t="inlineStr">
        <is>
          <t>Lifetime exposure to 10 categories of potentially traumatic events and whether each involved perceived life threat or serious injury (DSM-IV Criterion A).</t>
        </is>
      </c>
      <c r="C15" s="24" t="n"/>
      <c r="D15" s="24" t="n"/>
      <c r="E15" s="24" t="n"/>
      <c r="F15" s="24" t="n"/>
      <c r="G15" s="24" t="n"/>
    </row>
    <row r="16">
      <c r="A16" s="37" t="inlineStr">
        <is>
          <t>Instructions / prompt</t>
        </is>
      </c>
      <c r="B16" s="24" t="inlineStr">
        <is>
          <t>The following questions ask about events that may be extraordinarily stressful or disturbing for almost everyone. Please circle "Yes" or "No" to report what has happened to you. If you answer "Yes" for an event, please answer any additional questions that are listed on the right side of the page to report: (1) whether you thought your life was in danger or you might be seriously injured; and (2) whether you were seriously injured. If you answer "No" for an event, go on to the next event.</t>
        </is>
      </c>
      <c r="C16" s="24" t="n"/>
      <c r="D16" s="24" t="n"/>
      <c r="E16" s="24" t="n"/>
      <c r="F16" s="24" t="n"/>
      <c r="G16" s="24" t="n"/>
    </row>
    <row r="17">
      <c r="A17" s="37" t="inlineStr">
        <is>
          <t>Response options</t>
        </is>
      </c>
      <c r="B17" s="24" t="inlineStr">
        <is>
          <t>No = 0 | Yes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No total score. From the BTQ scoring note: "exposure to an event should be scored as positive if a respondent says yes to either: life threat or serious injury for events 1-3 and 5-7; life threat for event 4; serious injury for event 8, or; 'Has this ever happened to you?' for events 9 and 10." The count of positive events can be reported; the instrument is typically used to establish an index trauma before administering the PCL-5.</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Schnurr, P. P., Vielhauer, M. J., Weathers, F. W., &amp; Findler, M. (1999). The Brief Trauma Questionnaire (BTQ) [Measurement instrument]. National Center for PTSD. https://www.ptsd.va.gov</t>
        </is>
      </c>
      <c r="C25" s="24" t="n"/>
      <c r="D25" s="24" t="n"/>
      <c r="E25" s="24" t="n"/>
      <c r="F25" s="24" t="n"/>
      <c r="G25" s="24" t="n"/>
    </row>
    <row r="26">
      <c r="A26" s="37" t="inlineStr">
        <is>
          <t>Copyright and licensing</t>
        </is>
      </c>
      <c r="B26" s="24" t="inlineStr">
        <is>
          <t>Created by National Center for PTSD staff; available as a direct download for qualified mental health professionals and researchers with no fee or permission step. The PDF carries no copyright notice, only the citation footer "Schnurr, P., Vielhauer, M., Weathers, F., &amp; Findler, M. (1999). The Brief Trauma Questionnaire (BTQ) [Measurement instrument]. Available from http://www.ptsd.va.gov". Source: https://ptsd.va.gov/PTSD/professional/assessment/te-measures/brief_trauma_questionnaire_btq.asp</t>
        </is>
      </c>
      <c r="C26" s="24" t="n"/>
      <c r="D26" s="24" t="n"/>
      <c r="E26" s="24" t="n"/>
      <c r="F26" s="24" t="n"/>
      <c r="G26" s="24" t="n"/>
    </row>
    <row r="27">
      <c r="A27" s="37" t="inlineStr">
        <is>
          <t>Source URL</t>
        </is>
      </c>
      <c r="B27" s="24" t="inlineStr">
        <is>
          <t>https://www.ptsd.va.gov/professional/assessment/documents/BTQ.pdf</t>
        </is>
      </c>
      <c r="C27" s="24" t="n"/>
      <c r="D27" s="24" t="n"/>
      <c r="E27" s="24" t="n"/>
      <c r="F27" s="24" t="n"/>
      <c r="G27" s="24" t="n"/>
    </row>
    <row r="28">
      <c r="A28" s="37" t="inlineStr">
        <is>
          <t>Transcription note</t>
        </is>
      </c>
      <c r="B28" s="24" t="inlineStr">
        <is>
          <t>Transcribed in full from the National Center for PTSD PDF. Each item has 1 event question plus up to 2 follow up questions (life threat and serious injury) answered No or Yes; which follow ups apply per item is recorded in the item notes. Item 7 contains the printed error "some else's" and item 1 has the closing parenthesis after the question mark, both kept as printed. The response values 0 and 1 are assigned here for coding; the form prints only No and Yes. Second pass: item 9 follow up columns corrected (life threat N/A, serious injury No/Yes).</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Have you ever served in a war zone, or have you ever served in a noncombat job that exposed you to war-related casualties (for example, as a medic or on graves registration duty?)</t>
        </is>
      </c>
      <c r="C32" s="24" t="inlineStr">
        <is>
          <t>Trauma exposure</t>
        </is>
      </c>
      <c r="D32" s="24" t="inlineStr">
        <is>
          <t>FALSE</t>
        </is>
      </c>
      <c r="E32" s="24" t="inlineStr">
        <is>
          <t>FALSE</t>
        </is>
      </c>
      <c r="F32" s="24" t="inlineStr">
        <is>
          <t>Follow up columns: life threat (No/Yes) and serious injury (No/Yes).</t>
        </is>
      </c>
      <c r="G32" s="24" t="inlineStr">
        <is>
          <t>No = 0 | Yes = 1</t>
        </is>
      </c>
    </row>
    <row r="33">
      <c r="A33" s="24" t="n">
        <v>2</v>
      </c>
      <c r="B33" s="24" t="inlineStr">
        <is>
          <t>Have you ever been in a serious car accident, or a serious accident at work or somewhere else?</t>
        </is>
      </c>
      <c r="C33" s="24" t="inlineStr">
        <is>
          <t>Trauma exposure</t>
        </is>
      </c>
      <c r="D33" s="24" t="inlineStr">
        <is>
          <t>FALSE</t>
        </is>
      </c>
      <c r="E33" s="24" t="inlineStr">
        <is>
          <t>FALSE</t>
        </is>
      </c>
      <c r="F33" s="24" t="inlineStr">
        <is>
          <t>Follow up columns: life threat (No/Yes) and serious injury (No/Yes).</t>
        </is>
      </c>
      <c r="G33" s="24" t="inlineStr">
        <is>
          <t>No = 0 | Yes = 1</t>
        </is>
      </c>
    </row>
    <row r="34">
      <c r="A34" s="24" t="n">
        <v>3</v>
      </c>
      <c r="B34" s="24" t="inlineStr">
        <is>
          <t>Have you ever been in a major natural or technological disaster, such as a fire, tornado, hurricane, flood, earthquake, or chemical spill?</t>
        </is>
      </c>
      <c r="C34" s="24" t="inlineStr">
        <is>
          <t>Trauma exposure</t>
        </is>
      </c>
      <c r="D34" s="24" t="inlineStr">
        <is>
          <t>FALSE</t>
        </is>
      </c>
      <c r="E34" s="24" t="inlineStr">
        <is>
          <t>FALSE</t>
        </is>
      </c>
      <c r="F34" s="24" t="inlineStr">
        <is>
          <t>Follow up columns: life threat (No/Yes) and serious injury (No/Yes).</t>
        </is>
      </c>
      <c r="G34" s="24" t="inlineStr">
        <is>
          <t>No = 0 | Yes = 1</t>
        </is>
      </c>
    </row>
    <row r="35">
      <c r="A35" s="24" t="n">
        <v>4</v>
      </c>
      <c r="B35" s="24" t="inlineStr">
        <is>
          <t>Have you ever had a life-threatening illness such as cancer, a heart attack, leukemia, AIDS, multiple sclerosis, etc.?</t>
        </is>
      </c>
      <c r="C35" s="24" t="inlineStr">
        <is>
          <t>Trauma exposure</t>
        </is>
      </c>
      <c r="D35" s="24" t="inlineStr">
        <is>
          <t>FALSE</t>
        </is>
      </c>
      <c r="E35" s="24" t="inlineStr">
        <is>
          <t>FALSE</t>
        </is>
      </c>
      <c r="F35" s="24" t="inlineStr">
        <is>
          <t>Follow up column: life threat (No/Yes). Serious injury column is N/A.</t>
        </is>
      </c>
      <c r="G35" s="24" t="inlineStr">
        <is>
          <t>No = 0 | Yes = 1</t>
        </is>
      </c>
    </row>
    <row r="36">
      <c r="A36" s="24" t="n">
        <v>5</v>
      </c>
      <c r="B36" s="24" t="inlineStr">
        <is>
          <t>Before age 18, were you ever physically punished or beaten by a parent, caretaker, or teacher so that: you were very frightened; or you thought you would be injured; or you received bruises, cuts, welts, lumps or other injuries?</t>
        </is>
      </c>
      <c r="C36" s="24" t="inlineStr">
        <is>
          <t>Trauma exposure</t>
        </is>
      </c>
      <c r="D36" s="24" t="inlineStr">
        <is>
          <t>FALSE</t>
        </is>
      </c>
      <c r="E36" s="24" t="inlineStr">
        <is>
          <t>FALSE</t>
        </is>
      </c>
      <c r="F36" s="24" t="inlineStr">
        <is>
          <t>Follow up columns: life threat (No/Yes) and serious injury (No/Yes).</t>
        </is>
      </c>
      <c r="G36" s="24" t="inlineStr">
        <is>
          <t>No = 0 | Yes = 1</t>
        </is>
      </c>
    </row>
    <row r="37">
      <c r="A37" s="24" t="n">
        <v>6</v>
      </c>
      <c r="B37" s="24" t="inlineStr">
        <is>
          <t>Not including any punishments or beatings you already reported in Question 5, have you ever been attacked, beaten, or mugged by anyone, including friends, family members or strangers?</t>
        </is>
      </c>
      <c r="C37" s="24" t="inlineStr">
        <is>
          <t>Trauma exposure</t>
        </is>
      </c>
      <c r="D37" s="24" t="inlineStr">
        <is>
          <t>FALSE</t>
        </is>
      </c>
      <c r="E37" s="24" t="inlineStr">
        <is>
          <t>FALSE</t>
        </is>
      </c>
      <c r="F37" s="24" t="inlineStr">
        <is>
          <t>Follow up columns: life threat (No/Yes) and serious injury (No/Yes).</t>
        </is>
      </c>
      <c r="G37" s="24" t="inlineStr">
        <is>
          <t>No = 0 | Yes = 1</t>
        </is>
      </c>
    </row>
    <row r="38">
      <c r="A38" s="24" t="n">
        <v>7</v>
      </c>
      <c r="B38" s="24" t="inlineStr">
        <is>
          <t>Has anyone ever made or pressured you into having some type of unwanted sexual contact? Note: By sexual contact we mean any contact between someone else and your private parts or between you and some else's private parts</t>
        </is>
      </c>
      <c r="C38" s="24" t="inlineStr">
        <is>
          <t>Trauma exposure</t>
        </is>
      </c>
      <c r="D38" s="24" t="inlineStr">
        <is>
          <t>FALSE</t>
        </is>
      </c>
      <c r="E38" s="24" t="inlineStr">
        <is>
          <t>FALSE</t>
        </is>
      </c>
      <c r="F38" s="24" t="inlineStr">
        <is>
          <t>Follow up columns: life threat (No/Yes) and serious injury (No/Yes). Source reads "some else's" as printed.</t>
        </is>
      </c>
      <c r="G38" s="24" t="inlineStr">
        <is>
          <t>No = 0 | Yes = 1</t>
        </is>
      </c>
    </row>
    <row r="39">
      <c r="A39" s="24" t="n">
        <v>8</v>
      </c>
      <c r="B39" s="24" t="inlineStr">
        <is>
          <t>Have you ever been in any other situation in which you were seriously injured, or have you ever been in any other situation in which you feared you might be seriously injured or killed?</t>
        </is>
      </c>
      <c r="C39" s="24" t="inlineStr">
        <is>
          <t>Trauma exposure</t>
        </is>
      </c>
      <c r="D39" s="24" t="inlineStr">
        <is>
          <t>FALSE</t>
        </is>
      </c>
      <c r="E39" s="24" t="inlineStr">
        <is>
          <t>FALSE</t>
        </is>
      </c>
      <c r="F39" s="24" t="inlineStr">
        <is>
          <t>Follow up column: serious injury (No/Yes). Life threat column is N/A.</t>
        </is>
      </c>
      <c r="G39" s="24" t="inlineStr">
        <is>
          <t>No = 0 | Yes = 1</t>
        </is>
      </c>
    </row>
    <row r="40">
      <c r="A40" s="24" t="n">
        <v>9</v>
      </c>
      <c r="B40" s="24" t="inlineStr">
        <is>
          <t>Has a close family member or friend died violently, for example, in a serious car crash, mugging, or attack?</t>
        </is>
      </c>
      <c r="C40" s="24" t="inlineStr">
        <is>
          <t>Trauma exposure</t>
        </is>
      </c>
      <c r="D40" s="24" t="inlineStr">
        <is>
          <t>FALSE</t>
        </is>
      </c>
      <c r="E40" s="24" t="inlineStr">
        <is>
          <t>FALSE</t>
        </is>
      </c>
      <c r="F40" s="24" t="inlineStr">
        <is>
          <t>Follow up columns: life threat N/A; serious injury (No/Yes).</t>
        </is>
      </c>
      <c r="G40" s="24" t="inlineStr">
        <is>
          <t>No = 0 | Yes = 1</t>
        </is>
      </c>
    </row>
    <row r="41">
      <c r="A41" s="24" t="n">
        <v>10</v>
      </c>
      <c r="B41" s="24" t="inlineStr">
        <is>
          <t>Have you ever witnessed a situation in which someone was seriously injured or killed, or have you ever witnessed a situation in which you feared someone would be seriously injured or killed? Note: Do not answer "yes" for any event you already reported in Questions 1-9</t>
        </is>
      </c>
      <c r="C41" s="24" t="inlineStr">
        <is>
          <t>Trauma exposure</t>
        </is>
      </c>
      <c r="D41" s="24" t="inlineStr">
        <is>
          <t>FALSE</t>
        </is>
      </c>
      <c r="E41" s="24" t="inlineStr">
        <is>
          <t>FALSE</t>
        </is>
      </c>
      <c r="F41" s="24" t="inlineStr">
        <is>
          <t>No follow up columns apply (both N/A); scored on the event question alone.</t>
        </is>
      </c>
      <c r="G41" s="24" t="inlineStr">
        <is>
          <t>No = 0 | Yes = 1</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CAGE Questionnaire</t>
        </is>
      </c>
    </row>
    <row r="3">
      <c r="A3" s="37" t="inlineStr">
        <is>
          <t>Instrument</t>
        </is>
      </c>
      <c r="B3" s="24" t="inlineStr">
        <is>
          <t>CAGE Questionnaire</t>
        </is>
      </c>
      <c r="C3" s="24" t="n"/>
      <c r="D3" s="24" t="n"/>
      <c r="E3" s="24" t="n"/>
      <c r="F3" s="24" t="n"/>
      <c r="G3" s="24" t="n"/>
    </row>
    <row r="4">
      <c r="A4" s="37" t="inlineStr">
        <is>
          <t>Code</t>
        </is>
      </c>
      <c r="B4" s="24" t="inlineStr">
        <is>
          <t>CAGE</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Lifetime screen for problem drinking through 4 questions: cut down, annoyed, guilty, eye opener.</t>
        </is>
      </c>
      <c r="C7" s="24" t="n"/>
      <c r="D7" s="24" t="n"/>
      <c r="E7" s="24" t="n"/>
      <c r="F7" s="24" t="n"/>
      <c r="G7" s="24" t="n"/>
    </row>
    <row r="8">
      <c r="A8" s="37" t="inlineStr">
        <is>
          <t>Respondent</t>
        </is>
      </c>
      <c r="B8" s="24" t="inlineStr">
        <is>
          <t>Self report or clinician administered</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4</v>
      </c>
      <c r="C10" s="24" t="n"/>
      <c r="D10" s="24" t="n"/>
      <c r="E10" s="24" t="n"/>
      <c r="F10" s="24" t="n"/>
      <c r="G10" s="24" t="n"/>
    </row>
    <row r="11">
      <c r="A11" s="37" t="inlineStr">
        <is>
          <t>Items reproduced here</t>
        </is>
      </c>
      <c r="B11" s="24" t="n">
        <v>4</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"Believed to be in the public domain" (CamCOPS, citing Mayfield et al. 1974, Ewing 1984 and O'Brien 2008; Ewing 1984, the original author, encourages widespread use).</t>
        </is>
      </c>
      <c r="C13" s="24" t="n"/>
      <c r="D13" s="24" t="n"/>
      <c r="E13" s="24" t="n"/>
      <c r="F13" s="24" t="n"/>
      <c r="G13" s="24" t="n"/>
    </row>
    <row r="14">
      <c r="A14" s="37" t="inlineStr">
        <is>
          <t>Coaching application</t>
        </is>
      </c>
      <c r="B14" s="24" t="inlineStr">
        <is>
          <t>Very quick but insensitive to hazardous non dependent drinking; prefer AUDIT-C where possible</t>
        </is>
      </c>
      <c r="C14" s="24" t="n"/>
      <c r="D14" s="24" t="n"/>
      <c r="E14" s="24" t="n"/>
      <c r="F14" s="24" t="n"/>
      <c r="G14" s="24" t="n"/>
    </row>
    <row r="15">
      <c r="A15" s="37" t="inlineStr">
        <is>
          <t>Purpose</t>
        </is>
      </c>
      <c r="B15" s="24" t="inlineStr">
        <is>
          <t>Lifetime screen for problem drinking through 4 questions: cut down, annoyed, guilty, eye opener.</t>
        </is>
      </c>
      <c r="C15" s="24" t="n"/>
      <c r="D15" s="24" t="n"/>
      <c r="E15" s="24" t="n"/>
      <c r="F15" s="24" t="n"/>
      <c r="G15" s="24" t="n"/>
    </row>
    <row r="16">
      <c r="A16" s="37" t="inlineStr">
        <is>
          <t>Instructions / prompt</t>
        </is>
      </c>
      <c r="B16" s="24" t="inlineStr">
        <is>
          <t>Ask your patients these four questions and use the scoring method described below to determine if substance abuse exists and needs to be addressed.</t>
        </is>
      </c>
      <c r="C16" s="24" t="n"/>
      <c r="D16" s="24" t="n"/>
      <c r="E16" s="24" t="n"/>
      <c r="F16" s="24" t="n"/>
      <c r="G16" s="24" t="n"/>
    </row>
    <row r="17">
      <c r="A17" s="37" t="inlineStr">
        <is>
          <t>Response options</t>
        </is>
      </c>
      <c r="B17" s="24" t="inlineStr">
        <is>
          <t>No = 0 | Yes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0 for no and 1 for yes and sum (0 to 4); higher scores indicate greater likelihood of alcohol problems. A total of 2 or more is considered clinically significant (Ewing, 1984); the SAMHSA Consensus Panel recommends primary care clinicians lower the threshold to 1 positive answer to identify more patients. The CAGE-AID adapts the items to include drug use.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Ewing, J. A. (1984). Detecting alcoholism: The CAGE questionnaire. JAMA, 252(14), 1905-1907. https://doi.org/10.1001/jama.1984.03350140051025</t>
        </is>
      </c>
      <c r="C25" s="24" t="n"/>
      <c r="D25" s="24" t="n"/>
      <c r="E25" s="24" t="n"/>
      <c r="F25" s="24" t="n"/>
      <c r="G25" s="24" t="n"/>
    </row>
    <row r="26">
      <c r="A26" s="37" t="inlineStr">
        <is>
          <t>Copyright and licensing</t>
        </is>
      </c>
      <c r="B26" s="24" t="inlineStr">
        <is>
          <t>"Believed to be in the public domain" (CamCOPS, citing Mayfield et al. 1974, Ewing 1984 and O'Brien 2008; Ewing 1984, the original author, encourages widespread use). Source: https://camcops.readthedocs.io/en/latest/tasks/cage.html</t>
        </is>
      </c>
      <c r="C26" s="24" t="n"/>
      <c r="D26" s="24" t="n"/>
      <c r="E26" s="24" t="n"/>
      <c r="F26" s="24" t="n"/>
      <c r="G26" s="24" t="n"/>
    </row>
    <row r="27">
      <c r="A27" s="37" t="inlineStr">
        <is>
          <t>Source URL</t>
        </is>
      </c>
      <c r="B27" s="24" t="inlineStr">
        <is>
          <t>https://scireproject.com/wp-content/uploads/2022/04/CAGE-Substance-Screening-Tool.pdf</t>
        </is>
      </c>
      <c r="C27" s="24" t="n"/>
      <c r="D27" s="24" t="n"/>
      <c r="E27" s="24" t="n"/>
      <c r="F27" s="24" t="n"/>
      <c r="G27" s="24" t="n"/>
    </row>
    <row r="28">
      <c r="A28" s="37" t="inlineStr">
        <is>
          <t>Transcription note</t>
        </is>
      </c>
      <c r="B28" s="24" t="inlineStr">
        <is>
          <t>The CamCOPS page (itemsUrl) gives the citations and public domain statement but not the question text. The items were transcribed from the SCIRE Project CAGE Substance Screening Tool PDF, which cites Ewing (1984) as source and prints the clinician instruction above; a second open copy (University of Washington, https://depts.washington.edu/edgh/zw/vl/project-resources/CAGE_Questionnaire.pdf) differs in wording for items 1, 3 and 4 ("felt you needed to Cut down", "felt Guilty about drinking", "felt you needed a drink first thing in the morning (Eye-opener) to steady your nerves or to get rid of a hangover?"). The SCIRE wording, which matches the Ewing (1984) JAMA wording, is used. The instruction recorded is the clinician instruction from the SCIRE form; there is no standard respondent instruction. US spelling (criticizing) retained.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Have you ever felt you should cut down on your drinking?</t>
        </is>
      </c>
      <c r="C32" s="24" t="inlineStr">
        <is>
          <t>Total</t>
        </is>
      </c>
      <c r="D32" s="24" t="inlineStr">
        <is>
          <t>FALSE</t>
        </is>
      </c>
      <c r="E32" s="24" t="inlineStr">
        <is>
          <t>FALSE</t>
        </is>
      </c>
      <c r="F32" s="24" t="n"/>
      <c r="G32" s="24" t="inlineStr">
        <is>
          <t>No = 0 | Yes = 1</t>
        </is>
      </c>
    </row>
    <row r="33">
      <c r="A33" s="24" t="n">
        <v>2</v>
      </c>
      <c r="B33" s="24" t="inlineStr">
        <is>
          <t>Have people annoyed you by criticizing your drinking?</t>
        </is>
      </c>
      <c r="C33" s="24" t="inlineStr">
        <is>
          <t>Total</t>
        </is>
      </c>
      <c r="D33" s="24" t="inlineStr">
        <is>
          <t>FALSE</t>
        </is>
      </c>
      <c r="E33" s="24" t="inlineStr">
        <is>
          <t>FALSE</t>
        </is>
      </c>
      <c r="F33" s="24" t="n"/>
      <c r="G33" s="24" t="inlineStr">
        <is>
          <t>No = 0 | Yes = 1</t>
        </is>
      </c>
    </row>
    <row r="34">
      <c r="A34" s="24" t="n">
        <v>3</v>
      </c>
      <c r="B34" s="24" t="inlineStr">
        <is>
          <t>Have you ever felt bad or guilty about your drinking?</t>
        </is>
      </c>
      <c r="C34" s="24" t="inlineStr">
        <is>
          <t>Total</t>
        </is>
      </c>
      <c r="D34" s="24" t="inlineStr">
        <is>
          <t>FALSE</t>
        </is>
      </c>
      <c r="E34" s="24" t="inlineStr">
        <is>
          <t>FALSE</t>
        </is>
      </c>
      <c r="F34" s="24" t="n"/>
      <c r="G34" s="24" t="inlineStr">
        <is>
          <t>No = 0 | Yes = 1</t>
        </is>
      </c>
    </row>
    <row r="35">
      <c r="A35" s="24" t="n">
        <v>4</v>
      </c>
      <c r="B35" s="24" t="inlineStr">
        <is>
          <t>Have you ever had a drink first thing in the morning to steady your nerves or to get rid of a hangover (eye-opener)?</t>
        </is>
      </c>
      <c r="C35" s="24" t="inlineStr">
        <is>
          <t>Total</t>
        </is>
      </c>
      <c r="D35" s="24" t="inlineStr">
        <is>
          <t>FALSE</t>
        </is>
      </c>
      <c r="E35" s="24" t="inlineStr">
        <is>
          <t>FALSE</t>
        </is>
      </c>
      <c r="F35" s="24" t="n"/>
      <c r="G35" s="24" t="inlineStr">
        <is>
          <t>No = 0 | Yes = 1</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G73"/>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Community Assessment of Psychic Experiences</t>
        </is>
      </c>
    </row>
    <row r="3">
      <c r="A3" s="37" t="inlineStr">
        <is>
          <t>Instrument</t>
        </is>
      </c>
      <c r="B3" s="24" t="inlineStr">
        <is>
          <t>Community Assessment of Psychic Experiences</t>
        </is>
      </c>
      <c r="C3" s="24" t="n"/>
      <c r="D3" s="24" t="n"/>
      <c r="E3" s="24" t="n"/>
      <c r="F3" s="24" t="n"/>
      <c r="G3" s="24" t="n"/>
    </row>
    <row r="4">
      <c r="A4" s="37" t="inlineStr">
        <is>
          <t>Code</t>
        </is>
      </c>
      <c r="B4" s="24" t="inlineStr">
        <is>
          <t>CAPE-42</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Lifetime frequency of, and distress from, psychotic like experiences in the community across positive, negative and depressive dimensions.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16+</t>
        </is>
      </c>
      <c r="C9" s="24" t="n"/>
      <c r="D9" s="24" t="n"/>
      <c r="E9" s="24" t="n"/>
      <c r="F9" s="24" t="n"/>
      <c r="G9" s="24" t="n"/>
    </row>
    <row r="10">
      <c r="A10" s="37" t="inlineStr">
        <is>
          <t>Items in instrument</t>
        </is>
      </c>
      <c r="B10" s="24" t="n">
        <v>42</v>
      </c>
      <c r="C10" s="24" t="n"/>
      <c r="D10" s="24" t="n"/>
      <c r="E10" s="24" t="n"/>
      <c r="F10" s="24" t="n"/>
      <c r="G10" s="24" t="n"/>
    </row>
    <row r="11">
      <c r="A11" s="37" t="inlineStr">
        <is>
          <t>Items reproduced here</t>
        </is>
      </c>
      <c r="B11" s="24" t="n">
        <v>42</v>
      </c>
      <c r="C11" s="24" t="n"/>
      <c r="D11" s="24" t="n"/>
      <c r="E11" s="24" t="n"/>
      <c r="F11" s="24" t="n"/>
      <c r="G11" s="24" t="n"/>
    </row>
    <row r="12">
      <c r="A12" s="37" t="inlineStr">
        <is>
          <t>Administration time</t>
        </is>
      </c>
      <c r="B12" s="24" t="inlineStr">
        <is>
          <t>15 minutes</t>
        </is>
      </c>
      <c r="C12" s="24" t="n"/>
      <c r="D12" s="24" t="n"/>
      <c r="E12" s="24" t="n"/>
      <c r="F12" s="24" t="n"/>
      <c r="G12" s="24" t="n"/>
    </row>
    <row r="13">
      <c r="A13" s="37" t="inlineStr">
        <is>
          <t>Cost and access</t>
        </is>
      </c>
      <c r="B13" s="24" t="inlineStr">
        <is>
          <t>CamCOPS: Intellectual property "Public domain/freeware"; "totally freeware" (personal communication, Jim van Os to Rudolf Cardinal, 2014-10-16).</t>
        </is>
      </c>
      <c r="C13" s="24" t="n"/>
      <c r="D13" s="24" t="n"/>
      <c r="E13" s="24" t="n"/>
      <c r="F13" s="24" t="n"/>
      <c r="G13" s="24" t="n"/>
    </row>
    <row r="14">
      <c r="A14" s="37" t="inlineStr">
        <is>
          <t>Coaching application</t>
        </is>
      </c>
      <c r="B14" s="24" t="inlineStr">
        <is>
          <t>Dimensional measure for research and formulation rather than quick screening; the PQ-16 is shorter</t>
        </is>
      </c>
      <c r="C14" s="24" t="n"/>
      <c r="D14" s="24" t="n"/>
      <c r="E14" s="24" t="n"/>
      <c r="F14" s="24" t="n"/>
      <c r="G14" s="24" t="n"/>
    </row>
    <row r="15">
      <c r="A15" s="37" t="inlineStr">
        <is>
          <t>Purpose</t>
        </is>
      </c>
      <c r="B15" s="24" t="inlineStr">
        <is>
          <t>Lifetime frequency of, and distress from, psychotic like experiences in the community across positive, negative and depressive dimensions.</t>
        </is>
      </c>
      <c r="C15" s="24" t="n"/>
      <c r="D15" s="24" t="n"/>
      <c r="E15" s="24" t="n"/>
      <c r="F15" s="24" t="n"/>
      <c r="G15" s="24" t="n"/>
    </row>
    <row r="16">
      <c r="A16" s="37" t="inlineStr">
        <is>
          <t>Instructions / prompt</t>
        </is>
      </c>
      <c r="B16" s="24" t="inlineStr">
        <is>
          <t>Not reproduced in the CamCOPS string file beyond the distress stem "Please indicate how distressed you are by this experience:". The printed CAPE-42 asks respondents to rate how often they have had each experience, then, if the experience occurs at least sometimes, how distressed they are by it.</t>
        </is>
      </c>
      <c r="C16" s="24" t="n"/>
      <c r="D16" s="24" t="n"/>
      <c r="E16" s="24" t="n"/>
      <c r="F16" s="24" t="n"/>
      <c r="G16" s="24" t="n"/>
    </row>
    <row r="17">
      <c r="A17" s="37" t="inlineStr">
        <is>
          <t>Response options</t>
        </is>
      </c>
      <c r="B17" s="24" t="inlineStr">
        <is>
          <t>Never = 1 | Sometimes = 2 | Often = 3 | Nearly always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rated for frequency 1 (Never) to 4 (Nearly always); items rated Sometimes or higher are also rated for distress 1 (Not distressed) to 4 (Very distressed), with Never frequency recorded as Not distressed (1). For each dimension compute a frequency sum and a distress sum, usually reported as weighted means (sum divided by the number of items answered) so that scores range 1 to 4. A weighted severity score can also be computed by multiplying each item's frequency by its distress. Higher scores indicate more frequent or more distressing experiences. No diagnostic cut off; the CAPE-P15 positive short form uses a weighted mean of 1.47 as a risk threshold in some studies, and a weighted severity positive score above 1.75 has been proposed as a detector of at risk status.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Stefanis, N. C., Hanssen, M., Smirnis, N. K., Avramopoulos, D. A., Evdokimidis, I. K., Stefanis, C. N., Verdoux, H., &amp; van Os, J. (2002). Evidence that three dimensions of psychosis have a distribution in the general population. Psychological Medicine, 32(2), 347–358. https://doi.org/10.1017/S0033291701005141</t>
        </is>
      </c>
      <c r="C25" s="24" t="n"/>
      <c r="D25" s="24" t="n"/>
      <c r="E25" s="24" t="n"/>
      <c r="F25" s="24" t="n"/>
      <c r="G25" s="24" t="n"/>
    </row>
    <row r="26">
      <c r="A26" s="37" t="inlineStr">
        <is>
          <t>Copyright and licensing</t>
        </is>
      </c>
      <c r="B26" s="24" t="inlineStr">
        <is>
          <t>CamCOPS: Intellectual property "Public domain/freeware"; "totally freeware" (personal communication, Jim van Os to Rudolf Cardinal, 2014-10-16). Source: https://camcops.readthedocs.io/en/latest/tasks/cape.html</t>
        </is>
      </c>
      <c r="C26" s="24" t="n"/>
      <c r="D26" s="24" t="n"/>
      <c r="E26" s="24" t="n"/>
      <c r="F26" s="24" t="n"/>
      <c r="G26" s="24" t="n"/>
    </row>
    <row r="27">
      <c r="A27" s="37" t="inlineStr">
        <is>
          <t>Source URL</t>
        </is>
      </c>
      <c r="B27" s="24" t="inlineStr">
        <is>
          <t>https://camcops.readthedocs.io/en/latest/autodoc/server/camcops_server/extra_strings/cape42.xml.html</t>
        </is>
      </c>
      <c r="C27" s="24" t="n"/>
      <c r="D27" s="24" t="n"/>
      <c r="E27" s="24" t="n"/>
      <c r="F27" s="24" t="n"/>
      <c r="G27" s="24" t="n"/>
    </row>
    <row r="28">
      <c r="A28" s="37" t="inlineStr">
        <is>
          <t>Transcription note</t>
        </is>
      </c>
      <c r="B28" s="24" t="inlineStr">
        <is>
          <t>The itemsUrl cape42.homestead.com now returns "Sorry, the site you requested has been disabled". The 42 frequency items were transcribed from the CamCOPS cape42.xml string file (q1 to q42), which matches the item order on psytests.org. Each frequency item has a matching distress item with the stem "Please indicate how distressed you are by this experience:" and options Not distressed, A bit distressed, Quite distressed, Very distressed (1 to 4); these 42 distress items are recorded in each item note rather than as separate item objects. Respondent instructions for the frequency scale were not reproduced in any fetched source. The 20 Positive items were matched by wording to the Cambridge supplementary table (S0924933800015510sup004.pdf), which lists them without numbers. No open source reachable with WebFetch gave the item numbers for the Negative and Depressive dimensions (PMC pages were blocked by a browser check), so the remaining 22 items are coded "Negative or Depressive (dimension not confirmed from source)" and should be assigned from the original scoring key before use. Second pass: Negative and Depressive memberships resolved from the CamCOPS cape42.py task source (https://camcops.readthedocs.io/en/latest/_modules/camcops_server/tasks/cape42.html).</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Do you ever feel sad?</t>
        </is>
      </c>
      <c r="C32" s="24" t="inlineStr">
        <is>
          <t>Depressive</t>
        </is>
      </c>
      <c r="D32" s="24" t="inlineStr">
        <is>
          <t>FALSE</t>
        </is>
      </c>
      <c r="E32" s="24" t="inlineStr">
        <is>
          <t>FALSE</t>
        </is>
      </c>
      <c r="F32" s="24" t="inlineStr">
        <is>
          <t>Depressive dimension membership from the CamCOPS cape42.py task source. Paired distress item: "Please indicate how distressed you are by this experience:" rated 1 Not distressed to 4 Very distressed, answered only when frequency is Sometimes or above.</t>
        </is>
      </c>
      <c r="G32" s="24" t="inlineStr">
        <is>
          <t>Never = 1 | Sometimes = 2 | Often = 3 | Nearly always = 4</t>
        </is>
      </c>
    </row>
    <row r="33">
      <c r="A33" s="24" t="n">
        <v>2</v>
      </c>
      <c r="B33" s="24" t="inlineStr">
        <is>
          <t>Do you ever feel as if people seem to drop hints about you or say things with a double meaning?</t>
        </is>
      </c>
      <c r="C33" s="24" t="inlineStr">
        <is>
          <t>Positive</t>
        </is>
      </c>
      <c r="D33" s="24" t="inlineStr">
        <is>
          <t>FALSE</t>
        </is>
      </c>
      <c r="E33" s="24" t="inlineStr">
        <is>
          <t>FALSE</t>
        </is>
      </c>
      <c r="F33"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3" s="24" t="inlineStr">
        <is>
          <t>Never = 1 | Sometimes = 2 | Often = 3 | Nearly always = 4</t>
        </is>
      </c>
    </row>
    <row r="34">
      <c r="A34" s="24" t="n">
        <v>3</v>
      </c>
      <c r="B34" s="24" t="inlineStr">
        <is>
          <t>Do you ever feel that you are not a very animated person?</t>
        </is>
      </c>
      <c r="C34" s="24" t="inlineStr">
        <is>
          <t>Negative</t>
        </is>
      </c>
      <c r="D34" s="24" t="inlineStr">
        <is>
          <t>FALSE</t>
        </is>
      </c>
      <c r="E34" s="24" t="inlineStr">
        <is>
          <t>FALSE</t>
        </is>
      </c>
      <c r="F34" s="24" t="inlineStr">
        <is>
          <t>Negative dimension membership from the CamCOPS cape42.py task source. Paired distress item: "Please indicate how distressed you are by this experience:" rated 1 Not distressed to 4 Very distressed, answered only when frequency is Sometimes or above.</t>
        </is>
      </c>
      <c r="G34" s="24" t="inlineStr">
        <is>
          <t>Never = 1 | Sometimes = 2 | Often = 3 | Nearly always = 4</t>
        </is>
      </c>
    </row>
    <row r="35">
      <c r="A35" s="24" t="n">
        <v>4</v>
      </c>
      <c r="B35" s="24" t="inlineStr">
        <is>
          <t>Do you ever feel that you are not much of a talker when you are conversing with other people?</t>
        </is>
      </c>
      <c r="C35" s="24" t="inlineStr">
        <is>
          <t>Negative</t>
        </is>
      </c>
      <c r="D35" s="24" t="inlineStr">
        <is>
          <t>FALSE</t>
        </is>
      </c>
      <c r="E35" s="24" t="inlineStr">
        <is>
          <t>FALSE</t>
        </is>
      </c>
      <c r="F35" s="24" t="inlineStr">
        <is>
          <t>Negative dimension membership from the CamCOPS cape42.py task source. Paired distress item: "Please indicate how distressed you are by this experience:" rated 1 Not distressed to 4 Very distressed, answered only when frequency is Sometimes or above.</t>
        </is>
      </c>
      <c r="G35" s="24" t="inlineStr">
        <is>
          <t>Never = 1 | Sometimes = 2 | Often = 3 | Nearly always = 4</t>
        </is>
      </c>
    </row>
    <row r="36">
      <c r="A36" s="24" t="n">
        <v>5</v>
      </c>
      <c r="B36" s="24" t="inlineStr">
        <is>
          <t>Do you ever feel as if things in magazines or on TV were written especially for you?</t>
        </is>
      </c>
      <c r="C36" s="24" t="inlineStr">
        <is>
          <t>Positive</t>
        </is>
      </c>
      <c r="D36" s="24" t="inlineStr">
        <is>
          <t>FALSE</t>
        </is>
      </c>
      <c r="E36" s="24" t="inlineStr">
        <is>
          <t>FALSE</t>
        </is>
      </c>
      <c r="F36"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6" s="24" t="inlineStr">
        <is>
          <t>Never = 1 | Sometimes = 2 | Often = 3 | Nearly always = 4</t>
        </is>
      </c>
    </row>
    <row r="37">
      <c r="A37" s="24" t="n">
        <v>6</v>
      </c>
      <c r="B37" s="24" t="inlineStr">
        <is>
          <t>Do you ever feel as if some people are not what they seem to be?</t>
        </is>
      </c>
      <c r="C37" s="24" t="inlineStr">
        <is>
          <t>Positive</t>
        </is>
      </c>
      <c r="D37" s="24" t="inlineStr">
        <is>
          <t>FALSE</t>
        </is>
      </c>
      <c r="E37" s="24" t="inlineStr">
        <is>
          <t>FALSE</t>
        </is>
      </c>
      <c r="F37"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7" s="24" t="inlineStr">
        <is>
          <t>Never = 1 | Sometimes = 2 | Often = 3 | Nearly always = 4</t>
        </is>
      </c>
    </row>
    <row r="38">
      <c r="A38" s="24" t="n">
        <v>7</v>
      </c>
      <c r="B38" s="24" t="inlineStr">
        <is>
          <t>Do you ever feel as if you are being persecuted in some way?</t>
        </is>
      </c>
      <c r="C38" s="24" t="inlineStr">
        <is>
          <t>Positive</t>
        </is>
      </c>
      <c r="D38" s="24" t="inlineStr">
        <is>
          <t>FALSE</t>
        </is>
      </c>
      <c r="E38" s="24" t="inlineStr">
        <is>
          <t>FALSE</t>
        </is>
      </c>
      <c r="F38"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38" s="24" t="inlineStr">
        <is>
          <t>Never = 1 | Sometimes = 2 | Often = 3 | Nearly always = 4</t>
        </is>
      </c>
    </row>
    <row r="39">
      <c r="A39" s="24" t="n">
        <v>8</v>
      </c>
      <c r="B39" s="24" t="inlineStr">
        <is>
          <t>Do you ever feel that you experience few or no emotions at important events?</t>
        </is>
      </c>
      <c r="C39" s="24" t="inlineStr">
        <is>
          <t>Negative</t>
        </is>
      </c>
      <c r="D39" s="24" t="inlineStr">
        <is>
          <t>FALSE</t>
        </is>
      </c>
      <c r="E39" s="24" t="inlineStr">
        <is>
          <t>FALSE</t>
        </is>
      </c>
      <c r="F39" s="24" t="inlineStr">
        <is>
          <t>Negative dimension membership from the CamCOPS cape42.py task source. Paired distress item: "Please indicate how distressed you are by this experience:" rated 1 Not distressed to 4 Very distressed, answered only when frequency is Sometimes or above.</t>
        </is>
      </c>
      <c r="G39" s="24" t="inlineStr">
        <is>
          <t>Never = 1 | Sometimes = 2 | Often = 3 | Nearly always = 4</t>
        </is>
      </c>
    </row>
    <row r="40">
      <c r="A40" s="24" t="n">
        <v>9</v>
      </c>
      <c r="B40" s="24" t="inlineStr">
        <is>
          <t>Do you ever feel pessimistic about everything?</t>
        </is>
      </c>
      <c r="C40" s="24" t="inlineStr">
        <is>
          <t>Depressive</t>
        </is>
      </c>
      <c r="D40" s="24" t="inlineStr">
        <is>
          <t>FALSE</t>
        </is>
      </c>
      <c r="E40" s="24" t="inlineStr">
        <is>
          <t>FALSE</t>
        </is>
      </c>
      <c r="F40" s="24" t="inlineStr">
        <is>
          <t>Depressive dimension membership from the CamCOPS cape42.py task source. Paired distress item: "Please indicate how distressed you are by this experience:" rated 1 Not distressed to 4 Very distressed, answered only when frequency is Sometimes or above.</t>
        </is>
      </c>
      <c r="G40" s="24" t="inlineStr">
        <is>
          <t>Never = 1 | Sometimes = 2 | Often = 3 | Nearly always = 4</t>
        </is>
      </c>
    </row>
    <row r="41">
      <c r="A41" s="24" t="n">
        <v>10</v>
      </c>
      <c r="B41" s="24" t="inlineStr">
        <is>
          <t>Do you ever feel as if there is a conspiracy against you?</t>
        </is>
      </c>
      <c r="C41" s="24" t="inlineStr">
        <is>
          <t>Positive</t>
        </is>
      </c>
      <c r="D41" s="24" t="inlineStr">
        <is>
          <t>FALSE</t>
        </is>
      </c>
      <c r="E41" s="24" t="inlineStr">
        <is>
          <t>FALSE</t>
        </is>
      </c>
      <c r="F41"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1" s="24" t="inlineStr">
        <is>
          <t>Never = 1 | Sometimes = 2 | Often = 3 | Nearly always = 4</t>
        </is>
      </c>
    </row>
    <row r="42">
      <c r="A42" s="24" t="n">
        <v>11</v>
      </c>
      <c r="B42" s="24" t="inlineStr">
        <is>
          <t>Do you ever feel as if you are destined to be someone very important?</t>
        </is>
      </c>
      <c r="C42" s="24" t="inlineStr">
        <is>
          <t>Positive</t>
        </is>
      </c>
      <c r="D42" s="24" t="inlineStr">
        <is>
          <t>FALSE</t>
        </is>
      </c>
      <c r="E42" s="24" t="inlineStr">
        <is>
          <t>FALSE</t>
        </is>
      </c>
      <c r="F42"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2" s="24" t="inlineStr">
        <is>
          <t>Never = 1 | Sometimes = 2 | Often = 3 | Nearly always = 4</t>
        </is>
      </c>
    </row>
    <row r="43">
      <c r="A43" s="24" t="n">
        <v>12</v>
      </c>
      <c r="B43" s="24" t="inlineStr">
        <is>
          <t>Do you ever feel as if there is no future for you?</t>
        </is>
      </c>
      <c r="C43" s="24" t="inlineStr">
        <is>
          <t>Depressive</t>
        </is>
      </c>
      <c r="D43" s="24" t="inlineStr">
        <is>
          <t>FALSE</t>
        </is>
      </c>
      <c r="E43" s="24" t="inlineStr">
        <is>
          <t>FALSE</t>
        </is>
      </c>
      <c r="F43" s="24" t="inlineStr">
        <is>
          <t>Depressive dimension membership from the CamCOPS cape42.py task source. Paired distress item: "Please indicate how distressed you are by this experience:" rated 1 Not distressed to 4 Very distressed, answered only when frequency is Sometimes or above.</t>
        </is>
      </c>
      <c r="G43" s="24" t="inlineStr">
        <is>
          <t>Never = 1 | Sometimes = 2 | Often = 3 | Nearly always = 4</t>
        </is>
      </c>
    </row>
    <row r="44">
      <c r="A44" s="24" t="n">
        <v>13</v>
      </c>
      <c r="B44" s="24" t="inlineStr">
        <is>
          <t>Do you ever feel that you are a very special or unusual person?</t>
        </is>
      </c>
      <c r="C44" s="24" t="inlineStr">
        <is>
          <t>Positive</t>
        </is>
      </c>
      <c r="D44" s="24" t="inlineStr">
        <is>
          <t>FALSE</t>
        </is>
      </c>
      <c r="E44" s="24" t="inlineStr">
        <is>
          <t>FALSE</t>
        </is>
      </c>
      <c r="F44"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4" s="24" t="inlineStr">
        <is>
          <t>Never = 1 | Sometimes = 2 | Often = 3 | Nearly always = 4</t>
        </is>
      </c>
    </row>
    <row r="45">
      <c r="A45" s="24" t="n">
        <v>14</v>
      </c>
      <c r="B45" s="24" t="inlineStr">
        <is>
          <t>Do you ever feel as if you do not want to live anymore?</t>
        </is>
      </c>
      <c r="C45" s="24" t="inlineStr">
        <is>
          <t>Depressive</t>
        </is>
      </c>
      <c r="D45" s="24" t="inlineStr">
        <is>
          <t>FALSE</t>
        </is>
      </c>
      <c r="E45" s="24" t="inlineStr">
        <is>
          <t>FALSE</t>
        </is>
      </c>
      <c r="F45" s="24" t="inlineStr">
        <is>
          <t>Depressive dimension membership from the CamCOPS cape42.py task source. Paired distress item: "Please indicate how distressed you are by this experience:" rated 1 Not distressed to 4 Very distressed, answered only when frequency is Sometimes or above.</t>
        </is>
      </c>
      <c r="G45" s="24" t="inlineStr">
        <is>
          <t>Never = 1 | Sometimes = 2 | Often = 3 | Nearly always = 4</t>
        </is>
      </c>
    </row>
    <row r="46">
      <c r="A46" s="24" t="n">
        <v>15</v>
      </c>
      <c r="B46" s="24" t="inlineStr">
        <is>
          <t>Do you ever think that people can communicate telepathically?</t>
        </is>
      </c>
      <c r="C46" s="24" t="inlineStr">
        <is>
          <t>Positive</t>
        </is>
      </c>
      <c r="D46" s="24" t="inlineStr">
        <is>
          <t>FALSE</t>
        </is>
      </c>
      <c r="E46" s="24" t="inlineStr">
        <is>
          <t>FALSE</t>
        </is>
      </c>
      <c r="F46"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6" s="24" t="inlineStr">
        <is>
          <t>Never = 1 | Sometimes = 2 | Often = 3 | Nearly always = 4</t>
        </is>
      </c>
    </row>
    <row r="47">
      <c r="A47" s="24" t="n">
        <v>16</v>
      </c>
      <c r="B47" s="24" t="inlineStr">
        <is>
          <t>Do you ever feel that you have no interest to be with other people?</t>
        </is>
      </c>
      <c r="C47" s="24" t="inlineStr">
        <is>
          <t>Negative</t>
        </is>
      </c>
      <c r="D47" s="24" t="inlineStr">
        <is>
          <t>FALSE</t>
        </is>
      </c>
      <c r="E47" s="24" t="inlineStr">
        <is>
          <t>FALSE</t>
        </is>
      </c>
      <c r="F47" s="24" t="inlineStr">
        <is>
          <t>Negative dimension membership from the CamCOPS cape42.py task source. Paired distress item: "Please indicate how distressed you are by this experience:" rated 1 Not distressed to 4 Very distressed, answered only when frequency is Sometimes or above.</t>
        </is>
      </c>
      <c r="G47" s="24" t="inlineStr">
        <is>
          <t>Never = 1 | Sometimes = 2 | Often = 3 | Nearly always = 4</t>
        </is>
      </c>
    </row>
    <row r="48">
      <c r="A48" s="24" t="n">
        <v>17</v>
      </c>
      <c r="B48" s="24" t="inlineStr">
        <is>
          <t>Do you ever feel as if electrical devices such as computers can influence the way you think?</t>
        </is>
      </c>
      <c r="C48" s="24" t="inlineStr">
        <is>
          <t>Positive</t>
        </is>
      </c>
      <c r="D48" s="24" t="inlineStr">
        <is>
          <t>FALSE</t>
        </is>
      </c>
      <c r="E48" s="24" t="inlineStr">
        <is>
          <t>FALSE</t>
        </is>
      </c>
      <c r="F48"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48" s="24" t="inlineStr">
        <is>
          <t>Never = 1 | Sometimes = 2 | Often = 3 | Nearly always = 4</t>
        </is>
      </c>
    </row>
    <row r="49">
      <c r="A49" s="24" t="n">
        <v>18</v>
      </c>
      <c r="B49" s="24" t="inlineStr">
        <is>
          <t>Do you ever feel that you are lacking in motivation to do things?</t>
        </is>
      </c>
      <c r="C49" s="24" t="inlineStr">
        <is>
          <t>Negative</t>
        </is>
      </c>
      <c r="D49" s="24" t="inlineStr">
        <is>
          <t>FALSE</t>
        </is>
      </c>
      <c r="E49" s="24" t="inlineStr">
        <is>
          <t>FALSE</t>
        </is>
      </c>
      <c r="F49" s="24" t="inlineStr">
        <is>
          <t>Negative dimension membership from the CamCOPS cape42.py task source. Paired distress item: "Please indicate how distressed you are by this experience:" rated 1 Not distressed to 4 Very distressed, answered only when frequency is Sometimes or above.</t>
        </is>
      </c>
      <c r="G49" s="24" t="inlineStr">
        <is>
          <t>Never = 1 | Sometimes = 2 | Often = 3 | Nearly always = 4</t>
        </is>
      </c>
    </row>
    <row r="50">
      <c r="A50" s="24" t="n">
        <v>19</v>
      </c>
      <c r="B50" s="24" t="inlineStr">
        <is>
          <t>Do you ever cry about nothing?</t>
        </is>
      </c>
      <c r="C50" s="24" t="inlineStr">
        <is>
          <t>Depressive</t>
        </is>
      </c>
      <c r="D50" s="24" t="inlineStr">
        <is>
          <t>FALSE</t>
        </is>
      </c>
      <c r="E50" s="24" t="inlineStr">
        <is>
          <t>FALSE</t>
        </is>
      </c>
      <c r="F50" s="24" t="inlineStr">
        <is>
          <t>Depressive dimension membership from the CamCOPS cape42.py task source. Paired distress item: "Please indicate how distressed you are by this experience:" rated 1 Not distressed to 4 Very distressed, answered only when frequency is Sometimes or above.</t>
        </is>
      </c>
      <c r="G50" s="24" t="inlineStr">
        <is>
          <t>Never = 1 | Sometimes = 2 | Often = 3 | Nearly always = 4</t>
        </is>
      </c>
    </row>
    <row r="51">
      <c r="A51" s="24" t="n">
        <v>20</v>
      </c>
      <c r="B51" s="24" t="inlineStr">
        <is>
          <t>Do you believe in the power of witchcraft, voodoo or the occult?</t>
        </is>
      </c>
      <c r="C51" s="24" t="inlineStr">
        <is>
          <t>Positive</t>
        </is>
      </c>
      <c r="D51" s="24" t="inlineStr">
        <is>
          <t>FALSE</t>
        </is>
      </c>
      <c r="E51" s="24" t="inlineStr">
        <is>
          <t>FALSE</t>
        </is>
      </c>
      <c r="F51"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1" s="24" t="inlineStr">
        <is>
          <t>Never = 1 | Sometimes = 2 | Often = 3 | Nearly always = 4</t>
        </is>
      </c>
    </row>
    <row r="52">
      <c r="A52" s="24" t="n">
        <v>21</v>
      </c>
      <c r="B52" s="24" t="inlineStr">
        <is>
          <t>Do you ever feel that you are lacking in energy?</t>
        </is>
      </c>
      <c r="C52" s="24" t="inlineStr">
        <is>
          <t>Negative</t>
        </is>
      </c>
      <c r="D52" s="24" t="inlineStr">
        <is>
          <t>FALSE</t>
        </is>
      </c>
      <c r="E52" s="24" t="inlineStr">
        <is>
          <t>FALSE</t>
        </is>
      </c>
      <c r="F52" s="24" t="inlineStr">
        <is>
          <t>Negative dimension membership from the CamCOPS cape42.py task source. Paired distress item: "Please indicate how distressed you are by this experience:" rated 1 Not distressed to 4 Very distressed, answered only when frequency is Sometimes or above.</t>
        </is>
      </c>
      <c r="G52" s="24" t="inlineStr">
        <is>
          <t>Never = 1 | Sometimes = 2 | Often = 3 | Nearly always = 4</t>
        </is>
      </c>
    </row>
    <row r="53">
      <c r="A53" s="24" t="n">
        <v>22</v>
      </c>
      <c r="B53" s="24" t="inlineStr">
        <is>
          <t>Do you ever feel that people look at you oddly because of your appearance?</t>
        </is>
      </c>
      <c r="C53" s="24" t="inlineStr">
        <is>
          <t>Positive</t>
        </is>
      </c>
      <c r="D53" s="24" t="inlineStr">
        <is>
          <t>FALSE</t>
        </is>
      </c>
      <c r="E53" s="24" t="inlineStr">
        <is>
          <t>FALSE</t>
        </is>
      </c>
      <c r="F53"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3" s="24" t="inlineStr">
        <is>
          <t>Never = 1 | Sometimes = 2 | Often = 3 | Nearly always = 4</t>
        </is>
      </c>
    </row>
    <row r="54">
      <c r="A54" s="24" t="n">
        <v>23</v>
      </c>
      <c r="B54" s="24" t="inlineStr">
        <is>
          <t>Do you ever feel that your mind is empty?</t>
        </is>
      </c>
      <c r="C54" s="24" t="inlineStr">
        <is>
          <t>Negative</t>
        </is>
      </c>
      <c r="D54" s="24" t="inlineStr">
        <is>
          <t>FALSE</t>
        </is>
      </c>
      <c r="E54" s="24" t="inlineStr">
        <is>
          <t>FALSE</t>
        </is>
      </c>
      <c r="F54" s="24" t="inlineStr">
        <is>
          <t>Negative dimension membership from the CamCOPS cape42.py task source. Paired distress item: "Please indicate how distressed you are by this experience:" rated 1 Not distressed to 4 Very distressed, answered only when frequency is Sometimes or above.</t>
        </is>
      </c>
      <c r="G54" s="24" t="inlineStr">
        <is>
          <t>Never = 1 | Sometimes = 2 | Often = 3 | Nearly always = 4</t>
        </is>
      </c>
    </row>
    <row r="55">
      <c r="A55" s="24" t="n">
        <v>24</v>
      </c>
      <c r="B55" s="24" t="inlineStr">
        <is>
          <t>Do you ever feel as if the thoughts in your head are being taken away from you?</t>
        </is>
      </c>
      <c r="C55" s="24" t="inlineStr">
        <is>
          <t>Positive</t>
        </is>
      </c>
      <c r="D55" s="24" t="inlineStr">
        <is>
          <t>FALSE</t>
        </is>
      </c>
      <c r="E55" s="24" t="inlineStr">
        <is>
          <t>FALSE</t>
        </is>
      </c>
      <c r="F55"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5" s="24" t="inlineStr">
        <is>
          <t>Never = 1 | Sometimes = 2 | Often = 3 | Nearly always = 4</t>
        </is>
      </c>
    </row>
    <row r="56">
      <c r="A56" s="24" t="n">
        <v>25</v>
      </c>
      <c r="B56" s="24" t="inlineStr">
        <is>
          <t>Do you ever feel that you are spending all your days doing nothing?</t>
        </is>
      </c>
      <c r="C56" s="24" t="inlineStr">
        <is>
          <t>Negative</t>
        </is>
      </c>
      <c r="D56" s="24" t="inlineStr">
        <is>
          <t>FALSE</t>
        </is>
      </c>
      <c r="E56" s="24" t="inlineStr">
        <is>
          <t>FALSE</t>
        </is>
      </c>
      <c r="F56" s="24" t="inlineStr">
        <is>
          <t>Negative dimension membership from the CamCOPS cape42.py task source. Paired distress item: "Please indicate how distressed you are by this experience:" rated 1 Not distressed to 4 Very distressed, answered only when frequency is Sometimes or above.</t>
        </is>
      </c>
      <c r="G56" s="24" t="inlineStr">
        <is>
          <t>Never = 1 | Sometimes = 2 | Often = 3 | Nearly always = 4</t>
        </is>
      </c>
    </row>
    <row r="57">
      <c r="A57" s="24" t="n">
        <v>26</v>
      </c>
      <c r="B57" s="24" t="inlineStr">
        <is>
          <t>Do you ever feel as if the thoughts in your head are not your own?</t>
        </is>
      </c>
      <c r="C57" s="24" t="inlineStr">
        <is>
          <t>Positive</t>
        </is>
      </c>
      <c r="D57" s="24" t="inlineStr">
        <is>
          <t>FALSE</t>
        </is>
      </c>
      <c r="E57" s="24" t="inlineStr">
        <is>
          <t>FALSE</t>
        </is>
      </c>
      <c r="F57"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7" s="24" t="inlineStr">
        <is>
          <t>Never = 1 | Sometimes = 2 | Often = 3 | Nearly always = 4</t>
        </is>
      </c>
    </row>
    <row r="58">
      <c r="A58" s="24" t="n">
        <v>27</v>
      </c>
      <c r="B58" s="24" t="inlineStr">
        <is>
          <t>Do you ever feel that your feelings are lacking in intensity?</t>
        </is>
      </c>
      <c r="C58" s="24" t="inlineStr">
        <is>
          <t>Negative</t>
        </is>
      </c>
      <c r="D58" s="24" t="inlineStr">
        <is>
          <t>FALSE</t>
        </is>
      </c>
      <c r="E58" s="24" t="inlineStr">
        <is>
          <t>FALSE</t>
        </is>
      </c>
      <c r="F58" s="24" t="inlineStr">
        <is>
          <t>Negative dimension membership from the CamCOPS cape42.py task source. Paired distress item: "Please indicate how distressed you are by this experience:" rated 1 Not distressed to 4 Very distressed, answered only when frequency is Sometimes or above.</t>
        </is>
      </c>
      <c r="G58" s="24" t="inlineStr">
        <is>
          <t>Never = 1 | Sometimes = 2 | Often = 3 | Nearly always = 4</t>
        </is>
      </c>
    </row>
    <row r="59">
      <c r="A59" s="24" t="n">
        <v>28</v>
      </c>
      <c r="B59" s="24" t="inlineStr">
        <is>
          <t>Have your thoughts ever been so vivid that you were worried other people would hear them?</t>
        </is>
      </c>
      <c r="C59" s="24" t="inlineStr">
        <is>
          <t>Positive</t>
        </is>
      </c>
      <c r="D59" s="24" t="inlineStr">
        <is>
          <t>FALSE</t>
        </is>
      </c>
      <c r="E59" s="24" t="inlineStr">
        <is>
          <t>FALSE</t>
        </is>
      </c>
      <c r="F59"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59" s="24" t="inlineStr">
        <is>
          <t>Never = 1 | Sometimes = 2 | Often = 3 | Nearly always = 4</t>
        </is>
      </c>
    </row>
    <row r="60">
      <c r="A60" s="24" t="n">
        <v>29</v>
      </c>
      <c r="B60" s="24" t="inlineStr">
        <is>
          <t>Do you ever feel that you are lacking in spontaneity?</t>
        </is>
      </c>
      <c r="C60" s="24" t="inlineStr">
        <is>
          <t>Negative</t>
        </is>
      </c>
      <c r="D60" s="24" t="inlineStr">
        <is>
          <t>FALSE</t>
        </is>
      </c>
      <c r="E60" s="24" t="inlineStr">
        <is>
          <t>FALSE</t>
        </is>
      </c>
      <c r="F60" s="24" t="inlineStr">
        <is>
          <t>Negative dimension membership from the CamCOPS cape42.py task source. Paired distress item: "Please indicate how distressed you are by this experience:" rated 1 Not distressed to 4 Very distressed, answered only when frequency is Sometimes or above.</t>
        </is>
      </c>
      <c r="G60" s="24" t="inlineStr">
        <is>
          <t>Never = 1 | Sometimes = 2 | Often = 3 | Nearly always = 4</t>
        </is>
      </c>
    </row>
    <row r="61">
      <c r="A61" s="24" t="n">
        <v>30</v>
      </c>
      <c r="B61" s="24" t="inlineStr">
        <is>
          <t>Do you ever hear your own thoughts being echoed back to you?</t>
        </is>
      </c>
      <c r="C61" s="24" t="inlineStr">
        <is>
          <t>Positive</t>
        </is>
      </c>
      <c r="D61" s="24" t="inlineStr">
        <is>
          <t>FALSE</t>
        </is>
      </c>
      <c r="E61" s="24" t="inlineStr">
        <is>
          <t>FALSE</t>
        </is>
      </c>
      <c r="F61"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1" s="24" t="inlineStr">
        <is>
          <t>Never = 1 | Sometimes = 2 | Often = 3 | Nearly always = 4</t>
        </is>
      </c>
    </row>
    <row r="62">
      <c r="A62" s="24" t="n">
        <v>31</v>
      </c>
      <c r="B62" s="24" t="inlineStr">
        <is>
          <t>Do you ever feel as if you are under the control of some force or power other than yourself?</t>
        </is>
      </c>
      <c r="C62" s="24" t="inlineStr">
        <is>
          <t>Positive</t>
        </is>
      </c>
      <c r="D62" s="24" t="inlineStr">
        <is>
          <t>FALSE</t>
        </is>
      </c>
      <c r="E62" s="24" t="inlineStr">
        <is>
          <t>FALSE</t>
        </is>
      </c>
      <c r="F62"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2" s="24" t="inlineStr">
        <is>
          <t>Never = 1 | Sometimes = 2 | Often = 3 | Nearly always = 4</t>
        </is>
      </c>
    </row>
    <row r="63">
      <c r="A63" s="24" t="n">
        <v>32</v>
      </c>
      <c r="B63" s="24" t="inlineStr">
        <is>
          <t>Do you ever feel that your emotions are blunted?</t>
        </is>
      </c>
      <c r="C63" s="24" t="inlineStr">
        <is>
          <t>Negative</t>
        </is>
      </c>
      <c r="D63" s="24" t="inlineStr">
        <is>
          <t>FALSE</t>
        </is>
      </c>
      <c r="E63" s="24" t="inlineStr">
        <is>
          <t>FALSE</t>
        </is>
      </c>
      <c r="F63" s="24" t="inlineStr">
        <is>
          <t>Negative dimension membership from the CamCOPS cape42.py task source. Paired distress item: "Please indicate how distressed you are by this experience:" rated 1 Not distressed to 4 Very distressed, answered only when frequency is Sometimes or above.</t>
        </is>
      </c>
      <c r="G63" s="24" t="inlineStr">
        <is>
          <t>Never = 1 | Sometimes = 2 | Often = 3 | Nearly always = 4</t>
        </is>
      </c>
    </row>
    <row r="64">
      <c r="A64" s="24" t="n">
        <v>33</v>
      </c>
      <c r="B64" s="24" t="inlineStr">
        <is>
          <t>Do you ever hear voices when you are alone?</t>
        </is>
      </c>
      <c r="C64" s="24" t="inlineStr">
        <is>
          <t>Positive</t>
        </is>
      </c>
      <c r="D64" s="24" t="inlineStr">
        <is>
          <t>FALSE</t>
        </is>
      </c>
      <c r="E64" s="24" t="inlineStr">
        <is>
          <t>FALSE</t>
        </is>
      </c>
      <c r="F64"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4" s="24" t="inlineStr">
        <is>
          <t>Never = 1 | Sometimes = 2 | Often = 3 | Nearly always = 4</t>
        </is>
      </c>
    </row>
    <row r="65">
      <c r="A65" s="24" t="n">
        <v>34</v>
      </c>
      <c r="B65" s="24" t="inlineStr">
        <is>
          <t>Do you ever hear voices talking to each other when you are alone?</t>
        </is>
      </c>
      <c r="C65" s="24" t="inlineStr">
        <is>
          <t>Positive</t>
        </is>
      </c>
      <c r="D65" s="24" t="inlineStr">
        <is>
          <t>FALSE</t>
        </is>
      </c>
      <c r="E65" s="24" t="inlineStr">
        <is>
          <t>FALSE</t>
        </is>
      </c>
      <c r="F65"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65" s="24" t="inlineStr">
        <is>
          <t>Never = 1 | Sometimes = 2 | Often = 3 | Nearly always = 4</t>
        </is>
      </c>
    </row>
    <row r="66">
      <c r="A66" s="24" t="n">
        <v>35</v>
      </c>
      <c r="B66" s="24" t="inlineStr">
        <is>
          <t>Do you ever feel that you are neglecting your appearance or personal hygiene?</t>
        </is>
      </c>
      <c r="C66" s="24" t="inlineStr">
        <is>
          <t>Negative</t>
        </is>
      </c>
      <c r="D66" s="24" t="inlineStr">
        <is>
          <t>FALSE</t>
        </is>
      </c>
      <c r="E66" s="24" t="inlineStr">
        <is>
          <t>FALSE</t>
        </is>
      </c>
      <c r="F66" s="24" t="inlineStr">
        <is>
          <t>Negative dimension membership from the CamCOPS cape42.py task source. Paired distress item: "Please indicate how distressed you are by this experience:" rated 1 Not distressed to 4 Very distressed, answered only when frequency is Sometimes or above.</t>
        </is>
      </c>
      <c r="G66" s="24" t="inlineStr">
        <is>
          <t>Never = 1 | Sometimes = 2 | Often = 3 | Nearly always = 4</t>
        </is>
      </c>
    </row>
    <row r="67">
      <c r="A67" s="24" t="n">
        <v>36</v>
      </c>
      <c r="B67" s="24" t="inlineStr">
        <is>
          <t>Do you ever feel that you can never get things done?</t>
        </is>
      </c>
      <c r="C67" s="24" t="inlineStr">
        <is>
          <t>Negative</t>
        </is>
      </c>
      <c r="D67" s="24" t="inlineStr">
        <is>
          <t>FALSE</t>
        </is>
      </c>
      <c r="E67" s="24" t="inlineStr">
        <is>
          <t>FALSE</t>
        </is>
      </c>
      <c r="F67" s="24" t="inlineStr">
        <is>
          <t>Negative dimension membership from the CamCOPS cape42.py task source. Paired distress item: "Please indicate how distressed you are by this experience:" rated 1 Not distressed to 4 Very distressed, answered only when frequency is Sometimes or above.</t>
        </is>
      </c>
      <c r="G67" s="24" t="inlineStr">
        <is>
          <t>Never = 1 | Sometimes = 2 | Often = 3 | Nearly always = 4</t>
        </is>
      </c>
    </row>
    <row r="68">
      <c r="A68" s="24" t="n">
        <v>37</v>
      </c>
      <c r="B68" s="24" t="inlineStr">
        <is>
          <t>Do you ever feel that you have only few hobbies or interests?</t>
        </is>
      </c>
      <c r="C68" s="24" t="inlineStr">
        <is>
          <t>Negative</t>
        </is>
      </c>
      <c r="D68" s="24" t="inlineStr">
        <is>
          <t>FALSE</t>
        </is>
      </c>
      <c r="E68" s="24" t="inlineStr">
        <is>
          <t>FALSE</t>
        </is>
      </c>
      <c r="F68" s="24" t="inlineStr">
        <is>
          <t>Negative dimension membership from the CamCOPS cape42.py task source. Paired distress item: "Please indicate how distressed you are by this experience:" rated 1 Not distressed to 4 Very distressed, answered only when frequency is Sometimes or above.</t>
        </is>
      </c>
      <c r="G68" s="24" t="inlineStr">
        <is>
          <t>Never = 1 | Sometimes = 2 | Often = 3 | Nearly always = 4</t>
        </is>
      </c>
    </row>
    <row r="69">
      <c r="A69" s="24" t="n">
        <v>38</v>
      </c>
      <c r="B69" s="24" t="inlineStr">
        <is>
          <t>Do you ever feel guilty?</t>
        </is>
      </c>
      <c r="C69" s="24" t="inlineStr">
        <is>
          <t>Depressive</t>
        </is>
      </c>
      <c r="D69" s="24" t="inlineStr">
        <is>
          <t>FALSE</t>
        </is>
      </c>
      <c r="E69" s="24" t="inlineStr">
        <is>
          <t>FALSE</t>
        </is>
      </c>
      <c r="F69" s="24" t="inlineStr">
        <is>
          <t>Depressive dimension membership from the CamCOPS cape42.py task source. Paired distress item: "Please indicate how distressed you are by this experience:" rated 1 Not distressed to 4 Very distressed, answered only when frequency is Sometimes or above.</t>
        </is>
      </c>
      <c r="G69" s="24" t="inlineStr">
        <is>
          <t>Never = 1 | Sometimes = 2 | Often = 3 | Nearly always = 4</t>
        </is>
      </c>
    </row>
    <row r="70">
      <c r="A70" s="24" t="n">
        <v>39</v>
      </c>
      <c r="B70" s="24" t="inlineStr">
        <is>
          <t>Do you ever feel like a failure?</t>
        </is>
      </c>
      <c r="C70" s="24" t="inlineStr">
        <is>
          <t>Depressive</t>
        </is>
      </c>
      <c r="D70" s="24" t="inlineStr">
        <is>
          <t>FALSE</t>
        </is>
      </c>
      <c r="E70" s="24" t="inlineStr">
        <is>
          <t>FALSE</t>
        </is>
      </c>
      <c r="F70" s="24" t="inlineStr">
        <is>
          <t>Depressive dimension membership from the CamCOPS cape42.py task source. Paired distress item: "Please indicate how distressed you are by this experience:" rated 1 Not distressed to 4 Very distressed, answered only when frequency is Sometimes or above.</t>
        </is>
      </c>
      <c r="G70" s="24" t="inlineStr">
        <is>
          <t>Never = 1 | Sometimes = 2 | Often = 3 | Nearly always = 4</t>
        </is>
      </c>
    </row>
    <row r="71">
      <c r="A71" s="24" t="n">
        <v>40</v>
      </c>
      <c r="B71" s="24" t="inlineStr">
        <is>
          <t>Do you ever feel tense?</t>
        </is>
      </c>
      <c r="C71" s="24" t="inlineStr">
        <is>
          <t>Depressive</t>
        </is>
      </c>
      <c r="D71" s="24" t="inlineStr">
        <is>
          <t>FALSE</t>
        </is>
      </c>
      <c r="E71" s="24" t="inlineStr">
        <is>
          <t>FALSE</t>
        </is>
      </c>
      <c r="F71" s="24" t="inlineStr">
        <is>
          <t>Depressive dimension membership from the CamCOPS cape42.py task source. Paired distress item: "Please indicate how distressed you are by this experience:" rated 1 Not distressed to 4 Very distressed, answered only when frequency is Sometimes or above.</t>
        </is>
      </c>
      <c r="G71" s="24" t="inlineStr">
        <is>
          <t>Never = 1 | Sometimes = 2 | Often = 3 | Nearly always = 4</t>
        </is>
      </c>
    </row>
    <row r="72">
      <c r="A72" s="24" t="n">
        <v>41</v>
      </c>
      <c r="B72" s="24" t="inlineStr">
        <is>
          <t>Do you ever feel as if a double has taken the place of a family member, friend or acquaintance?</t>
        </is>
      </c>
      <c r="C72" s="24" t="inlineStr">
        <is>
          <t>Positive</t>
        </is>
      </c>
      <c r="D72" s="24" t="inlineStr">
        <is>
          <t>FALSE</t>
        </is>
      </c>
      <c r="E72" s="24" t="inlineStr">
        <is>
          <t>FALSE</t>
        </is>
      </c>
      <c r="F72"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72" s="24" t="inlineStr">
        <is>
          <t>Never = 1 | Sometimes = 2 | Often = 3 | Nearly always = 4</t>
        </is>
      </c>
    </row>
    <row r="73">
      <c r="A73" s="24" t="n">
        <v>42</v>
      </c>
      <c r="B73" s="24" t="inlineStr">
        <is>
          <t>Do you ever see objects, people or animals that other people cannot see?</t>
        </is>
      </c>
      <c r="C73" s="24" t="inlineStr">
        <is>
          <t>Positive</t>
        </is>
      </c>
      <c r="D73" s="24" t="inlineStr">
        <is>
          <t>FALSE</t>
        </is>
      </c>
      <c r="E73" s="24" t="inlineStr">
        <is>
          <t>FALSE</t>
        </is>
      </c>
      <c r="F73" s="24" t="inlineStr">
        <is>
          <t>Positive dimension membership confirmed from the Cambridge supplementary table of the 20 CAPE-42 positive items. Paired distress item: "Please indicate how distressed you are by this experience:" rated 1 Not distressed to 4 Very distressed, answered only when frequency is Sometimes or above.</t>
        </is>
      </c>
      <c r="G73" s="24" t="inlineStr">
        <is>
          <t>Never = 1 | Sometimes = 2 | Often = 3 | Nearly always = 4</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Copenhagen Burnout Inventory</t>
        </is>
      </c>
    </row>
    <row r="3">
      <c r="A3" s="37" t="inlineStr">
        <is>
          <t>Instrument</t>
        </is>
      </c>
      <c r="B3" s="24" t="inlineStr">
        <is>
          <t>Copenhagen Burnout Inventory</t>
        </is>
      </c>
      <c r="C3" s="24" t="n"/>
      <c r="D3" s="24" t="n"/>
      <c r="E3" s="24" t="n"/>
      <c r="F3" s="24" t="n"/>
      <c r="G3" s="24" t="n"/>
    </row>
    <row r="4">
      <c r="A4" s="37" t="inlineStr">
        <is>
          <t>Code</t>
        </is>
      </c>
      <c r="B4" s="24" t="inlineStr">
        <is>
          <t>CBI</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Burnout as fatigue and exhaustion attributed to three domains: life in general, work, and work with clients.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Working adults</t>
        </is>
      </c>
      <c r="C9" s="24" t="n"/>
      <c r="D9" s="24" t="n"/>
      <c r="E9" s="24" t="n"/>
      <c r="F9" s="24" t="n"/>
      <c r="G9" s="24" t="n"/>
    </row>
    <row r="10">
      <c r="A10" s="37" t="inlineStr">
        <is>
          <t>Items in instrument</t>
        </is>
      </c>
      <c r="B10" s="24" t="n">
        <v>19</v>
      </c>
      <c r="C10" s="24" t="n"/>
      <c r="D10" s="24" t="n"/>
      <c r="E10" s="24" t="n"/>
      <c r="F10" s="24" t="n"/>
      <c r="G10" s="24" t="n"/>
    </row>
    <row r="11">
      <c r="A11" s="37" t="inlineStr">
        <is>
          <t>Items reproduced here</t>
        </is>
      </c>
      <c r="B11" s="24" t="n">
        <v>19</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t>
        </is>
      </c>
      <c r="C13" s="24" t="n"/>
      <c r="D13" s="24" t="n"/>
      <c r="E13" s="24" t="n"/>
      <c r="F13" s="24" t="n"/>
      <c r="G13" s="24" t="n"/>
    </row>
    <row r="14">
      <c r="A14" s="37" t="inlineStr">
        <is>
          <t>Coaching application</t>
        </is>
      </c>
      <c r="B14" s="24" t="inlineStr">
        <is>
          <t>Strong choice for coaching: free for commercial use with citation, and the personal versus work split helps locate the source of exhaustion.</t>
        </is>
      </c>
      <c r="C14" s="24" t="n"/>
      <c r="D14" s="24" t="n"/>
      <c r="E14" s="24" t="n"/>
      <c r="F14" s="24" t="n"/>
      <c r="G14" s="24" t="n"/>
    </row>
    <row r="15">
      <c r="A15" s="37" t="inlineStr">
        <is>
          <t>Purpose</t>
        </is>
      </c>
      <c r="B15" s="24" t="inlineStr">
        <is>
          <t>Burnout as fatigue and exhaustion attributed to three domains: life in general, work, and work with clients.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Always = 100 | Often = 75 | Sometimes = 50 | Seldom = 25 | Never/almost never = 0</t>
        </is>
      </c>
      <c r="C17" s="24" t="n"/>
      <c r="D17" s="24" t="n"/>
      <c r="E17" s="24" t="n"/>
      <c r="F17" s="24" t="n"/>
      <c r="G17" s="24" t="n"/>
    </row>
    <row r="18">
      <c r="A18" s="37" t="inlineStr">
        <is>
          <t>Reverse-scored items</t>
        </is>
      </c>
      <c r="B18" s="24" t="inlineStr">
        <is>
          <t>13</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response Always or To a very high degree = 100, Often or To a high degree = 75, Sometimes or Somewhat = 50, Seldom or To a low degree = 25, Never/almost never or To a very low degree = 0, with item 13 reversed. Each subscale score is the mean of its items (0 to 100); higher scores indicate more burnout. A respondent is treated as a non responder on a scale if fewer than 3 personal items, fewer than 4 work items or fewer than 3 client items are answered. The NFA source gives no formal cut off; the PUMA study treated 50 or more as high burnout, and later studies commonly use 50 to 74 moderate, 75 to 99 high and 100 severe. The source recommends not presenting items in the order printed and mixing them with items on other topics.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Kristensen, T. S., Borritz, M., Villadsen, E., &amp; Christensen, K. B. (2005). The Copenhagen Burnout Inventory: A new tool for the assessment of burnout. Work &amp; Stress, 19(3), 192–207. https://doi.org/10.1080/02678370500297720</t>
        </is>
      </c>
      <c r="C25" s="24" t="n"/>
      <c r="D25" s="24" t="n"/>
      <c r="E25" s="24" t="n"/>
      <c r="F25" s="24" t="n"/>
      <c r="G25" s="24" t="n"/>
    </row>
    <row r="26">
      <c r="A26" s="37" t="inlineStr">
        <is>
          <t>Copyright and licensing</t>
        </is>
      </c>
      <c r="B26" s="24" t="inlineStr">
        <is>
          <t>NFA (National Research Centre for the Working Environment): the CBI "may be used freely for non-commercial and commercial purposes, provided that the following source is clearly cited" (Borritz et al., 2006, Scandinavian Journal of Public Health). The first edition PDF itself carries no copyright statement. Source: https://www.nfa.dk/vaerktoejer/spoergeskemaer/spoergeskema-til-maaling-af-udbraendthed-cbi/copenhagen-burnout-inventory-cbi</t>
        </is>
      </c>
      <c r="C26" s="24" t="n"/>
      <c r="D26" s="24" t="n"/>
      <c r="E26" s="24" t="n"/>
      <c r="F26" s="24" t="n"/>
      <c r="G26" s="24" t="n"/>
    </row>
    <row r="27">
      <c r="A27" s="37" t="inlineStr">
        <is>
          <t>Source URL</t>
        </is>
      </c>
      <c r="B27" s="24" t="inlineStr">
        <is>
          <t>https://nfa.dk/media/hl5nbers/cbi-first-edition.pdf</t>
        </is>
      </c>
      <c r="C27" s="24" t="n"/>
      <c r="D27" s="24" t="n"/>
      <c r="E27" s="24" t="n"/>
      <c r="F27" s="24" t="n"/>
      <c r="G27" s="24" t="n"/>
    </row>
    <row r="28">
      <c r="A28" s="37" t="inlineStr">
        <is>
          <t>Transcription note</t>
        </is>
      </c>
      <c r="B28" s="24" t="inlineStr">
        <is>
          <t>Items transcribed from the NFA first edition PDF (Borritz and Kristensen, February 2004). The PDF prints the items grouped by scale without consecutive numbering; numbers 1 to 19 here follow the printed order (personal, work, client). The PDF gives no respondent instructions, only the 3 scale definitions quoted in the subscale descriptions. The PDF lists numeric values (100, 75, 50, 25, 0) only for the frequency scale and says the degree scale is scored "as for the first scale", so the same values are applied to the degree labels. Each item's response scale type is given in its note field because the two scales are used for different items. Second pass: item 4 quotation characters corrected to the PDF.</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feel tired?</t>
        </is>
      </c>
      <c r="C32" s="24" t="inlineStr">
        <is>
          <t>Personal burnout</t>
        </is>
      </c>
      <c r="D32" s="24" t="inlineStr">
        <is>
          <t>FALSE</t>
        </is>
      </c>
      <c r="E32" s="24" t="inlineStr">
        <is>
          <t>FALSE</t>
        </is>
      </c>
      <c r="F32" s="24" t="inlineStr">
        <is>
          <t>Frequency scale: Always (100), Often (75), Sometimes (50), Seldom (25), Never/almost never (0)</t>
        </is>
      </c>
      <c r="G32" s="24" t="inlineStr">
        <is>
          <t>Always = 100 | Often = 75 | Sometimes = 50 | Seldom = 25 | Never/almost never = 0</t>
        </is>
      </c>
    </row>
    <row r="33">
      <c r="A33" s="24" t="n">
        <v>2</v>
      </c>
      <c r="B33" s="24" t="inlineStr">
        <is>
          <t>How often are you physically exhausted?</t>
        </is>
      </c>
      <c r="C33" s="24" t="inlineStr">
        <is>
          <t>Personal burnout</t>
        </is>
      </c>
      <c r="D33" s="24" t="inlineStr">
        <is>
          <t>FALSE</t>
        </is>
      </c>
      <c r="E33" s="24" t="inlineStr">
        <is>
          <t>FALSE</t>
        </is>
      </c>
      <c r="F33" s="24" t="inlineStr">
        <is>
          <t>Frequency scale: Always (100), Often (75), Sometimes (50), Seldom (25), Never/almost never (0)</t>
        </is>
      </c>
      <c r="G33" s="24" t="inlineStr">
        <is>
          <t>Always = 100 | Often = 75 | Sometimes = 50 | Seldom = 25 | Never/almost never = 0</t>
        </is>
      </c>
    </row>
    <row r="34">
      <c r="A34" s="24" t="n">
        <v>3</v>
      </c>
      <c r="B34" s="24" t="inlineStr">
        <is>
          <t>How often are you emotionally exhausted?</t>
        </is>
      </c>
      <c r="C34" s="24" t="inlineStr">
        <is>
          <t>Personal burnout</t>
        </is>
      </c>
      <c r="D34" s="24" t="inlineStr">
        <is>
          <t>FALSE</t>
        </is>
      </c>
      <c r="E34" s="24" t="inlineStr">
        <is>
          <t>FALSE</t>
        </is>
      </c>
      <c r="F34" s="24" t="inlineStr">
        <is>
          <t>Frequency scale: Always (100), Often (75), Sometimes (50), Seldom (25), Never/almost never (0)</t>
        </is>
      </c>
      <c r="G34" s="24" t="inlineStr">
        <is>
          <t>Always = 100 | Often = 75 | Sometimes = 50 | Seldom = 25 | Never/almost never = 0</t>
        </is>
      </c>
    </row>
    <row r="35">
      <c r="A35" s="24" t="n">
        <v>4</v>
      </c>
      <c r="B35" s="24" t="inlineStr">
        <is>
          <t>How often do you think: ”I can’t take it anymore”?</t>
        </is>
      </c>
      <c r="C35" s="24" t="inlineStr">
        <is>
          <t>Personal burnout</t>
        </is>
      </c>
      <c r="D35" s="24" t="inlineStr">
        <is>
          <t>FALSE</t>
        </is>
      </c>
      <c r="E35" s="24" t="inlineStr">
        <is>
          <t>FALSE</t>
        </is>
      </c>
      <c r="F35" s="24" t="inlineStr">
        <is>
          <t>Frequency scale: Always (100), Often (75), Sometimes (50), Seldom (25), Never/almost never (0)</t>
        </is>
      </c>
      <c r="G35" s="24" t="inlineStr">
        <is>
          <t>Always = 100 | Often = 75 | Sometimes = 50 | Seldom = 25 | Never/almost never = 0</t>
        </is>
      </c>
    </row>
    <row r="36">
      <c r="A36" s="24" t="n">
        <v>5</v>
      </c>
      <c r="B36" s="24" t="inlineStr">
        <is>
          <t>How often do you feel worn out?</t>
        </is>
      </c>
      <c r="C36" s="24" t="inlineStr">
        <is>
          <t>Personal burnout</t>
        </is>
      </c>
      <c r="D36" s="24" t="inlineStr">
        <is>
          <t>FALSE</t>
        </is>
      </c>
      <c r="E36" s="24" t="inlineStr">
        <is>
          <t>FALSE</t>
        </is>
      </c>
      <c r="F36" s="24" t="inlineStr">
        <is>
          <t>Frequency scale: Always (100), Often (75), Sometimes (50), Seldom (25), Never/almost never (0)</t>
        </is>
      </c>
      <c r="G36" s="24" t="inlineStr">
        <is>
          <t>Always = 100 | Often = 75 | Sometimes = 50 | Seldom = 25 | Never/almost never = 0</t>
        </is>
      </c>
    </row>
    <row r="37">
      <c r="A37" s="24" t="n">
        <v>6</v>
      </c>
      <c r="B37" s="24" t="inlineStr">
        <is>
          <t>How often do you feel weak and susceptible to illness?</t>
        </is>
      </c>
      <c r="C37" s="24" t="inlineStr">
        <is>
          <t>Personal burnout</t>
        </is>
      </c>
      <c r="D37" s="24" t="inlineStr">
        <is>
          <t>FALSE</t>
        </is>
      </c>
      <c r="E37" s="24" t="inlineStr">
        <is>
          <t>FALSE</t>
        </is>
      </c>
      <c r="F37" s="24" t="inlineStr">
        <is>
          <t>Frequency scale: Always (100), Often (75), Sometimes (50), Seldom (25), Never/almost never (0)</t>
        </is>
      </c>
      <c r="G37" s="24" t="inlineStr">
        <is>
          <t>Always = 100 | Often = 75 | Sometimes = 50 | Seldom = 25 | Never/almost never = 0</t>
        </is>
      </c>
    </row>
    <row r="38">
      <c r="A38" s="24" t="n">
        <v>7</v>
      </c>
      <c r="B38" s="24" t="inlineStr">
        <is>
          <t>Is your work emotionally exhausting?</t>
        </is>
      </c>
      <c r="C38" s="24" t="inlineStr">
        <is>
          <t>Work related burnout</t>
        </is>
      </c>
      <c r="D38" s="24" t="inlineStr">
        <is>
          <t>FALSE</t>
        </is>
      </c>
      <c r="E38" s="24" t="inlineStr">
        <is>
          <t>FALSE</t>
        </is>
      </c>
      <c r="F38" s="24" t="inlineStr">
        <is>
          <t>Degree scale: To a very high degree (100), To a high degree (75), Somewhat (50), To a low degree (25), To a very low degree (0)</t>
        </is>
      </c>
      <c r="G38" s="24" t="inlineStr">
        <is>
          <t>To a very high degree = 100 | To a high degree = 75 | Somewhat = 50 | To a low degree = 25 | To a very low degree = 0</t>
        </is>
      </c>
    </row>
    <row r="39">
      <c r="A39" s="24" t="n">
        <v>8</v>
      </c>
      <c r="B39" s="24" t="inlineStr">
        <is>
          <t>Do you feel burnt out because of your work?</t>
        </is>
      </c>
      <c r="C39" s="24" t="inlineStr">
        <is>
          <t>Work related burnout</t>
        </is>
      </c>
      <c r="D39" s="24" t="inlineStr">
        <is>
          <t>FALSE</t>
        </is>
      </c>
      <c r="E39" s="24" t="inlineStr">
        <is>
          <t>FALSE</t>
        </is>
      </c>
      <c r="F39" s="24" t="inlineStr">
        <is>
          <t>Degree scale: To a very high degree (100), To a high degree (75), Somewhat (50), To a low degree (25), To a very low degree (0)</t>
        </is>
      </c>
      <c r="G39" s="24" t="inlineStr">
        <is>
          <t>To a very high degree = 100 | To a high degree = 75 | Somewhat = 50 | To a low degree = 25 | To a very low degree = 0</t>
        </is>
      </c>
    </row>
    <row r="40">
      <c r="A40" s="24" t="n">
        <v>9</v>
      </c>
      <c r="B40" s="24" t="inlineStr">
        <is>
          <t>Does your work frustrate you?</t>
        </is>
      </c>
      <c r="C40" s="24" t="inlineStr">
        <is>
          <t>Work related burnout</t>
        </is>
      </c>
      <c r="D40" s="24" t="inlineStr">
        <is>
          <t>FALSE</t>
        </is>
      </c>
      <c r="E40" s="24" t="inlineStr">
        <is>
          <t>FALSE</t>
        </is>
      </c>
      <c r="F40" s="24" t="inlineStr">
        <is>
          <t>Degree scale: To a very high degree (100), To a high degree (75), Somewhat (50), To a low degree (25), To a very low degree (0)</t>
        </is>
      </c>
      <c r="G40" s="24" t="inlineStr">
        <is>
          <t>To a very high degree = 100 | To a high degree = 75 | Somewhat = 50 | To a low degree = 25 | To a very low degree = 0</t>
        </is>
      </c>
    </row>
    <row r="41">
      <c r="A41" s="24" t="n">
        <v>10</v>
      </c>
      <c r="B41" s="24" t="inlineStr">
        <is>
          <t>Do you feel worn out at the end of the working day?</t>
        </is>
      </c>
      <c r="C41" s="24" t="inlineStr">
        <is>
          <t>Work related burnout</t>
        </is>
      </c>
      <c r="D41" s="24" t="inlineStr">
        <is>
          <t>FALSE</t>
        </is>
      </c>
      <c r="E41" s="24" t="inlineStr">
        <is>
          <t>FALSE</t>
        </is>
      </c>
      <c r="F41" s="24" t="inlineStr">
        <is>
          <t>Frequency scale: Always (100), Often (75), Sometimes (50), Seldom (25), Never/almost never (0)</t>
        </is>
      </c>
      <c r="G41" s="24" t="inlineStr">
        <is>
          <t>Always = 100 | Often = 75 | Sometimes = 50 | Seldom = 25 | Never/almost never = 0</t>
        </is>
      </c>
    </row>
    <row r="42">
      <c r="A42" s="24" t="n">
        <v>11</v>
      </c>
      <c r="B42" s="24" t="inlineStr">
        <is>
          <t>Are you exhausted in the morning at the thought of another day at work?</t>
        </is>
      </c>
      <c r="C42" s="24" t="inlineStr">
        <is>
          <t>Work related burnout</t>
        </is>
      </c>
      <c r="D42" s="24" t="inlineStr">
        <is>
          <t>FALSE</t>
        </is>
      </c>
      <c r="E42" s="24" t="inlineStr">
        <is>
          <t>FALSE</t>
        </is>
      </c>
      <c r="F42" s="24" t="inlineStr">
        <is>
          <t>Frequency scale: Always (100), Often (75), Sometimes (50), Seldom (25), Never/almost never (0)</t>
        </is>
      </c>
      <c r="G42" s="24" t="inlineStr">
        <is>
          <t>Always = 100 | Often = 75 | Sometimes = 50 | Seldom = 25 | Never/almost never = 0</t>
        </is>
      </c>
    </row>
    <row r="43">
      <c r="A43" s="24" t="n">
        <v>12</v>
      </c>
      <c r="B43" s="24" t="inlineStr">
        <is>
          <t>Do you feel that every working hour is tiring for you?</t>
        </is>
      </c>
      <c r="C43" s="24" t="inlineStr">
        <is>
          <t>Work related burnout</t>
        </is>
      </c>
      <c r="D43" s="24" t="inlineStr">
        <is>
          <t>FALSE</t>
        </is>
      </c>
      <c r="E43" s="24" t="inlineStr">
        <is>
          <t>FALSE</t>
        </is>
      </c>
      <c r="F43" s="24" t="inlineStr">
        <is>
          <t>Frequency scale: Always (100), Often (75), Sometimes (50), Seldom (25), Never/almost never (0)</t>
        </is>
      </c>
      <c r="G43" s="24" t="inlineStr">
        <is>
          <t>Always = 100 | Often = 75 | Sometimes = 50 | Seldom = 25 | Never/almost never = 0</t>
        </is>
      </c>
    </row>
    <row r="44">
      <c r="A44" s="24" t="n">
        <v>13</v>
      </c>
      <c r="B44" s="24" t="inlineStr">
        <is>
          <t>Do you have enough energy for family and friends during leisure time?</t>
        </is>
      </c>
      <c r="C44" s="24" t="inlineStr">
        <is>
          <t>Work related burnout</t>
        </is>
      </c>
      <c r="D44" s="24" t="inlineStr">
        <is>
          <t>TRUE</t>
        </is>
      </c>
      <c r="E44" s="24" t="inlineStr">
        <is>
          <t>FALSE</t>
        </is>
      </c>
      <c r="F44" s="24" t="inlineStr">
        <is>
          <t>Frequency scale: Always (100), Often (75), Sometimes (50), Seldom (25), Never/almost never (0); reversed: Always (0) to Never/almost never (100)</t>
        </is>
      </c>
      <c r="G44" s="24" t="inlineStr">
        <is>
          <t>Always = 100 | Often = 75 | Sometimes = 50 | Seldom = 25 | Never/almost never = 0</t>
        </is>
      </c>
    </row>
    <row r="45">
      <c r="A45" s="24" t="n">
        <v>14</v>
      </c>
      <c r="B45" s="24" t="inlineStr">
        <is>
          <t>Do you find it hard to work with clients?</t>
        </is>
      </c>
      <c r="C45" s="24" t="inlineStr">
        <is>
          <t>Client related burnout</t>
        </is>
      </c>
      <c r="D45" s="24" t="inlineStr">
        <is>
          <t>FALSE</t>
        </is>
      </c>
      <c r="E45" s="24" t="inlineStr">
        <is>
          <t>FALSE</t>
        </is>
      </c>
      <c r="F45" s="24" t="inlineStr">
        <is>
          <t>Degree scale: To a very high degree (100), To a high degree (75), Somewhat (50), To a low degree (25), To a very low degree (0)</t>
        </is>
      </c>
      <c r="G45" s="24" t="inlineStr">
        <is>
          <t>To a very high degree = 100 | To a high degree = 75 | Somewhat = 50 | To a low degree = 25 | To a very low degree = 0</t>
        </is>
      </c>
    </row>
    <row r="46">
      <c r="A46" s="24" t="n">
        <v>15</v>
      </c>
      <c r="B46" s="24" t="inlineStr">
        <is>
          <t>Do you find it frustrating to work with clients?</t>
        </is>
      </c>
      <c r="C46" s="24" t="inlineStr">
        <is>
          <t>Client related burnout</t>
        </is>
      </c>
      <c r="D46" s="24" t="inlineStr">
        <is>
          <t>FALSE</t>
        </is>
      </c>
      <c r="E46" s="24" t="inlineStr">
        <is>
          <t>FALSE</t>
        </is>
      </c>
      <c r="F46" s="24" t="inlineStr">
        <is>
          <t>Degree scale: To a very high degree (100), To a high degree (75), Somewhat (50), To a low degree (25), To a very low degree (0)</t>
        </is>
      </c>
      <c r="G46" s="24" t="inlineStr">
        <is>
          <t>To a very high degree = 100 | To a high degree = 75 | Somewhat = 50 | To a low degree = 25 | To a very low degree = 0</t>
        </is>
      </c>
    </row>
    <row r="47">
      <c r="A47" s="24" t="n">
        <v>16</v>
      </c>
      <c r="B47" s="24" t="inlineStr">
        <is>
          <t>Does it drain your energy to work with clients?</t>
        </is>
      </c>
      <c r="C47" s="24" t="inlineStr">
        <is>
          <t>Client related burnout</t>
        </is>
      </c>
      <c r="D47" s="24" t="inlineStr">
        <is>
          <t>FALSE</t>
        </is>
      </c>
      <c r="E47" s="24" t="inlineStr">
        <is>
          <t>FALSE</t>
        </is>
      </c>
      <c r="F47" s="24" t="inlineStr">
        <is>
          <t>Degree scale: To a very high degree (100), To a high degree (75), Somewhat (50), To a low degree (25), To a very low degree (0)</t>
        </is>
      </c>
      <c r="G47" s="24" t="inlineStr">
        <is>
          <t>To a very high degree = 100 | To a high degree = 75 | Somewhat = 50 | To a low degree = 25 | To a very low degree = 0</t>
        </is>
      </c>
    </row>
    <row r="48">
      <c r="A48" s="24" t="n">
        <v>17</v>
      </c>
      <c r="B48" s="24" t="inlineStr">
        <is>
          <t>Do you feel that you give more than you get back when you work with clients?</t>
        </is>
      </c>
      <c r="C48" s="24" t="inlineStr">
        <is>
          <t>Client related burnout</t>
        </is>
      </c>
      <c r="D48" s="24" t="inlineStr">
        <is>
          <t>FALSE</t>
        </is>
      </c>
      <c r="E48" s="24" t="inlineStr">
        <is>
          <t>FALSE</t>
        </is>
      </c>
      <c r="F48" s="24" t="inlineStr">
        <is>
          <t>Degree scale: To a very high degree (100), To a high degree (75), Somewhat (50), To a low degree (25), To a very low degree (0)</t>
        </is>
      </c>
      <c r="G48" s="24" t="inlineStr">
        <is>
          <t>To a very high degree = 100 | To a high degree = 75 | Somewhat = 50 | To a low degree = 25 | To a very low degree = 0</t>
        </is>
      </c>
    </row>
    <row r="49">
      <c r="A49" s="24" t="n">
        <v>18</v>
      </c>
      <c r="B49" s="24" t="inlineStr">
        <is>
          <t>Are you tired of working with clients?</t>
        </is>
      </c>
      <c r="C49" s="24" t="inlineStr">
        <is>
          <t>Client related burnout</t>
        </is>
      </c>
      <c r="D49" s="24" t="inlineStr">
        <is>
          <t>FALSE</t>
        </is>
      </c>
      <c r="E49" s="24" t="inlineStr">
        <is>
          <t>FALSE</t>
        </is>
      </c>
      <c r="F49" s="24" t="inlineStr">
        <is>
          <t>Frequency scale: Always (100), Often (75), Sometimes (50), Seldom (25), Never/almost never (0)</t>
        </is>
      </c>
      <c r="G49" s="24" t="inlineStr">
        <is>
          <t>Always = 100 | Often = 75 | Sometimes = 50 | Seldom = 25 | Never/almost never = 0</t>
        </is>
      </c>
    </row>
    <row r="50">
      <c r="A50" s="24" t="n">
        <v>19</v>
      </c>
      <c r="B50" s="24" t="inlineStr">
        <is>
          <t>Do you sometimes wonder how long you will be able to continue working with clients?</t>
        </is>
      </c>
      <c r="C50" s="24" t="inlineStr">
        <is>
          <t>Client related burnout</t>
        </is>
      </c>
      <c r="D50" s="24" t="inlineStr">
        <is>
          <t>FALSE</t>
        </is>
      </c>
      <c r="E50" s="24" t="inlineStr">
        <is>
          <t>FALSE</t>
        </is>
      </c>
      <c r="F50" s="24" t="inlineStr">
        <is>
          <t>Frequency scale: Always (100), Often (75), Sometimes (50), Seldom (25), Never/almost never (0)</t>
        </is>
      </c>
      <c r="G50" s="24" t="inlineStr">
        <is>
          <t>Always = 100 | Often = 75 | Sometimes = 50 | Seldom = 25 | Never/almost never = 0</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Center for Epidemiologic Studies Depression Scale</t>
        </is>
      </c>
    </row>
    <row r="3">
      <c r="A3" s="37" t="inlineStr">
        <is>
          <t>Instrument</t>
        </is>
      </c>
      <c r="B3" s="24" t="inlineStr">
        <is>
          <t>Center for Epidemiologic Studies Depression Scale</t>
        </is>
      </c>
      <c r="C3" s="24" t="n"/>
      <c r="D3" s="24" t="n"/>
      <c r="E3" s="24" t="n"/>
      <c r="F3" s="24" t="n"/>
      <c r="G3" s="24" t="n"/>
    </row>
    <row r="4">
      <c r="A4" s="37" t="inlineStr">
        <is>
          <t>Code</t>
        </is>
      </c>
      <c r="B4" s="24" t="inlineStr">
        <is>
          <t>CES-D</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depressive symptoms in the general population over the past week.</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(also used with adolescents)</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CES-D: "This scale is free to use without permission" (as quoted by CamCOPS from bmedreport.com; the scale was developed at NIMH, a US federal agency, and is treated as public domain). CESD-R: "The CESD-R is in the public domain so it is free to use in your research." (cesd-r.com)</t>
        </is>
      </c>
      <c r="C13" s="24" t="n"/>
      <c r="D13" s="24" t="n"/>
      <c r="E13" s="24" t="n"/>
      <c r="F13" s="24" t="n"/>
      <c r="G13" s="24" t="n"/>
    </row>
    <row r="14">
      <c r="A14" s="37" t="inlineStr">
        <is>
          <t>Coaching application</t>
        </is>
      </c>
      <c r="B14" s="24" t="inlineStr">
        <is>
          <t>Good free alternative to the PHQ-9 for symptom monitoring; screening only, not diagnostic</t>
        </is>
      </c>
      <c r="C14" s="24" t="n"/>
      <c r="D14" s="24" t="n"/>
      <c r="E14" s="24" t="n"/>
      <c r="F14" s="24" t="n"/>
      <c r="G14" s="24" t="n"/>
    </row>
    <row r="15">
      <c r="A15" s="37" t="inlineStr">
        <is>
          <t>Purpose</t>
        </is>
      </c>
      <c r="B15" s="24" t="inlineStr">
        <is>
          <t>Frequency of depressive symptoms in the general population over the past week.</t>
        </is>
      </c>
      <c r="C15" s="24" t="n"/>
      <c r="D15" s="24" t="n"/>
      <c r="E15" s="24" t="n"/>
      <c r="F15" s="24" t="n"/>
      <c r="G15" s="24" t="n"/>
    </row>
    <row r="16">
      <c r="A16" s="37" t="inlineStr">
        <is>
          <t>Instructions / prompt</t>
        </is>
      </c>
      <c r="B16" s="24" t="inlineStr">
        <is>
          <t>Below is a list of the ways you might have felt or behaved. Please tell me how often you have felt this way during the past week.</t>
        </is>
      </c>
      <c r="C16" s="24" t="n"/>
      <c r="D16" s="24" t="n"/>
      <c r="E16" s="24" t="n"/>
      <c r="F16" s="24" t="n"/>
      <c r="G16" s="24" t="n"/>
    </row>
    <row r="17">
      <c r="A17" s="37" t="inlineStr">
        <is>
          <t>Response options</t>
        </is>
      </c>
      <c r="B17" s="24" t="inlineStr">
        <is>
          <t>Rarely or none of the time (less than 1 day) = 0 | Some or a little of the time (1-2 days) = 1 | Occasionally or a moderate amount of time (3-4 days) = 2 | Most or all of the time (5-7 days) = 3</t>
        </is>
      </c>
      <c r="C17" s="24" t="n"/>
      <c r="D17" s="24" t="n"/>
      <c r="E17" s="24" t="n"/>
      <c r="F17" s="24" t="n"/>
      <c r="G17" s="24" t="n"/>
    </row>
    <row r="18">
      <c r="A18" s="37" t="inlineStr">
        <is>
          <t>Reverse-scored items</t>
        </is>
      </c>
      <c r="B18" s="24" t="inlineStr">
        <is>
          <t>4, 8, 12, 16</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0 to 3 by frequency, reversing the 4 positive items (4, 8, 12 and 16) so that 0 = Most or all of the time and 3 = Rarely or none of the time, then sum. "Possible range of scores is zero to 60, with the higher scores indicating the presence of more symptomatology." The conventional cut off of 16 or more indicates clinically significant depressive symptoms (Radloff, 1977; cited by CamCOPS via Lewinsohn et al., 1997); some studies use 20 or more to reduce false positives. Screening only, not diagnostic.</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Radloff, L. S. (1977). The CES-D Scale: A self-report depression scale for research in the general population. Applied Psychological Measurement, 1(3), 385–401. https://doi.org/10.1177/014662167700100306</t>
        </is>
      </c>
      <c r="C25" s="24" t="n"/>
      <c r="D25" s="24" t="n"/>
      <c r="E25" s="24" t="n"/>
      <c r="F25" s="24" t="n"/>
      <c r="G25" s="24" t="n"/>
    </row>
    <row r="26">
      <c r="A26" s="37" t="inlineStr">
        <is>
          <t>Copyright and licensing</t>
        </is>
      </c>
      <c r="B26" s="24" t="inlineStr">
        <is>
          <t>CES-D: "This scale is free to use without permission" (as quoted by CamCOPS from bmedreport.com; the scale was developed at NIMH, a US federal agency, and is treated as public domain). CESD-R: "The CESD-R is in the public domain so it is free to use in your research." (cesd-r.com) Source: https://camcops.readthedocs.io/en/latest/tasks/cesd.html</t>
        </is>
      </c>
      <c r="C26" s="24" t="n"/>
      <c r="D26" s="24" t="n"/>
      <c r="E26" s="24" t="n"/>
      <c r="F26" s="24" t="n"/>
      <c r="G26" s="24" t="n"/>
    </row>
    <row r="27">
      <c r="A27" s="37" t="inlineStr">
        <is>
          <t>Source URL</t>
        </is>
      </c>
      <c r="B27" s="24" t="inlineStr">
        <is>
          <t>https://www.apa.org/depression-guideline/epidemiologic-studies-scale.pdf</t>
        </is>
      </c>
      <c r="C27" s="24" t="n"/>
      <c r="D27" s="24" t="n"/>
      <c r="E27" s="24" t="n"/>
      <c r="F27" s="24" t="n"/>
      <c r="G27" s="24" t="n"/>
    </row>
    <row r="28">
      <c r="A28" s="37" t="inlineStr">
        <is>
          <t>Transcription note</t>
        </is>
      </c>
      <c r="B28" s="24" t="inlineStr">
        <is>
          <t>The original 20 item CES-D was transcribed from the APA Clinical Practice Guideline copy of the NIMH form (apa.org PDF); the itemsUrl in the target record (cesd-r.com) carries the revised CESD-R, whose items differ (its first item is "My appetite was poor" and it uses a 5 option past 2 weeks response set with 0 to 4 scoring), so the CESD-R is deliberately not transcribed here. The APA PDF states that positive items are reverse scored without listing them; items 4, 8, 12 and 16 are identified by their wording and match standard practice. Subscale membership follows Radloff's 4 factor solution and is not printed on the APA form. The curly quotation marks around going in item 20 are reproduced from the source. The APA PDF gives no cut off; the 16 point threshold comes from the CamCOPS page and the original article.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was bothered by things that usually don't bother me.</t>
        </is>
      </c>
      <c r="C32" s="24" t="inlineStr">
        <is>
          <t>Somatic and retarded activity</t>
        </is>
      </c>
      <c r="D32" s="24" t="inlineStr">
        <is>
          <t>FALSE</t>
        </is>
      </c>
      <c r="E32" s="24" t="inlineStr">
        <is>
          <t>FALSE</t>
        </is>
      </c>
      <c r="F32" s="24" t="n"/>
      <c r="G32" s="24" t="inlineStr">
        <is>
          <t>Rarely or none of the time (less than 1 day) = 0 | Some or a little of the time (1-2 days) = 1 | Occasionally or a moderate amount of time (3-4 days) = 2 | Most or all of the time (5-7 days) = 3</t>
        </is>
      </c>
    </row>
    <row r="33">
      <c r="A33" s="24" t="n">
        <v>2</v>
      </c>
      <c r="B33" s="24" t="inlineStr">
        <is>
          <t>I did not feel like eating; my appetite was poor.</t>
        </is>
      </c>
      <c r="C33" s="24" t="inlineStr">
        <is>
          <t>Somatic and retarded activity</t>
        </is>
      </c>
      <c r="D33" s="24" t="inlineStr">
        <is>
          <t>FALSE</t>
        </is>
      </c>
      <c r="E33" s="24" t="inlineStr">
        <is>
          <t>FALSE</t>
        </is>
      </c>
      <c r="F33" s="24" t="n"/>
      <c r="G33" s="24" t="inlineStr">
        <is>
          <t>Rarely or none of the time (less than 1 day) = 0 | Some or a little of the time (1-2 days) = 1 | Occasionally or a moderate amount of time (3-4 days) = 2 | Most or all of the time (5-7 days) = 3</t>
        </is>
      </c>
    </row>
    <row r="34">
      <c r="A34" s="24" t="n">
        <v>3</v>
      </c>
      <c r="B34" s="24" t="inlineStr">
        <is>
          <t>I felt that I could not shake off the blues even with help from my family or friends.</t>
        </is>
      </c>
      <c r="C34" s="24" t="inlineStr">
        <is>
          <t>Depressed affect</t>
        </is>
      </c>
      <c r="D34" s="24" t="inlineStr">
        <is>
          <t>FALSE</t>
        </is>
      </c>
      <c r="E34" s="24" t="inlineStr">
        <is>
          <t>FALSE</t>
        </is>
      </c>
      <c r="F34" s="24" t="n"/>
      <c r="G34" s="24" t="inlineStr">
        <is>
          <t>Rarely or none of the time (less than 1 day) = 0 | Some or a little of the time (1-2 days) = 1 | Occasionally or a moderate amount of time (3-4 days) = 2 | Most or all of the time (5-7 days) = 3</t>
        </is>
      </c>
    </row>
    <row r="35">
      <c r="A35" s="24" t="n">
        <v>4</v>
      </c>
      <c r="B35" s="24" t="inlineStr">
        <is>
          <t>I felt I was just as good as other people.</t>
        </is>
      </c>
      <c r="C35" s="24" t="inlineStr">
        <is>
          <t>Positive affect</t>
        </is>
      </c>
      <c r="D35" s="24" t="inlineStr">
        <is>
          <t>TRUE</t>
        </is>
      </c>
      <c r="E35" s="24" t="inlineStr">
        <is>
          <t>FALSE</t>
        </is>
      </c>
      <c r="F35" s="24" t="inlineStr">
        <is>
          <t>Positively worded; scoring reversed (3, 2, 1, 0)</t>
        </is>
      </c>
      <c r="G35" s="24" t="inlineStr">
        <is>
          <t>Rarely or none of the time (less than 1 day) = 0 | Some or a little of the time (1-2 days) = 1 | Occasionally or a moderate amount of time (3-4 days) = 2 | Most or all of the time (5-7 days) = 3</t>
        </is>
      </c>
    </row>
    <row r="36">
      <c r="A36" s="24" t="n">
        <v>5</v>
      </c>
      <c r="B36" s="24" t="inlineStr">
        <is>
          <t>I had trouble keeping my mind on what I was doing.</t>
        </is>
      </c>
      <c r="C36" s="24" t="inlineStr">
        <is>
          <t>Somatic and retarded activity</t>
        </is>
      </c>
      <c r="D36" s="24" t="inlineStr">
        <is>
          <t>FALSE</t>
        </is>
      </c>
      <c r="E36" s="24" t="inlineStr">
        <is>
          <t>FALSE</t>
        </is>
      </c>
      <c r="F36" s="24" t="n"/>
      <c r="G36" s="24" t="inlineStr">
        <is>
          <t>Rarely or none of the time (less than 1 day) = 0 | Some or a little of the time (1-2 days) = 1 | Occasionally or a moderate amount of time (3-4 days) = 2 | Most or all of the time (5-7 days) = 3</t>
        </is>
      </c>
    </row>
    <row r="37">
      <c r="A37" s="24" t="n">
        <v>6</v>
      </c>
      <c r="B37" s="24" t="inlineStr">
        <is>
          <t>I felt depressed.</t>
        </is>
      </c>
      <c r="C37" s="24" t="inlineStr">
        <is>
          <t>Depressed affect</t>
        </is>
      </c>
      <c r="D37" s="24" t="inlineStr">
        <is>
          <t>FALSE</t>
        </is>
      </c>
      <c r="E37" s="24" t="inlineStr">
        <is>
          <t>FALSE</t>
        </is>
      </c>
      <c r="F37" s="24" t="n"/>
      <c r="G37" s="24" t="inlineStr">
        <is>
          <t>Rarely or none of the time (less than 1 day) = 0 | Some or a little of the time (1-2 days) = 1 | Occasionally or a moderate amount of time (3-4 days) = 2 | Most or all of the time (5-7 days) = 3</t>
        </is>
      </c>
    </row>
    <row r="38">
      <c r="A38" s="24" t="n">
        <v>7</v>
      </c>
      <c r="B38" s="24" t="inlineStr">
        <is>
          <t>I felt that everything I did was an effort.</t>
        </is>
      </c>
      <c r="C38" s="24" t="inlineStr">
        <is>
          <t>Somatic and retarded activity</t>
        </is>
      </c>
      <c r="D38" s="24" t="inlineStr">
        <is>
          <t>FALSE</t>
        </is>
      </c>
      <c r="E38" s="24" t="inlineStr">
        <is>
          <t>FALSE</t>
        </is>
      </c>
      <c r="F38" s="24" t="n"/>
      <c r="G38" s="24" t="inlineStr">
        <is>
          <t>Rarely or none of the time (less than 1 day) = 0 | Some or a little of the time (1-2 days) = 1 | Occasionally or a moderate amount of time (3-4 days) = 2 | Most or all of the time (5-7 days) = 3</t>
        </is>
      </c>
    </row>
    <row r="39">
      <c r="A39" s="24" t="n">
        <v>8</v>
      </c>
      <c r="B39" s="24" t="inlineStr">
        <is>
          <t>I felt hopeful about the future.</t>
        </is>
      </c>
      <c r="C39" s="24" t="inlineStr">
        <is>
          <t>Positive affect</t>
        </is>
      </c>
      <c r="D39" s="24" t="inlineStr">
        <is>
          <t>TRUE</t>
        </is>
      </c>
      <c r="E39" s="24" t="inlineStr">
        <is>
          <t>FALSE</t>
        </is>
      </c>
      <c r="F39" s="24" t="inlineStr">
        <is>
          <t>Positively worded; scoring reversed (3, 2, 1, 0)</t>
        </is>
      </c>
      <c r="G39" s="24" t="inlineStr">
        <is>
          <t>Rarely or none of the time (less than 1 day) = 0 | Some or a little of the time (1-2 days) = 1 | Occasionally or a moderate amount of time (3-4 days) = 2 | Most or all of the time (5-7 days) = 3</t>
        </is>
      </c>
    </row>
    <row r="40">
      <c r="A40" s="24" t="n">
        <v>9</v>
      </c>
      <c r="B40" s="24" t="inlineStr">
        <is>
          <t>I thought my life had been a failure.</t>
        </is>
      </c>
      <c r="C40" s="24" t="inlineStr">
        <is>
          <t>Depressed affect</t>
        </is>
      </c>
      <c r="D40" s="24" t="inlineStr">
        <is>
          <t>FALSE</t>
        </is>
      </c>
      <c r="E40" s="24" t="inlineStr">
        <is>
          <t>FALSE</t>
        </is>
      </c>
      <c r="F40" s="24" t="n"/>
      <c r="G40" s="24" t="inlineStr">
        <is>
          <t>Rarely or none of the time (less than 1 day) = 0 | Some or a little of the time (1-2 days) = 1 | Occasionally or a moderate amount of time (3-4 days) = 2 | Most or all of the time (5-7 days) = 3</t>
        </is>
      </c>
    </row>
    <row r="41">
      <c r="A41" s="24" t="n">
        <v>10</v>
      </c>
      <c r="B41" s="24" t="inlineStr">
        <is>
          <t>I felt fearful.</t>
        </is>
      </c>
      <c r="C41" s="24" t="inlineStr">
        <is>
          <t>Depressed affect</t>
        </is>
      </c>
      <c r="D41" s="24" t="inlineStr">
        <is>
          <t>FALSE</t>
        </is>
      </c>
      <c r="E41" s="24" t="inlineStr">
        <is>
          <t>FALSE</t>
        </is>
      </c>
      <c r="F41" s="24" t="n"/>
      <c r="G41" s="24" t="inlineStr">
        <is>
          <t>Rarely or none of the time (less than 1 day) = 0 | Some or a little of the time (1-2 days) = 1 | Occasionally or a moderate amount of time (3-4 days) = 2 | Most or all of the time (5-7 days) = 3</t>
        </is>
      </c>
    </row>
    <row r="42">
      <c r="A42" s="24" t="n">
        <v>11</v>
      </c>
      <c r="B42" s="24" t="inlineStr">
        <is>
          <t>My sleep was restless.</t>
        </is>
      </c>
      <c r="C42" s="24" t="inlineStr">
        <is>
          <t>Somatic and retarded activity</t>
        </is>
      </c>
      <c r="D42" s="24" t="inlineStr">
        <is>
          <t>FALSE</t>
        </is>
      </c>
      <c r="E42" s="24" t="inlineStr">
        <is>
          <t>FALSE</t>
        </is>
      </c>
      <c r="F42" s="24" t="n"/>
      <c r="G42" s="24" t="inlineStr">
        <is>
          <t>Rarely or none of the time (less than 1 day) = 0 | Some or a little of the time (1-2 days) = 1 | Occasionally or a moderate amount of time (3-4 days) = 2 | Most or all of the time (5-7 days) = 3</t>
        </is>
      </c>
    </row>
    <row r="43">
      <c r="A43" s="24" t="n">
        <v>12</v>
      </c>
      <c r="B43" s="24" t="inlineStr">
        <is>
          <t>I was happy.</t>
        </is>
      </c>
      <c r="C43" s="24" t="inlineStr">
        <is>
          <t>Positive affect</t>
        </is>
      </c>
      <c r="D43" s="24" t="inlineStr">
        <is>
          <t>TRUE</t>
        </is>
      </c>
      <c r="E43" s="24" t="inlineStr">
        <is>
          <t>FALSE</t>
        </is>
      </c>
      <c r="F43" s="24" t="inlineStr">
        <is>
          <t>Positively worded; scoring reversed (3, 2, 1, 0)</t>
        </is>
      </c>
      <c r="G43" s="24" t="inlineStr">
        <is>
          <t>Rarely or none of the time (less than 1 day) = 0 | Some or a little of the time (1-2 days) = 1 | Occasionally or a moderate amount of time (3-4 days) = 2 | Most or all of the time (5-7 days) = 3</t>
        </is>
      </c>
    </row>
    <row r="44">
      <c r="A44" s="24" t="n">
        <v>13</v>
      </c>
      <c r="B44" s="24" t="inlineStr">
        <is>
          <t>I talked less than usual.</t>
        </is>
      </c>
      <c r="C44" s="24" t="inlineStr">
        <is>
          <t>Somatic and retarded activity</t>
        </is>
      </c>
      <c r="D44" s="24" t="inlineStr">
        <is>
          <t>FALSE</t>
        </is>
      </c>
      <c r="E44" s="24" t="inlineStr">
        <is>
          <t>FALSE</t>
        </is>
      </c>
      <c r="F44" s="24" t="n"/>
      <c r="G44" s="24" t="inlineStr">
        <is>
          <t>Rarely or none of the time (less than 1 day) = 0 | Some or a little of the time (1-2 days) = 1 | Occasionally or a moderate amount of time (3-4 days) = 2 | Most or all of the time (5-7 days) = 3</t>
        </is>
      </c>
    </row>
    <row r="45">
      <c r="A45" s="24" t="n">
        <v>14</v>
      </c>
      <c r="B45" s="24" t="inlineStr">
        <is>
          <t>I felt lonely.</t>
        </is>
      </c>
      <c r="C45" s="24" t="inlineStr">
        <is>
          <t>Depressed affect</t>
        </is>
      </c>
      <c r="D45" s="24" t="inlineStr">
        <is>
          <t>FALSE</t>
        </is>
      </c>
      <c r="E45" s="24" t="inlineStr">
        <is>
          <t>FALSE</t>
        </is>
      </c>
      <c r="F45" s="24" t="n"/>
      <c r="G45" s="24" t="inlineStr">
        <is>
          <t>Rarely or none of the time (less than 1 day) = 0 | Some or a little of the time (1-2 days) = 1 | Occasionally or a moderate amount of time (3-4 days) = 2 | Most or all of the time (5-7 days) = 3</t>
        </is>
      </c>
    </row>
    <row r="46">
      <c r="A46" s="24" t="n">
        <v>15</v>
      </c>
      <c r="B46" s="24" t="inlineStr">
        <is>
          <t>People were unfriendly.</t>
        </is>
      </c>
      <c r="C46" s="24" t="inlineStr">
        <is>
          <t>Interpersonal</t>
        </is>
      </c>
      <c r="D46" s="24" t="inlineStr">
        <is>
          <t>FALSE</t>
        </is>
      </c>
      <c r="E46" s="24" t="inlineStr">
        <is>
          <t>FALSE</t>
        </is>
      </c>
      <c r="F46" s="24" t="n"/>
      <c r="G46" s="24" t="inlineStr">
        <is>
          <t>Rarely or none of the time (less than 1 day) = 0 | Some or a little of the time (1-2 days) = 1 | Occasionally or a moderate amount of time (3-4 days) = 2 | Most or all of the time (5-7 days) = 3</t>
        </is>
      </c>
    </row>
    <row r="47">
      <c r="A47" s="24" t="n">
        <v>16</v>
      </c>
      <c r="B47" s="24" t="inlineStr">
        <is>
          <t>I enjoyed life.</t>
        </is>
      </c>
      <c r="C47" s="24" t="inlineStr">
        <is>
          <t>Positive affect</t>
        </is>
      </c>
      <c r="D47" s="24" t="inlineStr">
        <is>
          <t>TRUE</t>
        </is>
      </c>
      <c r="E47" s="24" t="inlineStr">
        <is>
          <t>FALSE</t>
        </is>
      </c>
      <c r="F47" s="24" t="inlineStr">
        <is>
          <t>Positively worded; scoring reversed (3, 2, 1, 0)</t>
        </is>
      </c>
      <c r="G47" s="24" t="inlineStr">
        <is>
          <t>Rarely or none of the time (less than 1 day) = 0 | Some or a little of the time (1-2 days) = 1 | Occasionally or a moderate amount of time (3-4 days) = 2 | Most or all of the time (5-7 days) = 3</t>
        </is>
      </c>
    </row>
    <row r="48">
      <c r="A48" s="24" t="n">
        <v>17</v>
      </c>
      <c r="B48" s="24" t="inlineStr">
        <is>
          <t>I had crying spells.</t>
        </is>
      </c>
      <c r="C48" s="24" t="inlineStr">
        <is>
          <t>Depressed affect</t>
        </is>
      </c>
      <c r="D48" s="24" t="inlineStr">
        <is>
          <t>FALSE</t>
        </is>
      </c>
      <c r="E48" s="24" t="inlineStr">
        <is>
          <t>FALSE</t>
        </is>
      </c>
      <c r="F48" s="24" t="n"/>
      <c r="G48" s="24" t="inlineStr">
        <is>
          <t>Rarely or none of the time (less than 1 day) = 0 | Some or a little of the time (1-2 days) = 1 | Occasionally or a moderate amount of time (3-4 days) = 2 | Most or all of the time (5-7 days) = 3</t>
        </is>
      </c>
    </row>
    <row r="49">
      <c r="A49" s="24" t="n">
        <v>18</v>
      </c>
      <c r="B49" s="24" t="inlineStr">
        <is>
          <t>I felt sad.</t>
        </is>
      </c>
      <c r="C49" s="24" t="inlineStr">
        <is>
          <t>Depressed affect</t>
        </is>
      </c>
      <c r="D49" s="24" t="inlineStr">
        <is>
          <t>FALSE</t>
        </is>
      </c>
      <c r="E49" s="24" t="inlineStr">
        <is>
          <t>FALSE</t>
        </is>
      </c>
      <c r="F49" s="24" t="n"/>
      <c r="G49" s="24" t="inlineStr">
        <is>
          <t>Rarely or none of the time (less than 1 day) = 0 | Some or a little of the time (1-2 days) = 1 | Occasionally or a moderate amount of time (3-4 days) = 2 | Most or all of the time (5-7 days) = 3</t>
        </is>
      </c>
    </row>
    <row r="50">
      <c r="A50" s="24" t="n">
        <v>19</v>
      </c>
      <c r="B50" s="24" t="inlineStr">
        <is>
          <t>I felt that people dislike me.</t>
        </is>
      </c>
      <c r="C50" s="24" t="inlineStr">
        <is>
          <t>Interpersonal</t>
        </is>
      </c>
      <c r="D50" s="24" t="inlineStr">
        <is>
          <t>FALSE</t>
        </is>
      </c>
      <c r="E50" s="24" t="inlineStr">
        <is>
          <t>FALSE</t>
        </is>
      </c>
      <c r="F50" s="24" t="n"/>
      <c r="G50" s="24" t="inlineStr">
        <is>
          <t>Rarely or none of the time (less than 1 day) = 0 | Some or a little of the time (1-2 days) = 1 | Occasionally or a moderate amount of time (3-4 days) = 2 | Most or all of the time (5-7 days) = 3</t>
        </is>
      </c>
    </row>
    <row r="51">
      <c r="A51" s="24" t="n">
        <v>20</v>
      </c>
      <c r="B51" s="24" t="inlineStr">
        <is>
          <t>I could not get “going.”</t>
        </is>
      </c>
      <c r="C51" s="24" t="inlineStr">
        <is>
          <t>Somatic and retarded activity</t>
        </is>
      </c>
      <c r="D51" s="24" t="inlineStr">
        <is>
          <t>FALSE</t>
        </is>
      </c>
      <c r="E51" s="24" t="inlineStr">
        <is>
          <t>FALSE</t>
        </is>
      </c>
      <c r="F51" s="24" t="n"/>
      <c r="G51" s="24" t="inlineStr">
        <is>
          <t>Rarely or none of the time (less than 1 day) = 0 | Some or a little of the time (1-2 days) = 1 | Occasionally or a moderate amount of time (3-4 days) = 2 | Most or all of the time (5-7 days) = 3</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Consideration of Future Consequences Scale, 14 item</t>
        </is>
      </c>
    </row>
    <row r="3">
      <c r="A3" s="37" t="inlineStr">
        <is>
          <t>Instrument</t>
        </is>
      </c>
      <c r="B3" s="24" t="inlineStr">
        <is>
          <t>Consideration of Future Consequences Scale, 14 item</t>
        </is>
      </c>
      <c r="C3" s="24" t="n"/>
      <c r="D3" s="24" t="n"/>
      <c r="E3" s="24" t="n"/>
      <c r="F3" s="24" t="n"/>
      <c r="G3" s="24" t="n"/>
    </row>
    <row r="4">
      <c r="A4" s="37" t="inlineStr">
        <is>
          <t>Code</t>
        </is>
      </c>
      <c r="B4" s="24" t="inlineStr">
        <is>
          <t>CFC-14</t>
        </is>
      </c>
      <c r="C4" s="24" t="n"/>
      <c r="D4" s="24" t="n"/>
      <c r="E4" s="24" t="n"/>
      <c r="F4" s="24" t="n"/>
      <c r="G4" s="24" t="n"/>
    </row>
    <row r="5">
      <c r="A5" s="37" t="inlineStr">
        <is>
          <t>Domain</t>
        </is>
      </c>
      <c r="B5" s="24" t="inlineStr">
        <is>
          <t>6. Motivation, self determination and goal pursuit</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Extent to which people consider distant versus immediate consequences of their behaviour and are influenced by them.</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14</v>
      </c>
      <c r="C10" s="24" t="n"/>
      <c r="D10" s="24" t="n"/>
      <c r="E10" s="24" t="n"/>
      <c r="F10" s="24" t="n"/>
      <c r="G10" s="24" t="n"/>
    </row>
    <row r="11">
      <c r="A11" s="37" t="inlineStr">
        <is>
          <t>Items reproduced here</t>
        </is>
      </c>
      <c r="B11" s="24" t="n">
        <v>14</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No blanket licence. The NIH SOBC repository catalogues measures with metadata and links to the source; copyright stays with the original authors and their terms apply. Items are published in the source articles and used freely in research with citation.</t>
        </is>
      </c>
      <c r="C13" s="24" t="n"/>
      <c r="D13" s="24" t="n"/>
      <c r="E13" s="24" t="n"/>
      <c r="F13" s="24" t="n"/>
      <c r="G13" s="24" t="n"/>
    </row>
    <row r="14">
      <c r="A14" s="37" t="inlineStr">
        <is>
          <t>Coaching application</t>
        </is>
      </c>
      <c r="B14" s="24" t="inlineStr">
        <is>
          <t>Links to procrastination and planning difficulties; a conversation starter about time horizons in goal setting.</t>
        </is>
      </c>
      <c r="C14" s="24" t="n"/>
      <c r="D14" s="24" t="n"/>
      <c r="E14" s="24" t="n"/>
      <c r="F14" s="24" t="n"/>
      <c r="G14" s="24" t="n"/>
    </row>
    <row r="15">
      <c r="A15" s="37" t="inlineStr">
        <is>
          <t>Purpose</t>
        </is>
      </c>
      <c r="B15" s="24" t="inlineStr">
        <is>
          <t>Extent to which people consider distant versus immediate consequences of their behaviour and are influenced by them.</t>
        </is>
      </c>
      <c r="C15" s="24" t="n"/>
      <c r="D15" s="24" t="n"/>
      <c r="E15" s="24" t="n"/>
      <c r="F15" s="24" t="n"/>
      <c r="G15" s="24" t="n"/>
    </row>
    <row r="16">
      <c r="A16" s="37" t="inlineStr">
        <is>
          <t>Instructions / prompt</t>
        </is>
      </c>
      <c r="B16" s="24" t="inlineStr">
        <is>
          <t>For each statement, indicate whether or not the statement is characteristic of you.</t>
        </is>
      </c>
      <c r="C16" s="24" t="n"/>
      <c r="D16" s="24" t="n"/>
      <c r="E16" s="24" t="n"/>
      <c r="F16" s="24" t="n"/>
      <c r="G16" s="24" t="n"/>
    </row>
    <row r="17">
      <c r="A17" s="37" t="inlineStr">
        <is>
          <t>Response options</t>
        </is>
      </c>
      <c r="B17" s="24" t="inlineStr">
        <is>
          <t>extremely uncharacteristic = 1 | 2 = 2 | 3 = 3 | 4 = 4 | 5 = 5 | 6 = 6 | extremely characteristic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Compute CFC-Future and CFC-Immediate as the sum or mean of their 7 items; for a total score reverse the 7 Immediate items and sum or average all 14 (McKay et al., 2018, describing Joireman et al., 2012). Higher total scores indicate greater consideration of future consequences. The two factor scoring is recommended by Joireman et al. (2012). No published cut offs. Note that the Macmillan source scores on a 5 point scale giving a 14 to 70 range; on the 7 point scale of Joireman et al. the total ranges 14 to 98.</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Joireman, J., Shaffer, M. J., Balliet, D., &amp; Strathman, A. (2012). Promotion orientation explains why future-oriented people exercise and eat healthy: Evidence from the two-factor consideration of future consequences-14 scale. Personality and Social Psychology Bulletin, 38(10), 1272–1287. https://doi.org/10.1177/0146167212449362</t>
        </is>
      </c>
      <c r="C25" s="24" t="n"/>
      <c r="D25" s="24" t="n"/>
      <c r="E25" s="24" t="n"/>
      <c r="F25" s="24" t="n"/>
      <c r="G25" s="24" t="n"/>
    </row>
    <row r="26">
      <c r="A26" s="37" t="inlineStr">
        <is>
          <t>Copyright and licensing</t>
        </is>
      </c>
      <c r="B26" s="24" t="inlineStr">
        <is>
          <t>No blanket licence. The NIH SOBC repository catalogues measures with metadata and links to the source; copyright stays with the original authors and their terms apply. Items are published in the source articles and used freely in research with citation. Source: https://scienceofbehaviorchange.org/measures/</t>
        </is>
      </c>
      <c r="C26" s="24" t="n"/>
      <c r="D26" s="24" t="n"/>
      <c r="E26" s="24" t="n"/>
      <c r="F26" s="24" t="n"/>
      <c r="G26" s="24" t="n"/>
    </row>
    <row r="27">
      <c r="A27" s="37" t="inlineStr">
        <is>
          <t>Source URL</t>
        </is>
      </c>
      <c r="B27" s="24" t="inlineStr">
        <is>
          <t>https://digfir-published.macmillanusa.com/myers_pel_assess_your_strengths2/myers_ays_ch6a.html</t>
        </is>
      </c>
      <c r="C27" s="24" t="n"/>
      <c r="D27" s="24" t="n"/>
      <c r="E27" s="24" t="n"/>
      <c r="F27" s="24" t="n"/>
      <c r="G27" s="24" t="n"/>
    </row>
    <row r="28">
      <c r="A28" s="37" t="inlineStr">
        <is>
          <t>Transcription note</t>
        </is>
      </c>
      <c r="B28" s="24" t="inlineStr">
        <is>
          <t>The SOBC repository page (itemsUrl) catalogues the measure without item text, and the Joireman et al. (2012) article is paywalled, so the 14 items were transcribed from the publicly accessible Macmillan Learning self assessment page that reproduces the CFC-14 with citation to Joireman et al. (2012). Items 7, 8, 9 and 11 were returned in 2 segments each by the fetch tool and are joined here at the split point. The psytests.org form (https://psytests.org/emvol/cfc14en-bl.html) independently confirmed the wording of items 1 and 3, with one spelling difference (day to day vs day-to-day in item 1; the hyphenated Macmillan form is kept). Response scale: the Macmillan page gives no labels, the psytests form uses 1 Not at all like me to 7 Very much like me, and the target record gives 1 extremely uncharacteristic to 7 extremely characteristic (Joireman et al. 2012); the latter endpoints are recorded with points 2 to 6 unlabelled. Factor membership from McKay, Perry, Percy and Cole (2018, CC BY-NC-ND, Hull repository) and matching the reverse keyed items on the Macmillan page.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consider how things might be in the future, and try to influence those things with my day-to-day behavior.</t>
        </is>
      </c>
      <c r="C32" s="24" t="inlineStr">
        <is>
          <t>CFC Future</t>
        </is>
      </c>
      <c r="D32" s="24" t="inlineStr">
        <is>
          <t>FALSE</t>
        </is>
      </c>
      <c r="E32" s="24" t="inlineStr">
        <is>
          <t>FALSE</t>
        </is>
      </c>
      <c r="F32" s="24" t="n"/>
      <c r="G32" s="24" t="inlineStr">
        <is>
          <t>extremely uncharacteristic = 1 | 2 = 2 | 3 = 3 | 4 = 4 | 5 = 5 | 6 = 6 | extremely characteristic = 7</t>
        </is>
      </c>
    </row>
    <row r="33">
      <c r="A33" s="24" t="n">
        <v>2</v>
      </c>
      <c r="B33" s="24" t="inlineStr">
        <is>
          <t>Often I engage in a particular behavior in order to achieve outcomes that may not result for many years.</t>
        </is>
      </c>
      <c r="C33" s="24" t="inlineStr">
        <is>
          <t>CFC Future</t>
        </is>
      </c>
      <c r="D33" s="24" t="inlineStr">
        <is>
          <t>FALSE</t>
        </is>
      </c>
      <c r="E33" s="24" t="inlineStr">
        <is>
          <t>FALSE</t>
        </is>
      </c>
      <c r="F33" s="24" t="n"/>
      <c r="G33" s="24" t="inlineStr">
        <is>
          <t>extremely uncharacteristic = 1 | 2 = 2 | 3 = 3 | 4 = 4 | 5 = 5 | 6 = 6 | extremely characteristic = 7</t>
        </is>
      </c>
    </row>
    <row r="34">
      <c r="A34" s="24" t="n">
        <v>3</v>
      </c>
      <c r="B34" s="24" t="inlineStr">
        <is>
          <t>I only act to satisfy immediate concerns, figuring the future will take care of itself.</t>
        </is>
      </c>
      <c r="C34" s="24" t="inlineStr">
        <is>
          <t>CFC Immediate</t>
        </is>
      </c>
      <c r="D34" s="24" t="inlineStr">
        <is>
          <t>FALSE</t>
        </is>
      </c>
      <c r="E34" s="24" t="inlineStr">
        <is>
          <t>FALSE</t>
        </is>
      </c>
      <c r="F34" s="24" t="inlineStr">
        <is>
          <t>Reverse scored for the total; CFC-Immediate item</t>
        </is>
      </c>
      <c r="G34" s="24" t="inlineStr">
        <is>
          <t>extremely uncharacteristic = 1 | 2 = 2 | 3 = 3 | 4 = 4 | 5 = 5 | 6 = 6 | extremely characteristic = 7</t>
        </is>
      </c>
    </row>
    <row r="35">
      <c r="A35" s="24" t="n">
        <v>4</v>
      </c>
      <c r="B35" s="24" t="inlineStr">
        <is>
          <t>My behavior is only influenced by the immediate (i.e., a matter of days or weeks) outcomes of my actions.</t>
        </is>
      </c>
      <c r="C35" s="24" t="inlineStr">
        <is>
          <t>CFC Immediate</t>
        </is>
      </c>
      <c r="D35" s="24" t="inlineStr">
        <is>
          <t>FALSE</t>
        </is>
      </c>
      <c r="E35" s="24" t="inlineStr">
        <is>
          <t>FALSE</t>
        </is>
      </c>
      <c r="F35" s="24" t="inlineStr">
        <is>
          <t>Reverse scored for the total; CFC-Immediate item</t>
        </is>
      </c>
      <c r="G35" s="24" t="inlineStr">
        <is>
          <t>extremely uncharacteristic = 1 | 2 = 2 | 3 = 3 | 4 = 4 | 5 = 5 | 6 = 6 | extremely characteristic = 7</t>
        </is>
      </c>
    </row>
    <row r="36">
      <c r="A36" s="24" t="n">
        <v>5</v>
      </c>
      <c r="B36" s="24" t="inlineStr">
        <is>
          <t>My convenience is a big factor in the decisions I make or the actions I take.</t>
        </is>
      </c>
      <c r="C36" s="24" t="inlineStr">
        <is>
          <t>CFC Immediate</t>
        </is>
      </c>
      <c r="D36" s="24" t="inlineStr">
        <is>
          <t>FALSE</t>
        </is>
      </c>
      <c r="E36" s="24" t="inlineStr">
        <is>
          <t>FALSE</t>
        </is>
      </c>
      <c r="F36" s="24" t="inlineStr">
        <is>
          <t>Reverse scored for the total; CFC-Immediate item</t>
        </is>
      </c>
      <c r="G36" s="24" t="inlineStr">
        <is>
          <t>extremely uncharacteristic = 1 | 2 = 2 | 3 = 3 | 4 = 4 | 5 = 5 | 6 = 6 | extremely characteristic = 7</t>
        </is>
      </c>
    </row>
    <row r="37">
      <c r="A37" s="24" t="n">
        <v>6</v>
      </c>
      <c r="B37" s="24" t="inlineStr">
        <is>
          <t>I am willing to sacrifice my immediate happiness or well-being in order to achieve future outcomes.</t>
        </is>
      </c>
      <c r="C37" s="24" t="inlineStr">
        <is>
          <t>CFC Future</t>
        </is>
      </c>
      <c r="D37" s="24" t="inlineStr">
        <is>
          <t>FALSE</t>
        </is>
      </c>
      <c r="E37" s="24" t="inlineStr">
        <is>
          <t>FALSE</t>
        </is>
      </c>
      <c r="F37" s="24" t="n"/>
      <c r="G37" s="24" t="inlineStr">
        <is>
          <t>extremely uncharacteristic = 1 | 2 = 2 | 3 = 3 | 4 = 4 | 5 = 5 | 6 = 6 | extremely characteristic = 7</t>
        </is>
      </c>
    </row>
    <row r="38">
      <c r="A38" s="24" t="n">
        <v>7</v>
      </c>
      <c r="B38" s="24" t="inlineStr">
        <is>
          <t>I think it is important to take warnings about negative outcomes seriously even if the negative outcome will not occur for many years.</t>
        </is>
      </c>
      <c r="C38" s="24" t="inlineStr">
        <is>
          <t>CFC Future</t>
        </is>
      </c>
      <c r="D38" s="24" t="inlineStr">
        <is>
          <t>FALSE</t>
        </is>
      </c>
      <c r="E38" s="24" t="inlineStr">
        <is>
          <t>FALSE</t>
        </is>
      </c>
      <c r="F38" s="24" t="n"/>
      <c r="G38" s="24" t="inlineStr">
        <is>
          <t>extremely uncharacteristic = 1 | 2 = 2 | 3 = 3 | 4 = 4 | 5 = 5 | 6 = 6 | extremely characteristic = 7</t>
        </is>
      </c>
    </row>
    <row r="39">
      <c r="A39" s="24" t="n">
        <v>8</v>
      </c>
      <c r="B39" s="24" t="inlineStr">
        <is>
          <t>I think it is more important to perform a behavior with important distant consequences than a behavior with less important immediate consequences.</t>
        </is>
      </c>
      <c r="C39" s="24" t="inlineStr">
        <is>
          <t>CFC Future</t>
        </is>
      </c>
      <c r="D39" s="24" t="inlineStr">
        <is>
          <t>FALSE</t>
        </is>
      </c>
      <c r="E39" s="24" t="inlineStr">
        <is>
          <t>FALSE</t>
        </is>
      </c>
      <c r="F39" s="24" t="n"/>
      <c r="G39" s="24" t="inlineStr">
        <is>
          <t>extremely uncharacteristic = 1 | 2 = 2 | 3 = 3 | 4 = 4 | 5 = 5 | 6 = 6 | extremely characteristic = 7</t>
        </is>
      </c>
    </row>
    <row r="40">
      <c r="A40" s="24" t="n">
        <v>9</v>
      </c>
      <c r="B40" s="24" t="inlineStr">
        <is>
          <t>I generally ignore warnings about possible future problems because I think the problems will be resolved before they reach crisis level.</t>
        </is>
      </c>
      <c r="C40" s="24" t="inlineStr">
        <is>
          <t>CFC Immediate</t>
        </is>
      </c>
      <c r="D40" s="24" t="inlineStr">
        <is>
          <t>FALSE</t>
        </is>
      </c>
      <c r="E40" s="24" t="inlineStr">
        <is>
          <t>FALSE</t>
        </is>
      </c>
      <c r="F40" s="24" t="inlineStr">
        <is>
          <t>Reverse scored for the total; CFC-Immediate item</t>
        </is>
      </c>
      <c r="G40" s="24" t="inlineStr">
        <is>
          <t>extremely uncharacteristic = 1 | 2 = 2 | 3 = 3 | 4 = 4 | 5 = 5 | 6 = 6 | extremely characteristic = 7</t>
        </is>
      </c>
    </row>
    <row r="41">
      <c r="A41" s="24" t="n">
        <v>10</v>
      </c>
      <c r="B41" s="24" t="inlineStr">
        <is>
          <t>I think that sacrificing now is usually unnecessary since future outcomes can be dealt with at a later time.</t>
        </is>
      </c>
      <c r="C41" s="24" t="inlineStr">
        <is>
          <t>CFC Immediate</t>
        </is>
      </c>
      <c r="D41" s="24" t="inlineStr">
        <is>
          <t>FALSE</t>
        </is>
      </c>
      <c r="E41" s="24" t="inlineStr">
        <is>
          <t>FALSE</t>
        </is>
      </c>
      <c r="F41" s="24" t="inlineStr">
        <is>
          <t>Reverse scored for the total; CFC-Immediate item</t>
        </is>
      </c>
      <c r="G41" s="24" t="inlineStr">
        <is>
          <t>extremely uncharacteristic = 1 | 2 = 2 | 3 = 3 | 4 = 4 | 5 = 5 | 6 = 6 | extremely characteristic = 7</t>
        </is>
      </c>
    </row>
    <row r="42">
      <c r="A42" s="24" t="n">
        <v>11</v>
      </c>
      <c r="B42" s="24" t="inlineStr">
        <is>
          <t>I only act to satisfy immediate concerns, figuring that I will take care of future problems that may occur at a later date.</t>
        </is>
      </c>
      <c r="C42" s="24" t="inlineStr">
        <is>
          <t>CFC Immediate</t>
        </is>
      </c>
      <c r="D42" s="24" t="inlineStr">
        <is>
          <t>FALSE</t>
        </is>
      </c>
      <c r="E42" s="24" t="inlineStr">
        <is>
          <t>FALSE</t>
        </is>
      </c>
      <c r="F42" s="24" t="inlineStr">
        <is>
          <t>Reverse scored for the total; CFC-Immediate item</t>
        </is>
      </c>
      <c r="G42" s="24" t="inlineStr">
        <is>
          <t>extremely uncharacteristic = 1 | 2 = 2 | 3 = 3 | 4 = 4 | 5 = 5 | 6 = 6 | extremely characteristic = 7</t>
        </is>
      </c>
    </row>
    <row r="43">
      <c r="A43" s="24" t="n">
        <v>12</v>
      </c>
      <c r="B43" s="24" t="inlineStr">
        <is>
          <t>Since my day-to-day work has specific outcomes, it is more important to me than behavior that has distant outcomes.</t>
        </is>
      </c>
      <c r="C43" s="24" t="inlineStr">
        <is>
          <t>CFC Immediate</t>
        </is>
      </c>
      <c r="D43" s="24" t="inlineStr">
        <is>
          <t>FALSE</t>
        </is>
      </c>
      <c r="E43" s="24" t="inlineStr">
        <is>
          <t>FALSE</t>
        </is>
      </c>
      <c r="F43" s="24" t="inlineStr">
        <is>
          <t>Reverse scored for the total; CFC-Immediate item</t>
        </is>
      </c>
      <c r="G43" s="24" t="inlineStr">
        <is>
          <t>extremely uncharacteristic = 1 | 2 = 2 | 3 = 3 | 4 = 4 | 5 = 5 | 6 = 6 | extremely characteristic = 7</t>
        </is>
      </c>
    </row>
    <row r="44">
      <c r="A44" s="24" t="n">
        <v>13</v>
      </c>
      <c r="B44" s="24" t="inlineStr">
        <is>
          <t>When I make a decision, I think about how it might affect me in the future.</t>
        </is>
      </c>
      <c r="C44" s="24" t="inlineStr">
        <is>
          <t>CFC Future</t>
        </is>
      </c>
      <c r="D44" s="24" t="inlineStr">
        <is>
          <t>FALSE</t>
        </is>
      </c>
      <c r="E44" s="24" t="inlineStr">
        <is>
          <t>FALSE</t>
        </is>
      </c>
      <c r="F44" s="24" t="n"/>
      <c r="G44" s="24" t="inlineStr">
        <is>
          <t>extremely uncharacteristic = 1 | 2 = 2 | 3 = 3 | 4 = 4 | 5 = 5 | 6 = 6 | extremely characteristic = 7</t>
        </is>
      </c>
    </row>
    <row r="45">
      <c r="A45" s="24" t="n">
        <v>14</v>
      </c>
      <c r="B45" s="24" t="inlineStr">
        <is>
          <t>My behavior is generally influenced by future consequences.</t>
        </is>
      </c>
      <c r="C45" s="24" t="inlineStr">
        <is>
          <t>CFC Future</t>
        </is>
      </c>
      <c r="D45" s="24" t="inlineStr">
        <is>
          <t>FALSE</t>
        </is>
      </c>
      <c r="E45" s="24" t="inlineStr">
        <is>
          <t>FALSE</t>
        </is>
      </c>
      <c r="F45" s="24" t="n"/>
      <c r="G45" s="24" t="inlineStr">
        <is>
          <t>extremely uncharacteristic = 1 | 2 = 2 | 3 = 3 | 4 = 4 | 5 = 5 | 6 = 6 | extremely characteristic = 7</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G5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Cognitive Failures Questionnaire</t>
        </is>
      </c>
    </row>
    <row r="3">
      <c r="A3" s="37" t="inlineStr">
        <is>
          <t>Instrument</t>
        </is>
      </c>
      <c r="B3" s="24" t="inlineStr">
        <is>
          <t>Cognitive Failures Questionnaire</t>
        </is>
      </c>
      <c r="C3" s="24" t="n"/>
      <c r="D3" s="24" t="n"/>
      <c r="E3" s="24" t="n"/>
      <c r="F3" s="24" t="n"/>
      <c r="G3" s="24" t="n"/>
    </row>
    <row r="4">
      <c r="A4" s="37" t="inlineStr">
        <is>
          <t>Code</t>
        </is>
      </c>
      <c r="B4" s="24" t="inlineStr">
        <is>
          <t>CFQ</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Frequency of everyday slips and lapses in perception, memory and motor function over the past 6 months.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16+</t>
        </is>
      </c>
      <c r="C9" s="24" t="n"/>
      <c r="D9" s="24" t="n"/>
      <c r="E9" s="24" t="n"/>
      <c r="F9" s="24" t="n"/>
      <c r="G9" s="24" t="n"/>
    </row>
    <row r="10">
      <c r="A10" s="37" t="inlineStr">
        <is>
          <t>Items in instrument</t>
        </is>
      </c>
      <c r="B10" s="24" t="n">
        <v>25</v>
      </c>
      <c r="C10" s="24" t="n"/>
      <c r="D10" s="24" t="n"/>
      <c r="E10" s="24" t="n"/>
      <c r="F10" s="24" t="n"/>
      <c r="G10" s="24" t="n"/>
    </row>
    <row r="11">
      <c r="A11" s="37" t="inlineStr">
        <is>
          <t>Items reproduced here</t>
        </is>
      </c>
      <c r="B11" s="24" t="n">
        <v>25</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t>
        </is>
      </c>
      <c r="C13" s="24" t="n"/>
      <c r="D13" s="24" t="n"/>
      <c r="E13" s="24" t="n"/>
      <c r="F13" s="24" t="n"/>
      <c r="G13" s="24" t="n"/>
    </row>
    <row r="14">
      <c r="A14" s="37" t="inlineStr">
        <is>
          <t>Coaching application</t>
        </is>
      </c>
      <c r="B14" s="24" t="inlineStr">
        <is>
          <t>Useful for naming the concrete everyday lapses clients want to reduce; items map easily onto environmental and routine based strategies.</t>
        </is>
      </c>
      <c r="C14" s="24" t="n"/>
      <c r="D14" s="24" t="n"/>
      <c r="E14" s="24" t="n"/>
      <c r="F14" s="24" t="n"/>
      <c r="G14" s="24" t="n"/>
    </row>
    <row r="15">
      <c r="A15" s="37" t="inlineStr">
        <is>
          <t>Purpose</t>
        </is>
      </c>
      <c r="B15" s="24" t="inlineStr">
        <is>
          <t>Frequency of everyday slips and lapses in perception, memory and motor function over the past 6 months.</t>
        </is>
      </c>
      <c r="C15" s="24" t="n"/>
      <c r="D15" s="24" t="n"/>
      <c r="E15" s="24" t="n"/>
      <c r="F15" s="24" t="n"/>
      <c r="G15" s="24" t="n"/>
    </row>
    <row r="16">
      <c r="A16" s="37" t="inlineStr">
        <is>
          <t>Instructions / prompt</t>
        </is>
      </c>
      <c r="B16" s="24" t="inlineStr">
        <is>
          <t>The following questions are about minor mistakes which everyone makes from time to time, but some of which happen more often than others. We want to know how often these things have happened to you in the last six months.</t>
        </is>
      </c>
      <c r="C16" s="24" t="n"/>
      <c r="D16" s="24" t="n"/>
      <c r="E16" s="24" t="n"/>
      <c r="F16" s="24" t="n"/>
      <c r="G16" s="24" t="n"/>
    </row>
    <row r="17">
      <c r="A17" s="37" t="inlineStr">
        <is>
          <t>Response options</t>
        </is>
      </c>
      <c r="B17" s="24" t="inlineStr">
        <is>
          <t>Never = 0 | Very rarely = 1 | Occasionally = 2 | Quite often = 3 | Very often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all 25 items (each scored 0 to 4) for a total of 0 to 100; higher scores indicate more cognitive failures. No formal clinical cut offs. Broadbent et al. (1982) sample means reported on the PsyToolkit page: 35.02 (car factory production workers), 36.65 (car factory skilled men), 52.48 (student nurses). Factor derived subscales (for example Forgetfulness, Distractibility and False triggering, Rast et al. 2009) are reported in the secondary literature but no item membership was available from the sources transcribed here.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Broadbent, D. E., Cooper, P. F., FitzGerald, P., &amp; Parkes, K. R. (1982). The Cognitive Failures Questionnaire (CFQ) and its correlates. British Journal of Clinical Psychology, 21(1), 1–16. https://doi.org/10.1111/j.2044-8260.1982.tb01421.x</t>
        </is>
      </c>
      <c r="C25" s="24" t="n"/>
      <c r="D25" s="24" t="n"/>
      <c r="E25" s="24" t="n"/>
      <c r="F25" s="24" t="n"/>
      <c r="G25" s="24" t="n"/>
    </row>
    <row r="26">
      <c r="A26" s="37" t="inlineStr">
        <is>
          <t>Copyright and licensing</t>
        </is>
      </c>
      <c r="B26" s="24" t="inlineStr">
        <is>
          <t>Salford PsyTech questionnaire battery, Copyright restrictions field: "No restrictions." PsyToolkit legal note: "It seems that the CFQ can be used for research, but you need to acknowledge the authors and their research paper when writing about it." The 1982 article carries publisher copyright. Source: https://hub.salford.ac.uk/psytech/equipment-resources/questionnaire-battery/the-cognitive-failures-questionnaire/</t>
        </is>
      </c>
      <c r="C26" s="24" t="n"/>
      <c r="D26" s="24" t="n"/>
      <c r="E26" s="24" t="n"/>
      <c r="F26" s="24" t="n"/>
      <c r="G26" s="24" t="n"/>
    </row>
    <row r="27">
      <c r="A27" s="37" t="inlineStr">
        <is>
          <t>Source URL</t>
        </is>
      </c>
      <c r="B27" s="24" t="inlineStr">
        <is>
          <t>https://www.psytoolkit.org/survey-library/cognitive-failures-cfq.html</t>
        </is>
      </c>
      <c r="C27" s="24" t="n"/>
      <c r="D27" s="24" t="n"/>
      <c r="E27" s="24" t="n"/>
      <c r="F27" s="24" t="n"/>
      <c r="G27" s="24" t="n"/>
    </row>
    <row r="28">
      <c r="A28" s="37" t="inlineStr">
        <is>
          <t>Transcription note</t>
        </is>
      </c>
      <c r="B28" s="24" t="inlineStr">
        <is>
          <t>The itemsUrl (NITRC enhanced NKI assessment page) and the Salford source page describe the CFQ but do not list the items; the Salford page links a SharePoint Word document that WebFetch cannot read. Items and instructions were transcribed from the PsyToolkit survey library page. Response option labels come from the NITRC page (0 Never, 1 Very rarely, 2 Ocassionally [sic on that page, corrected to Occasionally here], 3 Quite often, 4 Very often); the PsyToolkit page lists the values 4 to 0 without labels. Item text uses curly apostrophes and quotation marks as rendered on the PsyToolkit page; item 18 uses an en dash in the source. Subscale membership for Forgetfulness, Distractibility and False triggering was not available from any fetched source, so every item is coded to Total only.</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Do you read something and find you haven’t been thinking about it and must read it again?</t>
        </is>
      </c>
      <c r="C32" s="24" t="inlineStr">
        <is>
          <t>Total</t>
        </is>
      </c>
      <c r="D32" s="24" t="inlineStr">
        <is>
          <t>FALSE</t>
        </is>
      </c>
      <c r="E32" s="24" t="inlineStr">
        <is>
          <t>FALSE</t>
        </is>
      </c>
      <c r="F32" s="24" t="n"/>
      <c r="G32" s="24" t="inlineStr">
        <is>
          <t>Never = 0 | Very rarely = 1 | Occasionally = 2 | Quite often = 3 | Very often = 4</t>
        </is>
      </c>
    </row>
    <row r="33">
      <c r="A33" s="24" t="n">
        <v>2</v>
      </c>
      <c r="B33" s="24" t="inlineStr">
        <is>
          <t>Do you find you forget why you went from one part of the house to the other?</t>
        </is>
      </c>
      <c r="C33" s="24" t="inlineStr">
        <is>
          <t>Total</t>
        </is>
      </c>
      <c r="D33" s="24" t="inlineStr">
        <is>
          <t>FALSE</t>
        </is>
      </c>
      <c r="E33" s="24" t="inlineStr">
        <is>
          <t>FALSE</t>
        </is>
      </c>
      <c r="F33" s="24" t="n"/>
      <c r="G33" s="24" t="inlineStr">
        <is>
          <t>Never = 0 | Very rarely = 1 | Occasionally = 2 | Quite often = 3 | Very often = 4</t>
        </is>
      </c>
    </row>
    <row r="34">
      <c r="A34" s="24" t="n">
        <v>3</v>
      </c>
      <c r="B34" s="24" t="inlineStr">
        <is>
          <t>Do you fail to notice signposts on the road?</t>
        </is>
      </c>
      <c r="C34" s="24" t="inlineStr">
        <is>
          <t>Total</t>
        </is>
      </c>
      <c r="D34" s="24" t="inlineStr">
        <is>
          <t>FALSE</t>
        </is>
      </c>
      <c r="E34" s="24" t="inlineStr">
        <is>
          <t>FALSE</t>
        </is>
      </c>
      <c r="F34" s="24" t="n"/>
      <c r="G34" s="24" t="inlineStr">
        <is>
          <t>Never = 0 | Very rarely = 1 | Occasionally = 2 | Quite often = 3 | Very often = 4</t>
        </is>
      </c>
    </row>
    <row r="35">
      <c r="A35" s="24" t="n">
        <v>4</v>
      </c>
      <c r="B35" s="24" t="inlineStr">
        <is>
          <t>Do you find you confuse right and left when giving directions?</t>
        </is>
      </c>
      <c r="C35" s="24" t="inlineStr">
        <is>
          <t>Total</t>
        </is>
      </c>
      <c r="D35" s="24" t="inlineStr">
        <is>
          <t>FALSE</t>
        </is>
      </c>
      <c r="E35" s="24" t="inlineStr">
        <is>
          <t>FALSE</t>
        </is>
      </c>
      <c r="F35" s="24" t="n"/>
      <c r="G35" s="24" t="inlineStr">
        <is>
          <t>Never = 0 | Very rarely = 1 | Occasionally = 2 | Quite often = 3 | Very often = 4</t>
        </is>
      </c>
    </row>
    <row r="36">
      <c r="A36" s="24" t="n">
        <v>5</v>
      </c>
      <c r="B36" s="24" t="inlineStr">
        <is>
          <t>Do you bump into people?</t>
        </is>
      </c>
      <c r="C36" s="24" t="inlineStr">
        <is>
          <t>Total</t>
        </is>
      </c>
      <c r="D36" s="24" t="inlineStr">
        <is>
          <t>FALSE</t>
        </is>
      </c>
      <c r="E36" s="24" t="inlineStr">
        <is>
          <t>FALSE</t>
        </is>
      </c>
      <c r="F36" s="24" t="n"/>
      <c r="G36" s="24" t="inlineStr">
        <is>
          <t>Never = 0 | Very rarely = 1 | Occasionally = 2 | Quite often = 3 | Very often = 4</t>
        </is>
      </c>
    </row>
    <row r="37">
      <c r="A37" s="24" t="n">
        <v>6</v>
      </c>
      <c r="B37" s="24" t="inlineStr">
        <is>
          <t>Do you find you forget whether you’ve turned off a light or a fire or locked the door?</t>
        </is>
      </c>
      <c r="C37" s="24" t="inlineStr">
        <is>
          <t>Total</t>
        </is>
      </c>
      <c r="D37" s="24" t="inlineStr">
        <is>
          <t>FALSE</t>
        </is>
      </c>
      <c r="E37" s="24" t="inlineStr">
        <is>
          <t>FALSE</t>
        </is>
      </c>
      <c r="F37" s="24" t="n"/>
      <c r="G37" s="24" t="inlineStr">
        <is>
          <t>Never = 0 | Very rarely = 1 | Occasionally = 2 | Quite often = 3 | Very often = 4</t>
        </is>
      </c>
    </row>
    <row r="38">
      <c r="A38" s="24" t="n">
        <v>7</v>
      </c>
      <c r="B38" s="24" t="inlineStr">
        <is>
          <t>Do you fail to listen to people’s names when you are meeting them?</t>
        </is>
      </c>
      <c r="C38" s="24" t="inlineStr">
        <is>
          <t>Total</t>
        </is>
      </c>
      <c r="D38" s="24" t="inlineStr">
        <is>
          <t>FALSE</t>
        </is>
      </c>
      <c r="E38" s="24" t="inlineStr">
        <is>
          <t>FALSE</t>
        </is>
      </c>
      <c r="F38" s="24" t="n"/>
      <c r="G38" s="24" t="inlineStr">
        <is>
          <t>Never = 0 | Very rarely = 1 | Occasionally = 2 | Quite often = 3 | Very often = 4</t>
        </is>
      </c>
    </row>
    <row r="39">
      <c r="A39" s="24" t="n">
        <v>8</v>
      </c>
      <c r="B39" s="24" t="inlineStr">
        <is>
          <t>Do you say something and realize afterwards that it might be taken as insulting?</t>
        </is>
      </c>
      <c r="C39" s="24" t="inlineStr">
        <is>
          <t>Total</t>
        </is>
      </c>
      <c r="D39" s="24" t="inlineStr">
        <is>
          <t>FALSE</t>
        </is>
      </c>
      <c r="E39" s="24" t="inlineStr">
        <is>
          <t>FALSE</t>
        </is>
      </c>
      <c r="F39" s="24" t="n"/>
      <c r="G39" s="24" t="inlineStr">
        <is>
          <t>Never = 0 | Very rarely = 1 | Occasionally = 2 | Quite often = 3 | Very often = 4</t>
        </is>
      </c>
    </row>
    <row r="40">
      <c r="A40" s="24" t="n">
        <v>9</v>
      </c>
      <c r="B40" s="24" t="inlineStr">
        <is>
          <t>Do you fail to hear people speaking to you when you are doing something else?</t>
        </is>
      </c>
      <c r="C40" s="24" t="inlineStr">
        <is>
          <t>Total</t>
        </is>
      </c>
      <c r="D40" s="24" t="inlineStr">
        <is>
          <t>FALSE</t>
        </is>
      </c>
      <c r="E40" s="24" t="inlineStr">
        <is>
          <t>FALSE</t>
        </is>
      </c>
      <c r="F40" s="24" t="n"/>
      <c r="G40" s="24" t="inlineStr">
        <is>
          <t>Never = 0 | Very rarely = 1 | Occasionally = 2 | Quite often = 3 | Very often = 4</t>
        </is>
      </c>
    </row>
    <row r="41">
      <c r="A41" s="24" t="n">
        <v>10</v>
      </c>
      <c r="B41" s="24" t="inlineStr">
        <is>
          <t>Do you lose your temper and regret it?</t>
        </is>
      </c>
      <c r="C41" s="24" t="inlineStr">
        <is>
          <t>Total</t>
        </is>
      </c>
      <c r="D41" s="24" t="inlineStr">
        <is>
          <t>FALSE</t>
        </is>
      </c>
      <c r="E41" s="24" t="inlineStr">
        <is>
          <t>FALSE</t>
        </is>
      </c>
      <c r="F41" s="24" t="n"/>
      <c r="G41" s="24" t="inlineStr">
        <is>
          <t>Never = 0 | Very rarely = 1 | Occasionally = 2 | Quite often = 3 | Very often = 4</t>
        </is>
      </c>
    </row>
    <row r="42">
      <c r="A42" s="24" t="n">
        <v>11</v>
      </c>
      <c r="B42" s="24" t="inlineStr">
        <is>
          <t>Do you leave important letters unanswered for days?</t>
        </is>
      </c>
      <c r="C42" s="24" t="inlineStr">
        <is>
          <t>Total</t>
        </is>
      </c>
      <c r="D42" s="24" t="inlineStr">
        <is>
          <t>FALSE</t>
        </is>
      </c>
      <c r="E42" s="24" t="inlineStr">
        <is>
          <t>FALSE</t>
        </is>
      </c>
      <c r="F42" s="24" t="n"/>
      <c r="G42" s="24" t="inlineStr">
        <is>
          <t>Never = 0 | Very rarely = 1 | Occasionally = 2 | Quite often = 3 | Very often = 4</t>
        </is>
      </c>
    </row>
    <row r="43">
      <c r="A43" s="24" t="n">
        <v>12</v>
      </c>
      <c r="B43" s="24" t="inlineStr">
        <is>
          <t>Do you find you forget which way to turn on a road you know well but rarely use?</t>
        </is>
      </c>
      <c r="C43" s="24" t="inlineStr">
        <is>
          <t>Total</t>
        </is>
      </c>
      <c r="D43" s="24" t="inlineStr">
        <is>
          <t>FALSE</t>
        </is>
      </c>
      <c r="E43" s="24" t="inlineStr">
        <is>
          <t>FALSE</t>
        </is>
      </c>
      <c r="F43" s="24" t="n"/>
      <c r="G43" s="24" t="inlineStr">
        <is>
          <t>Never = 0 | Very rarely = 1 | Occasionally = 2 | Quite often = 3 | Very often = 4</t>
        </is>
      </c>
    </row>
    <row r="44">
      <c r="A44" s="24" t="n">
        <v>13</v>
      </c>
      <c r="B44" s="24" t="inlineStr">
        <is>
          <t>Do you fail to see what you want in a supermarket (although it’s there)?</t>
        </is>
      </c>
      <c r="C44" s="24" t="inlineStr">
        <is>
          <t>Total</t>
        </is>
      </c>
      <c r="D44" s="24" t="inlineStr">
        <is>
          <t>FALSE</t>
        </is>
      </c>
      <c r="E44" s="24" t="inlineStr">
        <is>
          <t>FALSE</t>
        </is>
      </c>
      <c r="F44" s="24" t="n"/>
      <c r="G44" s="24" t="inlineStr">
        <is>
          <t>Never = 0 | Very rarely = 1 | Occasionally = 2 | Quite often = 3 | Very often = 4</t>
        </is>
      </c>
    </row>
    <row r="45">
      <c r="A45" s="24" t="n">
        <v>14</v>
      </c>
      <c r="B45" s="24" t="inlineStr">
        <is>
          <t>Do you find yourself suddenly wondering whether you’ve used a word correctly?</t>
        </is>
      </c>
      <c r="C45" s="24" t="inlineStr">
        <is>
          <t>Total</t>
        </is>
      </c>
      <c r="D45" s="24" t="inlineStr">
        <is>
          <t>FALSE</t>
        </is>
      </c>
      <c r="E45" s="24" t="inlineStr">
        <is>
          <t>FALSE</t>
        </is>
      </c>
      <c r="F45" s="24" t="n"/>
      <c r="G45" s="24" t="inlineStr">
        <is>
          <t>Never = 0 | Very rarely = 1 | Occasionally = 2 | Quite often = 3 | Very often = 4</t>
        </is>
      </c>
    </row>
    <row r="46">
      <c r="A46" s="24" t="n">
        <v>15</v>
      </c>
      <c r="B46" s="24" t="inlineStr">
        <is>
          <t>Do you have trouble making up your mind?</t>
        </is>
      </c>
      <c r="C46" s="24" t="inlineStr">
        <is>
          <t>Total</t>
        </is>
      </c>
      <c r="D46" s="24" t="inlineStr">
        <is>
          <t>FALSE</t>
        </is>
      </c>
      <c r="E46" s="24" t="inlineStr">
        <is>
          <t>FALSE</t>
        </is>
      </c>
      <c r="F46" s="24" t="n"/>
      <c r="G46" s="24" t="inlineStr">
        <is>
          <t>Never = 0 | Very rarely = 1 | Occasionally = 2 | Quite often = 3 | Very often = 4</t>
        </is>
      </c>
    </row>
    <row r="47">
      <c r="A47" s="24" t="n">
        <v>16</v>
      </c>
      <c r="B47" s="24" t="inlineStr">
        <is>
          <t>Do you find you forget appointments?</t>
        </is>
      </c>
      <c r="C47" s="24" t="inlineStr">
        <is>
          <t>Total</t>
        </is>
      </c>
      <c r="D47" s="24" t="inlineStr">
        <is>
          <t>FALSE</t>
        </is>
      </c>
      <c r="E47" s="24" t="inlineStr">
        <is>
          <t>FALSE</t>
        </is>
      </c>
      <c r="F47" s="24" t="n"/>
      <c r="G47" s="24" t="inlineStr">
        <is>
          <t>Never = 0 | Very rarely = 1 | Occasionally = 2 | Quite often = 3 | Very often = 4</t>
        </is>
      </c>
    </row>
    <row r="48">
      <c r="A48" s="24" t="n">
        <v>17</v>
      </c>
      <c r="B48" s="24" t="inlineStr">
        <is>
          <t>Do you forget where you put something like a newspaper or a book?</t>
        </is>
      </c>
      <c r="C48" s="24" t="inlineStr">
        <is>
          <t>Total</t>
        </is>
      </c>
      <c r="D48" s="24" t="inlineStr">
        <is>
          <t>FALSE</t>
        </is>
      </c>
      <c r="E48" s="24" t="inlineStr">
        <is>
          <t>FALSE</t>
        </is>
      </c>
      <c r="F48" s="24" t="n"/>
      <c r="G48" s="24" t="inlineStr">
        <is>
          <t>Never = 0 | Very rarely = 1 | Occasionally = 2 | Quite often = 3 | Very often = 4</t>
        </is>
      </c>
    </row>
    <row r="49">
      <c r="A49" s="24" t="n">
        <v>18</v>
      </c>
      <c r="B49" s="24" t="inlineStr">
        <is>
          <t>Do you find you accidentally throw away the thing you want and keep what you meant to throw away – as in the example of throwing away the matchbox and putting the used match in your pocket?</t>
        </is>
      </c>
      <c r="C49" s="24" t="inlineStr">
        <is>
          <t>Total</t>
        </is>
      </c>
      <c r="D49" s="24" t="inlineStr">
        <is>
          <t>FALSE</t>
        </is>
      </c>
      <c r="E49" s="24" t="inlineStr">
        <is>
          <t>FALSE</t>
        </is>
      </c>
      <c r="F49" s="24" t="n"/>
      <c r="G49" s="24" t="inlineStr">
        <is>
          <t>Never = 0 | Very rarely = 1 | Occasionally = 2 | Quite often = 3 | Very often = 4</t>
        </is>
      </c>
    </row>
    <row r="50">
      <c r="A50" s="24" t="n">
        <v>19</v>
      </c>
      <c r="B50" s="24" t="inlineStr">
        <is>
          <t>Do you daydream when you ought to be listening to something?</t>
        </is>
      </c>
      <c r="C50" s="24" t="inlineStr">
        <is>
          <t>Total</t>
        </is>
      </c>
      <c r="D50" s="24" t="inlineStr">
        <is>
          <t>FALSE</t>
        </is>
      </c>
      <c r="E50" s="24" t="inlineStr">
        <is>
          <t>FALSE</t>
        </is>
      </c>
      <c r="F50" s="24" t="n"/>
      <c r="G50" s="24" t="inlineStr">
        <is>
          <t>Never = 0 | Very rarely = 1 | Occasionally = 2 | Quite often = 3 | Very often = 4</t>
        </is>
      </c>
    </row>
    <row r="51">
      <c r="A51" s="24" t="n">
        <v>20</v>
      </c>
      <c r="B51" s="24" t="inlineStr">
        <is>
          <t>Do you find you forget people’s names?</t>
        </is>
      </c>
      <c r="C51" s="24" t="inlineStr">
        <is>
          <t>Total</t>
        </is>
      </c>
      <c r="D51" s="24" t="inlineStr">
        <is>
          <t>FALSE</t>
        </is>
      </c>
      <c r="E51" s="24" t="inlineStr">
        <is>
          <t>FALSE</t>
        </is>
      </c>
      <c r="F51" s="24" t="n"/>
      <c r="G51" s="24" t="inlineStr">
        <is>
          <t>Never = 0 | Very rarely = 1 | Occasionally = 2 | Quite often = 3 | Very often = 4</t>
        </is>
      </c>
    </row>
    <row r="52">
      <c r="A52" s="24" t="n">
        <v>21</v>
      </c>
      <c r="B52" s="24" t="inlineStr">
        <is>
          <t>Do you start doing one thing at home and get distracted into doing something else (unintentionally)?</t>
        </is>
      </c>
      <c r="C52" s="24" t="inlineStr">
        <is>
          <t>Total</t>
        </is>
      </c>
      <c r="D52" s="24" t="inlineStr">
        <is>
          <t>FALSE</t>
        </is>
      </c>
      <c r="E52" s="24" t="inlineStr">
        <is>
          <t>FALSE</t>
        </is>
      </c>
      <c r="F52" s="24" t="n"/>
      <c r="G52" s="24" t="inlineStr">
        <is>
          <t>Never = 0 | Very rarely = 1 | Occasionally = 2 | Quite often = 3 | Very often = 4</t>
        </is>
      </c>
    </row>
    <row r="53">
      <c r="A53" s="24" t="n">
        <v>22</v>
      </c>
      <c r="B53" s="24" t="inlineStr">
        <is>
          <t>Do you find you can’t quite remember something although it’s “on the tip of your tongue”?</t>
        </is>
      </c>
      <c r="C53" s="24" t="inlineStr">
        <is>
          <t>Total</t>
        </is>
      </c>
      <c r="D53" s="24" t="inlineStr">
        <is>
          <t>FALSE</t>
        </is>
      </c>
      <c r="E53" s="24" t="inlineStr">
        <is>
          <t>FALSE</t>
        </is>
      </c>
      <c r="F53" s="24" t="n"/>
      <c r="G53" s="24" t="inlineStr">
        <is>
          <t>Never = 0 | Very rarely = 1 | Occasionally = 2 | Quite often = 3 | Very often = 4</t>
        </is>
      </c>
    </row>
    <row r="54">
      <c r="A54" s="24" t="n">
        <v>23</v>
      </c>
      <c r="B54" s="24" t="inlineStr">
        <is>
          <t>Do you find you forget what you came to the shops to buy?</t>
        </is>
      </c>
      <c r="C54" s="24" t="inlineStr">
        <is>
          <t>Total</t>
        </is>
      </c>
      <c r="D54" s="24" t="inlineStr">
        <is>
          <t>FALSE</t>
        </is>
      </c>
      <c r="E54" s="24" t="inlineStr">
        <is>
          <t>FALSE</t>
        </is>
      </c>
      <c r="F54" s="24" t="n"/>
      <c r="G54" s="24" t="inlineStr">
        <is>
          <t>Never = 0 | Very rarely = 1 | Occasionally = 2 | Quite often = 3 | Very often = 4</t>
        </is>
      </c>
    </row>
    <row r="55">
      <c r="A55" s="24" t="n">
        <v>24</v>
      </c>
      <c r="B55" s="24" t="inlineStr">
        <is>
          <t>Do you drop things?</t>
        </is>
      </c>
      <c r="C55" s="24" t="inlineStr">
        <is>
          <t>Total</t>
        </is>
      </c>
      <c r="D55" s="24" t="inlineStr">
        <is>
          <t>FALSE</t>
        </is>
      </c>
      <c r="E55" s="24" t="inlineStr">
        <is>
          <t>FALSE</t>
        </is>
      </c>
      <c r="F55" s="24" t="n"/>
      <c r="G55" s="24" t="inlineStr">
        <is>
          <t>Never = 0 | Very rarely = 1 | Occasionally = 2 | Quite often = 3 | Very often = 4</t>
        </is>
      </c>
    </row>
    <row r="56">
      <c r="A56" s="24" t="n">
        <v>25</v>
      </c>
      <c r="B56" s="24" t="inlineStr">
        <is>
          <t>Do you find you can’t think of anything to say?</t>
        </is>
      </c>
      <c r="C56" s="24" t="inlineStr">
        <is>
          <t>Total</t>
        </is>
      </c>
      <c r="D56" s="24" t="inlineStr">
        <is>
          <t>FALSE</t>
        </is>
      </c>
      <c r="E56" s="24" t="inlineStr">
        <is>
          <t>FALSE</t>
        </is>
      </c>
      <c r="F56" s="24" t="n"/>
      <c r="G56" s="24" t="inlineStr">
        <is>
          <t>Never = 0 | Very rarely = 1 | Occasionally = 2 | Quite often = 3 | Very often = 4</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Creature of Habit Scale</t>
        </is>
      </c>
    </row>
    <row r="3">
      <c r="A3" s="37" t="inlineStr">
        <is>
          <t>Instrument</t>
        </is>
      </c>
      <c r="B3" s="24" t="inlineStr">
        <is>
          <t>Creature of Habit Scale</t>
        </is>
      </c>
      <c r="C3" s="24" t="n"/>
      <c r="D3" s="24" t="n"/>
      <c r="E3" s="24" t="n"/>
      <c r="F3" s="24" t="n"/>
      <c r="G3" s="24" t="n"/>
    </row>
    <row r="4">
      <c r="A4" s="37" t="inlineStr">
        <is>
          <t>Code</t>
        </is>
      </c>
      <c r="B4" s="24" t="inlineStr">
        <is>
          <t>COHS</t>
        </is>
      </c>
      <c r="C4" s="24" t="n"/>
      <c r="D4" s="24" t="n"/>
      <c r="E4" s="24" t="n"/>
      <c r="F4" s="24" t="n"/>
      <c r="G4" s="24" t="n"/>
    </row>
    <row r="5">
      <c r="A5" s="37" t="inlineStr">
        <is>
          <t>Domain</t>
        </is>
      </c>
      <c r="B5" s="24" t="inlineStr">
        <is>
          <t>6. Motivation, self determination and goal pursuit</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Individual differences in habitual tendencies in daily life: preference for routine and automatic, cue driven responding.</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27</v>
      </c>
      <c r="C10" s="24" t="n"/>
      <c r="D10" s="24" t="n"/>
      <c r="E10" s="24" t="n"/>
      <c r="F10" s="24" t="n"/>
      <c r="G10" s="24" t="n"/>
    </row>
    <row r="11">
      <c r="A11" s="37" t="inlineStr">
        <is>
          <t>Items reproduced here</t>
        </is>
      </c>
      <c r="B11" s="24" t="n">
        <v>27</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Article statement: "This is an open access article under the CC BY license (http://creativecommons.org/licenses/by/4.0/)." The Cambridge repository copy is listed as Attribution-NonCommercial-NoDerivatives 4.0 International.</t>
        </is>
      </c>
      <c r="C13" s="24" t="n"/>
      <c r="D13" s="24" t="n"/>
      <c r="E13" s="24" t="n"/>
      <c r="F13" s="24" t="n"/>
      <c r="G13" s="24" t="n"/>
    </row>
    <row r="14">
      <c r="A14" s="37" t="inlineStr">
        <is>
          <t>Coaching application</t>
        </is>
      </c>
      <c r="B14" s="24" t="inlineStr">
        <is>
          <t>Distinguishes clients who thrive on routine from those who act on autopilot; informs whether to build structure or interrupt cues.</t>
        </is>
      </c>
      <c r="C14" s="24" t="n"/>
      <c r="D14" s="24" t="n"/>
      <c r="E14" s="24" t="n"/>
      <c r="F14" s="24" t="n"/>
      <c r="G14" s="24" t="n"/>
    </row>
    <row r="15">
      <c r="A15" s="37" t="inlineStr">
        <is>
          <t>Purpose</t>
        </is>
      </c>
      <c r="B15" s="24" t="inlineStr">
        <is>
          <t>Individual differences in habitual tendencies in daily life: preference for routine and automatic, cue driven responding.</t>
        </is>
      </c>
      <c r="C15" s="24" t="n"/>
      <c r="D15" s="24" t="n"/>
      <c r="E15" s="24" t="n"/>
      <c r="F15" s="24" t="n"/>
      <c r="G15" s="24" t="n"/>
    </row>
    <row r="16">
      <c r="A16" s="37" t="inlineStr">
        <is>
          <t>Instructions / prompt</t>
        </is>
      </c>
      <c r="B16" s="24" t="inlineStr">
        <is>
          <t>Not available as respondent facing text. Methods (Section 2.1): "Participants were required to indicate for each statement their level of agreement on a 5-point Likert scale, ranging from strongly disagree (1) to strongly agree (5)." The administered form in Appendix B is image only.</t>
        </is>
      </c>
      <c r="C16" s="24" t="n"/>
      <c r="D16" s="24" t="n"/>
      <c r="E16" s="24" t="n"/>
      <c r="F16" s="24" t="n"/>
      <c r="G16" s="24" t="n"/>
    </row>
    <row r="17">
      <c r="A17" s="37" t="inlineStr">
        <is>
          <t>Response options</t>
        </is>
      </c>
      <c r="B17" s="24" t="inlineStr">
        <is>
          <t>strongly disagree = 1 | 2 = 2 | 3 = 3 | 4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subscale separately; higher scores indicate stronger routine preference or greater automaticity. The authors state that "individuals should be assessed on the basis of the score of each scale separately, rather than by an overall score of both scales" because the subscales correlate only weakly (r = 0.14). No reverse scored items remain in the final 27 item scale.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Ersche, K. D., Lim, T.-V., Ward, L. H. E., Robbins, T. W., &amp; Stochl, J. (2017). Creature of Habit: A self-report measure of habitual routines and automatic tendencies in everyday life. Personality and Individual Differences, 116, 73–85. https://doi.org/10.1016/j.paid.2017.04.024</t>
        </is>
      </c>
      <c r="C25" s="24" t="n"/>
      <c r="D25" s="24" t="n"/>
      <c r="E25" s="24" t="n"/>
      <c r="F25" s="24" t="n"/>
      <c r="G25" s="24" t="n"/>
    </row>
    <row r="26">
      <c r="A26" s="37" t="inlineStr">
        <is>
          <t>Copyright and licensing</t>
        </is>
      </c>
      <c r="B26" s="24" t="inlineStr">
        <is>
          <t>Article statement: "This is an open access article under the CC BY license (http://creativecommons.org/licenses/by/4.0/)." The Cambridge repository copy is listed as Attribution-NonCommercial-NoDerivatives 4.0 International. Source: https://www.repository.cam.ac.uk/handle/1810/266049</t>
        </is>
      </c>
      <c r="C26" s="24" t="n"/>
      <c r="D26" s="24" t="n"/>
      <c r="E26" s="24" t="n"/>
      <c r="F26" s="24" t="n"/>
      <c r="G26" s="24" t="n"/>
    </row>
    <row r="27">
      <c r="A27" s="37" t="inlineStr">
        <is>
          <t>Source URL</t>
        </is>
      </c>
      <c r="B27" s="24" t="inlineStr">
        <is>
          <t>https://pmc.ncbi.nlm.nih.gov/articles/PMC5473478/</t>
        </is>
      </c>
      <c r="C27" s="24" t="n"/>
      <c r="D27" s="24" t="n"/>
      <c r="E27" s="24" t="n"/>
      <c r="F27" s="24" t="n"/>
      <c r="G27" s="24" t="n"/>
    </row>
    <row r="28">
      <c r="A28" s="37" t="inlineStr">
        <is>
          <t>Transcription note</t>
        </is>
      </c>
      <c r="B28" s="24" t="inlineStr">
        <is>
          <t>Items transcribed from Table 2 of the PMC article (the final 27 item scale), listed in table order with Routine items first and Automaticity items second. The numbering 1 to 27 is assigned here for codebook convenience; the source identifies items by pool labels (COHS-n and COHSF-n), recorded in each item note. The administered questionnaire layout and respondent instructions in Appendix B are image only and could not be read, so the item order on the published form and the intermediate anchor labels (values 2 to 4) are not confirmed. The article names only the endpoints strongly disagree (1) and strongly agree (5).</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tend to like routine.</t>
        </is>
      </c>
      <c r="C32" s="24" t="inlineStr">
        <is>
          <t>Routine</t>
        </is>
      </c>
      <c r="D32" s="24" t="inlineStr">
        <is>
          <t>FALSE</t>
        </is>
      </c>
      <c r="E32" s="24" t="inlineStr">
        <is>
          <t>FALSE</t>
        </is>
      </c>
      <c r="F32" s="24" t="inlineStr">
        <is>
          <t>Source item label COHS-16</t>
        </is>
      </c>
      <c r="G32" s="24" t="inlineStr">
        <is>
          <t>strongly disagree = 1 | 2 = 2 | 3 = 3 | 4 = 4 | strongly agree = 5</t>
        </is>
      </c>
    </row>
    <row r="33">
      <c r="A33" s="24" t="n">
        <v>2</v>
      </c>
      <c r="B33" s="24" t="inlineStr">
        <is>
          <t>I find comfort in regularity.</t>
        </is>
      </c>
      <c r="C33" s="24" t="inlineStr">
        <is>
          <t>Routine</t>
        </is>
      </c>
      <c r="D33" s="24" t="inlineStr">
        <is>
          <t>FALSE</t>
        </is>
      </c>
      <c r="E33" s="24" t="inlineStr">
        <is>
          <t>FALSE</t>
        </is>
      </c>
      <c r="F33" s="24" t="inlineStr">
        <is>
          <t>Source item label COHS-27</t>
        </is>
      </c>
      <c r="G33" s="24" t="inlineStr">
        <is>
          <t>strongly disagree = 1 | 2 = 2 | 3 = 3 | 4 = 4 | strongly agree = 5</t>
        </is>
      </c>
    </row>
    <row r="34">
      <c r="A34" s="24" t="n">
        <v>3</v>
      </c>
      <c r="B34" s="24" t="inlineStr">
        <is>
          <t>I rely on what is tried and tested rather than exploring something new.</t>
        </is>
      </c>
      <c r="C34" s="24" t="inlineStr">
        <is>
          <t>Routine</t>
        </is>
      </c>
      <c r="D34" s="24" t="inlineStr">
        <is>
          <t>FALSE</t>
        </is>
      </c>
      <c r="E34" s="24" t="inlineStr">
        <is>
          <t>FALSE</t>
        </is>
      </c>
      <c r="F34" s="24" t="inlineStr">
        <is>
          <t>Source item label COHS-13</t>
        </is>
      </c>
      <c r="G34" s="24" t="inlineStr">
        <is>
          <t>strongly disagree = 1 | 2 = 2 | 3 = 3 | 4 = 4 | strongly agree = 5</t>
        </is>
      </c>
    </row>
    <row r="35">
      <c r="A35" s="24" t="n">
        <v>4</v>
      </c>
      <c r="B35" s="24" t="inlineStr">
        <is>
          <t>I quite happily work within my comfort zone rather than challenging myself.</t>
        </is>
      </c>
      <c r="C35" s="24" t="inlineStr">
        <is>
          <t>Routine</t>
        </is>
      </c>
      <c r="D35" s="24" t="inlineStr">
        <is>
          <t>FALSE</t>
        </is>
      </c>
      <c r="E35" s="24" t="inlineStr">
        <is>
          <t>FALSE</t>
        </is>
      </c>
      <c r="F35" s="24" t="inlineStr">
        <is>
          <t>Source item label COHS-25</t>
        </is>
      </c>
      <c r="G35" s="24" t="inlineStr">
        <is>
          <t>strongly disagree = 1 | 2 = 2 | 3 = 3 | 4 = 4 | strongly agree = 5</t>
        </is>
      </c>
    </row>
    <row r="36">
      <c r="A36" s="24" t="n">
        <v>5</v>
      </c>
      <c r="B36" s="24" t="inlineStr">
        <is>
          <t>I tend to stick with the version of the software package that I am familiar with for as long as I can.</t>
        </is>
      </c>
      <c r="C36" s="24" t="inlineStr">
        <is>
          <t>Routine</t>
        </is>
      </c>
      <c r="D36" s="24" t="inlineStr">
        <is>
          <t>FALSE</t>
        </is>
      </c>
      <c r="E36" s="24" t="inlineStr">
        <is>
          <t>FALSE</t>
        </is>
      </c>
      <c r="F36" s="24" t="inlineStr">
        <is>
          <t>Source item label COHS-24</t>
        </is>
      </c>
      <c r="G36" s="24" t="inlineStr">
        <is>
          <t>strongly disagree = 1 | 2 = 2 | 3 = 3 | 4 = 4 | strongly agree = 5</t>
        </is>
      </c>
    </row>
    <row r="37">
      <c r="A37" s="24" t="n">
        <v>6</v>
      </c>
      <c r="B37" s="24" t="inlineStr">
        <is>
          <t>I generally cook with the same spices/flavourings.</t>
        </is>
      </c>
      <c r="C37" s="24" t="inlineStr">
        <is>
          <t>Routine</t>
        </is>
      </c>
      <c r="D37" s="24" t="inlineStr">
        <is>
          <t>FALSE</t>
        </is>
      </c>
      <c r="E37" s="24" t="inlineStr">
        <is>
          <t>FALSE</t>
        </is>
      </c>
      <c r="F37" s="24" t="inlineStr">
        <is>
          <t>Source item label COHSF-16</t>
        </is>
      </c>
      <c r="G37" s="24" t="inlineStr">
        <is>
          <t>strongly disagree = 1 | 2 = 2 | 3 = 3 | 4 = 4 | strongly agree = 5</t>
        </is>
      </c>
    </row>
    <row r="38">
      <c r="A38" s="24" t="n">
        <v>7</v>
      </c>
      <c r="B38" s="24" t="inlineStr">
        <is>
          <t>I normally buy the same foods from the same grocery store.</t>
        </is>
      </c>
      <c r="C38" s="24" t="inlineStr">
        <is>
          <t>Routine</t>
        </is>
      </c>
      <c r="D38" s="24" t="inlineStr">
        <is>
          <t>FALSE</t>
        </is>
      </c>
      <c r="E38" s="24" t="inlineStr">
        <is>
          <t>FALSE</t>
        </is>
      </c>
      <c r="F38" s="24" t="inlineStr">
        <is>
          <t>Source item label COHSF-28</t>
        </is>
      </c>
      <c r="G38" s="24" t="inlineStr">
        <is>
          <t>strongly disagree = 1 | 2 = 2 | 3 = 3 | 4 = 4 | strongly agree = 5</t>
        </is>
      </c>
    </row>
    <row r="39">
      <c r="A39" s="24" t="n">
        <v>8</v>
      </c>
      <c r="B39" s="24" t="inlineStr">
        <is>
          <t>In a restaurant, I tend to order dishes that I am familiar with.</t>
        </is>
      </c>
      <c r="C39" s="24" t="inlineStr">
        <is>
          <t>Routine</t>
        </is>
      </c>
      <c r="D39" s="24" t="inlineStr">
        <is>
          <t>FALSE</t>
        </is>
      </c>
      <c r="E39" s="24" t="inlineStr">
        <is>
          <t>FALSE</t>
        </is>
      </c>
      <c r="F39" s="24" t="inlineStr">
        <is>
          <t>Source item label COHSF-3</t>
        </is>
      </c>
      <c r="G39" s="24" t="inlineStr">
        <is>
          <t>strongly disagree = 1 | 2 = 2 | 3 = 3 | 4 = 4 | strongly agree = 5</t>
        </is>
      </c>
    </row>
    <row r="40">
      <c r="A40" s="24" t="n">
        <v>9</v>
      </c>
      <c r="B40" s="24" t="inlineStr">
        <is>
          <t>I tend to do things in the same order every morning (e.g. get up, go to the bathroom, have a coffee…).</t>
        </is>
      </c>
      <c r="C40" s="24" t="inlineStr">
        <is>
          <t>Routine</t>
        </is>
      </c>
      <c r="D40" s="24" t="inlineStr">
        <is>
          <t>FALSE</t>
        </is>
      </c>
      <c r="E40" s="24" t="inlineStr">
        <is>
          <t>FALSE</t>
        </is>
      </c>
      <c r="F40" s="24" t="inlineStr">
        <is>
          <t>Source item label COHS-7</t>
        </is>
      </c>
      <c r="G40" s="24" t="inlineStr">
        <is>
          <t>strongly disagree = 1 | 2 = 2 | 3 = 3 | 4 = 4 | strongly agree = 5</t>
        </is>
      </c>
    </row>
    <row r="41">
      <c r="A41" s="24" t="n">
        <v>10</v>
      </c>
      <c r="B41" s="24" t="inlineStr">
        <is>
          <t>I always try to get the same seat in places such as on the bus, in the cinema, or in church.</t>
        </is>
      </c>
      <c r="C41" s="24" t="inlineStr">
        <is>
          <t>Routine</t>
        </is>
      </c>
      <c r="D41" s="24" t="inlineStr">
        <is>
          <t>FALSE</t>
        </is>
      </c>
      <c r="E41" s="24" t="inlineStr">
        <is>
          <t>FALSE</t>
        </is>
      </c>
      <c r="F41" s="24" t="inlineStr">
        <is>
          <t>Source item label COHS-9</t>
        </is>
      </c>
      <c r="G41" s="24" t="inlineStr">
        <is>
          <t>strongly disagree = 1 | 2 = 2 | 3 = 3 | 4 = 4 | strongly agree = 5</t>
        </is>
      </c>
    </row>
    <row r="42">
      <c r="A42" s="24" t="n">
        <v>11</v>
      </c>
      <c r="B42" s="24" t="inlineStr">
        <is>
          <t>I usually sit at the same place at the dinner table.</t>
        </is>
      </c>
      <c r="C42" s="24" t="inlineStr">
        <is>
          <t>Routine</t>
        </is>
      </c>
      <c r="D42" s="24" t="inlineStr">
        <is>
          <t>FALSE</t>
        </is>
      </c>
      <c r="E42" s="24" t="inlineStr">
        <is>
          <t>FALSE</t>
        </is>
      </c>
      <c r="F42" s="24" t="inlineStr">
        <is>
          <t>Source item label COHSF-14</t>
        </is>
      </c>
      <c r="G42" s="24" t="inlineStr">
        <is>
          <t>strongly disagree = 1 | 2 = 2 | 3 = 3 | 4 = 4 | strongly agree = 5</t>
        </is>
      </c>
    </row>
    <row r="43">
      <c r="A43" s="24" t="n">
        <v>12</v>
      </c>
      <c r="B43" s="24" t="inlineStr">
        <is>
          <t>I like to park my car or bike always in the same place.</t>
        </is>
      </c>
      <c r="C43" s="24" t="inlineStr">
        <is>
          <t>Routine</t>
        </is>
      </c>
      <c r="D43" s="24" t="inlineStr">
        <is>
          <t>FALSE</t>
        </is>
      </c>
      <c r="E43" s="24" t="inlineStr">
        <is>
          <t>FALSE</t>
        </is>
      </c>
      <c r="F43" s="24" t="inlineStr">
        <is>
          <t>Source item label COHS-1</t>
        </is>
      </c>
      <c r="G43" s="24" t="inlineStr">
        <is>
          <t>strongly disagree = 1 | 2 = 2 | 3 = 3 | 4 = 4 | strongly agree = 5</t>
        </is>
      </c>
    </row>
    <row r="44">
      <c r="A44" s="24" t="n">
        <v>13</v>
      </c>
      <c r="B44" s="24" t="inlineStr">
        <is>
          <t>I always follow a certain order when preparing a meal.</t>
        </is>
      </c>
      <c r="C44" s="24" t="inlineStr">
        <is>
          <t>Routine</t>
        </is>
      </c>
      <c r="D44" s="24" t="inlineStr">
        <is>
          <t>FALSE</t>
        </is>
      </c>
      <c r="E44" s="24" t="inlineStr">
        <is>
          <t>FALSE</t>
        </is>
      </c>
      <c r="F44" s="24" t="inlineStr">
        <is>
          <t>Source item label COHSF-17</t>
        </is>
      </c>
      <c r="G44" s="24" t="inlineStr">
        <is>
          <t>strongly disagree = 1 | 2 = 2 | 3 = 3 | 4 = 4 | strongly agree = 5</t>
        </is>
      </c>
    </row>
    <row r="45">
      <c r="A45" s="24" t="n">
        <v>14</v>
      </c>
      <c r="B45" s="24" t="inlineStr">
        <is>
          <t>I am one of those people who get really annoyed by last minute cancellations.</t>
        </is>
      </c>
      <c r="C45" s="24" t="inlineStr">
        <is>
          <t>Routine</t>
        </is>
      </c>
      <c r="D45" s="24" t="inlineStr">
        <is>
          <t>FALSE</t>
        </is>
      </c>
      <c r="E45" s="24" t="inlineStr">
        <is>
          <t>FALSE</t>
        </is>
      </c>
      <c r="F45" s="24" t="inlineStr">
        <is>
          <t>Source item label COHS-20</t>
        </is>
      </c>
      <c r="G45" s="24" t="inlineStr">
        <is>
          <t>strongly disagree = 1 | 2 = 2 | 3 = 3 | 4 = 4 | strongly agree = 5</t>
        </is>
      </c>
    </row>
    <row r="46">
      <c r="A46" s="24" t="n">
        <v>15</v>
      </c>
      <c r="B46" s="24" t="inlineStr">
        <is>
          <t>I tend to go to bed at roughly the same time every night.</t>
        </is>
      </c>
      <c r="C46" s="24" t="inlineStr">
        <is>
          <t>Routine</t>
        </is>
      </c>
      <c r="D46" s="24" t="inlineStr">
        <is>
          <t>FALSE</t>
        </is>
      </c>
      <c r="E46" s="24" t="inlineStr">
        <is>
          <t>FALSE</t>
        </is>
      </c>
      <c r="F46" s="24" t="inlineStr">
        <is>
          <t>Source item label COHS-3</t>
        </is>
      </c>
      <c r="G46" s="24" t="inlineStr">
        <is>
          <t>strongly disagree = 1 | 2 = 2 | 3 = 3 | 4 = 4 | strongly agree = 5</t>
        </is>
      </c>
    </row>
    <row r="47">
      <c r="A47" s="24" t="n">
        <v>16</v>
      </c>
      <c r="B47" s="24" t="inlineStr">
        <is>
          <t>I generally eat the same things for breakfast every day.</t>
        </is>
      </c>
      <c r="C47" s="24" t="inlineStr">
        <is>
          <t>Routine</t>
        </is>
      </c>
      <c r="D47" s="24" t="inlineStr">
        <is>
          <t>FALSE</t>
        </is>
      </c>
      <c r="E47" s="24" t="inlineStr">
        <is>
          <t>FALSE</t>
        </is>
      </c>
      <c r="F47" s="24" t="inlineStr">
        <is>
          <t>Source item label COHS-2</t>
        </is>
      </c>
      <c r="G47" s="24" t="inlineStr">
        <is>
          <t>strongly disagree = 1 | 2 = 2 | 3 = 3 | 4 = 4 | strongly agree = 5</t>
        </is>
      </c>
    </row>
    <row r="48">
      <c r="A48" s="24" t="n">
        <v>17</v>
      </c>
      <c r="B48" s="24" t="inlineStr">
        <is>
          <t>I often find myself finishing off a packet of biscuits just because it is lying there.</t>
        </is>
      </c>
      <c r="C48" s="24" t="inlineStr">
        <is>
          <t>Automaticity</t>
        </is>
      </c>
      <c r="D48" s="24" t="inlineStr">
        <is>
          <t>FALSE</t>
        </is>
      </c>
      <c r="E48" s="24" t="inlineStr">
        <is>
          <t>FALSE</t>
        </is>
      </c>
      <c r="F48" s="24" t="inlineStr">
        <is>
          <t>Source item label COHSF-9</t>
        </is>
      </c>
      <c r="G48" s="24" t="inlineStr">
        <is>
          <t>strongly disagree = 1 | 2 = 2 | 3 = 3 | 4 = 4 | strongly agree = 5</t>
        </is>
      </c>
    </row>
    <row r="49">
      <c r="A49" s="24" t="n">
        <v>18</v>
      </c>
      <c r="B49" s="24" t="inlineStr">
        <is>
          <t>I often find myself opening up the cabinet to take a snack.</t>
        </is>
      </c>
      <c r="C49" s="24" t="inlineStr">
        <is>
          <t>Automaticity</t>
        </is>
      </c>
      <c r="D49" s="24" t="inlineStr">
        <is>
          <t>FALSE</t>
        </is>
      </c>
      <c r="E49" s="24" t="inlineStr">
        <is>
          <t>FALSE</t>
        </is>
      </c>
      <c r="F49" s="24" t="inlineStr">
        <is>
          <t>Source item label COHSF-11</t>
        </is>
      </c>
      <c r="G49" s="24" t="inlineStr">
        <is>
          <t>strongly disagree = 1 | 2 = 2 | 3 = 3 | 4 = 4 | strongly agree = 5</t>
        </is>
      </c>
    </row>
    <row r="50">
      <c r="A50" s="24" t="n">
        <v>19</v>
      </c>
      <c r="B50" s="24" t="inlineStr">
        <is>
          <t>When walking past a plate of sweets or biscuits, I can't resist taking one.</t>
        </is>
      </c>
      <c r="C50" s="24" t="inlineStr">
        <is>
          <t>Automaticity</t>
        </is>
      </c>
      <c r="D50" s="24" t="inlineStr">
        <is>
          <t>FALSE</t>
        </is>
      </c>
      <c r="E50" s="24" t="inlineStr">
        <is>
          <t>FALSE</t>
        </is>
      </c>
      <c r="F50" s="24" t="inlineStr">
        <is>
          <t>Source item label COHSF-12</t>
        </is>
      </c>
      <c r="G50" s="24" t="inlineStr">
        <is>
          <t>strongly disagree = 1 | 2 = 2 | 3 = 3 | 4 = 4 | strongly agree = 5</t>
        </is>
      </c>
    </row>
    <row r="51">
      <c r="A51" s="24" t="n">
        <v>20</v>
      </c>
      <c r="B51" s="24" t="inlineStr">
        <is>
          <t>Television makes me particularly prone to uncontrolled eating.</t>
        </is>
      </c>
      <c r="C51" s="24" t="inlineStr">
        <is>
          <t>Automaticity</t>
        </is>
      </c>
      <c r="D51" s="24" t="inlineStr">
        <is>
          <t>FALSE</t>
        </is>
      </c>
      <c r="E51" s="24" t="inlineStr">
        <is>
          <t>FALSE</t>
        </is>
      </c>
      <c r="F51" s="24" t="inlineStr">
        <is>
          <t>Source item label COHSF-26</t>
        </is>
      </c>
      <c r="G51" s="24" t="inlineStr">
        <is>
          <t>strongly disagree = 1 | 2 = 2 | 3 = 3 | 4 = 4 | strongly agree = 5</t>
        </is>
      </c>
    </row>
    <row r="52">
      <c r="A52" s="24" t="n">
        <v>21</v>
      </c>
      <c r="B52" s="24" t="inlineStr">
        <is>
          <t>I often find myself eating without being aware of it.</t>
        </is>
      </c>
      <c r="C52" s="24" t="inlineStr">
        <is>
          <t>Automaticity</t>
        </is>
      </c>
      <c r="D52" s="24" t="inlineStr">
        <is>
          <t>FALSE</t>
        </is>
      </c>
      <c r="E52" s="24" t="inlineStr">
        <is>
          <t>FALSE</t>
        </is>
      </c>
      <c r="F52" s="24" t="inlineStr">
        <is>
          <t>Source item label COHSF-27</t>
        </is>
      </c>
      <c r="G52" s="24" t="inlineStr">
        <is>
          <t>strongly disagree = 1 | 2 = 2 | 3 = 3 | 4 = 4 | strongly agree = 5</t>
        </is>
      </c>
    </row>
    <row r="53">
      <c r="A53" s="24" t="n">
        <v>22</v>
      </c>
      <c r="B53" s="24" t="inlineStr">
        <is>
          <t>I am prone to eating more when I feel stressed.</t>
        </is>
      </c>
      <c r="C53" s="24" t="inlineStr">
        <is>
          <t>Automaticity</t>
        </is>
      </c>
      <c r="D53" s="24" t="inlineStr">
        <is>
          <t>FALSE</t>
        </is>
      </c>
      <c r="E53" s="24" t="inlineStr">
        <is>
          <t>FALSE</t>
        </is>
      </c>
      <c r="F53" s="24" t="inlineStr">
        <is>
          <t>Source item label COHSF-1</t>
        </is>
      </c>
      <c r="G53" s="24" t="inlineStr">
        <is>
          <t>strongly disagree = 1 | 2 = 2 | 3 = 3 | 4 = 4 | strongly agree = 5</t>
        </is>
      </c>
    </row>
    <row r="54">
      <c r="A54" s="24" t="n">
        <v>23</v>
      </c>
      <c r="B54" s="24" t="inlineStr">
        <is>
          <t>Eating crisps or biscuits straight out of the packet is typical of me.</t>
        </is>
      </c>
      <c r="C54" s="24" t="inlineStr">
        <is>
          <t>Automaticity</t>
        </is>
      </c>
      <c r="D54" s="24" t="inlineStr">
        <is>
          <t>FALSE</t>
        </is>
      </c>
      <c r="E54" s="24" t="inlineStr">
        <is>
          <t>FALSE</t>
        </is>
      </c>
      <c r="F54" s="24" t="inlineStr">
        <is>
          <t>Source item label COHSF-24</t>
        </is>
      </c>
      <c r="G54" s="24" t="inlineStr">
        <is>
          <t>strongly disagree = 1 | 2 = 2 | 3 = 3 | 4 = 4 | strongly agree = 5</t>
        </is>
      </c>
    </row>
    <row r="55">
      <c r="A55" s="24" t="n">
        <v>24</v>
      </c>
      <c r="B55" s="24" t="inlineStr">
        <is>
          <t>Whenever I go into the kitchen, I typically look in the fridge.</t>
        </is>
      </c>
      <c r="C55" s="24" t="inlineStr">
        <is>
          <t>Automaticity</t>
        </is>
      </c>
      <c r="D55" s="24" t="inlineStr">
        <is>
          <t>FALSE</t>
        </is>
      </c>
      <c r="E55" s="24" t="inlineStr">
        <is>
          <t>FALSE</t>
        </is>
      </c>
      <c r="F55" s="24" t="inlineStr">
        <is>
          <t>Source item label COHSF-18</t>
        </is>
      </c>
      <c r="G55" s="24" t="inlineStr">
        <is>
          <t>strongly disagree = 1 | 2 = 2 | 3 = 3 | 4 = 4 | strongly agree = 5</t>
        </is>
      </c>
    </row>
    <row r="56">
      <c r="A56" s="24" t="n">
        <v>25</v>
      </c>
      <c r="B56" s="24" t="inlineStr">
        <is>
          <t>I usually treat myself to a snack at the end of the workday.</t>
        </is>
      </c>
      <c r="C56" s="24" t="inlineStr">
        <is>
          <t>Automaticity</t>
        </is>
      </c>
      <c r="D56" s="24" t="inlineStr">
        <is>
          <t>FALSE</t>
        </is>
      </c>
      <c r="E56" s="24" t="inlineStr">
        <is>
          <t>FALSE</t>
        </is>
      </c>
      <c r="F56" s="24" t="inlineStr">
        <is>
          <t>Source item label COHSF-15</t>
        </is>
      </c>
      <c r="G56" s="24" t="inlineStr">
        <is>
          <t>strongly disagree = 1 | 2 = 2 | 3 = 3 | 4 = 4 | strongly agree = 5</t>
        </is>
      </c>
    </row>
    <row r="57">
      <c r="A57" s="24" t="n">
        <v>26</v>
      </c>
      <c r="B57" s="24" t="inlineStr">
        <is>
          <t>I often take a snack while on the go (e.g. when driving, walking down the street, or surfing the web).</t>
        </is>
      </c>
      <c r="C57" s="24" t="inlineStr">
        <is>
          <t>Automaticity</t>
        </is>
      </c>
      <c r="D57" s="24" t="inlineStr">
        <is>
          <t>FALSE</t>
        </is>
      </c>
      <c r="E57" s="24" t="inlineStr">
        <is>
          <t>FALSE</t>
        </is>
      </c>
      <c r="F57" s="24" t="inlineStr">
        <is>
          <t>Source item label COHSF-30</t>
        </is>
      </c>
      <c r="G57" s="24" t="inlineStr">
        <is>
          <t>strongly disagree = 1 | 2 = 2 | 3 = 3 | 4 = 4 | strongly agree = 5</t>
        </is>
      </c>
    </row>
    <row r="58">
      <c r="A58" s="24" t="n">
        <v>27</v>
      </c>
      <c r="B58" s="24" t="inlineStr">
        <is>
          <t>I often find myself running on 'autopilot', and then wonder why I ended up in a particular place or doing something that I did not intend to do.</t>
        </is>
      </c>
      <c r="C58" s="24" t="inlineStr">
        <is>
          <t>Automaticity</t>
        </is>
      </c>
      <c r="D58" s="24" t="inlineStr">
        <is>
          <t>FALSE</t>
        </is>
      </c>
      <c r="E58" s="24" t="inlineStr">
        <is>
          <t>FALSE</t>
        </is>
      </c>
      <c r="F58" s="24" t="inlineStr">
        <is>
          <t>Source item label COHS-8</t>
        </is>
      </c>
      <c r="G58" s="24" t="inlineStr">
        <is>
          <t>strongly disagree = 1 | 2 = 2 | 3 = 3 | 4 = 4 | strongly agree = 5</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G43"/>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Compound PsyCap Scale</t>
        </is>
      </c>
    </row>
    <row r="3">
      <c r="A3" s="37" t="inlineStr">
        <is>
          <t>Instrument</t>
        </is>
      </c>
      <c r="B3" s="24" t="inlineStr">
        <is>
          <t>Compound PsyCap Scale</t>
        </is>
      </c>
      <c r="C3" s="24" t="n"/>
      <c r="D3" s="24" t="n"/>
      <c r="E3" s="24" t="n"/>
      <c r="F3" s="24" t="n"/>
      <c r="G3" s="24" t="n"/>
    </row>
    <row r="4">
      <c r="A4" s="37" t="inlineStr">
        <is>
          <t>Code</t>
        </is>
      </c>
      <c r="B4" s="24" t="inlineStr">
        <is>
          <t>CPC-12</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Psychological capital as a higher order construct composed of hope, optimism, resilience and self efficacy, built from open items as a free alternative to the commercial PCQ.</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12</v>
      </c>
      <c r="C10" s="24" t="n"/>
      <c r="D10" s="24" t="n"/>
      <c r="E10" s="24" t="n"/>
      <c r="F10" s="24" t="n"/>
      <c r="G10" s="24" t="n"/>
    </row>
    <row r="11">
      <c r="A11" s="37" t="inlineStr">
        <is>
          <t>Items reproduced here</t>
        </is>
      </c>
      <c r="B11" s="24" t="n">
        <v>12</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t>
        </is>
      </c>
      <c r="C13" s="24" t="n"/>
      <c r="D13" s="24" t="n"/>
      <c r="E13" s="24" t="n"/>
      <c r="F13" s="24" t="n"/>
      <c r="G13" s="24" t="n"/>
    </row>
    <row r="14">
      <c r="A14" s="37" t="inlineStr">
        <is>
          <t>Coaching application</t>
        </is>
      </c>
      <c r="B14" s="24" t="inlineStr">
        <is>
          <t>Explicitly built as an open PsyCap measure; items appear in Figure 1 and in the open access CPC-12R revision (Dudasova et al., 2021).</t>
        </is>
      </c>
      <c r="C14" s="24" t="n"/>
      <c r="D14" s="24" t="n"/>
      <c r="E14" s="24" t="n"/>
      <c r="F14" s="24" t="n"/>
      <c r="G14" s="24" t="n"/>
    </row>
    <row r="15">
      <c r="A15" s="37" t="inlineStr">
        <is>
          <t>Purpose</t>
        </is>
      </c>
      <c r="B15" s="24" t="inlineStr">
        <is>
          <t>Psychological capital as a higher order construct composed of hope, optimism, resilience and self efficacy, built from open items as a free alternative to the commercial PCQ.</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strongly disagree = 1 | 2 = 2 | 3 = 3 | 4 = 4 | 5 = 5 | strongly agree = 6</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Items rated on a 6 point scale from 1 = strongly disagree to 6 = strongly agree. Subscale and total scores are means of the items (1 to 6); higher scores indicate more psychological capital. No reverse scored items are identified. The authors note that norms have not been established and give no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Lorenz, T., Beer, C., Pütz, J., &amp; Heinitz, K. (2016). Measuring psychological capital: Construction and validation of the Compound PsyCap Scale (CPC-12). PLOS ONE, 11(4), e0152892. https://doi.org/10.1371/journal.pone.0152892</t>
        </is>
      </c>
      <c r="C25" s="24" t="n"/>
      <c r="D25" s="24" t="n"/>
      <c r="E25" s="24" t="n"/>
      <c r="F25" s="24" t="n"/>
      <c r="G25" s="24" t="n"/>
    </row>
    <row r="26">
      <c r="A26" s="37" t="inlineStr">
        <is>
          <t>Copyright and licensing</t>
        </is>
      </c>
      <c r="B26" s="24" t="inlineStr">
        <is>
          <t>PLOS ONE: "This is an open access article distributed under the terms of the Creative Commons Attribution License, which permits unrestricted use, distribution, and reproduction in any medium, provided the original author and source are credited." The CPC-12R article (Dudasova et al., 2021) and the Japanese validation (Ikeda et al., 2023) from which item wording was taken are also CC BY. Source: https://journals.plos.org/plosone/article?id=10.1371/journal.pone.0152892</t>
        </is>
      </c>
      <c r="C26" s="24" t="n"/>
      <c r="D26" s="24" t="n"/>
      <c r="E26" s="24" t="n"/>
      <c r="F26" s="24" t="n"/>
      <c r="G26" s="24" t="n"/>
    </row>
    <row r="27">
      <c r="A27" s="37" t="inlineStr">
        <is>
          <t>Source URL</t>
        </is>
      </c>
      <c r="B27" s="24" t="inlineStr">
        <is>
          <t>https://pmc.ncbi.nlm.nih.gov/articles/PMC9896786/table/tab2 (hope, optimism and self efficacy items) and https://journals.plos.org/plosone/article?id=10.1371/journal.pone.0247114 (original resilience items 7 to 9)</t>
        </is>
      </c>
      <c r="C27" s="24" t="n"/>
      <c r="D27" s="24" t="n"/>
      <c r="E27" s="24" t="n"/>
      <c r="F27" s="24" t="n"/>
      <c r="G27" s="24" t="n"/>
    </row>
    <row r="28">
      <c r="A28" s="37" t="inlineStr">
        <is>
          <t>Transcription note</t>
        </is>
      </c>
      <c r="B28" s="24" t="inlineStr">
        <is>
          <t>The original PLOS ONE article presents the items only as abbreviated labels in Figure 1 (an image) and its S1 Appendix is a different questionnaire, so the full item wording could not be read from the itemsUrl. The hope, optimism and self efficacy items are unchanged in the CPC-12R and were transcribed from Table 2 of the CC BY Japanese validation of the CPC-12R (Ikeda, Hatano, Tanaka and Nakahara, 2023, Frontiers in Psychology, 13:1053601); the 3 original resilience items (replaced in the CPC-12R) were transcribed from the text of Dudasova et al. (2021, PLOS ONE, 10.1371/journal.pone.0247114). Item 12 ends "coping abilities" in Ikeda et al.; the Dudasova quotation was cut at "coping". Item numbering within subscales follows the order in those sources and may not match the original CPC-12 item order. Only the 2 anchor labels are published; intermediate points are unlabelled. No respondent instructions are given in any source.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If I should find myself in a jam, I could think of many ways to get out of it.</t>
        </is>
      </c>
      <c r="C32" s="24" t="inlineStr">
        <is>
          <t>Hope</t>
        </is>
      </c>
      <c r="D32" s="24" t="inlineStr">
        <is>
          <t>FALSE</t>
        </is>
      </c>
      <c r="E32" s="24" t="inlineStr">
        <is>
          <t>FALSE</t>
        </is>
      </c>
      <c r="F32" s="24" t="n"/>
      <c r="G32" s="24" t="inlineStr">
        <is>
          <t>strongly disagree = 1 | 2 = 2 | 3 = 3 | 4 = 4 | 5 = 5 | strongly agree = 6</t>
        </is>
      </c>
    </row>
    <row r="33">
      <c r="A33" s="24" t="n">
        <v>2</v>
      </c>
      <c r="B33" s="24" t="inlineStr">
        <is>
          <t>Right now, I see myself as being pretty successful.</t>
        </is>
      </c>
      <c r="C33" s="24" t="inlineStr">
        <is>
          <t>Hope</t>
        </is>
      </c>
      <c r="D33" s="24" t="inlineStr">
        <is>
          <t>FALSE</t>
        </is>
      </c>
      <c r="E33" s="24" t="inlineStr">
        <is>
          <t>FALSE</t>
        </is>
      </c>
      <c r="F33" s="24" t="n"/>
      <c r="G33" s="24" t="inlineStr">
        <is>
          <t>strongly disagree = 1 | 2 = 2 | 3 = 3 | 4 = 4 | 5 = 5 | strongly agree = 6</t>
        </is>
      </c>
    </row>
    <row r="34">
      <c r="A34" s="24" t="n">
        <v>3</v>
      </c>
      <c r="B34" s="24" t="inlineStr">
        <is>
          <t>I can think of many ways to reach my current goals.</t>
        </is>
      </c>
      <c r="C34" s="24" t="inlineStr">
        <is>
          <t>Hope</t>
        </is>
      </c>
      <c r="D34" s="24" t="inlineStr">
        <is>
          <t>FALSE</t>
        </is>
      </c>
      <c r="E34" s="24" t="inlineStr">
        <is>
          <t>FALSE</t>
        </is>
      </c>
      <c r="F34" s="24" t="n"/>
      <c r="G34" s="24" t="inlineStr">
        <is>
          <t>strongly disagree = 1 | 2 = 2 | 3 = 3 | 4 = 4 | 5 = 5 | strongly agree = 6</t>
        </is>
      </c>
    </row>
    <row r="35">
      <c r="A35" s="24" t="n">
        <v>4</v>
      </c>
      <c r="B35" s="24" t="inlineStr">
        <is>
          <t>I am looking forward to the life ahead of me.</t>
        </is>
      </c>
      <c r="C35" s="24" t="inlineStr">
        <is>
          <t>Optimism</t>
        </is>
      </c>
      <c r="D35" s="24" t="inlineStr">
        <is>
          <t>FALSE</t>
        </is>
      </c>
      <c r="E35" s="24" t="inlineStr">
        <is>
          <t>FALSE</t>
        </is>
      </c>
      <c r="F35" s="24" t="n"/>
      <c r="G35" s="24" t="inlineStr">
        <is>
          <t>strongly disagree = 1 | 2 = 2 | 3 = 3 | 4 = 4 | 5 = 5 | strongly agree = 6</t>
        </is>
      </c>
    </row>
    <row r="36">
      <c r="A36" s="24" t="n">
        <v>5</v>
      </c>
      <c r="B36" s="24" t="inlineStr">
        <is>
          <t>The future holds a lot of good in store for me.</t>
        </is>
      </c>
      <c r="C36" s="24" t="inlineStr">
        <is>
          <t>Optimism</t>
        </is>
      </c>
      <c r="D36" s="24" t="inlineStr">
        <is>
          <t>FALSE</t>
        </is>
      </c>
      <c r="E36" s="24" t="inlineStr">
        <is>
          <t>FALSE</t>
        </is>
      </c>
      <c r="F36" s="24" t="n"/>
      <c r="G36" s="24" t="inlineStr">
        <is>
          <t>strongly disagree = 1 | 2 = 2 | 3 = 3 | 4 = 4 | 5 = 5 | strongly agree = 6</t>
        </is>
      </c>
    </row>
    <row r="37">
      <c r="A37" s="24" t="n">
        <v>6</v>
      </c>
      <c r="B37" s="24" t="inlineStr">
        <is>
          <t>Overall, I expect more good things to happen to me than bad.</t>
        </is>
      </c>
      <c r="C37" s="24" t="inlineStr">
        <is>
          <t>Optimism</t>
        </is>
      </c>
      <c r="D37" s="24" t="inlineStr">
        <is>
          <t>FALSE</t>
        </is>
      </c>
      <c r="E37" s="24" t="inlineStr">
        <is>
          <t>FALSE</t>
        </is>
      </c>
      <c r="F37" s="24" t="n"/>
      <c r="G37" s="24" t="inlineStr">
        <is>
          <t>strongly disagree = 1 | 2 = 2 | 3 = 3 | 4 = 4 | 5 = 5 | strongly agree = 6</t>
        </is>
      </c>
    </row>
    <row r="38">
      <c r="A38" s="24" t="n">
        <v>7</v>
      </c>
      <c r="B38" s="24" t="inlineStr">
        <is>
          <t>Sometimes I make myself do things whether I want to or not.</t>
        </is>
      </c>
      <c r="C38" s="24" t="inlineStr">
        <is>
          <t>Resilience</t>
        </is>
      </c>
      <c r="D38" s="24" t="inlineStr">
        <is>
          <t>FALSE</t>
        </is>
      </c>
      <c r="E38" s="24" t="inlineStr">
        <is>
          <t>FALSE</t>
        </is>
      </c>
      <c r="F38" s="24" t="n"/>
      <c r="G38" s="24" t="inlineStr">
        <is>
          <t>strongly disagree = 1 | 2 = 2 | 3 = 3 | 4 = 4 | 5 = 5 | strongly agree = 6</t>
        </is>
      </c>
    </row>
    <row r="39">
      <c r="A39" s="24" t="n">
        <v>8</v>
      </c>
      <c r="B39" s="24" t="inlineStr">
        <is>
          <t>When I’m in a difficult situation, I can usually find my way out of it.</t>
        </is>
      </c>
      <c r="C39" s="24" t="inlineStr">
        <is>
          <t>Resilience</t>
        </is>
      </c>
      <c r="D39" s="24" t="inlineStr">
        <is>
          <t>FALSE</t>
        </is>
      </c>
      <c r="E39" s="24" t="inlineStr">
        <is>
          <t>FALSE</t>
        </is>
      </c>
      <c r="F39" s="24" t="n"/>
      <c r="G39" s="24" t="inlineStr">
        <is>
          <t>strongly disagree = 1 | 2 = 2 | 3 = 3 | 4 = 4 | 5 = 5 | strongly agree = 6</t>
        </is>
      </c>
    </row>
    <row r="40">
      <c r="A40" s="24" t="n">
        <v>9</v>
      </c>
      <c r="B40" s="24" t="inlineStr">
        <is>
          <t>It’s okay if there are people who don’t like me.</t>
        </is>
      </c>
      <c r="C40" s="24" t="inlineStr">
        <is>
          <t>Resilience</t>
        </is>
      </c>
      <c r="D40" s="24" t="inlineStr">
        <is>
          <t>FALSE</t>
        </is>
      </c>
      <c r="E40" s="24" t="inlineStr">
        <is>
          <t>FALSE</t>
        </is>
      </c>
      <c r="F40" s="24" t="n"/>
      <c r="G40" s="24" t="inlineStr">
        <is>
          <t>strongly disagree = 1 | 2 = 2 | 3 = 3 | 4 = 4 | 5 = 5 | strongly agree = 6</t>
        </is>
      </c>
    </row>
    <row r="41">
      <c r="A41" s="24" t="n">
        <v>10</v>
      </c>
      <c r="B41" s="24" t="inlineStr">
        <is>
          <t>I am confident that I could deal efficiently with unexpected events.</t>
        </is>
      </c>
      <c r="C41" s="24" t="inlineStr">
        <is>
          <t>Self-efficacy</t>
        </is>
      </c>
      <c r="D41" s="24" t="inlineStr">
        <is>
          <t>FALSE</t>
        </is>
      </c>
      <c r="E41" s="24" t="inlineStr">
        <is>
          <t>FALSE</t>
        </is>
      </c>
      <c r="F41" s="24" t="n"/>
      <c r="G41" s="24" t="inlineStr">
        <is>
          <t>strongly disagree = 1 | 2 = 2 | 3 = 3 | 4 = 4 | 5 = 5 | strongly agree = 6</t>
        </is>
      </c>
    </row>
    <row r="42">
      <c r="A42" s="24" t="n">
        <v>11</v>
      </c>
      <c r="B42" s="24" t="inlineStr">
        <is>
          <t>I can solve most problems if I invest the necessary effort.</t>
        </is>
      </c>
      <c r="C42" s="24" t="inlineStr">
        <is>
          <t>Self-efficacy</t>
        </is>
      </c>
      <c r="D42" s="24" t="inlineStr">
        <is>
          <t>FALSE</t>
        </is>
      </c>
      <c r="E42" s="24" t="inlineStr">
        <is>
          <t>FALSE</t>
        </is>
      </c>
      <c r="F42" s="24" t="n"/>
      <c r="G42" s="24" t="inlineStr">
        <is>
          <t>strongly disagree = 1 | 2 = 2 | 3 = 3 | 4 = 4 | 5 = 5 | strongly agree = 6</t>
        </is>
      </c>
    </row>
    <row r="43">
      <c r="A43" s="24" t="n">
        <v>12</v>
      </c>
      <c r="B43" s="24" t="inlineStr">
        <is>
          <t>I can remain calm when facing difficulties because I can rely on my coping abilities.</t>
        </is>
      </c>
      <c r="C43" s="24" t="inlineStr">
        <is>
          <t>Self-efficacy</t>
        </is>
      </c>
      <c r="D43" s="24" t="inlineStr">
        <is>
          <t>FALSE</t>
        </is>
      </c>
      <c r="E43" s="24" t="inlineStr">
        <is>
          <t>FALSE</t>
        </is>
      </c>
      <c r="F43" s="24" t="n"/>
      <c r="G43" s="24" t="inlineStr">
        <is>
          <t>strongly disagree = 1 | 2 = 2 | 3 = 3 | 4 = 4 | 5 = 5 | strongly agree = 6</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Cannabis Use Disorders Identification Test, Revised</t>
        </is>
      </c>
    </row>
    <row r="3">
      <c r="A3" s="37" t="inlineStr">
        <is>
          <t>Instrument</t>
        </is>
      </c>
      <c r="B3" s="24" t="inlineStr">
        <is>
          <t>Cannabis Use Disorders Identification Test, Revised</t>
        </is>
      </c>
      <c r="C3" s="24" t="n"/>
      <c r="D3" s="24" t="n"/>
      <c r="E3" s="24" t="n"/>
      <c r="F3" s="24" t="n"/>
      <c r="G3" s="24" t="n"/>
    </row>
    <row r="4">
      <c r="A4" s="37" t="inlineStr">
        <is>
          <t>Code</t>
        </is>
      </c>
      <c r="B4" s="24" t="inlineStr">
        <is>
          <t>CUDIT-R</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Hazardous cannabis use and possible cannabis use disorder over the past 6 months.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16+</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"This protocol is freely available; permission not required for use." (PhenX Toolkit)</t>
        </is>
      </c>
      <c r="C13" s="24" t="n"/>
      <c r="D13" s="24" t="n"/>
      <c r="E13" s="24" t="n"/>
      <c r="F13" s="24" t="n"/>
      <c r="G13" s="24" t="n"/>
    </row>
    <row r="14">
      <c r="A14" s="37" t="inlineStr">
        <is>
          <t>Coaching application</t>
        </is>
      </c>
      <c r="B14" s="24" t="inlineStr">
        <is>
          <t>The NZ developed cannabis screen; the obvious choice for this codebook</t>
        </is>
      </c>
      <c r="C14" s="24" t="n"/>
      <c r="D14" s="24" t="n"/>
      <c r="E14" s="24" t="n"/>
      <c r="F14" s="24" t="n"/>
      <c r="G14" s="24" t="n"/>
    </row>
    <row r="15">
      <c r="A15" s="37" t="inlineStr">
        <is>
          <t>Purpose</t>
        </is>
      </c>
      <c r="B15" s="24" t="inlineStr">
        <is>
          <t>Hazardous cannabis use and possible cannabis use disorder over the past 6 months.</t>
        </is>
      </c>
      <c r="C15" s="24" t="n"/>
      <c r="D15" s="24" t="n"/>
      <c r="E15" s="24" t="n"/>
      <c r="F15" s="24" t="n"/>
      <c r="G15" s="24" t="n"/>
    </row>
    <row r="16">
      <c r="A16" s="37" t="inlineStr">
        <is>
          <t>Instructions / prompt</t>
        </is>
      </c>
      <c r="B16" s="24" t="inlineStr">
        <is>
          <t>Have you used any cannabis over the past six months? YES / NO. If YES, please answer the following questions about your cannabis use. Circle the response that is most correct for you in relation to your cannabis use over the past six months</t>
        </is>
      </c>
      <c r="C16" s="24" t="n"/>
      <c r="D16" s="24" t="n"/>
      <c r="E16" s="24" t="n"/>
      <c r="F16" s="24" t="n"/>
      <c r="G16" s="24" t="n"/>
    </row>
    <row r="17">
      <c r="A17" s="37" t="inlineStr">
        <is>
          <t>Response options</t>
        </is>
      </c>
      <c r="B17" s="24" t="inlineStr">
        <is>
          <t>Never = 0 | Less than monthly = 1 | Monthly = 2 | Weekly = 3 | Daily or almost daily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"This questionnaire was designed for self-administration and is scored by adding each of the 8 items: Question 1-7 are scored on a 0-4 scale" and "Question 8 is scored 0, 2 or 4" (total 0 to 32). Higher scores indicate more problematic use. "Scores of 8 or more indicate hazardous cannabis use, while scores of 12 or more indicate a possible cannabis use disorder for which further intervention may be required."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Adamson, S. J., Kay-Lambkin, F. J., Baker, A. L., Lewin, T. J., Thornton, L., Kelly, B. J., &amp; Sellman, J. D. (2010). An improved brief measure of cannabis misuse: The Cannabis Use Disorders Identification Test-Revised (CUDIT-R). Drug and Alcohol Dependence, 110(1–2), 137–143. https://doi.org/10.1016/j.drugalcdep.2010.02.017</t>
        </is>
      </c>
      <c r="C25" s="24" t="n"/>
      <c r="D25" s="24" t="n"/>
      <c r="E25" s="24" t="n"/>
      <c r="F25" s="24" t="n"/>
      <c r="G25" s="24" t="n"/>
    </row>
    <row r="26">
      <c r="A26" s="37" t="inlineStr">
        <is>
          <t>Copyright and licensing</t>
        </is>
      </c>
      <c r="B26" s="24" t="inlineStr">
        <is>
          <t>"This protocol is freely available; permission not required for use." (PhenX Toolkit) Source: https://phenxtoolkit.org/protocols/view/510310</t>
        </is>
      </c>
      <c r="C26" s="24" t="n"/>
      <c r="D26" s="24" t="n"/>
      <c r="E26" s="24" t="n"/>
      <c r="F26" s="24" t="n"/>
      <c r="G26" s="24" t="n"/>
    </row>
    <row r="27">
      <c r="A27" s="37" t="inlineStr">
        <is>
          <t>Source URL</t>
        </is>
      </c>
      <c r="B27" s="24" t="inlineStr">
        <is>
          <t>https://phenxtoolkit.org/protocols/view/510310</t>
        </is>
      </c>
      <c r="C27" s="24" t="n"/>
      <c r="D27" s="24" t="n"/>
      <c r="E27" s="24" t="n"/>
      <c r="F27" s="24" t="n"/>
      <c r="G27" s="24" t="n"/>
    </row>
    <row r="28">
      <c r="A28" s="37" t="inlineStr">
        <is>
          <t>Transcription note</t>
        </is>
      </c>
      <c r="B28" s="24" t="inlineStr">
        <is>
          <t>Items transcribed from the PhenX Toolkit protocol page. The response scale differs by item: items 1, 2 and 8 have item specific options (given in each item note); items 3 to 7 share the frequency scale listed in responseOptions. Item 7 ends with a colon in the source. The screening question (past 6 months use, YES/NO) precedes the 8 items. The 4 content areas named in the target record (consumption, cannabis problems, dependence, psychological features) are not assigned to items on the PhenX page, so only a Total is listed. The PhenX page also carries a note that protocols may include language that could be triggering to respondents.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use cannabis?</t>
        </is>
      </c>
      <c r="C32" s="24" t="inlineStr">
        <is>
          <t>Total</t>
        </is>
      </c>
      <c r="D32" s="24" t="inlineStr">
        <is>
          <t>FALSE</t>
        </is>
      </c>
      <c r="E32" s="24" t="inlineStr">
        <is>
          <t>FALSE</t>
        </is>
      </c>
      <c r="F32" s="24" t="inlineStr">
        <is>
          <t>Response options: Never = 0; Monthly or less = 1; 2-4 times a month = 2; 2-3 times a week = 3; 4 or more times a week = 4</t>
        </is>
      </c>
      <c r="G32" s="24" t="inlineStr">
        <is>
          <t>Never = 0 | Monthly or less = 1 | 2-4 times a month = 2 | 2-3 times a week = 3 | 4 or more times a week = 4</t>
        </is>
      </c>
    </row>
    <row r="33">
      <c r="A33" s="24" t="n">
        <v>2</v>
      </c>
      <c r="B33" s="24" t="inlineStr">
        <is>
          <t>How many hours were you "stoned" on a typical day when you had been using cannabis?</t>
        </is>
      </c>
      <c r="C33" s="24" t="inlineStr">
        <is>
          <t>Total</t>
        </is>
      </c>
      <c r="D33" s="24" t="inlineStr">
        <is>
          <t>FALSE</t>
        </is>
      </c>
      <c r="E33" s="24" t="inlineStr">
        <is>
          <t>FALSE</t>
        </is>
      </c>
      <c r="F33" s="24" t="inlineStr">
        <is>
          <t>Response options: Less than 1 = 0; 1 or 2 = 1; 3 or 4 = 2; 5 or 6 = 3; 7 or more = 4</t>
        </is>
      </c>
      <c r="G33" s="24" t="inlineStr">
        <is>
          <t>Less than 1 = 0 | 1 or 2 = 1 | 3 or 4 = 2 | 5 or 6 = 3 | 7 or more = 4</t>
        </is>
      </c>
    </row>
    <row r="34">
      <c r="A34" s="24" t="n">
        <v>3</v>
      </c>
      <c r="B34" s="24" t="inlineStr">
        <is>
          <t>How often during the past 6 months did you find that you were not able to stop using cannabis once you had started?</t>
        </is>
      </c>
      <c r="C34" s="24" t="inlineStr">
        <is>
          <t>Total</t>
        </is>
      </c>
      <c r="D34" s="24" t="inlineStr">
        <is>
          <t>FALSE</t>
        </is>
      </c>
      <c r="E34" s="24" t="inlineStr">
        <is>
          <t>FALSE</t>
        </is>
      </c>
      <c r="F34" s="24" t="inlineStr">
        <is>
          <t>Response options: Never = 0; Less than monthly = 1; Monthly = 2; Weekly = 3; Daily or almost daily = 4</t>
        </is>
      </c>
      <c r="G34" s="24" t="inlineStr">
        <is>
          <t>Never = 0 | Less than monthly = 1 | Monthly = 2 | Weekly = 3 | Daily or almost daily = 4</t>
        </is>
      </c>
    </row>
    <row r="35">
      <c r="A35" s="24" t="n">
        <v>4</v>
      </c>
      <c r="B35" s="24" t="inlineStr">
        <is>
          <t>How often during the past 6 months did you fail to do what was normally expected from you because of using cannabis?</t>
        </is>
      </c>
      <c r="C35" s="24" t="inlineStr">
        <is>
          <t>Total</t>
        </is>
      </c>
      <c r="D35" s="24" t="inlineStr">
        <is>
          <t>FALSE</t>
        </is>
      </c>
      <c r="E35" s="24" t="inlineStr">
        <is>
          <t>FALSE</t>
        </is>
      </c>
      <c r="F35" s="24" t="inlineStr">
        <is>
          <t>Response options: Never = 0; Less than monthly = 1; Monthly = 2; Weekly = 3; Daily or almost daily = 4</t>
        </is>
      </c>
      <c r="G35" s="24" t="inlineStr">
        <is>
          <t>Never = 0 | Less than monthly = 1 | Monthly = 2 | Weekly = 3 | Daily or almost daily = 4</t>
        </is>
      </c>
    </row>
    <row r="36">
      <c r="A36" s="24" t="n">
        <v>5</v>
      </c>
      <c r="B36" s="24" t="inlineStr">
        <is>
          <t>How often in the past 6 months have you devoted a great deal of your time to getting, using, or recovering from cannabis?</t>
        </is>
      </c>
      <c r="C36" s="24" t="inlineStr">
        <is>
          <t>Total</t>
        </is>
      </c>
      <c r="D36" s="24" t="inlineStr">
        <is>
          <t>FALSE</t>
        </is>
      </c>
      <c r="E36" s="24" t="inlineStr">
        <is>
          <t>FALSE</t>
        </is>
      </c>
      <c r="F36" s="24" t="inlineStr">
        <is>
          <t>Response options: Never = 0; Less than monthly = 1; Monthly = 2; Weekly = 3; Daily or almost daily = 4</t>
        </is>
      </c>
      <c r="G36" s="24" t="inlineStr">
        <is>
          <t>Never = 0 | Less than monthly = 1 | Monthly = 2 | Weekly = 3 | Daily or almost daily = 4</t>
        </is>
      </c>
    </row>
    <row r="37">
      <c r="A37" s="24" t="n">
        <v>6</v>
      </c>
      <c r="B37" s="24" t="inlineStr">
        <is>
          <t>How often in the past 6 months have you had a problem with your memory or concentration after using cannabis?</t>
        </is>
      </c>
      <c r="C37" s="24" t="inlineStr">
        <is>
          <t>Total</t>
        </is>
      </c>
      <c r="D37" s="24" t="inlineStr">
        <is>
          <t>FALSE</t>
        </is>
      </c>
      <c r="E37" s="24" t="inlineStr">
        <is>
          <t>FALSE</t>
        </is>
      </c>
      <c r="F37" s="24" t="inlineStr">
        <is>
          <t>Response options: Never = 0; Less than monthly = 1; Monthly = 2; Weekly = 3; Daily or almost daily = 4</t>
        </is>
      </c>
      <c r="G37" s="24" t="inlineStr">
        <is>
          <t>Never = 0 | Less than monthly = 1 | Monthly = 2 | Weekly = 3 | Daily or almost daily = 4</t>
        </is>
      </c>
    </row>
    <row r="38">
      <c r="A38" s="24" t="n">
        <v>7</v>
      </c>
      <c r="B38" s="24" t="inlineStr">
        <is>
          <t>How often do you use cannabis in situations that could be physically hazardous, such as driving, operating machinery, or caring for children:</t>
        </is>
      </c>
      <c r="C38" s="24" t="inlineStr">
        <is>
          <t>Total</t>
        </is>
      </c>
      <c r="D38" s="24" t="inlineStr">
        <is>
          <t>FALSE</t>
        </is>
      </c>
      <c r="E38" s="24" t="inlineStr">
        <is>
          <t>FALSE</t>
        </is>
      </c>
      <c r="F38" s="24" t="inlineStr">
        <is>
          <t>Response options: Never = 0; Less than monthly = 1; Monthly = 2; Weekly = 3; Daily or almost daily = 4</t>
        </is>
      </c>
      <c r="G38" s="24" t="inlineStr">
        <is>
          <t>Never = 0 | Less than monthly = 1 | Monthly = 2 | Weekly = 3 | Daily or almost daily = 4</t>
        </is>
      </c>
    </row>
    <row r="39">
      <c r="A39" s="24" t="n">
        <v>8</v>
      </c>
      <c r="B39" s="24" t="inlineStr">
        <is>
          <t>Have you ever thought about cutting down, or stopping, your use of cannabis?</t>
        </is>
      </c>
      <c r="C39" s="24" t="inlineStr">
        <is>
          <t>Total</t>
        </is>
      </c>
      <c r="D39" s="24" t="inlineStr">
        <is>
          <t>FALSE</t>
        </is>
      </c>
      <c r="E39" s="24" t="inlineStr">
        <is>
          <t>FALSE</t>
        </is>
      </c>
      <c r="F39" s="24" t="inlineStr">
        <is>
          <t>Response options: Never = 0; Yes, but not in the past 6 months = 2; Yes, during the past 6 months = 4</t>
        </is>
      </c>
      <c r="G39" s="24" t="inlineStr">
        <is>
          <t>Never = 0 | Yes, but not in the past 6 months = 2 | Yes, during the past 6 months = 4</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Dissociative Experiences Scale II</t>
        </is>
      </c>
    </row>
    <row r="3">
      <c r="A3" s="37" t="inlineStr">
        <is>
          <t>Instrument</t>
        </is>
      </c>
      <c r="B3" s="24" t="inlineStr">
        <is>
          <t>Dissociative Experiences Scale II</t>
        </is>
      </c>
      <c r="C3" s="24" t="n"/>
      <c r="D3" s="24" t="n"/>
      <c r="E3" s="24" t="n"/>
      <c r="F3" s="24" t="n"/>
      <c r="G3" s="24" t="n"/>
    </row>
    <row r="4">
      <c r="A4" s="37" t="inlineStr">
        <is>
          <t>Code</t>
        </is>
      </c>
      <c r="B4" s="24" t="inlineStr">
        <is>
          <t>DES-II</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dissociative experiences in daily life, spanning amnesia, depersonalisation and derealisation, and absorption.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(adolescents should use the A-DES)</t>
        </is>
      </c>
      <c r="C9" s="24" t="n"/>
      <c r="D9" s="24" t="n"/>
      <c r="E9" s="24" t="n"/>
      <c r="F9" s="24" t="n"/>
      <c r="G9" s="24" t="n"/>
    </row>
    <row r="10">
      <c r="A10" s="37" t="inlineStr">
        <is>
          <t>Items in instrument</t>
        </is>
      </c>
      <c r="B10" s="24" t="n">
        <v>28</v>
      </c>
      <c r="C10" s="24" t="n"/>
      <c r="D10" s="24" t="n"/>
      <c r="E10" s="24" t="n"/>
      <c r="F10" s="24" t="n"/>
      <c r="G10" s="24" t="n"/>
    </row>
    <row r="11">
      <c r="A11" s="37" t="inlineStr">
        <is>
          <t>Items reproduced here</t>
        </is>
      </c>
      <c r="B11" s="24" t="n">
        <v>28</v>
      </c>
      <c r="C11" s="24" t="n"/>
      <c r="D11" s="24" t="n"/>
      <c r="E11" s="24" t="n"/>
      <c r="F11" s="24" t="n"/>
      <c r="G11" s="24" t="n"/>
    </row>
    <row r="12">
      <c r="A12" s="37" t="inlineStr">
        <is>
          <t>Administration time</t>
        </is>
      </c>
      <c r="B12" s="24" t="inlineStr">
        <is>
          <t>10 minutes</t>
        </is>
      </c>
      <c r="C12" s="24" t="n"/>
      <c r="D12" s="24" t="n"/>
      <c r="E12" s="24" t="n"/>
      <c r="F12" s="24" t="n"/>
      <c r="G12" s="24" t="n"/>
    </row>
    <row r="13">
      <c r="A13" s="37" t="inlineStr">
        <is>
          <t>Cost and access</t>
        </is>
      </c>
      <c r="B13" s="24" t="inlineStr">
        <is>
          <t>Authors E.B. Carlson &amp; F.W. Putnam have given permission for the Dissociative Experiences Scale to be copied, distributed or reproduced for research or clinical use.</t>
        </is>
      </c>
      <c r="C13" s="24" t="n"/>
      <c r="D13" s="24" t="n"/>
      <c r="E13" s="24" t="n"/>
      <c r="F13" s="24" t="n"/>
      <c r="G13" s="24" t="n"/>
    </row>
    <row r="14">
      <c r="A14" s="37" t="inlineStr">
        <is>
          <t>Coaching application</t>
        </is>
      </c>
      <c r="B14" s="24" t="inlineStr">
        <is>
          <t>Already on NovoPsych; screening only, discuss high scores in session rather than report automatically</t>
        </is>
      </c>
      <c r="C14" s="24" t="n"/>
      <c r="D14" s="24" t="n"/>
      <c r="E14" s="24" t="n"/>
      <c r="F14" s="24" t="n"/>
      <c r="G14" s="24" t="n"/>
    </row>
    <row r="15">
      <c r="A15" s="37" t="inlineStr">
        <is>
          <t>Purpose</t>
        </is>
      </c>
      <c r="B15" s="24" t="inlineStr">
        <is>
          <t>Frequency of dissociative experiences in daily life, spanning amnesia, depersonalisation and derealisation, and absorption.</t>
        </is>
      </c>
      <c r="C15" s="24" t="n"/>
      <c r="D15" s="24" t="n"/>
      <c r="E15" s="24" t="n"/>
      <c r="F15" s="24" t="n"/>
      <c r="G15" s="24" t="n"/>
    </row>
    <row r="16">
      <c r="A16" s="37" t="inlineStr">
        <is>
          <t>Instructions / prompt</t>
        </is>
      </c>
      <c r="B16" s="24" t="inlineStr">
        <is>
          <t>This questionnaire asks about experiences that you may have in your daily life. We are interested in how often you have these experiences. It is important, however, that your answers show how often these experiences happen to you when you are not under the influence of alcohol or drugs. To answer the questions, please determine to what degree each experience described in the question applies to you, and circle the number to show what percentage of the time you have the experience. For example: 0% (Never) 10 20 30 40 50 60 70 80 90 100% (Always)</t>
        </is>
      </c>
      <c r="C16" s="24" t="n"/>
      <c r="D16" s="24" t="n"/>
      <c r="E16" s="24" t="n"/>
      <c r="F16" s="24" t="n"/>
      <c r="G16" s="24" t="n"/>
    </row>
    <row r="17">
      <c r="A17" s="37" t="inlineStr">
        <is>
          <t>Response options</t>
        </is>
      </c>
      <c r="B17" s="24" t="inlineStr">
        <is>
          <t>0% (Never) = 0 | 10 = 10 | 20 = 20 | 30 = 30 | 40 = 40 | 50 = 50 | 60 = 60 | 70 = 70 | 80 = 80 | 90 = 90 | 100% (Always) = 100</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Add the percentage values for all 28 items and divide by 28 to obtain the DES score (0 to 100). Higher scores indicate more frequent dissociative experiences. The form states that scores of 30 or higher indicate high levels of dissociation and scores below 30 indicate low levels, and that a high score alone does not indicate a more severe disorder because the scale measures both normal and pathological dissociation; Carlson and Putnam (1993) recommend 30 as the screening threshold for possible dissociative disorder warranting further assessment. The DES-Taxon mean flags pathological dissociation. The University of Coimbra page reports a Portuguese four factor solution (depersonalisation-derealisation 7, 11, 12, 13, 16, 27, 28; absorption 14, 17, 18, 19, 20, 22, 23; distractibility 1, 2, 15, 21, 24, 25, 26; memory disturbances 3, 4, 5, 6, 8, 9) and confirms the cut off of 30.</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Carlson, E. B., &amp; Putnam, F. W. (1993). An update on the Dissociative Experiences Scale. Dissociation, 6(1), 16–27.</t>
        </is>
      </c>
      <c r="C25" s="24" t="n"/>
      <c r="D25" s="24" t="n"/>
      <c r="E25" s="24" t="n"/>
      <c r="F25" s="24" t="n"/>
      <c r="G25" s="24" t="n"/>
    </row>
    <row r="26">
      <c r="A26" s="37" t="inlineStr">
        <is>
          <t>Copyright and licensing</t>
        </is>
      </c>
      <c r="B26" s="24" t="inlineStr">
        <is>
          <t>Authors E.B. Carlson &amp; F.W. Putnam have given permission for the Dissociative Experiences Scale to be copied, distributed or reproduced for research or clinical use. Source: https://www.psychdb.com/_media/dissociative-disorders/des-ii.pdf</t>
        </is>
      </c>
      <c r="C26" s="24" t="n"/>
      <c r="D26" s="24" t="n"/>
      <c r="E26" s="24" t="n"/>
      <c r="F26" s="24" t="n"/>
      <c r="G26" s="24" t="n"/>
    </row>
    <row r="27">
      <c r="A27" s="37" t="inlineStr">
        <is>
          <t>Source URL</t>
        </is>
      </c>
      <c r="B27" s="24" t="inlineStr">
        <is>
          <t>https://www.psychdb.com/_media/dissociative-disorders/des-ii.pdf</t>
        </is>
      </c>
      <c r="C27" s="24" t="n"/>
      <c r="D27" s="24" t="n"/>
      <c r="E27" s="24" t="n"/>
      <c r="F27" s="24" t="n"/>
      <c r="G27" s="24" t="n"/>
    </row>
    <row r="28">
      <c r="A28" s="37" t="inlineStr">
        <is>
          <t>Transcription note</t>
        </is>
      </c>
      <c r="B28" s="24" t="inlineStr">
        <is>
          <t>The target itemsUrl (uc.pt CINEICC page) does not reproduce the items, so the 28 items, directions and permission statement were transcribed from the psychdb.com DES-II PDF, in 3 batches with long items returned as consecutive fragments and rejoined. Each item on the form is followed by a repeated 'Circle the number...' line and a 0 to 100 row, which are not included in the item text. Item 8 reads 'friends of family members' on this form, probably a typo for 'friends or family members'. The three factor and DES-Taxon subscale memberships are taken from the published literature (Carlson et al., 1991; Waller et al., 1996) rather than from the source form, and item subscale fields are therefore set to Total; verify before use. Curly apostrophes in items 1 and 4 are as extracted.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Some people have the experience of driving or riding in a car or bus or subway and suddenly realizing that they don’t remember what has happened during all or part of the trip.</t>
        </is>
      </c>
      <c r="C32" s="24" t="inlineStr">
        <is>
          <t>Total</t>
        </is>
      </c>
      <c r="D32" s="24" t="inlineStr">
        <is>
          <t>FALSE</t>
        </is>
      </c>
      <c r="E32" s="24" t="inlineStr">
        <is>
          <t>FALSE</t>
        </is>
      </c>
      <c r="F32" s="24" t="n"/>
      <c r="G32" s="24" t="inlineStr">
        <is>
          <t>0% (Never) = 0 | 10 = 10 | 20 = 20 | 30 = 30 | 40 = 40 | 50 = 50 | 60 = 60 | 70 = 70 | 80 = 80 | 90 = 90 | 100% (Always) = 100</t>
        </is>
      </c>
    </row>
    <row r="33">
      <c r="A33" s="24" t="n">
        <v>2</v>
      </c>
      <c r="B33" s="24" t="inlineStr">
        <is>
          <t>Some people find that sometimes they are listening to someone talk and they suddenly realize that they did not hear part or all of what was said.</t>
        </is>
      </c>
      <c r="C33" s="24" t="inlineStr">
        <is>
          <t>Total</t>
        </is>
      </c>
      <c r="D33" s="24" t="inlineStr">
        <is>
          <t>FALSE</t>
        </is>
      </c>
      <c r="E33" s="24" t="inlineStr">
        <is>
          <t>FALSE</t>
        </is>
      </c>
      <c r="F33" s="24" t="n"/>
      <c r="G33" s="24" t="inlineStr">
        <is>
          <t>0% (Never) = 0 | 10 = 10 | 20 = 20 | 30 = 30 | 40 = 40 | 50 = 50 | 60 = 60 | 70 = 70 | 80 = 80 | 90 = 90 | 100% (Always) = 100</t>
        </is>
      </c>
    </row>
    <row r="34">
      <c r="A34" s="24" t="n">
        <v>3</v>
      </c>
      <c r="B34" s="24" t="inlineStr">
        <is>
          <t>Some people have the experience of finding themselves in a place and have no idea how they got there.</t>
        </is>
      </c>
      <c r="C34" s="24" t="inlineStr">
        <is>
          <t>Total</t>
        </is>
      </c>
      <c r="D34" s="24" t="inlineStr">
        <is>
          <t>FALSE</t>
        </is>
      </c>
      <c r="E34" s="24" t="inlineStr">
        <is>
          <t>FALSE</t>
        </is>
      </c>
      <c r="F34" s="24" t="n"/>
      <c r="G34" s="24" t="inlineStr">
        <is>
          <t>0% (Never) = 0 | 10 = 10 | 20 = 20 | 30 = 30 | 40 = 40 | 50 = 50 | 60 = 60 | 70 = 70 | 80 = 80 | 90 = 90 | 100% (Always) = 100</t>
        </is>
      </c>
    </row>
    <row r="35">
      <c r="A35" s="24" t="n">
        <v>4</v>
      </c>
      <c r="B35" s="24" t="inlineStr">
        <is>
          <t>Some people have the experience of finding themselves dressed in clothes that they don’t remember putting on.</t>
        </is>
      </c>
      <c r="C35" s="24" t="inlineStr">
        <is>
          <t>Total</t>
        </is>
      </c>
      <c r="D35" s="24" t="inlineStr">
        <is>
          <t>FALSE</t>
        </is>
      </c>
      <c r="E35" s="24" t="inlineStr">
        <is>
          <t>FALSE</t>
        </is>
      </c>
      <c r="F35" s="24" t="n"/>
      <c r="G35" s="24" t="inlineStr">
        <is>
          <t>0% (Never) = 0 | 10 = 10 | 20 = 20 | 30 = 30 | 40 = 40 | 50 = 50 | 60 = 60 | 70 = 70 | 80 = 80 | 90 = 90 | 100% (Always) = 100</t>
        </is>
      </c>
    </row>
    <row r="36">
      <c r="A36" s="24" t="n">
        <v>5</v>
      </c>
      <c r="B36" s="24" t="inlineStr">
        <is>
          <t>Some people have the experience of finding new things among their belongings that they do not remember buying.</t>
        </is>
      </c>
      <c r="C36" s="24" t="inlineStr">
        <is>
          <t>Total</t>
        </is>
      </c>
      <c r="D36" s="24" t="inlineStr">
        <is>
          <t>FALSE</t>
        </is>
      </c>
      <c r="E36" s="24" t="inlineStr">
        <is>
          <t>FALSE</t>
        </is>
      </c>
      <c r="F36" s="24" t="n"/>
      <c r="G36" s="24" t="inlineStr">
        <is>
          <t>0% (Never) = 0 | 10 = 10 | 20 = 20 | 30 = 30 | 40 = 40 | 50 = 50 | 60 = 60 | 70 = 70 | 80 = 80 | 90 = 90 | 100% (Always) = 100</t>
        </is>
      </c>
    </row>
    <row r="37">
      <c r="A37" s="24" t="n">
        <v>6</v>
      </c>
      <c r="B37" s="24" t="inlineStr">
        <is>
          <t>Some people sometimes find that they are approached by people that they do not know, who call them by another name or insist that they have met them before.</t>
        </is>
      </c>
      <c r="C37" s="24" t="inlineStr">
        <is>
          <t>Total</t>
        </is>
      </c>
      <c r="D37" s="24" t="inlineStr">
        <is>
          <t>FALSE</t>
        </is>
      </c>
      <c r="E37" s="24" t="inlineStr">
        <is>
          <t>FALSE</t>
        </is>
      </c>
      <c r="F37" s="24" t="n"/>
      <c r="G37" s="24" t="inlineStr">
        <is>
          <t>0% (Never) = 0 | 10 = 10 | 20 = 20 | 30 = 30 | 40 = 40 | 50 = 50 | 60 = 60 | 70 = 70 | 80 = 80 | 90 = 90 | 100% (Always) = 100</t>
        </is>
      </c>
    </row>
    <row r="38">
      <c r="A38" s="24" t="n">
        <v>7</v>
      </c>
      <c r="B38" s="24" t="inlineStr">
        <is>
          <t>Some people sometimes have the experience of feeling as though they are standing next to themselves or watching themselves do something and they actually see themselves as if they were looking at another person.</t>
        </is>
      </c>
      <c r="C38" s="24" t="inlineStr">
        <is>
          <t>Total</t>
        </is>
      </c>
      <c r="D38" s="24" t="inlineStr">
        <is>
          <t>FALSE</t>
        </is>
      </c>
      <c r="E38" s="24" t="inlineStr">
        <is>
          <t>FALSE</t>
        </is>
      </c>
      <c r="F38" s="24" t="n"/>
      <c r="G38" s="24" t="inlineStr">
        <is>
          <t>0% (Never) = 0 | 10 = 10 | 20 = 20 | 30 = 30 | 40 = 40 | 50 = 50 | 60 = 60 | 70 = 70 | 80 = 80 | 90 = 90 | 100% (Always) = 100</t>
        </is>
      </c>
    </row>
    <row r="39">
      <c r="A39" s="24" t="n">
        <v>8</v>
      </c>
      <c r="B39" s="24" t="inlineStr">
        <is>
          <t>Some people are told that they sometimes do not recognize friends of family members.</t>
        </is>
      </c>
      <c r="C39" s="24" t="inlineStr">
        <is>
          <t>Total</t>
        </is>
      </c>
      <c r="D39" s="24" t="inlineStr">
        <is>
          <t>FALSE</t>
        </is>
      </c>
      <c r="E39" s="24" t="inlineStr">
        <is>
          <t>FALSE</t>
        </is>
      </c>
      <c r="F39" s="24" t="inlineStr">
        <is>
          <t>'friends of family members' as printed on the psychdb form; the original reads 'friends or family members'.</t>
        </is>
      </c>
      <c r="G39" s="24" t="inlineStr">
        <is>
          <t>0% (Never) = 0 | 10 = 10 | 20 = 20 | 30 = 30 | 40 = 40 | 50 = 50 | 60 = 60 | 70 = 70 | 80 = 80 | 90 = 90 | 100% (Always) = 100</t>
        </is>
      </c>
    </row>
    <row r="40">
      <c r="A40" s="24" t="n">
        <v>9</v>
      </c>
      <c r="B40" s="24" t="inlineStr">
        <is>
          <t>Some people find that they have no memory for some important events in their lives (for example, a wedding or graduation).</t>
        </is>
      </c>
      <c r="C40" s="24" t="inlineStr">
        <is>
          <t>Total</t>
        </is>
      </c>
      <c r="D40" s="24" t="inlineStr">
        <is>
          <t>FALSE</t>
        </is>
      </c>
      <c r="E40" s="24" t="inlineStr">
        <is>
          <t>FALSE</t>
        </is>
      </c>
      <c r="F40" s="24" t="n"/>
      <c r="G40" s="24" t="inlineStr">
        <is>
          <t>0% (Never) = 0 | 10 = 10 | 20 = 20 | 30 = 30 | 40 = 40 | 50 = 50 | 60 = 60 | 70 = 70 | 80 = 80 | 90 = 90 | 100% (Always) = 100</t>
        </is>
      </c>
    </row>
    <row r="41">
      <c r="A41" s="24" t="n">
        <v>10</v>
      </c>
      <c r="B41" s="24" t="inlineStr">
        <is>
          <t>Some people have the experience of being accused of lying when they do not think that they have lied.</t>
        </is>
      </c>
      <c r="C41" s="24" t="inlineStr">
        <is>
          <t>Total</t>
        </is>
      </c>
      <c r="D41" s="24" t="inlineStr">
        <is>
          <t>FALSE</t>
        </is>
      </c>
      <c r="E41" s="24" t="inlineStr">
        <is>
          <t>FALSE</t>
        </is>
      </c>
      <c r="F41" s="24" t="n"/>
      <c r="G41" s="24" t="inlineStr">
        <is>
          <t>0% (Never) = 0 | 10 = 10 | 20 = 20 | 30 = 30 | 40 = 40 | 50 = 50 | 60 = 60 | 70 = 70 | 80 = 80 | 90 = 90 | 100% (Always) = 100</t>
        </is>
      </c>
    </row>
    <row r="42">
      <c r="A42" s="24" t="n">
        <v>11</v>
      </c>
      <c r="B42" s="24" t="inlineStr">
        <is>
          <t>Some people have the experience of looking in a mirror and not recognizing themselves.</t>
        </is>
      </c>
      <c r="C42" s="24" t="inlineStr">
        <is>
          <t>Total</t>
        </is>
      </c>
      <c r="D42" s="24" t="inlineStr">
        <is>
          <t>FALSE</t>
        </is>
      </c>
      <c r="E42" s="24" t="inlineStr">
        <is>
          <t>FALSE</t>
        </is>
      </c>
      <c r="F42" s="24" t="n"/>
      <c r="G42" s="24" t="inlineStr">
        <is>
          <t>0% (Never) = 0 | 10 = 10 | 20 = 20 | 30 = 30 | 40 = 40 | 50 = 50 | 60 = 60 | 70 = 70 | 80 = 80 | 90 = 90 | 100% (Always) = 100</t>
        </is>
      </c>
    </row>
    <row r="43">
      <c r="A43" s="24" t="n">
        <v>12</v>
      </c>
      <c r="B43" s="24" t="inlineStr">
        <is>
          <t>Some people have the experience of feeling that other people, objects, and the world around them are not real.</t>
        </is>
      </c>
      <c r="C43" s="24" t="inlineStr">
        <is>
          <t>Total</t>
        </is>
      </c>
      <c r="D43" s="24" t="inlineStr">
        <is>
          <t>FALSE</t>
        </is>
      </c>
      <c r="E43" s="24" t="inlineStr">
        <is>
          <t>FALSE</t>
        </is>
      </c>
      <c r="F43" s="24" t="n"/>
      <c r="G43" s="24" t="inlineStr">
        <is>
          <t>0% (Never) = 0 | 10 = 10 | 20 = 20 | 30 = 30 | 40 = 40 | 50 = 50 | 60 = 60 | 70 = 70 | 80 = 80 | 90 = 90 | 100% (Always) = 100</t>
        </is>
      </c>
    </row>
    <row r="44">
      <c r="A44" s="24" t="n">
        <v>13</v>
      </c>
      <c r="B44" s="24" t="inlineStr">
        <is>
          <t>Some people have the experience of feeling that their body does not seem to belong to them.</t>
        </is>
      </c>
      <c r="C44" s="24" t="inlineStr">
        <is>
          <t>Total</t>
        </is>
      </c>
      <c r="D44" s="24" t="inlineStr">
        <is>
          <t>FALSE</t>
        </is>
      </c>
      <c r="E44" s="24" t="inlineStr">
        <is>
          <t>FALSE</t>
        </is>
      </c>
      <c r="F44" s="24" t="n"/>
      <c r="G44" s="24" t="inlineStr">
        <is>
          <t>0% (Never) = 0 | 10 = 10 | 20 = 20 | 30 = 30 | 40 = 40 | 50 = 50 | 60 = 60 | 70 = 70 | 80 = 80 | 90 = 90 | 100% (Always) = 100</t>
        </is>
      </c>
    </row>
    <row r="45">
      <c r="A45" s="24" t="n">
        <v>14</v>
      </c>
      <c r="B45" s="24" t="inlineStr">
        <is>
          <t>Some people have the experience of sometimes remembering a past event so vividly that they feel as if they were reliving that event.</t>
        </is>
      </c>
      <c r="C45" s="24" t="inlineStr">
        <is>
          <t>Total</t>
        </is>
      </c>
      <c r="D45" s="24" t="inlineStr">
        <is>
          <t>FALSE</t>
        </is>
      </c>
      <c r="E45" s="24" t="inlineStr">
        <is>
          <t>FALSE</t>
        </is>
      </c>
      <c r="F45" s="24" t="n"/>
      <c r="G45" s="24" t="inlineStr">
        <is>
          <t>0% (Never) = 0 | 10 = 10 | 20 = 20 | 30 = 30 | 40 = 40 | 50 = 50 | 60 = 60 | 70 = 70 | 80 = 80 | 90 = 90 | 100% (Always) = 100</t>
        </is>
      </c>
    </row>
    <row r="46">
      <c r="A46" s="24" t="n">
        <v>15</v>
      </c>
      <c r="B46" s="24" t="inlineStr">
        <is>
          <t>Some people have the experience of not being sure whether things that they remember happening really did happen or whether they just dreamed them.</t>
        </is>
      </c>
      <c r="C46" s="24" t="inlineStr">
        <is>
          <t>Total</t>
        </is>
      </c>
      <c r="D46" s="24" t="inlineStr">
        <is>
          <t>FALSE</t>
        </is>
      </c>
      <c r="E46" s="24" t="inlineStr">
        <is>
          <t>FALSE</t>
        </is>
      </c>
      <c r="F46" s="24" t="n"/>
      <c r="G46" s="24" t="inlineStr">
        <is>
          <t>0% (Never) = 0 | 10 = 10 | 20 = 20 | 30 = 30 | 40 = 40 | 50 = 50 | 60 = 60 | 70 = 70 | 80 = 80 | 90 = 90 | 100% (Always) = 100</t>
        </is>
      </c>
    </row>
    <row r="47">
      <c r="A47" s="24" t="n">
        <v>16</v>
      </c>
      <c r="B47" s="24" t="inlineStr">
        <is>
          <t>Some people have the experience of being in a familiar place but finding it strange and unfamiliar.</t>
        </is>
      </c>
      <c r="C47" s="24" t="inlineStr">
        <is>
          <t>Total</t>
        </is>
      </c>
      <c r="D47" s="24" t="inlineStr">
        <is>
          <t>FALSE</t>
        </is>
      </c>
      <c r="E47" s="24" t="inlineStr">
        <is>
          <t>FALSE</t>
        </is>
      </c>
      <c r="F47" s="24" t="n"/>
      <c r="G47" s="24" t="inlineStr">
        <is>
          <t>0% (Never) = 0 | 10 = 10 | 20 = 20 | 30 = 30 | 40 = 40 | 50 = 50 | 60 = 60 | 70 = 70 | 80 = 80 | 90 = 90 | 100% (Always) = 100</t>
        </is>
      </c>
    </row>
    <row r="48">
      <c r="A48" s="24" t="n">
        <v>17</v>
      </c>
      <c r="B48" s="24" t="inlineStr">
        <is>
          <t>Some people find that when they are watching television or a movie they become so absorbed in the story that they are unaware of other events happening around them.</t>
        </is>
      </c>
      <c r="C48" s="24" t="inlineStr">
        <is>
          <t>Total</t>
        </is>
      </c>
      <c r="D48" s="24" t="inlineStr">
        <is>
          <t>FALSE</t>
        </is>
      </c>
      <c r="E48" s="24" t="inlineStr">
        <is>
          <t>FALSE</t>
        </is>
      </c>
      <c r="F48" s="24" t="n"/>
      <c r="G48" s="24" t="inlineStr">
        <is>
          <t>0% (Never) = 0 | 10 = 10 | 20 = 20 | 30 = 30 | 40 = 40 | 50 = 50 | 60 = 60 | 70 = 70 | 80 = 80 | 90 = 90 | 100% (Always) = 100</t>
        </is>
      </c>
    </row>
    <row r="49">
      <c r="A49" s="24" t="n">
        <v>18</v>
      </c>
      <c r="B49" s="24" t="inlineStr">
        <is>
          <t>Some people find that they become so involved in a fantasy or daydream that it feels as though it were really happening to them.</t>
        </is>
      </c>
      <c r="C49" s="24" t="inlineStr">
        <is>
          <t>Total</t>
        </is>
      </c>
      <c r="D49" s="24" t="inlineStr">
        <is>
          <t>FALSE</t>
        </is>
      </c>
      <c r="E49" s="24" t="inlineStr">
        <is>
          <t>FALSE</t>
        </is>
      </c>
      <c r="F49" s="24" t="n"/>
      <c r="G49" s="24" t="inlineStr">
        <is>
          <t>0% (Never) = 0 | 10 = 10 | 20 = 20 | 30 = 30 | 40 = 40 | 50 = 50 | 60 = 60 | 70 = 70 | 80 = 80 | 90 = 90 | 100% (Always) = 100</t>
        </is>
      </c>
    </row>
    <row r="50">
      <c r="A50" s="24" t="n">
        <v>19</v>
      </c>
      <c r="B50" s="24" t="inlineStr">
        <is>
          <t>Some people find that they sometimes are able to ignore pain.</t>
        </is>
      </c>
      <c r="C50" s="24" t="inlineStr">
        <is>
          <t>Total</t>
        </is>
      </c>
      <c r="D50" s="24" t="inlineStr">
        <is>
          <t>FALSE</t>
        </is>
      </c>
      <c r="E50" s="24" t="inlineStr">
        <is>
          <t>FALSE</t>
        </is>
      </c>
      <c r="F50" s="24" t="n"/>
      <c r="G50" s="24" t="inlineStr">
        <is>
          <t>0% (Never) = 0 | 10 = 10 | 20 = 20 | 30 = 30 | 40 = 40 | 50 = 50 | 60 = 60 | 70 = 70 | 80 = 80 | 90 = 90 | 100% (Always) = 100</t>
        </is>
      </c>
    </row>
    <row r="51">
      <c r="A51" s="24" t="n">
        <v>20</v>
      </c>
      <c r="B51" s="24" t="inlineStr">
        <is>
          <t>Some people find that they sometimes sit staring off into space, thinking of nothing, and are not aware of the passage of time.</t>
        </is>
      </c>
      <c r="C51" s="24" t="inlineStr">
        <is>
          <t>Total</t>
        </is>
      </c>
      <c r="D51" s="24" t="inlineStr">
        <is>
          <t>FALSE</t>
        </is>
      </c>
      <c r="E51" s="24" t="inlineStr">
        <is>
          <t>FALSE</t>
        </is>
      </c>
      <c r="F51" s="24" t="n"/>
      <c r="G51" s="24" t="inlineStr">
        <is>
          <t>0% (Never) = 0 | 10 = 10 | 20 = 20 | 30 = 30 | 40 = 40 | 50 = 50 | 60 = 60 | 70 = 70 | 80 = 80 | 90 = 90 | 100% (Always) = 100</t>
        </is>
      </c>
    </row>
    <row r="52">
      <c r="A52" s="24" t="n">
        <v>21</v>
      </c>
      <c r="B52" s="24" t="inlineStr">
        <is>
          <t>Some people sometimes find that when they are alone they talk out loud to themselves.</t>
        </is>
      </c>
      <c r="C52" s="24" t="inlineStr">
        <is>
          <t>Total</t>
        </is>
      </c>
      <c r="D52" s="24" t="inlineStr">
        <is>
          <t>FALSE</t>
        </is>
      </c>
      <c r="E52" s="24" t="inlineStr">
        <is>
          <t>FALSE</t>
        </is>
      </c>
      <c r="F52" s="24" t="n"/>
      <c r="G52" s="24" t="inlineStr">
        <is>
          <t>0% (Never) = 0 | 10 = 10 | 20 = 20 | 30 = 30 | 40 = 40 | 50 = 50 | 60 = 60 | 70 = 70 | 80 = 80 | 90 = 90 | 100% (Always) = 100</t>
        </is>
      </c>
    </row>
    <row r="53">
      <c r="A53" s="24" t="n">
        <v>22</v>
      </c>
      <c r="B53" s="24" t="inlineStr">
        <is>
          <t>Some people find that in one situation they may act so differently compared with another situation that they feel almost as if they were two different people.</t>
        </is>
      </c>
      <c r="C53" s="24" t="inlineStr">
        <is>
          <t>Total</t>
        </is>
      </c>
      <c r="D53" s="24" t="inlineStr">
        <is>
          <t>FALSE</t>
        </is>
      </c>
      <c r="E53" s="24" t="inlineStr">
        <is>
          <t>FALSE</t>
        </is>
      </c>
      <c r="F53" s="24" t="n"/>
      <c r="G53" s="24" t="inlineStr">
        <is>
          <t>0% (Never) = 0 | 10 = 10 | 20 = 20 | 30 = 30 | 40 = 40 | 50 = 50 | 60 = 60 | 70 = 70 | 80 = 80 | 90 = 90 | 100% (Always) = 100</t>
        </is>
      </c>
    </row>
    <row r="54">
      <c r="A54" s="24" t="n">
        <v>23</v>
      </c>
      <c r="B54" s="24" t="inlineStr">
        <is>
          <t>Some people sometimes find that in certain situations they are able to do things with amazing ease and spontaneity that would usually be difficult for them (for example, sports, work, social situations, etc.).</t>
        </is>
      </c>
      <c r="C54" s="24" t="inlineStr">
        <is>
          <t>Total</t>
        </is>
      </c>
      <c r="D54" s="24" t="inlineStr">
        <is>
          <t>FALSE</t>
        </is>
      </c>
      <c r="E54" s="24" t="inlineStr">
        <is>
          <t>FALSE</t>
        </is>
      </c>
      <c r="F54" s="24" t="n"/>
      <c r="G54" s="24" t="inlineStr">
        <is>
          <t>0% (Never) = 0 | 10 = 10 | 20 = 20 | 30 = 30 | 40 = 40 | 50 = 50 | 60 = 60 | 70 = 70 | 80 = 80 | 90 = 90 | 100% (Always) = 100</t>
        </is>
      </c>
    </row>
    <row r="55">
      <c r="A55" s="24" t="n">
        <v>24</v>
      </c>
      <c r="B55" s="24" t="inlineStr">
        <is>
          <t>Some people sometimes find that they cannot remember whether they have done something or have just thought about doing that thing (for example, not knowing whether they have just mailed a letter or have just thought about mailing it).</t>
        </is>
      </c>
      <c r="C55" s="24" t="inlineStr">
        <is>
          <t>Total</t>
        </is>
      </c>
      <c r="D55" s="24" t="inlineStr">
        <is>
          <t>FALSE</t>
        </is>
      </c>
      <c r="E55" s="24" t="inlineStr">
        <is>
          <t>FALSE</t>
        </is>
      </c>
      <c r="F55" s="24" t="n"/>
      <c r="G55" s="24" t="inlineStr">
        <is>
          <t>0% (Never) = 0 | 10 = 10 | 20 = 20 | 30 = 30 | 40 = 40 | 50 = 50 | 60 = 60 | 70 = 70 | 80 = 80 | 90 = 90 | 100% (Always) = 100</t>
        </is>
      </c>
    </row>
    <row r="56">
      <c r="A56" s="24" t="n">
        <v>25</v>
      </c>
      <c r="B56" s="24" t="inlineStr">
        <is>
          <t>Some people find evidence that they have done things that they do not remember doing.</t>
        </is>
      </c>
      <c r="C56" s="24" t="inlineStr">
        <is>
          <t>Total</t>
        </is>
      </c>
      <c r="D56" s="24" t="inlineStr">
        <is>
          <t>FALSE</t>
        </is>
      </c>
      <c r="E56" s="24" t="inlineStr">
        <is>
          <t>FALSE</t>
        </is>
      </c>
      <c r="F56" s="24" t="n"/>
      <c r="G56" s="24" t="inlineStr">
        <is>
          <t>0% (Never) = 0 | 10 = 10 | 20 = 20 | 30 = 30 | 40 = 40 | 50 = 50 | 60 = 60 | 70 = 70 | 80 = 80 | 90 = 90 | 100% (Always) = 100</t>
        </is>
      </c>
    </row>
    <row r="57">
      <c r="A57" s="24" t="n">
        <v>26</v>
      </c>
      <c r="B57" s="24" t="inlineStr">
        <is>
          <t>Some people sometimes find writings, drawings, or notes among their belongings that they must have done but cannot remember doing.</t>
        </is>
      </c>
      <c r="C57" s="24" t="inlineStr">
        <is>
          <t>Total</t>
        </is>
      </c>
      <c r="D57" s="24" t="inlineStr">
        <is>
          <t>FALSE</t>
        </is>
      </c>
      <c r="E57" s="24" t="inlineStr">
        <is>
          <t>FALSE</t>
        </is>
      </c>
      <c r="F57" s="24" t="n"/>
      <c r="G57" s="24" t="inlineStr">
        <is>
          <t>0% (Never) = 0 | 10 = 10 | 20 = 20 | 30 = 30 | 40 = 40 | 50 = 50 | 60 = 60 | 70 = 70 | 80 = 80 | 90 = 90 | 100% (Always) = 100</t>
        </is>
      </c>
    </row>
    <row r="58">
      <c r="A58" s="24" t="n">
        <v>27</v>
      </c>
      <c r="B58" s="24" t="inlineStr">
        <is>
          <t>Some people sometimes find that they hear voices inside their head that tell them to do things or comment on things that they are doing.</t>
        </is>
      </c>
      <c r="C58" s="24" t="inlineStr">
        <is>
          <t>Total</t>
        </is>
      </c>
      <c r="D58" s="24" t="inlineStr">
        <is>
          <t>FALSE</t>
        </is>
      </c>
      <c r="E58" s="24" t="inlineStr">
        <is>
          <t>FALSE</t>
        </is>
      </c>
      <c r="F58" s="24" t="n"/>
      <c r="G58" s="24" t="inlineStr">
        <is>
          <t>0% (Never) = 0 | 10 = 10 | 20 = 20 | 30 = 30 | 40 = 40 | 50 = 50 | 60 = 60 | 70 = 70 | 80 = 80 | 90 = 90 | 100% (Always) = 100</t>
        </is>
      </c>
    </row>
    <row r="59">
      <c r="A59" s="24" t="n">
        <v>28</v>
      </c>
      <c r="B59" s="24" t="inlineStr">
        <is>
          <t>Some people sometimes feel as if they are looking at the world through a fog, so that people and objects appear far away or unclear.</t>
        </is>
      </c>
      <c r="C59" s="24" t="inlineStr">
        <is>
          <t>Total</t>
        </is>
      </c>
      <c r="D59" s="24" t="inlineStr">
        <is>
          <t>FALSE</t>
        </is>
      </c>
      <c r="E59" s="24" t="inlineStr">
        <is>
          <t>FALSE</t>
        </is>
      </c>
      <c r="F59" s="24" t="n"/>
      <c r="G59" s="24" t="inlineStr">
        <is>
          <t>0% (Never) = 0 | 10 = 10 | 20 = 20 | 30 = 30 | 40 = 40 | 50 = 50 | 60 = 60 | 70 = 70 | 80 = 80 | 90 = 90 | 100% (Always) = 100</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Frost Multidimensional Perfectionism Scale, Brief</t>
        </is>
      </c>
    </row>
    <row r="3">
      <c r="A3" s="37" t="inlineStr">
        <is>
          <t>Instrument</t>
        </is>
      </c>
      <c r="B3" s="24" t="inlineStr">
        <is>
          <t>Frost Multidimensional Perfectionism Scale, Brief</t>
        </is>
      </c>
      <c r="C3" s="24" t="n"/>
      <c r="D3" s="24" t="n"/>
      <c r="E3" s="24" t="n"/>
      <c r="F3" s="24" t="n"/>
      <c r="G3" s="24" t="n"/>
    </row>
    <row r="4">
      <c r="A4" s="37" t="inlineStr">
        <is>
          <t>Code</t>
        </is>
      </c>
      <c r="B4" s="24" t="inlineStr">
        <is>
          <t>FMPS-B</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Perfectionism as 2 dimensions, evaluative concerns and perfectionistic strivings.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Validation article (Woodfin, Binder and Molde, 2020) is open access under the Creative Commons Attribution License (CC BY) and reproduces all 8 items; the parent FMPS is used freely in research with citation.</t>
        </is>
      </c>
      <c r="C13" s="24" t="n"/>
      <c r="D13" s="24" t="n"/>
      <c r="E13" s="24" t="n"/>
      <c r="F13" s="24" t="n"/>
      <c r="G13" s="24" t="n"/>
    </row>
    <row r="14">
      <c r="A14" s="37" t="inlineStr">
        <is>
          <t>Coaching application</t>
        </is>
      </c>
      <c r="B14" s="24" t="inlineStr">
        <is>
          <t>Quick screen separating healthy striving from self critical concern; NovoPsych carries the full 35 item FMPS, not this brief form.</t>
        </is>
      </c>
      <c r="C14" s="24" t="n"/>
      <c r="D14" s="24" t="n"/>
      <c r="E14" s="24" t="n"/>
      <c r="F14" s="24" t="n"/>
      <c r="G14" s="24" t="n"/>
    </row>
    <row r="15">
      <c r="A15" s="37" t="inlineStr">
        <is>
          <t>Purpose</t>
        </is>
      </c>
      <c r="B15" s="24" t="inlineStr">
        <is>
          <t>Perfectionism as 2 dimensions, evaluative concerns and perfectionistic strivings.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Strongly disagree = 1 | Disagree = 2 | Neither agree nor disagree = 3 | Agree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each subscale (4 to 20) and the total (8 to 40). Higher scores indicate more perfectionistic tendencies. No cut offs are published. Woodfin et al. (2020) report Cronbach's alpha of 0.83 for the full scale.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Burgess, A. M., Frost, R. O., &amp; DiBartolo, P. M. (2016). Development and validation of the Frost Multidimensional Perfectionism Scale-Brief. Journal of Psychoeducational Assessment, 34(7), 620-633. https://doi.org/10.1177/0734282916651359; Woodfin, V., Binder, P.-E., &amp; Molde, H. (2020). The psychometric properties of the Frost Multidimensional Perfectionism Scale - Brief. Frontiers in Psychology, 11, 1860. https://doi.org/10.3389/fpsyg.2020.01860</t>
        </is>
      </c>
      <c r="C25" s="24" t="n"/>
      <c r="D25" s="24" t="n"/>
      <c r="E25" s="24" t="n"/>
      <c r="F25" s="24" t="n"/>
      <c r="G25" s="24" t="n"/>
    </row>
    <row r="26">
      <c r="A26" s="37" t="inlineStr">
        <is>
          <t>Copyright and licensing</t>
        </is>
      </c>
      <c r="B26" s="24" t="inlineStr">
        <is>
          <t>Validation article (Woodfin, Binder and Molde, 2020) is open access under the Creative Commons Attribution License (CC BY) and reproduces all 8 items; the parent FMPS is used freely in research with citation. Source: https://www.frontiersin.org/journals/psychology/articles/10.3389/fpsyg.2020.01860/full</t>
        </is>
      </c>
      <c r="C26" s="24" t="n"/>
      <c r="D26" s="24" t="n"/>
      <c r="E26" s="24" t="n"/>
      <c r="F26" s="24" t="n"/>
      <c r="G26" s="24" t="n"/>
    </row>
    <row r="27">
      <c r="A27" s="37" t="inlineStr">
        <is>
          <t>Source URL</t>
        </is>
      </c>
      <c r="B27" s="24" t="inlineStr">
        <is>
          <t>https://www.frontiersin.org/journals/psychology/articles/10.3389/fpsyg.2020.01860/full</t>
        </is>
      </c>
      <c r="C27" s="24" t="n"/>
      <c r="D27" s="24" t="n"/>
      <c r="E27" s="24" t="n"/>
      <c r="F27" s="24" t="n"/>
      <c r="G27" s="24" t="n"/>
    </row>
    <row r="28">
      <c r="A28" s="37" t="inlineStr">
        <is>
          <t>Transcription note</t>
        </is>
      </c>
      <c r="B28" s="24" t="inlineStr">
        <is>
          <t>Items transcribed from Table 1 of Woodfin, Binder and Molde (2020), numbered as in that table. The article gives no respondent instructions beyond the response scale, so instructions is empty; the parent FMPS instruction is not reproduced. Only the endpoints 1 (strongly disagree) and 5 (strongly agree) are stated in the article; the 3 intermediate labels above are the standard FMPS labels and were not confirmed from this source. The article says the 8 items derive from FMPS items 9, 12, 13, 19, 24, 25, 30 and 34 but does not map each FMPS-B item to its original number. Items are printed without terminal full stops in the table.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If I fail at work/school, I am a failure as a person</t>
        </is>
      </c>
      <c r="C32" s="24" t="inlineStr">
        <is>
          <t>Evaluative Concerns</t>
        </is>
      </c>
      <c r="D32" s="24" t="inlineStr">
        <is>
          <t>FALSE</t>
        </is>
      </c>
      <c r="E32" s="24" t="inlineStr">
        <is>
          <t>FALSE</t>
        </is>
      </c>
      <c r="F32" s="24" t="n"/>
      <c r="G32" s="24" t="inlineStr">
        <is>
          <t>Strongly disagree = 1 | Disagree = 2 | Neither agree nor disagree = 3 | Agree = 4 | Strongly agree = 5</t>
        </is>
      </c>
    </row>
    <row r="33">
      <c r="A33" s="24" t="n">
        <v>2</v>
      </c>
      <c r="B33" s="24" t="inlineStr">
        <is>
          <t>I set higher goals for myself than most people</t>
        </is>
      </c>
      <c r="C33" s="24" t="inlineStr">
        <is>
          <t>Strivings</t>
        </is>
      </c>
      <c r="D33" s="24" t="inlineStr">
        <is>
          <t>FALSE</t>
        </is>
      </c>
      <c r="E33" s="24" t="inlineStr">
        <is>
          <t>FALSE</t>
        </is>
      </c>
      <c r="F33" s="24" t="n"/>
      <c r="G33" s="24" t="inlineStr">
        <is>
          <t>Strongly disagree = 1 | Disagree = 2 | Neither agree nor disagree = 3 | Agree = 4 | Strongly agree = 5</t>
        </is>
      </c>
    </row>
    <row r="34">
      <c r="A34" s="24" t="n">
        <v>3</v>
      </c>
      <c r="B34" s="24" t="inlineStr">
        <is>
          <t>If someone does a task at work/school better than me, then I feel like I failed at the whole task</t>
        </is>
      </c>
      <c r="C34" s="24" t="inlineStr">
        <is>
          <t>Evaluative Concerns</t>
        </is>
      </c>
      <c r="D34" s="24" t="inlineStr">
        <is>
          <t>FALSE</t>
        </is>
      </c>
      <c r="E34" s="24" t="inlineStr">
        <is>
          <t>FALSE</t>
        </is>
      </c>
      <c r="F34" s="24" t="n"/>
      <c r="G34" s="24" t="inlineStr">
        <is>
          <t>Strongly disagree = 1 | Disagree = 2 | Neither agree nor disagree = 3 | Agree = 4 | Strongly agree = 5</t>
        </is>
      </c>
    </row>
    <row r="35">
      <c r="A35" s="24" t="n">
        <v>4</v>
      </c>
      <c r="B35" s="24" t="inlineStr">
        <is>
          <t>I have extremely high goals</t>
        </is>
      </c>
      <c r="C35" s="24" t="inlineStr">
        <is>
          <t>Strivings</t>
        </is>
      </c>
      <c r="D35" s="24" t="inlineStr">
        <is>
          <t>FALSE</t>
        </is>
      </c>
      <c r="E35" s="24" t="inlineStr">
        <is>
          <t>FALSE</t>
        </is>
      </c>
      <c r="F35" s="24" t="n"/>
      <c r="G35" s="24" t="inlineStr">
        <is>
          <t>Strongly disagree = 1 | Disagree = 2 | Neither agree nor disagree = 3 | Agree = 4 | Strongly agree = 5</t>
        </is>
      </c>
    </row>
    <row r="36">
      <c r="A36" s="24" t="n">
        <v>5</v>
      </c>
      <c r="B36" s="24" t="inlineStr">
        <is>
          <t>Other people seem to accept lower standards from themselves than I do</t>
        </is>
      </c>
      <c r="C36" s="24" t="inlineStr">
        <is>
          <t>Strivings</t>
        </is>
      </c>
      <c r="D36" s="24" t="inlineStr">
        <is>
          <t>FALSE</t>
        </is>
      </c>
      <c r="E36" s="24" t="inlineStr">
        <is>
          <t>FALSE</t>
        </is>
      </c>
      <c r="F36" s="24" t="n"/>
      <c r="G36" s="24" t="inlineStr">
        <is>
          <t>Strongly disagree = 1 | Disagree = 2 | Neither agree nor disagree = 3 | Agree = 4 | Strongly agree = 5</t>
        </is>
      </c>
    </row>
    <row r="37">
      <c r="A37" s="24" t="n">
        <v>6</v>
      </c>
      <c r="B37" s="24" t="inlineStr">
        <is>
          <t>If I do not do well all the time, people will not respect me</t>
        </is>
      </c>
      <c r="C37" s="24" t="inlineStr">
        <is>
          <t>Evaluative Concerns</t>
        </is>
      </c>
      <c r="D37" s="24" t="inlineStr">
        <is>
          <t>FALSE</t>
        </is>
      </c>
      <c r="E37" s="24" t="inlineStr">
        <is>
          <t>FALSE</t>
        </is>
      </c>
      <c r="F37" s="24" t="n"/>
      <c r="G37" s="24" t="inlineStr">
        <is>
          <t>Strongly disagree = 1 | Disagree = 2 | Neither agree nor disagree = 3 | Agree = 4 | Strongly agree = 5</t>
        </is>
      </c>
    </row>
    <row r="38">
      <c r="A38" s="24" t="n">
        <v>7</v>
      </c>
      <c r="B38" s="24" t="inlineStr">
        <is>
          <t>I expect higher performance in my daily tasks than most people</t>
        </is>
      </c>
      <c r="C38" s="24" t="inlineStr">
        <is>
          <t>Strivings</t>
        </is>
      </c>
      <c r="D38" s="24" t="inlineStr">
        <is>
          <t>FALSE</t>
        </is>
      </c>
      <c r="E38" s="24" t="inlineStr">
        <is>
          <t>FALSE</t>
        </is>
      </c>
      <c r="F38" s="24" t="n"/>
      <c r="G38" s="24" t="inlineStr">
        <is>
          <t>Strongly disagree = 1 | Disagree = 2 | Neither agree nor disagree = 3 | Agree = 4 | Strongly agree = 5</t>
        </is>
      </c>
    </row>
    <row r="39">
      <c r="A39" s="24" t="n">
        <v>8</v>
      </c>
      <c r="B39" s="24" t="inlineStr">
        <is>
          <t>The fewer mistakes I make, the more people will like me</t>
        </is>
      </c>
      <c r="C39" s="24" t="inlineStr">
        <is>
          <t>Evaluative Concerns</t>
        </is>
      </c>
      <c r="D39" s="24" t="inlineStr">
        <is>
          <t>FALSE</t>
        </is>
      </c>
      <c r="E39" s="24" t="inlineStr">
        <is>
          <t>FALSE</t>
        </is>
      </c>
      <c r="F39" s="24" t="n"/>
      <c r="G39" s="24" t="inlineStr">
        <is>
          <t>Strongly disagree = 1 | Disagree = 2 | Neither agree nor disagree = 3 | Agree = 4 | Strongly agree = 5</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Generalized Anxiety Disorder 7</t>
        </is>
      </c>
    </row>
    <row r="3">
      <c r="A3" s="37" t="inlineStr">
        <is>
          <t>Instrument</t>
        </is>
      </c>
      <c r="B3" s="24" t="inlineStr">
        <is>
          <t>Generalized Anxiety Disorder 7</t>
        </is>
      </c>
      <c r="C3" s="24" t="n"/>
      <c r="D3" s="24" t="n"/>
      <c r="E3" s="24" t="n"/>
      <c r="F3" s="24" t="n"/>
      <c r="G3" s="24" t="n"/>
    </row>
    <row r="4">
      <c r="A4" s="37" t="inlineStr">
        <is>
          <t>Code</t>
        </is>
      </c>
      <c r="B4" s="24" t="inlineStr">
        <is>
          <t>GAD-7</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core generalised anxiety symptoms over the past 2 weeks.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13+ (validated in adults 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t>
        </is>
      </c>
      <c r="C13" s="24" t="n"/>
      <c r="D13" s="24" t="n"/>
      <c r="E13" s="24" t="n"/>
      <c r="F13" s="24" t="n"/>
      <c r="G13" s="24" t="n"/>
    </row>
    <row r="14">
      <c r="A14" s="37" t="inlineStr">
        <is>
          <t>Coaching application</t>
        </is>
      </c>
      <c r="B14" s="24" t="inlineStr">
        <is>
          <t>Brief anxiety screen suitable for intake and for monitoring stress focused coaching; genuinely free for any use.</t>
        </is>
      </c>
      <c r="C14" s="24" t="n"/>
      <c r="D14" s="24" t="n"/>
      <c r="E14" s="24" t="n"/>
      <c r="F14" s="24" t="n"/>
      <c r="G14" s="24" t="n"/>
    </row>
    <row r="15">
      <c r="A15" s="37" t="inlineStr">
        <is>
          <t>Purpose</t>
        </is>
      </c>
      <c r="B15" s="24" t="inlineStr">
        <is>
          <t>Frequency of core generalised anxiety symptoms over the past 2 weeks.</t>
        </is>
      </c>
      <c r="C15" s="24" t="n"/>
      <c r="D15" s="24" t="n"/>
      <c r="E15" s="24" t="n"/>
      <c r="F15" s="24" t="n"/>
      <c r="G15" s="24" t="n"/>
    </row>
    <row r="16">
      <c r="A16" s="37" t="inlineStr">
        <is>
          <t>Instructions / prompt</t>
        </is>
      </c>
      <c r="B16" s="24" t="inlineStr">
        <is>
          <t>Over the last 2 weeks, how often have you been bothered by the following problems?</t>
        </is>
      </c>
      <c r="C16" s="24" t="n"/>
      <c r="D16" s="24" t="n"/>
      <c r="E16" s="24" t="n"/>
      <c r="F16" s="24" t="n"/>
      <c r="G16" s="24" t="n"/>
    </row>
    <row r="17">
      <c r="A17" s="37" t="inlineStr">
        <is>
          <t>Response options</t>
        </is>
      </c>
      <c r="B17" s="24" t="inlineStr">
        <is>
          <t>Not at all = 0 | Several days = 1 | More than half the days = 2 | Nearly every day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8</t>
        </is>
      </c>
      <c r="C19" s="24" t="n"/>
      <c r="D19" s="24" t="n"/>
      <c r="E19" s="24" t="n"/>
      <c r="F19" s="24" t="n"/>
      <c r="G19" s="24" t="n"/>
    </row>
    <row r="20">
      <c r="A20" s="37" t="inlineStr">
        <is>
          <t>Total scoring</t>
        </is>
      </c>
      <c r="B20" s="24" t="inlineStr">
        <is>
          <t>Sum items 1 to 7 (0 to 3 each) for a total of 0 to 21; higher scores indicate more severe anxiety. Severity bands from Spitzer et al. (2006): 0 to 4 minimal, 5 to 9 mild, 10 to 14 moderate, 15 to 21 severe; a score of 10 or more is the recommended screening threshold for generalised anxiety disorder (PsyToolkit page: "people with a score of 10 or greater might suffer from generlized [sic] anxiety disorder"). NHS Talking Therapies uses 8 or more as the clinical case threshold (NHS Talking Therapies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Spitzer, R. L., Kroenke, K., Williams, J. B. W., &amp; Löwe, B. (2006). A brief measure for assessing generalized anxiety disorder: The GAD-7. Archives of Internal Medicine, 166(10), 1092–1097. https://doi.org/10.1001/archinte.166.10.1092</t>
        </is>
      </c>
      <c r="C25" s="24" t="n"/>
      <c r="D25" s="24" t="n"/>
      <c r="E25" s="24" t="n"/>
      <c r="F25" s="24" t="n"/>
      <c r="G25" s="24" t="n"/>
    </row>
    <row r="26">
      <c r="A26" s="37" t="inlineStr">
        <is>
          <t>Copyright and licensing</t>
        </is>
      </c>
      <c r="B26" s="24" t="inlineStr">
        <is>
          <t>Pfizer statement on the PHQ screeners site: no permission is required to reproduce, translate, display or distribute the PHQ instruments, which include the GAD-7. PsyToolkit legal note: "It seems that the GAD-7 can be used for research" with acknowledgement of the authors and their paper. Source: https://www.phqscreeners.com/</t>
        </is>
      </c>
      <c r="C26" s="24" t="n"/>
      <c r="D26" s="24" t="n"/>
      <c r="E26" s="24" t="n"/>
      <c r="F26" s="24" t="n"/>
      <c r="G26" s="24" t="n"/>
    </row>
    <row r="27">
      <c r="A27" s="37" t="inlineStr">
        <is>
          <t>Source URL</t>
        </is>
      </c>
      <c r="B27" s="24" t="inlineStr">
        <is>
          <t>https://psytoolkit.org/survey-library/anxiety-gad7.html</t>
        </is>
      </c>
      <c r="C27" s="24" t="n"/>
      <c r="D27" s="24" t="n"/>
      <c r="E27" s="24" t="n"/>
      <c r="F27" s="24" t="n"/>
      <c r="G27" s="24" t="n"/>
    </row>
    <row r="28">
      <c r="A28" s="37" t="inlineStr">
        <is>
          <t>Transcription note</t>
        </is>
      </c>
      <c r="B28" s="24" t="inlineStr">
        <is>
          <t>The phqscreeners.com select-screener page (itemsUrl) is blocked to automated fetching by robots.txt and the Mind toolkit PDF (sourceUrl) lists the GAD-7 by name only. Items, stem, response options and the supplementary difficulty question were transcribed from the PsyToolkit survey library page, whose response labels are printed in lower case ("not at all", "several days" and so on); sentence case is used here to match the PHQ screeners print form. The PsyToolkit page does not reproduce the Pfizer copyright footer or the print form's heading. The 5, 10 and 15 severity bands are from the 2006 article rather than the fetched page.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Feeling nervous, anxious or on edge</t>
        </is>
      </c>
      <c r="C32" s="24" t="inlineStr">
        <is>
          <t>Total</t>
        </is>
      </c>
      <c r="D32" s="24" t="inlineStr">
        <is>
          <t>FALSE</t>
        </is>
      </c>
      <c r="E32" s="24" t="inlineStr">
        <is>
          <t>FALSE</t>
        </is>
      </c>
      <c r="F32" s="24" t="n"/>
      <c r="G32" s="24" t="inlineStr">
        <is>
          <t>Not at all = 0 | Several days = 1 | More than half the days = 2 | Nearly every day = 3</t>
        </is>
      </c>
    </row>
    <row r="33">
      <c r="A33" s="24" t="n">
        <v>2</v>
      </c>
      <c r="B33" s="24" t="inlineStr">
        <is>
          <t>Not being able to stop or control worrying</t>
        </is>
      </c>
      <c r="C33" s="24" t="inlineStr">
        <is>
          <t>Total</t>
        </is>
      </c>
      <c r="D33" s="24" t="inlineStr">
        <is>
          <t>FALSE</t>
        </is>
      </c>
      <c r="E33" s="24" t="inlineStr">
        <is>
          <t>FALSE</t>
        </is>
      </c>
      <c r="F33" s="24" t="n"/>
      <c r="G33" s="24" t="inlineStr">
        <is>
          <t>Not at all = 0 | Several days = 1 | More than half the days = 2 | Nearly every day = 3</t>
        </is>
      </c>
    </row>
    <row r="34">
      <c r="A34" s="24" t="n">
        <v>3</v>
      </c>
      <c r="B34" s="24" t="inlineStr">
        <is>
          <t>Worrying too much about different things</t>
        </is>
      </c>
      <c r="C34" s="24" t="inlineStr">
        <is>
          <t>Total</t>
        </is>
      </c>
      <c r="D34" s="24" t="inlineStr">
        <is>
          <t>FALSE</t>
        </is>
      </c>
      <c r="E34" s="24" t="inlineStr">
        <is>
          <t>FALSE</t>
        </is>
      </c>
      <c r="F34" s="24" t="n"/>
      <c r="G34" s="24" t="inlineStr">
        <is>
          <t>Not at all = 0 | Several days = 1 | More than half the days = 2 | Nearly every day = 3</t>
        </is>
      </c>
    </row>
    <row r="35">
      <c r="A35" s="24" t="n">
        <v>4</v>
      </c>
      <c r="B35" s="24" t="inlineStr">
        <is>
          <t>Trouble relaxing</t>
        </is>
      </c>
      <c r="C35" s="24" t="inlineStr">
        <is>
          <t>Total</t>
        </is>
      </c>
      <c r="D35" s="24" t="inlineStr">
        <is>
          <t>FALSE</t>
        </is>
      </c>
      <c r="E35" s="24" t="inlineStr">
        <is>
          <t>FALSE</t>
        </is>
      </c>
      <c r="F35" s="24" t="n"/>
      <c r="G35" s="24" t="inlineStr">
        <is>
          <t>Not at all = 0 | Several days = 1 | More than half the days = 2 | Nearly every day = 3</t>
        </is>
      </c>
    </row>
    <row r="36">
      <c r="A36" s="24" t="n">
        <v>5</v>
      </c>
      <c r="B36" s="24" t="inlineStr">
        <is>
          <t>Being so restless that it is hard to sit still</t>
        </is>
      </c>
      <c r="C36" s="24" t="inlineStr">
        <is>
          <t>Total</t>
        </is>
      </c>
      <c r="D36" s="24" t="inlineStr">
        <is>
          <t>FALSE</t>
        </is>
      </c>
      <c r="E36" s="24" t="inlineStr">
        <is>
          <t>FALSE</t>
        </is>
      </c>
      <c r="F36" s="24" t="n"/>
      <c r="G36" s="24" t="inlineStr">
        <is>
          <t>Not at all = 0 | Several days = 1 | More than half the days = 2 | Nearly every day = 3</t>
        </is>
      </c>
    </row>
    <row r="37">
      <c r="A37" s="24" t="n">
        <v>6</v>
      </c>
      <c r="B37" s="24" t="inlineStr">
        <is>
          <t>Becoming easily annoyed or irritable</t>
        </is>
      </c>
      <c r="C37" s="24" t="inlineStr">
        <is>
          <t>Total</t>
        </is>
      </c>
      <c r="D37" s="24" t="inlineStr">
        <is>
          <t>FALSE</t>
        </is>
      </c>
      <c r="E37" s="24" t="inlineStr">
        <is>
          <t>FALSE</t>
        </is>
      </c>
      <c r="F37" s="24" t="n"/>
      <c r="G37" s="24" t="inlineStr">
        <is>
          <t>Not at all = 0 | Several days = 1 | More than half the days = 2 | Nearly every day = 3</t>
        </is>
      </c>
    </row>
    <row r="38">
      <c r="A38" s="24" t="n">
        <v>7</v>
      </c>
      <c r="B38" s="24" t="inlineStr">
        <is>
          <t>Feeling afraid as if something awful might happen</t>
        </is>
      </c>
      <c r="C38" s="24" t="inlineStr">
        <is>
          <t>Total</t>
        </is>
      </c>
      <c r="D38" s="24" t="inlineStr">
        <is>
          <t>FALSE</t>
        </is>
      </c>
      <c r="E38" s="24" t="inlineStr">
        <is>
          <t>FALSE</t>
        </is>
      </c>
      <c r="F38" s="24" t="n"/>
      <c r="G38" s="24" t="inlineStr">
        <is>
          <t>Not at all = 0 | Several days = 1 | More than half the days = 2 | Nearly every day = 3</t>
        </is>
      </c>
    </row>
    <row r="39">
      <c r="A39" s="24" t="n">
        <v>8</v>
      </c>
      <c r="B39" s="24" t="inlineStr">
        <is>
          <t>How difficult have these problems made it for you to do your work, take care of things at home, or get along with other people?</t>
        </is>
      </c>
      <c r="C39" s="24" t="inlineStr">
        <is>
          <t>Functional impairment (unscored)</t>
        </is>
      </c>
      <c r="D39" s="24" t="inlineStr">
        <is>
          <t>FALSE</t>
        </is>
      </c>
      <c r="E39" s="24" t="inlineStr">
        <is>
          <t>TRUE</t>
        </is>
      </c>
      <c r="F39" s="24" t="inlineStr">
        <is>
          <t>Supplementary difficulty question, not part of the 0 to 21 total. Response options: Not difficult at all; Somewhat difficult; Very difficult; Extremely difficult.</t>
        </is>
      </c>
      <c r="G39" s="24" t="inlineStr">
        <is>
          <t>Not difficult at all = 0 | Somewhat difficult = 1 | Very difficult = 2 | Extremely difficult = 3</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General Procrastination Scale</t>
        </is>
      </c>
    </row>
    <row r="3">
      <c r="A3" s="37" t="inlineStr">
        <is>
          <t>Instrument</t>
        </is>
      </c>
      <c r="B3" s="24" t="inlineStr">
        <is>
          <t>General Procrastination Scale</t>
        </is>
      </c>
      <c r="C3" s="24" t="n"/>
      <c r="D3" s="24" t="n"/>
      <c r="E3" s="24" t="n"/>
      <c r="F3" s="24" t="n"/>
      <c r="G3" s="24" t="n"/>
    </row>
    <row r="4">
      <c r="A4" s="37" t="inlineStr">
        <is>
          <t>Code</t>
        </is>
      </c>
      <c r="B4" s="24" t="inlineStr">
        <is>
          <t>GPS</t>
        </is>
      </c>
      <c r="C4" s="24" t="n"/>
      <c r="D4" s="24" t="n"/>
      <c r="E4" s="24" t="n"/>
      <c r="F4" s="24" t="n"/>
      <c r="G4" s="24" t="n"/>
    </row>
    <row r="5">
      <c r="A5" s="37" t="inlineStr">
        <is>
          <t>Domain</t>
        </is>
      </c>
      <c r="B5" s="24" t="inlineStr">
        <is>
          <t>6. Motivation, self determination and goal pursuit</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Trait procrastination across everyday tasks such as bills, appointments, shopping and correspondence.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Salford PsyTech questionnaire battery, Copyright restrictions field: "No restrictions." No author licence text appears on the York University PDF.</t>
        </is>
      </c>
      <c r="C13" s="24" t="n"/>
      <c r="D13" s="24" t="n"/>
      <c r="E13" s="24" t="n"/>
      <c r="F13" s="24" t="n"/>
      <c r="G13" s="24" t="n"/>
    </row>
    <row r="14">
      <c r="A14" s="37" t="inlineStr">
        <is>
          <t>Coaching application</t>
        </is>
      </c>
      <c r="B14" s="24" t="inlineStr">
        <is>
          <t>Everyday life content rather than academic, so it fits working adults well and gives concrete targets for routine design.</t>
        </is>
      </c>
      <c r="C14" s="24" t="n"/>
      <c r="D14" s="24" t="n"/>
      <c r="E14" s="24" t="n"/>
      <c r="F14" s="24" t="n"/>
      <c r="G14" s="24" t="n"/>
    </row>
    <row r="15">
      <c r="A15" s="37" t="inlineStr">
        <is>
          <t>Purpose</t>
        </is>
      </c>
      <c r="B15" s="24" t="inlineStr">
        <is>
          <t>Trait procrastination across everyday tasks such as bills, appointments, shopping and correspondence.</t>
        </is>
      </c>
      <c r="C15" s="24" t="n"/>
      <c r="D15" s="24" t="n"/>
      <c r="E15" s="24" t="n"/>
      <c r="F15" s="24" t="n"/>
      <c r="G15" s="24" t="n"/>
    </row>
    <row r="16">
      <c r="A16" s="37" t="inlineStr">
        <is>
          <t>Instructions / prompt</t>
        </is>
      </c>
      <c r="B16" s="24" t="inlineStr">
        <is>
          <t>People may use the following statements to describe themselves. For each statement, decide whether the statement is uncharacteristic or characteristic of you using the following 5 point scale. Note that the 3 on the scale is Neutral – the statement is neither characteristic nor uncharacteristic of you. In the box to the right of each statement, fill in the number on the 5 point scale that best describes you.</t>
        </is>
      </c>
      <c r="C16" s="24" t="n"/>
      <c r="D16" s="24" t="n"/>
      <c r="E16" s="24" t="n"/>
      <c r="F16" s="24" t="n"/>
      <c r="G16" s="24" t="n"/>
    </row>
    <row r="17">
      <c r="A17" s="37" t="inlineStr">
        <is>
          <t>Response options</t>
        </is>
      </c>
      <c r="B17" s="24" t="inlineStr">
        <is>
          <t>Extremely Uncharacteristic = 1 | Moderately Uncharacteristic = 2 | Neutral = 3 | Moderately Characteristic = 4 | Extremely Characteristic = 5</t>
        </is>
      </c>
      <c r="C17" s="24" t="n"/>
      <c r="D17" s="24" t="n"/>
      <c r="E17" s="24" t="n"/>
      <c r="F17" s="24" t="n"/>
      <c r="G17" s="24" t="n"/>
    </row>
    <row r="18">
      <c r="A18" s="37" t="inlineStr">
        <is>
          <t>Reverse-scored items</t>
        </is>
      </c>
      <c r="B18" s="24" t="inlineStr">
        <is>
          <t>3, 4, 6, 8, 11, 13, 14, 15, 18, 20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3, 4, 6, 8, 11, 13, 14, 15, 18 and 20 (6 minus raw score) and sum all 20 items for a total of 20 to 100; higher scores indicate greater trait procrastination. Source footer: "Note: Reversed-keyed items: 3,4,6,8,11,13,14,15,18,20" and "Note: * indicates items that differ from student to non-student forms". No clinical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Lay, C. H. (1986). At last, my research article on procrastination. Journal of Research in Personality, 20(4), 474–495. https://doi.org/10.1016/0092-6566(86)90127-3</t>
        </is>
      </c>
      <c r="C25" s="24" t="n"/>
      <c r="D25" s="24" t="n"/>
      <c r="E25" s="24" t="n"/>
      <c r="F25" s="24" t="n"/>
      <c r="G25" s="24" t="n"/>
    </row>
    <row r="26">
      <c r="A26" s="37" t="inlineStr">
        <is>
          <t>Copyright and licensing</t>
        </is>
      </c>
      <c r="B26" s="24" t="inlineStr">
        <is>
          <t>Salford PsyTech questionnaire battery, Copyright restrictions field: "No restrictions." No author licence text appears on the York University PDF. Source: https://hub.salford.ac.uk/psytech/equipment-resources/questionnaire-battery/procrastination-scale/</t>
        </is>
      </c>
      <c r="C26" s="24" t="n"/>
      <c r="D26" s="24" t="n"/>
      <c r="E26" s="24" t="n"/>
      <c r="F26" s="24" t="n"/>
      <c r="G26" s="24" t="n"/>
    </row>
    <row r="27">
      <c r="A27" s="37" t="inlineStr">
        <is>
          <t>Source URL</t>
        </is>
      </c>
      <c r="B27" s="24" t="inlineStr">
        <is>
          <t>https://www.yorku.ca/rokada/psyctest/procrast.pdf</t>
        </is>
      </c>
      <c r="C27" s="24" t="n"/>
      <c r="D27" s="24" t="n"/>
      <c r="E27" s="24" t="n"/>
      <c r="F27" s="24" t="n"/>
      <c r="G27" s="24" t="n"/>
    </row>
    <row r="28">
      <c r="A28" s="37" t="inlineStr">
        <is>
          <t>Transcription note</t>
        </is>
      </c>
      <c r="B28" s="24" t="inlineStr">
        <is>
          <t>Transcribed from the York University PDF titled "Procrastination Scale (Lay, 1986)". Items 2, 3, 10, 13 and 14 are asterisked as differing between the student and non-student forms; the PDF does not state which form it reproduces. Item 2 contains an apparent typographical omission ("don't around") that has been kept as printed. Item 19 contains encoding artefacts in the PDF for the quotation marks and apostrophe; the wording given here resolves those artefacts and is the only departure from the printed text.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often find myself performing tasks that I had intended to do days before.</t>
        </is>
      </c>
      <c r="C32" s="24" t="inlineStr">
        <is>
          <t>Total</t>
        </is>
      </c>
      <c r="D32" s="24" t="inlineStr">
        <is>
          <t>FALSE</t>
        </is>
      </c>
      <c r="E32" s="24" t="inlineStr">
        <is>
          <t>FALSE</t>
        </is>
      </c>
      <c r="F32" s="24" t="n"/>
      <c r="G32" s="24" t="inlineStr">
        <is>
          <t>Extremely Uncharacteristic = 1 | Moderately Uncharacteristic = 2 | Neutral = 3 | Moderately Characteristic = 4 | Extremely Characteristic = 5</t>
        </is>
      </c>
    </row>
    <row r="33">
      <c r="A33" s="24" t="n">
        <v>2</v>
      </c>
      <c r="B33" s="24" t="inlineStr">
        <is>
          <t>I often miss concerts, sporting events, or the like because I don't around to buying tickets on time.</t>
        </is>
      </c>
      <c r="C33" s="24" t="inlineStr">
        <is>
          <t>Total</t>
        </is>
      </c>
      <c r="D33" s="24" t="inlineStr">
        <is>
          <t>FALSE</t>
        </is>
      </c>
      <c r="E33" s="24" t="inlineStr">
        <is>
          <t>FALSE</t>
        </is>
      </c>
      <c r="F33" s="24" t="inlineStr">
        <is>
          <t>Asterisked in source (differs between student and non-student forms). Source text reads "don't around"; likely a typographical omission of "get". Transcribed as printed.</t>
        </is>
      </c>
      <c r="G33" s="24" t="inlineStr">
        <is>
          <t>Extremely Uncharacteristic = 1 | Moderately Uncharacteristic = 2 | Neutral = 3 | Moderately Characteristic = 4 | Extremely Characteristic = 5</t>
        </is>
      </c>
    </row>
    <row r="34">
      <c r="A34" s="24" t="n">
        <v>3</v>
      </c>
      <c r="B34" s="24" t="inlineStr">
        <is>
          <t>When planning a party, I make the necessary arrangements well in advance.</t>
        </is>
      </c>
      <c r="C34" s="24" t="inlineStr">
        <is>
          <t>Total</t>
        </is>
      </c>
      <c r="D34" s="24" t="inlineStr">
        <is>
          <t>TRUE</t>
        </is>
      </c>
      <c r="E34" s="24" t="inlineStr">
        <is>
          <t>FALSE</t>
        </is>
      </c>
      <c r="F34" s="24" t="inlineStr">
        <is>
          <t>Asterisked in source (differs between student and non-student forms).</t>
        </is>
      </c>
      <c r="G34" s="24" t="inlineStr">
        <is>
          <t>Extremely Uncharacteristic = 1 | Moderately Uncharacteristic = 2 | Neutral = 3 | Moderately Characteristic = 4 | Extremely Characteristic = 5</t>
        </is>
      </c>
    </row>
    <row r="35">
      <c r="A35" s="24" t="n">
        <v>4</v>
      </c>
      <c r="B35" s="24" t="inlineStr">
        <is>
          <t>When it is time to get up in the morning, I most often get right out of bed.</t>
        </is>
      </c>
      <c r="C35" s="24" t="inlineStr">
        <is>
          <t>Total</t>
        </is>
      </c>
      <c r="D35" s="24" t="inlineStr">
        <is>
          <t>TRUE</t>
        </is>
      </c>
      <c r="E35" s="24" t="inlineStr">
        <is>
          <t>FALSE</t>
        </is>
      </c>
      <c r="F35" s="24" t="n"/>
      <c r="G35" s="24" t="inlineStr">
        <is>
          <t>Extremely Uncharacteristic = 1 | Moderately Uncharacteristic = 2 | Neutral = 3 | Moderately Characteristic = 4 | Extremely Characteristic = 5</t>
        </is>
      </c>
    </row>
    <row r="36">
      <c r="A36" s="24" t="n">
        <v>5</v>
      </c>
      <c r="B36" s="24" t="inlineStr">
        <is>
          <t>A letter may sit for days after I write it before mailing it.</t>
        </is>
      </c>
      <c r="C36" s="24" t="inlineStr">
        <is>
          <t>Total</t>
        </is>
      </c>
      <c r="D36" s="24" t="inlineStr">
        <is>
          <t>FALSE</t>
        </is>
      </c>
      <c r="E36" s="24" t="inlineStr">
        <is>
          <t>FALSE</t>
        </is>
      </c>
      <c r="F36" s="24" t="n"/>
      <c r="G36" s="24" t="inlineStr">
        <is>
          <t>Extremely Uncharacteristic = 1 | Moderately Uncharacteristic = 2 | Neutral = 3 | Moderately Characteristic = 4 | Extremely Characteristic = 5</t>
        </is>
      </c>
    </row>
    <row r="37">
      <c r="A37" s="24" t="n">
        <v>6</v>
      </c>
      <c r="B37" s="24" t="inlineStr">
        <is>
          <t>I generally return phone calls promptly.</t>
        </is>
      </c>
      <c r="C37" s="24" t="inlineStr">
        <is>
          <t>Total</t>
        </is>
      </c>
      <c r="D37" s="24" t="inlineStr">
        <is>
          <t>TRUE</t>
        </is>
      </c>
      <c r="E37" s="24" t="inlineStr">
        <is>
          <t>FALSE</t>
        </is>
      </c>
      <c r="F37" s="24" t="n"/>
      <c r="G37" s="24" t="inlineStr">
        <is>
          <t>Extremely Uncharacteristic = 1 | Moderately Uncharacteristic = 2 | Neutral = 3 | Moderately Characteristic = 4 | Extremely Characteristic = 5</t>
        </is>
      </c>
    </row>
    <row r="38">
      <c r="A38" s="24" t="n">
        <v>7</v>
      </c>
      <c r="B38" s="24" t="inlineStr">
        <is>
          <t>Even with jobs that require little else except sitting down and doing them, I find they seldom get done for days.</t>
        </is>
      </c>
      <c r="C38" s="24" t="inlineStr">
        <is>
          <t>Total</t>
        </is>
      </c>
      <c r="D38" s="24" t="inlineStr">
        <is>
          <t>FALSE</t>
        </is>
      </c>
      <c r="E38" s="24" t="inlineStr">
        <is>
          <t>FALSE</t>
        </is>
      </c>
      <c r="F38" s="24" t="n"/>
      <c r="G38" s="24" t="inlineStr">
        <is>
          <t>Extremely Uncharacteristic = 1 | Moderately Uncharacteristic = 2 | Neutral = 3 | Moderately Characteristic = 4 | Extremely Characteristic = 5</t>
        </is>
      </c>
    </row>
    <row r="39">
      <c r="A39" s="24" t="n">
        <v>8</v>
      </c>
      <c r="B39" s="24" t="inlineStr">
        <is>
          <t>I usually make decisions as soon as possible.</t>
        </is>
      </c>
      <c r="C39" s="24" t="inlineStr">
        <is>
          <t>Total</t>
        </is>
      </c>
      <c r="D39" s="24" t="inlineStr">
        <is>
          <t>TRUE</t>
        </is>
      </c>
      <c r="E39" s="24" t="inlineStr">
        <is>
          <t>FALSE</t>
        </is>
      </c>
      <c r="F39" s="24" t="n"/>
      <c r="G39" s="24" t="inlineStr">
        <is>
          <t>Extremely Uncharacteristic = 1 | Moderately Uncharacteristic = 2 | Neutral = 3 | Moderately Characteristic = 4 | Extremely Characteristic = 5</t>
        </is>
      </c>
    </row>
    <row r="40">
      <c r="A40" s="24" t="n">
        <v>9</v>
      </c>
      <c r="B40" s="24" t="inlineStr">
        <is>
          <t>I generally delay before starting on work I have to do.</t>
        </is>
      </c>
      <c r="C40" s="24" t="inlineStr">
        <is>
          <t>Total</t>
        </is>
      </c>
      <c r="D40" s="24" t="inlineStr">
        <is>
          <t>FALSE</t>
        </is>
      </c>
      <c r="E40" s="24" t="inlineStr">
        <is>
          <t>FALSE</t>
        </is>
      </c>
      <c r="F40" s="24" t="n"/>
      <c r="G40" s="24" t="inlineStr">
        <is>
          <t>Extremely Uncharacteristic = 1 | Moderately Uncharacteristic = 2 | Neutral = 3 | Moderately Characteristic = 4 | Extremely Characteristic = 5</t>
        </is>
      </c>
    </row>
    <row r="41">
      <c r="A41" s="24" t="n">
        <v>10</v>
      </c>
      <c r="B41" s="24" t="inlineStr">
        <is>
          <t>When travelling, I usually have to rush in preparing to arrive at the airport or station at the appropriate time.</t>
        </is>
      </c>
      <c r="C41" s="24" t="inlineStr">
        <is>
          <t>Total</t>
        </is>
      </c>
      <c r="D41" s="24" t="inlineStr">
        <is>
          <t>FALSE</t>
        </is>
      </c>
      <c r="E41" s="24" t="inlineStr">
        <is>
          <t>FALSE</t>
        </is>
      </c>
      <c r="F41" s="24" t="inlineStr">
        <is>
          <t>Asterisked in source (differs between student and non-student forms).</t>
        </is>
      </c>
      <c r="G41" s="24" t="inlineStr">
        <is>
          <t>Extremely Uncharacteristic = 1 | Moderately Uncharacteristic = 2 | Neutral = 3 | Moderately Characteristic = 4 | Extremely Characteristic = 5</t>
        </is>
      </c>
    </row>
    <row r="42">
      <c r="A42" s="24" t="n">
        <v>11</v>
      </c>
      <c r="B42" s="24" t="inlineStr">
        <is>
          <t>When preparing to go out, I am seldom caught having to do something at the last minute.</t>
        </is>
      </c>
      <c r="C42" s="24" t="inlineStr">
        <is>
          <t>Total</t>
        </is>
      </c>
      <c r="D42" s="24" t="inlineStr">
        <is>
          <t>TRUE</t>
        </is>
      </c>
      <c r="E42" s="24" t="inlineStr">
        <is>
          <t>FALSE</t>
        </is>
      </c>
      <c r="F42" s="24" t="n"/>
      <c r="G42" s="24" t="inlineStr">
        <is>
          <t>Extremely Uncharacteristic = 1 | Moderately Uncharacteristic = 2 | Neutral = 3 | Moderately Characteristic = 4 | Extremely Characteristic = 5</t>
        </is>
      </c>
    </row>
    <row r="43">
      <c r="A43" s="24" t="n">
        <v>12</v>
      </c>
      <c r="B43" s="24" t="inlineStr">
        <is>
          <t>In preparing for some deadline, I often waste time by doing other things.</t>
        </is>
      </c>
      <c r="C43" s="24" t="inlineStr">
        <is>
          <t>Total</t>
        </is>
      </c>
      <c r="D43" s="24" t="inlineStr">
        <is>
          <t>FALSE</t>
        </is>
      </c>
      <c r="E43" s="24" t="inlineStr">
        <is>
          <t>FALSE</t>
        </is>
      </c>
      <c r="F43" s="24" t="n"/>
      <c r="G43" s="24" t="inlineStr">
        <is>
          <t>Extremely Uncharacteristic = 1 | Moderately Uncharacteristic = 2 | Neutral = 3 | Moderately Characteristic = 4 | Extremely Characteristic = 5</t>
        </is>
      </c>
    </row>
    <row r="44">
      <c r="A44" s="24" t="n">
        <v>13</v>
      </c>
      <c r="B44" s="24" t="inlineStr">
        <is>
          <t>If a bill for a small amount comes, I pay it right away.</t>
        </is>
      </c>
      <c r="C44" s="24" t="inlineStr">
        <is>
          <t>Total</t>
        </is>
      </c>
      <c r="D44" s="24" t="inlineStr">
        <is>
          <t>TRUE</t>
        </is>
      </c>
      <c r="E44" s="24" t="inlineStr">
        <is>
          <t>FALSE</t>
        </is>
      </c>
      <c r="F44" s="24" t="inlineStr">
        <is>
          <t>Asterisked in source (differs between student and non-student forms).</t>
        </is>
      </c>
      <c r="G44" s="24" t="inlineStr">
        <is>
          <t>Extremely Uncharacteristic = 1 | Moderately Uncharacteristic = 2 | Neutral = 3 | Moderately Characteristic = 4 | Extremely Characteristic = 5</t>
        </is>
      </c>
    </row>
    <row r="45">
      <c r="A45" s="24" t="n">
        <v>14</v>
      </c>
      <c r="B45" s="24" t="inlineStr">
        <is>
          <t>I usually return an RVSP request very shortly after receiving the invitation.</t>
        </is>
      </c>
      <c r="C45" s="24" t="inlineStr">
        <is>
          <t>Total</t>
        </is>
      </c>
      <c r="D45" s="24" t="inlineStr">
        <is>
          <t>TRUE</t>
        </is>
      </c>
      <c r="E45" s="24" t="inlineStr">
        <is>
          <t>FALSE</t>
        </is>
      </c>
      <c r="F45" s="24" t="inlineStr">
        <is>
          <t>Asterisked in source (differs between student and non-student forms). Source spells "RVSP" as printed.</t>
        </is>
      </c>
      <c r="G45" s="24" t="inlineStr">
        <is>
          <t>Extremely Uncharacteristic = 1 | Moderately Uncharacteristic = 2 | Neutral = 3 | Moderately Characteristic = 4 | Extremely Characteristic = 5</t>
        </is>
      </c>
    </row>
    <row r="46">
      <c r="A46" s="24" t="n">
        <v>15</v>
      </c>
      <c r="B46" s="24" t="inlineStr">
        <is>
          <t>I often have a task finished sooner than necessary.</t>
        </is>
      </c>
      <c r="C46" s="24" t="inlineStr">
        <is>
          <t>Total</t>
        </is>
      </c>
      <c r="D46" s="24" t="inlineStr">
        <is>
          <t>TRUE</t>
        </is>
      </c>
      <c r="E46" s="24" t="inlineStr">
        <is>
          <t>FALSE</t>
        </is>
      </c>
      <c r="F46" s="24" t="n"/>
      <c r="G46" s="24" t="inlineStr">
        <is>
          <t>Extremely Uncharacteristic = 1 | Moderately Uncharacteristic = 2 | Neutral = 3 | Moderately Characteristic = 4 | Extremely Characteristic = 5</t>
        </is>
      </c>
    </row>
    <row r="47">
      <c r="A47" s="24" t="n">
        <v>16</v>
      </c>
      <c r="B47" s="24" t="inlineStr">
        <is>
          <t>I always seem to end up shopping for birthday or Christmas gifts at the last minute.</t>
        </is>
      </c>
      <c r="C47" s="24" t="inlineStr">
        <is>
          <t>Total</t>
        </is>
      </c>
      <c r="D47" s="24" t="inlineStr">
        <is>
          <t>FALSE</t>
        </is>
      </c>
      <c r="E47" s="24" t="inlineStr">
        <is>
          <t>FALSE</t>
        </is>
      </c>
      <c r="F47" s="24" t="n"/>
      <c r="G47" s="24" t="inlineStr">
        <is>
          <t>Extremely Uncharacteristic = 1 | Moderately Uncharacteristic = 2 | Neutral = 3 | Moderately Characteristic = 4 | Extremely Characteristic = 5</t>
        </is>
      </c>
    </row>
    <row r="48">
      <c r="A48" s="24" t="n">
        <v>17</v>
      </c>
      <c r="B48" s="24" t="inlineStr">
        <is>
          <t>I usually buy even an essential item at the last minute.</t>
        </is>
      </c>
      <c r="C48" s="24" t="inlineStr">
        <is>
          <t>Total</t>
        </is>
      </c>
      <c r="D48" s="24" t="inlineStr">
        <is>
          <t>FALSE</t>
        </is>
      </c>
      <c r="E48" s="24" t="inlineStr">
        <is>
          <t>FALSE</t>
        </is>
      </c>
      <c r="F48" s="24" t="n"/>
      <c r="G48" s="24" t="inlineStr">
        <is>
          <t>Extremely Uncharacteristic = 1 | Moderately Uncharacteristic = 2 | Neutral = 3 | Moderately Characteristic = 4 | Extremely Characteristic = 5</t>
        </is>
      </c>
    </row>
    <row r="49">
      <c r="A49" s="24" t="n">
        <v>18</v>
      </c>
      <c r="B49" s="24" t="inlineStr">
        <is>
          <t>I usually accomplish all the things I plan to do in a day.</t>
        </is>
      </c>
      <c r="C49" s="24" t="inlineStr">
        <is>
          <t>Total</t>
        </is>
      </c>
      <c r="D49" s="24" t="inlineStr">
        <is>
          <t>TRUE</t>
        </is>
      </c>
      <c r="E49" s="24" t="inlineStr">
        <is>
          <t>FALSE</t>
        </is>
      </c>
      <c r="F49" s="24" t="n"/>
      <c r="G49" s="24" t="inlineStr">
        <is>
          <t>Extremely Uncharacteristic = 1 | Moderately Uncharacteristic = 2 | Neutral = 3 | Moderately Characteristic = 4 | Extremely Characteristic = 5</t>
        </is>
      </c>
    </row>
    <row r="50">
      <c r="A50" s="24" t="n">
        <v>19</v>
      </c>
      <c r="B50" s="24" t="inlineStr">
        <is>
          <t>I am continually saying "I'll do it tomorrow".</t>
        </is>
      </c>
      <c r="C50" s="24" t="inlineStr">
        <is>
          <t>Total</t>
        </is>
      </c>
      <c r="D50" s="24" t="inlineStr">
        <is>
          <t>FALSE</t>
        </is>
      </c>
      <c r="E50" s="24" t="inlineStr">
        <is>
          <t>FALSE</t>
        </is>
      </c>
      <c r="F50" s="24" t="inlineStr">
        <is>
          <t>Source PDF renders the quotation marks and apostrophe as encoding artefacts ("AI=ll do it tomorrow@"); the intended wording is as given here.</t>
        </is>
      </c>
      <c r="G50" s="24" t="inlineStr">
        <is>
          <t>Extremely Uncharacteristic = 1 | Moderately Uncharacteristic = 2 | Neutral = 3 | Moderately Characteristic = 4 | Extremely Characteristic = 5</t>
        </is>
      </c>
    </row>
    <row r="51">
      <c r="A51" s="24" t="n">
        <v>20</v>
      </c>
      <c r="B51" s="24" t="inlineStr">
        <is>
          <t>I usually take care of all the tasks I have to do before I settle down and relax for the evening.</t>
        </is>
      </c>
      <c r="C51" s="24" t="inlineStr">
        <is>
          <t>Total</t>
        </is>
      </c>
      <c r="D51" s="24" t="inlineStr">
        <is>
          <t>TRUE</t>
        </is>
      </c>
      <c r="E51" s="24" t="inlineStr">
        <is>
          <t>FALSE</t>
        </is>
      </c>
      <c r="F51" s="24" t="n"/>
      <c r="G51" s="24" t="inlineStr">
        <is>
          <t>Extremely Uncharacteristic = 1 | Moderately Uncharacteristic = 2 | Neutral = 3 | Moderately Characteristic = 4 | Extremely Characteristic = 5</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Hua Oranga</t>
        </is>
      </c>
    </row>
    <row r="3">
      <c r="A3" s="37" t="inlineStr">
        <is>
          <t>Instrument</t>
        </is>
      </c>
      <c r="B3" s="24" t="inlineStr">
        <is>
          <t>Hua Oranga</t>
        </is>
      </c>
      <c r="C3" s="24" t="n"/>
      <c r="D3" s="24" t="n"/>
      <c r="E3" s="24" t="n"/>
      <c r="F3" s="24" t="n"/>
      <c r="G3" s="24" t="n"/>
    </row>
    <row r="4">
      <c r="A4" s="37" t="inlineStr">
        <is>
          <t>Code</t>
        </is>
      </c>
      <c r="B4" s="24" t="inlineStr">
        <is>
          <t>HUA-ORANGA</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Māori wellbeing outcome across the 4 taha of Te Whare Tapa Whā (tinana, wairua, whānau, hinengaro), rated at the present point in time.</t>
        </is>
      </c>
      <c r="C7" s="24" t="n"/>
      <c r="D7" s="24" t="n"/>
      <c r="E7" s="24" t="n"/>
      <c r="F7" s="24" t="n"/>
      <c r="G7" s="24" t="n"/>
    </row>
    <row r="8">
      <c r="A8" s="37" t="inlineStr">
        <is>
          <t>Respondent</t>
        </is>
      </c>
      <c r="B8" s="24" t="inlineStr">
        <is>
          <t>Self report (tangata whaiora form); parallel whānau and practitioner forms</t>
        </is>
      </c>
      <c r="C8" s="24" t="n"/>
      <c r="D8" s="24" t="n"/>
      <c r="E8" s="24" t="n"/>
      <c r="F8" s="24" t="n"/>
      <c r="G8" s="24" t="n"/>
    </row>
    <row r="9">
      <c r="A9" s="37" t="inlineStr">
        <is>
          <t>Age range</t>
        </is>
      </c>
      <c r="B9" s="24" t="inlineStr">
        <is>
          <t>Adults and rangatahi</t>
        </is>
      </c>
      <c r="C9" s="24" t="n"/>
      <c r="D9" s="24" t="n"/>
      <c r="E9" s="24" t="n"/>
      <c r="F9" s="24" t="n"/>
      <c r="G9" s="24" t="n"/>
    </row>
    <row r="10">
      <c r="A10" s="37" t="inlineStr">
        <is>
          <t>Items in instrument</t>
        </is>
      </c>
      <c r="B10" s="24" t="n">
        <v>16</v>
      </c>
      <c r="C10" s="24" t="n"/>
      <c r="D10" s="24" t="n"/>
      <c r="E10" s="24" t="n"/>
      <c r="F10" s="24" t="n"/>
      <c r="G10" s="24" t="n"/>
    </row>
    <row r="11">
      <c r="A11" s="37" t="inlineStr">
        <is>
          <t>Items reproduced here</t>
        </is>
      </c>
      <c r="B11" s="24" t="n">
        <v>16</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t>
        </is>
      </c>
      <c r="C13" s="24" t="n"/>
      <c r="D13" s="24" t="n"/>
      <c r="E13" s="24" t="n"/>
      <c r="F13" s="24" t="n"/>
      <c r="G13" s="24" t="n"/>
    </row>
    <row r="14">
      <c r="A14" s="37" t="inlineStr">
        <is>
          <t>Coaching application</t>
        </is>
      </c>
      <c r="B14" s="24" t="inlineStr">
        <is>
          <t>The leading kaupapa Māori outcome measure; appropriate for Māori clients when used with cultural supervision and ideally after Te Rau Ora training.</t>
        </is>
      </c>
      <c r="C14" s="24" t="n"/>
      <c r="D14" s="24" t="n"/>
      <c r="E14" s="24" t="n"/>
      <c r="F14" s="24" t="n"/>
      <c r="G14" s="24" t="n"/>
    </row>
    <row r="15">
      <c r="A15" s="37" t="inlineStr">
        <is>
          <t>Purpose</t>
        </is>
      </c>
      <c r="B15" s="24" t="inlineStr">
        <is>
          <t>Māori wellbeing outcome across the 4 taha of Te Whare Tapa Whā (tinana, wairua, whānau, hinengaro), rated at the present point in time.</t>
        </is>
      </c>
      <c r="C15" s="24" t="n"/>
      <c r="D15" s="24" t="n"/>
      <c r="E15" s="24" t="n"/>
      <c r="F15" s="24" t="n"/>
      <c r="G15" s="24" t="n"/>
    </row>
    <row r="16">
      <c r="A16" s="37" t="inlineStr">
        <is>
          <t>Instructions / prompt</t>
        </is>
      </c>
      <c r="B16" s="24" t="inlineStr">
        <is>
          <t>These questions are about taha tinana or your physical health. At this point in time do you feel: [items]. These questions are about taha wairua or your spiritual health. At this point in time do you feel: [items]. These questions are about taha whānau or your family health. At this point in time do you feel: [items]. These questions are about taha hinengaro or your mental health. At this point in time do you feel: [items].</t>
        </is>
      </c>
      <c r="C16" s="24" t="n"/>
      <c r="D16" s="24" t="n"/>
      <c r="E16" s="24" t="n"/>
      <c r="F16" s="24" t="n"/>
      <c r="G16" s="24" t="n"/>
    </row>
    <row r="17">
      <c r="A17" s="37" t="inlineStr">
        <is>
          <t>Response options</t>
        </is>
      </c>
      <c r="B17" s="24" t="inlineStr">
        <is>
          <t>Strongly disagree = 1 | 2 = 2 | 3 = 3 | 4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rated 1 (strongly disagree) to 5 (strongly agree). Sum the 4 items in each taha (4 to 20) and sum the 4 taha for a total (16 to 80). Higher scores indicate better wellbeing. Manual bands per taha: very low 4-8, low 9-12, high 13-16, very high 17-20; overall: very low 16-32, low 33-48, high 49-64, very high 65-80 (labelled very poor, poor, good, very good). Compare taha and total scores across administrations and plot each taha; re-administer at first and last session for brief interventions or every 6 to 12 weeks for longer work. Where whaiora, whānau and practitioner forms are all completed within a week, average the 3 respondents' taha and total scores (sum and divide by 3). The 1997 original scored responses from -2 to +2 (range -32 to +32); the manual replaced this with the 1 to 5 scale. Source: McLachlan (2022) Hua Oranga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Kingi, T. K. R., &amp; Durie, M. H. (2000). "Hua Oranga": A Māori measure of mental health outcome (Research Report TPH 00/01). Te Pūmanawa Hauora, School of Māori Studies, Massey University; McLachlan, A. (2022). Whāngaihia te hua o oranga ki ō tātou whānui: Ko te tikanga o te whakamahinga o Hua Oranga [Hua Oranga manual]. Te Rau Ora.</t>
        </is>
      </c>
      <c r="C25" s="24" t="n"/>
      <c r="D25" s="24" t="n"/>
      <c r="E25" s="24" t="n"/>
      <c r="F25" s="24" t="n"/>
      <c r="G25" s="24" t="n"/>
    </row>
    <row r="26">
      <c r="A26" s="37" t="inlineStr">
        <is>
          <t>Copyright and licensing</t>
        </is>
      </c>
      <c r="B26" s="24" t="inlineStr">
        <is>
          <t>Te Rau Ora: the outcome measure tool is "available and free to use." The Hua Oranga manual (McLachlan, 2022) is licensed under Creative Commons Attribution (CC BY) 4.0 International and may be reprinted and distributed in whole or in part for non-commercial use with attribution to Te Rau Ora; logos, emblems, trademarks and imagery are excluded. Source: https://terauora.com/hua-oranga/</t>
        </is>
      </c>
      <c r="C26" s="24" t="n"/>
      <c r="D26" s="24" t="n"/>
      <c r="E26" s="24" t="n"/>
      <c r="F26" s="24" t="n"/>
      <c r="G26" s="24" t="n"/>
    </row>
    <row r="27">
      <c r="A27" s="37" t="inlineStr">
        <is>
          <t>Source URL</t>
        </is>
      </c>
      <c r="B27" s="24" t="inlineStr">
        <is>
          <t>https://www.oradatabase.co.nz/files/appendix_1_tangata_whaiora_questionnaire.pdf</t>
        </is>
      </c>
      <c r="C27" s="24" t="n"/>
      <c r="D27" s="24" t="n"/>
      <c r="E27" s="24" t="n"/>
      <c r="F27" s="24" t="n"/>
      <c r="G27" s="24" t="n"/>
    </row>
    <row r="28">
      <c r="A28" s="37" t="inlineStr">
        <is>
          <t>Transcription note</t>
        </is>
      </c>
      <c r="B28" s="24" t="inlineStr">
        <is>
          <t>Items transcribed from the official Tangata Whaiora Questionnaire (Appendix 1, oradatabase.co.nz), in form order (tinana, wairua, whānau, hinengaro); the form prints no item numbers, so items are numbered 1 to 16 in codebook order. Punctuation follows the form: items 11, 12 and 16 end with a full stop, the others do not. The companion Outcome Measure reflection tool (Appendix 2) prints item 7 as "Content within myself" where Appendix 1 has "Content within yourself"; Appendix 1 wording is used. The form labels only the 2 scale endpoints (1 Strongly disagree, 5 Strongly agree); points 2 to 4 are unlabelled. The item text is given in English only on the form and in the manual; te reo Māori appears in the taha headings and in the manual's 16 factor labels, which are recorded in each item's note field. The HQSC sourceUrl document contains only a citation for Kingi and Durie (2000) and no items. The whānau and practitioner forms (Appendices 3 and 4) were not transcribed. The manual's suggested citation is reproduced as returned by the fetch; macron placement in the Māori title should be checked against the manual.</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Able to move about without pain or distress</t>
        </is>
      </c>
      <c r="C32" s="24" t="inlineStr">
        <is>
          <t>Taha Tinana</t>
        </is>
      </c>
      <c r="D32" s="24" t="inlineStr">
        <is>
          <t>FALSE</t>
        </is>
      </c>
      <c r="E32" s="24" t="inlineStr">
        <is>
          <t>FALSE</t>
        </is>
      </c>
      <c r="F32" s="24" t="inlineStr">
        <is>
          <t>Factor label from the manual (te reo Māori, English gloss): Herekore (Mobility and pain)</t>
        </is>
      </c>
      <c r="G32" s="24" t="inlineStr">
        <is>
          <t>Strongly disagree = 1 | 2 = 2 | 3 = 3 | 4 = 4 | Strongly agree = 5</t>
        </is>
      </c>
    </row>
    <row r="33">
      <c r="A33" s="24" t="n">
        <v>2</v>
      </c>
      <c r="B33" s="24" t="inlineStr">
        <is>
          <t>I have goals to maintain or improve my physical wellbeing</t>
        </is>
      </c>
      <c r="C33" s="24" t="inlineStr">
        <is>
          <t>Taha Tinana</t>
        </is>
      </c>
      <c r="D33" s="24" t="inlineStr">
        <is>
          <t>FALSE</t>
        </is>
      </c>
      <c r="E33" s="24" t="inlineStr">
        <is>
          <t>FALSE</t>
        </is>
      </c>
      <c r="F33" s="24" t="inlineStr">
        <is>
          <t>Factor label from the manual (te reo Māori, English gloss): Whakapiki Oranga (Opportunity for enhanced health)</t>
        </is>
      </c>
      <c r="G33" s="24" t="inlineStr">
        <is>
          <t>Strongly disagree = 1 | 2 = 2 | 3 = 3 | 4 = 4 | Strongly agree = 5</t>
        </is>
      </c>
    </row>
    <row r="34">
      <c r="A34" s="24" t="n">
        <v>3</v>
      </c>
      <c r="B34" s="24" t="inlineStr">
        <is>
          <t>I believe physical health improves my general wellbeing, including mental wellbeing</t>
        </is>
      </c>
      <c r="C34" s="24" t="inlineStr">
        <is>
          <t>Taha Tinana</t>
        </is>
      </c>
      <c r="D34" s="24" t="inlineStr">
        <is>
          <t>FALSE</t>
        </is>
      </c>
      <c r="E34" s="24" t="inlineStr">
        <is>
          <t>FALSE</t>
        </is>
      </c>
      <c r="F34" s="24" t="inlineStr">
        <is>
          <t>Factor label from the manual (te reo Māori, English gloss): Te whanaungatanga o te hinengaro ki te tinana (Mind and body links)</t>
        </is>
      </c>
      <c r="G34" s="24" t="inlineStr">
        <is>
          <t>Strongly disagree = 1 | 2 = 2 | 3 = 3 | 4 = 4 | Strongly agree = 5</t>
        </is>
      </c>
    </row>
    <row r="35">
      <c r="A35" s="24" t="n">
        <v>4</v>
      </c>
      <c r="B35" s="24" t="inlineStr">
        <is>
          <t>Physically healthy</t>
        </is>
      </c>
      <c r="C35" s="24" t="inlineStr">
        <is>
          <t>Taha Tinana</t>
        </is>
      </c>
      <c r="D35" s="24" t="inlineStr">
        <is>
          <t>FALSE</t>
        </is>
      </c>
      <c r="E35" s="24" t="inlineStr">
        <is>
          <t>FALSE</t>
        </is>
      </c>
      <c r="F35" s="24" t="inlineStr">
        <is>
          <t>Factor label from the manual (te reo Māori, English gloss): Hauora Tinana (Physical health status)</t>
        </is>
      </c>
      <c r="G35" s="24" t="inlineStr">
        <is>
          <t>Strongly disagree = 1 | 2 = 2 | 3 = 3 | 4 = 4 | Strongly agree = 5</t>
        </is>
      </c>
    </row>
    <row r="36">
      <c r="A36" s="24" t="n">
        <v>5</v>
      </c>
      <c r="B36" s="24" t="inlineStr">
        <is>
          <t>My mana is intact and acknowledged/respected</t>
        </is>
      </c>
      <c r="C36" s="24" t="inlineStr">
        <is>
          <t>Taha Wairua</t>
        </is>
      </c>
      <c r="D36" s="24" t="inlineStr">
        <is>
          <t>FALSE</t>
        </is>
      </c>
      <c r="E36" s="24" t="inlineStr">
        <is>
          <t>FALSE</t>
        </is>
      </c>
      <c r="F36" s="24" t="inlineStr">
        <is>
          <t>Factor label from the manual (te reo Māori, English gloss): Whakarangatira (Dignity and respect)</t>
        </is>
      </c>
      <c r="G36" s="24" t="inlineStr">
        <is>
          <t>Strongly disagree = 1 | 2 = 2 | 3 = 3 | 4 = 4 | Strongly agree = 5</t>
        </is>
      </c>
    </row>
    <row r="37">
      <c r="A37" s="24" t="n">
        <v>6</v>
      </c>
      <c r="B37" s="24" t="inlineStr">
        <is>
          <t>Strong in my cultural identity</t>
        </is>
      </c>
      <c r="C37" s="24" t="inlineStr">
        <is>
          <t>Taha Wairua</t>
        </is>
      </c>
      <c r="D37" s="24" t="inlineStr">
        <is>
          <t>FALSE</t>
        </is>
      </c>
      <c r="E37" s="24" t="inlineStr">
        <is>
          <t>FALSE</t>
        </is>
      </c>
      <c r="F37" s="24" t="inlineStr">
        <is>
          <t>Factor label from the manual (te reo Māori, English gloss): Tuakiri (Cultural identity)</t>
        </is>
      </c>
      <c r="G37" s="24" t="inlineStr">
        <is>
          <t>Strongly disagree = 1 | 2 = 2 | 3 = 3 | 4 = 4 | Strongly agree = 5</t>
        </is>
      </c>
    </row>
    <row r="38">
      <c r="A38" s="24" t="n">
        <v>7</v>
      </c>
      <c r="B38" s="24" t="inlineStr">
        <is>
          <t>Content within yourself</t>
        </is>
      </c>
      <c r="C38" s="24" t="inlineStr">
        <is>
          <t>Taha Wairua</t>
        </is>
      </c>
      <c r="D38" s="24" t="inlineStr">
        <is>
          <t>FALSE</t>
        </is>
      </c>
      <c r="E38" s="24" t="inlineStr">
        <is>
          <t>FALSE</t>
        </is>
      </c>
      <c r="F38" s="24" t="inlineStr">
        <is>
          <t>Factor label from the manual (te reo Māori, English gloss): Tino Rangatiratanga (Personal contentment). Appendix 2 reflection tool prints this item as "Content within myself".</t>
        </is>
      </c>
      <c r="G38" s="24" t="inlineStr">
        <is>
          <t>Strongly disagree = 1 | 2 = 2 | 3 = 3 | 4 = 4 | Strongly agree = 5</t>
        </is>
      </c>
    </row>
    <row r="39">
      <c r="A39" s="24" t="n">
        <v>8</v>
      </c>
      <c r="B39" s="24" t="inlineStr">
        <is>
          <t>Connected and healthy from a spiritual (Wairua and Mauri) perspective</t>
        </is>
      </c>
      <c r="C39" s="24" t="inlineStr">
        <is>
          <t>Taha Wairua</t>
        </is>
      </c>
      <c r="D39" s="24" t="inlineStr">
        <is>
          <t>FALSE</t>
        </is>
      </c>
      <c r="E39" s="24" t="inlineStr">
        <is>
          <t>FALSE</t>
        </is>
      </c>
      <c r="F39" s="24" t="inlineStr">
        <is>
          <t>Factor label from the manual (te reo Māori, English gloss): Mauri Ora (Spirituality)</t>
        </is>
      </c>
      <c r="G39" s="24" t="inlineStr">
        <is>
          <t>Strongly disagree = 1 | 2 = 2 | 3 = 3 | 4 = 4 | Strongly agree = 5</t>
        </is>
      </c>
    </row>
    <row r="40">
      <c r="A40" s="24" t="n">
        <v>9</v>
      </c>
      <c r="B40" s="24" t="inlineStr">
        <is>
          <t>Able to talk with my whānau and others</t>
        </is>
      </c>
      <c r="C40" s="24" t="inlineStr">
        <is>
          <t>Taha Whānau</t>
        </is>
      </c>
      <c r="D40" s="24" t="inlineStr">
        <is>
          <t>FALSE</t>
        </is>
      </c>
      <c r="E40" s="24" t="inlineStr">
        <is>
          <t>FALSE</t>
        </is>
      </c>
      <c r="F40" s="24" t="inlineStr">
        <is>
          <t>Factor label from the manual (te reo Māori, English gloss): Whakawhitiwhiti whakaaro (Communication)</t>
        </is>
      </c>
      <c r="G40" s="24" t="inlineStr">
        <is>
          <t>Strongly disagree = 1 | 2 = 2 | 3 = 3 | 4 = 4 | Strongly agree = 5</t>
        </is>
      </c>
    </row>
    <row r="41">
      <c r="A41" s="24" t="n">
        <v>10</v>
      </c>
      <c r="B41" s="24" t="inlineStr">
        <is>
          <t>My relationships with whānau and others are healthy</t>
        </is>
      </c>
      <c r="C41" s="24" t="inlineStr">
        <is>
          <t>Taha Whānau</t>
        </is>
      </c>
      <c r="D41" s="24" t="inlineStr">
        <is>
          <t>FALSE</t>
        </is>
      </c>
      <c r="E41" s="24" t="inlineStr">
        <is>
          <t>FALSE</t>
        </is>
      </c>
      <c r="F41" s="24" t="inlineStr">
        <is>
          <t>Factor label from the manual (te reo Māori, English gloss): Whanaungatanga (Relationships)</t>
        </is>
      </c>
      <c r="G41" s="24" t="inlineStr">
        <is>
          <t>Strongly disagree = 1 | 2 = 2 | 3 = 3 | 4 = 4 | Strongly agree = 5</t>
        </is>
      </c>
    </row>
    <row r="42">
      <c r="A42" s="24" t="n">
        <v>11</v>
      </c>
      <c r="B42" s="24" t="inlineStr">
        <is>
          <t>Clear about my roles within my whānau/family, and how to fulfil them.</t>
        </is>
      </c>
      <c r="C42" s="24" t="inlineStr">
        <is>
          <t>Taha Whānau</t>
        </is>
      </c>
      <c r="D42" s="24" t="inlineStr">
        <is>
          <t>FALSE</t>
        </is>
      </c>
      <c r="E42" s="24" t="inlineStr">
        <is>
          <t>FALSE</t>
        </is>
      </c>
      <c r="F42" s="24" t="inlineStr">
        <is>
          <t>Factor label from the manual (te reo Māori, English gloss): Tauawhiawhi (Mutuality)</t>
        </is>
      </c>
      <c r="G42" s="24" t="inlineStr">
        <is>
          <t>Strongly disagree = 1 | 2 = 2 | 3 = 3 | 4 = 4 | Strongly agree = 5</t>
        </is>
      </c>
    </row>
    <row r="43">
      <c r="A43" s="24" t="n">
        <v>12</v>
      </c>
      <c r="B43" s="24" t="inlineStr">
        <is>
          <t>Able to participate in community, or hapū and iwi activities.</t>
        </is>
      </c>
      <c r="C43" s="24" t="inlineStr">
        <is>
          <t>Taha Whānau</t>
        </is>
      </c>
      <c r="D43" s="24" t="inlineStr">
        <is>
          <t>FALSE</t>
        </is>
      </c>
      <c r="E43" s="24" t="inlineStr">
        <is>
          <t>FALSE</t>
        </is>
      </c>
      <c r="F43" s="24" t="inlineStr">
        <is>
          <t>Factor label from the manual (te reo Māori, English gloss): Tūhono-ā-hapori (Social participation)</t>
        </is>
      </c>
      <c r="G43" s="24" t="inlineStr">
        <is>
          <t>Strongly disagree = 1 | 2 = 2 | 3 = 3 | 4 = 4 | Strongly agree = 5</t>
        </is>
      </c>
    </row>
    <row r="44">
      <c r="A44" s="24" t="n">
        <v>13</v>
      </c>
      <c r="B44" s="24" t="inlineStr">
        <is>
          <t>I want to make changes in my life that contribute to my wellbeing</t>
        </is>
      </c>
      <c r="C44" s="24" t="inlineStr">
        <is>
          <t>Taha Hinengaro</t>
        </is>
      </c>
      <c r="D44" s="24" t="inlineStr">
        <is>
          <t>FALSE</t>
        </is>
      </c>
      <c r="E44" s="24" t="inlineStr">
        <is>
          <t>FALSE</t>
        </is>
      </c>
      <c r="F44" s="24" t="inlineStr">
        <is>
          <t>Factor label from the manual (te reo Māori, English gloss): Whakahihiko (Motivation)</t>
        </is>
      </c>
      <c r="G44" s="24" t="inlineStr">
        <is>
          <t>Strongly disagree = 1 | 2 = 2 | 3 = 3 | 4 = 4 | Strongly agree = 5</t>
        </is>
      </c>
    </row>
    <row r="45">
      <c r="A45" s="24" t="n">
        <v>14</v>
      </c>
      <c r="B45" s="24" t="inlineStr">
        <is>
          <t>Able to think, feel and act in a positive manner</t>
        </is>
      </c>
      <c r="C45" s="24" t="inlineStr">
        <is>
          <t>Taha Hinengaro</t>
        </is>
      </c>
      <c r="D45" s="24" t="inlineStr">
        <is>
          <t>FALSE</t>
        </is>
      </c>
      <c r="E45" s="24" t="inlineStr">
        <is>
          <t>FALSE</t>
        </is>
      </c>
      <c r="F45" s="24" t="inlineStr">
        <is>
          <t>Factor label from the manual (te reo Māori, English gloss): Whai Whakaaro, Whai Whanonga (Cognition and behaviour)</t>
        </is>
      </c>
      <c r="G45" s="24" t="inlineStr">
        <is>
          <t>Strongly disagree = 1 | 2 = 2 | 3 = 3 | 4 = 4 | Strongly agree = 5</t>
        </is>
      </c>
    </row>
    <row r="46">
      <c r="A46" s="24" t="n">
        <v>15</v>
      </c>
      <c r="B46" s="24" t="inlineStr">
        <is>
          <t>Able to manage unwelcome thoughts and feelings</t>
        </is>
      </c>
      <c r="C46" s="24" t="inlineStr">
        <is>
          <t>Taha Hinengaro</t>
        </is>
      </c>
      <c r="D46" s="24" t="inlineStr">
        <is>
          <t>FALSE</t>
        </is>
      </c>
      <c r="E46" s="24" t="inlineStr">
        <is>
          <t>FALSE</t>
        </is>
      </c>
      <c r="F46" s="24" t="inlineStr">
        <is>
          <t>Factor label from the manual (te reo Māori, English gloss): Aro ki ngā kare-ā-roto (Management of thoughts and feelings)</t>
        </is>
      </c>
      <c r="G46" s="24" t="inlineStr">
        <is>
          <t>Strongly disagree = 1 | 2 = 2 | 3 = 3 | 4 = 4 | Strongly agree = 5</t>
        </is>
      </c>
    </row>
    <row r="47">
      <c r="A47" s="24" t="n">
        <v>16</v>
      </c>
      <c r="B47" s="24" t="inlineStr">
        <is>
          <t>I understand what contributes to my concerns and how to address these.</t>
        </is>
      </c>
      <c r="C47" s="24" t="inlineStr">
        <is>
          <t>Taha Hinengaro</t>
        </is>
      </c>
      <c r="D47" s="24" t="inlineStr">
        <is>
          <t>FALSE</t>
        </is>
      </c>
      <c r="E47" s="24" t="inlineStr">
        <is>
          <t>FALSE</t>
        </is>
      </c>
      <c r="F47" s="24" t="inlineStr">
        <is>
          <t>Factor label from the manual (te reo Māori, English gloss): Kia Mōhio, Kia Mārama (Knowledge and understanding)</t>
        </is>
      </c>
      <c r="G47" s="24" t="inlineStr">
        <is>
          <t>Strongly disagree = 1 | 2 = 2 | 3 = 3 | 4 = 4 | Strongly agree = 5</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Job Diagnostic Survey (revised 15 item core job characteristics form)</t>
        </is>
      </c>
    </row>
    <row r="3">
      <c r="A3" s="37" t="inlineStr">
        <is>
          <t>Instrument</t>
        </is>
      </c>
      <c r="B3" s="24" t="inlineStr">
        <is>
          <t>Job Diagnostic Survey (revised 15 item core job characteristics form)</t>
        </is>
      </c>
      <c r="C3" s="24" t="n"/>
      <c r="D3" s="24" t="n"/>
      <c r="E3" s="24" t="n"/>
      <c r="F3" s="24" t="n"/>
      <c r="G3" s="24" t="n"/>
    </row>
    <row r="4">
      <c r="A4" s="37" t="inlineStr">
        <is>
          <t>Code</t>
        </is>
      </c>
      <c r="B4" s="24" t="inlineStr">
        <is>
          <t>JDS</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Core job characteristics from the Job Characteristics Model: skill variety, task identity, task significance, autonomy and feedback from the job.</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Working adults</t>
        </is>
      </c>
      <c r="C9" s="24" t="n"/>
      <c r="D9" s="24" t="n"/>
      <c r="E9" s="24" t="n"/>
      <c r="F9" s="24" t="n"/>
      <c r="G9" s="24" t="n"/>
    </row>
    <row r="10">
      <c r="A10" s="37" t="inlineStr">
        <is>
          <t>Items in instrument</t>
        </is>
      </c>
      <c r="B10" s="24" t="n">
        <v>15</v>
      </c>
      <c r="C10" s="24" t="n"/>
      <c r="D10" s="24" t="n"/>
      <c r="E10" s="24" t="n"/>
      <c r="F10" s="24" t="n"/>
      <c r="G10" s="24" t="n"/>
    </row>
    <row r="11">
      <c r="A11" s="37" t="inlineStr">
        <is>
          <t>Items reproduced here</t>
        </is>
      </c>
      <c r="B11" s="24" t="n">
        <v>15</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Developed under US Office of Naval Research funding; DTIC technical report AD0779828 is marked "Approved For Public Release; Distribution Is Unlimited."</t>
        </is>
      </c>
      <c r="C13" s="24" t="n"/>
      <c r="D13" s="24" t="n"/>
      <c r="E13" s="24" t="n"/>
      <c r="F13" s="24" t="n"/>
      <c r="G13" s="24" t="n"/>
    </row>
    <row r="14">
      <c r="A14" s="37" t="inlineStr">
        <is>
          <t>Coaching application</t>
        </is>
      </c>
      <c r="B14" s="24" t="inlineStr">
        <is>
          <t>Classic, freely reproducible diagnostic of how motivating a role is; dated wording but still useful for role shaping conversations.</t>
        </is>
      </c>
      <c r="C14" s="24" t="n"/>
      <c r="D14" s="24" t="n"/>
      <c r="E14" s="24" t="n"/>
      <c r="F14" s="24" t="n"/>
      <c r="G14" s="24" t="n"/>
    </row>
    <row r="15">
      <c r="A15" s="37" t="inlineStr">
        <is>
          <t>Purpose</t>
        </is>
      </c>
      <c r="B15" s="24" t="inlineStr">
        <is>
          <t>Core job characteristics from the Job Characteristics Model: skill variety, task identity, task significance, autonomy and feedback from the job.</t>
        </is>
      </c>
      <c r="C15" s="24" t="n"/>
      <c r="D15" s="24" t="n"/>
      <c r="E15" s="24" t="n"/>
      <c r="F15" s="24" t="n"/>
      <c r="G15" s="24" t="n"/>
    </row>
    <row r="16">
      <c r="A16" s="37" t="inlineStr">
        <is>
          <t>Instructions / prompt</t>
        </is>
      </c>
      <c r="B16" s="24" t="inlineStr">
        <is>
          <t>Section One: This part of the questionnaire asks you to describe your job, as objectively as you can. Please do not use this part of the questionnaire to show how much you like or dislike your job. Section Two: Listed below are a number of statements which could be used to describe a job. You are to indicate whether each statement is an accurate or an inaccurate description of your job. How accurate is the statement in describing your job?</t>
        </is>
      </c>
      <c r="C16" s="24" t="n"/>
      <c r="D16" s="24" t="n"/>
      <c r="E16" s="24" t="n"/>
      <c r="F16" s="24" t="n"/>
      <c r="G16" s="24" t="n"/>
    </row>
    <row r="17">
      <c r="A17" s="37" t="inlineStr">
        <is>
          <t>Response options</t>
        </is>
      </c>
      <c r="B17" s="24" t="inlineStr">
        <is>
          <t>Very Inaccurate = 1 | Mostly Inaccurate = 2 | Slightly Inaccurate = 3 | Uncertain = 4 | Slightly Accurate = 5 | Mostly Accurate = 6 | Very Accurate = 7</t>
        </is>
      </c>
      <c r="C17" s="24" t="n"/>
      <c r="D17" s="24" t="n"/>
      <c r="E17" s="24" t="n"/>
      <c r="F17" s="24" t="n"/>
      <c r="G17" s="24" t="n"/>
    </row>
    <row r="18">
      <c r="A18" s="37" t="inlineStr">
        <is>
          <t>Reverse-scored items</t>
        </is>
      </c>
      <c r="B18" s="24" t="inlineStr">
        <is>
          <t>7, 9, 11, 13, 15</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core dimension score is the mean of its 3 items on the 1 to 7 scale. For reverse scored Section Two items (original form) subtract the rating from 8. Higher scores indicate more of the characteristic. Motivating Potential Score (MPS) = ((skill variety + task identity + task significance) / 3) x autonomy x feedback from the job, range 1 to 343. Hackman and Oldham (1974) advise against using the JDS for selection or placement or for diagnosing a single individual's job;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Hackman, J. R., &amp; Oldham, G. R. (1975). Development of the Job Diagnostic Survey. Journal of Applied Psychology, 60(2), 159-170. https://doi.org/10.1037/h0076546; Idaszak, J. R., &amp; Drasgow, F. (1987). A revision of the Job Diagnostic Survey: Elimination of a measurement artifact. Journal of Applied Psychology, 72(1), 69-74. https://doi.org/10.1037/0021-9010.72.1.69</t>
        </is>
      </c>
      <c r="C25" s="24" t="n"/>
      <c r="D25" s="24" t="n"/>
      <c r="E25" s="24" t="n"/>
      <c r="F25" s="24" t="n"/>
      <c r="G25" s="24" t="n"/>
    </row>
    <row r="26">
      <c r="A26" s="37" t="inlineStr">
        <is>
          <t>Copyright and licensing</t>
        </is>
      </c>
      <c r="B26" s="24" t="inlineStr">
        <is>
          <t>Developed under US Office of Naval Research funding; DTIC technical report AD0779828 is marked "Approved For Public Release; Distribution Is Unlimited." Source: https://apps.dtic.mil/sti/html/tr/AD0779828/index.html</t>
        </is>
      </c>
      <c r="C26" s="24" t="n"/>
      <c r="D26" s="24" t="n"/>
      <c r="E26" s="24" t="n"/>
      <c r="F26" s="24" t="n"/>
      <c r="G26" s="24" t="n"/>
    </row>
    <row r="27">
      <c r="A27" s="37" t="inlineStr">
        <is>
          <t>Source URL</t>
        </is>
      </c>
      <c r="B27" s="24" t="inlineStr">
        <is>
          <t>https://paulspector.com/assessment-files/other/jds-report.pdf</t>
        </is>
      </c>
      <c r="C27" s="24" t="n"/>
      <c r="D27" s="24" t="n"/>
      <c r="E27" s="24" t="n"/>
      <c r="F27" s="24" t="n"/>
      <c r="G27" s="24" t="n"/>
    </row>
    <row r="28">
      <c r="A28" s="37" t="inlineStr">
        <is>
          <t>Transcription note</t>
        </is>
      </c>
      <c r="B28" s="24" t="inlineStr">
        <is>
          <t>The 15 core job characteristics items (Section One questions 2, 3, 4, 5 and 7 and the 10 Section Two statements for the 5 core dimensions) were transcribed from the public domain 1974 technical report (Yale Technical Report No. 4, Appendix A) via the copy hosted at paulspector.com; the DTIC copy of the same report is itemsUrl. The fetch returned the Section One question stems and anchors and the Section Two statements in full; the source is an OCR scan, so quotation marks around 'whole' and 'feedback' were inconsistent in the returned text and are normalised to double quotation marks here, and the absence of a comma before 'aside' in item 5 follows the returned text. The Idaszak and Drasgow (1987) revision rewrote the 5 negatively worded Section Two statements (items 7, 9, 11, 13 and 15 here) in positive form; that revised wording could not be retrieved from any reachable open access source (the paulspector.com DOCX of the revised 15 item measure is binary and unreadable through WebFetch, the Journal of Applied Psychology article is paywalled, and the Buys, Olckers and Schaap 2007 article reports item numbers only). The original 1974 wording with reverse scoring is therefore recorded, which yields the same 5 scale structure as the revised form. Items here are numbered 1 to 15 in codebook order; the source numbering is given in each note. Section One items use a 7 point scale with descriptive anchors at 1, 4 and 7 (in each note); Section Two items use the 7 point accuracy scale in responseOptions. Section Two items 2, 6, 7 and 10 (dealing with others, feedback from agents) are not core dimensions and are omitted. Source wording uses US spelling and double hyphens retained where present; Section One anchors use single quotation marks as rendered by the fetch. Second pass: DTIC release line quoted exactly.</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much variety is there in your job? That is, to what extent does the job require you to do many different things at work, using a variety of your skills and talents?</t>
        </is>
      </c>
      <c r="C32" s="24" t="inlineStr">
        <is>
          <t>Skill variety</t>
        </is>
      </c>
      <c r="D32" s="24" t="inlineStr">
        <is>
          <t>FALSE</t>
        </is>
      </c>
      <c r="E32" s="24" t="inlineStr">
        <is>
          <t>FALSE</t>
        </is>
      </c>
      <c r="F32" s="24" t="inlineStr">
        <is>
          <t>Section One, question 4. 7 point scale with anchors: 1 "Very little; the job requires me to do the same routine things over and over again." 4 "Moderate variety." 7 "Very much; the job requires me to do many different things, using a number of different skills and talents."</t>
        </is>
      </c>
      <c r="G32" s="24" t="inlineStr">
        <is>
          <t>Very Inaccurate = 1 | Mostly Inaccurate = 2 | Slightly Inaccurate = 3 | Uncertain = 4 | Slightly Accurate = 5 | Mostly Accurate = 6 | Very Accurate = 7</t>
        </is>
      </c>
    </row>
    <row r="33">
      <c r="A33" s="24" t="n">
        <v>2</v>
      </c>
      <c r="B33" s="24" t="inlineStr">
        <is>
          <t>To what extent does your job involve doing a "whole" and identifiable piece of work? That is, is the job a complete piece of work that has an obvious beginning and end? Or is it only a small part of the overall piece of work, which is finished by other people or by automatic machines?</t>
        </is>
      </c>
      <c r="C33" s="24" t="inlineStr">
        <is>
          <t>Task identity</t>
        </is>
      </c>
      <c r="D33" s="24" t="inlineStr">
        <is>
          <t>FALSE</t>
        </is>
      </c>
      <c r="E33" s="24" t="inlineStr">
        <is>
          <t>FALSE</t>
        </is>
      </c>
      <c r="F33" s="24" t="inlineStr">
        <is>
          <t>Section One, question 3. Anchors: 1 "My job is only a tiny part of the overall piece of work; the results of my activities cannot be seen in the final product or service." 4 "My job is a moderate-sized 'chunk' of the overall piece of work; my own contribution can be seen in the final outcome." 7 "My job involves doing the whole piece of work, from start to finish; the results of my activities are easily seen in the final product or service."</t>
        </is>
      </c>
      <c r="G33" s="24" t="inlineStr">
        <is>
          <t>Very Inaccurate = 1 | Mostly Inaccurate = 2 | Slightly Inaccurate = 3 | Uncertain = 4 | Slightly Accurate = 5 | Mostly Accurate = 6 | Very Accurate = 7</t>
        </is>
      </c>
    </row>
    <row r="34">
      <c r="A34" s="24" t="n">
        <v>3</v>
      </c>
      <c r="B34" s="24" t="inlineStr">
        <is>
          <t>In general, how significant or important is your job? That is, are the results of your work likely to significantly affect the lives or well-being of other people?</t>
        </is>
      </c>
      <c r="C34" s="24" t="inlineStr">
        <is>
          <t>Task significance</t>
        </is>
      </c>
      <c r="D34" s="24" t="inlineStr">
        <is>
          <t>FALSE</t>
        </is>
      </c>
      <c r="E34" s="24" t="inlineStr">
        <is>
          <t>FALSE</t>
        </is>
      </c>
      <c r="F34" s="24" t="inlineStr">
        <is>
          <t>Section One, question 5. Anchors: 1 "Not very significant; the outcomes of my work are not likely to have important effects on other people." 4 "Moderately significant." 7 "Highly significant; the outcomes of my work can affect other people in very important ways."</t>
        </is>
      </c>
      <c r="G34" s="24" t="inlineStr">
        <is>
          <t>Very Inaccurate = 1 | Mostly Inaccurate = 2 | Slightly Inaccurate = 3 | Uncertain = 4 | Slightly Accurate = 5 | Mostly Accurate = 6 | Very Accurate = 7</t>
        </is>
      </c>
    </row>
    <row r="35">
      <c r="A35" s="24" t="n">
        <v>4</v>
      </c>
      <c r="B35" s="24" t="inlineStr">
        <is>
          <t>How much autonomy is there in your job? That is, to what extent does your job permit you to decide on your own how to go about doing the work?</t>
        </is>
      </c>
      <c r="C35" s="24" t="inlineStr">
        <is>
          <t>Autonomy</t>
        </is>
      </c>
      <c r="D35" s="24" t="inlineStr">
        <is>
          <t>FALSE</t>
        </is>
      </c>
      <c r="E35" s="24" t="inlineStr">
        <is>
          <t>FALSE</t>
        </is>
      </c>
      <c r="F35" s="24" t="inlineStr">
        <is>
          <t>Section One, question 2. Anchors: 1 "Very little; the job gives me almost no personal 'say' about how and when the work is done." 4 "Moderate autonomy; many things are standardized and not under my control, but I can make some decisions about the work." 7 "Very much; the job gives me almost complete responsibility for deciding how and when the work is done."</t>
        </is>
      </c>
      <c r="G35" s="24" t="inlineStr">
        <is>
          <t>Very Inaccurate = 1 | Mostly Inaccurate = 2 | Slightly Inaccurate = 3 | Uncertain = 4 | Slightly Accurate = 5 | Mostly Accurate = 6 | Very Accurate = 7</t>
        </is>
      </c>
    </row>
    <row r="36">
      <c r="A36" s="24" t="n">
        <v>5</v>
      </c>
      <c r="B36" s="24" t="inlineStr">
        <is>
          <t>To what extent does doing the job itself provide you with information about your work performance? That is, does the actual work itself provide clues about how well you are doing aside from any "feedback" co-workers or supervisors may provide?</t>
        </is>
      </c>
      <c r="C36" s="24" t="inlineStr">
        <is>
          <t>Feedback from the job</t>
        </is>
      </c>
      <c r="D36" s="24" t="inlineStr">
        <is>
          <t>FALSE</t>
        </is>
      </c>
      <c r="E36" s="24" t="inlineStr">
        <is>
          <t>FALSE</t>
        </is>
      </c>
      <c r="F36" s="24" t="inlineStr">
        <is>
          <t>Section One, question 7. Anchors: 1 "Very little; the job itself is set up so I could work forever without finding out how well I am doing." 4 "Moderately; sometimes doing the job provides 'feedback' to me; sometimes it does not." 7 "Very much; the job is set up so I get almost constant 'feedback' as I work about how well I am doing."</t>
        </is>
      </c>
      <c r="G36" s="24" t="inlineStr">
        <is>
          <t>Very Inaccurate = 1 | Mostly Inaccurate = 2 | Slightly Inaccurate = 3 | Uncertain = 4 | Slightly Accurate = 5 | Mostly Accurate = 6 | Very Accurate = 7</t>
        </is>
      </c>
    </row>
    <row r="37">
      <c r="A37" s="24" t="n">
        <v>6</v>
      </c>
      <c r="B37" s="24" t="inlineStr">
        <is>
          <t>The job requires me to use a number of complex or high-level skills.</t>
        </is>
      </c>
      <c r="C37" s="24" t="inlineStr">
        <is>
          <t>Skill variety</t>
        </is>
      </c>
      <c r="D37" s="24" t="inlineStr">
        <is>
          <t>FALSE</t>
        </is>
      </c>
      <c r="E37" s="24" t="inlineStr">
        <is>
          <t>FALSE</t>
        </is>
      </c>
      <c r="F37" s="24" t="inlineStr">
        <is>
          <t>Section Two, statement 1.</t>
        </is>
      </c>
      <c r="G37" s="24" t="inlineStr">
        <is>
          <t>Very Inaccurate = 1 | Mostly Inaccurate = 2 | Slightly Inaccurate = 3 | Uncertain = 4 | Slightly Accurate = 5 | Mostly Accurate = 6 | Very Accurate = 7</t>
        </is>
      </c>
    </row>
    <row r="38">
      <c r="A38" s="24" t="n">
        <v>7</v>
      </c>
      <c r="B38" s="24" t="inlineStr">
        <is>
          <t>The job is quite simple and repetitive.</t>
        </is>
      </c>
      <c r="C38" s="24" t="inlineStr">
        <is>
          <t>Skill variety</t>
        </is>
      </c>
      <c r="D38" s="24" t="inlineStr">
        <is>
          <t>TRUE</t>
        </is>
      </c>
      <c r="E38" s="24" t="inlineStr">
        <is>
          <t>FALSE</t>
        </is>
      </c>
      <c r="F38" s="24" t="inlineStr">
        <is>
          <t>Section Two, statement 5. Original 1974 wording; Idaszak and Drasgow (1987) replaced this with a positively worded statement that could not be retrieved.</t>
        </is>
      </c>
      <c r="G38" s="24" t="inlineStr">
        <is>
          <t>Very Inaccurate = 1 | Mostly Inaccurate = 2 | Slightly Inaccurate = 3 | Uncertain = 4 | Slightly Accurate = 5 | Mostly Accurate = 6 | Very Accurate = 7</t>
        </is>
      </c>
    </row>
    <row r="39">
      <c r="A39" s="24" t="n">
        <v>8</v>
      </c>
      <c r="B39" s="24" t="inlineStr">
        <is>
          <t>The job provides me the chance to completely finish the pieces of work I begin.</t>
        </is>
      </c>
      <c r="C39" s="24" t="inlineStr">
        <is>
          <t>Task identity</t>
        </is>
      </c>
      <c r="D39" s="24" t="inlineStr">
        <is>
          <t>FALSE</t>
        </is>
      </c>
      <c r="E39" s="24" t="inlineStr">
        <is>
          <t>FALSE</t>
        </is>
      </c>
      <c r="F39" s="24" t="inlineStr">
        <is>
          <t>Section Two, statement 11.</t>
        </is>
      </c>
      <c r="G39" s="24" t="inlineStr">
        <is>
          <t>Very Inaccurate = 1 | Mostly Inaccurate = 2 | Slightly Inaccurate = 3 | Uncertain = 4 | Slightly Accurate = 5 | Mostly Accurate = 6 | Very Accurate = 7</t>
        </is>
      </c>
    </row>
    <row r="40">
      <c r="A40" s="24" t="n">
        <v>9</v>
      </c>
      <c r="B40" s="24" t="inlineStr">
        <is>
          <t>The job is arranged so that I do not have the chance to do an entire piece of work from beginning to end.</t>
        </is>
      </c>
      <c r="C40" s="24" t="inlineStr">
        <is>
          <t>Task identity</t>
        </is>
      </c>
      <c r="D40" s="24" t="inlineStr">
        <is>
          <t>TRUE</t>
        </is>
      </c>
      <c r="E40" s="24" t="inlineStr">
        <is>
          <t>FALSE</t>
        </is>
      </c>
      <c r="F40" s="24" t="inlineStr">
        <is>
          <t>Section Two, statement 3. Original 1974 wording; revised positively worded replacement not retrieved.</t>
        </is>
      </c>
      <c r="G40" s="24" t="inlineStr">
        <is>
          <t>Very Inaccurate = 1 | Mostly Inaccurate = 2 | Slightly Inaccurate = 3 | Uncertain = 4 | Slightly Accurate = 5 | Mostly Accurate = 6 | Very Accurate = 7</t>
        </is>
      </c>
    </row>
    <row r="41">
      <c r="A41" s="24" t="n">
        <v>10</v>
      </c>
      <c r="B41" s="24" t="inlineStr">
        <is>
          <t>This job is one where a lot of other people can be affected by how well the work gets done.</t>
        </is>
      </c>
      <c r="C41" s="24" t="inlineStr">
        <is>
          <t>Task significance</t>
        </is>
      </c>
      <c r="D41" s="24" t="inlineStr">
        <is>
          <t>FALSE</t>
        </is>
      </c>
      <c r="E41" s="24" t="inlineStr">
        <is>
          <t>FALSE</t>
        </is>
      </c>
      <c r="F41" s="24" t="inlineStr">
        <is>
          <t>Section Two, statement 8.</t>
        </is>
      </c>
      <c r="G41" s="24" t="inlineStr">
        <is>
          <t>Very Inaccurate = 1 | Mostly Inaccurate = 2 | Slightly Inaccurate = 3 | Uncertain = 4 | Slightly Accurate = 5 | Mostly Accurate = 6 | Very Accurate = 7</t>
        </is>
      </c>
    </row>
    <row r="42">
      <c r="A42" s="24" t="n">
        <v>11</v>
      </c>
      <c r="B42" s="24" t="inlineStr">
        <is>
          <t>The job itself is not very significant or important in the broader scheme of things.</t>
        </is>
      </c>
      <c r="C42" s="24" t="inlineStr">
        <is>
          <t>Task significance</t>
        </is>
      </c>
      <c r="D42" s="24" t="inlineStr">
        <is>
          <t>TRUE</t>
        </is>
      </c>
      <c r="E42" s="24" t="inlineStr">
        <is>
          <t>FALSE</t>
        </is>
      </c>
      <c r="F42" s="24" t="inlineStr">
        <is>
          <t>Section Two, statement 14. Original 1974 wording; revised positively worded replacement not retrieved.</t>
        </is>
      </c>
      <c r="G42" s="24" t="inlineStr">
        <is>
          <t>Very Inaccurate = 1 | Mostly Inaccurate = 2 | Slightly Inaccurate = 3 | Uncertain = 4 | Slightly Accurate = 5 | Mostly Accurate = 6 | Very Accurate = 7</t>
        </is>
      </c>
    </row>
    <row r="43">
      <c r="A43" s="24" t="n">
        <v>12</v>
      </c>
      <c r="B43" s="24" t="inlineStr">
        <is>
          <t>The job gives me considerable opportunity for independence and freedom in how I do the work.</t>
        </is>
      </c>
      <c r="C43" s="24" t="inlineStr">
        <is>
          <t>Autonomy</t>
        </is>
      </c>
      <c r="D43" s="24" t="inlineStr">
        <is>
          <t>FALSE</t>
        </is>
      </c>
      <c r="E43" s="24" t="inlineStr">
        <is>
          <t>FALSE</t>
        </is>
      </c>
      <c r="F43" s="24" t="inlineStr">
        <is>
          <t>Section Two, statement 13.</t>
        </is>
      </c>
      <c r="G43" s="24" t="inlineStr">
        <is>
          <t>Very Inaccurate = 1 | Mostly Inaccurate = 2 | Slightly Inaccurate = 3 | Uncertain = 4 | Slightly Accurate = 5 | Mostly Accurate = 6 | Very Accurate = 7</t>
        </is>
      </c>
    </row>
    <row r="44">
      <c r="A44" s="24" t="n">
        <v>13</v>
      </c>
      <c r="B44" s="24" t="inlineStr">
        <is>
          <t>The job denies me any chance to use my personal initiative or judgment in carrying out the work.</t>
        </is>
      </c>
      <c r="C44" s="24" t="inlineStr">
        <is>
          <t>Autonomy</t>
        </is>
      </c>
      <c r="D44" s="24" t="inlineStr">
        <is>
          <t>TRUE</t>
        </is>
      </c>
      <c r="E44" s="24" t="inlineStr">
        <is>
          <t>FALSE</t>
        </is>
      </c>
      <c r="F44" s="24" t="inlineStr">
        <is>
          <t>Section Two, statement 9. Original 1974 wording; revised positively worded replacement not retrieved.</t>
        </is>
      </c>
      <c r="G44" s="24" t="inlineStr">
        <is>
          <t>Very Inaccurate = 1 | Mostly Inaccurate = 2 | Slightly Inaccurate = 3 | Uncertain = 4 | Slightly Accurate = 5 | Mostly Accurate = 6 | Very Accurate = 7</t>
        </is>
      </c>
    </row>
    <row r="45">
      <c r="A45" s="24" t="n">
        <v>14</v>
      </c>
      <c r="B45" s="24" t="inlineStr">
        <is>
          <t>Just doing the work required by the job provides many chances for me to figure out how well I am doing.</t>
        </is>
      </c>
      <c r="C45" s="24" t="inlineStr">
        <is>
          <t>Feedback from the job</t>
        </is>
      </c>
      <c r="D45" s="24" t="inlineStr">
        <is>
          <t>FALSE</t>
        </is>
      </c>
      <c r="E45" s="24" t="inlineStr">
        <is>
          <t>FALSE</t>
        </is>
      </c>
      <c r="F45" s="24" t="inlineStr">
        <is>
          <t>Section Two, statement 4.</t>
        </is>
      </c>
      <c r="G45" s="24" t="inlineStr">
        <is>
          <t>Very Inaccurate = 1 | Mostly Inaccurate = 2 | Slightly Inaccurate = 3 | Uncertain = 4 | Slightly Accurate = 5 | Mostly Accurate = 6 | Very Accurate = 7</t>
        </is>
      </c>
    </row>
    <row r="46">
      <c r="A46" s="24" t="n">
        <v>15</v>
      </c>
      <c r="B46" s="24" t="inlineStr">
        <is>
          <t>The job itself provides very few clues about whether or not I am performing well.</t>
        </is>
      </c>
      <c r="C46" s="24" t="inlineStr">
        <is>
          <t>Feedback from the job</t>
        </is>
      </c>
      <c r="D46" s="24" t="inlineStr">
        <is>
          <t>TRUE</t>
        </is>
      </c>
      <c r="E46" s="24" t="inlineStr">
        <is>
          <t>FALSE</t>
        </is>
      </c>
      <c r="F46" s="24" t="inlineStr">
        <is>
          <t>Section Two, statement 12. Original 1974 wording; revised positively worded replacement not retrieved.</t>
        </is>
      </c>
      <c r="G46" s="24" t="inlineStr">
        <is>
          <t>Very Inaccurate = 1 | Mostly Inaccurate = 2 | Slightly Inaccurate = 3 | Uncertain = 4 | Slightly Accurate = 5 | Mostly Accurate = 6 | Very Accurate = 7</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Mind Excessively Wandering Scale</t>
        </is>
      </c>
    </row>
    <row r="3">
      <c r="A3" s="37" t="inlineStr">
        <is>
          <t>Instrument</t>
        </is>
      </c>
      <c r="B3" s="24" t="inlineStr">
        <is>
          <t>Mind Excessively Wandering Scale</t>
        </is>
      </c>
      <c r="C3" s="24" t="n"/>
      <c r="D3" s="24" t="n"/>
      <c r="E3" s="24" t="n"/>
      <c r="F3" s="24" t="n"/>
      <c r="G3" s="24" t="n"/>
    </row>
    <row r="4">
      <c r="A4" s="37" t="inlineStr">
        <is>
          <t>Code</t>
        </is>
      </c>
      <c r="B4" s="24" t="inlineStr">
        <is>
          <t>MEWS</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Excessive, uncontrolled and ceaseless mental activity characteristic of adult ADHD.</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15</v>
      </c>
      <c r="C10" s="24" t="n"/>
      <c r="D10" s="24" t="n"/>
      <c r="E10" s="24" t="n"/>
      <c r="F10" s="24" t="n"/>
      <c r="G10" s="24" t="n"/>
    </row>
    <row r="11">
      <c r="A11" s="37" t="inlineStr">
        <is>
          <t>Items reproduced here</t>
        </is>
      </c>
      <c r="B11" s="24" t="n">
        <v>15</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t>
        </is>
      </c>
      <c r="C13" s="24" t="n"/>
      <c r="D13" s="24" t="n"/>
      <c r="E13" s="24" t="n"/>
      <c r="F13" s="24" t="n"/>
      <c r="G13" s="24" t="n"/>
    </row>
    <row r="14">
      <c r="A14" s="37" t="inlineStr">
        <is>
          <t>Coaching application</t>
        </is>
      </c>
      <c r="B14" s="24" t="inlineStr">
        <is>
          <t>Captures the racing, unfocused thinking many ADHD clients describe; strong fit for ADHD coaching intake and outcome tracking.</t>
        </is>
      </c>
      <c r="C14" s="24" t="n"/>
      <c r="D14" s="24" t="n"/>
      <c r="E14" s="24" t="n"/>
      <c r="F14" s="24" t="n"/>
      <c r="G14" s="24" t="n"/>
    </row>
    <row r="15">
      <c r="A15" s="37" t="inlineStr">
        <is>
          <t>Purpose</t>
        </is>
      </c>
      <c r="B15" s="24" t="inlineStr">
        <is>
          <t>Excessive, uncontrolled and ceaseless mental activity characteristic of adult ADHD.</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not at all or rarely = 0 | some of the time = 1 | most of the time = 2 | nearly all of the time or constantly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item ratings (0 to 45 for 15 items, 0 to 36 for 12 items); higher scores indicate more excessive mind wandering. In Mowlem et al. (2016) a total score of 15 or above gave the best balance of sensitivity and specificity for distinguishing adults with ADHD from controls (about .88 in Study 1 and .90 in Study 2); with the 12 item version sensitivity was .89 and specificity .90. The 2019 population study (Mowlem, Agnew-Blais, Pingault and Asherson) reports no cut off.</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Mowlem, F. D., Skirrow, C., Reid, P., Maltezos, S., Nijjar, S. K., Merwood, A., Barker, E., Cooper, R., Kuntsi, J., &amp; Asherson, P. (2019). Validation of the Mind Excessively Wandering Scale and the relationship of mind wandering to impairment in adult ADHD. Journal of Attention Disorders, 23(6), 624–634. https://doi.org/10.1177/1087054716651927</t>
        </is>
      </c>
      <c r="C25" s="24" t="n"/>
      <c r="D25" s="24" t="n"/>
      <c r="E25" s="24" t="n"/>
      <c r="F25" s="24" t="n"/>
      <c r="G25" s="24" t="n"/>
    </row>
    <row r="26">
      <c r="A26" s="37" t="inlineStr">
        <is>
          <t>Copyright and licensing</t>
        </is>
      </c>
      <c r="B26" s="24" t="inlineStr">
        <is>
          <t>"The MEWS scale is copyrighted and available without charge from the corresponding author, and we welcome use of this scale in research." The 2019 population validation paper (Scientific Reports) is published under a Creative Commons Attribution 4.0 International License. Source: https://discovery-pp.ucl.ac.uk/id/eprint/1513566/1/Journal%20of%20Attention%20Disorders-2016-Mowlem-1087054716651927.pdf</t>
        </is>
      </c>
      <c r="C26" s="24" t="n"/>
      <c r="D26" s="24" t="n"/>
      <c r="E26" s="24" t="n"/>
      <c r="F26" s="24" t="n"/>
      <c r="G26" s="24" t="n"/>
    </row>
    <row r="27">
      <c r="A27" s="37" t="inlineStr">
        <is>
          <t>Source URL</t>
        </is>
      </c>
      <c r="B27" s="24" t="inlineStr">
        <is>
          <t>https://discovery-pp.ucl.ac.uk/id/eprint/1513566/1/Journal%20of%20Attention%20Disorders-2016-Mowlem-1087054716651927.pdf</t>
        </is>
      </c>
      <c r="C27" s="24" t="n"/>
      <c r="D27" s="24" t="n"/>
      <c r="E27" s="24" t="n"/>
      <c r="F27" s="24" t="n"/>
      <c r="G27" s="24" t="n"/>
    </row>
    <row r="28">
      <c r="A28" s="37" t="inlineStr">
        <is>
          <t>Transcription note</t>
        </is>
      </c>
      <c r="B28" s="24" t="inlineStr">
        <is>
          <t>Items transcribed from Figure 1 of the Journal of Attention Disorders author manuscript (UCL Discovery copy). The paper gives no written respondent instructions and no time frame, so instructions is left empty. The paper does not state the scoring formula explicitly; the cut off of 15 can only be a summed total, so sum scoring is recorded. Original UK spelling (disorganised) retained. The CC BY 2019 validation paper (sourceUrl in the target record) used the 12 item version and does not reproduce the items or response labels.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difficulty controlling my thoughts</t>
        </is>
      </c>
      <c r="C32" s="24" t="inlineStr">
        <is>
          <t>Total</t>
        </is>
      </c>
      <c r="D32" s="24" t="inlineStr">
        <is>
          <t>FALSE</t>
        </is>
      </c>
      <c r="E32" s="24" t="inlineStr">
        <is>
          <t>FALSE</t>
        </is>
      </c>
      <c r="F32" s="24" t="n"/>
      <c r="G32" s="24" t="inlineStr">
        <is>
          <t>not at all or rarely = 0 | some of the time = 1 | most of the time = 2 | nearly all of the time or constantly = 3</t>
        </is>
      </c>
    </row>
    <row r="33">
      <c r="A33" s="24" t="n">
        <v>2</v>
      </c>
      <c r="B33" s="24" t="inlineStr">
        <is>
          <t>I find it hard to switch my thoughts off</t>
        </is>
      </c>
      <c r="C33" s="24" t="inlineStr">
        <is>
          <t>Total</t>
        </is>
      </c>
      <c r="D33" s="24" t="inlineStr">
        <is>
          <t>FALSE</t>
        </is>
      </c>
      <c r="E33" s="24" t="inlineStr">
        <is>
          <t>FALSE</t>
        </is>
      </c>
      <c r="F33" s="24" t="n"/>
      <c r="G33" s="24" t="inlineStr">
        <is>
          <t>not at all or rarely = 0 | some of the time = 1 | most of the time = 2 | nearly all of the time or constantly = 3</t>
        </is>
      </c>
    </row>
    <row r="34">
      <c r="A34" s="24" t="n">
        <v>3</v>
      </c>
      <c r="B34" s="24" t="inlineStr">
        <is>
          <t>I have two or more different thoughts going on at the same time</t>
        </is>
      </c>
      <c r="C34" s="24" t="inlineStr">
        <is>
          <t>Total</t>
        </is>
      </c>
      <c r="D34" s="24" t="inlineStr">
        <is>
          <t>FALSE</t>
        </is>
      </c>
      <c r="E34" s="24" t="inlineStr">
        <is>
          <t>FALSE</t>
        </is>
      </c>
      <c r="F34" s="24" t="n"/>
      <c r="G34" s="24" t="inlineStr">
        <is>
          <t>not at all or rarely = 0 | some of the time = 1 | most of the time = 2 | nearly all of the time or constantly = 3</t>
        </is>
      </c>
    </row>
    <row r="35">
      <c r="A35" s="24" t="n">
        <v>4</v>
      </c>
      <c r="B35" s="24" t="inlineStr">
        <is>
          <t>My thoughts are disorganised and 'all over the place'</t>
        </is>
      </c>
      <c r="C35" s="24" t="inlineStr">
        <is>
          <t>Total</t>
        </is>
      </c>
      <c r="D35" s="24" t="inlineStr">
        <is>
          <t>FALSE</t>
        </is>
      </c>
      <c r="E35" s="24" t="inlineStr">
        <is>
          <t>FALSE</t>
        </is>
      </c>
      <c r="F35" s="24" t="n"/>
      <c r="G35" s="24" t="inlineStr">
        <is>
          <t>not at all or rarely = 0 | some of the time = 1 | most of the time = 2 | nearly all of the time or constantly = 3</t>
        </is>
      </c>
    </row>
    <row r="36">
      <c r="A36" s="24" t="n">
        <v>5</v>
      </c>
      <c r="B36" s="24" t="inlineStr">
        <is>
          <t>My thoughts are 'on the go' all the time</t>
        </is>
      </c>
      <c r="C36" s="24" t="inlineStr">
        <is>
          <t>Total</t>
        </is>
      </c>
      <c r="D36" s="24" t="inlineStr">
        <is>
          <t>FALSE</t>
        </is>
      </c>
      <c r="E36" s="24" t="inlineStr">
        <is>
          <t>FALSE</t>
        </is>
      </c>
      <c r="F36" s="24" t="n"/>
      <c r="G36" s="24" t="inlineStr">
        <is>
          <t>not at all or rarely = 0 | some of the time = 1 | most of the time = 2 | nearly all of the time or constantly = 3</t>
        </is>
      </c>
    </row>
    <row r="37">
      <c r="A37" s="24" t="n">
        <v>6</v>
      </c>
      <c r="B37" s="24" t="inlineStr">
        <is>
          <t>Because my mind is 'on the go' at bedtime, I have difficulty falling off to sleep</t>
        </is>
      </c>
      <c r="C37" s="24" t="inlineStr">
        <is>
          <t>Total</t>
        </is>
      </c>
      <c r="D37" s="24" t="inlineStr">
        <is>
          <t>FALSE</t>
        </is>
      </c>
      <c r="E37" s="24" t="inlineStr">
        <is>
          <t>FALSE</t>
        </is>
      </c>
      <c r="F37" s="24" t="inlineStr">
        <is>
          <t>Dropped in the recommended 12 item version</t>
        </is>
      </c>
      <c r="G37" s="24" t="inlineStr">
        <is>
          <t>not at all or rarely = 0 | some of the time = 1 | most of the time = 2 | nearly all of the time or constantly = 3</t>
        </is>
      </c>
    </row>
    <row r="38">
      <c r="A38" s="24" t="n">
        <v>7</v>
      </c>
      <c r="B38" s="24" t="inlineStr">
        <is>
          <t>I experience ceaseless mental activity</t>
        </is>
      </c>
      <c r="C38" s="24" t="inlineStr">
        <is>
          <t>Total</t>
        </is>
      </c>
      <c r="D38" s="24" t="inlineStr">
        <is>
          <t>FALSE</t>
        </is>
      </c>
      <c r="E38" s="24" t="inlineStr">
        <is>
          <t>FALSE</t>
        </is>
      </c>
      <c r="F38" s="24" t="n"/>
      <c r="G38" s="24" t="inlineStr">
        <is>
          <t>not at all or rarely = 0 | some of the time = 1 | most of the time = 2 | nearly all of the time or constantly = 3</t>
        </is>
      </c>
    </row>
    <row r="39">
      <c r="A39" s="24" t="n">
        <v>8</v>
      </c>
      <c r="B39" s="24" t="inlineStr">
        <is>
          <t>I find it difficult to think about one thing without another thought entering my mind</t>
        </is>
      </c>
      <c r="C39" s="24" t="inlineStr">
        <is>
          <t>Total</t>
        </is>
      </c>
      <c r="D39" s="24" t="inlineStr">
        <is>
          <t>FALSE</t>
        </is>
      </c>
      <c r="E39" s="24" t="inlineStr">
        <is>
          <t>FALSE</t>
        </is>
      </c>
      <c r="F39" s="24" t="n"/>
      <c r="G39" s="24" t="inlineStr">
        <is>
          <t>not at all or rarely = 0 | some of the time = 1 | most of the time = 2 | nearly all of the time or constantly = 3</t>
        </is>
      </c>
    </row>
    <row r="40">
      <c r="A40" s="24" t="n">
        <v>9</v>
      </c>
      <c r="B40" s="24" t="inlineStr">
        <is>
          <t>I find my thoughts are distracting and prevent me from focusing on what I am doing</t>
        </is>
      </c>
      <c r="C40" s="24" t="inlineStr">
        <is>
          <t>Total</t>
        </is>
      </c>
      <c r="D40" s="24" t="inlineStr">
        <is>
          <t>FALSE</t>
        </is>
      </c>
      <c r="E40" s="24" t="inlineStr">
        <is>
          <t>FALSE</t>
        </is>
      </c>
      <c r="F40" s="24" t="n"/>
      <c r="G40" s="24" t="inlineStr">
        <is>
          <t>not at all or rarely = 0 | some of the time = 1 | most of the time = 2 | nearly all of the time or constantly = 3</t>
        </is>
      </c>
    </row>
    <row r="41">
      <c r="A41" s="24" t="n">
        <v>10</v>
      </c>
      <c r="B41" s="24" t="inlineStr">
        <is>
          <t>I try to distract myself from my thoughts by doing something else or listening to music</t>
        </is>
      </c>
      <c r="C41" s="24" t="inlineStr">
        <is>
          <t>Total</t>
        </is>
      </c>
      <c r="D41" s="24" t="inlineStr">
        <is>
          <t>FALSE</t>
        </is>
      </c>
      <c r="E41" s="24" t="inlineStr">
        <is>
          <t>FALSE</t>
        </is>
      </c>
      <c r="F41" s="24" t="inlineStr">
        <is>
          <t>Dropped in the recommended 12 item version</t>
        </is>
      </c>
      <c r="G41" s="24" t="inlineStr">
        <is>
          <t>not at all or rarely = 0 | some of the time = 1 | most of the time = 2 | nearly all of the time or constantly = 3</t>
        </is>
      </c>
    </row>
    <row r="42">
      <c r="A42" s="24" t="n">
        <v>11</v>
      </c>
      <c r="B42" s="24" t="inlineStr">
        <is>
          <t>I have difficulty slowing my thoughts down and focusing on one thing at a time</t>
        </is>
      </c>
      <c r="C42" s="24" t="inlineStr">
        <is>
          <t>Total</t>
        </is>
      </c>
      <c r="D42" s="24" t="inlineStr">
        <is>
          <t>FALSE</t>
        </is>
      </c>
      <c r="E42" s="24" t="inlineStr">
        <is>
          <t>FALSE</t>
        </is>
      </c>
      <c r="F42" s="24" t="n"/>
      <c r="G42" s="24" t="inlineStr">
        <is>
          <t>not at all or rarely = 0 | some of the time = 1 | most of the time = 2 | nearly all of the time or constantly = 3</t>
        </is>
      </c>
    </row>
    <row r="43">
      <c r="A43" s="24" t="n">
        <v>12</v>
      </c>
      <c r="B43" s="24" t="inlineStr">
        <is>
          <t>I find it difficult to think clearly, as if my mind is in a fog</t>
        </is>
      </c>
      <c r="C43" s="24" t="inlineStr">
        <is>
          <t>Total</t>
        </is>
      </c>
      <c r="D43" s="24" t="inlineStr">
        <is>
          <t>FALSE</t>
        </is>
      </c>
      <c r="E43" s="24" t="inlineStr">
        <is>
          <t>FALSE</t>
        </is>
      </c>
      <c r="F43" s="24" t="n"/>
      <c r="G43" s="24" t="inlineStr">
        <is>
          <t>not at all or rarely = 0 | some of the time = 1 | most of the time = 2 | nearly all of the time or constantly = 3</t>
        </is>
      </c>
    </row>
    <row r="44">
      <c r="A44" s="24" t="n">
        <v>13</v>
      </c>
      <c r="B44" s="24" t="inlineStr">
        <is>
          <t>I find myself flitting back and forth between different thoughts</t>
        </is>
      </c>
      <c r="C44" s="24" t="inlineStr">
        <is>
          <t>Total</t>
        </is>
      </c>
      <c r="D44" s="24" t="inlineStr">
        <is>
          <t>FALSE</t>
        </is>
      </c>
      <c r="E44" s="24" t="inlineStr">
        <is>
          <t>FALSE</t>
        </is>
      </c>
      <c r="F44" s="24" t="n"/>
      <c r="G44" s="24" t="inlineStr">
        <is>
          <t>not at all or rarely = 0 | some of the time = 1 | most of the time = 2 | nearly all of the time or constantly = 3</t>
        </is>
      </c>
    </row>
    <row r="45">
      <c r="A45" s="24" t="n">
        <v>14</v>
      </c>
      <c r="B45" s="24" t="inlineStr">
        <is>
          <t>I use alcohol or other drugs to slow down my thoughts and stop constant 'mental chatter'</t>
        </is>
      </c>
      <c r="C45" s="24" t="inlineStr">
        <is>
          <t>Total</t>
        </is>
      </c>
      <c r="D45" s="24" t="inlineStr">
        <is>
          <t>FALSE</t>
        </is>
      </c>
      <c r="E45" s="24" t="inlineStr">
        <is>
          <t>FALSE</t>
        </is>
      </c>
      <c r="F45" s="24" t="inlineStr">
        <is>
          <t>Dropped in the recommended 12 item version</t>
        </is>
      </c>
      <c r="G45" s="24" t="inlineStr">
        <is>
          <t>not at all or rarely = 0 | some of the time = 1 | most of the time = 2 | nearly all of the time or constantly = 3</t>
        </is>
      </c>
    </row>
    <row r="46">
      <c r="A46" s="24" t="n">
        <v>15</v>
      </c>
      <c r="B46" s="24" t="inlineStr">
        <is>
          <t>I can only focus my thoughts on one thing at a time with considerable effort</t>
        </is>
      </c>
      <c r="C46" s="24" t="inlineStr">
        <is>
          <t>Total</t>
        </is>
      </c>
      <c r="D46" s="24" t="inlineStr">
        <is>
          <t>FALSE</t>
        </is>
      </c>
      <c r="E46" s="24" t="inlineStr">
        <is>
          <t>FALSE</t>
        </is>
      </c>
      <c r="F46" s="24" t="n"/>
      <c r="G46" s="24" t="inlineStr">
        <is>
          <t>not at all or rarely = 0 | some of the time = 1 | most of the time = 2 | nearly all of the time or constantly = 3</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Mini International Personality Item Pool</t>
        </is>
      </c>
    </row>
    <row r="3">
      <c r="A3" s="37" t="inlineStr">
        <is>
          <t>Instrument</t>
        </is>
      </c>
      <c r="B3" s="24" t="inlineStr">
        <is>
          <t>Mini International Personality Item Pool</t>
        </is>
      </c>
      <c r="C3" s="24" t="n"/>
      <c r="D3" s="24" t="n"/>
      <c r="E3" s="24" t="n"/>
      <c r="F3" s="24" t="n"/>
      <c r="G3" s="24" t="n"/>
    </row>
    <row r="4">
      <c r="A4" s="37" t="inlineStr">
        <is>
          <t>Code</t>
        </is>
      </c>
      <c r="B4" s="24" t="inlineStr">
        <is>
          <t>MINI-IPIP</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Big Five personality factors measured with 20 public domain IPIP items, 4 per factor.</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Because the IPIP has been placed in the public domain, permission has already been automatically granted for any person to use IPIP items, scales, and inventories for any purpose, commercial or non-commercial.</t>
        </is>
      </c>
      <c r="C13" s="24" t="n"/>
      <c r="D13" s="24" t="n"/>
      <c r="E13" s="24" t="n"/>
      <c r="F13" s="24" t="n"/>
      <c r="G13" s="24" t="n"/>
    </row>
    <row r="14">
      <c r="A14" s="37" t="inlineStr">
        <is>
          <t>Coaching application</t>
        </is>
      </c>
      <c r="B14" s="24" t="inlineStr">
        <is>
          <t>The only fully public domain Big Five option, so safest for a commercial coaching practice; coarse but adequate for conversation starters.</t>
        </is>
      </c>
      <c r="C14" s="24" t="n"/>
      <c r="D14" s="24" t="n"/>
      <c r="E14" s="24" t="n"/>
      <c r="F14" s="24" t="n"/>
      <c r="G14" s="24" t="n"/>
    </row>
    <row r="15">
      <c r="A15" s="37" t="inlineStr">
        <is>
          <t>Purpose</t>
        </is>
      </c>
      <c r="B15" s="24" t="inlineStr">
        <is>
          <t>Big Five personality factors measured with 20 public domain IPIP items, 4 per factor.</t>
        </is>
      </c>
      <c r="C15" s="24" t="n"/>
      <c r="D15" s="24" t="n"/>
      <c r="E15" s="24" t="n"/>
      <c r="F15" s="24" t="n"/>
      <c r="G15" s="24" t="n"/>
    </row>
    <row r="16">
      <c r="A16" s="37" t="inlineStr">
        <is>
          <t>Instructions / prompt</t>
        </is>
      </c>
      <c r="B16" s="24" t="inlineStr">
        <is>
          <t>Below are phrases describing people's behaviors. Please use the rating scale below to describe how accurately each statement describes you. Describe yourself as you generally are now, not as you wish to be in the future. Describe yourself as you honestly see yourself, in relation to other people you know of the same sex as you are, and roughly your same age. Please read each statement carefully, and put a number from 1 to 5 next to it to describe how accurately the statement describes you.</t>
        </is>
      </c>
      <c r="C16" s="24" t="n"/>
      <c r="D16" s="24" t="n"/>
      <c r="E16" s="24" t="n"/>
      <c r="F16" s="24" t="n"/>
      <c r="G16" s="24" t="n"/>
    </row>
    <row r="17">
      <c r="A17" s="37" t="inlineStr">
        <is>
          <t>Response options</t>
        </is>
      </c>
      <c r="B17" s="24" t="inlineStr">
        <is>
          <t>Very inaccurate = 1 | Moderately inaccurate = 2 | Neither inaccurate nor accurate = 3 | Moderately accurate = 4 | Very accurate = 5</t>
        </is>
      </c>
      <c r="C17" s="24" t="n"/>
      <c r="D17" s="24" t="n"/>
      <c r="E17" s="24" t="n"/>
      <c r="F17" s="24" t="n"/>
      <c r="G17" s="24" t="n"/>
    </row>
    <row r="18">
      <c r="A18" s="37" t="inlineStr">
        <is>
          <t>Reverse-scored items</t>
        </is>
      </c>
      <c r="B18" s="24" t="inlineStr">
        <is>
          <t>6, 7, 8, 9, 10, 15, 16, 17, 18, 19, 20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the minus keyed items (6, 7, 8, 9, 10, 15, 16, 17, 18, 19, 20) by subtracting the response from 6, then sum the 4 items for each factor, giving a range of 4 to 20 per factor. Higher scores indicate more of the trait; for Neuroticism a higher score indicates less emotional stability. No cut offs; the scales are normative trait measures.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Donnellan, M. B., Oswald, F. L., Baird, B. M., &amp; Lucas, R. E. (2006). The Mini-IPIP scales: Tiny-yet-effective measures of the Big Five factors of personality. Psychological Assessment, 18(2), 192–203. https://doi.org/10.1037/1040-3590.18.2.192</t>
        </is>
      </c>
      <c r="C25" s="24" t="n"/>
      <c r="D25" s="24" t="n"/>
      <c r="E25" s="24" t="n"/>
      <c r="F25" s="24" t="n"/>
      <c r="G25" s="24" t="n"/>
    </row>
    <row r="26">
      <c r="A26" s="37" t="inlineStr">
        <is>
          <t>Copyright and licensing</t>
        </is>
      </c>
      <c r="B26" s="24" t="inlineStr">
        <is>
          <t>Because the IPIP has been placed in the public domain, permission has already been automatically granted for any person to use IPIP items, scales, and inventories for any purpose, commercial or non-commercial. Source: https://ipip.ori.org/newPermission.htm</t>
        </is>
      </c>
      <c r="C26" s="24" t="n"/>
      <c r="D26" s="24" t="n"/>
      <c r="E26" s="24" t="n"/>
      <c r="F26" s="24" t="n"/>
      <c r="G26" s="24" t="n"/>
    </row>
    <row r="27">
      <c r="A27" s="37" t="inlineStr">
        <is>
          <t>Source URL</t>
        </is>
      </c>
      <c r="B27" s="24" t="inlineStr">
        <is>
          <t>https://ipip.ori.org/MiniIPIPKey.htm</t>
        </is>
      </c>
      <c r="C27" s="24" t="n"/>
      <c r="D27" s="24" t="n"/>
      <c r="E27" s="24" t="n"/>
      <c r="F27" s="24" t="n"/>
      <c r="G27" s="24" t="n"/>
    </row>
    <row r="28">
      <c r="A28" s="37" t="inlineStr">
        <is>
          <t>Transcription note</t>
        </is>
      </c>
      <c r="B28" s="24" t="inlineStr">
        <is>
          <t>Item text, factor membership and plus or minus keying transcribed from the IPIP Mini-IPIP key page, which gives no item numbers, instructions or response labels. Item order 1 to 20, the standard IPIP instructions and the 5 response labels were taken from the LibreTexts reproduction of the Donnellan et al. (2006) Mini-IPIP (CC BY-NC-SA page; items themselves public domain); that ordering matches the factor and reverse keying pattern of the Millisecond Mini-IPIP manual (item 1 E, 2 A, 3 C, 4 N, 5 I, 6 E reversed, and so on). Item wording is identical across the IPIP key and LibreTexts. Factor V is named Intellect or Imagination on the IPIP key and Openness on LibreTexts.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Am the life of the party.</t>
        </is>
      </c>
      <c r="C32" s="24" t="inlineStr">
        <is>
          <t>Extraversion</t>
        </is>
      </c>
      <c r="D32" s="24" t="inlineStr">
        <is>
          <t>FALSE</t>
        </is>
      </c>
      <c r="E32" s="24" t="inlineStr">
        <is>
          <t>FALSE</t>
        </is>
      </c>
      <c r="F32" s="24" t="inlineStr">
        <is>
          <t>IPIP key sign: plus</t>
        </is>
      </c>
      <c r="G32" s="24" t="inlineStr">
        <is>
          <t>Very inaccurate = 1 | Moderately inaccurate = 2 | Neither inaccurate nor accurate = 3 | Moderately accurate = 4 | Very accurate = 5</t>
        </is>
      </c>
    </row>
    <row r="33">
      <c r="A33" s="24" t="n">
        <v>2</v>
      </c>
      <c r="B33" s="24" t="inlineStr">
        <is>
          <t>Sympathize with others' feelings.</t>
        </is>
      </c>
      <c r="C33" s="24" t="inlineStr">
        <is>
          <t>Agreeableness</t>
        </is>
      </c>
      <c r="D33" s="24" t="inlineStr">
        <is>
          <t>FALSE</t>
        </is>
      </c>
      <c r="E33" s="24" t="inlineStr">
        <is>
          <t>FALSE</t>
        </is>
      </c>
      <c r="F33" s="24" t="inlineStr">
        <is>
          <t>IPIP key sign: plus</t>
        </is>
      </c>
      <c r="G33" s="24" t="inlineStr">
        <is>
          <t>Very inaccurate = 1 | Moderately inaccurate = 2 | Neither inaccurate nor accurate = 3 | Moderately accurate = 4 | Very accurate = 5</t>
        </is>
      </c>
    </row>
    <row r="34">
      <c r="A34" s="24" t="n">
        <v>3</v>
      </c>
      <c r="B34" s="24" t="inlineStr">
        <is>
          <t>Get chores done right away.</t>
        </is>
      </c>
      <c r="C34" s="24" t="inlineStr">
        <is>
          <t>Conscientiousness</t>
        </is>
      </c>
      <c r="D34" s="24" t="inlineStr">
        <is>
          <t>FALSE</t>
        </is>
      </c>
      <c r="E34" s="24" t="inlineStr">
        <is>
          <t>FALSE</t>
        </is>
      </c>
      <c r="F34" s="24" t="inlineStr">
        <is>
          <t>IPIP key sign: plus</t>
        </is>
      </c>
      <c r="G34" s="24" t="inlineStr">
        <is>
          <t>Very inaccurate = 1 | Moderately inaccurate = 2 | Neither inaccurate nor accurate = 3 | Moderately accurate = 4 | Very accurate = 5</t>
        </is>
      </c>
    </row>
    <row r="35">
      <c r="A35" s="24" t="n">
        <v>4</v>
      </c>
      <c r="B35" s="24" t="inlineStr">
        <is>
          <t>Have frequent mood swings.</t>
        </is>
      </c>
      <c r="C35" s="24" t="inlineStr">
        <is>
          <t>Neuroticism</t>
        </is>
      </c>
      <c r="D35" s="24" t="inlineStr">
        <is>
          <t>FALSE</t>
        </is>
      </c>
      <c r="E35" s="24" t="inlineStr">
        <is>
          <t>FALSE</t>
        </is>
      </c>
      <c r="F35" s="24" t="inlineStr">
        <is>
          <t>IPIP key sign: plus</t>
        </is>
      </c>
      <c r="G35" s="24" t="inlineStr">
        <is>
          <t>Very inaccurate = 1 | Moderately inaccurate = 2 | Neither inaccurate nor accurate = 3 | Moderately accurate = 4 | Very accurate = 5</t>
        </is>
      </c>
    </row>
    <row r="36">
      <c r="A36" s="24" t="n">
        <v>5</v>
      </c>
      <c r="B36" s="24" t="inlineStr">
        <is>
          <t>Have a vivid imagination.</t>
        </is>
      </c>
      <c r="C36" s="24" t="inlineStr">
        <is>
          <t>Intellect or Imagination</t>
        </is>
      </c>
      <c r="D36" s="24" t="inlineStr">
        <is>
          <t>FALSE</t>
        </is>
      </c>
      <c r="E36" s="24" t="inlineStr">
        <is>
          <t>FALSE</t>
        </is>
      </c>
      <c r="F36" s="24" t="inlineStr">
        <is>
          <t>IPIP key sign: plus</t>
        </is>
      </c>
      <c r="G36" s="24" t="inlineStr">
        <is>
          <t>Very inaccurate = 1 | Moderately inaccurate = 2 | Neither inaccurate nor accurate = 3 | Moderately accurate = 4 | Very accurate = 5</t>
        </is>
      </c>
    </row>
    <row r="37">
      <c r="A37" s="24" t="n">
        <v>6</v>
      </c>
      <c r="B37" s="24" t="inlineStr">
        <is>
          <t>Don't talk a lot.</t>
        </is>
      </c>
      <c r="C37" s="24" t="inlineStr">
        <is>
          <t>Extraversion</t>
        </is>
      </c>
      <c r="D37" s="24" t="inlineStr">
        <is>
          <t>TRUE</t>
        </is>
      </c>
      <c r="E37" s="24" t="inlineStr">
        <is>
          <t>FALSE</t>
        </is>
      </c>
      <c r="F37" s="24" t="inlineStr">
        <is>
          <t>IPIP key sign: minus</t>
        </is>
      </c>
      <c r="G37" s="24" t="inlineStr">
        <is>
          <t>Very inaccurate = 1 | Moderately inaccurate = 2 | Neither inaccurate nor accurate = 3 | Moderately accurate = 4 | Very accurate = 5</t>
        </is>
      </c>
    </row>
    <row r="38">
      <c r="A38" s="24" t="n">
        <v>7</v>
      </c>
      <c r="B38" s="24" t="inlineStr">
        <is>
          <t>Am not interested in other people's problems.</t>
        </is>
      </c>
      <c r="C38" s="24" t="inlineStr">
        <is>
          <t>Agreeableness</t>
        </is>
      </c>
      <c r="D38" s="24" t="inlineStr">
        <is>
          <t>TRUE</t>
        </is>
      </c>
      <c r="E38" s="24" t="inlineStr">
        <is>
          <t>FALSE</t>
        </is>
      </c>
      <c r="F38" s="24" t="inlineStr">
        <is>
          <t>IPIP key sign: minus</t>
        </is>
      </c>
      <c r="G38" s="24" t="inlineStr">
        <is>
          <t>Very inaccurate = 1 | Moderately inaccurate = 2 | Neither inaccurate nor accurate = 3 | Moderately accurate = 4 | Very accurate = 5</t>
        </is>
      </c>
    </row>
    <row r="39">
      <c r="A39" s="24" t="n">
        <v>8</v>
      </c>
      <c r="B39" s="24" t="inlineStr">
        <is>
          <t>Often forget to put things back in their proper place.</t>
        </is>
      </c>
      <c r="C39" s="24" t="inlineStr">
        <is>
          <t>Conscientiousness</t>
        </is>
      </c>
      <c r="D39" s="24" t="inlineStr">
        <is>
          <t>TRUE</t>
        </is>
      </c>
      <c r="E39" s="24" t="inlineStr">
        <is>
          <t>FALSE</t>
        </is>
      </c>
      <c r="F39" s="24" t="inlineStr">
        <is>
          <t>IPIP key sign: minus</t>
        </is>
      </c>
      <c r="G39" s="24" t="inlineStr">
        <is>
          <t>Very inaccurate = 1 | Moderately inaccurate = 2 | Neither inaccurate nor accurate = 3 | Moderately accurate = 4 | Very accurate = 5</t>
        </is>
      </c>
    </row>
    <row r="40">
      <c r="A40" s="24" t="n">
        <v>9</v>
      </c>
      <c r="B40" s="24" t="inlineStr">
        <is>
          <t>Am relaxed most of the time.</t>
        </is>
      </c>
      <c r="C40" s="24" t="inlineStr">
        <is>
          <t>Neuroticism</t>
        </is>
      </c>
      <c r="D40" s="24" t="inlineStr">
        <is>
          <t>TRUE</t>
        </is>
      </c>
      <c r="E40" s="24" t="inlineStr">
        <is>
          <t>FALSE</t>
        </is>
      </c>
      <c r="F40" s="24" t="inlineStr">
        <is>
          <t>IPIP key sign: minus</t>
        </is>
      </c>
      <c r="G40" s="24" t="inlineStr">
        <is>
          <t>Very inaccurate = 1 | Moderately inaccurate = 2 | Neither inaccurate nor accurate = 3 | Moderately accurate = 4 | Very accurate = 5</t>
        </is>
      </c>
    </row>
    <row r="41">
      <c r="A41" s="24" t="n">
        <v>10</v>
      </c>
      <c r="B41" s="24" t="inlineStr">
        <is>
          <t>Am not interested in abstract ideas.</t>
        </is>
      </c>
      <c r="C41" s="24" t="inlineStr">
        <is>
          <t>Intellect or Imagination</t>
        </is>
      </c>
      <c r="D41" s="24" t="inlineStr">
        <is>
          <t>TRUE</t>
        </is>
      </c>
      <c r="E41" s="24" t="inlineStr">
        <is>
          <t>FALSE</t>
        </is>
      </c>
      <c r="F41" s="24" t="inlineStr">
        <is>
          <t>IPIP key sign: minus</t>
        </is>
      </c>
      <c r="G41" s="24" t="inlineStr">
        <is>
          <t>Very inaccurate = 1 | Moderately inaccurate = 2 | Neither inaccurate nor accurate = 3 | Moderately accurate = 4 | Very accurate = 5</t>
        </is>
      </c>
    </row>
    <row r="42">
      <c r="A42" s="24" t="n">
        <v>11</v>
      </c>
      <c r="B42" s="24" t="inlineStr">
        <is>
          <t>Talk to a lot of different people at parties.</t>
        </is>
      </c>
      <c r="C42" s="24" t="inlineStr">
        <is>
          <t>Extraversion</t>
        </is>
      </c>
      <c r="D42" s="24" t="inlineStr">
        <is>
          <t>FALSE</t>
        </is>
      </c>
      <c r="E42" s="24" t="inlineStr">
        <is>
          <t>FALSE</t>
        </is>
      </c>
      <c r="F42" s="24" t="inlineStr">
        <is>
          <t>IPIP key sign: plus</t>
        </is>
      </c>
      <c r="G42" s="24" t="inlineStr">
        <is>
          <t>Very inaccurate = 1 | Moderately inaccurate = 2 | Neither inaccurate nor accurate = 3 | Moderately accurate = 4 | Very accurate = 5</t>
        </is>
      </c>
    </row>
    <row r="43">
      <c r="A43" s="24" t="n">
        <v>12</v>
      </c>
      <c r="B43" s="24" t="inlineStr">
        <is>
          <t>Feel others' emotions.</t>
        </is>
      </c>
      <c r="C43" s="24" t="inlineStr">
        <is>
          <t>Agreeableness</t>
        </is>
      </c>
      <c r="D43" s="24" t="inlineStr">
        <is>
          <t>FALSE</t>
        </is>
      </c>
      <c r="E43" s="24" t="inlineStr">
        <is>
          <t>FALSE</t>
        </is>
      </c>
      <c r="F43" s="24" t="inlineStr">
        <is>
          <t>IPIP key sign: plus</t>
        </is>
      </c>
      <c r="G43" s="24" t="inlineStr">
        <is>
          <t>Very inaccurate = 1 | Moderately inaccurate = 2 | Neither inaccurate nor accurate = 3 | Moderately accurate = 4 | Very accurate = 5</t>
        </is>
      </c>
    </row>
    <row r="44">
      <c r="A44" s="24" t="n">
        <v>13</v>
      </c>
      <c r="B44" s="24" t="inlineStr">
        <is>
          <t>Like order.</t>
        </is>
      </c>
      <c r="C44" s="24" t="inlineStr">
        <is>
          <t>Conscientiousness</t>
        </is>
      </c>
      <c r="D44" s="24" t="inlineStr">
        <is>
          <t>FALSE</t>
        </is>
      </c>
      <c r="E44" s="24" t="inlineStr">
        <is>
          <t>FALSE</t>
        </is>
      </c>
      <c r="F44" s="24" t="inlineStr">
        <is>
          <t>IPIP key sign: plus</t>
        </is>
      </c>
      <c r="G44" s="24" t="inlineStr">
        <is>
          <t>Very inaccurate = 1 | Moderately inaccurate = 2 | Neither inaccurate nor accurate = 3 | Moderately accurate = 4 | Very accurate = 5</t>
        </is>
      </c>
    </row>
    <row r="45">
      <c r="A45" s="24" t="n">
        <v>14</v>
      </c>
      <c r="B45" s="24" t="inlineStr">
        <is>
          <t>Get upset easily.</t>
        </is>
      </c>
      <c r="C45" s="24" t="inlineStr">
        <is>
          <t>Neuroticism</t>
        </is>
      </c>
      <c r="D45" s="24" t="inlineStr">
        <is>
          <t>FALSE</t>
        </is>
      </c>
      <c r="E45" s="24" t="inlineStr">
        <is>
          <t>FALSE</t>
        </is>
      </c>
      <c r="F45" s="24" t="inlineStr">
        <is>
          <t>IPIP key sign: plus</t>
        </is>
      </c>
      <c r="G45" s="24" t="inlineStr">
        <is>
          <t>Very inaccurate = 1 | Moderately inaccurate = 2 | Neither inaccurate nor accurate = 3 | Moderately accurate = 4 | Very accurate = 5</t>
        </is>
      </c>
    </row>
    <row r="46">
      <c r="A46" s="24" t="n">
        <v>15</v>
      </c>
      <c r="B46" s="24" t="inlineStr">
        <is>
          <t>Have difficulty understanding abstract ideas.</t>
        </is>
      </c>
      <c r="C46" s="24" t="inlineStr">
        <is>
          <t>Intellect or Imagination</t>
        </is>
      </c>
      <c r="D46" s="24" t="inlineStr">
        <is>
          <t>TRUE</t>
        </is>
      </c>
      <c r="E46" s="24" t="inlineStr">
        <is>
          <t>FALSE</t>
        </is>
      </c>
      <c r="F46" s="24" t="inlineStr">
        <is>
          <t>IPIP key sign: minus</t>
        </is>
      </c>
      <c r="G46" s="24" t="inlineStr">
        <is>
          <t>Very inaccurate = 1 | Moderately inaccurate = 2 | Neither inaccurate nor accurate = 3 | Moderately accurate = 4 | Very accurate = 5</t>
        </is>
      </c>
    </row>
    <row r="47">
      <c r="A47" s="24" t="n">
        <v>16</v>
      </c>
      <c r="B47" s="24" t="inlineStr">
        <is>
          <t>Keep in the background.</t>
        </is>
      </c>
      <c r="C47" s="24" t="inlineStr">
        <is>
          <t>Extraversion</t>
        </is>
      </c>
      <c r="D47" s="24" t="inlineStr">
        <is>
          <t>TRUE</t>
        </is>
      </c>
      <c r="E47" s="24" t="inlineStr">
        <is>
          <t>FALSE</t>
        </is>
      </c>
      <c r="F47" s="24" t="inlineStr">
        <is>
          <t>IPIP key sign: minus</t>
        </is>
      </c>
      <c r="G47" s="24" t="inlineStr">
        <is>
          <t>Very inaccurate = 1 | Moderately inaccurate = 2 | Neither inaccurate nor accurate = 3 | Moderately accurate = 4 | Very accurate = 5</t>
        </is>
      </c>
    </row>
    <row r="48">
      <c r="A48" s="24" t="n">
        <v>17</v>
      </c>
      <c r="B48" s="24" t="inlineStr">
        <is>
          <t>Am not really interested in others.</t>
        </is>
      </c>
      <c r="C48" s="24" t="inlineStr">
        <is>
          <t>Agreeableness</t>
        </is>
      </c>
      <c r="D48" s="24" t="inlineStr">
        <is>
          <t>TRUE</t>
        </is>
      </c>
      <c r="E48" s="24" t="inlineStr">
        <is>
          <t>FALSE</t>
        </is>
      </c>
      <c r="F48" s="24" t="inlineStr">
        <is>
          <t>IPIP key sign: minus</t>
        </is>
      </c>
      <c r="G48" s="24" t="inlineStr">
        <is>
          <t>Very inaccurate = 1 | Moderately inaccurate = 2 | Neither inaccurate nor accurate = 3 | Moderately accurate = 4 | Very accurate = 5</t>
        </is>
      </c>
    </row>
    <row r="49">
      <c r="A49" s="24" t="n">
        <v>18</v>
      </c>
      <c r="B49" s="24" t="inlineStr">
        <is>
          <t>Make a mess of things.</t>
        </is>
      </c>
      <c r="C49" s="24" t="inlineStr">
        <is>
          <t>Conscientiousness</t>
        </is>
      </c>
      <c r="D49" s="24" t="inlineStr">
        <is>
          <t>TRUE</t>
        </is>
      </c>
      <c r="E49" s="24" t="inlineStr">
        <is>
          <t>FALSE</t>
        </is>
      </c>
      <c r="F49" s="24" t="inlineStr">
        <is>
          <t>IPIP key sign: minus</t>
        </is>
      </c>
      <c r="G49" s="24" t="inlineStr">
        <is>
          <t>Very inaccurate = 1 | Moderately inaccurate = 2 | Neither inaccurate nor accurate = 3 | Moderately accurate = 4 | Very accurate = 5</t>
        </is>
      </c>
    </row>
    <row r="50">
      <c r="A50" s="24" t="n">
        <v>19</v>
      </c>
      <c r="B50" s="24" t="inlineStr">
        <is>
          <t>Seldom feel blue.</t>
        </is>
      </c>
      <c r="C50" s="24" t="inlineStr">
        <is>
          <t>Neuroticism</t>
        </is>
      </c>
      <c r="D50" s="24" t="inlineStr">
        <is>
          <t>TRUE</t>
        </is>
      </c>
      <c r="E50" s="24" t="inlineStr">
        <is>
          <t>FALSE</t>
        </is>
      </c>
      <c r="F50" s="24" t="inlineStr">
        <is>
          <t>IPIP key sign: minus</t>
        </is>
      </c>
      <c r="G50" s="24" t="inlineStr">
        <is>
          <t>Very inaccurate = 1 | Moderately inaccurate = 2 | Neither inaccurate nor accurate = 3 | Moderately accurate = 4 | Very accurate = 5</t>
        </is>
      </c>
    </row>
    <row r="51">
      <c r="A51" s="24" t="n">
        <v>20</v>
      </c>
      <c r="B51" s="24" t="inlineStr">
        <is>
          <t>Do not have a good imagination.</t>
        </is>
      </c>
      <c r="C51" s="24" t="inlineStr">
        <is>
          <t>Intellect or Imagination</t>
        </is>
      </c>
      <c r="D51" s="24" t="inlineStr">
        <is>
          <t>TRUE</t>
        </is>
      </c>
      <c r="E51" s="24" t="inlineStr">
        <is>
          <t>FALSE</t>
        </is>
      </c>
      <c r="F51" s="24" t="inlineStr">
        <is>
          <t>IPIP key sign: minus</t>
        </is>
      </c>
      <c r="G51" s="24" t="inlineStr">
        <is>
          <t>Very inaccurate = 1 | Moderately inaccurate = 2 | Neither inaccurate nor accurate = 3 | Moderately accurate = 4 | Very accurate = 5</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Mind Wandering Questionnaire</t>
        </is>
      </c>
    </row>
    <row r="3">
      <c r="A3" s="37" t="inlineStr">
        <is>
          <t>Instrument</t>
        </is>
      </c>
      <c r="B3" s="24" t="inlineStr">
        <is>
          <t>Mind Wandering Questionnaire</t>
        </is>
      </c>
      <c r="C3" s="24" t="n"/>
      <c r="D3" s="24" t="n"/>
      <c r="E3" s="24" t="n"/>
      <c r="F3" s="24" t="n"/>
      <c r="G3" s="24" t="n"/>
    </row>
    <row r="4">
      <c r="A4" s="37" t="inlineStr">
        <is>
          <t>Code</t>
        </is>
      </c>
      <c r="B4" s="24" t="inlineStr">
        <is>
          <t>MWQ</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Trait level frequency of mind wandering during everyday tasks such as reading, listening and repetitive work.</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Validated in adolescents (12 to 17) and adults (college sample)</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This is an open-access article distributed under the terms of the Creative Commons Attribution License (CC BY). Copyright 2013 Mrazek, Phillips, Franklin, Broadway and Schooler.</t>
        </is>
      </c>
      <c r="C13" s="24" t="n"/>
      <c r="D13" s="24" t="n"/>
      <c r="E13" s="24" t="n"/>
      <c r="F13" s="24" t="n"/>
      <c r="G13" s="24" t="n"/>
    </row>
    <row r="14">
      <c r="A14" s="37" t="inlineStr">
        <is>
          <t>Coaching application</t>
        </is>
      </c>
      <c r="B14" s="24" t="inlineStr">
        <is>
          <t>Very brief and non clinical; a quick anchor for attention regulation goals and for tracking change across sessions.</t>
        </is>
      </c>
      <c r="C14" s="24" t="n"/>
      <c r="D14" s="24" t="n"/>
      <c r="E14" s="24" t="n"/>
      <c r="F14" s="24" t="n"/>
      <c r="G14" s="24" t="n"/>
    </row>
    <row r="15">
      <c r="A15" s="37" t="inlineStr">
        <is>
          <t>Purpose</t>
        </is>
      </c>
      <c r="B15" s="24" t="inlineStr">
        <is>
          <t>Trait level frequency of mind wandering during everyday tasks such as reading, listening and repetitive work.</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almost never = 1 | very infrequently = 2 | somewhat infrequently = 3 | somewhat frequently = 4 | very frequently = 5 | almost always = 6</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(5 to 30) or take the item mean (1 to 6). No reverse scoring. Higher scores indicate more frequent mind wandering. The article reports no cut offs and reports only descriptive statistics; Cronbach's alpha 0.850 in the college sample (Mrazek et al., 2013).</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Mrazek, M. D., Phillips, D. T., Franklin, M. S., Broadway, J. M., &amp; Schooler, J. W. (2013). Young and restless: Validation of the Mind-Wandering Questionnaire (MWQ) reveals disruptive impact of mind-wandering for youth. Frontiers in Psychology, 4, 560. https://doi.org/10.3389/fpsyg.2013.00560</t>
        </is>
      </c>
      <c r="C25" s="24" t="n"/>
      <c r="D25" s="24" t="n"/>
      <c r="E25" s="24" t="n"/>
      <c r="F25" s="24" t="n"/>
      <c r="G25" s="24" t="n"/>
    </row>
    <row r="26">
      <c r="A26" s="37" t="inlineStr">
        <is>
          <t>Copyright and licensing</t>
        </is>
      </c>
      <c r="B26" s="24" t="inlineStr">
        <is>
          <t>This is an open-access article distributed under the terms of the Creative Commons Attribution License (CC BY). Copyright 2013 Mrazek, Phillips, Franklin, Broadway and Schooler. Source: https://www.frontiersin.org/journals/psychology/articles/10.3389/fpsyg.2013.00560/full</t>
        </is>
      </c>
      <c r="C26" s="24" t="n"/>
      <c r="D26" s="24" t="n"/>
      <c r="E26" s="24" t="n"/>
      <c r="F26" s="24" t="n"/>
      <c r="G26" s="24" t="n"/>
    </row>
    <row r="27">
      <c r="A27" s="37" t="inlineStr">
        <is>
          <t>Source URL</t>
        </is>
      </c>
      <c r="B27" s="24" t="inlineStr">
        <is>
          <t>https://www.frontiersin.org/journals/psychology/articles/10.3389/fpsyg.2013.00560/full</t>
        </is>
      </c>
      <c r="C27" s="24" t="n"/>
      <c r="D27" s="24" t="n"/>
      <c r="E27" s="24" t="n"/>
      <c r="F27" s="24" t="n"/>
      <c r="G27" s="24" t="n"/>
    </row>
    <row r="28">
      <c r="A28" s="37" t="inlineStr">
        <is>
          <t>Transcription note</t>
        </is>
      </c>
      <c r="B28" s="24" t="inlineStr">
        <is>
          <t>Items transcribed from Table 1 of the open access article. The article does not print respondent instructions, so the instructions field is empty. Response labels are quoted from the Methods (1 almost never to 6 almost always). Item 5 wording: 'or' used, following the article text; Table 1 prints 'of'.</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difficulty maintaining focus on simple or repetitive work</t>
        </is>
      </c>
      <c r="C32" s="24" t="inlineStr">
        <is>
          <t>Total</t>
        </is>
      </c>
      <c r="D32" s="24" t="inlineStr">
        <is>
          <t>FALSE</t>
        </is>
      </c>
      <c r="E32" s="24" t="inlineStr">
        <is>
          <t>FALSE</t>
        </is>
      </c>
      <c r="F32" s="24" t="n"/>
      <c r="G32" s="24" t="inlineStr">
        <is>
          <t>almost never = 1 | very infrequently = 2 | somewhat infrequently = 3 | somewhat frequently = 4 | very frequently = 5 | almost always = 6</t>
        </is>
      </c>
    </row>
    <row r="33">
      <c r="A33" s="24" t="n">
        <v>2</v>
      </c>
      <c r="B33" s="24" t="inlineStr">
        <is>
          <t>While reading, I find I haven't been thinking about the text and must therefore read it again</t>
        </is>
      </c>
      <c r="C33" s="24" t="inlineStr">
        <is>
          <t>Total</t>
        </is>
      </c>
      <c r="D33" s="24" t="inlineStr">
        <is>
          <t>FALSE</t>
        </is>
      </c>
      <c r="E33" s="24" t="inlineStr">
        <is>
          <t>FALSE</t>
        </is>
      </c>
      <c r="F33" s="24" t="n"/>
      <c r="G33" s="24" t="inlineStr">
        <is>
          <t>almost never = 1 | very infrequently = 2 | somewhat infrequently = 3 | somewhat frequently = 4 | very frequently = 5 | almost always = 6</t>
        </is>
      </c>
    </row>
    <row r="34">
      <c r="A34" s="24" t="n">
        <v>3</v>
      </c>
      <c r="B34" s="24" t="inlineStr">
        <is>
          <t>I do things without paying full attention</t>
        </is>
      </c>
      <c r="C34" s="24" t="inlineStr">
        <is>
          <t>Total</t>
        </is>
      </c>
      <c r="D34" s="24" t="inlineStr">
        <is>
          <t>FALSE</t>
        </is>
      </c>
      <c r="E34" s="24" t="inlineStr">
        <is>
          <t>FALSE</t>
        </is>
      </c>
      <c r="F34" s="24" t="n"/>
      <c r="G34" s="24" t="inlineStr">
        <is>
          <t>almost never = 1 | very infrequently = 2 | somewhat infrequently = 3 | somewhat frequently = 4 | very frequently = 5 | almost always = 6</t>
        </is>
      </c>
    </row>
    <row r="35">
      <c r="A35" s="24" t="n">
        <v>4</v>
      </c>
      <c r="B35" s="24" t="inlineStr">
        <is>
          <t>I find myself listening with one ear, thinking about something else at the same time</t>
        </is>
      </c>
      <c r="C35" s="24" t="inlineStr">
        <is>
          <t>Total</t>
        </is>
      </c>
      <c r="D35" s="24" t="inlineStr">
        <is>
          <t>FALSE</t>
        </is>
      </c>
      <c r="E35" s="24" t="inlineStr">
        <is>
          <t>FALSE</t>
        </is>
      </c>
      <c r="F35" s="24" t="n"/>
      <c r="G35" s="24" t="inlineStr">
        <is>
          <t>almost never = 1 | very infrequently = 2 | somewhat infrequently = 3 | somewhat frequently = 4 | very frequently = 5 | almost always = 6</t>
        </is>
      </c>
    </row>
    <row r="36">
      <c r="A36" s="24" t="n">
        <v>5</v>
      </c>
      <c r="B36" s="24" t="inlineStr">
        <is>
          <t>I mind-wander during lectures or presentations</t>
        </is>
      </c>
      <c r="C36" s="24" t="inlineStr">
        <is>
          <t>Total</t>
        </is>
      </c>
      <c r="D36" s="24" t="inlineStr">
        <is>
          <t>FALSE</t>
        </is>
      </c>
      <c r="E36" s="24" t="inlineStr">
        <is>
          <t>FALSE</t>
        </is>
      </c>
      <c r="F36" s="24" t="inlineStr">
        <is>
          <t>Article body text reads 'or'; Table 1 prints 'of', which appears to be a typesetting error.</t>
        </is>
      </c>
      <c r="G36" s="24" t="inlineStr">
        <is>
          <t>almost never = 1 | very infrequently = 2 | somewhat infrequently = 3 | somewhat frequently = 4 | very frequently = 5 | almost always = 6</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Need for Cognition Scale, 6 item</t>
        </is>
      </c>
    </row>
    <row r="3">
      <c r="A3" s="37" t="inlineStr">
        <is>
          <t>Instrument</t>
        </is>
      </c>
      <c r="B3" s="24" t="inlineStr">
        <is>
          <t>Need for Cognition Scale, 6 item</t>
        </is>
      </c>
      <c r="C3" s="24" t="n"/>
      <c r="D3" s="24" t="n"/>
      <c r="E3" s="24" t="n"/>
      <c r="F3" s="24" t="n"/>
      <c r="G3" s="24" t="n"/>
    </row>
    <row r="4">
      <c r="A4" s="37" t="inlineStr">
        <is>
          <t>Code</t>
        </is>
      </c>
      <c r="B4" s="24" t="inlineStr">
        <is>
          <t>NCS-6</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Tendency to engage in and enjoy effortful thinking.</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v>
      </c>
      <c r="C10" s="24" t="n"/>
      <c r="D10" s="24" t="n"/>
      <c r="E10" s="24" t="n"/>
      <c r="F10" s="24" t="n"/>
      <c r="G10" s="24" t="n"/>
    </row>
    <row r="11">
      <c r="A11" s="37" t="inlineStr">
        <is>
          <t>Items reproduced here</t>
        </is>
      </c>
      <c r="B11" s="24" t="n">
        <v>6</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t>
        </is>
      </c>
      <c r="C13" s="24" t="n"/>
      <c r="D13" s="24" t="n"/>
      <c r="E13" s="24" t="n"/>
      <c r="F13" s="24" t="n"/>
      <c r="G13" s="24" t="n"/>
    </row>
    <row r="14">
      <c r="A14" s="37" t="inlineStr">
        <is>
          <t>Coaching application</t>
        </is>
      </c>
      <c r="B14" s="24" t="inlineStr">
        <is>
          <t>Quick indicator of how a client prefers to process information, useful for tailoring coaching homework.</t>
        </is>
      </c>
      <c r="C14" s="24" t="n"/>
      <c r="D14" s="24" t="n"/>
      <c r="E14" s="24" t="n"/>
      <c r="F14" s="24" t="n"/>
      <c r="G14" s="24" t="n"/>
    </row>
    <row r="15">
      <c r="A15" s="37" t="inlineStr">
        <is>
          <t>Purpose</t>
        </is>
      </c>
      <c r="B15" s="24" t="inlineStr">
        <is>
          <t>Tendency to engage in and enjoy effortful thinking.</t>
        </is>
      </c>
      <c r="C15" s="24" t="n"/>
      <c r="D15" s="24" t="n"/>
      <c r="E15" s="24" t="n"/>
      <c r="F15" s="24" t="n"/>
      <c r="G15" s="24" t="n"/>
    </row>
    <row r="16">
      <c r="A16" s="37" t="inlineStr">
        <is>
          <t>Instructions / prompt</t>
        </is>
      </c>
      <c r="B16" s="24" t="inlineStr">
        <is>
          <t>For each sentence below, please select how uncharacteristic or characteristic (5-point scale) this is for you personally.</t>
        </is>
      </c>
      <c r="C16" s="24" t="n"/>
      <c r="D16" s="24" t="n"/>
      <c r="E16" s="24" t="n"/>
      <c r="F16" s="24" t="n"/>
      <c r="G16" s="24" t="n"/>
    </row>
    <row r="17">
      <c r="A17" s="37" t="inlineStr">
        <is>
          <t>Response options</t>
        </is>
      </c>
      <c r="B17" s="24" t="inlineStr">
        <is>
          <t>extremely uncharacteristic of me = 1 | 2 = 2 | 3 = 3 | 4 = 4 | extremely characteristic of me = 5</t>
        </is>
      </c>
      <c r="C17" s="24" t="n"/>
      <c r="D17" s="24" t="n"/>
      <c r="E17" s="24" t="n"/>
      <c r="F17" s="24" t="n"/>
      <c r="G17" s="24" t="n"/>
    </row>
    <row r="18">
      <c r="A18" s="37" t="inlineStr">
        <is>
          <t>Reverse-scored items</t>
        </is>
      </c>
      <c r="B18" s="24" t="inlineStr">
        <is>
          <t>3, 4</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3 and 4 (1 = 5, 2 = 4, 3 = 3, 4 = 2, 5 = 1), then take the mean of the 6 items (1 to 5); higher scores indicate a greater need for cognition. PsyToolkit: "The score can range from 1 (you do not like deep thinking) to 5 (you like effortful thinking)." Reported sample means around 3.6 in UK and US samples (Coelho et al., 2020). No cut offs.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Coelho, G. L. de H., Hanel, P. H. P., &amp; Wolf, L. J. (2020). The very efficient assessment of need for cognition: Developing a six-item version. Assessment, 27(8), 1870–1885. https://doi.org/10.1177/1073191118793208</t>
        </is>
      </c>
      <c r="C25" s="24" t="n"/>
      <c r="D25" s="24" t="n"/>
      <c r="E25" s="24" t="n"/>
      <c r="F25" s="24" t="n"/>
      <c r="G25" s="24" t="n"/>
    </row>
    <row r="26">
      <c r="A26" s="37" t="inlineStr">
        <is>
          <t>Copyright and licensing</t>
        </is>
      </c>
      <c r="B26" s="24" t="inlineStr">
        <is>
          <t>Development paper (Assessment, 2020) is open access under a Creative Commons Attribution 4.0 licence (CC BY 4.0), copyright © The Author(s) 2018. PsyToolkit notes the scale may be used for research and that users "need to acknowledge the authors and their research paper when writing about it." Source: https://journals.sagepub.com/doi/10.1177/1073191118793208</t>
        </is>
      </c>
      <c r="C26" s="24" t="n"/>
      <c r="D26" s="24" t="n"/>
      <c r="E26" s="24" t="n"/>
      <c r="F26" s="24" t="n"/>
      <c r="G26" s="24" t="n"/>
    </row>
    <row r="27">
      <c r="A27" s="37" t="inlineStr">
        <is>
          <t>Source URL</t>
        </is>
      </c>
      <c r="B27" s="24" t="inlineStr">
        <is>
          <t>https://www.psytoolkit.org/survey-library/need-for-cognition-ncs6.html</t>
        </is>
      </c>
      <c r="C27" s="24" t="n"/>
      <c r="D27" s="24" t="n"/>
      <c r="E27" s="24" t="n"/>
      <c r="F27" s="24" t="n"/>
      <c r="G27" s="24" t="n"/>
    </row>
    <row r="28">
      <c r="A28" s="37" t="inlineStr">
        <is>
          <t>Transcription note</t>
        </is>
      </c>
      <c r="B28" s="24" t="inlineStr">
        <is>
          <t>Items transcribed from the PsyToolkit survey library page and checked against the Appendix of the Sage article; wording was identical in both. Item 6 was returned in 2 segments by the fetch tool and is joined here. Only the endpoint labels are given in either source (PsyToolkit prints the middle points as dots; the article gives 1 = extremely uncharacteristic of me, 5 = extremely characteristic of me), so points 2 to 4 are unlabelled. The PubMed Central copy (licenceUrl in the target record) could not be fetched because of a browser check, so the Sage page was used for the licence. Page numbers 1870–1885 in the citation were not visible on the Sage page and should be verified.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would prefer complex to simple problems.</t>
        </is>
      </c>
      <c r="C32" s="24" t="inlineStr">
        <is>
          <t>Total</t>
        </is>
      </c>
      <c r="D32" s="24" t="inlineStr">
        <is>
          <t>FALSE</t>
        </is>
      </c>
      <c r="E32" s="24" t="inlineStr">
        <is>
          <t>FALSE</t>
        </is>
      </c>
      <c r="F32" s="24" t="n"/>
      <c r="G32" s="24" t="inlineStr">
        <is>
          <t>extremely uncharacteristic of me = 1 | 2 = 2 | 3 = 3 | 4 = 4 | extremely characteristic of me = 5</t>
        </is>
      </c>
    </row>
    <row r="33">
      <c r="A33" s="24" t="n">
        <v>2</v>
      </c>
      <c r="B33" s="24" t="inlineStr">
        <is>
          <t>I like to have the responsibility of handling a situation that requires a lot of thinking.</t>
        </is>
      </c>
      <c r="C33" s="24" t="inlineStr">
        <is>
          <t>Total</t>
        </is>
      </c>
      <c r="D33" s="24" t="inlineStr">
        <is>
          <t>FALSE</t>
        </is>
      </c>
      <c r="E33" s="24" t="inlineStr">
        <is>
          <t>FALSE</t>
        </is>
      </c>
      <c r="F33" s="24" t="n"/>
      <c r="G33" s="24" t="inlineStr">
        <is>
          <t>extremely uncharacteristic of me = 1 | 2 = 2 | 3 = 3 | 4 = 4 | extremely characteristic of me = 5</t>
        </is>
      </c>
    </row>
    <row r="34">
      <c r="A34" s="24" t="n">
        <v>3</v>
      </c>
      <c r="B34" s="24" t="inlineStr">
        <is>
          <t>Thinking is not my idea of fun.</t>
        </is>
      </c>
      <c r="C34" s="24" t="inlineStr">
        <is>
          <t>Total</t>
        </is>
      </c>
      <c r="D34" s="24" t="inlineStr">
        <is>
          <t>TRUE</t>
        </is>
      </c>
      <c r="E34" s="24" t="inlineStr">
        <is>
          <t>FALSE</t>
        </is>
      </c>
      <c r="F34" s="24" t="inlineStr">
        <is>
          <t>Marked reverse in both sources</t>
        </is>
      </c>
      <c r="G34" s="24" t="inlineStr">
        <is>
          <t>extremely uncharacteristic of me = 1 | 2 = 2 | 3 = 3 | 4 = 4 | extremely characteristic of me = 5</t>
        </is>
      </c>
    </row>
    <row r="35">
      <c r="A35" s="24" t="n">
        <v>4</v>
      </c>
      <c r="B35" s="24" t="inlineStr">
        <is>
          <t>I would rather do something that requires little thought than something that is sure to challenge my thinking abilities.</t>
        </is>
      </c>
      <c r="C35" s="24" t="inlineStr">
        <is>
          <t>Total</t>
        </is>
      </c>
      <c r="D35" s="24" t="inlineStr">
        <is>
          <t>TRUE</t>
        </is>
      </c>
      <c r="E35" s="24" t="inlineStr">
        <is>
          <t>FALSE</t>
        </is>
      </c>
      <c r="F35" s="24" t="inlineStr">
        <is>
          <t>Marked reverse in both sources</t>
        </is>
      </c>
      <c r="G35" s="24" t="inlineStr">
        <is>
          <t>extremely uncharacteristic of me = 1 | 2 = 2 | 3 = 3 | 4 = 4 | extremely characteristic of me = 5</t>
        </is>
      </c>
    </row>
    <row r="36">
      <c r="A36" s="24" t="n">
        <v>5</v>
      </c>
      <c r="B36" s="24" t="inlineStr">
        <is>
          <t>I really enjoy a task that involves coming up with new solutions to problems.</t>
        </is>
      </c>
      <c r="C36" s="24" t="inlineStr">
        <is>
          <t>Total</t>
        </is>
      </c>
      <c r="D36" s="24" t="inlineStr">
        <is>
          <t>FALSE</t>
        </is>
      </c>
      <c r="E36" s="24" t="inlineStr">
        <is>
          <t>FALSE</t>
        </is>
      </c>
      <c r="F36" s="24" t="n"/>
      <c r="G36" s="24" t="inlineStr">
        <is>
          <t>extremely uncharacteristic of me = 1 | 2 = 2 | 3 = 3 | 4 = 4 | extremely characteristic of me = 5</t>
        </is>
      </c>
    </row>
    <row r="37">
      <c r="A37" s="24" t="n">
        <v>6</v>
      </c>
      <c r="B37" s="24" t="inlineStr">
        <is>
          <t>I would prefer a task that is intellectual, difficult, and important to one that is somewhat important but does not require much thought.</t>
        </is>
      </c>
      <c r="C37" s="24" t="inlineStr">
        <is>
          <t>Total</t>
        </is>
      </c>
      <c r="D37" s="24" t="inlineStr">
        <is>
          <t>FALSE</t>
        </is>
      </c>
      <c r="E37" s="24" t="inlineStr">
        <is>
          <t>FALSE</t>
        </is>
      </c>
      <c r="F37" s="24" t="n"/>
      <c r="G37" s="24" t="inlineStr">
        <is>
          <t>extremely uncharacteristic of me = 1 | 2 = 2 | 3 = 3 | 4 = 4 | extremely characteristic of me = 5</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Patient Health Questionnaire 2</t>
        </is>
      </c>
    </row>
    <row r="3">
      <c r="A3" s="37" t="inlineStr">
        <is>
          <t>Instrument</t>
        </is>
      </c>
      <c r="B3" s="24" t="inlineStr">
        <is>
          <t>Patient Health Questionnaire 2</t>
        </is>
      </c>
      <c r="C3" s="24" t="n"/>
      <c r="D3" s="24" t="n"/>
      <c r="E3" s="24" t="n"/>
      <c r="F3" s="24" t="n"/>
      <c r="G3" s="24" t="n"/>
    </row>
    <row r="4">
      <c r="A4" s="37" t="inlineStr">
        <is>
          <t>Code</t>
        </is>
      </c>
      <c r="B4" s="24" t="inlineStr">
        <is>
          <t>PHQ-2</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Ultra brief depression screen covering depressed mood and anhedonia over the past 2 weeks.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(adolescent versions exist)</t>
        </is>
      </c>
      <c r="C9" s="24" t="n"/>
      <c r="D9" s="24" t="n"/>
      <c r="E9" s="24" t="n"/>
      <c r="F9" s="24" t="n"/>
      <c r="G9" s="24" t="n"/>
    </row>
    <row r="10">
      <c r="A10" s="37" t="inlineStr">
        <is>
          <t>Items in instrument</t>
        </is>
      </c>
      <c r="B10" s="24" t="n">
        <v>2</v>
      </c>
      <c r="C10" s="24" t="n"/>
      <c r="D10" s="24" t="n"/>
      <c r="E10" s="24" t="n"/>
      <c r="F10" s="24" t="n"/>
      <c r="G10" s="24" t="n"/>
    </row>
    <row r="11">
      <c r="A11" s="37" t="inlineStr">
        <is>
          <t>Items reproduced here</t>
        </is>
      </c>
      <c r="B11" s="24" t="n">
        <v>2</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"No permission required to reproduce, translate, display or distribute." Developed by Drs Spitzer, Williams and Kroenke and colleagues with an educational grant from Pfizer Inc.</t>
        </is>
      </c>
      <c r="C13" s="24" t="n"/>
      <c r="D13" s="24" t="n"/>
      <c r="E13" s="24" t="n"/>
      <c r="F13" s="24" t="n"/>
      <c r="G13" s="24" t="n"/>
    </row>
    <row r="14">
      <c r="A14" s="37" t="inlineStr">
        <is>
          <t>Coaching application</t>
        </is>
      </c>
      <c r="B14" s="24" t="inlineStr">
        <is>
          <t>Use as a first stage gate before the PHQ-9 at intake or in brief check ins</t>
        </is>
      </c>
      <c r="C14" s="24" t="n"/>
      <c r="D14" s="24" t="n"/>
      <c r="E14" s="24" t="n"/>
      <c r="F14" s="24" t="n"/>
      <c r="G14" s="24" t="n"/>
    </row>
    <row r="15">
      <c r="A15" s="37" t="inlineStr">
        <is>
          <t>Purpose</t>
        </is>
      </c>
      <c r="B15" s="24" t="inlineStr">
        <is>
          <t>Ultra brief depression screen covering depressed mood and anhedonia over the past 2 weeks.</t>
        </is>
      </c>
      <c r="C15" s="24" t="n"/>
      <c r="D15" s="24" t="n"/>
      <c r="E15" s="24" t="n"/>
      <c r="F15" s="24" t="n"/>
      <c r="G15" s="24" t="n"/>
    </row>
    <row r="16">
      <c r="A16" s="37" t="inlineStr">
        <is>
          <t>Instructions / prompt</t>
        </is>
      </c>
      <c r="B16" s="24" t="inlineStr">
        <is>
          <t>Over the last 2 weeks, how often have you been bothered by any of the following problems?</t>
        </is>
      </c>
      <c r="C16" s="24" t="n"/>
      <c r="D16" s="24" t="n"/>
      <c r="E16" s="24" t="n"/>
      <c r="F16" s="24" t="n"/>
      <c r="G16" s="24" t="n"/>
    </row>
    <row r="17">
      <c r="A17" s="37" t="inlineStr">
        <is>
          <t>Response options</t>
        </is>
      </c>
      <c r="B17" s="24" t="inlineStr">
        <is>
          <t>Not at all = 0 | Several days = 1 | More than half the days = 2 | Nearly every day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2 items for a total of 0 to 6; higher scores indicate more frequent depressive symptoms. Kroenke, Spitzer and Williams (2003) identify a cut off of 3 or more as the optimal positive screen; a cut point of 2 increases sensitivity. Positive screens should be followed with the PHQ-9 or clinical assessment. Source: NIDA CDE page and Kroenke et al. (2003).</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Kroenke, K., Spitzer, R. L., &amp; Williams, J. B. W. (2003). The Patient Health Questionnaire-2: Validity of a two-item depression screener. Medical Care, 41(11), 1284-1292. https://doi.org/10.1097/01.MLR.0000093487.78664.3C</t>
        </is>
      </c>
      <c r="C25" s="24" t="n"/>
      <c r="D25" s="24" t="n"/>
      <c r="E25" s="24" t="n"/>
      <c r="F25" s="24" t="n"/>
      <c r="G25" s="24" t="n"/>
    </row>
    <row r="26">
      <c r="A26" s="37" t="inlineStr">
        <is>
          <t>Copyright and licensing</t>
        </is>
      </c>
      <c r="B26" s="24" t="inlineStr">
        <is>
          <t>"No permission required to reproduce, translate, display or distribute." Developed by Drs Spitzer, Williams and Kroenke and colleagues with an educational grant from Pfizer Inc. Source: https://cde.nida.nih.gov/node/22</t>
        </is>
      </c>
      <c r="C26" s="24" t="n"/>
      <c r="D26" s="24" t="n"/>
      <c r="E26" s="24" t="n"/>
      <c r="F26" s="24" t="n"/>
      <c r="G26" s="24" t="n"/>
    </row>
    <row r="27">
      <c r="A27" s="37" t="inlineStr">
        <is>
          <t>Source URL</t>
        </is>
      </c>
      <c r="B27" s="24" t="inlineStr">
        <is>
          <t>https://psytoolkit.org/survey-library/depression-phq.html</t>
        </is>
      </c>
      <c r="C27" s="24" t="n"/>
      <c r="D27" s="24" t="n"/>
      <c r="E27" s="24" t="n"/>
      <c r="F27" s="24" t="n"/>
      <c r="G27" s="24" t="n"/>
    </row>
    <row r="28">
      <c r="A28" s="37" t="inlineStr">
        <is>
          <t>Transcription note</t>
        </is>
      </c>
      <c r="B28" s="24" t="inlineStr">
        <is>
          <t>The phqscreeners.com home page (itemsUrl) and the NIDA CDE page (sourceUrl in the target) describe the measure but do not print the items, so the stem, the 2 items and the response options were transcribed from the PsyToolkit PHQ-9 page, where they appear as items 1 and 2 of the PHQ-9; the PHQ-2 consists of these 2 items unchanged. PsyToolkit prints the response labels in lower case; sentence case is used above as on the PHQ forms. The NIDA CDE page supplied the scoring, cut offs and permission statement.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Little interest or pleasure in doing things</t>
        </is>
      </c>
      <c r="C32" s="24" t="inlineStr">
        <is>
          <t>Total</t>
        </is>
      </c>
      <c r="D32" s="24" t="inlineStr">
        <is>
          <t>FALSE</t>
        </is>
      </c>
      <c r="E32" s="24" t="inlineStr">
        <is>
          <t>FALSE</t>
        </is>
      </c>
      <c r="F32" s="24" t="n"/>
      <c r="G32" s="24" t="inlineStr">
        <is>
          <t>Not at all = 0 | Several days = 1 | More than half the days = 2 | Nearly every day = 3</t>
        </is>
      </c>
    </row>
    <row r="33">
      <c r="A33" s="24" t="n">
        <v>2</v>
      </c>
      <c r="B33" s="24" t="inlineStr">
        <is>
          <t>Feeling down, depressed, or hopeless</t>
        </is>
      </c>
      <c r="C33" s="24" t="inlineStr">
        <is>
          <t>Total</t>
        </is>
      </c>
      <c r="D33" s="24" t="inlineStr">
        <is>
          <t>FALSE</t>
        </is>
      </c>
      <c r="E33" s="24" t="inlineStr">
        <is>
          <t>FALSE</t>
        </is>
      </c>
      <c r="F33" s="24" t="n"/>
      <c r="G33" s="24" t="inlineStr">
        <is>
          <t>Not at all = 0 | Several days = 1 | More than half the days = 2 | Nearly every day = 3</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Patient Health Questionnaire 9</t>
        </is>
      </c>
    </row>
    <row r="3">
      <c r="A3" s="37" t="inlineStr">
        <is>
          <t>Instrument</t>
        </is>
      </c>
      <c r="B3" s="24" t="inlineStr">
        <is>
          <t>Patient Health Questionnaire 9</t>
        </is>
      </c>
      <c r="C3" s="24" t="n"/>
      <c r="D3" s="24" t="n"/>
      <c r="E3" s="24" t="n"/>
      <c r="F3" s="24" t="n"/>
      <c r="G3" s="24" t="n"/>
    </row>
    <row r="4">
      <c r="A4" s="37" t="inlineStr">
        <is>
          <t>Code</t>
        </is>
      </c>
      <c r="B4" s="24" t="inlineStr">
        <is>
          <t>PHQ-9</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Frequency of the 9 DSM depression symptoms over the past 2 weeks, with a follow up item on functional difficulty.</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(also validated from 12 in adolescents)</t>
        </is>
      </c>
      <c r="C9" s="24" t="n"/>
      <c r="D9" s="24" t="n"/>
      <c r="E9" s="24" t="n"/>
      <c r="F9" s="24" t="n"/>
      <c r="G9" s="24" t="n"/>
    </row>
    <row r="10">
      <c r="A10" s="37" t="inlineStr">
        <is>
          <t>Items in instrument</t>
        </is>
      </c>
      <c r="B10" s="24" t="n">
        <v>9</v>
      </c>
      <c r="C10" s="24" t="n"/>
      <c r="D10" s="24" t="n"/>
      <c r="E10" s="24" t="n"/>
      <c r="F10" s="24" t="n"/>
      <c r="G10" s="24" t="n"/>
    </row>
    <row r="11">
      <c r="A11" s="37" t="inlineStr">
        <is>
          <t>Items reproduced here</t>
        </is>
      </c>
      <c r="B11" s="24" t="n">
        <v>9</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"Developed by Drs. R.L. Spitzer, J.B. Williams, K. Kroenke and colleagues with an educational grant from Pfizer, Inc. No permission required to reproduce, translate, display or distribute."</t>
        </is>
      </c>
      <c r="C13" s="24" t="n"/>
      <c r="D13" s="24" t="n"/>
      <c r="E13" s="24" t="n"/>
      <c r="F13" s="24" t="n"/>
      <c r="G13" s="24" t="n"/>
    </row>
    <row r="14">
      <c r="A14" s="37" t="inlineStr">
        <is>
          <t>Coaching application</t>
        </is>
      </c>
      <c r="B14" s="24" t="inlineStr">
        <is>
          <t>Screening and referral tool; item 9 asks about self harm, so a coaching practice needs a response protocol before using it.</t>
        </is>
      </c>
      <c r="C14" s="24" t="n"/>
      <c r="D14" s="24" t="n"/>
      <c r="E14" s="24" t="n"/>
      <c r="F14" s="24" t="n"/>
      <c r="G14" s="24" t="n"/>
    </row>
    <row r="15">
      <c r="A15" s="37" t="inlineStr">
        <is>
          <t>Purpose</t>
        </is>
      </c>
      <c r="B15" s="24" t="inlineStr">
        <is>
          <t>Frequency of the 9 DSM depression symptoms over the past 2 weeks, with a follow up item on functional difficulty.</t>
        </is>
      </c>
      <c r="C15" s="24" t="n"/>
      <c r="D15" s="24" t="n"/>
      <c r="E15" s="24" t="n"/>
      <c r="F15" s="24" t="n"/>
      <c r="G15" s="24" t="n"/>
    </row>
    <row r="16">
      <c r="A16" s="37" t="inlineStr">
        <is>
          <t>Instructions / prompt</t>
        </is>
      </c>
      <c r="B16" s="24" t="inlineStr">
        <is>
          <t>Over the last 2 weeks, how often have you been bothered by any of the following problems?</t>
        </is>
      </c>
      <c r="C16" s="24" t="n"/>
      <c r="D16" s="24" t="n"/>
      <c r="E16" s="24" t="n"/>
      <c r="F16" s="24" t="n"/>
      <c r="G16" s="24" t="n"/>
    </row>
    <row r="17">
      <c r="A17" s="37" t="inlineStr">
        <is>
          <t>Response options</t>
        </is>
      </c>
      <c r="B17" s="24" t="inlineStr">
        <is>
          <t>Not at all = 0 | Several days = 1 | More than half the days = 2 | Nearly every day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9 items (0 to 27); higher scores indicate more severe depressive symptoms. Severity bands (Kroenke, Spitzer and Williams, 2001): 0 to 4 minimal, 5 to 9 mild, 10 to 14 moderate, 15 to 19 moderately severe, 20 to 27 severe. A score of 10 or more is the usual case threshold (sensitivity and specificity 88 percent for major depression in the 2001 validation) and is the caseness threshold used in NHS Talking Therapies. The unscored follow up item ("If you checked off any problems, how difficult have these problems made it for you to do your work, take care of things at home, or get along with other people?" with options Not difficult at all, Somewhat difficult, Very difficult, Extremely difficult) indexes functional impairment and is not added to the total.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Kroenke, K., Spitzer, R. L., &amp; Williams, J. B. W. (2001). The PHQ-9: Validity of a brief depression severity measure. Journal of General Internal Medicine, 16(9), 606–613. https://doi.org/10.1046/j.1525-1497.2001.016009606.x</t>
        </is>
      </c>
      <c r="C25" s="24" t="n"/>
      <c r="D25" s="24" t="n"/>
      <c r="E25" s="24" t="n"/>
      <c r="F25" s="24" t="n"/>
      <c r="G25" s="24" t="n"/>
    </row>
    <row r="26">
      <c r="A26" s="37" t="inlineStr">
        <is>
          <t>Copyright and licensing</t>
        </is>
      </c>
      <c r="B26" s="24" t="inlineStr">
        <is>
          <t>"Developed by Drs. R.L. Spitzer, J.B. Williams, K. Kroenke and colleagues with an educational grant from Pfizer, Inc. No permission required to reproduce, translate, display or distribute." Source: https://www.phqscreeners.com/</t>
        </is>
      </c>
      <c r="C26" s="24" t="n"/>
      <c r="D26" s="24" t="n"/>
      <c r="E26" s="24" t="n"/>
      <c r="F26" s="24" t="n"/>
      <c r="G26" s="24" t="n"/>
    </row>
    <row r="27">
      <c r="A27" s="37" t="inlineStr">
        <is>
          <t>Source URL</t>
        </is>
      </c>
      <c r="B27" s="24" t="inlineStr">
        <is>
          <t>https://cde.nida.nih.gov/system/files/PatientHealthQuestionnaire-9_2014Mar19.pdf</t>
        </is>
      </c>
      <c r="C27" s="24" t="n"/>
      <c r="D27" s="24" t="n"/>
      <c r="E27" s="24" t="n"/>
      <c r="F27" s="24" t="n"/>
      <c r="G27" s="24" t="n"/>
    </row>
    <row r="28">
      <c r="A28" s="37" t="inlineStr">
        <is>
          <t>Transcription note</t>
        </is>
      </c>
      <c r="B28" s="24" t="inlineStr">
        <is>
          <t>phqscreeners.com (itemsUrl) disallows automated fetching and the Mind toolkit PDF (sourceUrl) lists the PHQ-9 by name only, so the items were transcribed from the NIDA Clinical Trials Network copy of the standard Pfizer form. Item 8 is printed across 2 lines in the source and is joined here with the original question mark and hyphen retained. The hyphens in items 6 and 8 are the source's own punctuation. The source form itself gives only "Clinic personnel will follow standard scoring"; the severity bands come from the developer citation.</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Little interest or pleasure in doing things</t>
        </is>
      </c>
      <c r="C32" s="24" t="inlineStr">
        <is>
          <t>Total</t>
        </is>
      </c>
      <c r="D32" s="24" t="inlineStr">
        <is>
          <t>FALSE</t>
        </is>
      </c>
      <c r="E32" s="24" t="inlineStr">
        <is>
          <t>FALSE</t>
        </is>
      </c>
      <c r="F32" s="24" t="n"/>
      <c r="G32" s="24" t="inlineStr">
        <is>
          <t>Not at all = 0 | Several days = 1 | More than half the days = 2 | Nearly every day = 3</t>
        </is>
      </c>
    </row>
    <row r="33">
      <c r="A33" s="24" t="n">
        <v>2</v>
      </c>
      <c r="B33" s="24" t="inlineStr">
        <is>
          <t>Feeling down, depressed, or hopeless</t>
        </is>
      </c>
      <c r="C33" s="24" t="inlineStr">
        <is>
          <t>Total</t>
        </is>
      </c>
      <c r="D33" s="24" t="inlineStr">
        <is>
          <t>FALSE</t>
        </is>
      </c>
      <c r="E33" s="24" t="inlineStr">
        <is>
          <t>FALSE</t>
        </is>
      </c>
      <c r="F33" s="24" t="n"/>
      <c r="G33" s="24" t="inlineStr">
        <is>
          <t>Not at all = 0 | Several days = 1 | More than half the days = 2 | Nearly every day = 3</t>
        </is>
      </c>
    </row>
    <row r="34">
      <c r="A34" s="24" t="n">
        <v>3</v>
      </c>
      <c r="B34" s="24" t="inlineStr">
        <is>
          <t>Trouble falling or staying asleep, or sleeping too much</t>
        </is>
      </c>
      <c r="C34" s="24" t="inlineStr">
        <is>
          <t>Total</t>
        </is>
      </c>
      <c r="D34" s="24" t="inlineStr">
        <is>
          <t>FALSE</t>
        </is>
      </c>
      <c r="E34" s="24" t="inlineStr">
        <is>
          <t>FALSE</t>
        </is>
      </c>
      <c r="F34" s="24" t="n"/>
      <c r="G34" s="24" t="inlineStr">
        <is>
          <t>Not at all = 0 | Several days = 1 | More than half the days = 2 | Nearly every day = 3</t>
        </is>
      </c>
    </row>
    <row r="35">
      <c r="A35" s="24" t="n">
        <v>4</v>
      </c>
      <c r="B35" s="24" t="inlineStr">
        <is>
          <t>Feeling tired or having little energy</t>
        </is>
      </c>
      <c r="C35" s="24" t="inlineStr">
        <is>
          <t>Total</t>
        </is>
      </c>
      <c r="D35" s="24" t="inlineStr">
        <is>
          <t>FALSE</t>
        </is>
      </c>
      <c r="E35" s="24" t="inlineStr">
        <is>
          <t>FALSE</t>
        </is>
      </c>
      <c r="F35" s="24" t="n"/>
      <c r="G35" s="24" t="inlineStr">
        <is>
          <t>Not at all = 0 | Several days = 1 | More than half the days = 2 | Nearly every day = 3</t>
        </is>
      </c>
    </row>
    <row r="36">
      <c r="A36" s="24" t="n">
        <v>5</v>
      </c>
      <c r="B36" s="24" t="inlineStr">
        <is>
          <t>Poor appetite or overeating</t>
        </is>
      </c>
      <c r="C36" s="24" t="inlineStr">
        <is>
          <t>Total</t>
        </is>
      </c>
      <c r="D36" s="24" t="inlineStr">
        <is>
          <t>FALSE</t>
        </is>
      </c>
      <c r="E36" s="24" t="inlineStr">
        <is>
          <t>FALSE</t>
        </is>
      </c>
      <c r="F36" s="24" t="n"/>
      <c r="G36" s="24" t="inlineStr">
        <is>
          <t>Not at all = 0 | Several days = 1 | More than half the days = 2 | Nearly every day = 3</t>
        </is>
      </c>
    </row>
    <row r="37">
      <c r="A37" s="24" t="n">
        <v>6</v>
      </c>
      <c r="B37" s="24" t="inlineStr">
        <is>
          <t>Feeling bad about yourself - or that you are a failure or have let yourself or your family down</t>
        </is>
      </c>
      <c r="C37" s="24" t="inlineStr">
        <is>
          <t>Total</t>
        </is>
      </c>
      <c r="D37" s="24" t="inlineStr">
        <is>
          <t>FALSE</t>
        </is>
      </c>
      <c r="E37" s="24" t="inlineStr">
        <is>
          <t>FALSE</t>
        </is>
      </c>
      <c r="F37" s="24" t="n"/>
      <c r="G37" s="24" t="inlineStr">
        <is>
          <t>Not at all = 0 | Several days = 1 | More than half the days = 2 | Nearly every day = 3</t>
        </is>
      </c>
    </row>
    <row r="38">
      <c r="A38" s="24" t="n">
        <v>7</v>
      </c>
      <c r="B38" s="24" t="inlineStr">
        <is>
          <t>Trouble concentrating on things, such as reading the newspaper or watching television</t>
        </is>
      </c>
      <c r="C38" s="24" t="inlineStr">
        <is>
          <t>Total</t>
        </is>
      </c>
      <c r="D38" s="24" t="inlineStr">
        <is>
          <t>FALSE</t>
        </is>
      </c>
      <c r="E38" s="24" t="inlineStr">
        <is>
          <t>FALSE</t>
        </is>
      </c>
      <c r="F38" s="24" t="n"/>
      <c r="G38" s="24" t="inlineStr">
        <is>
          <t>Not at all = 0 | Several days = 1 | More than half the days = 2 | Nearly every day = 3</t>
        </is>
      </c>
    </row>
    <row r="39">
      <c r="A39" s="24" t="n">
        <v>8</v>
      </c>
      <c r="B39" s="24" t="inlineStr">
        <is>
          <t>Moving or speaking so slowly that other people could have noticed? Or the opposite - being so fidgety or restless that you have been moving around a lot more than usual</t>
        </is>
      </c>
      <c r="C39" s="24" t="inlineStr">
        <is>
          <t>Total</t>
        </is>
      </c>
      <c r="D39" s="24" t="inlineStr">
        <is>
          <t>FALSE</t>
        </is>
      </c>
      <c r="E39" s="24" t="inlineStr">
        <is>
          <t>FALSE</t>
        </is>
      </c>
      <c r="F39" s="24" t="n"/>
      <c r="G39" s="24" t="inlineStr">
        <is>
          <t>Not at all = 0 | Several days = 1 | More than half the days = 2 | Nearly every day = 3</t>
        </is>
      </c>
    </row>
    <row r="40">
      <c r="A40" s="24" t="n">
        <v>9</v>
      </c>
      <c r="B40" s="24" t="inlineStr">
        <is>
          <t>Thoughts that you would be better off dead or of hurting yourself in some way</t>
        </is>
      </c>
      <c r="C40" s="24" t="inlineStr">
        <is>
          <t>Total</t>
        </is>
      </c>
      <c r="D40" s="24" t="inlineStr">
        <is>
          <t>FALSE</t>
        </is>
      </c>
      <c r="E40" s="24" t="inlineStr">
        <is>
          <t>FALSE</t>
        </is>
      </c>
      <c r="F40" s="24" t="inlineStr">
        <is>
          <t>Asks about self harm; a response protocol is needed before use</t>
        </is>
      </c>
      <c r="G40" s="24" t="inlineStr">
        <is>
          <t>Not at all = 0 | Several days = 1 | More than half the days = 2 | Nearly every day = 3</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Scale v1.2 Global Health</t>
        </is>
      </c>
    </row>
    <row r="3">
      <c r="A3" s="37" t="inlineStr">
        <is>
          <t>Instrument</t>
        </is>
      </c>
      <c r="B3" s="24" t="inlineStr">
        <is>
          <t>PROMIS Scale v1.2 Global Health</t>
        </is>
      </c>
      <c r="C3" s="24" t="n"/>
      <c r="D3" s="24" t="n"/>
      <c r="E3" s="24" t="n"/>
      <c r="F3" s="24" t="n"/>
      <c r="G3" s="24" t="n"/>
    </row>
    <row r="4">
      <c r="A4" s="37" t="inlineStr">
        <is>
          <t>Code</t>
        </is>
      </c>
      <c r="B4" s="24" t="inlineStr">
        <is>
          <t>PROMIS-GH10</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Global physical and mental health, including quality of life, physical function, pain, fatigue, emotional distress and social satisfaction.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10</v>
      </c>
      <c r="C10" s="24" t="n"/>
      <c r="D10" s="24" t="n"/>
      <c r="E10" s="24" t="n"/>
      <c r="F10" s="24" t="n"/>
      <c r="G10" s="24" t="n"/>
    </row>
    <row r="11">
      <c r="A11" s="37" t="inlineStr">
        <is>
          <t>Items reproduced here</t>
        </is>
      </c>
      <c r="B11" s="24" t="n">
        <v>10</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t>
        </is>
      </c>
      <c r="C13" s="24" t="n"/>
      <c r="D13" s="24" t="n"/>
      <c r="E13" s="24" t="n"/>
      <c r="F13" s="24" t="n"/>
      <c r="G13" s="24" t="n"/>
    </row>
    <row r="14">
      <c r="A14" s="37" t="inlineStr">
        <is>
          <t>Coaching application</t>
        </is>
      </c>
      <c r="B14" s="24" t="inlineStr">
        <is>
          <t>A compact whole person baseline for coaching intake; the Global Mental Health component is a serviceable wellbeing tracker.</t>
        </is>
      </c>
      <c r="C14" s="24" t="n"/>
      <c r="D14" s="24" t="n"/>
      <c r="E14" s="24" t="n"/>
      <c r="F14" s="24" t="n"/>
      <c r="G14" s="24" t="n"/>
    </row>
    <row r="15">
      <c r="A15" s="37" t="inlineStr">
        <is>
          <t>Purpose</t>
        </is>
      </c>
      <c r="B15" s="24" t="inlineStr">
        <is>
          <t>Global physical and mental health, including quality of life, physical function, pain, fatigue, emotional distress and social satisfaction.</t>
        </is>
      </c>
      <c r="C15" s="24" t="n"/>
      <c r="D15" s="24" t="n"/>
      <c r="E15" s="24" t="n"/>
      <c r="F15" s="24" t="n"/>
      <c r="G15" s="24" t="n"/>
    </row>
    <row r="16">
      <c r="A16" s="37" t="inlineStr">
        <is>
          <t>Instructions / prompt</t>
        </is>
      </c>
      <c r="B16" s="24" t="inlineStr">
        <is>
          <t>Please respond to each question or statement by marking one box per row.</t>
        </is>
      </c>
      <c r="C16" s="24" t="n"/>
      <c r="D16" s="24" t="n"/>
      <c r="E16" s="24" t="n"/>
      <c r="F16" s="24" t="n"/>
      <c r="G16" s="24" t="n"/>
    </row>
    <row r="17">
      <c r="A17" s="37" t="inlineStr">
        <is>
          <t>Response options</t>
        </is>
      </c>
      <c r="B17" s="24" t="inlineStr">
        <is>
          <t>Excellent = 5 | Very good = 4 | Good = 3 | Fair = 2 | Poor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scored 1 to 5 with 5 the most favourable response (the 'r' coded items are printed with reversed values so that higher is always better; the 0 to 10 pain item is recoded 0 = 5, 1-3 = 4, 4-6 = 3, 7-9 = 2, 10 = 1). Sum the 4 Global Physical Health items (Global03, Global06, Global07r, Global08r) and the 4 Global Mental Health items (Global02, Global04, Global05, Global10r) for raw scores of 4 to 20 each, then convert each to a T score (mean 50, SD 10, US general population) with the HealthMeasures conversion tables. Global01 (general health) and Global09r (social roles) are scored individually and are not in either component. Higher T scores indicate better health. Component structure and pain recoding from the HealthMeasures PROMIS Global Health scoring manual (Hays et al., 2009), not from the form.</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Hays, R. D., Bjorner, J. B., Revicki, D. A., Spritzer, K. L., &amp; Cella, D. (2009). Development of physical and mental health summary scores from the Patient-Reported Outcomes Measurement Information System (PROMIS) global items. Quality of Life Research, 18(7), 873-880. https://doi.org/10.1007/s11136-009-9496-9</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2010-2018 PROMIS Health Organization (PHO)". Source: https://healthmeasures.net/implement/steps-to-license/</t>
        </is>
      </c>
      <c r="C26" s="24" t="n"/>
      <c r="D26" s="24" t="n"/>
      <c r="E26" s="24" t="n"/>
      <c r="F26" s="24" t="n"/>
      <c r="G26" s="24" t="n"/>
    </row>
    <row r="27">
      <c r="A27" s="37" t="inlineStr">
        <is>
          <t>Source URL</t>
        </is>
      </c>
      <c r="B27" s="24" t="inlineStr">
        <is>
          <t>https://curesicklecell.rti.org/Forms/Global_Health_Scale_v1.2_13Apr2018.pdf</t>
        </is>
      </c>
      <c r="C27" s="24" t="n"/>
      <c r="D27" s="24" t="n"/>
      <c r="E27" s="24" t="n"/>
      <c r="F27" s="24" t="n"/>
      <c r="G27" s="24" t="n"/>
    </row>
    <row r="28">
      <c r="A28" s="37" t="inlineStr">
        <is>
          <t>Transcription note</t>
        </is>
      </c>
      <c r="B28" s="24" t="inlineStr">
        <is>
          <t>The HealthMeasures search page (itemsUrl) is a form driven search and returned no measure entries, so the items were transcribed from the RTI Cure Sickle Cell copy of the PROMIS Scale v1.2 Global Health form dated 13 April 2018 (sourceUrl). Item order and codes follow that form (Global01, 02, 03, 04, 05, 09r, 06, 10r, 08r, 07r). Items 6 and 7 were returned in fragments and joined with single spaces as the fetch instructed. The response scale differs by item; the default responseOptions is the Excellent to Poor set used by items 1 to 6, and each item's own options and any 'In the past 7 days...' stem are in its note. The form contains no scoring text; the component membership, recoding and T score method are from the HealthMeasures scoring manual and the Hays et al. (2009) article and should be checked against the current manual.</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In general, would you say your health is:</t>
        </is>
      </c>
      <c r="C32" s="24" t="inlineStr">
        <is>
          <t>Not in a component</t>
        </is>
      </c>
      <c r="D32" s="24" t="inlineStr">
        <is>
          <t>FALSE</t>
        </is>
      </c>
      <c r="E32" s="24" t="inlineStr">
        <is>
          <t>FALSE</t>
        </is>
      </c>
      <c r="F32" s="24" t="inlineStr">
        <is>
          <t>Item code Global01. Response options: Excellent = 5, Very good = 4, Good = 3, Fair = 2, Poor = 1</t>
        </is>
      </c>
      <c r="G32" s="24" t="inlineStr">
        <is>
          <t>Excellent = 5 | Very good = 4 | Good = 3 | Fair = 2 | Poor = 1</t>
        </is>
      </c>
    </row>
    <row r="33">
      <c r="A33" s="24" t="n">
        <v>2</v>
      </c>
      <c r="B33" s="24" t="inlineStr">
        <is>
          <t>In general, would you say your quality of life is:</t>
        </is>
      </c>
      <c r="C33" s="24" t="inlineStr">
        <is>
          <t>Global Mental Health</t>
        </is>
      </c>
      <c r="D33" s="24" t="inlineStr">
        <is>
          <t>FALSE</t>
        </is>
      </c>
      <c r="E33" s="24" t="inlineStr">
        <is>
          <t>FALSE</t>
        </is>
      </c>
      <c r="F33" s="24" t="inlineStr">
        <is>
          <t>Item code Global02. Response options: Excellent = 5, Very good = 4, Good = 3, Fair = 2, Poor = 1</t>
        </is>
      </c>
      <c r="G33" s="24" t="inlineStr">
        <is>
          <t>Excellent = 5 | Very good = 4 | Good = 3 | Fair = 2 | Poor = 1</t>
        </is>
      </c>
    </row>
    <row r="34">
      <c r="A34" s="24" t="n">
        <v>3</v>
      </c>
      <c r="B34" s="24" t="inlineStr">
        <is>
          <t>In general, how would you rate your physical health?</t>
        </is>
      </c>
      <c r="C34" s="24" t="inlineStr">
        <is>
          <t>Global Physical Health</t>
        </is>
      </c>
      <c r="D34" s="24" t="inlineStr">
        <is>
          <t>FALSE</t>
        </is>
      </c>
      <c r="E34" s="24" t="inlineStr">
        <is>
          <t>FALSE</t>
        </is>
      </c>
      <c r="F34" s="24" t="inlineStr">
        <is>
          <t>Item code Global03. Response options: Excellent = 5, Very good = 4, Good = 3, Fair = 2, Poor = 1</t>
        </is>
      </c>
      <c r="G34" s="24" t="inlineStr">
        <is>
          <t>Excellent = 5 | Very good = 4 | Good = 3 | Fair = 2 | Poor = 1</t>
        </is>
      </c>
    </row>
    <row r="35">
      <c r="A35" s="24" t="n">
        <v>4</v>
      </c>
      <c r="B35" s="24" t="inlineStr">
        <is>
          <t>In general, how would you rate your mental health, including your mood and your ability to think?</t>
        </is>
      </c>
      <c r="C35" s="24" t="inlineStr">
        <is>
          <t>Global Mental Health</t>
        </is>
      </c>
      <c r="D35" s="24" t="inlineStr">
        <is>
          <t>FALSE</t>
        </is>
      </c>
      <c r="E35" s="24" t="inlineStr">
        <is>
          <t>FALSE</t>
        </is>
      </c>
      <c r="F35" s="24" t="inlineStr">
        <is>
          <t>Item code Global04. Response options: Excellent = 5, Very good = 4, Good = 3, Fair = 2, Poor = 1</t>
        </is>
      </c>
      <c r="G35" s="24" t="inlineStr">
        <is>
          <t>Excellent = 5 | Very good = 4 | Good = 3 | Fair = 2 | Poor = 1</t>
        </is>
      </c>
    </row>
    <row r="36">
      <c r="A36" s="24" t="n">
        <v>5</v>
      </c>
      <c r="B36" s="24" t="inlineStr">
        <is>
          <t>In general, how would you rate your satisfaction with your social activities and relationships?</t>
        </is>
      </c>
      <c r="C36" s="24" t="inlineStr">
        <is>
          <t>Global Mental Health</t>
        </is>
      </c>
      <c r="D36" s="24" t="inlineStr">
        <is>
          <t>FALSE</t>
        </is>
      </c>
      <c r="E36" s="24" t="inlineStr">
        <is>
          <t>FALSE</t>
        </is>
      </c>
      <c r="F36" s="24" t="inlineStr">
        <is>
          <t>Item code Global05. Response options: Excellent = 5, Very good = 4, Good = 3, Fair = 2, Poor = 1</t>
        </is>
      </c>
      <c r="G36" s="24" t="inlineStr">
        <is>
          <t>Excellent = 5 | Very good = 4 | Good = 3 | Fair = 2 | Poor = 1</t>
        </is>
      </c>
    </row>
    <row r="37">
      <c r="A37" s="24" t="n">
        <v>6</v>
      </c>
      <c r="B37" s="24" t="inlineStr">
        <is>
          <t>In general, please rate how well you carry out your usual social activities and roles. (This includes activities at home, at work and in your community, and responsibilities as a parent, child, spouse, employee, friend, etc.)</t>
        </is>
      </c>
      <c r="C37" s="24" t="inlineStr">
        <is>
          <t>Not in a component</t>
        </is>
      </c>
      <c r="D37" s="24" t="inlineStr">
        <is>
          <t>FALSE</t>
        </is>
      </c>
      <c r="E37" s="24" t="inlineStr">
        <is>
          <t>FALSE</t>
        </is>
      </c>
      <c r="F37" s="24" t="inlineStr">
        <is>
          <t>Item code Global09r. Response options: Excellent = 5, Very good = 4, Good = 3, Fair = 2, Poor = 1</t>
        </is>
      </c>
      <c r="G37" s="24" t="inlineStr">
        <is>
          <t>Excellent = 5 | Very good = 4 | Good = 3 | Fair = 2 | Poor = 1</t>
        </is>
      </c>
    </row>
    <row r="38">
      <c r="A38" s="24" t="n">
        <v>7</v>
      </c>
      <c r="B38" s="24" t="inlineStr">
        <is>
          <t>To what extent are you able to carry out your everyday physical activities such as walking, climbing stairs, carrying groceries, or moving a chair?</t>
        </is>
      </c>
      <c r="C38" s="24" t="inlineStr">
        <is>
          <t>Global Physical Health</t>
        </is>
      </c>
      <c r="D38" s="24" t="inlineStr">
        <is>
          <t>FALSE</t>
        </is>
      </c>
      <c r="E38" s="24" t="inlineStr">
        <is>
          <t>FALSE</t>
        </is>
      </c>
      <c r="F38" s="24" t="inlineStr">
        <is>
          <t>Item code Global06. Response options: Completely = 5, Mostly = 4, Moderately = 3, A little = 2, Not at all = 1</t>
        </is>
      </c>
      <c r="G38" s="24" t="inlineStr">
        <is>
          <t>Completely = 5 | Mostly = 4 | Moderately = 3 | A little = 2 | Not at all = 1</t>
        </is>
      </c>
    </row>
    <row r="39">
      <c r="A39" s="24" t="n">
        <v>8</v>
      </c>
      <c r="B39" s="24" t="inlineStr">
        <is>
          <t>How often have you been bothered by emotional problems such as feeling anxious, depressed or irritable?</t>
        </is>
      </c>
      <c r="C39" s="24" t="inlineStr">
        <is>
          <t>Global Mental Health</t>
        </is>
      </c>
      <c r="D39" s="24" t="inlineStr">
        <is>
          <t>FALSE</t>
        </is>
      </c>
      <c r="E39" s="24" t="inlineStr">
        <is>
          <t>FALSE</t>
        </is>
      </c>
      <c r="F39" s="24" t="inlineStr">
        <is>
          <t>Item code Global10r. Response options: Stem: In the past 7 days... Never = 5, Rarely = 4, Sometimes = 3, Often = 2, Always = 1</t>
        </is>
      </c>
      <c r="G39" s="24" t="inlineStr">
        <is>
          <t>Never = 5 | Rarely = 4 | Sometimes = 3 | Often = 2 | Always = 1</t>
        </is>
      </c>
    </row>
    <row r="40">
      <c r="A40" s="24" t="n">
        <v>9</v>
      </c>
      <c r="B40" s="24" t="inlineStr">
        <is>
          <t>How would you rate your fatigue on average?</t>
        </is>
      </c>
      <c r="C40" s="24" t="inlineStr">
        <is>
          <t>Global Physical Health</t>
        </is>
      </c>
      <c r="D40" s="24" t="inlineStr">
        <is>
          <t>FALSE</t>
        </is>
      </c>
      <c r="E40" s="24" t="inlineStr">
        <is>
          <t>FALSE</t>
        </is>
      </c>
      <c r="F40" s="24" t="inlineStr">
        <is>
          <t>Item code Global08r. Response options: Stem: In the past 7 days... None = 5, Mild = 4, Moderate = 3, Severe = 2, Very severe = 1</t>
        </is>
      </c>
      <c r="G40" s="24" t="inlineStr">
        <is>
          <t>None = 5 | Mild = 4 | Moderate = 3 | Severe = 2 | Very severe = 1</t>
        </is>
      </c>
    </row>
    <row r="41">
      <c r="A41" s="24" t="n">
        <v>10</v>
      </c>
      <c r="B41" s="24" t="inlineStr">
        <is>
          <t>How would you rate your pain on average?</t>
        </is>
      </c>
      <c r="C41" s="24" t="inlineStr">
        <is>
          <t>Global Physical Health</t>
        </is>
      </c>
      <c r="D41" s="24" t="inlineStr">
        <is>
          <t>FALSE</t>
        </is>
      </c>
      <c r="E41" s="24" t="inlineStr">
        <is>
          <t>FALSE</t>
        </is>
      </c>
      <c r="F41" s="24" t="inlineStr">
        <is>
          <t>Item code Global07r. Response options: Stem: In the past 7 days... 0 (No pain) to 10 (Worst pain imaginable); recoded for scoring as 0 = 5, 1-3 = 4, 4-6 = 3, 7-9 = 2, 10 = 1</t>
        </is>
      </c>
      <c r="G41" s="24" t="inlineStr">
        <is>
          <t>No pain (0) = 5 | Mild (1 to 3) = 4 | Moderate (4 to 6) = 3 | Severe (7 to 9) = 2 | Worst pain imaginable (10) = 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Ability to Participate in Social Roles and Activities Short Form 8a</t>
        </is>
      </c>
    </row>
    <row r="3">
      <c r="A3" s="37" t="inlineStr">
        <is>
          <t>Instrument</t>
        </is>
      </c>
      <c r="B3" s="24" t="inlineStr">
        <is>
          <t>PROMIS Ability to Participate in Social Roles and Activities Short Form 8a</t>
        </is>
      </c>
      <c r="C3" s="24" t="n"/>
      <c r="D3" s="24" t="n"/>
      <c r="E3" s="24" t="n"/>
      <c r="F3" s="24" t="n"/>
      <c r="G3" s="24" t="n"/>
    </row>
    <row r="4">
      <c r="A4" s="37" t="inlineStr">
        <is>
          <t>Code</t>
        </is>
      </c>
      <c r="B4" s="24" t="inlineStr">
        <is>
          <t>PROMIS-APSRA-8A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Perceived ability to carry out usual social roles and activities, including work, family and leisure activities with others.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C13" s="24" t="n"/>
      <c r="D13" s="24" t="n"/>
      <c r="E13" s="24" t="n"/>
      <c r="F13" s="24" t="n"/>
      <c r="G13" s="24" t="n"/>
    </row>
    <row r="14">
      <c r="A14" s="37" t="inlineStr">
        <is>
          <t>Coaching application</t>
        </is>
      </c>
      <c r="B14" s="24" t="inlineStr">
        <is>
          <t>Functional outcome measure that captures whether coaching translates into fuller participation in work and life roles.</t>
        </is>
      </c>
      <c r="C14" s="24" t="n"/>
      <c r="D14" s="24" t="n"/>
      <c r="E14" s="24" t="n"/>
      <c r="F14" s="24" t="n"/>
      <c r="G14" s="24" t="n"/>
    </row>
    <row r="15">
      <c r="A15" s="37" t="inlineStr">
        <is>
          <t>Purpose</t>
        </is>
      </c>
      <c r="B15" s="24" t="inlineStr">
        <is>
          <t>Perceived ability to carry out usual social roles and activities, including work, family and leisure activities with others.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Never = 5 | Rarely = 4 | Sometimes = 3 | Usually = 2 | Always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Items are negatively worded and scored Never 5 to Always 1, so a higher raw score indicates better participation. Sum the 8 responses (raw 8 to 40) and convert to a T score (mean 50, SD 10, US general population reference) using the HealthMeasures scoring table for Ability to Participate in Social Roles and Activities Short Form 8a v2.0, or the HealthMeasures Scoring Service when items are missing. Higher T scores indicate greater ability to participate. No diagnostic cut offs are published by HealthMeasures. LOINC lists a raw score code (77814-2) and T score code (77854-8) but no conversion table.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Hahn, E. A., DeVellis, R. F., Bode, R. K., Garcia, S. F., Castel, L. D., Eisen, S. V., Bosworth, H. B., Heinemann, A. W., Rothrock, N., Cella, D., &amp; PROMIS Cooperative Group. (2010). Measuring social health in the Patient-Reported Outcomes Measurement Information System (PROMIS): Item bank development and testing. Quality of Life Research, 19(7), 1035–1044. https://doi.org/10.1007/s11136-010-9654-0. Instrument: HealthMeasures. (2012). PROMIS Item Bank v2.0 – Ability to Participate in Social Roles and Activities – Short Form 8a. Northwestern University.</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C26" s="24" t="n"/>
      <c r="D26" s="24" t="n"/>
      <c r="E26" s="24" t="n"/>
      <c r="F26" s="24" t="n"/>
      <c r="G26" s="24" t="n"/>
    </row>
    <row r="27">
      <c r="A27" s="37" t="inlineStr">
        <is>
          <t>Source URL</t>
        </is>
      </c>
      <c r="B27" s="24" t="inlineStr">
        <is>
          <t>https://loinc.org/76731-9/panel</t>
        </is>
      </c>
      <c r="C27" s="24" t="n"/>
      <c r="D27" s="24" t="n"/>
      <c r="E27" s="24" t="n"/>
      <c r="F27" s="24" t="n"/>
      <c r="G27" s="24" t="n"/>
    </row>
    <row r="28">
      <c r="A28" s="37" t="inlineStr">
        <is>
          <t>Transcription note</t>
        </is>
      </c>
      <c r="B28" s="24" t="inlineStr">
        <is>
          <t>The HealthMeasures page is behind a form and the NIH HEAL CRF PDF redirected to a landing page, so the official PDF was not read. Items and the answer list with scores were transcribed from the LOINC panel for 76731-9 (7 items listed on the panel page plus the eighth panel member 76710-3, whose text was taken from its own LOINC page and confirmed in a LOINC based value set). Item order follows the LOINC panel listing and may not match the HealthMeasures PDF. The official form's instruction line and copyright line were not retrieved, so the instructions field is empty. The raw to T score conversion table was not retrieved.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trouble doing all of my regular leisure activities with others</t>
        </is>
      </c>
      <c r="C32" s="24" t="inlineStr">
        <is>
          <t>Total</t>
        </is>
      </c>
      <c r="D32" s="24" t="inlineStr">
        <is>
          <t>FALSE</t>
        </is>
      </c>
      <c r="E32" s="24" t="inlineStr">
        <is>
          <t>FALSE</t>
        </is>
      </c>
      <c r="F32" s="24" t="inlineStr">
        <is>
          <t>LOINC 75417-6</t>
        </is>
      </c>
      <c r="G32" s="24" t="inlineStr">
        <is>
          <t>Never = 5 | Rarely = 4 | Sometimes = 3 | Usually = 2 | Always = 1</t>
        </is>
      </c>
    </row>
    <row r="33">
      <c r="A33" s="24" t="n">
        <v>2</v>
      </c>
      <c r="B33" s="24" t="inlineStr">
        <is>
          <t>I have trouble doing all of the family activities that I want to do</t>
        </is>
      </c>
      <c r="C33" s="24" t="inlineStr">
        <is>
          <t>Total</t>
        </is>
      </c>
      <c r="D33" s="24" t="inlineStr">
        <is>
          <t>FALSE</t>
        </is>
      </c>
      <c r="E33" s="24" t="inlineStr">
        <is>
          <t>FALSE</t>
        </is>
      </c>
      <c r="F33" s="24" t="inlineStr">
        <is>
          <t>LOINC 76708-7</t>
        </is>
      </c>
      <c r="G33" s="24" t="inlineStr">
        <is>
          <t>Never = 5 | Rarely = 4 | Sometimes = 3 | Usually = 2 | Always = 1</t>
        </is>
      </c>
    </row>
    <row r="34">
      <c r="A34" s="24" t="n">
        <v>3</v>
      </c>
      <c r="B34" s="24" t="inlineStr">
        <is>
          <t>I have trouble doing all of my usual work (include work at home)</t>
        </is>
      </c>
      <c r="C34" s="24" t="inlineStr">
        <is>
          <t>Total</t>
        </is>
      </c>
      <c r="D34" s="24" t="inlineStr">
        <is>
          <t>FALSE</t>
        </is>
      </c>
      <c r="E34" s="24" t="inlineStr">
        <is>
          <t>FALSE</t>
        </is>
      </c>
      <c r="F34" s="24" t="inlineStr">
        <is>
          <t>LOINC 76709-5</t>
        </is>
      </c>
      <c r="G34" s="24" t="inlineStr">
        <is>
          <t>Never = 5 | Rarely = 4 | Sometimes = 3 | Usually = 2 | Always = 1</t>
        </is>
      </c>
    </row>
    <row r="35">
      <c r="A35" s="24" t="n">
        <v>4</v>
      </c>
      <c r="B35" s="24" t="inlineStr">
        <is>
          <t>I have trouble doing all of the activities with friends that I want to do</t>
        </is>
      </c>
      <c r="C35" s="24" t="inlineStr">
        <is>
          <t>Total</t>
        </is>
      </c>
      <c r="D35" s="24" t="inlineStr">
        <is>
          <t>FALSE</t>
        </is>
      </c>
      <c r="E35" s="24" t="inlineStr">
        <is>
          <t>FALSE</t>
        </is>
      </c>
      <c r="F35" s="24" t="inlineStr">
        <is>
          <t>LOINC 76712-9</t>
        </is>
      </c>
      <c r="G35" s="24" t="inlineStr">
        <is>
          <t>Never = 5 | Rarely = 4 | Sometimes = 3 | Usually = 2 | Always = 1</t>
        </is>
      </c>
    </row>
    <row r="36">
      <c r="A36" s="24" t="n">
        <v>5</v>
      </c>
      <c r="B36" s="24" t="inlineStr">
        <is>
          <t>I have to limit the things I do for fun with others</t>
        </is>
      </c>
      <c r="C36" s="24" t="inlineStr">
        <is>
          <t>Total</t>
        </is>
      </c>
      <c r="D36" s="24" t="inlineStr">
        <is>
          <t>FALSE</t>
        </is>
      </c>
      <c r="E36" s="24" t="inlineStr">
        <is>
          <t>FALSE</t>
        </is>
      </c>
      <c r="F36" s="24" t="inlineStr">
        <is>
          <t>LOINC 76707-9</t>
        </is>
      </c>
      <c r="G36" s="24" t="inlineStr">
        <is>
          <t>Never = 5 | Rarely = 4 | Sometimes = 3 | Usually = 2 | Always = 1</t>
        </is>
      </c>
    </row>
    <row r="37">
      <c r="A37" s="24" t="n">
        <v>6</v>
      </c>
      <c r="B37" s="24" t="inlineStr">
        <is>
          <t>I have to limit my regular activities with friends</t>
        </is>
      </c>
      <c r="C37" s="24" t="inlineStr">
        <is>
          <t>Total</t>
        </is>
      </c>
      <c r="D37" s="24" t="inlineStr">
        <is>
          <t>FALSE</t>
        </is>
      </c>
      <c r="E37" s="24" t="inlineStr">
        <is>
          <t>FALSE</t>
        </is>
      </c>
      <c r="F37" s="24" t="inlineStr">
        <is>
          <t>LOINC 76711-1</t>
        </is>
      </c>
      <c r="G37" s="24" t="inlineStr">
        <is>
          <t>Never = 5 | Rarely = 4 | Sometimes = 3 | Usually = 2 | Always = 1</t>
        </is>
      </c>
    </row>
    <row r="38">
      <c r="A38" s="24" t="n">
        <v>7</v>
      </c>
      <c r="B38" s="24" t="inlineStr">
        <is>
          <t>I have to limit my regular family activities</t>
        </is>
      </c>
      <c r="C38" s="24" t="inlineStr">
        <is>
          <t>Total</t>
        </is>
      </c>
      <c r="D38" s="24" t="inlineStr">
        <is>
          <t>FALSE</t>
        </is>
      </c>
      <c r="E38" s="24" t="inlineStr">
        <is>
          <t>FALSE</t>
        </is>
      </c>
      <c r="F38" s="24" t="inlineStr">
        <is>
          <t>LOINC 76706-1</t>
        </is>
      </c>
      <c r="G38" s="24" t="inlineStr">
        <is>
          <t>Never = 5 | Rarely = 4 | Sometimes = 3 | Usually = 2 | Always = 1</t>
        </is>
      </c>
    </row>
    <row r="39">
      <c r="A39" s="24" t="n">
        <v>8</v>
      </c>
      <c r="B39" s="24" t="inlineStr">
        <is>
          <t>I have trouble doing all of the work that is really important to me (include work at home)</t>
        </is>
      </c>
      <c r="C39" s="24" t="inlineStr">
        <is>
          <t>Total</t>
        </is>
      </c>
      <c r="D39" s="24" t="inlineStr">
        <is>
          <t>FALSE</t>
        </is>
      </c>
      <c r="E39" s="24" t="inlineStr">
        <is>
          <t>FALSE</t>
        </is>
      </c>
      <c r="F39" s="24" t="inlineStr">
        <is>
          <t>LOINC 76710-3</t>
        </is>
      </c>
      <c r="G39" s="24" t="inlineStr">
        <is>
          <t>Never = 5 | Rarely = 4 | Sometimes = 3 | Usually = 2 | Always = 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Cognitive Function Abilities Short Form 8a</t>
        </is>
      </c>
    </row>
    <row r="3">
      <c r="A3" s="37" t="inlineStr">
        <is>
          <t>Instrument</t>
        </is>
      </c>
      <c r="B3" s="24" t="inlineStr">
        <is>
          <t>PROMIS Cognitive Function Abilities Short Form 8a</t>
        </is>
      </c>
      <c r="C3" s="24" t="n"/>
      <c r="D3" s="24" t="n"/>
      <c r="E3" s="24" t="n"/>
      <c r="F3" s="24" t="n"/>
      <c r="G3" s="24" t="n"/>
    </row>
    <row r="4">
      <c r="A4" s="37" t="inlineStr">
        <is>
          <t>Code</t>
        </is>
      </c>
      <c r="B4" s="24" t="inlineStr">
        <is>
          <t>PROMIS-COGA-8A</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Self rated cognitive abilities (concentration, memory, mental sharpness, keeping track of tasks)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t>
        </is>
      </c>
      <c r="C13" s="24" t="n"/>
      <c r="D13" s="24" t="n"/>
      <c r="E13" s="24" t="n"/>
      <c r="F13" s="24" t="n"/>
      <c r="G13" s="24" t="n"/>
    </row>
    <row r="14">
      <c r="A14" s="37" t="inlineStr">
        <is>
          <t>Coaching application</t>
        </is>
      </c>
      <c r="B14" s="24" t="inlineStr">
        <is>
          <t>Positively framed partner to the Cognitive Function form; suits strengths based coaching conversations and repeated measurement across a programme.</t>
        </is>
      </c>
      <c r="C14" s="24" t="n"/>
      <c r="D14" s="24" t="n"/>
      <c r="E14" s="24" t="n"/>
      <c r="F14" s="24" t="n"/>
      <c r="G14" s="24" t="n"/>
    </row>
    <row r="15">
      <c r="A15" s="37" t="inlineStr">
        <is>
          <t>Purpose</t>
        </is>
      </c>
      <c r="B15" s="24" t="inlineStr">
        <is>
          <t>Self rated cognitive abilities (concentration, memory, mental sharpness, keeping track of tasks) over the past 7 days.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8 item responses (raw 8 to 40) and convert the raw score to a T score (mean 50, SD 10, US general population reference) using the HealthMeasures scoring table for Cognitive Function Abilities Short Form 8a v2.0, or score with the HealthMeasures Scoring Service when any item is missing. Higher T scores indicate greater perceived cognitive ability. HealthMeasures does not publish diagnostic cut offs; the LOINC panel lists a raw score code (81536-5) but no conversion table, so the raw to T conversion must be taken from the official HealthMeasures scoring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Lai, J.-S., Wagner, L. I., Jacobsen, P. B., &amp; Cella, D. (2014). Self-reported cognitive concerns and abilities: Two sides of one coin? Psycho-Oncology, 23(10), 1133–1141. https://doi.org/10.1002/pon.3522. Instrument: HealthMeasures. (2017). PROMIS Item Bank v2.0 – Cognitive Function – Abilities Subset – Short Form 8a. Northwestern University.</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(Target record summary; the HealthMeasures copyright line on the form was not retrieved.) Source: https://healthmeasures.net/implement/steps-to-license/</t>
        </is>
      </c>
      <c r="C26" s="24" t="n"/>
      <c r="D26" s="24" t="n"/>
      <c r="E26" s="24" t="n"/>
      <c r="F26" s="24" t="n"/>
      <c r="G26" s="24" t="n"/>
    </row>
    <row r="27">
      <c r="A27" s="37" t="inlineStr">
        <is>
          <t>Source URL</t>
        </is>
      </c>
      <c r="B27" s="24" t="inlineStr">
        <is>
          <t>https://cdn.loinc.org/81527-4/panel</t>
        </is>
      </c>
      <c r="C27" s="24" t="n"/>
      <c r="D27" s="24" t="n"/>
      <c r="E27" s="24" t="n"/>
      <c r="F27" s="24" t="n"/>
      <c r="G27" s="24" t="n"/>
    </row>
    <row r="28">
      <c r="A28" s="37" t="inlineStr">
        <is>
          <t>Transcription note</t>
        </is>
      </c>
      <c r="B28" s="24" t="inlineStr">
        <is>
          <t>The HealthMeasures search-view-measures page is behind a form and its PDF could not be fetched. Items, the 'In the past 7 days' time frame and the answer list with scores were transcribed from the LOINC panel for 81527-4 (PROMIS short form cognitive function abilities subset 8a v2.0), which reproduces the item text. Item order follows the LOINC panel listing and may not match the order on the HealthMeasures PDF. The official form's instruction line (Please respond to each question or statement by marking one box per row) and the HealthMeasures copyright line were not retrieved, so the instructions field is empty. The raw to T score conversion table was not retrieved.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In the past 7 days - My mind has been as sharp as usual</t>
        </is>
      </c>
      <c r="C32" s="24" t="inlineStr">
        <is>
          <t>Total</t>
        </is>
      </c>
      <c r="D32" s="24" t="inlineStr">
        <is>
          <t>FALSE</t>
        </is>
      </c>
      <c r="E32" s="24" t="inlineStr">
        <is>
          <t>FALSE</t>
        </is>
      </c>
      <c r="F32" s="24" t="inlineStr">
        <is>
          <t>LOINC 81497-0</t>
        </is>
      </c>
      <c r="G32" s="24" t="inlineStr">
        <is>
          <t>Not at all = 1 | A little bit = 2 | Somewhat = 3 | Quite a bit = 4 | Very much = 5</t>
        </is>
      </c>
    </row>
    <row r="33">
      <c r="A33" s="24" t="n">
        <v>2</v>
      </c>
      <c r="B33" s="24" t="inlineStr">
        <is>
          <t>In the past 7 days - My memory has been as good as usual</t>
        </is>
      </c>
      <c r="C33" s="24" t="inlineStr">
        <is>
          <t>Total</t>
        </is>
      </c>
      <c r="D33" s="24" t="inlineStr">
        <is>
          <t>FALSE</t>
        </is>
      </c>
      <c r="E33" s="24" t="inlineStr">
        <is>
          <t>FALSE</t>
        </is>
      </c>
      <c r="F33" s="24" t="inlineStr">
        <is>
          <t>LOINC 81498-8</t>
        </is>
      </c>
      <c r="G33" s="24" t="inlineStr">
        <is>
          <t>Not at all = 1 | A little bit = 2 | Somewhat = 3 | Quite a bit = 4 | Very much = 5</t>
        </is>
      </c>
    </row>
    <row r="34">
      <c r="A34" s="24" t="n">
        <v>3</v>
      </c>
      <c r="B34" s="24" t="inlineStr">
        <is>
          <t>In the past 7 days - My thinking has been as fast as usual</t>
        </is>
      </c>
      <c r="C34" s="24" t="inlineStr">
        <is>
          <t>Total</t>
        </is>
      </c>
      <c r="D34" s="24" t="inlineStr">
        <is>
          <t>FALSE</t>
        </is>
      </c>
      <c r="E34" s="24" t="inlineStr">
        <is>
          <t>FALSE</t>
        </is>
      </c>
      <c r="F34" s="24" t="inlineStr">
        <is>
          <t>LOINC 81499-6</t>
        </is>
      </c>
      <c r="G34" s="24" t="inlineStr">
        <is>
          <t>Not at all = 1 | A little bit = 2 | Somewhat = 3 | Quite a bit = 4 | Very much = 5</t>
        </is>
      </c>
    </row>
    <row r="35">
      <c r="A35" s="24" t="n">
        <v>4</v>
      </c>
      <c r="B35" s="24" t="inlineStr">
        <is>
          <t>In the past 7 days - I have been able to keep track of what I am doing, even if I am interrupted</t>
        </is>
      </c>
      <c r="C35" s="24" t="inlineStr">
        <is>
          <t>Total</t>
        </is>
      </c>
      <c r="D35" s="24" t="inlineStr">
        <is>
          <t>FALSE</t>
        </is>
      </c>
      <c r="E35" s="24" t="inlineStr">
        <is>
          <t>FALSE</t>
        </is>
      </c>
      <c r="F35" s="24" t="inlineStr">
        <is>
          <t>LOINC 81501-9</t>
        </is>
      </c>
      <c r="G35" s="24" t="inlineStr">
        <is>
          <t>Not at all = 1 | A little bit = 2 | Somewhat = 3 | Quite a bit = 4 | Very much = 5</t>
        </is>
      </c>
    </row>
    <row r="36">
      <c r="A36" s="24" t="n">
        <v>5</v>
      </c>
      <c r="B36" s="24" t="inlineStr">
        <is>
          <t>In the past 7 days - I have been able to concentrate</t>
        </is>
      </c>
      <c r="C36" s="24" t="inlineStr">
        <is>
          <t>Total</t>
        </is>
      </c>
      <c r="D36" s="24" t="inlineStr">
        <is>
          <t>FALSE</t>
        </is>
      </c>
      <c r="E36" s="24" t="inlineStr">
        <is>
          <t>FALSE</t>
        </is>
      </c>
      <c r="F36" s="24" t="inlineStr">
        <is>
          <t>LOINC 81502-7</t>
        </is>
      </c>
      <c r="G36" s="24" t="inlineStr">
        <is>
          <t>Not at all = 1 | A little bit = 2 | Somewhat = 3 | Quite a bit = 4 | Very much = 5</t>
        </is>
      </c>
    </row>
    <row r="37">
      <c r="A37" s="24" t="n">
        <v>6</v>
      </c>
      <c r="B37" s="24" t="inlineStr">
        <is>
          <t>In the past 7 days - I have been able to think as clearly as usual without extra effort</t>
        </is>
      </c>
      <c r="C37" s="24" t="inlineStr">
        <is>
          <t>Total</t>
        </is>
      </c>
      <c r="D37" s="24" t="inlineStr">
        <is>
          <t>FALSE</t>
        </is>
      </c>
      <c r="E37" s="24" t="inlineStr">
        <is>
          <t>FALSE</t>
        </is>
      </c>
      <c r="F37" s="24" t="inlineStr">
        <is>
          <t>LOINC 81507-6</t>
        </is>
      </c>
      <c r="G37" s="24" t="inlineStr">
        <is>
          <t>Not at all = 1 | A little bit = 2 | Somewhat = 3 | Quite a bit = 4 | Very much = 5</t>
        </is>
      </c>
    </row>
    <row r="38">
      <c r="A38" s="24" t="n">
        <v>7</v>
      </c>
      <c r="B38" s="24" t="inlineStr">
        <is>
          <t>In the past 7 days - I have been able to pay attention and keep track of what I am doing without extra effort</t>
        </is>
      </c>
      <c r="C38" s="24" t="inlineStr">
        <is>
          <t>Total</t>
        </is>
      </c>
      <c r="D38" s="24" t="inlineStr">
        <is>
          <t>FALSE</t>
        </is>
      </c>
      <c r="E38" s="24" t="inlineStr">
        <is>
          <t>FALSE</t>
        </is>
      </c>
      <c r="F38" s="24" t="inlineStr">
        <is>
          <t>LOINC 81495-4</t>
        </is>
      </c>
      <c r="G38" s="24" t="inlineStr">
        <is>
          <t>Not at all = 1 | A little bit = 2 | Somewhat = 3 | Quite a bit = 4 | Very much = 5</t>
        </is>
      </c>
    </row>
    <row r="39">
      <c r="A39" s="24" t="n">
        <v>8</v>
      </c>
      <c r="B39" s="24" t="inlineStr">
        <is>
          <t>In the past 7 days - I have been able to remember things as easily as usual without extra effort</t>
        </is>
      </c>
      <c r="C39" s="24" t="inlineStr">
        <is>
          <t>Total</t>
        </is>
      </c>
      <c r="D39" s="24" t="inlineStr">
        <is>
          <t>FALSE</t>
        </is>
      </c>
      <c r="E39" s="24" t="inlineStr">
        <is>
          <t>FALSE</t>
        </is>
      </c>
      <c r="F39" s="24" t="inlineStr">
        <is>
          <t>LOINC 81508-4</t>
        </is>
      </c>
      <c r="G39" s="24" t="inlineStr">
        <is>
          <t>Not at all = 1 | A little bit = 2 | Somewhat = 3 | Quite a bit = 4 | Very much = 5</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Cognitive Function Short Form 8a</t>
        </is>
      </c>
    </row>
    <row r="3">
      <c r="A3" s="37" t="inlineStr">
        <is>
          <t>Instrument</t>
        </is>
      </c>
      <c r="B3" s="24" t="inlineStr">
        <is>
          <t>PROMIS Cognitive Function Short Form 8a</t>
        </is>
      </c>
      <c r="C3" s="24" t="n"/>
      <c r="D3" s="24" t="n"/>
      <c r="E3" s="24" t="n"/>
      <c r="F3" s="24" t="n"/>
      <c r="G3" s="24" t="n"/>
    </row>
    <row r="4">
      <c r="A4" s="37" t="inlineStr">
        <is>
          <t>Code</t>
        </is>
      </c>
      <c r="B4" s="24" t="inlineStr">
        <is>
          <t>PROMIS-COGF-8A</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Perceived everyday cognitive difficulties in concentration, memory, mental speed and multitasking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t>
        </is>
      </c>
      <c r="C13" s="24" t="n"/>
      <c r="D13" s="24" t="n"/>
      <c r="E13" s="24" t="n"/>
      <c r="F13" s="24" t="n"/>
      <c r="G13" s="24" t="n"/>
    </row>
    <row r="14">
      <c r="A14" s="37" t="inlineStr">
        <is>
          <t>Coaching application</t>
        </is>
      </c>
      <c r="B14" s="24" t="inlineStr">
        <is>
          <t>Core self report proxy for executive functioning in coaching; sensitive to sleep, stress and mood, so interpret alongside those measures. 4a and 6a forms exist.</t>
        </is>
      </c>
      <c r="C14" s="24" t="n"/>
      <c r="D14" s="24" t="n"/>
      <c r="E14" s="24" t="n"/>
      <c r="F14" s="24" t="n"/>
      <c r="G14" s="24" t="n"/>
    </row>
    <row r="15">
      <c r="A15" s="37" t="inlineStr">
        <is>
          <t>Purpose</t>
        </is>
      </c>
      <c r="B15" s="24" t="inlineStr">
        <is>
          <t>Perceived everyday cognitive difficulties in concentration, memory, mental speed and multitasking over the past 7 days.</t>
        </is>
      </c>
      <c r="C15" s="24" t="n"/>
      <c r="D15" s="24" t="n"/>
      <c r="E15" s="24" t="n"/>
      <c r="F15" s="24" t="n"/>
      <c r="G15" s="24" t="n"/>
    </row>
    <row r="16">
      <c r="A16" s="37" t="inlineStr">
        <is>
          <t>Instructions / prompt</t>
        </is>
      </c>
      <c r="B16" s="24" t="inlineStr">
        <is>
          <t>In the past 7 days (item stem as recorded in the LOINC panel). The HealthMeasures form instruction "Please respond to each question or statement by marking one box per row" could not be confirmed from the fetched source.</t>
        </is>
      </c>
      <c r="C16" s="24" t="n"/>
      <c r="D16" s="24" t="n"/>
      <c r="E16" s="24" t="n"/>
      <c r="F16" s="24" t="n"/>
      <c r="G16" s="24" t="n"/>
    </row>
    <row r="17">
      <c r="A17" s="37" t="inlineStr">
        <is>
          <t>Response options</t>
        </is>
      </c>
      <c r="B17" s="24" t="inlineStr">
        <is>
          <t>Never = 5 | Rarely (once) = 4 | Sometimes (2-3 times) = 3 | Often (once a day) = 2 | Very often (Several times a day)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8 items (each 1 to 5, with Never scored 5) for a raw score of 8 to 40, then convert to a T score (mean 50, SD 10, referenced to the US general population) using the HealthMeasures Cognitive Function v2.0 scoring manual. Higher T scores indicate better perceived cognitive function. HealthMeasures suggests descriptive bands of within normal limits (T above 45), mild (40 to 45), moderate (30 to 40) and severe impairment (below 30) for symptom measures scored in the function direction; confirm against the current scoring manual.</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Lai, J.-S., Wagner, L. I., Jacobsen, P. B., &amp; Cella, D. (2014). Self-reported cognitive concerns and abilities: Two sides of one coin? Psycho-Oncology, 23(10), 1133–1141. https://doi.org/10.1002/pon.3522 (PROMIS Cognitive Function item bank). Instrument: PROMIS Health Organization. (2017). PROMIS Item Bank v2.0 – Cognitive Function – Short Form 8a. HealthMeasures.</t>
        </is>
      </c>
      <c r="C25" s="24" t="n"/>
      <c r="D25" s="24" t="n"/>
      <c r="E25" s="24" t="n"/>
      <c r="F25" s="24" t="n"/>
      <c r="G25" s="24" t="n"/>
    </row>
    <row r="26">
      <c r="A26" s="37" t="inlineStr">
        <is>
          <t>Copyright and licensing</t>
        </is>
      </c>
      <c r="B26" s="24" t="inlineStr">
        <is>
          <t>LOINC panel copyright line: "Copyright © 2010 PROMIS Health Organization or other individuals/entities that have contributed information and materials to Assessment Center, and are being used with the permission of the copyright holders." HealthMeasures Terms of Use: English PROMIS measures available without charge for research and individual clinical use with the copyright line retained; licence fees apply to translations and vendor platforms since 2024. Confirm current terms on Steps to License. Source: https://healthmeasures.net/implement/steps-to-license/</t>
        </is>
      </c>
      <c r="C26" s="24" t="n"/>
      <c r="D26" s="24" t="n"/>
      <c r="E26" s="24" t="n"/>
      <c r="F26" s="24" t="n"/>
      <c r="G26" s="24" t="n"/>
    </row>
    <row r="27">
      <c r="A27" s="37" t="inlineStr">
        <is>
          <t>Source URL</t>
        </is>
      </c>
      <c r="B27" s="24" t="inlineStr">
        <is>
          <t>https://loinc.org/81530-8/panel</t>
        </is>
      </c>
      <c r="C27" s="24" t="n"/>
      <c r="D27" s="24" t="n"/>
      <c r="E27" s="24" t="n"/>
      <c r="F27" s="24" t="n"/>
      <c r="G27" s="24" t="n"/>
    </row>
    <row r="28">
      <c r="A28" s="37" t="inlineStr">
        <is>
          <t>Transcription note</t>
        </is>
      </c>
      <c r="B28" s="24" t="inlineStr">
        <is>
          <t>The HealthMeasures search page (itemsUrl) is a form driven library with no readable PDF link, so the items were transcribed from the LOINC panel 81530-8 ("PROMIS short form - cognitive function 8a - version 2.0"), which records each item's text and answer list. LOINC stores the stem "In the past 7 days" as a prefix on each item; it is recorded once as the instructions here. LOINC item text omits terminal punctuation and the HealthMeasures form may print the items with full stops; wording is otherwise as given. Item order follows the LOINC panel order and may differ from the HealthMeasures PDF order. The response option values follow the LOINC answer list (Never = 5 through Very often = 1).</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My thinking has been slow</t>
        </is>
      </c>
      <c r="C32" s="24" t="inlineStr">
        <is>
          <t>Total</t>
        </is>
      </c>
      <c r="D32" s="24" t="inlineStr">
        <is>
          <t>FALSE</t>
        </is>
      </c>
      <c r="E32" s="24" t="inlineStr">
        <is>
          <t>FALSE</t>
        </is>
      </c>
      <c r="F32" s="24" t="inlineStr">
        <is>
          <t>LOINC 81461-6</t>
        </is>
      </c>
      <c r="G32" s="24" t="inlineStr">
        <is>
          <t>Never = 5 | Rarely (once) = 4 | Sometimes (2-3 times) = 3 | Often (once a day) = 2 | Very often (Several times a day) = 1</t>
        </is>
      </c>
    </row>
    <row r="33">
      <c r="A33" s="24" t="n">
        <v>2</v>
      </c>
      <c r="B33" s="24" t="inlineStr">
        <is>
          <t>It has seemed like my brain was not working as well as usual</t>
        </is>
      </c>
      <c r="C33" s="24" t="inlineStr">
        <is>
          <t>Total</t>
        </is>
      </c>
      <c r="D33" s="24" t="inlineStr">
        <is>
          <t>FALSE</t>
        </is>
      </c>
      <c r="E33" s="24" t="inlineStr">
        <is>
          <t>FALSE</t>
        </is>
      </c>
      <c r="F33" s="24" t="inlineStr">
        <is>
          <t>LOINC 81478-0</t>
        </is>
      </c>
      <c r="G33" s="24" t="inlineStr">
        <is>
          <t>Never = 5 | Rarely (once) = 4 | Sometimes (2-3 times) = 3 | Often (once a day) = 2 | Very often (Several times a day) = 1</t>
        </is>
      </c>
    </row>
    <row r="34">
      <c r="A34" s="24" t="n">
        <v>3</v>
      </c>
      <c r="B34" s="24" t="inlineStr">
        <is>
          <t>I have had to work harder than usual to keep track of what I was doing</t>
        </is>
      </c>
      <c r="C34" s="24" t="inlineStr">
        <is>
          <t>Total</t>
        </is>
      </c>
      <c r="D34" s="24" t="inlineStr">
        <is>
          <t>FALSE</t>
        </is>
      </c>
      <c r="E34" s="24" t="inlineStr">
        <is>
          <t>FALSE</t>
        </is>
      </c>
      <c r="F34" s="24" t="inlineStr">
        <is>
          <t>LOINC 81479-8</t>
        </is>
      </c>
      <c r="G34" s="24" t="inlineStr">
        <is>
          <t>Never = 5 | Rarely (once) = 4 | Sometimes (2-3 times) = 3 | Often (once a day) = 2 | Very often (Several times a day) = 1</t>
        </is>
      </c>
    </row>
    <row r="35">
      <c r="A35" s="24" t="n">
        <v>4</v>
      </c>
      <c r="B35" s="24" t="inlineStr">
        <is>
          <t>I have had trouble shifting back and forth between different activities that require thinking</t>
        </is>
      </c>
      <c r="C35" s="24" t="inlineStr">
        <is>
          <t>Total</t>
        </is>
      </c>
      <c r="D35" s="24" t="inlineStr">
        <is>
          <t>FALSE</t>
        </is>
      </c>
      <c r="E35" s="24" t="inlineStr">
        <is>
          <t>FALSE</t>
        </is>
      </c>
      <c r="F35" s="24" t="inlineStr">
        <is>
          <t>LOINC 81485-5</t>
        </is>
      </c>
      <c r="G35" s="24" t="inlineStr">
        <is>
          <t>Never = 5 | Rarely (once) = 4 | Sometimes (2-3 times) = 3 | Often (once a day) = 2 | Very often (Several times a day) = 1</t>
        </is>
      </c>
    </row>
    <row r="36">
      <c r="A36" s="24" t="n">
        <v>5</v>
      </c>
      <c r="B36" s="24" t="inlineStr">
        <is>
          <t>I have had trouble concentrating</t>
        </is>
      </c>
      <c r="C36" s="24" t="inlineStr">
        <is>
          <t>Total</t>
        </is>
      </c>
      <c r="D36" s="24" t="inlineStr">
        <is>
          <t>FALSE</t>
        </is>
      </c>
      <c r="E36" s="24" t="inlineStr">
        <is>
          <t>FALSE</t>
        </is>
      </c>
      <c r="F36" s="24" t="inlineStr">
        <is>
          <t>LOINC 81465-7</t>
        </is>
      </c>
      <c r="G36" s="24" t="inlineStr">
        <is>
          <t>Never = 5 | Rarely (once) = 4 | Sometimes (2-3 times) = 3 | Often (once a day) = 2 | Very often (Several times a day) = 1</t>
        </is>
      </c>
    </row>
    <row r="37">
      <c r="A37" s="24" t="n">
        <v>6</v>
      </c>
      <c r="B37" s="24" t="inlineStr">
        <is>
          <t>I have had to work really hard to pay attention or I would make a mistake</t>
        </is>
      </c>
      <c r="C37" s="24" t="inlineStr">
        <is>
          <t>Total</t>
        </is>
      </c>
      <c r="D37" s="24" t="inlineStr">
        <is>
          <t>FALSE</t>
        </is>
      </c>
      <c r="E37" s="24" t="inlineStr">
        <is>
          <t>FALSE</t>
        </is>
      </c>
      <c r="F37" s="24" t="inlineStr">
        <is>
          <t>LOINC 81474-9</t>
        </is>
      </c>
      <c r="G37" s="24" t="inlineStr">
        <is>
          <t>Never = 5 | Rarely (once) = 4 | Sometimes (2-3 times) = 3 | Often (once a day) = 2 | Very often (Several times a day) = 1</t>
        </is>
      </c>
    </row>
    <row r="38">
      <c r="A38" s="24" t="n">
        <v>7</v>
      </c>
      <c r="B38" s="24" t="inlineStr">
        <is>
          <t>I have had trouble forming thoughts</t>
        </is>
      </c>
      <c r="C38" s="24" t="inlineStr">
        <is>
          <t>Total</t>
        </is>
      </c>
      <c r="D38" s="24" t="inlineStr">
        <is>
          <t>FALSE</t>
        </is>
      </c>
      <c r="E38" s="24" t="inlineStr">
        <is>
          <t>FALSE</t>
        </is>
      </c>
      <c r="F38" s="24" t="inlineStr">
        <is>
          <t>LOINC 81460-8</t>
        </is>
      </c>
      <c r="G38" s="24" t="inlineStr">
        <is>
          <t>Never = 5 | Rarely (once) = 4 | Sometimes (2-3 times) = 3 | Often (once a day) = 2 | Very often (Several times a day) = 1</t>
        </is>
      </c>
    </row>
    <row r="39">
      <c r="A39" s="24" t="n">
        <v>8</v>
      </c>
      <c r="B39" s="24" t="inlineStr">
        <is>
          <t>I have had trouble adding or subtracting numbers in my head</t>
        </is>
      </c>
      <c r="C39" s="24" t="inlineStr">
        <is>
          <t>Total</t>
        </is>
      </c>
      <c r="D39" s="24" t="inlineStr">
        <is>
          <t>FALSE</t>
        </is>
      </c>
      <c r="E39" s="24" t="inlineStr">
        <is>
          <t>FALSE</t>
        </is>
      </c>
      <c r="F39" s="24" t="inlineStr">
        <is>
          <t>LOINC 81463-2</t>
        </is>
      </c>
      <c r="G39" s="24" t="inlineStr">
        <is>
          <t>Never = 5 | Rarely (once) = 4 | Sometimes (2-3 times) = 3 | Often (once a day) = 2 | Very often (Several times a day) = 1</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Fatigue Short Form 8a</t>
        </is>
      </c>
    </row>
    <row r="3">
      <c r="A3" s="37" t="inlineStr">
        <is>
          <t>Instrument</t>
        </is>
      </c>
      <c r="B3" s="24" t="inlineStr">
        <is>
          <t>PROMIS Fatigue Short Form 8a</t>
        </is>
      </c>
      <c r="C3" s="24" t="n"/>
      <c r="D3" s="24" t="n"/>
      <c r="E3" s="24" t="n"/>
      <c r="F3" s="24" t="n"/>
      <c r="G3" s="24" t="n"/>
    </row>
    <row r="4">
      <c r="A4" s="37" t="inlineStr">
        <is>
          <t>Code</t>
        </is>
      </c>
      <c r="B4" s="24" t="inlineStr">
        <is>
          <t>PROMIS-FAT-8A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Experience of fatigue and its interference with daily activities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Useful for burnout and energy management coaching; shorter 4a, 6a and 7a forms exist.</t>
        </is>
      </c>
      <c r="C14" s="24" t="n"/>
      <c r="D14" s="24" t="n"/>
      <c r="E14" s="24" t="n"/>
      <c r="F14" s="24" t="n"/>
      <c r="G14" s="24" t="n"/>
    </row>
    <row r="15">
      <c r="A15" s="37" t="inlineStr">
        <is>
          <t>Purpose</t>
        </is>
      </c>
      <c r="B15" s="24" t="inlineStr">
        <is>
          <t>Experience of fatigue and its interference with daily activities over the past 7 days.</t>
        </is>
      </c>
      <c r="C15" s="24" t="n"/>
      <c r="D15" s="24" t="n"/>
      <c r="E15" s="24" t="n"/>
      <c r="F15" s="24" t="n"/>
      <c r="G15" s="24" t="n"/>
    </row>
    <row r="16">
      <c r="A16" s="37" t="inlineStr">
        <is>
          <t>Instructions / prompt</t>
        </is>
      </c>
      <c r="B16" s="24" t="inlineStr">
        <is>
          <t>Please respond to each question or statement by marking one box per row. During the past 7 days...</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8 item responses (each 1 to 5) to give a raw score of 8 to 40, then convert the raw score to a T score (mean 50, SD 10 in the US general population) using the HealthMeasures scoring table for Fatigue 8a Adult v1.0 or the HealthMeasures Scoring Service; higher T scores indicate more fatigue. HealthMeasures descriptive bands for symptom measures: below 55 within normal limits, 55 to 59.9 mild, 60 to 69.9 moderate, 70 and above severe.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Cella, D., Riley, W., Stone, A., Rothrock, N., Reeve, B., Yount, S., Amtmann, D., Bode, R., Buysse, D., Choi, S., Cook, K., DeVellis, R., DeWalt, D., Fries, J. F., Gershon, R., Hahn, E. A., Lai, J.-S., Pilkonis, P., Revicki, D., ... Hays, R. (2010). The Patient-Reported Outcomes Measurement Information System (PROMIS) developed and tested its first wave of adult self-reported health outcome item banks: 2005–2008. Journal of Clinical Epidemiology, 63(11), 1179–1194. https://doi.org/10.1016/j.jclinepi.2010.04.011</t>
        </is>
      </c>
      <c r="C25" s="24" t="n"/>
      <c r="D25" s="24" t="n"/>
      <c r="E25" s="24" t="n"/>
      <c r="F25" s="24" t="n"/>
      <c r="G25" s="24" t="n"/>
    </row>
    <row r="26">
      <c r="A26" s="37" t="inlineStr">
        <is>
          <t>Copyright and licensing</t>
        </is>
      </c>
      <c r="B26" s="24" t="inlineStr">
        <is>
          <t>HealthMeasures Terms of Use: all English and Spanish versions of PROMIS and Neuro-QoL "are publicly available for use without licensing or royalty fees for individual research or individual clinical use." Copyright line on the form: "© 2008-2012 PROMIS Health Organization and PROMIS Cooperative Group".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https://psytests.org/diag/promF8en-bl.html (English item text) and https://heal.nih.gov/files/CDEs/2023-07/promis-fatigue-8a-crf.pdf (item codes, response values, copyright; Spanish Universal version)</t>
        </is>
      </c>
      <c r="C27" s="24" t="n"/>
      <c r="D27" s="24" t="n"/>
      <c r="E27" s="24" t="n"/>
      <c r="F27" s="24" t="n"/>
      <c r="G27" s="24" t="n"/>
    </row>
    <row r="28">
      <c r="A28" s="37" t="inlineStr">
        <is>
          <t>Transcription note</t>
        </is>
      </c>
      <c r="B28" s="24" t="inlineStr">
        <is>
          <t>The HealthMeasures measure library (itemsUrl) returned no measure pages or PDF links to WebFetch. English item text was transcribed from the psytests.org reproduction, which is not an official form, carries no copyright line and shows response labels without numeric values. Item codes (HI7, AN3, FATEXP41, FATEXP40, FATEXP35, FATIMP49, FATIMP3, FATIMP16), the 1 to 5 values, the 2 response sets (items 1 to 6 intensity, items 7 to 8 frequency), the instruction sentence and the copyright line were confirmed from the NIH HEAL case report form, which is the Spanish Universal version of the same 8a form; the English instruction sentence given here is the standard PROMIS wording matching that Spanish sentence and the English MAPP PROMIS Fatigue form ("Please respond to each question by marking one box per row."). The psytests page prints the stem as "During the past 7 days..." before item 1 and "In the past 7 days..." before item 7. The response labels for items 3 to 6 were inferred from the single label row printed above items 1 and 2 on both sources. Verify against the official HealthMeasures PDF before clinical use.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feel fatigued.</t>
        </is>
      </c>
      <c r="C32" s="24" t="inlineStr">
        <is>
          <t>Total</t>
        </is>
      </c>
      <c r="D32" s="24" t="inlineStr">
        <is>
          <t>FALSE</t>
        </is>
      </c>
      <c r="E32" s="24" t="inlineStr">
        <is>
          <t>FALSE</t>
        </is>
      </c>
      <c r="F32" s="24" t="inlineStr">
        <is>
          <t>Item code HI7; response set Not at all to Very much (1-5)</t>
        </is>
      </c>
      <c r="G32" s="24" t="inlineStr">
        <is>
          <t>Not at all = 1 | A little bit = 2 | Somewhat = 3 | Quite a bit = 4 | Very much = 5</t>
        </is>
      </c>
    </row>
    <row r="33">
      <c r="A33" s="24" t="n">
        <v>2</v>
      </c>
      <c r="B33" s="24" t="inlineStr">
        <is>
          <t>I have trouble starting things because I am tired.</t>
        </is>
      </c>
      <c r="C33" s="24" t="inlineStr">
        <is>
          <t>Total</t>
        </is>
      </c>
      <c r="D33" s="24" t="inlineStr">
        <is>
          <t>FALSE</t>
        </is>
      </c>
      <c r="E33" s="24" t="inlineStr">
        <is>
          <t>FALSE</t>
        </is>
      </c>
      <c r="F33" s="24" t="inlineStr">
        <is>
          <t>Item code AN3; response set Not at all to Very much (1-5)</t>
        </is>
      </c>
      <c r="G33" s="24" t="inlineStr">
        <is>
          <t>Not at all = 1 | A little bit = 2 | Somewhat = 3 | Quite a bit = 4 | Very much = 5</t>
        </is>
      </c>
    </row>
    <row r="34">
      <c r="A34" s="24" t="n">
        <v>3</v>
      </c>
      <c r="B34" s="24" t="inlineStr">
        <is>
          <t>How run-down did you feel on average?</t>
        </is>
      </c>
      <c r="C34" s="24" t="inlineStr">
        <is>
          <t>Total</t>
        </is>
      </c>
      <c r="D34" s="24" t="inlineStr">
        <is>
          <t>FALSE</t>
        </is>
      </c>
      <c r="E34" s="24" t="inlineStr">
        <is>
          <t>FALSE</t>
        </is>
      </c>
      <c r="F34" s="24" t="inlineStr">
        <is>
          <t>Item code FATEXP41; response set Not at all to Very much (1-5)</t>
        </is>
      </c>
      <c r="G34" s="24" t="inlineStr">
        <is>
          <t>Not at all = 1 | A little bit = 2 | Somewhat = 3 | Quite a bit = 4 | Very much = 5</t>
        </is>
      </c>
    </row>
    <row r="35">
      <c r="A35" s="24" t="n">
        <v>4</v>
      </c>
      <c r="B35" s="24" t="inlineStr">
        <is>
          <t>How fatigued were you on average?</t>
        </is>
      </c>
      <c r="C35" s="24" t="inlineStr">
        <is>
          <t>Total</t>
        </is>
      </c>
      <c r="D35" s="24" t="inlineStr">
        <is>
          <t>FALSE</t>
        </is>
      </c>
      <c r="E35" s="24" t="inlineStr">
        <is>
          <t>FALSE</t>
        </is>
      </c>
      <c r="F35" s="24" t="inlineStr">
        <is>
          <t>Item code FATEXP40; response set Not at all to Very much (1-5)</t>
        </is>
      </c>
      <c r="G35" s="24" t="inlineStr">
        <is>
          <t>Not at all = 1 | A little bit = 2 | Somewhat = 3 | Quite a bit = 4 | Very much = 5</t>
        </is>
      </c>
    </row>
    <row r="36">
      <c r="A36" s="24" t="n">
        <v>5</v>
      </c>
      <c r="B36" s="24" t="inlineStr">
        <is>
          <t>How much were you bothered by your fatigue on average?</t>
        </is>
      </c>
      <c r="C36" s="24" t="inlineStr">
        <is>
          <t>Total</t>
        </is>
      </c>
      <c r="D36" s="24" t="inlineStr">
        <is>
          <t>FALSE</t>
        </is>
      </c>
      <c r="E36" s="24" t="inlineStr">
        <is>
          <t>FALSE</t>
        </is>
      </c>
      <c r="F36" s="24" t="inlineStr">
        <is>
          <t>Item code FATEXP35; response set Not at all to Very much (1-5)</t>
        </is>
      </c>
      <c r="G36" s="24" t="inlineStr">
        <is>
          <t>Not at all = 1 | A little bit = 2 | Somewhat = 3 | Quite a bit = 4 | Very much = 5</t>
        </is>
      </c>
    </row>
    <row r="37">
      <c r="A37" s="24" t="n">
        <v>6</v>
      </c>
      <c r="B37" s="24" t="inlineStr">
        <is>
          <t>To what degree did your fatigue interfere with your physical functioning?</t>
        </is>
      </c>
      <c r="C37" s="24" t="inlineStr">
        <is>
          <t>Total</t>
        </is>
      </c>
      <c r="D37" s="24" t="inlineStr">
        <is>
          <t>FALSE</t>
        </is>
      </c>
      <c r="E37" s="24" t="inlineStr">
        <is>
          <t>FALSE</t>
        </is>
      </c>
      <c r="F37" s="24" t="inlineStr">
        <is>
          <t>Item code FATIMP49; response set Not at all to Very much (1-5)</t>
        </is>
      </c>
      <c r="G37" s="24" t="inlineStr">
        <is>
          <t>Not at all = 1 | A little bit = 2 | Somewhat = 3 | Quite a bit = 4 | Very much = 5</t>
        </is>
      </c>
    </row>
    <row r="38">
      <c r="A38" s="24" t="n">
        <v>7</v>
      </c>
      <c r="B38" s="24" t="inlineStr">
        <is>
          <t>How often did you have to push yourself to get things done because of your fatigue?</t>
        </is>
      </c>
      <c r="C38" s="24" t="inlineStr">
        <is>
          <t>Total</t>
        </is>
      </c>
      <c r="D38" s="24" t="inlineStr">
        <is>
          <t>FALSE</t>
        </is>
      </c>
      <c r="E38" s="24" t="inlineStr">
        <is>
          <t>FALSE</t>
        </is>
      </c>
      <c r="F38" s="24" t="inlineStr">
        <is>
          <t>Item code FATIMP3; response set Never, Rarely, Sometimes, Often, Always (1-5); stem "In the past 7 days..."</t>
        </is>
      </c>
      <c r="G38" s="24" t="inlineStr">
        <is>
          <t>Not at all = 1 | A little bit = 2 | Somewhat = 3 | Quite a bit = 4 | Very much = 5</t>
        </is>
      </c>
    </row>
    <row r="39">
      <c r="A39" s="24" t="n">
        <v>8</v>
      </c>
      <c r="B39" s="24" t="inlineStr">
        <is>
          <t>How often did you have trouble finishing things because of your fatigue?</t>
        </is>
      </c>
      <c r="C39" s="24" t="inlineStr">
        <is>
          <t>Total</t>
        </is>
      </c>
      <c r="D39" s="24" t="inlineStr">
        <is>
          <t>FALSE</t>
        </is>
      </c>
      <c r="E39" s="24" t="inlineStr">
        <is>
          <t>FALSE</t>
        </is>
      </c>
      <c r="F39" s="24" t="inlineStr">
        <is>
          <t>Item code FATIMP16; response set Never, Rarely, Sometimes, Often, Always (1-5); stem "In the past 7 days..."</t>
        </is>
      </c>
      <c r="G39" s="24" t="inlineStr">
        <is>
          <t>Not at all = 1 | A little bit = 2 | Somewhat = 3 | Quite a bit = 4 | Very much = 5</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General Self-Efficacy Short Form 4a</t>
        </is>
      </c>
    </row>
    <row r="3">
      <c r="A3" s="37" t="inlineStr">
        <is>
          <t>Instrument</t>
        </is>
      </c>
      <c r="B3" s="24" t="inlineStr">
        <is>
          <t>PROMIS General Self-Efficacy Short Form 4a</t>
        </is>
      </c>
      <c r="C3" s="24" t="n"/>
      <c r="D3" s="24" t="n"/>
      <c r="E3" s="24" t="n"/>
      <c r="F3" s="24" t="n"/>
      <c r="G3" s="24" t="n"/>
    </row>
    <row r="4">
      <c r="A4" s="37" t="inlineStr">
        <is>
          <t>Code</t>
        </is>
      </c>
      <c r="B4" s="24" t="inlineStr">
        <is>
          <t>PROMIS-GSE-4A</t>
        </is>
      </c>
      <c r="C4" s="24" t="n"/>
      <c r="D4" s="24" t="n"/>
      <c r="E4" s="24" t="n"/>
      <c r="F4" s="24" t="n"/>
      <c r="G4" s="24" t="n"/>
    </row>
    <row r="5">
      <c r="A5" s="37" t="inlineStr">
        <is>
          <t>Domain</t>
        </is>
      </c>
      <c r="B5" s="24" t="inlineStr">
        <is>
          <t>3. Adjacent occupational and wellbeing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Confidence in one's ability to handle problems, unexpected events and whatever arises.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4</v>
      </c>
      <c r="C10" s="24" t="n"/>
      <c r="D10" s="24" t="n"/>
      <c r="E10" s="24" t="n"/>
      <c r="F10" s="24" t="n"/>
      <c r="G10" s="24" t="n"/>
    </row>
    <row r="11">
      <c r="A11" s="37" t="inlineStr">
        <is>
          <t>Items reproduced here</t>
        </is>
      </c>
      <c r="B11" s="24" t="n">
        <v>4</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t>
        </is>
      </c>
      <c r="C13" s="24" t="n"/>
      <c r="D13" s="24" t="n"/>
      <c r="E13" s="24" t="n"/>
      <c r="F13" s="24" t="n"/>
      <c r="G13" s="24" t="n"/>
    </row>
    <row r="14">
      <c r="A14" s="37" t="inlineStr">
        <is>
          <t>Coaching application</t>
        </is>
      </c>
      <c r="B14" s="24" t="inlineStr">
        <is>
          <t>Very brief pre and post measure for goal pursuit and confidence building; derived from the Self-Efficacy for Managing Chronic Conditions item banks.</t>
        </is>
      </c>
      <c r="C14" s="24" t="n"/>
      <c r="D14" s="24" t="n"/>
      <c r="E14" s="24" t="n"/>
      <c r="F14" s="24" t="n"/>
      <c r="G14" s="24" t="n"/>
    </row>
    <row r="15">
      <c r="A15" s="37" t="inlineStr">
        <is>
          <t>Purpose</t>
        </is>
      </c>
      <c r="B15" s="24" t="inlineStr">
        <is>
          <t>Confidence in one's ability to handle problems, unexpected events and whatever arises.</t>
        </is>
      </c>
      <c r="C15" s="24" t="n"/>
      <c r="D15" s="24" t="n"/>
      <c r="E15" s="24" t="n"/>
      <c r="F15" s="24" t="n"/>
      <c r="G15" s="24" t="n"/>
    </row>
    <row r="16">
      <c r="A16" s="37" t="inlineStr">
        <is>
          <t>Instructions / prompt</t>
        </is>
      </c>
      <c r="B16" s="24" t="inlineStr">
        <is>
          <t>Please respond to each item by marking one box per row. For the next set of questions, please read each sentence and rate your level of confidence in managing various situations, problems, and events. Rate your level of confidence.</t>
        </is>
      </c>
      <c r="C16" s="24" t="n"/>
      <c r="D16" s="24" t="n"/>
      <c r="E16" s="24" t="n"/>
      <c r="F16" s="24" t="n"/>
      <c r="G16" s="24" t="n"/>
    </row>
    <row r="17">
      <c r="A17" s="37" t="inlineStr">
        <is>
          <t>Response options</t>
        </is>
      </c>
      <c r="B17" s="24" t="inlineStr">
        <is>
          <t>I am not at all confident = 1 | I am a little confident = 2 | I am somewhat confident = 3 | I am quite confident = 4 | I am very confident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4 items (1 to 5) for a raw score of 4 to 20, then convert to a T score (mean 50, SD 10) using the HealthMeasures General Self-Efficacy v1.0 scoring manual. Higher scores indicate greater general self efficacy. No clinical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Gruber-Baldini, A. L., Velozo, C., Romero, S., &amp; Shulman, L. M. (2017). Validation of the PROMIS® measures of self-efficacy for managing chronic conditions. Quality of Life Research, 26(7), 1915–1924. https://doi.org/10.1007/s11136-017-1527-3. Instrument: PROMIS Health Organization. (2015). PROMIS Item Bank v1.0 – General Self-Efficacy – Short Form 4a. HealthMeasures.</t>
        </is>
      </c>
      <c r="C25" s="24" t="n"/>
      <c r="D25" s="24" t="n"/>
      <c r="E25" s="24" t="n"/>
      <c r="F25" s="24" t="n"/>
      <c r="G25" s="24" t="n"/>
    </row>
    <row r="26">
      <c r="A26" s="37" t="inlineStr">
        <is>
          <t>Copyright and licensing</t>
        </is>
      </c>
      <c r="B26" s="24" t="inlineStr">
        <is>
          <t>HealthMeasures Terms of Use: English PROMIS measures available without charge for research and individual clinical use with the copyright line retained; licence fees apply to translations and vendor platforms since 2024. Confirm current terms on Steps to License. The PROMIS copyright line reads "© 2008-2015 PROMIS Health Organization" or similar on the official form and was not reproduced in the source used. Source: https://healthmeasures.net/implement/steps-to-license/</t>
        </is>
      </c>
      <c r="C26" s="24" t="n"/>
      <c r="D26" s="24" t="n"/>
      <c r="E26" s="24" t="n"/>
      <c r="F26" s="24" t="n"/>
      <c r="G26" s="24" t="n"/>
    </row>
    <row r="27">
      <c r="A27" s="37" t="inlineStr">
        <is>
          <t>Source URL</t>
        </is>
      </c>
      <c r="B27" s="24" t="inlineStr">
        <is>
          <t>https://cdn.clinicaltrials.gov/large-docs/37/NCT04059237/Prot_SAP_001.pdf</t>
        </is>
      </c>
      <c r="C27" s="24" t="n"/>
      <c r="D27" s="24" t="n"/>
      <c r="E27" s="24" t="n"/>
      <c r="F27" s="24" t="n"/>
      <c r="G27" s="24" t="n"/>
    </row>
    <row r="28">
      <c r="A28" s="37" t="inlineStr">
        <is>
          <t>Transcription note</t>
        </is>
      </c>
      <c r="B28" s="24" t="inlineStr">
        <is>
          <t>The HealthMeasures search page (itemsUrl) exposes no readable PDF, the NIH HEAL CRF PDF redirected to a landing page, and no LOINC panel for the general self efficacy 4a form was located. The items, instructions and response options were transcribed from Appendix K ("PROMIS Self Efficacy, General Self Efficacy") of a ClinicalTrials.gov protocol (NCT04059237) that reproduces the form. The official HealthMeasures form instruction may read differently (the standard PROMIS wording is "Please respond to each item by marking one box per row" followed by "CURRENT level of confidence"), the version number and the PROMIS copyright line were not reproduced in that appendix, and the item order should be checked against the official PDF before clinical use. The PhenX protocol 180606 at the same name is the 10 item NIH Toolbox Self-Efficacy fixed form, not this PROMIS short form, and was not used. Second pass: first instruction line restored from the ClinicalTrials.gov appendix.</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can manage to solve difficult problems if I try hard enough.</t>
        </is>
      </c>
      <c r="C32" s="24" t="inlineStr">
        <is>
          <t>Total</t>
        </is>
      </c>
      <c r="D32" s="24" t="inlineStr">
        <is>
          <t>FALSE</t>
        </is>
      </c>
      <c r="E32" s="24" t="inlineStr">
        <is>
          <t>FALSE</t>
        </is>
      </c>
      <c r="F32" s="24" t="n"/>
      <c r="G32" s="24" t="inlineStr">
        <is>
          <t>I am not at all confident = 1 | I am a little confident = 2 | I am somewhat confident = 3 | I am quite confident = 4 | I am very confident = 5</t>
        </is>
      </c>
    </row>
    <row r="33">
      <c r="A33" s="24" t="n">
        <v>2</v>
      </c>
      <c r="B33" s="24" t="inlineStr">
        <is>
          <t>I am confident that I could deal efficiently with unexpected events.</t>
        </is>
      </c>
      <c r="C33" s="24" t="inlineStr">
        <is>
          <t>Total</t>
        </is>
      </c>
      <c r="D33" s="24" t="inlineStr">
        <is>
          <t>FALSE</t>
        </is>
      </c>
      <c r="E33" s="24" t="inlineStr">
        <is>
          <t>FALSE</t>
        </is>
      </c>
      <c r="F33" s="24" t="n"/>
      <c r="G33" s="24" t="inlineStr">
        <is>
          <t>I am not at all confident = 1 | I am a little confident = 2 | I am somewhat confident = 3 | I am quite confident = 4 | I am very confident = 5</t>
        </is>
      </c>
    </row>
    <row r="34">
      <c r="A34" s="24" t="n">
        <v>3</v>
      </c>
      <c r="B34" s="24" t="inlineStr">
        <is>
          <t>If I am in trouble, I can think of a solution.</t>
        </is>
      </c>
      <c r="C34" s="24" t="inlineStr">
        <is>
          <t>Total</t>
        </is>
      </c>
      <c r="D34" s="24" t="inlineStr">
        <is>
          <t>FALSE</t>
        </is>
      </c>
      <c r="E34" s="24" t="inlineStr">
        <is>
          <t>FALSE</t>
        </is>
      </c>
      <c r="F34" s="24" t="n"/>
      <c r="G34" s="24" t="inlineStr">
        <is>
          <t>I am not at all confident = 1 | I am a little confident = 2 | I am somewhat confident = 3 | I am quite confident = 4 | I am very confident = 5</t>
        </is>
      </c>
    </row>
    <row r="35">
      <c r="A35" s="24" t="n">
        <v>4</v>
      </c>
      <c r="B35" s="24" t="inlineStr">
        <is>
          <t>I can handle whatever comes my way.</t>
        </is>
      </c>
      <c r="C35" s="24" t="inlineStr">
        <is>
          <t>Total</t>
        </is>
      </c>
      <c r="D35" s="24" t="inlineStr">
        <is>
          <t>FALSE</t>
        </is>
      </c>
      <c r="E35" s="24" t="inlineStr">
        <is>
          <t>FALSE</t>
        </is>
      </c>
      <c r="F35" s="24" t="n"/>
      <c r="G35" s="24" t="inlineStr">
        <is>
          <t>I am not at all confident = 1 | I am a little confident = 2 | I am somewhat confident = 3 | I am quite confident = 4 | I am very confident = 5</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Meaning and Purpose Short Form 8a</t>
        </is>
      </c>
    </row>
    <row r="3">
      <c r="A3" s="37" t="inlineStr">
        <is>
          <t>Instrument</t>
        </is>
      </c>
      <c r="B3" s="24" t="inlineStr">
        <is>
          <t>PROMIS Meaning and Purpose Short Form 8a</t>
        </is>
      </c>
      <c r="C3" s="24" t="n"/>
      <c r="D3" s="24" t="n"/>
      <c r="E3" s="24" t="n"/>
      <c r="F3" s="24" t="n"/>
      <c r="G3" s="24" t="n"/>
    </row>
    <row r="4">
      <c r="A4" s="37" t="inlineStr">
        <is>
          <t>Code</t>
        </is>
      </c>
      <c r="B4" s="24" t="inlineStr">
        <is>
          <t>PROMIS-MP-8A</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Sense that one's life has meaning, direction and purpose.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Fits values and purpose based coaching; developed within the PROMIS psychological wellbeing item banks alongside Positive Affect and Life Satisfaction.</t>
        </is>
      </c>
      <c r="C14" s="24" t="n"/>
      <c r="D14" s="24" t="n"/>
      <c r="E14" s="24" t="n"/>
      <c r="F14" s="24" t="n"/>
      <c r="G14" s="24" t="n"/>
    </row>
    <row r="15">
      <c r="A15" s="37" t="inlineStr">
        <is>
          <t>Purpose</t>
        </is>
      </c>
      <c r="B15" s="24" t="inlineStr">
        <is>
          <t>Sense that one's life has meaning, direction and purpose.</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Strongly disagree = 1 | 2 = 2 | 3 = 3 | 4 = 4 | Strongly agree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Each item is rated on a 5 point scale scored 1 to 5. Sum the 8 responses (8 to 40) and convert to a T score (mean 50, SD 10 in the US general population) using the HealthMeasures scoring table or Scoring Service; higher T scores indicate a stronger sense of meaning and purpose. No clinical cut offs are published; HealthMeasures reports T scores relative to the general population mean.</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Salsman, J. M., Schalet, B. D., Park, C. L., George, L., Steger, M. F., Hahn, E. A., Snyder, M. A., &amp; Cella, D. (2020). Assessing meaning &amp; purpose in life: Development and validation of an item bank and short forms for the NIH PROMIS®. Quality of Life Research, 29(8), 2299–2310. https://doi.org/10.1007/s11136-020-02489-3</t>
        </is>
      </c>
      <c r="C25" s="24" t="n"/>
      <c r="D25" s="24" t="n"/>
      <c r="E25" s="24" t="n"/>
      <c r="F25" s="24" t="n"/>
      <c r="G25" s="24" t="n"/>
    </row>
    <row r="26">
      <c r="A26" s="37" t="inlineStr">
        <is>
          <t>Copyright and licensing</t>
        </is>
      </c>
      <c r="B26" s="24" t="inlineStr">
        <is>
          <t>HealthMeasures Terms of Use: all English and Spanish versions of PROMIS and Neuro-QoL "are publicly available for use without licensing or royalty fees for individual research or individual clinical use." LOINC panels carry the line "Copyright © 2010 PROMIS Health Organization or other individuals/entities that have contributed information and materials" and state that use of PROMIS instruments is subject to the PROMIS Terms and Conditions.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https://pmc.ncbi.nlm.nih.gov/articles/PMC7367748 (Salsman et al., 2020, Table 3, 8 item short form column)</t>
        </is>
      </c>
      <c r="C27" s="24" t="n"/>
      <c r="D27" s="24" t="n"/>
      <c r="E27" s="24" t="n"/>
      <c r="F27" s="24" t="n"/>
      <c r="G27" s="24" t="n"/>
    </row>
    <row r="28">
      <c r="A28" s="37" t="inlineStr">
        <is>
          <t>Transcription note</t>
        </is>
      </c>
      <c r="B28" s="24" t="inlineStr">
        <is>
          <t>The HealthMeasures measure library (itemsUrl) returned no measure pages or PDF links to WebFetch, and the only LOINC panels reachable were the pediatric and parent proxy forms. The 8 adult items were transcribed from the 8 item short form column of Table 3 in the open access development article (Salsman et al., 2020, PMC7367748). That article gives no item codes, no instructions and no numeric values; it states the bank uses 5 point scales from "strongly disagree" to "strongly agree" and from "not at all" to "very much", and does not say which format each short form item uses. The response options above assume the agreement format named in the target record with values 1 to 5 and leave the 3 intermediate labels blank. Verify item order, response labels and instructions against the official HealthMeasures PDF before clinical use.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My life has meaning.</t>
        </is>
      </c>
      <c r="C32" s="24" t="inlineStr">
        <is>
          <t>Total</t>
        </is>
      </c>
      <c r="D32" s="24" t="inlineStr">
        <is>
          <t>FALSE</t>
        </is>
      </c>
      <c r="E32" s="24" t="inlineStr">
        <is>
          <t>FALSE</t>
        </is>
      </c>
      <c r="F32" s="24" t="n"/>
      <c r="G32" s="24" t="inlineStr">
        <is>
          <t>Strongly disagree = 1 | 2 = 2 | 3 = 3 | 4 = 4 | Strongly agree = 5</t>
        </is>
      </c>
    </row>
    <row r="33">
      <c r="A33" s="24" t="n">
        <v>2</v>
      </c>
      <c r="B33" s="24" t="inlineStr">
        <is>
          <t>I have a clear sense of direction in life.</t>
        </is>
      </c>
      <c r="C33" s="24" t="inlineStr">
        <is>
          <t>Total</t>
        </is>
      </c>
      <c r="D33" s="24" t="inlineStr">
        <is>
          <t>FALSE</t>
        </is>
      </c>
      <c r="E33" s="24" t="inlineStr">
        <is>
          <t>FALSE</t>
        </is>
      </c>
      <c r="F33" s="24" t="n"/>
      <c r="G33" s="24" t="inlineStr">
        <is>
          <t>Strongly disagree = 1 | 2 = 2 | 3 = 3 | 4 = 4 | Strongly agree = 5</t>
        </is>
      </c>
    </row>
    <row r="34">
      <c r="A34" s="24" t="n">
        <v>3</v>
      </c>
      <c r="B34" s="24" t="inlineStr">
        <is>
          <t>I experience deep fulfillment in my life.</t>
        </is>
      </c>
      <c r="C34" s="24" t="inlineStr">
        <is>
          <t>Total</t>
        </is>
      </c>
      <c r="D34" s="24" t="inlineStr">
        <is>
          <t>FALSE</t>
        </is>
      </c>
      <c r="E34" s="24" t="inlineStr">
        <is>
          <t>FALSE</t>
        </is>
      </c>
      <c r="F34" s="24" t="n"/>
      <c r="G34" s="24" t="inlineStr">
        <is>
          <t>Strongly disagree = 1 | 2 = 2 | 3 = 3 | 4 = 4 | Strongly agree = 5</t>
        </is>
      </c>
    </row>
    <row r="35">
      <c r="A35" s="24" t="n">
        <v>4</v>
      </c>
      <c r="B35" s="24" t="inlineStr">
        <is>
          <t>My life has purpose.</t>
        </is>
      </c>
      <c r="C35" s="24" t="inlineStr">
        <is>
          <t>Total</t>
        </is>
      </c>
      <c r="D35" s="24" t="inlineStr">
        <is>
          <t>FALSE</t>
        </is>
      </c>
      <c r="E35" s="24" t="inlineStr">
        <is>
          <t>FALSE</t>
        </is>
      </c>
      <c r="F35" s="24" t="n"/>
      <c r="G35" s="24" t="inlineStr">
        <is>
          <t>Strongly disagree = 1 | 2 = 2 | 3 = 3 | 4 = 4 | Strongly agree = 5</t>
        </is>
      </c>
    </row>
    <row r="36">
      <c r="A36" s="24" t="n">
        <v>5</v>
      </c>
      <c r="B36" s="24" t="inlineStr">
        <is>
          <t>I have a good sense of what makes my life meaningful.</t>
        </is>
      </c>
      <c r="C36" s="24" t="inlineStr">
        <is>
          <t>Total</t>
        </is>
      </c>
      <c r="D36" s="24" t="inlineStr">
        <is>
          <t>FALSE</t>
        </is>
      </c>
      <c r="E36" s="24" t="inlineStr">
        <is>
          <t>FALSE</t>
        </is>
      </c>
      <c r="F36" s="24" t="n"/>
      <c r="G36" s="24" t="inlineStr">
        <is>
          <t>Strongly disagree = 1 | 2 = 2 | 3 = 3 | 4 = 4 | Strongly agree = 5</t>
        </is>
      </c>
    </row>
    <row r="37">
      <c r="A37" s="24" t="n">
        <v>6</v>
      </c>
      <c r="B37" s="24" t="inlineStr">
        <is>
          <t>I have very clear goals and aims for my life.</t>
        </is>
      </c>
      <c r="C37" s="24" t="inlineStr">
        <is>
          <t>Total</t>
        </is>
      </c>
      <c r="D37" s="24" t="inlineStr">
        <is>
          <t>FALSE</t>
        </is>
      </c>
      <c r="E37" s="24" t="inlineStr">
        <is>
          <t>FALSE</t>
        </is>
      </c>
      <c r="F37" s="24" t="n"/>
      <c r="G37" s="24" t="inlineStr">
        <is>
          <t>Strongly disagree = 1 | 2 = 2 | 3 = 3 | 4 = 4 | Strongly agree = 5</t>
        </is>
      </c>
    </row>
    <row r="38">
      <c r="A38" s="24" t="n">
        <v>7</v>
      </c>
      <c r="B38" s="24" t="inlineStr">
        <is>
          <t>I generally feel that what I do in my life is valuable and worthwhile.</t>
        </is>
      </c>
      <c r="C38" s="24" t="inlineStr">
        <is>
          <t>Total</t>
        </is>
      </c>
      <c r="D38" s="24" t="inlineStr">
        <is>
          <t>FALSE</t>
        </is>
      </c>
      <c r="E38" s="24" t="inlineStr">
        <is>
          <t>FALSE</t>
        </is>
      </c>
      <c r="F38" s="24" t="n"/>
      <c r="G38" s="24" t="inlineStr">
        <is>
          <t>Strongly disagree = 1 | 2 = 2 | 3 = 3 | 4 = 4 | Strongly agree = 5</t>
        </is>
      </c>
    </row>
    <row r="39">
      <c r="A39" s="24" t="n">
        <v>8</v>
      </c>
      <c r="B39" s="24" t="inlineStr">
        <is>
          <t>My life has significance.</t>
        </is>
      </c>
      <c r="C39" s="24" t="inlineStr">
        <is>
          <t>Total</t>
        </is>
      </c>
      <c r="D39" s="24" t="inlineStr">
        <is>
          <t>FALSE</t>
        </is>
      </c>
      <c r="E39" s="24" t="inlineStr">
        <is>
          <t>FALSE</t>
        </is>
      </c>
      <c r="F39" s="24" t="n"/>
      <c r="G39" s="24" t="inlineStr">
        <is>
          <t>Strongly disagree = 1 | 2 = 2 | 3 = 3 | 4 = 4 | Strongly agree = 5</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Satisfaction with Social Roles and Activities Short Form 8a</t>
        </is>
      </c>
    </row>
    <row r="3">
      <c r="A3" s="37" t="inlineStr">
        <is>
          <t>Instrument</t>
        </is>
      </c>
      <c r="B3" s="24" t="inlineStr">
        <is>
          <t>PROMIS Satisfaction with Social Roles and Activities Short Form 8a</t>
        </is>
      </c>
      <c r="C3" s="24" t="n"/>
      <c r="D3" s="24" t="n"/>
      <c r="E3" s="24" t="n"/>
      <c r="F3" s="24" t="n"/>
      <c r="G3" s="24" t="n"/>
    </row>
    <row r="4">
      <c r="A4" s="37" t="inlineStr">
        <is>
          <t>Code</t>
        </is>
      </c>
      <c r="B4" s="24" t="inlineStr">
        <is>
          <t>PROMIS-SSRA-8A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Satisfaction with performance of usual social roles and activities, including work, family and leisure responsibilities.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Pairs with the Ability form to separate capacity from satisfaction, a distinction that often drives career and work life coaching goals.</t>
        </is>
      </c>
      <c r="C14" s="24" t="n"/>
      <c r="D14" s="24" t="n"/>
      <c r="E14" s="24" t="n"/>
      <c r="F14" s="24" t="n"/>
      <c r="G14" s="24" t="n"/>
    </row>
    <row r="15">
      <c r="A15" s="37" t="inlineStr">
        <is>
          <t>Purpose</t>
        </is>
      </c>
      <c r="B15" s="24" t="inlineStr">
        <is>
          <t>Satisfaction with performance of usual social roles and activities, including work, family and leisure responsibilities.</t>
        </is>
      </c>
      <c r="C15" s="24" t="n"/>
      <c r="D15" s="24" t="n"/>
      <c r="E15" s="24" t="n"/>
      <c r="F15" s="24" t="n"/>
      <c r="G15" s="24" t="n"/>
    </row>
    <row r="16">
      <c r="A16" s="37" t="inlineStr">
        <is>
          <t>Instructions / prompt</t>
        </is>
      </c>
      <c r="B16" s="24" t="inlineStr">
        <is>
          <t>Not stated on source</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(Not at all) to 5 (Very much), no reverse keying, sum to a raw score of 8 to 40 (all items answered), then convert to a T score (mean 50, SD 10 in the US general population) with the HealthMeasures conversion table for Satisfaction with Social Roles and Activities 8a v2.0; higher T scores indicate greater satisfaction. HealthMeasures bands for positively keyed measures: 40 to 45 mild impairment, 30 to 40 moderate, below 30 severe (approximate; confirm in the current scoring manual). The raw to T conversion table could not be retrieved and is not reproduced here.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Hahn, E. A., DeWalt, D. A., Bode, R. K., Garcia, S. F., DeVellis, R. F., Correia, H., &amp; Cella, D. (2014). New English and Spanish social health measures will facilitate evaluating health determinants. Health Psychology, 33(5), 490–499. https://doi.org/10.1037/hea0000055</t>
        </is>
      </c>
      <c r="C25" s="24" t="n"/>
      <c r="D25" s="24" t="n"/>
      <c r="E25" s="24" t="n"/>
      <c r="F25" s="24" t="n"/>
      <c r="G25" s="24" t="n"/>
    </row>
    <row r="26">
      <c r="A26" s="37" t="inlineStr">
        <is>
          <t>Copyright and licensing</t>
        </is>
      </c>
      <c r="B26"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https://loinc.org/76800-2/panel</t>
        </is>
      </c>
      <c r="C27" s="24" t="n"/>
      <c r="D27" s="24" t="n"/>
      <c r="E27" s="24" t="n"/>
      <c r="F27" s="24" t="n"/>
      <c r="G27" s="24" t="n"/>
    </row>
    <row r="28">
      <c r="A28" s="37" t="inlineStr">
        <is>
          <t>Transcription note</t>
        </is>
      </c>
      <c r="B28" s="24" t="inlineStr">
        <is>
          <t>healthmeasures.net search pages are behind a form, the NIH HEAL CRF PDF redirected to a landing page and the HealthMeasures scoring manual URL failed, so no official PDF could be read. Items (text and order) and the normative answer list LL1017-4 (Not at all 1 to Very much 5) were transcribed from the LOINC panel 76800-2 (PROMIS short form - satisfaction with social roles and activities 8a - version 2.0). LOINC does not show PROMIS item IDs (SRPSAT codes) or respondent instructions for this panel, so instructions is left empty; the standard PROMIS instruction for this bank is a single line asking the respondent to mark one box per row with no recall period, but it was not seen in a fetched source. The T score conversion table was not retrievable from an open source and the interpretive bands in scoring are HealthMeasures' general guidance rather than text from a fetched document.</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am satisfied with my ability to do things for my family</t>
        </is>
      </c>
      <c r="C32" s="24" t="inlineStr">
        <is>
          <t>Total</t>
        </is>
      </c>
      <c r="D32" s="24" t="inlineStr">
        <is>
          <t>FALSE</t>
        </is>
      </c>
      <c r="E32" s="24" t="inlineStr">
        <is>
          <t>FALSE</t>
        </is>
      </c>
      <c r="F32" s="24" t="inlineStr">
        <is>
          <t>LOINC 76737-6</t>
        </is>
      </c>
      <c r="G32" s="24" t="inlineStr">
        <is>
          <t>Not at all = 1 | A little bit = 2 | Somewhat = 3 | Quite a bit = 4 | Very much = 5</t>
        </is>
      </c>
    </row>
    <row r="33">
      <c r="A33" s="24" t="n">
        <v>2</v>
      </c>
      <c r="B33" s="24" t="inlineStr">
        <is>
          <t>I am satisfied with my ability to do things for fun with others</t>
        </is>
      </c>
      <c r="C33" s="24" t="inlineStr">
        <is>
          <t>Total</t>
        </is>
      </c>
      <c r="D33" s="24" t="inlineStr">
        <is>
          <t>FALSE</t>
        </is>
      </c>
      <c r="E33" s="24" t="inlineStr">
        <is>
          <t>FALSE</t>
        </is>
      </c>
      <c r="F33" s="24" t="inlineStr">
        <is>
          <t>LOINC 76740-0</t>
        </is>
      </c>
      <c r="G33" s="24" t="inlineStr">
        <is>
          <t>Not at all = 1 | A little bit = 2 | Somewhat = 3 | Quite a bit = 4 | Very much = 5</t>
        </is>
      </c>
    </row>
    <row r="34">
      <c r="A34" s="24" t="n">
        <v>3</v>
      </c>
      <c r="B34" s="24" t="inlineStr">
        <is>
          <t>I feel good about my ability to do things for my friends</t>
        </is>
      </c>
      <c r="C34" s="24" t="inlineStr">
        <is>
          <t>Total</t>
        </is>
      </c>
      <c r="D34" s="24" t="inlineStr">
        <is>
          <t>FALSE</t>
        </is>
      </c>
      <c r="E34" s="24" t="inlineStr">
        <is>
          <t>FALSE</t>
        </is>
      </c>
      <c r="F34" s="24" t="inlineStr">
        <is>
          <t>LOINC 76741-8</t>
        </is>
      </c>
      <c r="G34" s="24" t="inlineStr">
        <is>
          <t>Not at all = 1 | A little bit = 2 | Somewhat = 3 | Quite a bit = 4 | Very much = 5</t>
        </is>
      </c>
    </row>
    <row r="35">
      <c r="A35" s="24" t="n">
        <v>4</v>
      </c>
      <c r="B35" s="24" t="inlineStr">
        <is>
          <t>I am satisfied with my ability to perform my daily routines</t>
        </is>
      </c>
      <c r="C35" s="24" t="inlineStr">
        <is>
          <t>Total</t>
        </is>
      </c>
      <c r="D35" s="24" t="inlineStr">
        <is>
          <t>FALSE</t>
        </is>
      </c>
      <c r="E35" s="24" t="inlineStr">
        <is>
          <t>FALSE</t>
        </is>
      </c>
      <c r="F35" s="24" t="inlineStr">
        <is>
          <t>LOINC 76744-2</t>
        </is>
      </c>
      <c r="G35" s="24" t="inlineStr">
        <is>
          <t>Not at all = 1 | A little bit = 2 | Somewhat = 3 | Quite a bit = 4 | Very much = 5</t>
        </is>
      </c>
    </row>
    <row r="36">
      <c r="A36" s="24" t="n">
        <v>5</v>
      </c>
      <c r="B36" s="24" t="inlineStr">
        <is>
          <t>I am satisfied with my ability to do things for fun outside my home</t>
        </is>
      </c>
      <c r="C36" s="24" t="inlineStr">
        <is>
          <t>Total</t>
        </is>
      </c>
      <c r="D36" s="24" t="inlineStr">
        <is>
          <t>FALSE</t>
        </is>
      </c>
      <c r="E36" s="24" t="inlineStr">
        <is>
          <t>FALSE</t>
        </is>
      </c>
      <c r="F36" s="24" t="inlineStr">
        <is>
          <t>LOINC 76739-2</t>
        </is>
      </c>
      <c r="G36" s="24" t="inlineStr">
        <is>
          <t>Not at all = 1 | A little bit = 2 | Somewhat = 3 | Quite a bit = 4 | Very much = 5</t>
        </is>
      </c>
    </row>
    <row r="37">
      <c r="A37" s="24" t="n">
        <v>6</v>
      </c>
      <c r="B37" s="24" t="inlineStr">
        <is>
          <t>I am satisfied with my ability to meet the needs of my friends</t>
        </is>
      </c>
      <c r="C37" s="24" t="inlineStr">
        <is>
          <t>Total</t>
        </is>
      </c>
      <c r="D37" s="24" t="inlineStr">
        <is>
          <t>FALSE</t>
        </is>
      </c>
      <c r="E37" s="24" t="inlineStr">
        <is>
          <t>FALSE</t>
        </is>
      </c>
      <c r="F37" s="24" t="inlineStr">
        <is>
          <t>LOINC 76743-4</t>
        </is>
      </c>
      <c r="G37" s="24" t="inlineStr">
        <is>
          <t>Not at all = 1 | A little bit = 2 | Somewhat = 3 | Quite a bit = 4 | Very much = 5</t>
        </is>
      </c>
    </row>
    <row r="38">
      <c r="A38" s="24" t="n">
        <v>7</v>
      </c>
      <c r="B38" s="24" t="inlineStr">
        <is>
          <t>I am satisfied with my ability to do the work that is really important to me (include work at home)</t>
        </is>
      </c>
      <c r="C38" s="24" t="inlineStr">
        <is>
          <t>Total</t>
        </is>
      </c>
      <c r="D38" s="24" t="inlineStr">
        <is>
          <t>FALSE</t>
        </is>
      </c>
      <c r="E38" s="24" t="inlineStr">
        <is>
          <t>FALSE</t>
        </is>
      </c>
      <c r="F38" s="24" t="inlineStr">
        <is>
          <t>LOINC 76738-4</t>
        </is>
      </c>
      <c r="G38" s="24" t="inlineStr">
        <is>
          <t>Not at all = 1 | A little bit = 2 | Somewhat = 3 | Quite a bit = 4 | Very much = 5</t>
        </is>
      </c>
    </row>
    <row r="39">
      <c r="A39" s="24" t="n">
        <v>8</v>
      </c>
      <c r="B39" s="24" t="inlineStr">
        <is>
          <t>I am satisfied with my ability to meet the needs of my family</t>
        </is>
      </c>
      <c r="C39" s="24" t="inlineStr">
        <is>
          <t>Total</t>
        </is>
      </c>
      <c r="D39" s="24" t="inlineStr">
        <is>
          <t>FALSE</t>
        </is>
      </c>
      <c r="E39" s="24" t="inlineStr">
        <is>
          <t>FALSE</t>
        </is>
      </c>
      <c r="F39" s="24" t="inlineStr">
        <is>
          <t>LOINC 76742-6</t>
        </is>
      </c>
      <c r="G39" s="24" t="inlineStr">
        <is>
          <t>Not at all = 1 | A little bit = 2 | Somewhat = 3 | Quite a bit = 4 | Very much = 5</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Sleep Disturbance Short Form 8a</t>
        </is>
      </c>
    </row>
    <row r="3">
      <c r="A3" s="37" t="inlineStr">
        <is>
          <t>Instrument</t>
        </is>
      </c>
      <c r="B3" s="24" t="inlineStr">
        <is>
          <t>PROMIS Sleep Disturbance Short Form 8a</t>
        </is>
      </c>
      <c r="C3" s="24" t="n"/>
      <c r="D3" s="24" t="n"/>
      <c r="E3" s="24" t="n"/>
      <c r="F3" s="24" t="n"/>
      <c r="G3" s="24" t="n"/>
    </row>
    <row r="4">
      <c r="A4" s="37" t="inlineStr">
        <is>
          <t>Code</t>
        </is>
      </c>
      <c r="B4" s="24" t="inlineStr">
        <is>
          <t>PROMIS-SD-8A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Perceived sleep quality, depth and restoration and difficulty initiating or maintaining sleep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t>
        </is>
      </c>
      <c r="C13" s="24" t="n"/>
      <c r="D13" s="24" t="n"/>
      <c r="E13" s="24" t="n"/>
      <c r="F13" s="24" t="n"/>
      <c r="G13" s="24" t="n"/>
    </row>
    <row r="14">
      <c r="A14" s="37" t="inlineStr">
        <is>
          <t>Coaching application</t>
        </is>
      </c>
      <c r="B14" s="24" t="inlineStr">
        <is>
          <t>Baseline and progress measure for sleep routine goals; 4a and 6a forms are available.</t>
        </is>
      </c>
      <c r="C14" s="24" t="n"/>
      <c r="D14" s="24" t="n"/>
      <c r="E14" s="24" t="n"/>
      <c r="F14" s="24" t="n"/>
      <c r="G14" s="24" t="n"/>
    </row>
    <row r="15">
      <c r="A15" s="37" t="inlineStr">
        <is>
          <t>Purpose</t>
        </is>
      </c>
      <c r="B15" s="24" t="inlineStr">
        <is>
          <t>Perceived sleep quality, depth and restoration and difficulty initiating or maintaining sleep over the past 7 days.</t>
        </is>
      </c>
      <c r="C15" s="24" t="n"/>
      <c r="D15" s="24" t="n"/>
      <c r="E15" s="24" t="n"/>
      <c r="F15" s="24" t="n"/>
      <c r="G15" s="24" t="n"/>
    </row>
    <row r="16">
      <c r="A16" s="37" t="inlineStr">
        <is>
          <t>Instructions / prompt</t>
        </is>
      </c>
      <c r="B16" s="24" t="inlineStr">
        <is>
          <t>In the past 7 days...</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to 5 with items 1, 2 and 8 reverse keyed as shown in the item notes, sum to a raw score of 8 to 40 (all items must be answered to use the conversion table), then convert to a T score (mean 50, SD 10 in the US general population) with the HealthMeasures table for Adult Sleep Disturbance 8a v1.0 (raw=T): 8=30.5, 9=35.3, 10=38.1, 11=40.4, 12=42.2, 13=43.9, 14=45.3, 15=46.7, 16=47.9, 17=49.1, 18=50.2, 19=51.3, 20=52.4, 21=53.4, 22=54.3, 23=55.3, 24=56.2, 25=57.2, 26=58.1, 27=59.1, 28=60.0, 29=61.0, 30=62.0, 31=63.0, 32=64.0, 33=65.1, 34=66.2, 35=67.4, 36=68.7, 37=70.2, 38=72.0, 39=74.1, 40=77.5. Higher T scores indicate more sleep disturbance. HealthMeasures severity bands used with the DSM-5 Level 2 adaptation: less than 55 none to slight, 55.0 to 59.9 mild, 60.0 to 69.9 moderate, 70 and over severe. The scoring manual notes the 8a table was revised 22 May 2014 and recommends the HealthMeasures Scoring Service for response pattern scoring.</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C25" s="24" t="n"/>
      <c r="D25" s="24" t="n"/>
      <c r="E25" s="24" t="n"/>
      <c r="F25" s="24" t="n"/>
      <c r="G25" s="24" t="n"/>
    </row>
    <row r="26">
      <c r="A26" s="37" t="inlineStr">
        <is>
          <t>Copyright and licensing</t>
        </is>
      </c>
      <c r="B26" s="24" t="inlineStr">
        <is>
          <t>"Copyright © 2010 PROMIS Health Organization or other individuals/entities that have contributed information"; "Use of PROMIS instruments (e.g., item banks, short forms, profile measures) are subject to the PROMIS Terms and Conditions". HealthMeasures makes English PROMIS measures available without charge for research and individual clinical use with the copyright line retained; since 2024 licence fees apply to translations and to vendor platforms. Confirm current terms on Steps to License. Source: https://healthmeasures.net/implement/steps-to-license/</t>
        </is>
      </c>
      <c r="C26" s="24" t="n"/>
      <c r="D26" s="24" t="n"/>
      <c r="E26" s="24" t="n"/>
      <c r="F26" s="24" t="n"/>
      <c r="G26" s="24" t="n"/>
    </row>
    <row r="27">
      <c r="A27" s="37" t="inlineStr">
        <is>
          <t>Source URL</t>
        </is>
      </c>
      <c r="B27" s="24" t="inlineStr">
        <is>
          <t>https://loinc.org/76703-8/panel</t>
        </is>
      </c>
      <c r="C27" s="24" t="n"/>
      <c r="D27" s="24" t="n"/>
      <c r="E27" s="24" t="n"/>
      <c r="F27" s="24" t="n"/>
      <c r="G27" s="24" t="n"/>
    </row>
    <row r="28">
      <c r="A28" s="37" t="inlineStr">
        <is>
          <t>Transcription note</t>
        </is>
      </c>
      <c r="B28" s="24" t="inlineStr">
        <is>
          <t>healthmeasures.net search pages are behind a form and the NIH HEAL CRF PDF redirected to a landing page, so no official 8a PDF could be read. Items 1 to 6 (text, item IDs Sleep109, Sleep116, Sleep20, Sleep44, Sleep108 and Sleep72 by LOINC code, response lists and keying) were transcribed from the LOINC panel for Sleep Disturbance 6a v1.0 (76703-8), whose 6 items are the first 6 of the 8a form, and from the 4a panel (75258-4). Items 7 and 8 and the 8 item order were taken from the psytests.org rendering of SF-8a (https://psytests.org/diag/promS8en-bl.html), which is not an official form; item 8's reverse keying is confirmed by LOINC 61985-8 in the 8b panel, item 7's keying is inferred from its negative wording. The DSM-5 Level 2 Sleep Disturbance Adult PDF on psychiatry.org and the NIDDK MAPP form both reproduce the 8b item set (restless, satisfied, refreshing, difficulty falling asleep, trouble staying asleep, trouble sleeping, got enough sleep, sleep quality), not 8a, so they were not used for items. Instructions recorded as the LOINC item stem "In the past 7 days"; the full PROMIS instruction ("Please respond to each item by marking one box per row") appears on the 8b MAPP form and is presumably identical. T score table from the PROMIS Sleep Disturbance Scoring Manual copy at curesicklecell.rti.org. Response options field shows the standard Not at all to Very much list; per item lists differ and are given in each item note.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My sleep quality was...</t>
        </is>
      </c>
      <c r="C32" s="24" t="inlineStr">
        <is>
          <t>Total</t>
        </is>
      </c>
      <c r="D32" s="24" t="inlineStr">
        <is>
          <t>FALSE</t>
        </is>
      </c>
      <c r="E32" s="24" t="inlineStr">
        <is>
          <t>FALSE</t>
        </is>
      </c>
      <c r="F32" s="24" t="inlineStr">
        <is>
          <t>Item ID Sleep109. Very poor (5), Poor (4), Fair (3), Good (2), Very good (1); reverse keyed</t>
        </is>
      </c>
      <c r="G32" s="24" t="inlineStr">
        <is>
          <t>Very poor = 5 | Poor = 4 | Fair = 3 | Good = 2 | Very good = 1</t>
        </is>
      </c>
    </row>
    <row r="33">
      <c r="A33" s="24" t="n">
        <v>2</v>
      </c>
      <c r="B33" s="24" t="inlineStr">
        <is>
          <t>My sleep was refreshing.</t>
        </is>
      </c>
      <c r="C33" s="24" t="inlineStr">
        <is>
          <t>Total</t>
        </is>
      </c>
      <c r="D33" s="24" t="inlineStr">
        <is>
          <t>FALSE</t>
        </is>
      </c>
      <c r="E33" s="24" t="inlineStr">
        <is>
          <t>FALSE</t>
        </is>
      </c>
      <c r="F33" s="24" t="inlineStr">
        <is>
          <t>Item ID Sleep116. Not at all (5), A little bit (4), Somewhat (3), Quite a bit (2), Very much (1); reverse keyed</t>
        </is>
      </c>
      <c r="G33" s="24" t="inlineStr">
        <is>
          <t>Not at all = 5 | A little bit = 4 | Somewhat = 3 | Quite a bit = 2 | Very much = 1</t>
        </is>
      </c>
    </row>
    <row r="34">
      <c r="A34" s="24" t="n">
        <v>3</v>
      </c>
      <c r="B34" s="24" t="inlineStr">
        <is>
          <t>I had a problem with my sleep.</t>
        </is>
      </c>
      <c r="C34" s="24" t="inlineStr">
        <is>
          <t>Total</t>
        </is>
      </c>
      <c r="D34" s="24" t="inlineStr">
        <is>
          <t>FALSE</t>
        </is>
      </c>
      <c r="E34" s="24" t="inlineStr">
        <is>
          <t>FALSE</t>
        </is>
      </c>
      <c r="F34" s="24" t="inlineStr">
        <is>
          <t>Item ID Sleep20. Not at all (1), A little bit (2), Somewhat (3), Quite a bit (4), Very much (5)</t>
        </is>
      </c>
      <c r="G34" s="24" t="inlineStr">
        <is>
          <t>Not at all = 1 | A little bit = 2 | Somewhat = 3 | Quite a bit = 4 | Very much = 5</t>
        </is>
      </c>
    </row>
    <row r="35">
      <c r="A35" s="24" t="n">
        <v>4</v>
      </c>
      <c r="B35" s="24" t="inlineStr">
        <is>
          <t>I had difficulty falling asleep.</t>
        </is>
      </c>
      <c r="C35" s="24" t="inlineStr">
        <is>
          <t>Total</t>
        </is>
      </c>
      <c r="D35" s="24" t="inlineStr">
        <is>
          <t>FALSE</t>
        </is>
      </c>
      <c r="E35" s="24" t="inlineStr">
        <is>
          <t>FALSE</t>
        </is>
      </c>
      <c r="F35" s="24" t="inlineStr">
        <is>
          <t>Item ID Sleep44. Not at all (1), A little bit (2), Somewhat (3), Quite a bit (4), Very much (5)</t>
        </is>
      </c>
      <c r="G35" s="24" t="inlineStr">
        <is>
          <t>Not at all = 1 | A little bit = 2 | Somewhat = 3 | Quite a bit = 4 | Very much = 5</t>
        </is>
      </c>
    </row>
    <row r="36">
      <c r="A36" s="24" t="n">
        <v>5</v>
      </c>
      <c r="B36" s="24" t="inlineStr">
        <is>
          <t>My sleep was restless.</t>
        </is>
      </c>
      <c r="C36" s="24" t="inlineStr">
        <is>
          <t>Total</t>
        </is>
      </c>
      <c r="D36" s="24" t="inlineStr">
        <is>
          <t>FALSE</t>
        </is>
      </c>
      <c r="E36" s="24" t="inlineStr">
        <is>
          <t>FALSE</t>
        </is>
      </c>
      <c r="F36" s="24" t="inlineStr">
        <is>
          <t>Item ID Sleep108. Not at all (1), A little bit (2), Somewhat (3), Quite a bit (4), Very much (5)</t>
        </is>
      </c>
      <c r="G36" s="24" t="inlineStr">
        <is>
          <t>Not at all = 1 | A little bit = 2 | Somewhat = 3 | Quite a bit = 4 | Very much = 5</t>
        </is>
      </c>
    </row>
    <row r="37">
      <c r="A37" s="24" t="n">
        <v>6</v>
      </c>
      <c r="B37" s="24" t="inlineStr">
        <is>
          <t>I tried hard to get to sleep.</t>
        </is>
      </c>
      <c r="C37" s="24" t="inlineStr">
        <is>
          <t>Total</t>
        </is>
      </c>
      <c r="D37" s="24" t="inlineStr">
        <is>
          <t>FALSE</t>
        </is>
      </c>
      <c r="E37" s="24" t="inlineStr">
        <is>
          <t>FALSE</t>
        </is>
      </c>
      <c r="F37" s="24" t="inlineStr">
        <is>
          <t>Item ID Sleep72. Not at all (1), A little bit (2), Somewhat (3), Quite a bit (4), Very much (5)</t>
        </is>
      </c>
      <c r="G37" s="24" t="inlineStr">
        <is>
          <t>Not at all = 1 | A little bit = 2 | Somewhat = 3 | Quite a bit = 4 | Very much = 5</t>
        </is>
      </c>
    </row>
    <row r="38">
      <c r="A38" s="24" t="n">
        <v>7</v>
      </c>
      <c r="B38" s="24" t="inlineStr">
        <is>
          <t>I worried about not being able to fall asleep.</t>
        </is>
      </c>
      <c r="C38" s="24" t="inlineStr">
        <is>
          <t>Total</t>
        </is>
      </c>
      <c r="D38" s="24" t="inlineStr">
        <is>
          <t>FALSE</t>
        </is>
      </c>
      <c r="E38" s="24" t="inlineStr">
        <is>
          <t>FALSE</t>
        </is>
      </c>
      <c r="F38" s="24" t="inlineStr">
        <is>
          <t>Item ID Sleep67. Not at all (1), A little bit (2), Somewhat (3), Quite a bit (4), Very much (5); forward keying confirmed by LOINC on the second pass</t>
        </is>
      </c>
      <c r="G38" s="24" t="inlineStr">
        <is>
          <t>Not at all = 1 | A little bit = 2 | Somewhat = 3 | Quite a bit = 4 | Very much = 5</t>
        </is>
      </c>
    </row>
    <row r="39">
      <c r="A39" s="24" t="n">
        <v>8</v>
      </c>
      <c r="B39" s="24" t="inlineStr">
        <is>
          <t>I was satisfied with my sleep.</t>
        </is>
      </c>
      <c r="C39" s="24" t="inlineStr">
        <is>
          <t>Total</t>
        </is>
      </c>
      <c r="D39" s="24" t="inlineStr">
        <is>
          <t>FALSE</t>
        </is>
      </c>
      <c r="E39" s="24" t="inlineStr">
        <is>
          <t>FALSE</t>
        </is>
      </c>
      <c r="F39" s="24" t="inlineStr">
        <is>
          <t>Item ID Sleep115. Not at all (5), A little bit (4), Somewhat (3), Quite a bit (2), Very much (1); reverse keyed (LOINC 61985-8)</t>
        </is>
      </c>
      <c r="G39" s="24" t="inlineStr">
        <is>
          <t>Not at all = 5 | A little bit = 4 | Somewhat = 3 | Quite a bit = 2 | Very much = 1</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PROMIS Sleep-Related Impairment Short Form 8a</t>
        </is>
      </c>
    </row>
    <row r="3">
      <c r="A3" s="37" t="inlineStr">
        <is>
          <t>Instrument</t>
        </is>
      </c>
      <c r="B3" s="24" t="inlineStr">
        <is>
          <t>PROMIS Sleep-Related Impairment Short Form 8a</t>
        </is>
      </c>
      <c r="C3" s="24" t="n"/>
      <c r="D3" s="24" t="n"/>
      <c r="E3" s="24" t="n"/>
      <c r="F3" s="24" t="n"/>
      <c r="G3" s="24" t="n"/>
    </row>
    <row r="4">
      <c r="A4" s="37" t="inlineStr">
        <is>
          <t>Code</t>
        </is>
      </c>
      <c r="B4" s="24" t="inlineStr">
        <is>
          <t>PROMIS-SRI-8A</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Daytime consequences of poor sleep, including alertness, sleepiness and tiredness, over the past 7 days.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t>
        </is>
      </c>
      <c r="C13" s="24" t="n"/>
      <c r="D13" s="24" t="n"/>
      <c r="E13" s="24" t="n"/>
      <c r="F13" s="24" t="n"/>
      <c r="G13" s="24" t="n"/>
    </row>
    <row r="14">
      <c r="A14" s="37" t="inlineStr">
        <is>
          <t>Coaching application</t>
        </is>
      </c>
      <c r="B14" s="24" t="inlineStr">
        <is>
          <t>Complements Sleep Disturbance by capturing daytime functioning, which is the dimension most relevant to work performance.</t>
        </is>
      </c>
      <c r="C14" s="24" t="n"/>
      <c r="D14" s="24" t="n"/>
      <c r="E14" s="24" t="n"/>
      <c r="F14" s="24" t="n"/>
      <c r="G14" s="24" t="n"/>
    </row>
    <row r="15">
      <c r="A15" s="37" t="inlineStr">
        <is>
          <t>Purpose</t>
        </is>
      </c>
      <c r="B15" s="24" t="inlineStr">
        <is>
          <t>Daytime consequences of poor sleep, including alertness, sleepiness and tiredness, over the past 7 days.</t>
        </is>
      </c>
      <c r="C15" s="24" t="n"/>
      <c r="D15" s="24" t="n"/>
      <c r="E15" s="24" t="n"/>
      <c r="F15" s="24" t="n"/>
      <c r="G15" s="24" t="n"/>
    </row>
    <row r="16">
      <c r="A16" s="37" t="inlineStr">
        <is>
          <t>Instructions / prompt</t>
        </is>
      </c>
      <c r="B16" s="24" t="inlineStr">
        <is>
          <t>Please respond to each item by marking one box per row. In the past 7 days...</t>
        </is>
      </c>
      <c r="C16" s="24" t="n"/>
      <c r="D16" s="24" t="n"/>
      <c r="E16" s="24" t="n"/>
      <c r="F16" s="24" t="n"/>
      <c r="G16" s="24" t="n"/>
    </row>
    <row r="17">
      <c r="A17" s="37" t="inlineStr">
        <is>
          <t>Response options</t>
        </is>
      </c>
      <c r="B17" s="24" t="inlineStr">
        <is>
          <t>Not at all = 1 | A little bit = 2 | Somewhat = 3 | Quite a bit = 4 | Very much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1 (Not at all) to 5 (Very much); item 2 (Sleep119) is scored in reverse (Not at all = 5, Very much = 1) as printed on the form. Sum the 8 items for a raw score of 8 to 40 and convert to a T score (mean 50, SD 10, US general population) using the HealthMeasures conversion table or the HealthMeasures Scoring Service. Higher T scores indicate greater sleep related impairment. HealthMeasures descriptive bands: below 55 within normal limits, 55 to 59.9 mild, 60 to 69.9 moderate, 70 and above severe (band source: HealthMeasures score interpretation guidance; not printed on the form).</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Buysse, D. J., Yu, L., Moul, D. E., Germain, A., Stover, A., Dodds, N. E., Johnston, K. L., Shablesky-Cade, M. A., &amp; Pilkonis, P. A. (2010). Development and validation of patient-reported outcome measures for sleep disturbance and sleep-related impairments. Sleep, 33(6), 781-792. https://doi.org/10.1093/sleep/33.6.781</t>
        </is>
      </c>
      <c r="C25" s="24" t="n"/>
      <c r="D25" s="24" t="n"/>
      <c r="E25" s="24" t="n"/>
      <c r="F25" s="24" t="n"/>
      <c r="G25" s="24" t="n"/>
    </row>
    <row r="26">
      <c r="A26" s="37" t="inlineStr">
        <is>
          <t>Copyright and licensing</t>
        </is>
      </c>
      <c r="B26" s="24" t="inlineStr">
        <is>
          <t>HealthMeasures (Northwestern University) has made English PROMIS measures available without charge for research and individual clinical use, with the copyright line retained. Since 2024 licence fees apply to translations and to vendor platforms such as Epic and the Assessment Center API. Confirm current terms on Steps to License. Form copyright line: "© 2008-2016 PROMIS Health Organization and PROMIS Cooperative Group". Source: https://healthmeasures.net/implement/steps-to-license/</t>
        </is>
      </c>
      <c r="C26" s="24" t="n"/>
      <c r="D26" s="24" t="n"/>
      <c r="E26" s="24" t="n"/>
      <c r="F26" s="24" t="n"/>
      <c r="G26" s="24" t="n"/>
    </row>
    <row r="27">
      <c r="A27" s="37" t="inlineStr">
        <is>
          <t>Source URL</t>
        </is>
      </c>
      <c r="B27" s="24" t="inlineStr">
        <is>
          <t>https://www.heal.nih.gov/files/CDEs/2023-09/promis-sleep-related-impairment-8a-crf.pdf</t>
        </is>
      </c>
      <c r="C27" s="24" t="n"/>
      <c r="D27" s="24" t="n"/>
      <c r="E27" s="24" t="n"/>
      <c r="F27" s="24" t="n"/>
      <c r="G27" s="24" t="n"/>
    </row>
    <row r="28">
      <c r="A28" s="37" t="inlineStr">
        <is>
          <t>Transcription note</t>
        </is>
      </c>
      <c r="B28" s="24" t="inlineStr">
        <is>
          <t>The HealthMeasures search page (itemsUrl) is a form driven search and returned no measure entries, so the items were transcribed from the NIH HEAL Initiative case report form copy of "PROMIS Item Bank v. 1.0 – Sleep-Related Impairment – Short Form 8a" (sourceUrl). Item codes and order follow that form. Punctuation follows the form: items 6, 7 and 8 end with a full stop, items 1 to 5 do not. The form carries no T score conversion table; the T score method and bands in scoring are from HealthMeasures guidance and should be checked against the current scoring manual.</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had a hard time getting things done because I was sleepy</t>
        </is>
      </c>
      <c r="C32" s="24" t="inlineStr">
        <is>
          <t>Total</t>
        </is>
      </c>
      <c r="D32" s="24" t="inlineStr">
        <is>
          <t>FALSE</t>
        </is>
      </c>
      <c r="E32" s="24" t="inlineStr">
        <is>
          <t>FALSE</t>
        </is>
      </c>
      <c r="F32" s="24" t="inlineStr">
        <is>
          <t>Item code Sleep10</t>
        </is>
      </c>
      <c r="G32" s="24" t="inlineStr">
        <is>
          <t>Not at all = 1 | A little bit = 2 | Somewhat = 3 | Quite a bit = 4 | Very much = 5</t>
        </is>
      </c>
    </row>
    <row r="33">
      <c r="A33" s="24" t="n">
        <v>2</v>
      </c>
      <c r="B33" s="24" t="inlineStr">
        <is>
          <t>I felt alert when I woke up</t>
        </is>
      </c>
      <c r="C33" s="24" t="inlineStr">
        <is>
          <t>Total</t>
        </is>
      </c>
      <c r="D33" s="24" t="inlineStr">
        <is>
          <t>FALSE</t>
        </is>
      </c>
      <c r="E33" s="24" t="inlineStr">
        <is>
          <t>FALSE</t>
        </is>
      </c>
      <c r="F33" s="24" t="inlineStr">
        <is>
          <t>Item code Sleep119; printed with reversed values Not at all = 5 to Very much = 1</t>
        </is>
      </c>
      <c r="G33" s="24" t="inlineStr">
        <is>
          <t>Not at all = 5 | A little bit = 4 | Somewhat = 3 | Quite a bit = 2 | Very much = 1</t>
        </is>
      </c>
    </row>
    <row r="34">
      <c r="A34" s="24" t="n">
        <v>3</v>
      </c>
      <c r="B34" s="24" t="inlineStr">
        <is>
          <t>I felt tired</t>
        </is>
      </c>
      <c r="C34" s="24" t="inlineStr">
        <is>
          <t>Total</t>
        </is>
      </c>
      <c r="D34" s="24" t="inlineStr">
        <is>
          <t>FALSE</t>
        </is>
      </c>
      <c r="E34" s="24" t="inlineStr">
        <is>
          <t>FALSE</t>
        </is>
      </c>
      <c r="F34" s="24" t="inlineStr">
        <is>
          <t>Item code Sleep18</t>
        </is>
      </c>
      <c r="G34" s="24" t="inlineStr">
        <is>
          <t>Not at all = 1 | A little bit = 2 | Somewhat = 3 | Quite a bit = 4 | Very much = 5</t>
        </is>
      </c>
    </row>
    <row r="35">
      <c r="A35" s="24" t="n">
        <v>4</v>
      </c>
      <c r="B35" s="24" t="inlineStr">
        <is>
          <t>I had problems during the day because of poor sleep</t>
        </is>
      </c>
      <c r="C35" s="24" t="inlineStr">
        <is>
          <t>Total</t>
        </is>
      </c>
      <c r="D35" s="24" t="inlineStr">
        <is>
          <t>FALSE</t>
        </is>
      </c>
      <c r="E35" s="24" t="inlineStr">
        <is>
          <t>FALSE</t>
        </is>
      </c>
      <c r="F35" s="24" t="inlineStr">
        <is>
          <t>Item code Sleep25</t>
        </is>
      </c>
      <c r="G35" s="24" t="inlineStr">
        <is>
          <t>Not at all = 1 | A little bit = 2 | Somewhat = 3 | Quite a bit = 4 | Very much = 5</t>
        </is>
      </c>
    </row>
    <row r="36">
      <c r="A36" s="24" t="n">
        <v>5</v>
      </c>
      <c r="B36" s="24" t="inlineStr">
        <is>
          <t>I had a hard time concentrating because of poor sleep</t>
        </is>
      </c>
      <c r="C36" s="24" t="inlineStr">
        <is>
          <t>Total</t>
        </is>
      </c>
      <c r="D36" s="24" t="inlineStr">
        <is>
          <t>FALSE</t>
        </is>
      </c>
      <c r="E36" s="24" t="inlineStr">
        <is>
          <t>FALSE</t>
        </is>
      </c>
      <c r="F36" s="24" t="inlineStr">
        <is>
          <t>Item code Sleep27</t>
        </is>
      </c>
      <c r="G36" s="24" t="inlineStr">
        <is>
          <t>Not at all = 1 | A little bit = 2 | Somewhat = 3 | Quite a bit = 4 | Very much = 5</t>
        </is>
      </c>
    </row>
    <row r="37">
      <c r="A37" s="24" t="n">
        <v>6</v>
      </c>
      <c r="B37" s="24" t="inlineStr">
        <is>
          <t>I felt irritable because of poor sleep.</t>
        </is>
      </c>
      <c r="C37" s="24" t="inlineStr">
        <is>
          <t>Total</t>
        </is>
      </c>
      <c r="D37" s="24" t="inlineStr">
        <is>
          <t>FALSE</t>
        </is>
      </c>
      <c r="E37" s="24" t="inlineStr">
        <is>
          <t>FALSE</t>
        </is>
      </c>
      <c r="F37" s="24" t="inlineStr">
        <is>
          <t>Item code Sleep30</t>
        </is>
      </c>
      <c r="G37" s="24" t="inlineStr">
        <is>
          <t>Not at all = 1 | A little bit = 2 | Somewhat = 3 | Quite a bit = 4 | Very much = 5</t>
        </is>
      </c>
    </row>
    <row r="38">
      <c r="A38" s="24" t="n">
        <v>7</v>
      </c>
      <c r="B38" s="24" t="inlineStr">
        <is>
          <t>I was sleepy during the daytime.</t>
        </is>
      </c>
      <c r="C38" s="24" t="inlineStr">
        <is>
          <t>Total</t>
        </is>
      </c>
      <c r="D38" s="24" t="inlineStr">
        <is>
          <t>FALSE</t>
        </is>
      </c>
      <c r="E38" s="24" t="inlineStr">
        <is>
          <t>FALSE</t>
        </is>
      </c>
      <c r="F38" s="24" t="inlineStr">
        <is>
          <t>Item code Sleep6</t>
        </is>
      </c>
      <c r="G38" s="24" t="inlineStr">
        <is>
          <t>Not at all = 1 | A little bit = 2 | Somewhat = 3 | Quite a bit = 4 | Very much = 5</t>
        </is>
      </c>
    </row>
    <row r="39">
      <c r="A39" s="24" t="n">
        <v>8</v>
      </c>
      <c r="B39" s="24" t="inlineStr">
        <is>
          <t>I had trouble staying awake during the day.</t>
        </is>
      </c>
      <c r="C39" s="24" t="inlineStr">
        <is>
          <t>Total</t>
        </is>
      </c>
      <c r="D39" s="24" t="inlineStr">
        <is>
          <t>FALSE</t>
        </is>
      </c>
      <c r="E39" s="24" t="inlineStr">
        <is>
          <t>FALSE</t>
        </is>
      </c>
      <c r="F39" s="24" t="inlineStr">
        <is>
          <t>Item code Sleep7</t>
        </is>
      </c>
      <c r="G39" s="24" t="inlineStr">
        <is>
          <t>Not at all = 1 | A little bit = 2 | Somewhat = 3 | Quite a bit = 4 | Very much = 5</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Penn State Worry Questionnaire</t>
        </is>
      </c>
    </row>
    <row r="3">
      <c r="A3" s="37" t="inlineStr">
        <is>
          <t>Instrument</t>
        </is>
      </c>
      <c r="B3" s="24" t="inlineStr">
        <is>
          <t>Penn State Worry Questionnaire</t>
        </is>
      </c>
      <c r="C3" s="24" t="n"/>
      <c r="D3" s="24" t="n"/>
      <c r="E3" s="24" t="n"/>
      <c r="F3" s="24" t="n"/>
      <c r="G3" s="24" t="n"/>
    </row>
    <row r="4">
      <c r="A4" s="37" t="inlineStr">
        <is>
          <t>Code</t>
        </is>
      </c>
      <c r="B4" s="24" t="inlineStr">
        <is>
          <t>PSWQ</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Trait pathological worry, in particular its excessiveness, generality and uncontrollability.</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16</v>
      </c>
      <c r="C10" s="24" t="n"/>
      <c r="D10" s="24" t="n"/>
      <c r="E10" s="24" t="n"/>
      <c r="F10" s="24" t="n"/>
      <c r="G10" s="24" t="n"/>
    </row>
    <row r="11">
      <c r="A11" s="37" t="inlineStr">
        <is>
          <t>Items reproduced here</t>
        </is>
      </c>
      <c r="B11" s="24" t="n">
        <v>16</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CamCOPS: "In the public domain." "Reproduced in full in Meyer et al. (1990)." Confirmed as being in the public domain, with explicit permission given for use, by Thomas D. Borkovec (personal communication to Rudolf Cardinal, 23 July 2015).</t>
        </is>
      </c>
      <c r="C13" s="24" t="n"/>
      <c r="D13" s="24" t="n"/>
      <c r="E13" s="24" t="n"/>
      <c r="F13" s="24" t="n"/>
      <c r="G13" s="24" t="n"/>
    </row>
    <row r="14">
      <c r="A14" s="37" t="inlineStr">
        <is>
          <t>Coaching application</t>
        </is>
      </c>
      <c r="B14" s="24" t="inlineStr">
        <is>
          <t>Gold standard worry measure; complements the GAD-7 by capturing the worry process rather than symptoms</t>
        </is>
      </c>
      <c r="C14" s="24" t="n"/>
      <c r="D14" s="24" t="n"/>
      <c r="E14" s="24" t="n"/>
      <c r="F14" s="24" t="n"/>
      <c r="G14" s="24" t="n"/>
    </row>
    <row r="15">
      <c r="A15" s="37" t="inlineStr">
        <is>
          <t>Purpose</t>
        </is>
      </c>
      <c r="B15" s="24" t="inlineStr">
        <is>
          <t>Trait pathological worry, in particular its excessiveness, generality and uncontrollability.</t>
        </is>
      </c>
      <c r="C15" s="24" t="n"/>
      <c r="D15" s="24" t="n"/>
      <c r="E15" s="24" t="n"/>
      <c r="F15" s="24" t="n"/>
      <c r="G15" s="24" t="n"/>
    </row>
    <row r="16">
      <c r="A16" s="37" t="inlineStr">
        <is>
          <t>Instructions / prompt</t>
        </is>
      </c>
      <c r="B16" s="24" t="inlineStr">
        <is>
          <t>Rate each of the following statements on a scale of 1 ("not at all typical of me") to 5 ("very typical of me"). Please do not leave any items blank.</t>
        </is>
      </c>
      <c r="C16" s="24" t="n"/>
      <c r="D16" s="24" t="n"/>
      <c r="E16" s="24" t="n"/>
      <c r="F16" s="24" t="n"/>
      <c r="G16" s="24" t="n"/>
    </row>
    <row r="17">
      <c r="A17" s="37" t="inlineStr">
        <is>
          <t>Response options</t>
        </is>
      </c>
      <c r="B17" s="24" t="inlineStr">
        <is>
          <t>Not at all typical of me = 1 | 2 = 2 | 3 = 3 | 4 = 4 | Very typical of me = 5</t>
        </is>
      </c>
      <c r="C17" s="24" t="n"/>
      <c r="D17" s="24" t="n"/>
      <c r="E17" s="24" t="n"/>
      <c r="F17" s="24" t="n"/>
      <c r="G17" s="24" t="n"/>
    </row>
    <row r="18">
      <c r="A18" s="37" t="inlineStr">
        <is>
          <t>Reverse-scored items</t>
        </is>
      </c>
      <c r="B18" s="24" t="inlineStr">
        <is>
          <t>1, 3, 8, 10, 11</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1, 3, 8, 10 and 11 (1=5, 2=4, 3=3, 4=2, 5=1), then sum all 16 items (16 to 80); higher scores indicate more pathological worry. Commonly used bands: 16 to 39 low worry, 40 to 59 moderate worry, 60 to 80 high worry (as reproduced on the Carepatron form). A score of 45 or more is often taken to suggest worry is a significant problem and is about the GAD screening cut off in treatment seeking samples; community screening cut offs of 62 to 65 have also been reported (target record).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Meyer, T. J., Miller, M. L., Metzger, R. L., &amp; Borkovec, T. D. (1990). Development and validation of the Penn State Worry Questionnaire. Behaviour Research and Therapy, 28(6), 487–495. https://doi.org/10.1016/0005-7967(90)90135-6</t>
        </is>
      </c>
      <c r="C25" s="24" t="n"/>
      <c r="D25" s="24" t="n"/>
      <c r="E25" s="24" t="n"/>
      <c r="F25" s="24" t="n"/>
      <c r="G25" s="24" t="n"/>
    </row>
    <row r="26">
      <c r="A26" s="37" t="inlineStr">
        <is>
          <t>Copyright and licensing</t>
        </is>
      </c>
      <c r="B26" s="24" t="inlineStr">
        <is>
          <t>CamCOPS: "In the public domain." "Reproduced in full in Meyer et al. (1990)." Confirmed as being in the public domain, with explicit permission given for use, by Thomas D. Borkovec (personal communication to Rudolf Cardinal, 23 July 2015). Source: https://camcops.readthedocs.io/en/latest/tasks/pswq.html</t>
        </is>
      </c>
      <c r="C26" s="24" t="n"/>
      <c r="D26" s="24" t="n"/>
      <c r="E26" s="24" t="n"/>
      <c r="F26" s="24" t="n"/>
      <c r="G26" s="24" t="n"/>
    </row>
    <row r="27">
      <c r="A27" s="37" t="inlineStr">
        <is>
          <t>Source URL</t>
        </is>
      </c>
      <c r="B27" s="24" t="inlineStr">
        <is>
          <t>https://www.ncbi.nlm.nih.gov/books/NBK571032/bin/ch9.p265.pdf (NIHR Journals Library open access appendix reproducing the PSWQ)</t>
        </is>
      </c>
      <c r="C27" s="24" t="n"/>
      <c r="D27" s="24" t="n"/>
      <c r="E27" s="24" t="n"/>
      <c r="F27" s="24" t="n"/>
      <c r="G27" s="24" t="n"/>
    </row>
    <row r="28">
      <c r="A28" s="37" t="inlineStr">
        <is>
          <t>Transcription note</t>
        </is>
      </c>
      <c r="B28" s="24" t="inlineStr">
        <is>
          <t>The ARC Wisconsin page (itemsUrl) and the CamCOPS page (sourceUrl) describe the PSWQ without printing the items, and psytoolkit.org could not be fetched. Items were transcribed from the NIHR Journals Library open access reproduction (NBK571032 appendix), cross checked against the Carepatron and Hachette reproductions, which match it word for word apart from contraction and spacing variants. Text extraction of the NIHR PDF dropped the fi ligature in items 8 and 9 ("fnd", "fnish"); these are restored as "find" and "finish". Variants between sources: the NovoPsych form uses contractions ("donʼt", "shouldnʼt", "Iʼve", "canʼt") and "until they are done" in item 16; Carepatron and Hachette print "any more" in item 11 where the NIHR copy prints "anymore". Only the 2 anchor labels are given in the NIHR and Hachette sources; the NovoPsych and Carepatron forms add intermediate labels (Rarely, Somewhat, Often typical of me) that differ between them, so intermediate labels are left blank. Reverse keyed items are from the Hachette reproduction, which marks them with asterisks, and agree with the ARC scoring note that 5 bold items are reversed. Second pass (18 October 2026): the NIHR appendix expands the contractions of the published PSWQ (Meyer et al., 1990); the 8 affected items now follow the standard contracted wording as reproduced in the Hachette and Carepatron copies, with the expanded form kept in each item note. Response labels 3 Somewhat typical is printed on some forms; the hub labels the endpoints only.</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If I don't have enough time to do everything, I don't worry about it.</t>
        </is>
      </c>
      <c r="C32" s="24" t="inlineStr">
        <is>
          <t>Total</t>
        </is>
      </c>
      <c r="D32" s="24" t="inlineStr">
        <is>
          <t>TRUE</t>
        </is>
      </c>
      <c r="E32" s="24" t="inlineStr">
        <is>
          <t>FALSE</t>
        </is>
      </c>
      <c r="F32" s="24" t="inlineStr">
        <is>
          <t>NIHR appendix prints the expanded form: If I do not have enough time to do everything, I do not worry about it.</t>
        </is>
      </c>
      <c r="G32" s="24" t="inlineStr">
        <is>
          <t>Not at all typical of me = 1 | 2 = 2 | 3 = 3 | 4 = 4 | Very typical of me = 5</t>
        </is>
      </c>
    </row>
    <row r="33">
      <c r="A33" s="24" t="n">
        <v>2</v>
      </c>
      <c r="B33" s="24" t="inlineStr">
        <is>
          <t>My worries overwhelm me.</t>
        </is>
      </c>
      <c r="C33" s="24" t="inlineStr">
        <is>
          <t>Total</t>
        </is>
      </c>
      <c r="D33" s="24" t="inlineStr">
        <is>
          <t>FALSE</t>
        </is>
      </c>
      <c r="E33" s="24" t="inlineStr">
        <is>
          <t>FALSE</t>
        </is>
      </c>
      <c r="F33" s="24" t="n"/>
      <c r="G33" s="24" t="inlineStr">
        <is>
          <t>Not at all typical of me = 1 | 2 = 2 | 3 = 3 | 4 = 4 | Very typical of me = 5</t>
        </is>
      </c>
    </row>
    <row r="34">
      <c r="A34" s="24" t="n">
        <v>3</v>
      </c>
      <c r="B34" s="24" t="inlineStr">
        <is>
          <t>I don't tend to worry about things.</t>
        </is>
      </c>
      <c r="C34" s="24" t="inlineStr">
        <is>
          <t>Total</t>
        </is>
      </c>
      <c r="D34" s="24" t="inlineStr">
        <is>
          <t>TRUE</t>
        </is>
      </c>
      <c r="E34" s="24" t="inlineStr">
        <is>
          <t>FALSE</t>
        </is>
      </c>
      <c r="F34" s="24" t="inlineStr">
        <is>
          <t>NIHR appendix prints the expanded form: I do not tend to worry about things.</t>
        </is>
      </c>
      <c r="G34" s="24" t="inlineStr">
        <is>
          <t>Not at all typical of me = 1 | 2 = 2 | 3 = 3 | 4 = 4 | Very typical of me = 5</t>
        </is>
      </c>
    </row>
    <row r="35">
      <c r="A35" s="24" t="n">
        <v>4</v>
      </c>
      <c r="B35" s="24" t="inlineStr">
        <is>
          <t>Many situations make me worry.</t>
        </is>
      </c>
      <c r="C35" s="24" t="inlineStr">
        <is>
          <t>Total</t>
        </is>
      </c>
      <c r="D35" s="24" t="inlineStr">
        <is>
          <t>FALSE</t>
        </is>
      </c>
      <c r="E35" s="24" t="inlineStr">
        <is>
          <t>FALSE</t>
        </is>
      </c>
      <c r="F35" s="24" t="n"/>
      <c r="G35" s="24" t="inlineStr">
        <is>
          <t>Not at all typical of me = 1 | 2 = 2 | 3 = 3 | 4 = 4 | Very typical of me = 5</t>
        </is>
      </c>
    </row>
    <row r="36">
      <c r="A36" s="24" t="n">
        <v>5</v>
      </c>
      <c r="B36" s="24" t="inlineStr">
        <is>
          <t>I know I shouldn't worry about things, but I just can't help it.</t>
        </is>
      </c>
      <c r="C36" s="24" t="inlineStr">
        <is>
          <t>Total</t>
        </is>
      </c>
      <c r="D36" s="24" t="inlineStr">
        <is>
          <t>FALSE</t>
        </is>
      </c>
      <c r="E36" s="24" t="inlineStr">
        <is>
          <t>FALSE</t>
        </is>
      </c>
      <c r="F36" s="24" t="inlineStr">
        <is>
          <t>NIHR appendix prints the expanded form: I know I should not worry about things, but I just cannot help it.</t>
        </is>
      </c>
      <c r="G36" s="24" t="inlineStr">
        <is>
          <t>Not at all typical of me = 1 | 2 = 2 | 3 = 3 | 4 = 4 | Very typical of me = 5</t>
        </is>
      </c>
    </row>
    <row r="37">
      <c r="A37" s="24" t="n">
        <v>6</v>
      </c>
      <c r="B37" s="24" t="inlineStr">
        <is>
          <t>When I'm under pressure I worry a lot.</t>
        </is>
      </c>
      <c r="C37" s="24" t="inlineStr">
        <is>
          <t>Total</t>
        </is>
      </c>
      <c r="D37" s="24" t="inlineStr">
        <is>
          <t>FALSE</t>
        </is>
      </c>
      <c r="E37" s="24" t="inlineStr">
        <is>
          <t>FALSE</t>
        </is>
      </c>
      <c r="F37" s="24" t="inlineStr">
        <is>
          <t>NIHR appendix prints the expanded form: When I am under pressure I worry a lot.</t>
        </is>
      </c>
      <c r="G37" s="24" t="inlineStr">
        <is>
          <t>Not at all typical of me = 1 | 2 = 2 | 3 = 3 | 4 = 4 | Very typical of me = 5</t>
        </is>
      </c>
    </row>
    <row r="38">
      <c r="A38" s="24" t="n">
        <v>7</v>
      </c>
      <c r="B38" s="24" t="inlineStr">
        <is>
          <t>I'm always worrying about something.</t>
        </is>
      </c>
      <c r="C38" s="24" t="inlineStr">
        <is>
          <t>Total</t>
        </is>
      </c>
      <c r="D38" s="24" t="inlineStr">
        <is>
          <t>FALSE</t>
        </is>
      </c>
      <c r="E38" s="24" t="inlineStr">
        <is>
          <t>FALSE</t>
        </is>
      </c>
      <c r="F38" s="24" t="inlineStr">
        <is>
          <t>NIHR appendix prints the expanded form: I am always worrying about something.</t>
        </is>
      </c>
      <c r="G38" s="24" t="inlineStr">
        <is>
          <t>Not at all typical of me = 1 | 2 = 2 | 3 = 3 | 4 = 4 | Very typical of me = 5</t>
        </is>
      </c>
    </row>
    <row r="39">
      <c r="A39" s="24" t="n">
        <v>8</v>
      </c>
      <c r="B39" s="24" t="inlineStr">
        <is>
          <t>I find it easy to dismiss worrisome thoughts.</t>
        </is>
      </c>
      <c r="C39" s="24" t="inlineStr">
        <is>
          <t>Total</t>
        </is>
      </c>
      <c r="D39" s="24" t="inlineStr">
        <is>
          <t>TRUE</t>
        </is>
      </c>
      <c r="E39" s="24" t="inlineStr">
        <is>
          <t>FALSE</t>
        </is>
      </c>
      <c r="F39" s="24" t="n"/>
      <c r="G39" s="24" t="inlineStr">
        <is>
          <t>Not at all typical of me = 1 | 2 = 2 | 3 = 3 | 4 = 4 | Very typical of me = 5</t>
        </is>
      </c>
    </row>
    <row r="40">
      <c r="A40" s="24" t="n">
        <v>9</v>
      </c>
      <c r="B40" s="24" t="inlineStr">
        <is>
          <t>As soon as I finish one task, I start to worry about everything else I have to do.</t>
        </is>
      </c>
      <c r="C40" s="24" t="inlineStr">
        <is>
          <t>Total</t>
        </is>
      </c>
      <c r="D40" s="24" t="inlineStr">
        <is>
          <t>FALSE</t>
        </is>
      </c>
      <c r="E40" s="24" t="inlineStr">
        <is>
          <t>FALSE</t>
        </is>
      </c>
      <c r="F40" s="24" t="n"/>
      <c r="G40" s="24" t="inlineStr">
        <is>
          <t>Not at all typical of me = 1 | 2 = 2 | 3 = 3 | 4 = 4 | Very typical of me = 5</t>
        </is>
      </c>
    </row>
    <row r="41">
      <c r="A41" s="24" t="n">
        <v>10</v>
      </c>
      <c r="B41" s="24" t="inlineStr">
        <is>
          <t>I never worry about anything.</t>
        </is>
      </c>
      <c r="C41" s="24" t="inlineStr">
        <is>
          <t>Total</t>
        </is>
      </c>
      <c r="D41" s="24" t="inlineStr">
        <is>
          <t>TRUE</t>
        </is>
      </c>
      <c r="E41" s="24" t="inlineStr">
        <is>
          <t>FALSE</t>
        </is>
      </c>
      <c r="F41" s="24" t="n"/>
      <c r="G41" s="24" t="inlineStr">
        <is>
          <t>Not at all typical of me = 1 | 2 = 2 | 3 = 3 | 4 = 4 | Very typical of me = 5</t>
        </is>
      </c>
    </row>
    <row r="42">
      <c r="A42" s="24" t="n">
        <v>11</v>
      </c>
      <c r="B42" s="24" t="inlineStr">
        <is>
          <t>When there is nothing more I can do about a concern, I don't worry about it anymore.</t>
        </is>
      </c>
      <c r="C42" s="24" t="inlineStr">
        <is>
          <t>Total</t>
        </is>
      </c>
      <c r="D42" s="24" t="inlineStr">
        <is>
          <t>TRUE</t>
        </is>
      </c>
      <c r="E42" s="24" t="inlineStr">
        <is>
          <t>FALSE</t>
        </is>
      </c>
      <c r="F42" s="24" t="inlineStr">
        <is>
          <t>NIHR appendix prints the expanded form: When there is nothing more I can do about a concern, I do not worry about it anymore.</t>
        </is>
      </c>
      <c r="G42" s="24" t="inlineStr">
        <is>
          <t>Not at all typical of me = 1 | 2 = 2 | 3 = 3 | 4 = 4 | Very typical of me = 5</t>
        </is>
      </c>
    </row>
    <row r="43">
      <c r="A43" s="24" t="n">
        <v>12</v>
      </c>
      <c r="B43" s="24" t="inlineStr">
        <is>
          <t>I've been a worrier all my life.</t>
        </is>
      </c>
      <c r="C43" s="24" t="inlineStr">
        <is>
          <t>Total</t>
        </is>
      </c>
      <c r="D43" s="24" t="inlineStr">
        <is>
          <t>FALSE</t>
        </is>
      </c>
      <c r="E43" s="24" t="inlineStr">
        <is>
          <t>FALSE</t>
        </is>
      </c>
      <c r="F43" s="24" t="inlineStr">
        <is>
          <t>NIHR appendix prints the expanded form: I have been a worrier all my life.</t>
        </is>
      </c>
      <c r="G43" s="24" t="inlineStr">
        <is>
          <t>Not at all typical of me = 1 | 2 = 2 | 3 = 3 | 4 = 4 | Very typical of me = 5</t>
        </is>
      </c>
    </row>
    <row r="44">
      <c r="A44" s="24" t="n">
        <v>13</v>
      </c>
      <c r="B44" s="24" t="inlineStr">
        <is>
          <t>I notice that I have been worrying about things.</t>
        </is>
      </c>
      <c r="C44" s="24" t="inlineStr">
        <is>
          <t>Total</t>
        </is>
      </c>
      <c r="D44" s="24" t="inlineStr">
        <is>
          <t>FALSE</t>
        </is>
      </c>
      <c r="E44" s="24" t="inlineStr">
        <is>
          <t>FALSE</t>
        </is>
      </c>
      <c r="F44" s="24" t="n"/>
      <c r="G44" s="24" t="inlineStr">
        <is>
          <t>Not at all typical of me = 1 | 2 = 2 | 3 = 3 | 4 = 4 | Very typical of me = 5</t>
        </is>
      </c>
    </row>
    <row r="45">
      <c r="A45" s="24" t="n">
        <v>14</v>
      </c>
      <c r="B45" s="24" t="inlineStr">
        <is>
          <t>Once I start worrying, I can't stop.</t>
        </is>
      </c>
      <c r="C45" s="24" t="inlineStr">
        <is>
          <t>Total</t>
        </is>
      </c>
      <c r="D45" s="24" t="inlineStr">
        <is>
          <t>FALSE</t>
        </is>
      </c>
      <c r="E45" s="24" t="inlineStr">
        <is>
          <t>FALSE</t>
        </is>
      </c>
      <c r="F45" s="24" t="inlineStr">
        <is>
          <t>NIHR appendix prints the expanded form: Once I start worrying, I cannot stop.</t>
        </is>
      </c>
      <c r="G45" s="24" t="inlineStr">
        <is>
          <t>Not at all typical of me = 1 | 2 = 2 | 3 = 3 | 4 = 4 | Very typical of me = 5</t>
        </is>
      </c>
    </row>
    <row r="46">
      <c r="A46" s="24" t="n">
        <v>15</v>
      </c>
      <c r="B46" s="24" t="inlineStr">
        <is>
          <t>I worry all the time.</t>
        </is>
      </c>
      <c r="C46" s="24" t="inlineStr">
        <is>
          <t>Total</t>
        </is>
      </c>
      <c r="D46" s="24" t="inlineStr">
        <is>
          <t>FALSE</t>
        </is>
      </c>
      <c r="E46" s="24" t="inlineStr">
        <is>
          <t>FALSE</t>
        </is>
      </c>
      <c r="F46" s="24" t="n"/>
      <c r="G46" s="24" t="inlineStr">
        <is>
          <t>Not at all typical of me = 1 | 2 = 2 | 3 = 3 | 4 = 4 | Very typical of me = 5</t>
        </is>
      </c>
    </row>
    <row r="47">
      <c r="A47" s="24" t="n">
        <v>16</v>
      </c>
      <c r="B47" s="24" t="inlineStr">
        <is>
          <t>I worry about projects until they are all done.</t>
        </is>
      </c>
      <c r="C47" s="24" t="inlineStr">
        <is>
          <t>Total</t>
        </is>
      </c>
      <c r="D47" s="24" t="inlineStr">
        <is>
          <t>FALSE</t>
        </is>
      </c>
      <c r="E47" s="24" t="inlineStr">
        <is>
          <t>FALSE</t>
        </is>
      </c>
      <c r="F47" s="24" t="n"/>
      <c r="G47" s="24" t="inlineStr">
        <is>
          <t>Not at all typical of me = 1 | 2 = 2 | 3 = 3 | 4 = 4 | Very typical of me = 5</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45"/>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Ritvo Autism Asperger Diagnostic Scale, 14 item Screen</t>
        </is>
      </c>
    </row>
    <row r="3">
      <c r="A3" s="37" t="inlineStr">
        <is>
          <t>Instrument</t>
        </is>
      </c>
      <c r="B3" s="24" t="inlineStr">
        <is>
          <t>Ritvo Autism Asperger Diagnostic Scale, 14 item Screen</t>
        </is>
      </c>
      <c r="C3" s="24" t="n"/>
      <c r="D3" s="24" t="n"/>
      <c r="E3" s="24" t="n"/>
      <c r="F3" s="24" t="n"/>
      <c r="G3" s="24" t="n"/>
    </row>
    <row r="4">
      <c r="A4" s="37" t="inlineStr">
        <is>
          <t>Code</t>
        </is>
      </c>
      <c r="B4" s="24" t="inlineStr">
        <is>
          <t>RAADS-14</t>
        </is>
      </c>
      <c r="C4" s="24" t="n"/>
      <c r="D4" s="24" t="n"/>
      <c r="E4" s="24" t="n"/>
      <c r="F4" s="24" t="n"/>
      <c r="G4" s="24" t="n"/>
    </row>
    <row r="5">
      <c r="A5" s="37" t="inlineStr">
        <is>
          <t>Domain</t>
        </is>
      </c>
      <c r="B5" s="24" t="inlineStr">
        <is>
          <t>4. Clinical and distress screening</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Autistic traits in adults, covering mentalizing deficits, social anxiety and sensory reactivity, with developmental timing captured in the response format.</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(adult psychiatric and general populations)</t>
        </is>
      </c>
      <c r="C9" s="24" t="n"/>
      <c r="D9" s="24" t="n"/>
      <c r="E9" s="24" t="n"/>
      <c r="F9" s="24" t="n"/>
      <c r="G9" s="24" t="n"/>
    </row>
    <row r="10">
      <c r="A10" s="37" t="inlineStr">
        <is>
          <t>Items in instrument</t>
        </is>
      </c>
      <c r="B10" s="24" t="n">
        <v>14</v>
      </c>
      <c r="C10" s="24" t="n"/>
      <c r="D10" s="24" t="n"/>
      <c r="E10" s="24" t="n"/>
      <c r="F10" s="24" t="n"/>
      <c r="G10" s="24" t="n"/>
    </row>
    <row r="11">
      <c r="A11" s="37" t="inlineStr">
        <is>
          <t>Items reproduced here</t>
        </is>
      </c>
      <c r="B11" s="24" t="n">
        <v>14</v>
      </c>
      <c r="C11" s="24" t="n"/>
      <c r="D11" s="24" t="n"/>
      <c r="E11" s="24" t="n"/>
      <c r="F11" s="24" t="n"/>
      <c r="G11" s="24" t="n"/>
    </row>
    <row r="12">
      <c r="A12" s="37" t="inlineStr">
        <is>
          <t>Administration time</t>
        </is>
      </c>
      <c r="B12" s="24" t="inlineStr">
        <is>
          <t>3 minutes</t>
        </is>
      </c>
      <c r="C12" s="24" t="n"/>
      <c r="D12" s="24" t="n"/>
      <c r="E12" s="24" t="n"/>
      <c r="F12" s="24" t="n"/>
      <c r="G12" s="24" t="n"/>
    </row>
    <row r="13">
      <c r="A13" s="37" t="inlineStr">
        <is>
          <t>Cost and access</t>
        </is>
      </c>
      <c r="B13" s="24"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t>
        </is>
      </c>
      <c r="C13" s="24" t="n"/>
      <c r="D13" s="24" t="n"/>
      <c r="E13" s="24" t="n"/>
      <c r="F13" s="24" t="n"/>
      <c r="G13" s="24" t="n"/>
    </row>
    <row r="14">
      <c r="A14" s="37" t="inlineStr">
        <is>
          <t>Coaching application</t>
        </is>
      </c>
      <c r="B14" s="24" t="inlineStr">
        <is>
          <t>Good second screen alongside the AQ-10 because it probes developmental history; low specificity in ADHD</t>
        </is>
      </c>
      <c r="C14" s="24" t="n"/>
      <c r="D14" s="24" t="n"/>
      <c r="E14" s="24" t="n"/>
      <c r="F14" s="24" t="n"/>
      <c r="G14" s="24" t="n"/>
    </row>
    <row r="15">
      <c r="A15" s="37" t="inlineStr">
        <is>
          <t>Purpose</t>
        </is>
      </c>
      <c r="B15" s="24" t="inlineStr">
        <is>
          <t>Autistic traits in adults, covering mentalizing deficits, social anxiety and sensory reactivity, with developmental timing captured in the response format.</t>
        </is>
      </c>
      <c r="C15" s="24" t="n"/>
      <c r="D15" s="24" t="n"/>
      <c r="E15" s="24" t="n"/>
      <c r="F15" s="24" t="n"/>
      <c r="G15" s="24" t="n"/>
    </row>
    <row r="16">
      <c r="A16" s="37" t="inlineStr">
        <is>
          <t>Instructions / prompt</t>
        </is>
      </c>
      <c r="B16" s="24" t="inlineStr">
        <is>
          <t>Please answer the questions according to what is true for you. Check only one column per statement!</t>
        </is>
      </c>
      <c r="C16" s="24" t="n"/>
      <c r="D16" s="24" t="n"/>
      <c r="E16" s="24" t="n"/>
      <c r="F16" s="24" t="n"/>
      <c r="G16" s="24" t="n"/>
    </row>
    <row r="17">
      <c r="A17" s="37" t="inlineStr">
        <is>
          <t>Response options</t>
        </is>
      </c>
      <c r="B17" s="24" t="inlineStr">
        <is>
          <t>True now and when I was young = 3 | True only now = 2 | True only when I was younger than 16 = 1 | Never true = 0</t>
        </is>
      </c>
      <c r="C17" s="24" t="n"/>
      <c r="D17" s="24" t="n"/>
      <c r="E17" s="24" t="n"/>
      <c r="F17" s="24" t="n"/>
      <c r="G17" s="24" t="n"/>
    </row>
    <row r="18">
      <c r="A18" s="37" t="inlineStr">
        <is>
          <t>Reverse-scored items</t>
        </is>
      </c>
      <c r="B18" s="24" t="inlineStr">
        <is>
          <t>6</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Score each item 3 (true now and when I was young), 2 (true only now), 1 (true only when I was younger than 16) or 0 (never true); item 6 is reversed (0, 1, 2, 3). Sum for a total of 0 to 42; higher scores indicate more autistic traits. Eriksson et al. (2013): a cut off score of 14 or above gives sensitivity 0.97 and specificity 0.46 against ADHD, 0.64 against other psychiatric disorders and 0.95 against non psychiatric controls. A 5 item short form with cut off 4 or above out of 15 had sensitivity 0.93 and specificity 0.45 to 0.49 in the psychiatric samples. Screening tool only, not diagnostic.</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Eriksson, J. M., Andersen, L. M., &amp; Bejerot, S. (2013). RAADS-14 Screen: Validity of a screening tool for autism spectrum disorder in an adult psychiatric population. Molecular Autism, 4(1), 49. https://doi.org/10.1186/2040-2392-4-49</t>
        </is>
      </c>
      <c r="C25" s="24" t="n"/>
      <c r="D25" s="24" t="n"/>
      <c r="E25" s="24" t="n"/>
      <c r="F25" s="24" t="n"/>
      <c r="G25" s="24" t="n"/>
    </row>
    <row r="26">
      <c r="A26" s="37" t="inlineStr">
        <is>
          <t>Copyright and licensing</t>
        </is>
      </c>
      <c r="B26" s="24" t="inlineStr">
        <is>
          <t>This article is published under license to BioMed Central Ltd. This is an open access article distributed under the terms of the Creative Commons Attribution License (http://creativecommons.org/licenses/by/2.0), which permits unrestricted use, distribution, and reproduction in any medium, provided the original work is properly cited. Source: https://molecularautism.biomedcentral.com/articles/10.1186/2040-2392-4-49</t>
        </is>
      </c>
      <c r="C26" s="24" t="n"/>
      <c r="D26" s="24" t="n"/>
      <c r="E26" s="24" t="n"/>
      <c r="F26" s="24" t="n"/>
      <c r="G26" s="24" t="n"/>
    </row>
    <row r="27">
      <c r="A27" s="37" t="inlineStr">
        <is>
          <t>Source URL</t>
        </is>
      </c>
      <c r="B27" s="24" t="inlineStr">
        <is>
          <t>https://pmc.ncbi.nlm.nih.gov/articles/PMC3907126</t>
        </is>
      </c>
      <c r="C27" s="24" t="n"/>
      <c r="D27" s="24" t="n"/>
      <c r="E27" s="24" t="n"/>
      <c r="F27" s="24" t="n"/>
      <c r="G27" s="24" t="n"/>
    </row>
    <row r="28">
      <c r="A28" s="37" t="inlineStr">
        <is>
          <t>Transcription note</t>
        </is>
      </c>
      <c r="B28" s="24" t="inlineStr">
        <is>
          <t>Items transcribed from Table 2 ('The RAADS-14 Screen') of the PMC copy of the open access article (PMC3907126), with subscale membership from Tables 3 and 4 and item 6 marked as the only reversed item; item 10 was returned in two fragments and rejoined. The BMC article page itself returned only 2 item texts to WebFetch and the Additional file 1 (print version with clinician instructions) URL was not exposed. Response labels are quoted from the Methods description of the RAADS-R 4 point scale; Table 2's own label wording was not quoted and may differ slightly (the Swedish Region Kronoberg form phrases them as 'True for me now and when I was young', 'True only for me now', 'True only when I was young (before age 16)', 'Never true for me'). Normative medians by population were not transcribed. Second pass: response labels confirmed against Table 2 headers.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It is difficult for me to understand how other people are feeling when we are talking</t>
        </is>
      </c>
      <c r="C32" s="24" t="inlineStr">
        <is>
          <t>Mentalizing deficits</t>
        </is>
      </c>
      <c r="D32" s="24" t="inlineStr">
        <is>
          <t>FALSE</t>
        </is>
      </c>
      <c r="E32" s="24" t="inlineStr">
        <is>
          <t>FALSE</t>
        </is>
      </c>
      <c r="F32" s="24" t="n"/>
      <c r="G32" s="24" t="inlineStr">
        <is>
          <t>True now and when I was young = 3 | True only now = 2 | True only when I was younger than 16 = 1 | Never true = 0</t>
        </is>
      </c>
    </row>
    <row r="33">
      <c r="A33" s="24" t="n">
        <v>2</v>
      </c>
      <c r="B33" s="24" t="inlineStr">
        <is>
          <t>Some ordinary textures that do not bother others feel very offensive when they touch my skin</t>
        </is>
      </c>
      <c r="C33" s="24" t="inlineStr">
        <is>
          <t>Sensory reactivity</t>
        </is>
      </c>
      <c r="D33" s="24" t="inlineStr">
        <is>
          <t>FALSE</t>
        </is>
      </c>
      <c r="E33" s="24" t="inlineStr">
        <is>
          <t>FALSE</t>
        </is>
      </c>
      <c r="F33" s="24" t="n"/>
      <c r="G33" s="24" t="inlineStr">
        <is>
          <t>True now and when I was young = 3 | True only now = 2 | True only when I was younger than 16 = 1 | Never true = 0</t>
        </is>
      </c>
    </row>
    <row r="34">
      <c r="A34" s="24" t="n">
        <v>3</v>
      </c>
      <c r="B34" s="24" t="inlineStr">
        <is>
          <t>It is very difficult for me to work and function in groups</t>
        </is>
      </c>
      <c r="C34" s="24" t="inlineStr">
        <is>
          <t>Social anxiety</t>
        </is>
      </c>
      <c r="D34" s="24" t="inlineStr">
        <is>
          <t>FALSE</t>
        </is>
      </c>
      <c r="E34" s="24" t="inlineStr">
        <is>
          <t>FALSE</t>
        </is>
      </c>
      <c r="F34" s="24" t="n"/>
      <c r="G34" s="24" t="inlineStr">
        <is>
          <t>True now and when I was young = 3 | True only now = 2 | True only when I was younger than 16 = 1 | Never true = 0</t>
        </is>
      </c>
    </row>
    <row r="35">
      <c r="A35" s="24" t="n">
        <v>4</v>
      </c>
      <c r="B35" s="24" t="inlineStr">
        <is>
          <t>It is difficult to figure out what other people expect of me</t>
        </is>
      </c>
      <c r="C35" s="24" t="inlineStr">
        <is>
          <t>Mentalizing deficits</t>
        </is>
      </c>
      <c r="D35" s="24" t="inlineStr">
        <is>
          <t>FALSE</t>
        </is>
      </c>
      <c r="E35" s="24" t="inlineStr">
        <is>
          <t>FALSE</t>
        </is>
      </c>
      <c r="F35" s="24" t="n"/>
      <c r="G35" s="24" t="inlineStr">
        <is>
          <t>True now and when I was young = 3 | True only now = 2 | True only when I was younger than 16 = 1 | Never true = 0</t>
        </is>
      </c>
    </row>
    <row r="36">
      <c r="A36" s="24" t="n">
        <v>5</v>
      </c>
      <c r="B36" s="24" t="inlineStr">
        <is>
          <t>I often don't know how to act in social situations</t>
        </is>
      </c>
      <c r="C36" s="24" t="inlineStr">
        <is>
          <t>Social anxiety</t>
        </is>
      </c>
      <c r="D36" s="24" t="inlineStr">
        <is>
          <t>FALSE</t>
        </is>
      </c>
      <c r="E36" s="24" t="inlineStr">
        <is>
          <t>FALSE</t>
        </is>
      </c>
      <c r="F36" s="24" t="n"/>
      <c r="G36" s="24" t="inlineStr">
        <is>
          <t>True now and when I was young = 3 | True only now = 2 | True only when I was younger than 16 = 1 | Never true = 0</t>
        </is>
      </c>
    </row>
    <row r="37">
      <c r="A37" s="24" t="n">
        <v>6</v>
      </c>
      <c r="B37" s="24" t="inlineStr">
        <is>
          <t>I can chat and make small talk with people</t>
        </is>
      </c>
      <c r="C37" s="24" t="inlineStr">
        <is>
          <t>Social anxiety</t>
        </is>
      </c>
      <c r="D37" s="24" t="inlineStr">
        <is>
          <t>TRUE</t>
        </is>
      </c>
      <c r="E37" s="24" t="inlineStr">
        <is>
          <t>FALSE</t>
        </is>
      </c>
      <c r="F37" s="24" t="inlineStr">
        <is>
          <t>Reversed item: scored 0 for True now and when I was young through 3 for Never true</t>
        </is>
      </c>
      <c r="G37" s="24" t="inlineStr">
        <is>
          <t>True now and when I was young = 3 | True only now = 2 | True only when I was younger than 16 = 1 | Never true = 0</t>
        </is>
      </c>
    </row>
    <row r="38">
      <c r="A38" s="24" t="n">
        <v>7</v>
      </c>
      <c r="B38" s="24" t="inlineStr">
        <is>
          <t>When I feel overwhelmed by my senses, I have to isolate myself to shut them down</t>
        </is>
      </c>
      <c r="C38" s="24" t="inlineStr">
        <is>
          <t>Sensory reactivity</t>
        </is>
      </c>
      <c r="D38" s="24" t="inlineStr">
        <is>
          <t>FALSE</t>
        </is>
      </c>
      <c r="E38" s="24" t="inlineStr">
        <is>
          <t>FALSE</t>
        </is>
      </c>
      <c r="F38" s="24" t="n"/>
      <c r="G38" s="24" t="inlineStr">
        <is>
          <t>True now and when I was young = 3 | True only now = 2 | True only when I was younger than 16 = 1 | Never true = 0</t>
        </is>
      </c>
    </row>
    <row r="39">
      <c r="A39" s="24" t="n">
        <v>8</v>
      </c>
      <c r="B39" s="24" t="inlineStr">
        <is>
          <t>How to make friends and socialize is a mystery to me</t>
        </is>
      </c>
      <c r="C39" s="24" t="inlineStr">
        <is>
          <t>Social anxiety</t>
        </is>
      </c>
      <c r="D39" s="24" t="inlineStr">
        <is>
          <t>FALSE</t>
        </is>
      </c>
      <c r="E39" s="24" t="inlineStr">
        <is>
          <t>FALSE</t>
        </is>
      </c>
      <c r="F39" s="24" t="n"/>
      <c r="G39" s="24" t="inlineStr">
        <is>
          <t>True now and when I was young = 3 | True only now = 2 | True only when I was younger than 16 = 1 | Never true = 0</t>
        </is>
      </c>
    </row>
    <row r="40">
      <c r="A40" s="24" t="n">
        <v>9</v>
      </c>
      <c r="B40" s="24" t="inlineStr">
        <is>
          <t>When talking to someone, I have a hard time telling when it is my turn to talk or to listen</t>
        </is>
      </c>
      <c r="C40" s="24" t="inlineStr">
        <is>
          <t>Mentalizing deficits</t>
        </is>
      </c>
      <c r="D40" s="24" t="inlineStr">
        <is>
          <t>FALSE</t>
        </is>
      </c>
      <c r="E40" s="24" t="inlineStr">
        <is>
          <t>FALSE</t>
        </is>
      </c>
      <c r="F40" s="24" t="n"/>
      <c r="G40" s="24" t="inlineStr">
        <is>
          <t>True now and when I was young = 3 | True only now = 2 | True only when I was younger than 16 = 1 | Never true = 0</t>
        </is>
      </c>
    </row>
    <row r="41">
      <c r="A41" s="24" t="n">
        <v>10</v>
      </c>
      <c r="B41" s="24" t="inlineStr">
        <is>
          <t>Sometimes I have to cover my ears to block out painful noises (like vacuum cleaners or people talking too much or too loudly)</t>
        </is>
      </c>
      <c r="C41" s="24" t="inlineStr">
        <is>
          <t>Sensory reactivity</t>
        </is>
      </c>
      <c r="D41" s="24" t="inlineStr">
        <is>
          <t>FALSE</t>
        </is>
      </c>
      <c r="E41" s="24" t="inlineStr">
        <is>
          <t>FALSE</t>
        </is>
      </c>
      <c r="F41" s="24" t="n"/>
      <c r="G41" s="24" t="inlineStr">
        <is>
          <t>True now and when I was young = 3 | True only now = 2 | True only when I was younger than 16 = 1 | Never true = 0</t>
        </is>
      </c>
    </row>
    <row r="42">
      <c r="A42" s="24" t="n">
        <v>11</v>
      </c>
      <c r="B42" s="24" t="inlineStr">
        <is>
          <t>It can be very hard to read someone's face, hand, and body movements when we are talking</t>
        </is>
      </c>
      <c r="C42" s="24" t="inlineStr">
        <is>
          <t>Mentalizing deficits</t>
        </is>
      </c>
      <c r="D42" s="24" t="inlineStr">
        <is>
          <t>FALSE</t>
        </is>
      </c>
      <c r="E42" s="24" t="inlineStr">
        <is>
          <t>FALSE</t>
        </is>
      </c>
      <c r="F42" s="24" t="n"/>
      <c r="G42" s="24" t="inlineStr">
        <is>
          <t>True now and when I was young = 3 | True only now = 2 | True only when I was younger than 16 = 1 | Never true = 0</t>
        </is>
      </c>
    </row>
    <row r="43">
      <c r="A43" s="24" t="n">
        <v>12</v>
      </c>
      <c r="B43" s="24" t="inlineStr">
        <is>
          <t>I focus on details rather than the overall idea</t>
        </is>
      </c>
      <c r="C43" s="24" t="inlineStr">
        <is>
          <t>Mentalizing deficits</t>
        </is>
      </c>
      <c r="D43" s="24" t="inlineStr">
        <is>
          <t>FALSE</t>
        </is>
      </c>
      <c r="E43" s="24" t="inlineStr">
        <is>
          <t>FALSE</t>
        </is>
      </c>
      <c r="F43" s="24" t="n"/>
      <c r="G43" s="24" t="inlineStr">
        <is>
          <t>True now and when I was young = 3 | True only now = 2 | True only when I was younger than 16 = 1 | Never true = 0</t>
        </is>
      </c>
    </row>
    <row r="44">
      <c r="A44" s="24" t="n">
        <v>13</v>
      </c>
      <c r="B44" s="24" t="inlineStr">
        <is>
          <t>I take things too literally, so I often miss what people are trying to say</t>
        </is>
      </c>
      <c r="C44" s="24" t="inlineStr">
        <is>
          <t>Mentalizing deficits</t>
        </is>
      </c>
      <c r="D44" s="24" t="inlineStr">
        <is>
          <t>FALSE</t>
        </is>
      </c>
      <c r="E44" s="24" t="inlineStr">
        <is>
          <t>FALSE</t>
        </is>
      </c>
      <c r="F44" s="24" t="n"/>
      <c r="G44" s="24" t="inlineStr">
        <is>
          <t>True now and when I was young = 3 | True only now = 2 | True only when I was younger than 16 = 1 | Never true = 0</t>
        </is>
      </c>
    </row>
    <row r="45">
      <c r="A45" s="24" t="n">
        <v>14</v>
      </c>
      <c r="B45" s="24" t="inlineStr">
        <is>
          <t>I get extremely upset when the way I like to do things is suddenly changed</t>
        </is>
      </c>
      <c r="C45" s="24" t="inlineStr">
        <is>
          <t>Mentalizing deficits</t>
        </is>
      </c>
      <c r="D45" s="24" t="inlineStr">
        <is>
          <t>FALSE</t>
        </is>
      </c>
      <c r="E45" s="24" t="inlineStr">
        <is>
          <t>FALSE</t>
        </is>
      </c>
      <c r="F45" s="24" t="n"/>
      <c r="G45" s="24" t="inlineStr">
        <is>
          <t>True now and when I was young = 3 | True only now = 2 | True only when I was younger than 16 = 1 | Never true = 0</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Short Almost Perfect Scale</t>
        </is>
      </c>
    </row>
    <row r="3">
      <c r="A3" s="37" t="inlineStr">
        <is>
          <t>Instrument</t>
        </is>
      </c>
      <c r="B3" s="24" t="inlineStr">
        <is>
          <t>Short Almost Perfect Scale</t>
        </is>
      </c>
      <c r="C3" s="24" t="n"/>
      <c r="D3" s="24" t="n"/>
      <c r="E3" s="24" t="n"/>
      <c r="F3" s="24" t="n"/>
      <c r="G3" s="24" t="n"/>
    </row>
    <row r="4">
      <c r="A4" s="37" t="inlineStr">
        <is>
          <t>Code</t>
        </is>
      </c>
      <c r="B4" s="24" t="inlineStr">
        <is>
          <t>SAPS</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Perfectionistic high personal standards and the perceived discrepancy between performance and those standards.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8</v>
      </c>
      <c r="C10" s="24" t="n"/>
      <c r="D10" s="24" t="n"/>
      <c r="E10" s="24" t="n"/>
      <c r="F10" s="24" t="n"/>
      <c r="G10" s="24" t="n"/>
    </row>
    <row r="11">
      <c r="A11" s="37" t="inlineStr">
        <is>
          <t>Items reproduced here</t>
        </is>
      </c>
      <c r="B11" s="24" t="n">
        <v>8</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Rice lab statement: no permission is required to use or translate the SAPS because it is a subset of the APS-R; cite properly. The PDF carries no copyright notice, only the citation.</t>
        </is>
      </c>
      <c r="C13" s="24" t="n"/>
      <c r="D13" s="24" t="n"/>
      <c r="E13" s="24" t="n"/>
      <c r="F13" s="24" t="n"/>
      <c r="G13" s="24" t="n"/>
    </row>
    <row r="14">
      <c r="A14" s="37" t="inlineStr">
        <is>
          <t>Coaching application</t>
        </is>
      </c>
      <c r="B14" s="24" t="inlineStr">
        <is>
          <t>8 item perfectionism check for intake batteries where time is short.</t>
        </is>
      </c>
      <c r="C14" s="24" t="n"/>
      <c r="D14" s="24" t="n"/>
      <c r="E14" s="24" t="n"/>
      <c r="F14" s="24" t="n"/>
      <c r="G14" s="24" t="n"/>
    </row>
    <row r="15">
      <c r="A15" s="37" t="inlineStr">
        <is>
          <t>Purpose</t>
        </is>
      </c>
      <c r="B15" s="24" t="inlineStr">
        <is>
          <t>Perfectionistic high personal standards and the perceived discrepancy between performance and those standards.</t>
        </is>
      </c>
      <c r="C15" s="24" t="n"/>
      <c r="D15" s="24" t="n"/>
      <c r="E15" s="24" t="n"/>
      <c r="F15" s="24" t="n"/>
      <c r="G15" s="24" t="n"/>
    </row>
    <row r="16">
      <c r="A16" s="37" t="inlineStr">
        <is>
          <t>Instructions / prompt</t>
        </is>
      </c>
      <c r="B16" s="24" t="inlineStr">
        <is>
          <t>The following items are designed to measure certain attitudes people have toward themselves, their performance, and toward others. It is important that your answers be true and accurate for you. In the space next to the statement, please enter a number from "1" (strongly disagree) to "7" (strongly agree) to describe your degree of agreement with each item.</t>
        </is>
      </c>
      <c r="C16" s="24" t="n"/>
      <c r="D16" s="24" t="n"/>
      <c r="E16" s="24" t="n"/>
      <c r="F16" s="24" t="n"/>
      <c r="G16" s="24" t="n"/>
    </row>
    <row r="17">
      <c r="A17" s="37" t="inlineStr">
        <is>
          <t>Response options</t>
        </is>
      </c>
      <c r="B17" s="24" t="inlineStr">
        <is>
          <t>STRONGLY DISAGREE = 1 | DISAGREE = 2 | SLIGHTLY DISAGREE = 3 | NEUTRAL = 4 | SLIGHTLY AGREE = 5 | AGREE = 6 | STRONGLY AGREE = 7</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(4 to 28) or average (1 to 7) the items within each subscale as printed in the source key: "Standards = 1, 3, 5, 7" and "Discrepancy = 2, 4, 6, 8". No items are reverse scored. Higher Discrepancy indicates more maladaptive perfectionism; higher Standards indicates higher personal standards. No SAPS specific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Rice, K. G., Richardson, C. M. E., &amp; Tueller, S. (2014). The Short Form of the Revised Almost Perfect Scale. Journal of Personality Assessment, 96(3), 368–379. https://doi.org/10.1080/00223891.2013.838172</t>
        </is>
      </c>
      <c r="C25" s="24" t="n"/>
      <c r="D25" s="24" t="n"/>
      <c r="E25" s="24" t="n"/>
      <c r="F25" s="24" t="n"/>
      <c r="G25" s="24" t="n"/>
    </row>
    <row r="26">
      <c r="A26" s="37" t="inlineStr">
        <is>
          <t>Copyright and licensing</t>
        </is>
      </c>
      <c r="B26" s="24" t="inlineStr">
        <is>
          <t>Rice lab statement: no permission is required to use or translate the SAPS because it is a subset of the APS-R; cite properly. The PDF carries no copyright notice, only the citation. Source: https://sites.gsu.edu/cpyricelab/?p=264</t>
        </is>
      </c>
      <c r="C26" s="24" t="n"/>
      <c r="D26" s="24" t="n"/>
      <c r="E26" s="24" t="n"/>
      <c r="F26" s="24" t="n"/>
      <c r="G26" s="24" t="n"/>
    </row>
    <row r="27">
      <c r="A27" s="37" t="inlineStr">
        <is>
          <t>Source URL</t>
        </is>
      </c>
      <c r="B27" s="24" t="inlineStr">
        <is>
          <t>https://kennethwang.com/apsr/scales/SAPS-English.pdf</t>
        </is>
      </c>
      <c r="C27" s="24" t="n"/>
      <c r="D27" s="24" t="n"/>
      <c r="E27" s="24" t="n"/>
      <c r="F27" s="24" t="n"/>
      <c r="G27" s="24" t="n"/>
    </row>
    <row r="28">
      <c r="A28" s="37" t="inlineStr">
        <is>
          <t>Transcription note</t>
        </is>
      </c>
      <c r="B28" s="24" t="inlineStr">
        <is>
          <t>Transcribed from the SAPS-English.pdf hosted by Kenneth Wang, titled "SAPS (Short Almost Perfect Scale)". All 8 items, the instructions, the 7 anchor labels (printed in capitals) and the scoring key were read in full. No uncertainties.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have high expectations for myself.</t>
        </is>
      </c>
      <c r="C32" s="24" t="inlineStr">
        <is>
          <t>Standards</t>
        </is>
      </c>
      <c r="D32" s="24" t="inlineStr">
        <is>
          <t>FALSE</t>
        </is>
      </c>
      <c r="E32" s="24" t="inlineStr">
        <is>
          <t>FALSE</t>
        </is>
      </c>
      <c r="F32" s="24" t="n"/>
      <c r="G32" s="24" t="inlineStr">
        <is>
          <t>STRONGLY DISAGREE = 1 | DISAGREE = 2 | SLIGHTLY DISAGREE = 3 | NEUTRAL = 4 | SLIGHTLY AGREE = 5 | AGREE = 6 | STRONGLY AGREE = 7</t>
        </is>
      </c>
    </row>
    <row r="33">
      <c r="A33" s="24" t="n">
        <v>2</v>
      </c>
      <c r="B33" s="24" t="inlineStr">
        <is>
          <t>Doing my best never seems to be enough.</t>
        </is>
      </c>
      <c r="C33" s="24" t="inlineStr">
        <is>
          <t>Discrepancy</t>
        </is>
      </c>
      <c r="D33" s="24" t="inlineStr">
        <is>
          <t>FALSE</t>
        </is>
      </c>
      <c r="E33" s="24" t="inlineStr">
        <is>
          <t>FALSE</t>
        </is>
      </c>
      <c r="F33" s="24" t="n"/>
      <c r="G33" s="24" t="inlineStr">
        <is>
          <t>STRONGLY DISAGREE = 1 | DISAGREE = 2 | SLIGHTLY DISAGREE = 3 | NEUTRAL = 4 | SLIGHTLY AGREE = 5 | AGREE = 6 | STRONGLY AGREE = 7</t>
        </is>
      </c>
    </row>
    <row r="34">
      <c r="A34" s="24" t="n">
        <v>3</v>
      </c>
      <c r="B34" s="24" t="inlineStr">
        <is>
          <t>I set very high standards for myself.</t>
        </is>
      </c>
      <c r="C34" s="24" t="inlineStr">
        <is>
          <t>Standards</t>
        </is>
      </c>
      <c r="D34" s="24" t="inlineStr">
        <is>
          <t>FALSE</t>
        </is>
      </c>
      <c r="E34" s="24" t="inlineStr">
        <is>
          <t>FALSE</t>
        </is>
      </c>
      <c r="F34" s="24" t="n"/>
      <c r="G34" s="24" t="inlineStr">
        <is>
          <t>STRONGLY DISAGREE = 1 | DISAGREE = 2 | SLIGHTLY DISAGREE = 3 | NEUTRAL = 4 | SLIGHTLY AGREE = 5 | AGREE = 6 | STRONGLY AGREE = 7</t>
        </is>
      </c>
    </row>
    <row r="35">
      <c r="A35" s="24" t="n">
        <v>4</v>
      </c>
      <c r="B35" s="24" t="inlineStr">
        <is>
          <t>I often feel disappointment after completing a task because I know I could have done better.</t>
        </is>
      </c>
      <c r="C35" s="24" t="inlineStr">
        <is>
          <t>Discrepancy</t>
        </is>
      </c>
      <c r="D35" s="24" t="inlineStr">
        <is>
          <t>FALSE</t>
        </is>
      </c>
      <c r="E35" s="24" t="inlineStr">
        <is>
          <t>FALSE</t>
        </is>
      </c>
      <c r="F35" s="24" t="n"/>
      <c r="G35" s="24" t="inlineStr">
        <is>
          <t>STRONGLY DISAGREE = 1 | DISAGREE = 2 | SLIGHTLY DISAGREE = 3 | NEUTRAL = 4 | SLIGHTLY AGREE = 5 | AGREE = 6 | STRONGLY AGREE = 7</t>
        </is>
      </c>
    </row>
    <row r="36">
      <c r="A36" s="24" t="n">
        <v>5</v>
      </c>
      <c r="B36" s="24" t="inlineStr">
        <is>
          <t>I have a strong need to strive for excellence.</t>
        </is>
      </c>
      <c r="C36" s="24" t="inlineStr">
        <is>
          <t>Standards</t>
        </is>
      </c>
      <c r="D36" s="24" t="inlineStr">
        <is>
          <t>FALSE</t>
        </is>
      </c>
      <c r="E36" s="24" t="inlineStr">
        <is>
          <t>FALSE</t>
        </is>
      </c>
      <c r="F36" s="24" t="n"/>
      <c r="G36" s="24" t="inlineStr">
        <is>
          <t>STRONGLY DISAGREE = 1 | DISAGREE = 2 | SLIGHTLY DISAGREE = 3 | NEUTRAL = 4 | SLIGHTLY AGREE = 5 | AGREE = 6 | STRONGLY AGREE = 7</t>
        </is>
      </c>
    </row>
    <row r="37">
      <c r="A37" s="24" t="n">
        <v>6</v>
      </c>
      <c r="B37" s="24" t="inlineStr">
        <is>
          <t>My performance rarely measures up to my standards.</t>
        </is>
      </c>
      <c r="C37" s="24" t="inlineStr">
        <is>
          <t>Discrepancy</t>
        </is>
      </c>
      <c r="D37" s="24" t="inlineStr">
        <is>
          <t>FALSE</t>
        </is>
      </c>
      <c r="E37" s="24" t="inlineStr">
        <is>
          <t>FALSE</t>
        </is>
      </c>
      <c r="F37" s="24" t="n"/>
      <c r="G37" s="24" t="inlineStr">
        <is>
          <t>STRONGLY DISAGREE = 1 | DISAGREE = 2 | SLIGHTLY DISAGREE = 3 | NEUTRAL = 4 | SLIGHTLY AGREE = 5 | AGREE = 6 | STRONGLY AGREE = 7</t>
        </is>
      </c>
    </row>
    <row r="38">
      <c r="A38" s="24" t="n">
        <v>7</v>
      </c>
      <c r="B38" s="24" t="inlineStr">
        <is>
          <t>I expect the best from myself.</t>
        </is>
      </c>
      <c r="C38" s="24" t="inlineStr">
        <is>
          <t>Standards</t>
        </is>
      </c>
      <c r="D38" s="24" t="inlineStr">
        <is>
          <t>FALSE</t>
        </is>
      </c>
      <c r="E38" s="24" t="inlineStr">
        <is>
          <t>FALSE</t>
        </is>
      </c>
      <c r="F38" s="24" t="n"/>
      <c r="G38" s="24" t="inlineStr">
        <is>
          <t>STRONGLY DISAGREE = 1 | DISAGREE = 2 | SLIGHTLY DISAGREE = 3 | NEUTRAL = 4 | SLIGHTLY AGREE = 5 | AGREE = 6 | STRONGLY AGREE = 7</t>
        </is>
      </c>
    </row>
    <row r="39">
      <c r="A39" s="24" t="n">
        <v>8</v>
      </c>
      <c r="B39" s="24" t="inlineStr">
        <is>
          <t>I am hardly ever satisfied with my performance.</t>
        </is>
      </c>
      <c r="C39" s="24" t="inlineStr">
        <is>
          <t>Discrepancy</t>
        </is>
      </c>
      <c r="D39" s="24" t="inlineStr">
        <is>
          <t>FALSE</t>
        </is>
      </c>
      <c r="E39" s="24" t="inlineStr">
        <is>
          <t>FALSE</t>
        </is>
      </c>
      <c r="F39" s="24" t="n"/>
      <c r="G39" s="24" t="inlineStr">
        <is>
          <t>STRONGLY DISAGREE = 1 | DISAGREE = 2 | SLIGHTLY DISAGREE = 3 | NEUTRAL = 4 | SLIGHTLY AGREE = 5 | AGREE = 6 | STRONGLY AGREE = 7</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5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Self-Compassion Scale, long form</t>
        </is>
      </c>
    </row>
    <row r="3">
      <c r="A3" s="37" t="inlineStr">
        <is>
          <t>Instrument</t>
        </is>
      </c>
      <c r="B3" s="24" t="inlineStr">
        <is>
          <t>Self-Compassion Scale, long form</t>
        </is>
      </c>
      <c r="C3" s="24" t="n"/>
      <c r="D3" s="24" t="n"/>
      <c r="E3" s="24" t="n"/>
      <c r="F3" s="24" t="n"/>
      <c r="G3" s="24" t="n"/>
    </row>
    <row r="4">
      <c r="A4" s="37" t="inlineStr">
        <is>
          <t>Code</t>
        </is>
      </c>
      <c r="B4" s="24" t="inlineStr">
        <is>
          <t>SCS</t>
        </is>
      </c>
      <c r="C4" s="24" t="n"/>
      <c r="D4" s="24" t="n"/>
      <c r="E4" s="24" t="n"/>
      <c r="F4" s="24" t="n"/>
      <c r="G4" s="24" t="n"/>
    </row>
    <row r="5">
      <c r="A5" s="37" t="inlineStr">
        <is>
          <t>Domain</t>
        </is>
      </c>
      <c r="B5" s="24" t="inlineStr">
        <is>
          <t>5. Self talk, thinking patterns and personality</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Self compassion as self kindness, common humanity and mindfulness versus self judgement, isolation and over identification in difficult times.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(14+ with the youth form)</t>
        </is>
      </c>
      <c r="C9" s="24" t="n"/>
      <c r="D9" s="24" t="n"/>
      <c r="E9" s="24" t="n"/>
      <c r="F9" s="24" t="n"/>
      <c r="G9" s="24" t="n"/>
    </row>
    <row r="10">
      <c r="A10" s="37" t="inlineStr">
        <is>
          <t>Items in instrument</t>
        </is>
      </c>
      <c r="B10" s="24" t="n">
        <v>26</v>
      </c>
      <c r="C10" s="24" t="n"/>
      <c r="D10" s="24" t="n"/>
      <c r="E10" s="24" t="n"/>
      <c r="F10" s="24" t="n"/>
      <c r="G10" s="24" t="n"/>
    </row>
    <row r="11">
      <c r="A11" s="37" t="inlineStr">
        <is>
          <t>Items reproduced here</t>
        </is>
      </c>
      <c r="B11" s="24" t="n">
        <v>26</v>
      </c>
      <c r="C11" s="24" t="n"/>
      <c r="D11" s="24" t="n"/>
      <c r="E11" s="24" t="n"/>
      <c r="F11" s="24" t="n"/>
      <c r="G11" s="24" t="n"/>
    </row>
    <row r="12">
      <c r="A12" s="37" t="inlineStr">
        <is>
          <t>Administration time</t>
        </is>
      </c>
      <c r="B12" s="24" t="inlineStr">
        <is>
          <t>5 minutes</t>
        </is>
      </c>
      <c r="C12" s="24" t="n"/>
      <c r="D12" s="24" t="n"/>
      <c r="E12" s="24" t="n"/>
      <c r="F12" s="24" t="n"/>
      <c r="G12" s="24" t="n"/>
    </row>
    <row r="13">
      <c r="A13" s="37" t="inlineStr">
        <is>
          <t>Cost and access</t>
        </is>
      </c>
      <c r="B13" s="24" t="inlineStr">
        <is>
          <t>"Dr. Kristin Neff grants permission to use the Self-Compassion Scale (Neff, 2003) for any purpose whatsoever," with permission also given to translate the scale provided the factor structure is validated (SCS-information.pdf).</t>
        </is>
      </c>
      <c r="C13" s="24" t="n"/>
      <c r="D13" s="24" t="n"/>
      <c r="E13" s="24" t="n"/>
      <c r="F13" s="24" t="n"/>
      <c r="G13" s="24" t="n"/>
    </row>
    <row r="14">
      <c r="A14" s="37" t="inlineStr">
        <is>
          <t>Coaching application</t>
        </is>
      </c>
      <c r="B14" s="24" t="inlineStr">
        <is>
          <t>Excellent for self talk and perfectionism coaching; the six subscale profile gives concrete practice targets. NovoPsych has only the 12 item short form.</t>
        </is>
      </c>
      <c r="C14" s="24" t="n"/>
      <c r="D14" s="24" t="n"/>
      <c r="E14" s="24" t="n"/>
      <c r="F14" s="24" t="n"/>
      <c r="G14" s="24" t="n"/>
    </row>
    <row r="15">
      <c r="A15" s="37" t="inlineStr">
        <is>
          <t>Purpose</t>
        </is>
      </c>
      <c r="B15" s="24" t="inlineStr">
        <is>
          <t>Self compassion as self kindness, common humanity and mindfulness versus self judgement, isolation and over identification in difficult times.</t>
        </is>
      </c>
      <c r="C15" s="24" t="n"/>
      <c r="D15" s="24" t="n"/>
      <c r="E15" s="24" t="n"/>
      <c r="F15" s="24" t="n"/>
      <c r="G15" s="24" t="n"/>
    </row>
    <row r="16">
      <c r="A16" s="37" t="inlineStr">
        <is>
          <t>Instructions / prompt</t>
        </is>
      </c>
      <c r="B16" s="24" t="inlineStr">
        <is>
          <t>HOW I TYPICALLY ACT TOWARDS MYSELF IN DIFFICULT TIMES. Please read each statement carefully before answering. To the left of each item, indicate how often you behave in the stated manner, using the following scale:</t>
        </is>
      </c>
      <c r="C16" s="24" t="n"/>
      <c r="D16" s="24" t="n"/>
      <c r="E16" s="24" t="n"/>
      <c r="F16" s="24" t="n"/>
      <c r="G16" s="24" t="n"/>
    </row>
    <row r="17">
      <c r="A17" s="37" t="inlineStr">
        <is>
          <t>Response options</t>
        </is>
      </c>
      <c r="B17" s="24" t="inlineStr">
        <is>
          <t>Almost never = 1 | 2 = 2 | 3 = 3 | 4 = 4 | Almost always = 5</t>
        </is>
      </c>
      <c r="C17" s="24" t="n"/>
      <c r="D17" s="24" t="n"/>
      <c r="E17" s="24" t="n"/>
      <c r="F17" s="24" t="n"/>
      <c r="G17" s="24" t="n"/>
    </row>
    <row r="18">
      <c r="A18" s="37" t="inlineStr">
        <is>
          <t>Reverse-scored items</t>
        </is>
      </c>
      <c r="B18" s="24" t="inlineStr">
        <is>
          <t>1, 2, 4, 6, 8, 11, 13, 16, 18, 20, 21, 24, 25</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the Self-Judgment, Isolation and Over-identified items (1 = 5, 2 = 4, 3 = 3, 4 = 2, 5 = 1), compute the mean of each of the 6 subscales, then take the total as the grand mean (the researcher PDF gives the mean of all 26 items; SCS-information.pdf gives the mean of the 6 subscale means, which are equal only when subscales have equal length, so the two documents differ slightly). Higher scores indicate greater self compassion. Neff states there are no clinical norms; her ad hoc rubric is 1.0 to 2.49 low, 2.5 to 3.5 moderate, 3.51 to 5.0 high. Negative subscales may be reported with or without reverse coding but must be reverse coded before the total is computed.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Neff, K. D. (2003). The development and validation of a scale to measure self-compassion. Self and Identity, 2(3), 223–250. https://doi.org/10.1080/15298860309027</t>
        </is>
      </c>
      <c r="C25" s="24" t="n"/>
      <c r="D25" s="24" t="n"/>
      <c r="E25" s="24" t="n"/>
      <c r="F25" s="24" t="n"/>
      <c r="G25" s="24" t="n"/>
    </row>
    <row r="26">
      <c r="A26" s="37" t="inlineStr">
        <is>
          <t>Copyright and licensing</t>
        </is>
      </c>
      <c r="B26" s="24" t="inlineStr">
        <is>
          <t>"Dr. Kristin Neff grants permission to use the Self-Compassion Scale (Neff, 2003) for any purpose whatsoever," with permission also given to translate the scale provided the factor structure is validated (SCS-information.pdf). Source: https://self-compassion.org/wp-content/uploads/2021/03/SCS-information.pdf</t>
        </is>
      </c>
      <c r="C26" s="24" t="n"/>
      <c r="D26" s="24" t="n"/>
      <c r="E26" s="24" t="n"/>
      <c r="F26" s="24" t="n"/>
      <c r="G26" s="24" t="n"/>
    </row>
    <row r="27">
      <c r="A27" s="37" t="inlineStr">
        <is>
          <t>Source URL</t>
        </is>
      </c>
      <c r="B27" s="24" t="inlineStr">
        <is>
          <t>https://self-compassion.org/wptest/wp-content/uploads/Self_Compassion_Scale_for_researchers.pdf</t>
        </is>
      </c>
      <c r="C27" s="24" t="n"/>
      <c r="D27" s="24" t="n"/>
      <c r="E27" s="24" t="n"/>
      <c r="F27" s="24" t="n"/>
      <c r="G27" s="24" t="n"/>
    </row>
    <row r="28">
      <c r="A28" s="37" t="inlineStr">
        <is>
          <t>Transcription note</t>
        </is>
      </c>
      <c r="B28" s="24" t="inlineStr">
        <is>
          <t>Items transcribed from the researcher PDF on self-compassion.org; US spelling (judgmental) retained. The response scale labels only the endpoints 1 Almost never and 5 Almost always, so points 2 to 4 are unlabelled. Subscale names follow the PDF's coding key (Self-Kindness, Self-Judgment, Common Humanity, Isolation, Mindfulness, Over-identified). Total score method: the researcher PDF says to take the mean of all 26 items after reverse coding, while SCS-information.pdf (licence source) says to average the 6 subscale means; both are recorded in scoring. The instruction text was confirmed sentence by sentence against the PDF, where the scale line is printed as "Almost never 1 2 3 4 5 Almost always".</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I'm disapproving and judgmental about my own flaws and inadequacies.</t>
        </is>
      </c>
      <c r="C32" s="24" t="inlineStr">
        <is>
          <t>Self-Judgment</t>
        </is>
      </c>
      <c r="D32" s="24" t="inlineStr">
        <is>
          <t>TRUE</t>
        </is>
      </c>
      <c r="E32" s="24" t="inlineStr">
        <is>
          <t>FALSE</t>
        </is>
      </c>
      <c r="F32" s="24" t="inlineStr">
        <is>
          <t>Reverse scored before computing the total</t>
        </is>
      </c>
      <c r="G32" s="24" t="inlineStr">
        <is>
          <t>Almost never = 1 | 2 = 2 | 3 = 3 | 4 = 4 | Almost always = 5</t>
        </is>
      </c>
    </row>
    <row r="33">
      <c r="A33" s="24" t="n">
        <v>2</v>
      </c>
      <c r="B33" s="24" t="inlineStr">
        <is>
          <t>When I'm feeling down I tend to obsess and fixate on everything that's wrong.</t>
        </is>
      </c>
      <c r="C33" s="24" t="inlineStr">
        <is>
          <t>Over-identified</t>
        </is>
      </c>
      <c r="D33" s="24" t="inlineStr">
        <is>
          <t>TRUE</t>
        </is>
      </c>
      <c r="E33" s="24" t="inlineStr">
        <is>
          <t>FALSE</t>
        </is>
      </c>
      <c r="F33" s="24" t="inlineStr">
        <is>
          <t>Reverse scored before computing the total</t>
        </is>
      </c>
      <c r="G33" s="24" t="inlineStr">
        <is>
          <t>Almost never = 1 | 2 = 2 | 3 = 3 | 4 = 4 | Almost always = 5</t>
        </is>
      </c>
    </row>
    <row r="34">
      <c r="A34" s="24" t="n">
        <v>3</v>
      </c>
      <c r="B34" s="24" t="inlineStr">
        <is>
          <t>When things are going badly for me, I see the difficulties as part of life that everyone goes through.</t>
        </is>
      </c>
      <c r="C34" s="24" t="inlineStr">
        <is>
          <t>Common Humanity</t>
        </is>
      </c>
      <c r="D34" s="24" t="inlineStr">
        <is>
          <t>FALSE</t>
        </is>
      </c>
      <c r="E34" s="24" t="inlineStr">
        <is>
          <t>FALSE</t>
        </is>
      </c>
      <c r="F34" s="24" t="n"/>
      <c r="G34" s="24" t="inlineStr">
        <is>
          <t>Almost never = 1 | 2 = 2 | 3 = 3 | 4 = 4 | Almost always = 5</t>
        </is>
      </c>
    </row>
    <row r="35">
      <c r="A35" s="24" t="n">
        <v>4</v>
      </c>
      <c r="B35" s="24" t="inlineStr">
        <is>
          <t>When I think about my inadequacies, it tends to make me feel more separate and cut off from the rest of the world.</t>
        </is>
      </c>
      <c r="C35" s="24" t="inlineStr">
        <is>
          <t>Isolation</t>
        </is>
      </c>
      <c r="D35" s="24" t="inlineStr">
        <is>
          <t>TRUE</t>
        </is>
      </c>
      <c r="E35" s="24" t="inlineStr">
        <is>
          <t>FALSE</t>
        </is>
      </c>
      <c r="F35" s="24" t="inlineStr">
        <is>
          <t>Reverse scored before computing the total</t>
        </is>
      </c>
      <c r="G35" s="24" t="inlineStr">
        <is>
          <t>Almost never = 1 | 2 = 2 | 3 = 3 | 4 = 4 | Almost always = 5</t>
        </is>
      </c>
    </row>
    <row r="36">
      <c r="A36" s="24" t="n">
        <v>5</v>
      </c>
      <c r="B36" s="24" t="inlineStr">
        <is>
          <t>I try to be loving towards myself when I'm feeling emotional pain.</t>
        </is>
      </c>
      <c r="C36" s="24" t="inlineStr">
        <is>
          <t>Self-Kindness</t>
        </is>
      </c>
      <c r="D36" s="24" t="inlineStr">
        <is>
          <t>FALSE</t>
        </is>
      </c>
      <c r="E36" s="24" t="inlineStr">
        <is>
          <t>FALSE</t>
        </is>
      </c>
      <c r="F36" s="24" t="n"/>
      <c r="G36" s="24" t="inlineStr">
        <is>
          <t>Almost never = 1 | 2 = 2 | 3 = 3 | 4 = 4 | Almost always = 5</t>
        </is>
      </c>
    </row>
    <row r="37">
      <c r="A37" s="24" t="n">
        <v>6</v>
      </c>
      <c r="B37" s="24" t="inlineStr">
        <is>
          <t>When I fail at something important to me I become consumed by feelings of inadequacy.</t>
        </is>
      </c>
      <c r="C37" s="24" t="inlineStr">
        <is>
          <t>Over-identified</t>
        </is>
      </c>
      <c r="D37" s="24" t="inlineStr">
        <is>
          <t>TRUE</t>
        </is>
      </c>
      <c r="E37" s="24" t="inlineStr">
        <is>
          <t>FALSE</t>
        </is>
      </c>
      <c r="F37" s="24" t="inlineStr">
        <is>
          <t>Reverse scored before computing the total</t>
        </is>
      </c>
      <c r="G37" s="24" t="inlineStr">
        <is>
          <t>Almost never = 1 | 2 = 2 | 3 = 3 | 4 = 4 | Almost always = 5</t>
        </is>
      </c>
    </row>
    <row r="38">
      <c r="A38" s="24" t="n">
        <v>7</v>
      </c>
      <c r="B38" s="24" t="inlineStr">
        <is>
          <t>When I'm down and out, I remind myself that there are lots of other people in the world feeling like I am.</t>
        </is>
      </c>
      <c r="C38" s="24" t="inlineStr">
        <is>
          <t>Common Humanity</t>
        </is>
      </c>
      <c r="D38" s="24" t="inlineStr">
        <is>
          <t>FALSE</t>
        </is>
      </c>
      <c r="E38" s="24" t="inlineStr">
        <is>
          <t>FALSE</t>
        </is>
      </c>
      <c r="F38" s="24" t="n"/>
      <c r="G38" s="24" t="inlineStr">
        <is>
          <t>Almost never = 1 | 2 = 2 | 3 = 3 | 4 = 4 | Almost always = 5</t>
        </is>
      </c>
    </row>
    <row r="39">
      <c r="A39" s="24" t="n">
        <v>8</v>
      </c>
      <c r="B39" s="24" t="inlineStr">
        <is>
          <t>When times are really difficult, I tend to be tough on myself.</t>
        </is>
      </c>
      <c r="C39" s="24" t="inlineStr">
        <is>
          <t>Self-Judgment</t>
        </is>
      </c>
      <c r="D39" s="24" t="inlineStr">
        <is>
          <t>TRUE</t>
        </is>
      </c>
      <c r="E39" s="24" t="inlineStr">
        <is>
          <t>FALSE</t>
        </is>
      </c>
      <c r="F39" s="24" t="inlineStr">
        <is>
          <t>Reverse scored before computing the total</t>
        </is>
      </c>
      <c r="G39" s="24" t="inlineStr">
        <is>
          <t>Almost never = 1 | 2 = 2 | 3 = 3 | 4 = 4 | Almost always = 5</t>
        </is>
      </c>
    </row>
    <row r="40">
      <c r="A40" s="24" t="n">
        <v>9</v>
      </c>
      <c r="B40" s="24" t="inlineStr">
        <is>
          <t>When something upsets me I try to keep my emotions in balance.</t>
        </is>
      </c>
      <c r="C40" s="24" t="inlineStr">
        <is>
          <t>Mindfulness</t>
        </is>
      </c>
      <c r="D40" s="24" t="inlineStr">
        <is>
          <t>FALSE</t>
        </is>
      </c>
      <c r="E40" s="24" t="inlineStr">
        <is>
          <t>FALSE</t>
        </is>
      </c>
      <c r="F40" s="24" t="n"/>
      <c r="G40" s="24" t="inlineStr">
        <is>
          <t>Almost never = 1 | 2 = 2 | 3 = 3 | 4 = 4 | Almost always = 5</t>
        </is>
      </c>
    </row>
    <row r="41">
      <c r="A41" s="24" t="n">
        <v>10</v>
      </c>
      <c r="B41" s="24" t="inlineStr">
        <is>
          <t>When I feel inadequate in some way, I try to remind myself that feelings of inadequacy are shared by most people.</t>
        </is>
      </c>
      <c r="C41" s="24" t="inlineStr">
        <is>
          <t>Common Humanity</t>
        </is>
      </c>
      <c r="D41" s="24" t="inlineStr">
        <is>
          <t>FALSE</t>
        </is>
      </c>
      <c r="E41" s="24" t="inlineStr">
        <is>
          <t>FALSE</t>
        </is>
      </c>
      <c r="F41" s="24" t="n"/>
      <c r="G41" s="24" t="inlineStr">
        <is>
          <t>Almost never = 1 | 2 = 2 | 3 = 3 | 4 = 4 | Almost always = 5</t>
        </is>
      </c>
    </row>
    <row r="42">
      <c r="A42" s="24" t="n">
        <v>11</v>
      </c>
      <c r="B42" s="24" t="inlineStr">
        <is>
          <t>I'm intolerant and impatient towards those aspects of my personality I don't like.</t>
        </is>
      </c>
      <c r="C42" s="24" t="inlineStr">
        <is>
          <t>Self-Judgment</t>
        </is>
      </c>
      <c r="D42" s="24" t="inlineStr">
        <is>
          <t>TRUE</t>
        </is>
      </c>
      <c r="E42" s="24" t="inlineStr">
        <is>
          <t>FALSE</t>
        </is>
      </c>
      <c r="F42" s="24" t="inlineStr">
        <is>
          <t>Reverse scored before computing the total</t>
        </is>
      </c>
      <c r="G42" s="24" t="inlineStr">
        <is>
          <t>Almost never = 1 | 2 = 2 | 3 = 3 | 4 = 4 | Almost always = 5</t>
        </is>
      </c>
    </row>
    <row r="43">
      <c r="A43" s="24" t="n">
        <v>12</v>
      </c>
      <c r="B43" s="24" t="inlineStr">
        <is>
          <t>When I'm going through a very hard time, I give myself the caring and tenderness I need.</t>
        </is>
      </c>
      <c r="C43" s="24" t="inlineStr">
        <is>
          <t>Self-Kindness</t>
        </is>
      </c>
      <c r="D43" s="24" t="inlineStr">
        <is>
          <t>FALSE</t>
        </is>
      </c>
      <c r="E43" s="24" t="inlineStr">
        <is>
          <t>FALSE</t>
        </is>
      </c>
      <c r="F43" s="24" t="n"/>
      <c r="G43" s="24" t="inlineStr">
        <is>
          <t>Almost never = 1 | 2 = 2 | 3 = 3 | 4 = 4 | Almost always = 5</t>
        </is>
      </c>
    </row>
    <row r="44">
      <c r="A44" s="24" t="n">
        <v>13</v>
      </c>
      <c r="B44" s="24" t="inlineStr">
        <is>
          <t>When I'm feeling down, I tend to feel like most other people are probably happier than I am.</t>
        </is>
      </c>
      <c r="C44" s="24" t="inlineStr">
        <is>
          <t>Isolation</t>
        </is>
      </c>
      <c r="D44" s="24" t="inlineStr">
        <is>
          <t>TRUE</t>
        </is>
      </c>
      <c r="E44" s="24" t="inlineStr">
        <is>
          <t>FALSE</t>
        </is>
      </c>
      <c r="F44" s="24" t="inlineStr">
        <is>
          <t>Reverse scored before computing the total</t>
        </is>
      </c>
      <c r="G44" s="24" t="inlineStr">
        <is>
          <t>Almost never = 1 | 2 = 2 | 3 = 3 | 4 = 4 | Almost always = 5</t>
        </is>
      </c>
    </row>
    <row r="45">
      <c r="A45" s="24" t="n">
        <v>14</v>
      </c>
      <c r="B45" s="24" t="inlineStr">
        <is>
          <t>When something painful happens I try to take a balanced view of the situation.</t>
        </is>
      </c>
      <c r="C45" s="24" t="inlineStr">
        <is>
          <t>Mindfulness</t>
        </is>
      </c>
      <c r="D45" s="24" t="inlineStr">
        <is>
          <t>FALSE</t>
        </is>
      </c>
      <c r="E45" s="24" t="inlineStr">
        <is>
          <t>FALSE</t>
        </is>
      </c>
      <c r="F45" s="24" t="n"/>
      <c r="G45" s="24" t="inlineStr">
        <is>
          <t>Almost never = 1 | 2 = 2 | 3 = 3 | 4 = 4 | Almost always = 5</t>
        </is>
      </c>
    </row>
    <row r="46">
      <c r="A46" s="24" t="n">
        <v>15</v>
      </c>
      <c r="B46" s="24" t="inlineStr">
        <is>
          <t>I try to see my failings as part of the human condition.</t>
        </is>
      </c>
      <c r="C46" s="24" t="inlineStr">
        <is>
          <t>Common Humanity</t>
        </is>
      </c>
      <c r="D46" s="24" t="inlineStr">
        <is>
          <t>FALSE</t>
        </is>
      </c>
      <c r="E46" s="24" t="inlineStr">
        <is>
          <t>FALSE</t>
        </is>
      </c>
      <c r="F46" s="24" t="n"/>
      <c r="G46" s="24" t="inlineStr">
        <is>
          <t>Almost never = 1 | 2 = 2 | 3 = 3 | 4 = 4 | Almost always = 5</t>
        </is>
      </c>
    </row>
    <row r="47">
      <c r="A47" s="24" t="n">
        <v>16</v>
      </c>
      <c r="B47" s="24" t="inlineStr">
        <is>
          <t>When I see aspects of myself that I don't like, I get down on myself.</t>
        </is>
      </c>
      <c r="C47" s="24" t="inlineStr">
        <is>
          <t>Self-Judgment</t>
        </is>
      </c>
      <c r="D47" s="24" t="inlineStr">
        <is>
          <t>TRUE</t>
        </is>
      </c>
      <c r="E47" s="24" t="inlineStr">
        <is>
          <t>FALSE</t>
        </is>
      </c>
      <c r="F47" s="24" t="inlineStr">
        <is>
          <t>Reverse scored before computing the total</t>
        </is>
      </c>
      <c r="G47" s="24" t="inlineStr">
        <is>
          <t>Almost never = 1 | 2 = 2 | 3 = 3 | 4 = 4 | Almost always = 5</t>
        </is>
      </c>
    </row>
    <row r="48">
      <c r="A48" s="24" t="n">
        <v>17</v>
      </c>
      <c r="B48" s="24" t="inlineStr">
        <is>
          <t>When I fail at something important to me I try to keep things in perspective.</t>
        </is>
      </c>
      <c r="C48" s="24" t="inlineStr">
        <is>
          <t>Mindfulness</t>
        </is>
      </c>
      <c r="D48" s="24" t="inlineStr">
        <is>
          <t>FALSE</t>
        </is>
      </c>
      <c r="E48" s="24" t="inlineStr">
        <is>
          <t>FALSE</t>
        </is>
      </c>
      <c r="F48" s="24" t="n"/>
      <c r="G48" s="24" t="inlineStr">
        <is>
          <t>Almost never = 1 | 2 = 2 | 3 = 3 | 4 = 4 | Almost always = 5</t>
        </is>
      </c>
    </row>
    <row r="49">
      <c r="A49" s="24" t="n">
        <v>18</v>
      </c>
      <c r="B49" s="24" t="inlineStr">
        <is>
          <t>When I'm really struggling, I tend to feel like other people must be having an easier time of it.</t>
        </is>
      </c>
      <c r="C49" s="24" t="inlineStr">
        <is>
          <t>Isolation</t>
        </is>
      </c>
      <c r="D49" s="24" t="inlineStr">
        <is>
          <t>TRUE</t>
        </is>
      </c>
      <c r="E49" s="24" t="inlineStr">
        <is>
          <t>FALSE</t>
        </is>
      </c>
      <c r="F49" s="24" t="inlineStr">
        <is>
          <t>Reverse scored before computing the total</t>
        </is>
      </c>
      <c r="G49" s="24" t="inlineStr">
        <is>
          <t>Almost never = 1 | 2 = 2 | 3 = 3 | 4 = 4 | Almost always = 5</t>
        </is>
      </c>
    </row>
    <row r="50">
      <c r="A50" s="24" t="n">
        <v>19</v>
      </c>
      <c r="B50" s="24" t="inlineStr">
        <is>
          <t>I'm kind to myself when I'm experiencing suffering.</t>
        </is>
      </c>
      <c r="C50" s="24" t="inlineStr">
        <is>
          <t>Self-Kindness</t>
        </is>
      </c>
      <c r="D50" s="24" t="inlineStr">
        <is>
          <t>FALSE</t>
        </is>
      </c>
      <c r="E50" s="24" t="inlineStr">
        <is>
          <t>FALSE</t>
        </is>
      </c>
      <c r="F50" s="24" t="n"/>
      <c r="G50" s="24" t="inlineStr">
        <is>
          <t>Almost never = 1 | 2 = 2 | 3 = 3 | 4 = 4 | Almost always = 5</t>
        </is>
      </c>
    </row>
    <row r="51">
      <c r="A51" s="24" t="n">
        <v>20</v>
      </c>
      <c r="B51" s="24" t="inlineStr">
        <is>
          <t>When something upsets me I get carried away with my feelings.</t>
        </is>
      </c>
      <c r="C51" s="24" t="inlineStr">
        <is>
          <t>Over-identified</t>
        </is>
      </c>
      <c r="D51" s="24" t="inlineStr">
        <is>
          <t>TRUE</t>
        </is>
      </c>
      <c r="E51" s="24" t="inlineStr">
        <is>
          <t>FALSE</t>
        </is>
      </c>
      <c r="F51" s="24" t="inlineStr">
        <is>
          <t>Reverse scored before computing the total</t>
        </is>
      </c>
      <c r="G51" s="24" t="inlineStr">
        <is>
          <t>Almost never = 1 | 2 = 2 | 3 = 3 | 4 = 4 | Almost always = 5</t>
        </is>
      </c>
    </row>
    <row r="52">
      <c r="A52" s="24" t="n">
        <v>21</v>
      </c>
      <c r="B52" s="24" t="inlineStr">
        <is>
          <t>I can be a bit cold-hearted towards myself when I'm experiencing suffering.</t>
        </is>
      </c>
      <c r="C52" s="24" t="inlineStr">
        <is>
          <t>Self-Judgment</t>
        </is>
      </c>
      <c r="D52" s="24" t="inlineStr">
        <is>
          <t>TRUE</t>
        </is>
      </c>
      <c r="E52" s="24" t="inlineStr">
        <is>
          <t>FALSE</t>
        </is>
      </c>
      <c r="F52" s="24" t="inlineStr">
        <is>
          <t>Reverse scored before computing the total</t>
        </is>
      </c>
      <c r="G52" s="24" t="inlineStr">
        <is>
          <t>Almost never = 1 | 2 = 2 | 3 = 3 | 4 = 4 | Almost always = 5</t>
        </is>
      </c>
    </row>
    <row r="53">
      <c r="A53" s="24" t="n">
        <v>22</v>
      </c>
      <c r="B53" s="24" t="inlineStr">
        <is>
          <t>When I'm feeling down I try to approach my feelings with curiosity and openness.</t>
        </is>
      </c>
      <c r="C53" s="24" t="inlineStr">
        <is>
          <t>Mindfulness</t>
        </is>
      </c>
      <c r="D53" s="24" t="inlineStr">
        <is>
          <t>FALSE</t>
        </is>
      </c>
      <c r="E53" s="24" t="inlineStr">
        <is>
          <t>FALSE</t>
        </is>
      </c>
      <c r="F53" s="24" t="n"/>
      <c r="G53" s="24" t="inlineStr">
        <is>
          <t>Almost never = 1 | 2 = 2 | 3 = 3 | 4 = 4 | Almost always = 5</t>
        </is>
      </c>
    </row>
    <row r="54">
      <c r="A54" s="24" t="n">
        <v>23</v>
      </c>
      <c r="B54" s="24" t="inlineStr">
        <is>
          <t>I'm tolerant of my own flaws and inadequacies.</t>
        </is>
      </c>
      <c r="C54" s="24" t="inlineStr">
        <is>
          <t>Self-Kindness</t>
        </is>
      </c>
      <c r="D54" s="24" t="inlineStr">
        <is>
          <t>FALSE</t>
        </is>
      </c>
      <c r="E54" s="24" t="inlineStr">
        <is>
          <t>FALSE</t>
        </is>
      </c>
      <c r="F54" s="24" t="n"/>
      <c r="G54" s="24" t="inlineStr">
        <is>
          <t>Almost never = 1 | 2 = 2 | 3 = 3 | 4 = 4 | Almost always = 5</t>
        </is>
      </c>
    </row>
    <row r="55">
      <c r="A55" s="24" t="n">
        <v>24</v>
      </c>
      <c r="B55" s="24" t="inlineStr">
        <is>
          <t>When something painful happens I tend to blow the incident out of proportion.</t>
        </is>
      </c>
      <c r="C55" s="24" t="inlineStr">
        <is>
          <t>Over-identified</t>
        </is>
      </c>
      <c r="D55" s="24" t="inlineStr">
        <is>
          <t>TRUE</t>
        </is>
      </c>
      <c r="E55" s="24" t="inlineStr">
        <is>
          <t>FALSE</t>
        </is>
      </c>
      <c r="F55" s="24" t="inlineStr">
        <is>
          <t>Reverse scored before computing the total</t>
        </is>
      </c>
      <c r="G55" s="24" t="inlineStr">
        <is>
          <t>Almost never = 1 | 2 = 2 | 3 = 3 | 4 = 4 | Almost always = 5</t>
        </is>
      </c>
    </row>
    <row r="56">
      <c r="A56" s="24" t="n">
        <v>25</v>
      </c>
      <c r="B56" s="24" t="inlineStr">
        <is>
          <t>When I fail at something that's important to me, I tend to feel alone in my failure.</t>
        </is>
      </c>
      <c r="C56" s="24" t="inlineStr">
        <is>
          <t>Isolation</t>
        </is>
      </c>
      <c r="D56" s="24" t="inlineStr">
        <is>
          <t>TRUE</t>
        </is>
      </c>
      <c r="E56" s="24" t="inlineStr">
        <is>
          <t>FALSE</t>
        </is>
      </c>
      <c r="F56" s="24" t="inlineStr">
        <is>
          <t>Reverse scored before computing the total</t>
        </is>
      </c>
      <c r="G56" s="24" t="inlineStr">
        <is>
          <t>Almost never = 1 | 2 = 2 | 3 = 3 | 4 = 4 | Almost always = 5</t>
        </is>
      </c>
    </row>
    <row r="57">
      <c r="A57" s="24" t="n">
        <v>26</v>
      </c>
      <c r="B57" s="24" t="inlineStr">
        <is>
          <t>I try to be understanding and patient towards those aspects of my personality I don't like.</t>
        </is>
      </c>
      <c r="C57" s="24" t="inlineStr">
        <is>
          <t>Self-Kindness</t>
        </is>
      </c>
      <c r="D57" s="24" t="inlineStr">
        <is>
          <t>FALSE</t>
        </is>
      </c>
      <c r="E57" s="24" t="inlineStr">
        <is>
          <t>FALSE</t>
        </is>
      </c>
      <c r="F57" s="24" t="n"/>
      <c r="G57" s="24" t="inlineStr">
        <is>
          <t>Almost never = 1 | 2 = 2 | 3 = 3 | 4 = 4 | Almost always = 5</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G94"/>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Self-Regulation Questionnaire</t>
        </is>
      </c>
    </row>
    <row r="3">
      <c r="A3" s="37" t="inlineStr">
        <is>
          <t>Instrument</t>
        </is>
      </c>
      <c r="B3" s="24" t="inlineStr">
        <is>
          <t>Self-Regulation Questionnaire</t>
        </is>
      </c>
      <c r="C3" s="24" t="n"/>
      <c r="D3" s="24" t="n"/>
      <c r="E3" s="24" t="n"/>
      <c r="F3" s="24" t="n"/>
      <c r="G3" s="24" t="n"/>
    </row>
    <row r="4">
      <c r="A4" s="37" t="inlineStr">
        <is>
          <t>Code</t>
        </is>
      </c>
      <c r="B4" s="24" t="inlineStr">
        <is>
          <t>SRQ-63</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Generalised capacity for self regulation across the 7 stages of the Miller and Brown model, from receiving relevant information to assessing the effectiveness of a plan.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63</v>
      </c>
      <c r="C10" s="24" t="n"/>
      <c r="D10" s="24" t="n"/>
      <c r="E10" s="24" t="n"/>
      <c r="F10" s="24" t="n"/>
      <c r="G10" s="24" t="n"/>
    </row>
    <row r="11">
      <c r="A11" s="37" t="inlineStr">
        <is>
          <t>Items reproduced here</t>
        </is>
      </c>
      <c r="B11" s="24" t="n">
        <v>63</v>
      </c>
      <c r="C11" s="24" t="n"/>
      <c r="D11" s="24" t="n"/>
      <c r="E11" s="24" t="n"/>
      <c r="F11" s="24" t="n"/>
      <c r="G11" s="24" t="n"/>
    </row>
    <row r="12">
      <c r="A12" s="37" t="inlineStr">
        <is>
          <t>Administration time</t>
        </is>
      </c>
      <c r="B12" s="24" t="inlineStr">
        <is>
          <t>12 minutes</t>
        </is>
      </c>
      <c r="C12" s="24" t="n"/>
      <c r="D12" s="24" t="n"/>
      <c r="E12" s="24" t="n"/>
      <c r="F12" s="24" t="n"/>
      <c r="G12" s="24" t="n"/>
    </row>
    <row r="13">
      <c r="A13" s="37" t="inlineStr">
        <is>
          <t>Cost and access</t>
        </is>
      </c>
      <c r="B13" s="24" t="inlineStr">
        <is>
          <t>"The SRQ is in the public domain and may be freely used, adapted, and reproduced without special permission." The source adds that acknowledgment of the origin is appreciated.</t>
        </is>
      </c>
      <c r="C13" s="24" t="n"/>
      <c r="D13" s="24" t="n"/>
      <c r="E13" s="24" t="n"/>
      <c r="F13" s="24" t="n"/>
      <c r="G13" s="24" t="n"/>
    </row>
    <row r="14">
      <c r="A14" s="37" t="inlineStr">
        <is>
          <t>Coaching application</t>
        </is>
      </c>
      <c r="B14" s="24" t="inlineStr">
        <is>
          <t>Long, but the stage based subscales map neatly onto a goal pursuit coaching model; a 31 item short form (SSRQ, Carey et al 2004) exists.</t>
        </is>
      </c>
      <c r="C14" s="24" t="n"/>
      <c r="D14" s="24" t="n"/>
      <c r="E14" s="24" t="n"/>
      <c r="F14" s="24" t="n"/>
      <c r="G14" s="24" t="n"/>
    </row>
    <row r="15">
      <c r="A15" s="37" t="inlineStr">
        <is>
          <t>Purpose</t>
        </is>
      </c>
      <c r="B15" s="24" t="inlineStr">
        <is>
          <t>Generalised capacity for self regulation across the 7 stages of the Miller and Brown model, from receiving relevant information to assessing the effectiveness of a plan.</t>
        </is>
      </c>
      <c r="C15" s="24" t="n"/>
      <c r="D15" s="24" t="n"/>
      <c r="E15" s="24" t="n"/>
      <c r="F15" s="24" t="n"/>
      <c r="G15" s="24" t="n"/>
    </row>
    <row r="16">
      <c r="A16" s="37" t="inlineStr">
        <is>
          <t>Instructions / prompt</t>
        </is>
      </c>
      <c r="B16" s="24" t="inlineStr">
        <is>
          <t>Please answer the following questions by circling the response that best describes how you are. If you STRONGLY DISAGREE with a statement, circle 1. If you DISAGREE circle 2. If you are UNCERTAIN or UNSURE circle 3. If you AGREE circle 4, and if you STRONGLY AGREE circle 5. There are no right or wrong answers. Work quickly and don't think too long about your answers.</t>
        </is>
      </c>
      <c r="C16" s="24" t="n"/>
      <c r="D16" s="24" t="n"/>
      <c r="E16" s="24" t="n"/>
      <c r="F16" s="24" t="n"/>
      <c r="G16" s="24" t="n"/>
    </row>
    <row r="17">
      <c r="A17" s="37" t="inlineStr">
        <is>
          <t>Response options</t>
        </is>
      </c>
      <c r="B17" s="24" t="inlineStr">
        <is>
          <t>Strongly Disagree = 1 | Disagree = 2 | Uncertain or Unsure = 3 | Agree = 4 | Strongly Agree = 5</t>
        </is>
      </c>
      <c r="C17" s="24" t="n"/>
      <c r="D17" s="24" t="n"/>
      <c r="E17" s="24" t="n"/>
      <c r="F17" s="24" t="n"/>
      <c r="G17" s="24" t="n"/>
    </row>
    <row r="18">
      <c r="A18" s="37" t="inlineStr">
        <is>
          <t>Reverse-scored items</t>
        </is>
      </c>
      <c r="B18" s="24" t="inlineStr">
        <is>
          <t>2, 3, 4, 5, 6, 8, 10, 12, 13, 15, 19, 20, 21, 24, 26, 29, 31, 33, 37, 40, 43, 45, 50, 55, 62, 63</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Reverse score items 2, 3, 4, 5, 6, 8, 10, 12, 13, 15, 19, 20, 21, 24, 26, 29, 31, 33, 37, 40, 43, 45, 50, 55, 62 and 63 (1=5, 2=4, 3=3, 4=2, 5=1), then sum all 63 items (range 63 to 315). Higher scores indicate greater self regulation capacity. Tentative bands from the source: above 239 high (intact) self regulation capacity (top quartile); 214 to 238 intermediate (moderate) capacity (middle quartiles); below 213 low (impaired) capacity (bottom quartile). The source does not assign 213 itself to a band. The authors do not recommend clinical decision making with the SRQ and recommend the 7 subscales be used for research only, not for individual interpretation.</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Brown, J. M., Miller, W. R., &amp; Lawendowski, L. A. (1999). The Self-Regulation Questionnaire. In L. VandeCreek &amp; T. L. Jackson (Eds.), Innovations in clinical practice: A source book (Vol. 17, pp. 281–292). Professional Resource Press.</t>
        </is>
      </c>
      <c r="C25" s="24" t="n"/>
      <c r="D25" s="24" t="n"/>
      <c r="E25" s="24" t="n"/>
      <c r="F25" s="24" t="n"/>
      <c r="G25" s="24" t="n"/>
    </row>
    <row r="26">
      <c r="A26" s="37" t="inlineStr">
        <is>
          <t>Copyright and licensing</t>
        </is>
      </c>
      <c r="B26" s="24" t="inlineStr">
        <is>
          <t>"The SRQ is in the public domain and may be freely used, adapted, and reproduced without special permission." The source adds that acknowledgment of the origin is appreciated. Source: https://casaa.unm.edu/assets/inst/selfregulation-questionnaire-srq.pdf</t>
        </is>
      </c>
      <c r="C26" s="24" t="n"/>
      <c r="D26" s="24" t="n"/>
      <c r="E26" s="24" t="n"/>
      <c r="F26" s="24" t="n"/>
      <c r="G26" s="24" t="n"/>
    </row>
    <row r="27">
      <c r="A27" s="37" t="inlineStr">
        <is>
          <t>Source URL</t>
        </is>
      </c>
      <c r="B27" s="24" t="inlineStr">
        <is>
          <t>https://casaa.unm.edu/assets/inst/selfregulation-questionnaire-srq.pdf</t>
        </is>
      </c>
      <c r="C27" s="24" t="n"/>
      <c r="D27" s="24" t="n"/>
      <c r="E27" s="24" t="n"/>
      <c r="F27" s="24" t="n"/>
      <c r="G27" s="24" t="n"/>
    </row>
    <row r="28">
      <c r="A28" s="37" t="inlineStr">
        <is>
          <t>Transcription note</t>
        </is>
      </c>
      <c r="B28" s="24" t="inlineStr">
        <is>
          <t>All 63 items transcribed from the CASAA PDF in 3 passes. The instructions in the extracted text omitted the circled numbers ("circle ."); the numbers 1 to 5 have been restored from the response scale, which is the only edit. The printed column headers are split across lines in the PDF; the labels above are taken from the Scoring section of the same document. Subscale membership follows the 7 item cycle given in the source (item n belongs to the subscale in position n mod 7).</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 usually keep track of my progress toward my goals.</t>
        </is>
      </c>
      <c r="C32" s="24" t="inlineStr">
        <is>
          <t>Receiving</t>
        </is>
      </c>
      <c r="D32" s="24" t="inlineStr">
        <is>
          <t>FALSE</t>
        </is>
      </c>
      <c r="E32" s="24" t="inlineStr">
        <is>
          <t>FALSE</t>
        </is>
      </c>
      <c r="F32" s="24" t="n"/>
      <c r="G32" s="24" t="inlineStr">
        <is>
          <t>Strongly Disagree = 1 | Disagree = 2 | Uncertain or Unsure = 3 | Agree = 4 | Strongly Agree = 5</t>
        </is>
      </c>
    </row>
    <row r="33">
      <c r="A33" s="24" t="n">
        <v>2</v>
      </c>
      <c r="B33" s="24" t="inlineStr">
        <is>
          <t>My behavior is not that different from other people's.</t>
        </is>
      </c>
      <c r="C33" s="24" t="inlineStr">
        <is>
          <t>Evaluating</t>
        </is>
      </c>
      <c r="D33" s="24" t="inlineStr">
        <is>
          <t>TRUE</t>
        </is>
      </c>
      <c r="E33" s="24" t="inlineStr">
        <is>
          <t>FALSE</t>
        </is>
      </c>
      <c r="F33" s="24" t="n"/>
      <c r="G33" s="24" t="inlineStr">
        <is>
          <t>Strongly Disagree = 1 | Disagree = 2 | Uncertain or Unsure = 3 | Agree = 4 | Strongly Agree = 5</t>
        </is>
      </c>
    </row>
    <row r="34">
      <c r="A34" s="24" t="n">
        <v>3</v>
      </c>
      <c r="B34" s="24" t="inlineStr">
        <is>
          <t>Others tell me that I keep on with things too long.</t>
        </is>
      </c>
      <c r="C34" s="24" t="inlineStr">
        <is>
          <t>Triggering</t>
        </is>
      </c>
      <c r="D34" s="24" t="inlineStr">
        <is>
          <t>TRUE</t>
        </is>
      </c>
      <c r="E34" s="24" t="inlineStr">
        <is>
          <t>FALSE</t>
        </is>
      </c>
      <c r="F34" s="24" t="n"/>
      <c r="G34" s="24" t="inlineStr">
        <is>
          <t>Strongly Disagree = 1 | Disagree = 2 | Uncertain or Unsure = 3 | Agree = 4 | Strongly Agree = 5</t>
        </is>
      </c>
    </row>
    <row r="35">
      <c r="A35" s="24" t="n">
        <v>4</v>
      </c>
      <c r="B35" s="24" t="inlineStr">
        <is>
          <t>I doubt I could change even if I wanted to.</t>
        </is>
      </c>
      <c r="C35" s="24" t="inlineStr">
        <is>
          <t>Searching</t>
        </is>
      </c>
      <c r="D35" s="24" t="inlineStr">
        <is>
          <t>TRUE</t>
        </is>
      </c>
      <c r="E35" s="24" t="inlineStr">
        <is>
          <t>FALSE</t>
        </is>
      </c>
      <c r="F35" s="24" t="n"/>
      <c r="G35" s="24" t="inlineStr">
        <is>
          <t>Strongly Disagree = 1 | Disagree = 2 | Uncertain or Unsure = 3 | Agree = 4 | Strongly Agree = 5</t>
        </is>
      </c>
    </row>
    <row r="36">
      <c r="A36" s="24" t="n">
        <v>5</v>
      </c>
      <c r="B36" s="24" t="inlineStr">
        <is>
          <t>I have trouble making up my mind about things.</t>
        </is>
      </c>
      <c r="C36" s="24" t="inlineStr">
        <is>
          <t>Planning</t>
        </is>
      </c>
      <c r="D36" s="24" t="inlineStr">
        <is>
          <t>TRUE</t>
        </is>
      </c>
      <c r="E36" s="24" t="inlineStr">
        <is>
          <t>FALSE</t>
        </is>
      </c>
      <c r="F36" s="24" t="n"/>
      <c r="G36" s="24" t="inlineStr">
        <is>
          <t>Strongly Disagree = 1 | Disagree = 2 | Uncertain or Unsure = 3 | Agree = 4 | Strongly Agree = 5</t>
        </is>
      </c>
    </row>
    <row r="37">
      <c r="A37" s="24" t="n">
        <v>6</v>
      </c>
      <c r="B37" s="24" t="inlineStr">
        <is>
          <t>I get easily distracted from my plans.</t>
        </is>
      </c>
      <c r="C37" s="24" t="inlineStr">
        <is>
          <t>Implementing</t>
        </is>
      </c>
      <c r="D37" s="24" t="inlineStr">
        <is>
          <t>TRUE</t>
        </is>
      </c>
      <c r="E37" s="24" t="inlineStr">
        <is>
          <t>FALSE</t>
        </is>
      </c>
      <c r="F37" s="24" t="n"/>
      <c r="G37" s="24" t="inlineStr">
        <is>
          <t>Strongly Disagree = 1 | Disagree = 2 | Uncertain or Unsure = 3 | Agree = 4 | Strongly Agree = 5</t>
        </is>
      </c>
    </row>
    <row r="38">
      <c r="A38" s="24" t="n">
        <v>7</v>
      </c>
      <c r="B38" s="24" t="inlineStr">
        <is>
          <t>I reward myself for progress toward my goals.</t>
        </is>
      </c>
      <c r="C38" s="24" t="inlineStr">
        <is>
          <t>Assessing</t>
        </is>
      </c>
      <c r="D38" s="24" t="inlineStr">
        <is>
          <t>FALSE</t>
        </is>
      </c>
      <c r="E38" s="24" t="inlineStr">
        <is>
          <t>FALSE</t>
        </is>
      </c>
      <c r="F38" s="24" t="n"/>
      <c r="G38" s="24" t="inlineStr">
        <is>
          <t>Strongly Disagree = 1 | Disagree = 2 | Uncertain or Unsure = 3 | Agree = 4 | Strongly Agree = 5</t>
        </is>
      </c>
    </row>
    <row r="39">
      <c r="A39" s="24" t="n">
        <v>8</v>
      </c>
      <c r="B39" s="24" t="inlineStr">
        <is>
          <t>I don't notice the effects of my actions until it's too late.</t>
        </is>
      </c>
      <c r="C39" s="24" t="inlineStr">
        <is>
          <t>Receiving</t>
        </is>
      </c>
      <c r="D39" s="24" t="inlineStr">
        <is>
          <t>TRUE</t>
        </is>
      </c>
      <c r="E39" s="24" t="inlineStr">
        <is>
          <t>FALSE</t>
        </is>
      </c>
      <c r="F39" s="24" t="n"/>
      <c r="G39" s="24" t="inlineStr">
        <is>
          <t>Strongly Disagree = 1 | Disagree = 2 | Uncertain or Unsure = 3 | Agree = 4 | Strongly Agree = 5</t>
        </is>
      </c>
    </row>
    <row r="40">
      <c r="A40" s="24" t="n">
        <v>9</v>
      </c>
      <c r="B40" s="24" t="inlineStr">
        <is>
          <t>My behavior is similar to that of my friends.</t>
        </is>
      </c>
      <c r="C40" s="24" t="inlineStr">
        <is>
          <t>Evaluating</t>
        </is>
      </c>
      <c r="D40" s="24" t="inlineStr">
        <is>
          <t>FALSE</t>
        </is>
      </c>
      <c r="E40" s="24" t="inlineStr">
        <is>
          <t>FALSE</t>
        </is>
      </c>
      <c r="F40" s="24" t="n"/>
      <c r="G40" s="24" t="inlineStr">
        <is>
          <t>Strongly Disagree = 1 | Disagree = 2 | Uncertain or Unsure = 3 | Agree = 4 | Strongly Agree = 5</t>
        </is>
      </c>
    </row>
    <row r="41">
      <c r="A41" s="24" t="n">
        <v>10</v>
      </c>
      <c r="B41" s="24" t="inlineStr">
        <is>
          <t>It's hard for me to see anything helpful about changing my ways.</t>
        </is>
      </c>
      <c r="C41" s="24" t="inlineStr">
        <is>
          <t>Triggering</t>
        </is>
      </c>
      <c r="D41" s="24" t="inlineStr">
        <is>
          <t>TRUE</t>
        </is>
      </c>
      <c r="E41" s="24" t="inlineStr">
        <is>
          <t>FALSE</t>
        </is>
      </c>
      <c r="F41" s="24" t="n"/>
      <c r="G41" s="24" t="inlineStr">
        <is>
          <t>Strongly Disagree = 1 | Disagree = 2 | Uncertain or Unsure = 3 | Agree = 4 | Strongly Agree = 5</t>
        </is>
      </c>
    </row>
    <row r="42">
      <c r="A42" s="24" t="n">
        <v>11</v>
      </c>
      <c r="B42" s="24" t="inlineStr">
        <is>
          <t>I am able to accomplish goals I set for myself.</t>
        </is>
      </c>
      <c r="C42" s="24" t="inlineStr">
        <is>
          <t>Searching</t>
        </is>
      </c>
      <c r="D42" s="24" t="inlineStr">
        <is>
          <t>FALSE</t>
        </is>
      </c>
      <c r="E42" s="24" t="inlineStr">
        <is>
          <t>FALSE</t>
        </is>
      </c>
      <c r="F42" s="24" t="n"/>
      <c r="G42" s="24" t="inlineStr">
        <is>
          <t>Strongly Disagree = 1 | Disagree = 2 | Uncertain or Unsure = 3 | Agree = 4 | Strongly Agree = 5</t>
        </is>
      </c>
    </row>
    <row r="43">
      <c r="A43" s="24" t="n">
        <v>12</v>
      </c>
      <c r="B43" s="24" t="inlineStr">
        <is>
          <t>I put off making decisions.</t>
        </is>
      </c>
      <c r="C43" s="24" t="inlineStr">
        <is>
          <t>Planning</t>
        </is>
      </c>
      <c r="D43" s="24" t="inlineStr">
        <is>
          <t>TRUE</t>
        </is>
      </c>
      <c r="E43" s="24" t="inlineStr">
        <is>
          <t>FALSE</t>
        </is>
      </c>
      <c r="F43" s="24" t="n"/>
      <c r="G43" s="24" t="inlineStr">
        <is>
          <t>Strongly Disagree = 1 | Disagree = 2 | Uncertain or Unsure = 3 | Agree = 4 | Strongly Agree = 5</t>
        </is>
      </c>
    </row>
    <row r="44">
      <c r="A44" s="24" t="n">
        <v>13</v>
      </c>
      <c r="B44" s="24" t="inlineStr">
        <is>
          <t>I have so many plans that it's hard for me to focus on any one of them.</t>
        </is>
      </c>
      <c r="C44" s="24" t="inlineStr">
        <is>
          <t>Implementing</t>
        </is>
      </c>
      <c r="D44" s="24" t="inlineStr">
        <is>
          <t>TRUE</t>
        </is>
      </c>
      <c r="E44" s="24" t="inlineStr">
        <is>
          <t>FALSE</t>
        </is>
      </c>
      <c r="F44" s="24" t="n"/>
      <c r="G44" s="24" t="inlineStr">
        <is>
          <t>Strongly Disagree = 1 | Disagree = 2 | Uncertain or Unsure = 3 | Agree = 4 | Strongly Agree = 5</t>
        </is>
      </c>
    </row>
    <row r="45">
      <c r="A45" s="24" t="n">
        <v>14</v>
      </c>
      <c r="B45" s="24" t="inlineStr">
        <is>
          <t>I change the way I do things when I see a problem with how things are going.</t>
        </is>
      </c>
      <c r="C45" s="24" t="inlineStr">
        <is>
          <t>Assessing</t>
        </is>
      </c>
      <c r="D45" s="24" t="inlineStr">
        <is>
          <t>FALSE</t>
        </is>
      </c>
      <c r="E45" s="24" t="inlineStr">
        <is>
          <t>FALSE</t>
        </is>
      </c>
      <c r="F45" s="24" t="n"/>
      <c r="G45" s="24" t="inlineStr">
        <is>
          <t>Strongly Disagree = 1 | Disagree = 2 | Uncertain or Unsure = 3 | Agree = 4 | Strongly Agree = 5</t>
        </is>
      </c>
    </row>
    <row r="46">
      <c r="A46" s="24" t="n">
        <v>15</v>
      </c>
      <c r="B46" s="24" t="inlineStr">
        <is>
          <t>It's hard for me to notice when I've "had enough" (alcohol, food, sweets).</t>
        </is>
      </c>
      <c r="C46" s="24" t="inlineStr">
        <is>
          <t>Receiving</t>
        </is>
      </c>
      <c r="D46" s="24" t="inlineStr">
        <is>
          <t>TRUE</t>
        </is>
      </c>
      <c r="E46" s="24" t="inlineStr">
        <is>
          <t>FALSE</t>
        </is>
      </c>
      <c r="F46" s="24" t="n"/>
      <c r="G46" s="24" t="inlineStr">
        <is>
          <t>Strongly Disagree = 1 | Disagree = 2 | Uncertain or Unsure = 3 | Agree = 4 | Strongly Agree = 5</t>
        </is>
      </c>
    </row>
    <row r="47">
      <c r="A47" s="24" t="n">
        <v>16</v>
      </c>
      <c r="B47" s="24" t="inlineStr">
        <is>
          <t>I think a lot about what other people think of me.</t>
        </is>
      </c>
      <c r="C47" s="24" t="inlineStr">
        <is>
          <t>Evaluating</t>
        </is>
      </c>
      <c r="D47" s="24" t="inlineStr">
        <is>
          <t>FALSE</t>
        </is>
      </c>
      <c r="E47" s="24" t="inlineStr">
        <is>
          <t>FALSE</t>
        </is>
      </c>
      <c r="F47" s="24" t="n"/>
      <c r="G47" s="24" t="inlineStr">
        <is>
          <t>Strongly Disagree = 1 | Disagree = 2 | Uncertain or Unsure = 3 | Agree = 4 | Strongly Agree = 5</t>
        </is>
      </c>
    </row>
    <row r="48">
      <c r="A48" s="24" t="n">
        <v>17</v>
      </c>
      <c r="B48" s="24" t="inlineStr">
        <is>
          <t>I am willing to consider other ways of doing things.</t>
        </is>
      </c>
      <c r="C48" s="24" t="inlineStr">
        <is>
          <t>Triggering</t>
        </is>
      </c>
      <c r="D48" s="24" t="inlineStr">
        <is>
          <t>FALSE</t>
        </is>
      </c>
      <c r="E48" s="24" t="inlineStr">
        <is>
          <t>FALSE</t>
        </is>
      </c>
      <c r="F48" s="24" t="n"/>
      <c r="G48" s="24" t="inlineStr">
        <is>
          <t>Strongly Disagree = 1 | Disagree = 2 | Uncertain or Unsure = 3 | Agree = 4 | Strongly Agree = 5</t>
        </is>
      </c>
    </row>
    <row r="49">
      <c r="A49" s="24" t="n">
        <v>18</v>
      </c>
      <c r="B49" s="24" t="inlineStr">
        <is>
          <t>If I wanted to change, I am confident that I could do it.</t>
        </is>
      </c>
      <c r="C49" s="24" t="inlineStr">
        <is>
          <t>Searching</t>
        </is>
      </c>
      <c r="D49" s="24" t="inlineStr">
        <is>
          <t>FALSE</t>
        </is>
      </c>
      <c r="E49" s="24" t="inlineStr">
        <is>
          <t>FALSE</t>
        </is>
      </c>
      <c r="F49" s="24" t="n"/>
      <c r="G49" s="24" t="inlineStr">
        <is>
          <t>Strongly Disagree = 1 | Disagree = 2 | Uncertain or Unsure = 3 | Agree = 4 | Strongly Agree = 5</t>
        </is>
      </c>
    </row>
    <row r="50">
      <c r="A50" s="24" t="n">
        <v>19</v>
      </c>
      <c r="B50" s="24" t="inlineStr">
        <is>
          <t>When it comes to deciding about a change, I feel overwhelmed by the choices.</t>
        </is>
      </c>
      <c r="C50" s="24" t="inlineStr">
        <is>
          <t>Planning</t>
        </is>
      </c>
      <c r="D50" s="24" t="inlineStr">
        <is>
          <t>TRUE</t>
        </is>
      </c>
      <c r="E50" s="24" t="inlineStr">
        <is>
          <t>FALSE</t>
        </is>
      </c>
      <c r="F50" s="24" t="n"/>
      <c r="G50" s="24" t="inlineStr">
        <is>
          <t>Strongly Disagree = 1 | Disagree = 2 | Uncertain or Unsure = 3 | Agree = 4 | Strongly Agree = 5</t>
        </is>
      </c>
    </row>
    <row r="51">
      <c r="A51" s="24" t="n">
        <v>20</v>
      </c>
      <c r="B51" s="24" t="inlineStr">
        <is>
          <t>I have trouble following through with things once I've made up my mind to do something.</t>
        </is>
      </c>
      <c r="C51" s="24" t="inlineStr">
        <is>
          <t>Implementing</t>
        </is>
      </c>
      <c r="D51" s="24" t="inlineStr">
        <is>
          <t>TRUE</t>
        </is>
      </c>
      <c r="E51" s="24" t="inlineStr">
        <is>
          <t>FALSE</t>
        </is>
      </c>
      <c r="F51" s="24" t="n"/>
      <c r="G51" s="24" t="inlineStr">
        <is>
          <t>Strongly Disagree = 1 | Disagree = 2 | Uncertain or Unsure = 3 | Agree = 4 | Strongly Agree = 5</t>
        </is>
      </c>
    </row>
    <row r="52">
      <c r="A52" s="24" t="n">
        <v>21</v>
      </c>
      <c r="B52" s="24" t="inlineStr">
        <is>
          <t>I don't seem to learn from my mistakes.</t>
        </is>
      </c>
      <c r="C52" s="24" t="inlineStr">
        <is>
          <t>Assessing</t>
        </is>
      </c>
      <c r="D52" s="24" t="inlineStr">
        <is>
          <t>TRUE</t>
        </is>
      </c>
      <c r="E52" s="24" t="inlineStr">
        <is>
          <t>FALSE</t>
        </is>
      </c>
      <c r="F52" s="24" t="n"/>
      <c r="G52" s="24" t="inlineStr">
        <is>
          <t>Strongly Disagree = 1 | Disagree = 2 | Uncertain or Unsure = 3 | Agree = 4 | Strongly Agree = 5</t>
        </is>
      </c>
    </row>
    <row r="53">
      <c r="A53" s="24" t="n">
        <v>22</v>
      </c>
      <c r="B53" s="24" t="inlineStr">
        <is>
          <t>I'm usually careful not to overdo it when working, eating, drinking.</t>
        </is>
      </c>
      <c r="C53" s="24" t="inlineStr">
        <is>
          <t>Receiving</t>
        </is>
      </c>
      <c r="D53" s="24" t="inlineStr">
        <is>
          <t>FALSE</t>
        </is>
      </c>
      <c r="E53" s="24" t="inlineStr">
        <is>
          <t>FALSE</t>
        </is>
      </c>
      <c r="F53" s="24" t="n"/>
      <c r="G53" s="24" t="inlineStr">
        <is>
          <t>Strongly Disagree = 1 | Disagree = 2 | Uncertain or Unsure = 3 | Agree = 4 | Strongly Agree = 5</t>
        </is>
      </c>
    </row>
    <row r="54">
      <c r="A54" s="24" t="n">
        <v>23</v>
      </c>
      <c r="B54" s="24" t="inlineStr">
        <is>
          <t>I tend to compare myself with other people.</t>
        </is>
      </c>
      <c r="C54" s="24" t="inlineStr">
        <is>
          <t>Evaluating</t>
        </is>
      </c>
      <c r="D54" s="24" t="inlineStr">
        <is>
          <t>FALSE</t>
        </is>
      </c>
      <c r="E54" s="24" t="inlineStr">
        <is>
          <t>FALSE</t>
        </is>
      </c>
      <c r="F54" s="24" t="n"/>
      <c r="G54" s="24" t="inlineStr">
        <is>
          <t>Strongly Disagree = 1 | Disagree = 2 | Uncertain or Unsure = 3 | Agree = 4 | Strongly Agree = 5</t>
        </is>
      </c>
    </row>
    <row r="55">
      <c r="A55" s="24" t="n">
        <v>24</v>
      </c>
      <c r="B55" s="24" t="inlineStr">
        <is>
          <t>I enjoy a routine, and like things to stay the same.</t>
        </is>
      </c>
      <c r="C55" s="24" t="inlineStr">
        <is>
          <t>Triggering</t>
        </is>
      </c>
      <c r="D55" s="24" t="inlineStr">
        <is>
          <t>TRUE</t>
        </is>
      </c>
      <c r="E55" s="24" t="inlineStr">
        <is>
          <t>FALSE</t>
        </is>
      </c>
      <c r="F55" s="24" t="n"/>
      <c r="G55" s="24" t="inlineStr">
        <is>
          <t>Strongly Disagree = 1 | Disagree = 2 | Uncertain or Unsure = 3 | Agree = 4 | Strongly Agree = 5</t>
        </is>
      </c>
    </row>
    <row r="56">
      <c r="A56" s="24" t="n">
        <v>25</v>
      </c>
      <c r="B56" s="24" t="inlineStr">
        <is>
          <t>I have sought out advice or information about changing.</t>
        </is>
      </c>
      <c r="C56" s="24" t="inlineStr">
        <is>
          <t>Searching</t>
        </is>
      </c>
      <c r="D56" s="24" t="inlineStr">
        <is>
          <t>FALSE</t>
        </is>
      </c>
      <c r="E56" s="24" t="inlineStr">
        <is>
          <t>FALSE</t>
        </is>
      </c>
      <c r="F56" s="24" t="n"/>
      <c r="G56" s="24" t="inlineStr">
        <is>
          <t>Strongly Disagree = 1 | Disagree = 2 | Uncertain or Unsure = 3 | Agree = 4 | Strongly Agree = 5</t>
        </is>
      </c>
    </row>
    <row r="57">
      <c r="A57" s="24" t="n">
        <v>26</v>
      </c>
      <c r="B57" s="24" t="inlineStr">
        <is>
          <t>I can come up with lots of ways to change, but it's hard for me to decide which one to use.</t>
        </is>
      </c>
      <c r="C57" s="24" t="inlineStr">
        <is>
          <t>Planning</t>
        </is>
      </c>
      <c r="D57" s="24" t="inlineStr">
        <is>
          <t>TRUE</t>
        </is>
      </c>
      <c r="E57" s="24" t="inlineStr">
        <is>
          <t>FALSE</t>
        </is>
      </c>
      <c r="F57" s="24" t="n"/>
      <c r="G57" s="24" t="inlineStr">
        <is>
          <t>Strongly Disagree = 1 | Disagree = 2 | Uncertain or Unsure = 3 | Agree = 4 | Strongly Agree = 5</t>
        </is>
      </c>
    </row>
    <row r="58">
      <c r="A58" s="24" t="n">
        <v>27</v>
      </c>
      <c r="B58" s="24" t="inlineStr">
        <is>
          <t>I can stick to a plan that's working well.</t>
        </is>
      </c>
      <c r="C58" s="24" t="inlineStr">
        <is>
          <t>Implementing</t>
        </is>
      </c>
      <c r="D58" s="24" t="inlineStr">
        <is>
          <t>FALSE</t>
        </is>
      </c>
      <c r="E58" s="24" t="inlineStr">
        <is>
          <t>FALSE</t>
        </is>
      </c>
      <c r="F58" s="24" t="n"/>
      <c r="G58" s="24" t="inlineStr">
        <is>
          <t>Strongly Disagree = 1 | Disagree = 2 | Uncertain or Unsure = 3 | Agree = 4 | Strongly Agree = 5</t>
        </is>
      </c>
    </row>
    <row r="59">
      <c r="A59" s="24" t="n">
        <v>28</v>
      </c>
      <c r="B59" s="24" t="inlineStr">
        <is>
          <t>I usually only have to make a mistake one time in order to learn from it.</t>
        </is>
      </c>
      <c r="C59" s="24" t="inlineStr">
        <is>
          <t>Assessing</t>
        </is>
      </c>
      <c r="D59" s="24" t="inlineStr">
        <is>
          <t>FALSE</t>
        </is>
      </c>
      <c r="E59" s="24" t="inlineStr">
        <is>
          <t>FALSE</t>
        </is>
      </c>
      <c r="F59" s="24" t="n"/>
      <c r="G59" s="24" t="inlineStr">
        <is>
          <t>Strongly Disagree = 1 | Disagree = 2 | Uncertain or Unsure = 3 | Agree = 4 | Strongly Agree = 5</t>
        </is>
      </c>
    </row>
    <row r="60">
      <c r="A60" s="24" t="n">
        <v>29</v>
      </c>
      <c r="B60" s="24" t="inlineStr">
        <is>
          <t>I don't learn well from punishment.</t>
        </is>
      </c>
      <c r="C60" s="24" t="inlineStr">
        <is>
          <t>Receiving</t>
        </is>
      </c>
      <c r="D60" s="24" t="inlineStr">
        <is>
          <t>TRUE</t>
        </is>
      </c>
      <c r="E60" s="24" t="inlineStr">
        <is>
          <t>FALSE</t>
        </is>
      </c>
      <c r="F60" s="24" t="n"/>
      <c r="G60" s="24" t="inlineStr">
        <is>
          <t>Strongly Disagree = 1 | Disagree = 2 | Uncertain or Unsure = 3 | Agree = 4 | Strongly Agree = 5</t>
        </is>
      </c>
    </row>
    <row r="61">
      <c r="A61" s="24" t="n">
        <v>30</v>
      </c>
      <c r="B61" s="24" t="inlineStr">
        <is>
          <t>I have personal standards, and try to live up to them.</t>
        </is>
      </c>
      <c r="C61" s="24" t="inlineStr">
        <is>
          <t>Evaluating</t>
        </is>
      </c>
      <c r="D61" s="24" t="inlineStr">
        <is>
          <t>FALSE</t>
        </is>
      </c>
      <c r="E61" s="24" t="inlineStr">
        <is>
          <t>FALSE</t>
        </is>
      </c>
      <c r="F61" s="24" t="n"/>
      <c r="G61" s="24" t="inlineStr">
        <is>
          <t>Strongly Disagree = 1 | Disagree = 2 | Uncertain or Unsure = 3 | Agree = 4 | Strongly Agree = 5</t>
        </is>
      </c>
    </row>
    <row r="62">
      <c r="A62" s="24" t="n">
        <v>31</v>
      </c>
      <c r="B62" s="24" t="inlineStr">
        <is>
          <t>I am set in my ways.</t>
        </is>
      </c>
      <c r="C62" s="24" t="inlineStr">
        <is>
          <t>Triggering</t>
        </is>
      </c>
      <c r="D62" s="24" t="inlineStr">
        <is>
          <t>TRUE</t>
        </is>
      </c>
      <c r="E62" s="24" t="inlineStr">
        <is>
          <t>FALSE</t>
        </is>
      </c>
      <c r="F62" s="24" t="n"/>
      <c r="G62" s="24" t="inlineStr">
        <is>
          <t>Strongly Disagree = 1 | Disagree = 2 | Uncertain or Unsure = 3 | Agree = 4 | Strongly Agree = 5</t>
        </is>
      </c>
    </row>
    <row r="63">
      <c r="A63" s="24" t="n">
        <v>32</v>
      </c>
      <c r="B63" s="24" t="inlineStr">
        <is>
          <t>As soon as I see a problem or challenge, I start looking for possible solutions.</t>
        </is>
      </c>
      <c r="C63" s="24" t="inlineStr">
        <is>
          <t>Searching</t>
        </is>
      </c>
      <c r="D63" s="24" t="inlineStr">
        <is>
          <t>FALSE</t>
        </is>
      </c>
      <c r="E63" s="24" t="inlineStr">
        <is>
          <t>FALSE</t>
        </is>
      </c>
      <c r="F63" s="24" t="n"/>
      <c r="G63" s="24" t="inlineStr">
        <is>
          <t>Strongly Disagree = 1 | Disagree = 2 | Uncertain or Unsure = 3 | Agree = 4 | Strongly Agree = 5</t>
        </is>
      </c>
    </row>
    <row r="64">
      <c r="A64" s="24" t="n">
        <v>33</v>
      </c>
      <c r="B64" s="24" t="inlineStr">
        <is>
          <t>I have a hard time setting goals for myself.</t>
        </is>
      </c>
      <c r="C64" s="24" t="inlineStr">
        <is>
          <t>Planning</t>
        </is>
      </c>
      <c r="D64" s="24" t="inlineStr">
        <is>
          <t>TRUE</t>
        </is>
      </c>
      <c r="E64" s="24" t="inlineStr">
        <is>
          <t>FALSE</t>
        </is>
      </c>
      <c r="F64" s="24" t="n"/>
      <c r="G64" s="24" t="inlineStr">
        <is>
          <t>Strongly Disagree = 1 | Disagree = 2 | Uncertain or Unsure = 3 | Agree = 4 | Strongly Agree = 5</t>
        </is>
      </c>
    </row>
    <row r="65">
      <c r="A65" s="24" t="n">
        <v>34</v>
      </c>
      <c r="B65" s="24" t="inlineStr">
        <is>
          <t>I have a lot of willpower.</t>
        </is>
      </c>
      <c r="C65" s="24" t="inlineStr">
        <is>
          <t>Implementing</t>
        </is>
      </c>
      <c r="D65" s="24" t="inlineStr">
        <is>
          <t>FALSE</t>
        </is>
      </c>
      <c r="E65" s="24" t="inlineStr">
        <is>
          <t>FALSE</t>
        </is>
      </c>
      <c r="F65" s="24" t="n"/>
      <c r="G65" s="24" t="inlineStr">
        <is>
          <t>Strongly Disagree = 1 | Disagree = 2 | Uncertain or Unsure = 3 | Agree = 4 | Strongly Agree = 5</t>
        </is>
      </c>
    </row>
    <row r="66">
      <c r="A66" s="24" t="n">
        <v>35</v>
      </c>
      <c r="B66" s="24" t="inlineStr">
        <is>
          <t>When I'm trying to change something, I pay a lot of attention to how I'm doing.</t>
        </is>
      </c>
      <c r="C66" s="24" t="inlineStr">
        <is>
          <t>Assessing</t>
        </is>
      </c>
      <c r="D66" s="24" t="inlineStr">
        <is>
          <t>FALSE</t>
        </is>
      </c>
      <c r="E66" s="24" t="inlineStr">
        <is>
          <t>FALSE</t>
        </is>
      </c>
      <c r="F66" s="24" t="n"/>
      <c r="G66" s="24" t="inlineStr">
        <is>
          <t>Strongly Disagree = 1 | Disagree = 2 | Uncertain or Unsure = 3 | Agree = 4 | Strongly Agree = 5</t>
        </is>
      </c>
    </row>
    <row r="67">
      <c r="A67" s="24" t="n">
        <v>36</v>
      </c>
      <c r="B67" s="24" t="inlineStr">
        <is>
          <t>I usually judge what I'm doing by the consequences of my actions.</t>
        </is>
      </c>
      <c r="C67" s="24" t="inlineStr">
        <is>
          <t>Receiving</t>
        </is>
      </c>
      <c r="D67" s="24" t="inlineStr">
        <is>
          <t>FALSE</t>
        </is>
      </c>
      <c r="E67" s="24" t="inlineStr">
        <is>
          <t>FALSE</t>
        </is>
      </c>
      <c r="F67" s="24" t="n"/>
      <c r="G67" s="24" t="inlineStr">
        <is>
          <t>Strongly Disagree = 1 | Disagree = 2 | Uncertain or Unsure = 3 | Agree = 4 | Strongly Agree = 5</t>
        </is>
      </c>
    </row>
    <row r="68">
      <c r="A68" s="24" t="n">
        <v>37</v>
      </c>
      <c r="B68" s="24" t="inlineStr">
        <is>
          <t>I don't care if I'm different from most people.</t>
        </is>
      </c>
      <c r="C68" s="24" t="inlineStr">
        <is>
          <t>Evaluating</t>
        </is>
      </c>
      <c r="D68" s="24" t="inlineStr">
        <is>
          <t>TRUE</t>
        </is>
      </c>
      <c r="E68" s="24" t="inlineStr">
        <is>
          <t>FALSE</t>
        </is>
      </c>
      <c r="F68" s="24" t="n"/>
      <c r="G68" s="24" t="inlineStr">
        <is>
          <t>Strongly Disagree = 1 | Disagree = 2 | Uncertain or Unsure = 3 | Agree = 4 | Strongly Agree = 5</t>
        </is>
      </c>
    </row>
    <row r="69">
      <c r="A69" s="24" t="n">
        <v>38</v>
      </c>
      <c r="B69" s="24" t="inlineStr">
        <is>
          <t>As soon as I see things aren't going right I want to do something about it.</t>
        </is>
      </c>
      <c r="C69" s="24" t="inlineStr">
        <is>
          <t>Triggering</t>
        </is>
      </c>
      <c r="D69" s="24" t="inlineStr">
        <is>
          <t>FALSE</t>
        </is>
      </c>
      <c r="E69" s="24" t="inlineStr">
        <is>
          <t>FALSE</t>
        </is>
      </c>
      <c r="F69" s="24" t="n"/>
      <c r="G69" s="24" t="inlineStr">
        <is>
          <t>Strongly Disagree = 1 | Disagree = 2 | Uncertain or Unsure = 3 | Agree = 4 | Strongly Agree = 5</t>
        </is>
      </c>
    </row>
    <row r="70">
      <c r="A70" s="24" t="n">
        <v>39</v>
      </c>
      <c r="B70" s="24" t="inlineStr">
        <is>
          <t>There is usually more than one way to accomplish something.</t>
        </is>
      </c>
      <c r="C70" s="24" t="inlineStr">
        <is>
          <t>Searching</t>
        </is>
      </c>
      <c r="D70" s="24" t="inlineStr">
        <is>
          <t>FALSE</t>
        </is>
      </c>
      <c r="E70" s="24" t="inlineStr">
        <is>
          <t>FALSE</t>
        </is>
      </c>
      <c r="F70" s="24" t="n"/>
      <c r="G70" s="24" t="inlineStr">
        <is>
          <t>Strongly Disagree = 1 | Disagree = 2 | Uncertain or Unsure = 3 | Agree = 4 | Strongly Agree = 5</t>
        </is>
      </c>
    </row>
    <row r="71">
      <c r="A71" s="24" t="n">
        <v>40</v>
      </c>
      <c r="B71" s="24" t="inlineStr">
        <is>
          <t>I have trouble making plans to help me reach my goals.</t>
        </is>
      </c>
      <c r="C71" s="24" t="inlineStr">
        <is>
          <t>Planning</t>
        </is>
      </c>
      <c r="D71" s="24" t="inlineStr">
        <is>
          <t>TRUE</t>
        </is>
      </c>
      <c r="E71" s="24" t="inlineStr">
        <is>
          <t>FALSE</t>
        </is>
      </c>
      <c r="F71" s="24" t="n"/>
      <c r="G71" s="24" t="inlineStr">
        <is>
          <t>Strongly Disagree = 1 | Disagree = 2 | Uncertain or Unsure = 3 | Agree = 4 | Strongly Agree = 5</t>
        </is>
      </c>
    </row>
    <row r="72">
      <c r="A72" s="24" t="n">
        <v>41</v>
      </c>
      <c r="B72" s="24" t="inlineStr">
        <is>
          <t>I am able to resist temptation.</t>
        </is>
      </c>
      <c r="C72" s="24" t="inlineStr">
        <is>
          <t>Implementing</t>
        </is>
      </c>
      <c r="D72" s="24" t="inlineStr">
        <is>
          <t>FALSE</t>
        </is>
      </c>
      <c r="E72" s="24" t="inlineStr">
        <is>
          <t>FALSE</t>
        </is>
      </c>
      <c r="F72" s="24" t="n"/>
      <c r="G72" s="24" t="inlineStr">
        <is>
          <t>Strongly Disagree = 1 | Disagree = 2 | Uncertain or Unsure = 3 | Agree = 4 | Strongly Agree = 5</t>
        </is>
      </c>
    </row>
    <row r="73">
      <c r="A73" s="24" t="n">
        <v>42</v>
      </c>
      <c r="B73" s="24" t="inlineStr">
        <is>
          <t>I set goals for myself and keep track of my progress.</t>
        </is>
      </c>
      <c r="C73" s="24" t="inlineStr">
        <is>
          <t>Assessing</t>
        </is>
      </c>
      <c r="D73" s="24" t="inlineStr">
        <is>
          <t>FALSE</t>
        </is>
      </c>
      <c r="E73" s="24" t="inlineStr">
        <is>
          <t>FALSE</t>
        </is>
      </c>
      <c r="F73" s="24" t="n"/>
      <c r="G73" s="24" t="inlineStr">
        <is>
          <t>Strongly Disagree = 1 | Disagree = 2 | Uncertain or Unsure = 3 | Agree = 4 | Strongly Agree = 5</t>
        </is>
      </c>
    </row>
    <row r="74">
      <c r="A74" s="24" t="n">
        <v>43</v>
      </c>
      <c r="B74" s="24" t="inlineStr">
        <is>
          <t>Most of the time I don't pay attention to what I'm doing.</t>
        </is>
      </c>
      <c r="C74" s="24" t="inlineStr">
        <is>
          <t>Receiving</t>
        </is>
      </c>
      <c r="D74" s="24" t="inlineStr">
        <is>
          <t>TRUE</t>
        </is>
      </c>
      <c r="E74" s="24" t="inlineStr">
        <is>
          <t>FALSE</t>
        </is>
      </c>
      <c r="F74" s="24" t="n"/>
      <c r="G74" s="24" t="inlineStr">
        <is>
          <t>Strongly Disagree = 1 | Disagree = 2 | Uncertain or Unsure = 3 | Agree = 4 | Strongly Agree = 5</t>
        </is>
      </c>
    </row>
    <row r="75">
      <c r="A75" s="24" t="n">
        <v>44</v>
      </c>
      <c r="B75" s="24" t="inlineStr">
        <is>
          <t>I try to be like people around me.</t>
        </is>
      </c>
      <c r="C75" s="24" t="inlineStr">
        <is>
          <t>Evaluating</t>
        </is>
      </c>
      <c r="D75" s="24" t="inlineStr">
        <is>
          <t>FALSE</t>
        </is>
      </c>
      <c r="E75" s="24" t="inlineStr">
        <is>
          <t>FALSE</t>
        </is>
      </c>
      <c r="F75" s="24" t="n"/>
      <c r="G75" s="24" t="inlineStr">
        <is>
          <t>Strongly Disagree = 1 | Disagree = 2 | Uncertain or Unsure = 3 | Agree = 4 | Strongly Agree = 5</t>
        </is>
      </c>
    </row>
    <row r="76">
      <c r="A76" s="24" t="n">
        <v>45</v>
      </c>
      <c r="B76" s="24" t="inlineStr">
        <is>
          <t>I tend to keep doing the same thing, even when it doesn't work.</t>
        </is>
      </c>
      <c r="C76" s="24" t="inlineStr">
        <is>
          <t>Triggering</t>
        </is>
      </c>
      <c r="D76" s="24" t="inlineStr">
        <is>
          <t>TRUE</t>
        </is>
      </c>
      <c r="E76" s="24" t="inlineStr">
        <is>
          <t>FALSE</t>
        </is>
      </c>
      <c r="F76" s="24" t="n"/>
      <c r="G76" s="24" t="inlineStr">
        <is>
          <t>Strongly Disagree = 1 | Disagree = 2 | Uncertain or Unsure = 3 | Agree = 4 | Strongly Agree = 5</t>
        </is>
      </c>
    </row>
    <row r="77">
      <c r="A77" s="24" t="n">
        <v>46</v>
      </c>
      <c r="B77" s="24" t="inlineStr">
        <is>
          <t>I can usually find several different possibilities when I want to change something.</t>
        </is>
      </c>
      <c r="C77" s="24" t="inlineStr">
        <is>
          <t>Searching</t>
        </is>
      </c>
      <c r="D77" s="24" t="inlineStr">
        <is>
          <t>FALSE</t>
        </is>
      </c>
      <c r="E77" s="24" t="inlineStr">
        <is>
          <t>FALSE</t>
        </is>
      </c>
      <c r="F77" s="24" t="n"/>
      <c r="G77" s="24" t="inlineStr">
        <is>
          <t>Strongly Disagree = 1 | Disagree = 2 | Uncertain or Unsure = 3 | Agree = 4 | Strongly Agree = 5</t>
        </is>
      </c>
    </row>
    <row r="78">
      <c r="A78" s="24" t="n">
        <v>47</v>
      </c>
      <c r="B78" s="24" t="inlineStr">
        <is>
          <t>Once I have a goal, I can usually plan how to reach it.</t>
        </is>
      </c>
      <c r="C78" s="24" t="inlineStr">
        <is>
          <t>Planning</t>
        </is>
      </c>
      <c r="D78" s="24" t="inlineStr">
        <is>
          <t>FALSE</t>
        </is>
      </c>
      <c r="E78" s="24" t="inlineStr">
        <is>
          <t>FALSE</t>
        </is>
      </c>
      <c r="F78" s="24" t="n"/>
      <c r="G78" s="24" t="inlineStr">
        <is>
          <t>Strongly Disagree = 1 | Disagree = 2 | Uncertain or Unsure = 3 | Agree = 4 | Strongly Agree = 5</t>
        </is>
      </c>
    </row>
    <row r="79">
      <c r="A79" s="24" t="n">
        <v>48</v>
      </c>
      <c r="B79" s="24" t="inlineStr">
        <is>
          <t>I have rules that I stick by no matter what.</t>
        </is>
      </c>
      <c r="C79" s="24" t="inlineStr">
        <is>
          <t>Implementing</t>
        </is>
      </c>
      <c r="D79" s="24" t="inlineStr">
        <is>
          <t>FALSE</t>
        </is>
      </c>
      <c r="E79" s="24" t="inlineStr">
        <is>
          <t>FALSE</t>
        </is>
      </c>
      <c r="F79" s="24" t="n"/>
      <c r="G79" s="24" t="inlineStr">
        <is>
          <t>Strongly Disagree = 1 | Disagree = 2 | Uncertain or Unsure = 3 | Agree = 4 | Strongly Agree = 5</t>
        </is>
      </c>
    </row>
    <row r="80">
      <c r="A80" s="24" t="n">
        <v>49</v>
      </c>
      <c r="B80" s="24" t="inlineStr">
        <is>
          <t>If I make a resolution to change something, I pay a lot of attention to how I'm doing.</t>
        </is>
      </c>
      <c r="C80" s="24" t="inlineStr">
        <is>
          <t>Assessing</t>
        </is>
      </c>
      <c r="D80" s="24" t="inlineStr">
        <is>
          <t>FALSE</t>
        </is>
      </c>
      <c r="E80" s="24" t="inlineStr">
        <is>
          <t>FALSE</t>
        </is>
      </c>
      <c r="F80" s="24" t="n"/>
      <c r="G80" s="24" t="inlineStr">
        <is>
          <t>Strongly Disagree = 1 | Disagree = 2 | Uncertain or Unsure = 3 | Agree = 4 | Strongly Agree = 5</t>
        </is>
      </c>
    </row>
    <row r="81">
      <c r="A81" s="24" t="n">
        <v>50</v>
      </c>
      <c r="B81" s="24" t="inlineStr">
        <is>
          <t>Often I don't notice what I'm doing until someone calls it to my attention.</t>
        </is>
      </c>
      <c r="C81" s="24" t="inlineStr">
        <is>
          <t>Receiving</t>
        </is>
      </c>
      <c r="D81" s="24" t="inlineStr">
        <is>
          <t>TRUE</t>
        </is>
      </c>
      <c r="E81" s="24" t="inlineStr">
        <is>
          <t>FALSE</t>
        </is>
      </c>
      <c r="F81" s="24" t="n"/>
      <c r="G81" s="24" t="inlineStr">
        <is>
          <t>Strongly Disagree = 1 | Disagree = 2 | Uncertain or Unsure = 3 | Agree = 4 | Strongly Agree = 5</t>
        </is>
      </c>
    </row>
    <row r="82">
      <c r="A82" s="24" t="n">
        <v>51</v>
      </c>
      <c r="B82" s="24" t="inlineStr">
        <is>
          <t>I think a lot about how I'm doing.</t>
        </is>
      </c>
      <c r="C82" s="24" t="inlineStr">
        <is>
          <t>Evaluating</t>
        </is>
      </c>
      <c r="D82" s="24" t="inlineStr">
        <is>
          <t>FALSE</t>
        </is>
      </c>
      <c r="E82" s="24" t="inlineStr">
        <is>
          <t>FALSE</t>
        </is>
      </c>
      <c r="F82" s="24" t="n"/>
      <c r="G82" s="24" t="inlineStr">
        <is>
          <t>Strongly Disagree = 1 | Disagree = 2 | Uncertain or Unsure = 3 | Agree = 4 | Strongly Agree = 5</t>
        </is>
      </c>
    </row>
    <row r="83">
      <c r="A83" s="24" t="n">
        <v>52</v>
      </c>
      <c r="B83" s="24" t="inlineStr">
        <is>
          <t>Usually I see the need to change before others do.</t>
        </is>
      </c>
      <c r="C83" s="24" t="inlineStr">
        <is>
          <t>Triggering</t>
        </is>
      </c>
      <c r="D83" s="24" t="inlineStr">
        <is>
          <t>FALSE</t>
        </is>
      </c>
      <c r="E83" s="24" t="inlineStr">
        <is>
          <t>FALSE</t>
        </is>
      </c>
      <c r="F83" s="24" t="n"/>
      <c r="G83" s="24" t="inlineStr">
        <is>
          <t>Strongly Disagree = 1 | Disagree = 2 | Uncertain or Unsure = 3 | Agree = 4 | Strongly Agree = 5</t>
        </is>
      </c>
    </row>
    <row r="84">
      <c r="A84" s="24" t="n">
        <v>53</v>
      </c>
      <c r="B84" s="24" t="inlineStr">
        <is>
          <t>I'm good at finding different ways to get what I want.</t>
        </is>
      </c>
      <c r="C84" s="24" t="inlineStr">
        <is>
          <t>Searching</t>
        </is>
      </c>
      <c r="D84" s="24" t="inlineStr">
        <is>
          <t>FALSE</t>
        </is>
      </c>
      <c r="E84" s="24" t="inlineStr">
        <is>
          <t>FALSE</t>
        </is>
      </c>
      <c r="F84" s="24" t="n"/>
      <c r="G84" s="24" t="inlineStr">
        <is>
          <t>Strongly Disagree = 1 | Disagree = 2 | Uncertain or Unsure = 3 | Agree = 4 | Strongly Agree = 5</t>
        </is>
      </c>
    </row>
    <row r="85">
      <c r="A85" s="24" t="n">
        <v>54</v>
      </c>
      <c r="B85" s="24" t="inlineStr">
        <is>
          <t>I usually think before I act.</t>
        </is>
      </c>
      <c r="C85" s="24" t="inlineStr">
        <is>
          <t>Planning</t>
        </is>
      </c>
      <c r="D85" s="24" t="inlineStr">
        <is>
          <t>FALSE</t>
        </is>
      </c>
      <c r="E85" s="24" t="inlineStr">
        <is>
          <t>FALSE</t>
        </is>
      </c>
      <c r="F85" s="24" t="n"/>
      <c r="G85" s="24" t="inlineStr">
        <is>
          <t>Strongly Disagree = 1 | Disagree = 2 | Uncertain or Unsure = 3 | Agree = 4 | Strongly Agree = 5</t>
        </is>
      </c>
    </row>
    <row r="86">
      <c r="A86" s="24" t="n">
        <v>55</v>
      </c>
      <c r="B86" s="24" t="inlineStr">
        <is>
          <t>Little problems or distractions throw me off course.</t>
        </is>
      </c>
      <c r="C86" s="24" t="inlineStr">
        <is>
          <t>Implementing</t>
        </is>
      </c>
      <c r="D86" s="24" t="inlineStr">
        <is>
          <t>TRUE</t>
        </is>
      </c>
      <c r="E86" s="24" t="inlineStr">
        <is>
          <t>FALSE</t>
        </is>
      </c>
      <c r="F86" s="24" t="n"/>
      <c r="G86" s="24" t="inlineStr">
        <is>
          <t>Strongly Disagree = 1 | Disagree = 2 | Uncertain or Unsure = 3 | Agree = 4 | Strongly Agree = 5</t>
        </is>
      </c>
    </row>
    <row r="87">
      <c r="A87" s="24" t="n">
        <v>56</v>
      </c>
      <c r="B87" s="24" t="inlineStr">
        <is>
          <t>I feel bad when I don't meet my goals.</t>
        </is>
      </c>
      <c r="C87" s="24" t="inlineStr">
        <is>
          <t>Assessing</t>
        </is>
      </c>
      <c r="D87" s="24" t="inlineStr">
        <is>
          <t>FALSE</t>
        </is>
      </c>
      <c r="E87" s="24" t="inlineStr">
        <is>
          <t>FALSE</t>
        </is>
      </c>
      <c r="F87" s="24" t="n"/>
      <c r="G87" s="24" t="inlineStr">
        <is>
          <t>Strongly Disagree = 1 | Disagree = 2 | Uncertain or Unsure = 3 | Agree = 4 | Strongly Agree = 5</t>
        </is>
      </c>
    </row>
    <row r="88">
      <c r="A88" s="24" t="n">
        <v>57</v>
      </c>
      <c r="B88" s="24" t="inlineStr">
        <is>
          <t>I learn from my mistakes.</t>
        </is>
      </c>
      <c r="C88" s="24" t="inlineStr">
        <is>
          <t>Receiving</t>
        </is>
      </c>
      <c r="D88" s="24" t="inlineStr">
        <is>
          <t>FALSE</t>
        </is>
      </c>
      <c r="E88" s="24" t="inlineStr">
        <is>
          <t>FALSE</t>
        </is>
      </c>
      <c r="F88" s="24" t="n"/>
      <c r="G88" s="24" t="inlineStr">
        <is>
          <t>Strongly Disagree = 1 | Disagree = 2 | Uncertain or Unsure = 3 | Agree = 4 | Strongly Agree = 5</t>
        </is>
      </c>
    </row>
    <row r="89">
      <c r="A89" s="24" t="n">
        <v>58</v>
      </c>
      <c r="B89" s="24" t="inlineStr">
        <is>
          <t>I know how I want to be.</t>
        </is>
      </c>
      <c r="C89" s="24" t="inlineStr">
        <is>
          <t>Evaluating</t>
        </is>
      </c>
      <c r="D89" s="24" t="inlineStr">
        <is>
          <t>FALSE</t>
        </is>
      </c>
      <c r="E89" s="24" t="inlineStr">
        <is>
          <t>FALSE</t>
        </is>
      </c>
      <c r="F89" s="24" t="n"/>
      <c r="G89" s="24" t="inlineStr">
        <is>
          <t>Strongly Disagree = 1 | Disagree = 2 | Uncertain or Unsure = 3 | Agree = 4 | Strongly Agree = 5</t>
        </is>
      </c>
    </row>
    <row r="90">
      <c r="A90" s="24" t="n">
        <v>59</v>
      </c>
      <c r="B90" s="24" t="inlineStr">
        <is>
          <t>It bothers me when things aren't the way I want them.</t>
        </is>
      </c>
      <c r="C90" s="24" t="inlineStr">
        <is>
          <t>Triggering</t>
        </is>
      </c>
      <c r="D90" s="24" t="inlineStr">
        <is>
          <t>FALSE</t>
        </is>
      </c>
      <c r="E90" s="24" t="inlineStr">
        <is>
          <t>FALSE</t>
        </is>
      </c>
      <c r="F90" s="24" t="n"/>
      <c r="G90" s="24" t="inlineStr">
        <is>
          <t>Strongly Disagree = 1 | Disagree = 2 | Uncertain or Unsure = 3 | Agree = 4 | Strongly Agree = 5</t>
        </is>
      </c>
    </row>
    <row r="91">
      <c r="A91" s="24" t="n">
        <v>60</v>
      </c>
      <c r="B91" s="24" t="inlineStr">
        <is>
          <t>I call in others for help when I need it.</t>
        </is>
      </c>
      <c r="C91" s="24" t="inlineStr">
        <is>
          <t>Searching</t>
        </is>
      </c>
      <c r="D91" s="24" t="inlineStr">
        <is>
          <t>FALSE</t>
        </is>
      </c>
      <c r="E91" s="24" t="inlineStr">
        <is>
          <t>FALSE</t>
        </is>
      </c>
      <c r="F91" s="24" t="n"/>
      <c r="G91" s="24" t="inlineStr">
        <is>
          <t>Strongly Disagree = 1 | Disagree = 2 | Uncertain or Unsure = 3 | Agree = 4 | Strongly Agree = 5</t>
        </is>
      </c>
    </row>
    <row r="92">
      <c r="A92" s="24" t="n">
        <v>61</v>
      </c>
      <c r="B92" s="24" t="inlineStr">
        <is>
          <t>Before making a decision, I consider what is likely to happen if I do one thing or another.</t>
        </is>
      </c>
      <c r="C92" s="24" t="inlineStr">
        <is>
          <t>Planning</t>
        </is>
      </c>
      <c r="D92" s="24" t="inlineStr">
        <is>
          <t>FALSE</t>
        </is>
      </c>
      <c r="E92" s="24" t="inlineStr">
        <is>
          <t>FALSE</t>
        </is>
      </c>
      <c r="F92" s="24" t="n"/>
      <c r="G92" s="24" t="inlineStr">
        <is>
          <t>Strongly Disagree = 1 | Disagree = 2 | Uncertain or Unsure = 3 | Agree = 4 | Strongly Agree = 5</t>
        </is>
      </c>
    </row>
    <row r="93">
      <c r="A93" s="24" t="n">
        <v>62</v>
      </c>
      <c r="B93" s="24" t="inlineStr">
        <is>
          <t>I give up quickly.</t>
        </is>
      </c>
      <c r="C93" s="24" t="inlineStr">
        <is>
          <t>Implementing</t>
        </is>
      </c>
      <c r="D93" s="24" t="inlineStr">
        <is>
          <t>TRUE</t>
        </is>
      </c>
      <c r="E93" s="24" t="inlineStr">
        <is>
          <t>FALSE</t>
        </is>
      </c>
      <c r="F93" s="24" t="n"/>
      <c r="G93" s="24" t="inlineStr">
        <is>
          <t>Strongly Disagree = 1 | Disagree = 2 | Uncertain or Unsure = 3 | Agree = 4 | Strongly Agree = 5</t>
        </is>
      </c>
    </row>
    <row r="94">
      <c r="A94" s="24" t="n">
        <v>63</v>
      </c>
      <c r="B94" s="24" t="inlineStr">
        <is>
          <t>I usually decide to change and hope for the best.</t>
        </is>
      </c>
      <c r="C94" s="24" t="inlineStr">
        <is>
          <t>Assessing</t>
        </is>
      </c>
      <c r="D94" s="24" t="inlineStr">
        <is>
          <t>TRUE</t>
        </is>
      </c>
      <c r="E94" s="24" t="inlineStr">
        <is>
          <t>FALSE</t>
        </is>
      </c>
      <c r="F94" s="24" t="n"/>
      <c r="G94" s="24" t="inlineStr">
        <is>
          <t>Strongly Disagree = 1 | Disagree = 2 | Uncertain or Unsure = 3 | Agree = 4 | Strongly Agree = 5</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Satisfaction with Life Scale</t>
        </is>
      </c>
    </row>
    <row r="3">
      <c r="A3" s="37" t="inlineStr">
        <is>
          <t>Instrument</t>
        </is>
      </c>
      <c r="B3" s="24" t="inlineStr">
        <is>
          <t>Satisfaction with Life Scale</t>
        </is>
      </c>
      <c r="C3" s="24" t="n"/>
      <c r="D3" s="24" t="n"/>
      <c r="E3" s="24" t="n"/>
      <c r="F3" s="24" t="n"/>
      <c r="G3" s="24" t="n"/>
    </row>
    <row r="4">
      <c r="A4" s="37" t="inlineStr">
        <is>
          <t>Code</t>
        </is>
      </c>
      <c r="B4" s="24" t="inlineStr">
        <is>
          <t>SWLS</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Global cognitive judgement of satisfaction with one's life.</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(also used with adolescents)</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t>
        </is>
      </c>
      <c r="C13" s="24" t="n"/>
      <c r="D13" s="24" t="n"/>
      <c r="E13" s="24" t="n"/>
      <c r="F13" s="24" t="n"/>
      <c r="G13" s="24" t="n"/>
    </row>
    <row r="14">
      <c r="A14" s="37" t="inlineStr">
        <is>
          <t>Coaching application</t>
        </is>
      </c>
      <c r="B14" s="24" t="inlineStr">
        <is>
          <t>The simplest global wellbeing outcome measure; suitable for every session or quarterly tracking.</t>
        </is>
      </c>
      <c r="C14" s="24" t="n"/>
      <c r="D14" s="24" t="n"/>
      <c r="E14" s="24" t="n"/>
      <c r="F14" s="24" t="n"/>
      <c r="G14" s="24" t="n"/>
    </row>
    <row r="15">
      <c r="A15" s="37" t="inlineStr">
        <is>
          <t>Purpose</t>
        </is>
      </c>
      <c r="B15" s="24" t="inlineStr">
        <is>
          <t>Global cognitive judgement of satisfaction with one's life.</t>
        </is>
      </c>
      <c r="C15" s="24" t="n"/>
      <c r="D15" s="24" t="n"/>
      <c r="E15" s="24" t="n"/>
      <c r="F15" s="24" t="n"/>
      <c r="G15" s="24" t="n"/>
    </row>
    <row r="16">
      <c r="A16" s="37" t="inlineStr">
        <is>
          <t>Instructions / prompt</t>
        </is>
      </c>
      <c r="B16" s="24" t="inlineStr">
        <is>
          <t>Below are five statements that you may agree or disagree with. Using the 1 - 7 scale below, indicate your agreement with each item by placing the appropriate number on the line preceding that item. Please be open and honest in your responding.</t>
        </is>
      </c>
      <c r="C16" s="24" t="n"/>
      <c r="D16" s="24" t="n"/>
      <c r="E16" s="24" t="n"/>
      <c r="F16" s="24" t="n"/>
      <c r="G16" s="24" t="n"/>
    </row>
    <row r="17">
      <c r="A17" s="37" t="inlineStr">
        <is>
          <t>Response options</t>
        </is>
      </c>
      <c r="B17" s="24" t="inlineStr">
        <is>
          <t>Strongly agree = 7 | Agree = 6 | Slightly agree = 5 | Neither agree nor disagree = 4 | Slightly disagree = 3 | Disagree = 2 | Strongly disagree = 1</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for a total of 5 to 35; higher scores indicate greater life satisfaction. Diener's interpretation bands: 31-35 extremely satisfied, 26-30 satisfied, 21-25 slightly satisfied, 20 neutral, 15-19 slightly dissatisfied, 10-14 dissatisfied, 5-9 extremely dissatisfied (Diener, Understanding SWLS Scores, eddiener.com).</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Diener, E., Emmons, R. A., Larsen, R. J., &amp; Griffin, S. (1985). The Satisfaction with Life Scale. Journal of Personality Assessment, 49(1), 71-75. https://doi.org/10.1207/s15327752jpa4901_13</t>
        </is>
      </c>
      <c r="C25" s="24" t="n"/>
      <c r="D25" s="24" t="n"/>
      <c r="E25" s="24" t="n"/>
      <c r="F25" s="24" t="n"/>
      <c r="G25" s="24" t="n"/>
    </row>
    <row r="26">
      <c r="A26" s="37" t="inlineStr">
        <is>
          <t>Copyright and licensing</t>
        </is>
      </c>
      <c r="B26" s="24" t="inlineStr">
        <is>
          <t>eddiener.com SWLS page: "The scale is copyrighted but is free to use without permission or charge by researchers as long as credit is given to the authors of the scale" and "The use of this scale is permitted for non-commercial purposes only." PsyToolkit, attributing "The SWLS website": "free to use ... by all professionals (researchers and practitioners) as long as you give credit to the authors of the scale." Source: https://eddiener.com/scales/7</t>
        </is>
      </c>
      <c r="C26" s="24" t="n"/>
      <c r="D26" s="24" t="n"/>
      <c r="E26" s="24" t="n"/>
      <c r="F26" s="24" t="n"/>
      <c r="G26" s="24" t="n"/>
    </row>
    <row r="27">
      <c r="A27" s="37" t="inlineStr">
        <is>
          <t>Source URL</t>
        </is>
      </c>
      <c r="B27" s="24" t="inlineStr">
        <is>
          <t>https://psytoolkit.org/survey-library/satisfaction-with-life.html</t>
        </is>
      </c>
      <c r="C27" s="24" t="n"/>
      <c r="D27" s="24" t="n"/>
      <c r="E27" s="24" t="n"/>
      <c r="F27" s="24" t="n"/>
      <c r="G27" s="24" t="n"/>
    </row>
    <row r="28">
      <c r="A28" s="37" t="inlineStr">
        <is>
          <t>Transcription note</t>
        </is>
      </c>
      <c r="B28" s="24" t="inlineStr">
        <is>
          <t>The eddiener.com pages (itemsUrl and the SWLS page) link to the scale PDF but do not print the items in HTML, and the PDF could not be read through WebFetch, so the items, response options and score bands were transcribed from the PsyToolkit survey library page, which reproduces the scale and its permission statement. The PsyToolkit instructions are adapted for online completion ("by clicking the appropriate selection"); the instructions recorded above are the standard paper form wording ("placing the appropriate number on the line preceding that item") as reproduced by Diener and were not verified against the eddiener.com PDF in this pass. The target record states Diener places the SWLS in the public domain; the eddiener.com wording is "copyrighted but ... free to use", quoted in licence. Second pass: licence quotes re-attributed; the practitioner wording is on PsyToolkit, not the current eddiener.com page, which limits use to non commercial purposes.</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In most ways my life is close to my ideal.</t>
        </is>
      </c>
      <c r="C32" s="24" t="inlineStr">
        <is>
          <t>Total</t>
        </is>
      </c>
      <c r="D32" s="24" t="inlineStr">
        <is>
          <t>FALSE</t>
        </is>
      </c>
      <c r="E32" s="24" t="inlineStr">
        <is>
          <t>FALSE</t>
        </is>
      </c>
      <c r="F32" s="24" t="n"/>
      <c r="G32" s="24" t="inlineStr">
        <is>
          <t>Strongly agree = 7 | Agree = 6 | Slightly agree = 5 | Neither agree nor disagree = 4 | Slightly disagree = 3 | Disagree = 2 | Strongly disagree = 1</t>
        </is>
      </c>
    </row>
    <row r="33">
      <c r="A33" s="24" t="n">
        <v>2</v>
      </c>
      <c r="B33" s="24" t="inlineStr">
        <is>
          <t>The conditions of my life are excellent.</t>
        </is>
      </c>
      <c r="C33" s="24" t="inlineStr">
        <is>
          <t>Total</t>
        </is>
      </c>
      <c r="D33" s="24" t="inlineStr">
        <is>
          <t>FALSE</t>
        </is>
      </c>
      <c r="E33" s="24" t="inlineStr">
        <is>
          <t>FALSE</t>
        </is>
      </c>
      <c r="F33" s="24" t="n"/>
      <c r="G33" s="24" t="inlineStr">
        <is>
          <t>Strongly agree = 7 | Agree = 6 | Slightly agree = 5 | Neither agree nor disagree = 4 | Slightly disagree = 3 | Disagree = 2 | Strongly disagree = 1</t>
        </is>
      </c>
    </row>
    <row r="34">
      <c r="A34" s="24" t="n">
        <v>3</v>
      </c>
      <c r="B34" s="24" t="inlineStr">
        <is>
          <t>I am satisfied with my life.</t>
        </is>
      </c>
      <c r="C34" s="24" t="inlineStr">
        <is>
          <t>Total</t>
        </is>
      </c>
      <c r="D34" s="24" t="inlineStr">
        <is>
          <t>FALSE</t>
        </is>
      </c>
      <c r="E34" s="24" t="inlineStr">
        <is>
          <t>FALSE</t>
        </is>
      </c>
      <c r="F34" s="24" t="n"/>
      <c r="G34" s="24" t="inlineStr">
        <is>
          <t>Strongly agree = 7 | Agree = 6 | Slightly agree = 5 | Neither agree nor disagree = 4 | Slightly disagree = 3 | Disagree = 2 | Strongly disagree = 1</t>
        </is>
      </c>
    </row>
    <row r="35">
      <c r="A35" s="24" t="n">
        <v>4</v>
      </c>
      <c r="B35" s="24" t="inlineStr">
        <is>
          <t>So far I have gotten the important things I want in life.</t>
        </is>
      </c>
      <c r="C35" s="24" t="inlineStr">
        <is>
          <t>Total</t>
        </is>
      </c>
      <c r="D35" s="24" t="inlineStr">
        <is>
          <t>FALSE</t>
        </is>
      </c>
      <c r="E35" s="24" t="inlineStr">
        <is>
          <t>FALSE</t>
        </is>
      </c>
      <c r="F35" s="24" t="n"/>
      <c r="G35" s="24" t="inlineStr">
        <is>
          <t>Strongly agree = 7 | Agree = 6 | Slightly agree = 5 | Neither agree nor disagree = 4 | Slightly disagree = 3 | Disagree = 2 | Strongly disagree = 1</t>
        </is>
      </c>
    </row>
    <row r="36">
      <c r="A36" s="24" t="n">
        <v>5</v>
      </c>
      <c r="B36" s="24" t="inlineStr">
        <is>
          <t>If I could live my life over, I would change almost nothing.</t>
        </is>
      </c>
      <c r="C36" s="24" t="inlineStr">
        <is>
          <t>Total</t>
        </is>
      </c>
      <c r="D36" s="24" t="inlineStr">
        <is>
          <t>FALSE</t>
        </is>
      </c>
      <c r="E36" s="24" t="inlineStr">
        <is>
          <t>FALSE</t>
        </is>
      </c>
      <c r="F36" s="24" t="n"/>
      <c r="G36" s="24" t="inlineStr">
        <is>
          <t>Strongly agree = 7 | Agree = 6 | Slightly agree = 5 | Neither agree nor disagree = 4 | Slightly disagree = 3 | Disagree = 2 | Strongly disagree = 1</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UCLA Loneliness Scale, Version 3 (PhenX Social Isolation)</t>
        </is>
      </c>
    </row>
    <row r="3">
      <c r="A3" s="37" t="inlineStr">
        <is>
          <t>Instrument</t>
        </is>
      </c>
      <c r="B3" s="24" t="inlineStr">
        <is>
          <t>UCLA Loneliness Scale, Version 3 (PhenX Social Isolation)</t>
        </is>
      </c>
      <c r="C3" s="24" t="n"/>
      <c r="D3" s="24" t="n"/>
      <c r="E3" s="24" t="n"/>
      <c r="F3" s="24" t="n"/>
      <c r="G3" s="24" t="n"/>
    </row>
    <row r="4">
      <c r="A4" s="37" t="inlineStr">
        <is>
          <t>Code</t>
        </is>
      </c>
      <c r="B4" s="24" t="inlineStr">
        <is>
          <t>UCLA-LS-3</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Subjective feelings of loneliness and social isolation.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 (validated in students, nurses, teachers and older adults)</t>
        </is>
      </c>
      <c r="C9" s="24" t="n"/>
      <c r="D9" s="24" t="n"/>
      <c r="E9" s="24" t="n"/>
      <c r="F9" s="24" t="n"/>
      <c r="G9" s="24" t="n"/>
    </row>
    <row r="10">
      <c r="A10" s="37" t="inlineStr">
        <is>
          <t>Items in instrument</t>
        </is>
      </c>
      <c r="B10" s="24" t="n">
        <v>20</v>
      </c>
      <c r="C10" s="24" t="n"/>
      <c r="D10" s="24" t="n"/>
      <c r="E10" s="24" t="n"/>
      <c r="F10" s="24" t="n"/>
      <c r="G10" s="24" t="n"/>
    </row>
    <row r="11">
      <c r="A11" s="37" t="inlineStr">
        <is>
          <t>Items reproduced here</t>
        </is>
      </c>
      <c r="B11" s="24" t="n">
        <v>20</v>
      </c>
      <c r="C11" s="24" t="n"/>
      <c r="D11" s="24" t="n"/>
      <c r="E11" s="24" t="n"/>
      <c r="F11" s="24" t="n"/>
      <c r="G11" s="24" t="n"/>
    </row>
    <row r="12">
      <c r="A12" s="37" t="inlineStr">
        <is>
          <t>Administration time</t>
        </is>
      </c>
      <c r="B12" s="24" t="inlineStr">
        <is>
          <t>4 minutes</t>
        </is>
      </c>
      <c r="C12" s="24" t="n"/>
      <c r="D12" s="24" t="n"/>
      <c r="E12" s="24" t="n"/>
      <c r="F12" s="24" t="n"/>
      <c r="G12" s="24" t="n"/>
    </row>
    <row r="13">
      <c r="A13" s="37" t="inlineStr">
        <is>
          <t>Cost and access</t>
        </is>
      </c>
      <c r="B13" s="24" t="inlineStr">
        <is>
          <t>PhenX protocol page: "Copyright © 1994 by Daniel W. Russell" and "This protocol is freely available; permission not required for use." PhenX Toolkit documentation is CC BY 4.0.</t>
        </is>
      </c>
      <c r="C13" s="24" t="n"/>
      <c r="D13" s="24" t="n"/>
      <c r="E13" s="24" t="n"/>
      <c r="F13" s="24" t="n"/>
      <c r="G13" s="24" t="n"/>
    </row>
    <row r="14">
      <c r="A14" s="37" t="inlineStr">
        <is>
          <t>Coaching application</t>
        </is>
      </c>
      <c r="B14" s="24" t="inlineStr">
        <is>
          <t>Relevant to remote workers, new leaders and career transition clients; the 3 item version is adequate for a brief check in.</t>
        </is>
      </c>
      <c r="C14" s="24" t="n"/>
      <c r="D14" s="24" t="n"/>
      <c r="E14" s="24" t="n"/>
      <c r="F14" s="24" t="n"/>
      <c r="G14" s="24" t="n"/>
    </row>
    <row r="15">
      <c r="A15" s="37" t="inlineStr">
        <is>
          <t>Purpose</t>
        </is>
      </c>
      <c r="B15" s="24" t="inlineStr">
        <is>
          <t>Subjective feelings of loneliness and social isolation.</t>
        </is>
      </c>
      <c r="C15" s="24" t="n"/>
      <c r="D15" s="24" t="n"/>
      <c r="E15" s="24" t="n"/>
      <c r="F15" s="24" t="n"/>
      <c r="G15" s="24" t="n"/>
    </row>
    <row r="16">
      <c r="A16" s="37" t="inlineStr">
        <is>
          <t>Instructions / prompt</t>
        </is>
      </c>
      <c r="B16" s="24" t="inlineStr">
        <is>
          <t>Instructions: The following statements describe how people sometimes feel. For each statement, please indicate how often you feel the way described by writing a number in the space provided. Here is an example: How often do you feel happy? If you never feel happy, you would respond "never"; if you always feel happy, you would respond "always".</t>
        </is>
      </c>
      <c r="C16" s="24" t="n"/>
      <c r="D16" s="24" t="n"/>
      <c r="E16" s="24" t="n"/>
      <c r="F16" s="24" t="n"/>
      <c r="G16" s="24" t="n"/>
    </row>
    <row r="17">
      <c r="A17" s="37" t="inlineStr">
        <is>
          <t>Response options</t>
        </is>
      </c>
      <c r="B17" s="24" t="inlineStr">
        <is>
          <t>NEVER = 1 | RARELY = 2 | SOMETIMES = 3 | ALWAYS = 4</t>
        </is>
      </c>
      <c r="C17" s="24" t="n"/>
      <c r="D17" s="24" t="n"/>
      <c r="E17" s="24" t="n"/>
      <c r="F17" s="24" t="n"/>
      <c r="G17" s="24" t="n"/>
    </row>
    <row r="18">
      <c r="A18" s="37" t="inlineStr">
        <is>
          <t>Reverse-scored items</t>
        </is>
      </c>
      <c r="B18" s="24" t="inlineStr">
        <is>
          <t>1, 5, 6, 9, 10, 15, 16, 19, 20</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Items 1, 5, 6, 9, 10, 15, 16, 19, and 20 should be reversed (1 to 4, 2 to 3, 3 to 2, 4 to 1). Sum the total of all items. Higher scores indicate greater degrees of loneliness. Range 20 to 80. Russell (1996) reports no formal cut offs; sample means of about 40 in students and 32 in older adults are reported in the validation article. 3 item (Hughes et al., 2004) and 8 item (ULS-8) short forms exist.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Russell, D. W. (1996). UCLA Loneliness Scale (Version 3): Reliability, validity, and factor structure. Journal of Personality Assessment, 66(1), 20–40. https://doi.org/10.1207/s15327752jpa6601_2</t>
        </is>
      </c>
      <c r="C25" s="24" t="n"/>
      <c r="D25" s="24" t="n"/>
      <c r="E25" s="24" t="n"/>
      <c r="F25" s="24" t="n"/>
      <c r="G25" s="24" t="n"/>
    </row>
    <row r="26">
      <c r="A26" s="37" t="inlineStr">
        <is>
          <t>Copyright and licensing</t>
        </is>
      </c>
      <c r="B26" s="24" t="inlineStr">
        <is>
          <t>PhenX protocol page: "Copyright © 1994 by Daniel W. Russell" and "This protocol is freely available; permission not required for use." PhenX Toolkit documentation is CC BY 4.0. Source: https://www.phenxtoolkit.org/protocols/view/181001</t>
        </is>
      </c>
      <c r="C26" s="24" t="n"/>
      <c r="D26" s="24" t="n"/>
      <c r="E26" s="24" t="n"/>
      <c r="F26" s="24" t="n"/>
      <c r="G26" s="24" t="n"/>
    </row>
    <row r="27">
      <c r="A27" s="37" t="inlineStr">
        <is>
          <t>Source URL</t>
        </is>
      </c>
      <c r="B27" s="24" t="inlineStr">
        <is>
          <t>https://www.phenxtoolkit.org/protocols/view/181001</t>
        </is>
      </c>
      <c r="C27" s="24" t="n"/>
      <c r="D27" s="24" t="n"/>
      <c r="E27" s="24" t="n"/>
      <c r="F27" s="24" t="n"/>
      <c r="G27" s="24" t="n"/>
    </row>
    <row r="28">
      <c r="A28" s="37" t="inlineStr">
        <is>
          <t>Transcription note</t>
        </is>
      </c>
      <c r="B28" s="24" t="inlineStr">
        <is>
          <t>All 20 items, instructions, response labels and scoring text transcribed from the PhenX Toolkit protocol 181001 page. The PhenX page prints the fourth response label as ALWAYS; Russell's (1996) published version labels point 4 as Often. PhenX wording is retained verbatim and this difference should be checked before administration. Sample means quoted in the scoring field are from general knowledge of Russell (1996) and were not read from the PhenX page.</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How often do you feel that you are in tune with the people around you?</t>
        </is>
      </c>
      <c r="C32" s="24" t="inlineStr">
        <is>
          <t>Total</t>
        </is>
      </c>
      <c r="D32" s="24" t="inlineStr">
        <is>
          <t>TRUE</t>
        </is>
      </c>
      <c r="E32" s="24" t="inlineStr">
        <is>
          <t>FALSE</t>
        </is>
      </c>
      <c r="F32" s="24" t="inlineStr">
        <is>
          <t>Positively worded, reverse scored</t>
        </is>
      </c>
      <c r="G32" s="24" t="inlineStr">
        <is>
          <t>NEVER = 1 | RARELY = 2 | SOMETIMES = 3 | ALWAYS = 4</t>
        </is>
      </c>
    </row>
    <row r="33">
      <c r="A33" s="24" t="n">
        <v>2</v>
      </c>
      <c r="B33" s="24" t="inlineStr">
        <is>
          <t>How often do you feel that you lack companionship?</t>
        </is>
      </c>
      <c r="C33" s="24" t="inlineStr">
        <is>
          <t>Total</t>
        </is>
      </c>
      <c r="D33" s="24" t="inlineStr">
        <is>
          <t>FALSE</t>
        </is>
      </c>
      <c r="E33" s="24" t="inlineStr">
        <is>
          <t>FALSE</t>
        </is>
      </c>
      <c r="F33" s="24" t="n"/>
      <c r="G33" s="24" t="inlineStr">
        <is>
          <t>NEVER = 1 | RARELY = 2 | SOMETIMES = 3 | ALWAYS = 4</t>
        </is>
      </c>
    </row>
    <row r="34">
      <c r="A34" s="24" t="n">
        <v>3</v>
      </c>
      <c r="B34" s="24" t="inlineStr">
        <is>
          <t>How often do you feel that there is no one you can turn to?</t>
        </is>
      </c>
      <c r="C34" s="24" t="inlineStr">
        <is>
          <t>Total</t>
        </is>
      </c>
      <c r="D34" s="24" t="inlineStr">
        <is>
          <t>FALSE</t>
        </is>
      </c>
      <c r="E34" s="24" t="inlineStr">
        <is>
          <t>FALSE</t>
        </is>
      </c>
      <c r="F34" s="24" t="n"/>
      <c r="G34" s="24" t="inlineStr">
        <is>
          <t>NEVER = 1 | RARELY = 2 | SOMETIMES = 3 | ALWAYS = 4</t>
        </is>
      </c>
    </row>
    <row r="35">
      <c r="A35" s="24" t="n">
        <v>4</v>
      </c>
      <c r="B35" s="24" t="inlineStr">
        <is>
          <t>How often do you feel alone?</t>
        </is>
      </c>
      <c r="C35" s="24" t="inlineStr">
        <is>
          <t>Total</t>
        </is>
      </c>
      <c r="D35" s="24" t="inlineStr">
        <is>
          <t>FALSE</t>
        </is>
      </c>
      <c r="E35" s="24" t="inlineStr">
        <is>
          <t>FALSE</t>
        </is>
      </c>
      <c r="F35" s="24" t="n"/>
      <c r="G35" s="24" t="inlineStr">
        <is>
          <t>NEVER = 1 | RARELY = 2 | SOMETIMES = 3 | ALWAYS = 4</t>
        </is>
      </c>
    </row>
    <row r="36">
      <c r="A36" s="24" t="n">
        <v>5</v>
      </c>
      <c r="B36" s="24" t="inlineStr">
        <is>
          <t>How often do you feel part of a group of friends?</t>
        </is>
      </c>
      <c r="C36" s="24" t="inlineStr">
        <is>
          <t>Total</t>
        </is>
      </c>
      <c r="D36" s="24" t="inlineStr">
        <is>
          <t>TRUE</t>
        </is>
      </c>
      <c r="E36" s="24" t="inlineStr">
        <is>
          <t>FALSE</t>
        </is>
      </c>
      <c r="F36" s="24" t="inlineStr">
        <is>
          <t>Positively worded, reverse scored</t>
        </is>
      </c>
      <c r="G36" s="24" t="inlineStr">
        <is>
          <t>NEVER = 1 | RARELY = 2 | SOMETIMES = 3 | ALWAYS = 4</t>
        </is>
      </c>
    </row>
    <row r="37">
      <c r="A37" s="24" t="n">
        <v>6</v>
      </c>
      <c r="B37" s="24" t="inlineStr">
        <is>
          <t>How often do you feel that you have a lot in common with the people around you?</t>
        </is>
      </c>
      <c r="C37" s="24" t="inlineStr">
        <is>
          <t>Total</t>
        </is>
      </c>
      <c r="D37" s="24" t="inlineStr">
        <is>
          <t>TRUE</t>
        </is>
      </c>
      <c r="E37" s="24" t="inlineStr">
        <is>
          <t>FALSE</t>
        </is>
      </c>
      <c r="F37" s="24" t="inlineStr">
        <is>
          <t>Positively worded, reverse scored</t>
        </is>
      </c>
      <c r="G37" s="24" t="inlineStr">
        <is>
          <t>NEVER = 1 | RARELY = 2 | SOMETIMES = 3 | ALWAYS = 4</t>
        </is>
      </c>
    </row>
    <row r="38">
      <c r="A38" s="24" t="n">
        <v>7</v>
      </c>
      <c r="B38" s="24" t="inlineStr">
        <is>
          <t>How often do you feel that you are no longer close to anyone?</t>
        </is>
      </c>
      <c r="C38" s="24" t="inlineStr">
        <is>
          <t>Total</t>
        </is>
      </c>
      <c r="D38" s="24" t="inlineStr">
        <is>
          <t>FALSE</t>
        </is>
      </c>
      <c r="E38" s="24" t="inlineStr">
        <is>
          <t>FALSE</t>
        </is>
      </c>
      <c r="F38" s="24" t="n"/>
      <c r="G38" s="24" t="inlineStr">
        <is>
          <t>NEVER = 1 | RARELY = 2 | SOMETIMES = 3 | ALWAYS = 4</t>
        </is>
      </c>
    </row>
    <row r="39">
      <c r="A39" s="24" t="n">
        <v>8</v>
      </c>
      <c r="B39" s="24" t="inlineStr">
        <is>
          <t>How often do you feel that your interests and ideas are not shared by those around you?</t>
        </is>
      </c>
      <c r="C39" s="24" t="inlineStr">
        <is>
          <t>Total</t>
        </is>
      </c>
      <c r="D39" s="24" t="inlineStr">
        <is>
          <t>FALSE</t>
        </is>
      </c>
      <c r="E39" s="24" t="inlineStr">
        <is>
          <t>FALSE</t>
        </is>
      </c>
      <c r="F39" s="24" t="n"/>
      <c r="G39" s="24" t="inlineStr">
        <is>
          <t>NEVER = 1 | RARELY = 2 | SOMETIMES = 3 | ALWAYS = 4</t>
        </is>
      </c>
    </row>
    <row r="40">
      <c r="A40" s="24" t="n">
        <v>9</v>
      </c>
      <c r="B40" s="24" t="inlineStr">
        <is>
          <t>How often do you feel outgoing and friendly?</t>
        </is>
      </c>
      <c r="C40" s="24" t="inlineStr">
        <is>
          <t>Total</t>
        </is>
      </c>
      <c r="D40" s="24" t="inlineStr">
        <is>
          <t>TRUE</t>
        </is>
      </c>
      <c r="E40" s="24" t="inlineStr">
        <is>
          <t>FALSE</t>
        </is>
      </c>
      <c r="F40" s="24" t="inlineStr">
        <is>
          <t>Positively worded, reverse scored</t>
        </is>
      </c>
      <c r="G40" s="24" t="inlineStr">
        <is>
          <t>NEVER = 1 | RARELY = 2 | SOMETIMES = 3 | ALWAYS = 4</t>
        </is>
      </c>
    </row>
    <row r="41">
      <c r="A41" s="24" t="n">
        <v>10</v>
      </c>
      <c r="B41" s="24" t="inlineStr">
        <is>
          <t>How often do you feel close to people?</t>
        </is>
      </c>
      <c r="C41" s="24" t="inlineStr">
        <is>
          <t>Total</t>
        </is>
      </c>
      <c r="D41" s="24" t="inlineStr">
        <is>
          <t>TRUE</t>
        </is>
      </c>
      <c r="E41" s="24" t="inlineStr">
        <is>
          <t>FALSE</t>
        </is>
      </c>
      <c r="F41" s="24" t="inlineStr">
        <is>
          <t>Positively worded, reverse scored</t>
        </is>
      </c>
      <c r="G41" s="24" t="inlineStr">
        <is>
          <t>NEVER = 1 | RARELY = 2 | SOMETIMES = 3 | ALWAYS = 4</t>
        </is>
      </c>
    </row>
    <row r="42">
      <c r="A42" s="24" t="n">
        <v>11</v>
      </c>
      <c r="B42" s="24" t="inlineStr">
        <is>
          <t>How often do you feel left out?</t>
        </is>
      </c>
      <c r="C42" s="24" t="inlineStr">
        <is>
          <t>Total</t>
        </is>
      </c>
      <c r="D42" s="24" t="inlineStr">
        <is>
          <t>FALSE</t>
        </is>
      </c>
      <c r="E42" s="24" t="inlineStr">
        <is>
          <t>FALSE</t>
        </is>
      </c>
      <c r="F42" s="24" t="n"/>
      <c r="G42" s="24" t="inlineStr">
        <is>
          <t>NEVER = 1 | RARELY = 2 | SOMETIMES = 3 | ALWAYS = 4</t>
        </is>
      </c>
    </row>
    <row r="43">
      <c r="A43" s="24" t="n">
        <v>12</v>
      </c>
      <c r="B43" s="24" t="inlineStr">
        <is>
          <t>How often do you feel that your relationships with others are not meaningful?</t>
        </is>
      </c>
      <c r="C43" s="24" t="inlineStr">
        <is>
          <t>Total</t>
        </is>
      </c>
      <c r="D43" s="24" t="inlineStr">
        <is>
          <t>FALSE</t>
        </is>
      </c>
      <c r="E43" s="24" t="inlineStr">
        <is>
          <t>FALSE</t>
        </is>
      </c>
      <c r="F43" s="24" t="n"/>
      <c r="G43" s="24" t="inlineStr">
        <is>
          <t>NEVER = 1 | RARELY = 2 | SOMETIMES = 3 | ALWAYS = 4</t>
        </is>
      </c>
    </row>
    <row r="44">
      <c r="A44" s="24" t="n">
        <v>13</v>
      </c>
      <c r="B44" s="24" t="inlineStr">
        <is>
          <t>How often do you feel that no one really knows you well?</t>
        </is>
      </c>
      <c r="C44" s="24" t="inlineStr">
        <is>
          <t>Total</t>
        </is>
      </c>
      <c r="D44" s="24" t="inlineStr">
        <is>
          <t>FALSE</t>
        </is>
      </c>
      <c r="E44" s="24" t="inlineStr">
        <is>
          <t>FALSE</t>
        </is>
      </c>
      <c r="F44" s="24" t="n"/>
      <c r="G44" s="24" t="inlineStr">
        <is>
          <t>NEVER = 1 | RARELY = 2 | SOMETIMES = 3 | ALWAYS = 4</t>
        </is>
      </c>
    </row>
    <row r="45">
      <c r="A45" s="24" t="n">
        <v>14</v>
      </c>
      <c r="B45" s="24" t="inlineStr">
        <is>
          <t>How often do you feel isolated from others?</t>
        </is>
      </c>
      <c r="C45" s="24" t="inlineStr">
        <is>
          <t>Total</t>
        </is>
      </c>
      <c r="D45" s="24" t="inlineStr">
        <is>
          <t>FALSE</t>
        </is>
      </c>
      <c r="E45" s="24" t="inlineStr">
        <is>
          <t>FALSE</t>
        </is>
      </c>
      <c r="F45" s="24" t="n"/>
      <c r="G45" s="24" t="inlineStr">
        <is>
          <t>NEVER = 1 | RARELY = 2 | SOMETIMES = 3 | ALWAYS = 4</t>
        </is>
      </c>
    </row>
    <row r="46">
      <c r="A46" s="24" t="n">
        <v>15</v>
      </c>
      <c r="B46" s="24" t="inlineStr">
        <is>
          <t>How often do you feel you can find companionship when you want it?</t>
        </is>
      </c>
      <c r="C46" s="24" t="inlineStr">
        <is>
          <t>Total</t>
        </is>
      </c>
      <c r="D46" s="24" t="inlineStr">
        <is>
          <t>TRUE</t>
        </is>
      </c>
      <c r="E46" s="24" t="inlineStr">
        <is>
          <t>FALSE</t>
        </is>
      </c>
      <c r="F46" s="24" t="inlineStr">
        <is>
          <t>Positively worded, reverse scored</t>
        </is>
      </c>
      <c r="G46" s="24" t="inlineStr">
        <is>
          <t>NEVER = 1 | RARELY = 2 | SOMETIMES = 3 | ALWAYS = 4</t>
        </is>
      </c>
    </row>
    <row r="47">
      <c r="A47" s="24" t="n">
        <v>16</v>
      </c>
      <c r="B47" s="24" t="inlineStr">
        <is>
          <t>How often do you feel that there are people who really understand you?</t>
        </is>
      </c>
      <c r="C47" s="24" t="inlineStr">
        <is>
          <t>Total</t>
        </is>
      </c>
      <c r="D47" s="24" t="inlineStr">
        <is>
          <t>TRUE</t>
        </is>
      </c>
      <c r="E47" s="24" t="inlineStr">
        <is>
          <t>FALSE</t>
        </is>
      </c>
      <c r="F47" s="24" t="inlineStr">
        <is>
          <t>Positively worded, reverse scored</t>
        </is>
      </c>
      <c r="G47" s="24" t="inlineStr">
        <is>
          <t>NEVER = 1 | RARELY = 2 | SOMETIMES = 3 | ALWAYS = 4</t>
        </is>
      </c>
    </row>
    <row r="48">
      <c r="A48" s="24" t="n">
        <v>17</v>
      </c>
      <c r="B48" s="24" t="inlineStr">
        <is>
          <t>How often do you feel shy?</t>
        </is>
      </c>
      <c r="C48" s="24" t="inlineStr">
        <is>
          <t>Total</t>
        </is>
      </c>
      <c r="D48" s="24" t="inlineStr">
        <is>
          <t>FALSE</t>
        </is>
      </c>
      <c r="E48" s="24" t="inlineStr">
        <is>
          <t>FALSE</t>
        </is>
      </c>
      <c r="F48" s="24" t="n"/>
      <c r="G48" s="24" t="inlineStr">
        <is>
          <t>NEVER = 1 | RARELY = 2 | SOMETIMES = 3 | ALWAYS = 4</t>
        </is>
      </c>
    </row>
    <row r="49">
      <c r="A49" s="24" t="n">
        <v>18</v>
      </c>
      <c r="B49" s="24" t="inlineStr">
        <is>
          <t>How often do you feel that people are around you but not with you?</t>
        </is>
      </c>
      <c r="C49" s="24" t="inlineStr">
        <is>
          <t>Total</t>
        </is>
      </c>
      <c r="D49" s="24" t="inlineStr">
        <is>
          <t>FALSE</t>
        </is>
      </c>
      <c r="E49" s="24" t="inlineStr">
        <is>
          <t>FALSE</t>
        </is>
      </c>
      <c r="F49" s="24" t="n"/>
      <c r="G49" s="24" t="inlineStr">
        <is>
          <t>NEVER = 1 | RARELY = 2 | SOMETIMES = 3 | ALWAYS = 4</t>
        </is>
      </c>
    </row>
    <row r="50">
      <c r="A50" s="24" t="n">
        <v>19</v>
      </c>
      <c r="B50" s="24" t="inlineStr">
        <is>
          <t>How often do you feel that there are people you can talk to?</t>
        </is>
      </c>
      <c r="C50" s="24" t="inlineStr">
        <is>
          <t>Total</t>
        </is>
      </c>
      <c r="D50" s="24" t="inlineStr">
        <is>
          <t>TRUE</t>
        </is>
      </c>
      <c r="E50" s="24" t="inlineStr">
        <is>
          <t>FALSE</t>
        </is>
      </c>
      <c r="F50" s="24" t="inlineStr">
        <is>
          <t>Positively worded, reverse scored</t>
        </is>
      </c>
      <c r="G50" s="24" t="inlineStr">
        <is>
          <t>NEVER = 1 | RARELY = 2 | SOMETIMES = 3 | ALWAYS = 4</t>
        </is>
      </c>
    </row>
    <row r="51">
      <c r="A51" s="24" t="n">
        <v>20</v>
      </c>
      <c r="B51" s="24" t="inlineStr">
        <is>
          <t>How often do you feel that there are people you can turn to?</t>
        </is>
      </c>
      <c r="C51" s="24" t="inlineStr">
        <is>
          <t>Total</t>
        </is>
      </c>
      <c r="D51" s="24" t="inlineStr">
        <is>
          <t>TRUE</t>
        </is>
      </c>
      <c r="E51" s="24" t="inlineStr">
        <is>
          <t>FALSE</t>
        </is>
      </c>
      <c r="F51" s="24" t="inlineStr">
        <is>
          <t>Positively worded, reverse scored</t>
        </is>
      </c>
      <c r="G51" s="24" t="inlineStr">
        <is>
          <t>NEVER = 1 | RARELY = 2 | SOMETIMES = 3 | ALWAYS = 4</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Webexec</t>
        </is>
      </c>
    </row>
    <row r="3">
      <c r="A3" s="37" t="inlineStr">
        <is>
          <t>Instrument</t>
        </is>
      </c>
      <c r="B3" s="24" t="inlineStr">
        <is>
          <t>Webexec</t>
        </is>
      </c>
      <c r="C3" s="24" t="n"/>
      <c r="D3" s="24" t="n"/>
      <c r="E3" s="24" t="n"/>
      <c r="F3" s="24" t="n"/>
      <c r="G3" s="24" t="n"/>
    </row>
    <row r="4">
      <c r="A4" s="37" t="inlineStr">
        <is>
          <t>Code</t>
        </is>
      </c>
      <c r="B4" s="24" t="inlineStr">
        <is>
          <t>WEBEXEC</t>
        </is>
      </c>
      <c r="C4" s="24" t="n"/>
      <c r="D4" s="24" t="n"/>
      <c r="E4" s="24" t="n"/>
      <c r="F4" s="24" t="n"/>
      <c r="G4" s="24" t="n"/>
    </row>
    <row r="5">
      <c r="A5" s="37" t="inlineStr">
        <is>
          <t>Domain</t>
        </is>
      </c>
      <c r="B5" s="24" t="inlineStr">
        <is>
          <t>1. Executive functioning and ADHD</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Brief self report of everyday problems with executive function (attention, concentration, multitasking, train of thought, follow through and impulsivity) designed for online administration.</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v>
      </c>
      <c r="C10" s="24" t="n"/>
      <c r="D10" s="24" t="n"/>
      <c r="E10" s="24" t="n"/>
      <c r="F10" s="24" t="n"/>
      <c r="G10" s="24" t="n"/>
    </row>
    <row r="11">
      <c r="A11" s="37" t="inlineStr">
        <is>
          <t>Items reproduced here</t>
        </is>
      </c>
      <c r="B11" s="24" t="n">
        <v>6</v>
      </c>
      <c r="C11" s="24" t="n"/>
      <c r="D11" s="24" t="n"/>
      <c r="E11" s="24" t="n"/>
      <c r="F11" s="24" t="n"/>
      <c r="G11" s="24" t="n"/>
    </row>
    <row r="12">
      <c r="A12" s="37" t="inlineStr">
        <is>
          <t>Administration time</t>
        </is>
      </c>
      <c r="B12" s="24" t="inlineStr">
        <is>
          <t>1 minutes</t>
        </is>
      </c>
      <c r="C12" s="24" t="n"/>
      <c r="D12" s="24" t="n"/>
      <c r="E12" s="24" t="n"/>
      <c r="F12" s="24" t="n"/>
      <c r="G12" s="24" t="n"/>
    </row>
    <row r="13">
      <c r="A13" s="37" t="inlineStr">
        <is>
          <t>Cost and access</t>
        </is>
      </c>
      <c r="B13" s="24" t="inlineStr">
        <is>
          <t>PsyToolkit: "It seems that the webexec can be used for research, but you need to acknowledge the authors and their research paper when writing about it." No formal licence text from the authors was located.</t>
        </is>
      </c>
      <c r="C13" s="24" t="n"/>
      <c r="D13" s="24" t="n"/>
      <c r="E13" s="24" t="n"/>
      <c r="F13" s="24" t="n"/>
      <c r="G13" s="24" t="n"/>
    </row>
    <row r="14">
      <c r="A14" s="37" t="inlineStr">
        <is>
          <t>Coaching application</t>
        </is>
      </c>
      <c r="B14" s="24" t="inlineStr">
        <is>
          <t>A 1 minute pulse check for executive strain; useful for frequent repeated measurement but too coarse for profiling.</t>
        </is>
      </c>
      <c r="C14" s="24" t="n"/>
      <c r="D14" s="24" t="n"/>
      <c r="E14" s="24" t="n"/>
      <c r="F14" s="24" t="n"/>
      <c r="G14" s="24" t="n"/>
    </row>
    <row r="15">
      <c r="A15" s="37" t="inlineStr">
        <is>
          <t>Purpose</t>
        </is>
      </c>
      <c r="B15" s="24" t="inlineStr">
        <is>
          <t>Brief self report of everyday problems with executive function (attention, concentration, multitasking, train of thought, follow through and impulsivity) designed for online administration.</t>
        </is>
      </c>
      <c r="C15" s="24" t="n"/>
      <c r="D15" s="24" t="n"/>
      <c r="E15" s="24" t="n"/>
      <c r="F15" s="24" t="n"/>
      <c r="G15" s="24" t="n"/>
    </row>
    <row r="16">
      <c r="A16" s="37" t="inlineStr">
        <is>
          <t>Instructions / prompt</t>
        </is>
      </c>
      <c r="B16" s="24" t="inlineStr">
        <is>
          <t>Please rate the extent to which you have problems in the following areas by picking the appropriate option.</t>
        </is>
      </c>
      <c r="C16" s="24" t="n"/>
      <c r="D16" s="24" t="n"/>
      <c r="E16" s="24" t="n"/>
      <c r="F16" s="24" t="n"/>
      <c r="G16" s="24" t="n"/>
    </row>
    <row r="17">
      <c r="A17" s="37" t="inlineStr">
        <is>
          <t>Response options</t>
        </is>
      </c>
      <c r="B17" s="24" t="inlineStr">
        <is>
          <t>No problems experienced = 1 | A few problems experienced = 2 | More than a few problems experienced = 3 | A great many problems experienced = 4</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6 items (each scored 1 to 4) for a total of 6 to 24. Higher scores indicate more problems with executive function. Buchanan et al. (2010) report a mean of 11.25 in the original sample of 417 participants. No cut offs are published.</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Buchanan, T., Heffernan, T. M., Parrott, A. C., Ling, J., Rodgers, J., &amp; Scholey, A. B. (2010). A short self-report measure of problems with executive function suitable for administration via the Internet. Behavior Research Methods, 42(3), 709-714. https://doi.org/10.3758/BRM.42.3.709</t>
        </is>
      </c>
      <c r="C25" s="24" t="n"/>
      <c r="D25" s="24" t="n"/>
      <c r="E25" s="24" t="n"/>
      <c r="F25" s="24" t="n"/>
      <c r="G25" s="24" t="n"/>
    </row>
    <row r="26">
      <c r="A26" s="37" t="inlineStr">
        <is>
          <t>Copyright and licensing</t>
        </is>
      </c>
      <c r="B26" s="24" t="inlineStr">
        <is>
          <t>PsyToolkit: "It seems that the webexec can be used for research, but you need to acknowledge the authors and their research paper when writing about it." No formal licence text from the authors was located. Source: https://psytoolkit.org/survey-library/webexec.html</t>
        </is>
      </c>
      <c r="C26" s="24" t="n"/>
      <c r="D26" s="24" t="n"/>
      <c r="E26" s="24" t="n"/>
      <c r="F26" s="24" t="n"/>
      <c r="G26" s="24" t="n"/>
    </row>
    <row r="27">
      <c r="A27" s="37" t="inlineStr">
        <is>
          <t>Source URL</t>
        </is>
      </c>
      <c r="B27" s="24" t="inlineStr">
        <is>
          <t>https://psytoolkit.org/survey-library/webexec.html</t>
        </is>
      </c>
      <c r="C27" s="24" t="n"/>
      <c r="D27" s="24" t="n"/>
      <c r="E27" s="24" t="n"/>
      <c r="F27" s="24" t="n"/>
      <c r="G27" s="24" t="n"/>
    </row>
    <row r="28">
      <c r="A28" s="37" t="inlineStr">
        <is>
          <t>Transcription note</t>
        </is>
      </c>
      <c r="B28" s="24" t="inlineStr">
        <is>
          <t>Items transcribed from the PsyToolkit survey library page, which reproduces the scale for online administration. The PsyToolkit instructions are written for its own online format (answers confidential, participants may stop at any time); the instruction line above is the task relevant sentence from that page and the original paper wording was not checked. The page lists the 4 response labels in order and states each item is scored 1 to 4 but does not print the numeric values beside the labels; values 1 to 4 are assigned in listed order. The response labels are in sentence case as recorded by the fetch; original capitalisation on the page was not confirmed. Second pass: instruction sentence quoted exactly from PsyToolkit; option labels are printed in lower case there and shown in sentence case here.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Do you find it difficult to keep your attention on a particular task?</t>
        </is>
      </c>
      <c r="C32" s="24" t="inlineStr">
        <is>
          <t>Total</t>
        </is>
      </c>
      <c r="D32" s="24" t="inlineStr">
        <is>
          <t>FALSE</t>
        </is>
      </c>
      <c r="E32" s="24" t="inlineStr">
        <is>
          <t>FALSE</t>
        </is>
      </c>
      <c r="F32" s="24" t="n"/>
      <c r="G32" s="24" t="inlineStr">
        <is>
          <t>No problems experienced = 1 | A few problems experienced = 2 | More than a few problems experienced = 3 | A great many problems experienced = 4</t>
        </is>
      </c>
    </row>
    <row r="33">
      <c r="A33" s="24" t="n">
        <v>2</v>
      </c>
      <c r="B33" s="24" t="inlineStr">
        <is>
          <t>Do you find yourself having problems concentrating on a task?</t>
        </is>
      </c>
      <c r="C33" s="24" t="inlineStr">
        <is>
          <t>Total</t>
        </is>
      </c>
      <c r="D33" s="24" t="inlineStr">
        <is>
          <t>FALSE</t>
        </is>
      </c>
      <c r="E33" s="24" t="inlineStr">
        <is>
          <t>FALSE</t>
        </is>
      </c>
      <c r="F33" s="24" t="n"/>
      <c r="G33" s="24" t="inlineStr">
        <is>
          <t>No problems experienced = 1 | A few problems experienced = 2 | More than a few problems experienced = 3 | A great many problems experienced = 4</t>
        </is>
      </c>
    </row>
    <row r="34">
      <c r="A34" s="24" t="n">
        <v>3</v>
      </c>
      <c r="B34" s="24" t="inlineStr">
        <is>
          <t>Do you have difficulty carrying out more than one task at a time?</t>
        </is>
      </c>
      <c r="C34" s="24" t="inlineStr">
        <is>
          <t>Total</t>
        </is>
      </c>
      <c r="D34" s="24" t="inlineStr">
        <is>
          <t>FALSE</t>
        </is>
      </c>
      <c r="E34" s="24" t="inlineStr">
        <is>
          <t>FALSE</t>
        </is>
      </c>
      <c r="F34" s="24" t="n"/>
      <c r="G34" s="24" t="inlineStr">
        <is>
          <t>No problems experienced = 1 | A few problems experienced = 2 | More than a few problems experienced = 3 | A great many problems experienced = 4</t>
        </is>
      </c>
    </row>
    <row r="35">
      <c r="A35" s="24" t="n">
        <v>4</v>
      </c>
      <c r="B35" s="24" t="inlineStr">
        <is>
          <t>Do you tend to "lose" your train of thoughts?</t>
        </is>
      </c>
      <c r="C35" s="24" t="inlineStr">
        <is>
          <t>Total</t>
        </is>
      </c>
      <c r="D35" s="24" t="inlineStr">
        <is>
          <t>FALSE</t>
        </is>
      </c>
      <c r="E35" s="24" t="inlineStr">
        <is>
          <t>FALSE</t>
        </is>
      </c>
      <c r="F35" s="24" t="n"/>
      <c r="G35" s="24" t="inlineStr">
        <is>
          <t>No problems experienced = 1 | A few problems experienced = 2 | More than a few problems experienced = 3 | A great many problems experienced = 4</t>
        </is>
      </c>
    </row>
    <row r="36">
      <c r="A36" s="24" t="n">
        <v>5</v>
      </c>
      <c r="B36" s="24" t="inlineStr">
        <is>
          <t>Do you have difficulty seeing through something that you have started?</t>
        </is>
      </c>
      <c r="C36" s="24" t="inlineStr">
        <is>
          <t>Total</t>
        </is>
      </c>
      <c r="D36" s="24" t="inlineStr">
        <is>
          <t>FALSE</t>
        </is>
      </c>
      <c r="E36" s="24" t="inlineStr">
        <is>
          <t>FALSE</t>
        </is>
      </c>
      <c r="F36" s="24" t="n"/>
      <c r="G36" s="24" t="inlineStr">
        <is>
          <t>No problems experienced = 1 | A few problems experienced = 2 | More than a few problems experienced = 3 | A great many problems experienced = 4</t>
        </is>
      </c>
    </row>
    <row r="37">
      <c r="A37" s="24" t="n">
        <v>6</v>
      </c>
      <c r="B37" s="24" t="inlineStr">
        <is>
          <t>Do you find yourself acting on "impulse"?</t>
        </is>
      </c>
      <c r="C37" s="24" t="inlineStr">
        <is>
          <t>Total</t>
        </is>
      </c>
      <c r="D37" s="24" t="inlineStr">
        <is>
          <t>FALSE</t>
        </is>
      </c>
      <c r="E37" s="24" t="inlineStr">
        <is>
          <t>FALSE</t>
        </is>
      </c>
      <c r="F37" s="24" t="n"/>
      <c r="G37" s="24" t="inlineStr">
        <is>
          <t>No problems experienced = 1 | A few problems experienced = 2 | More than a few problems experienced = 3 | A great many problems experienced = 4</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00"/>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Weiss Functional Impairment Rating Scale, Self Report</t>
        </is>
      </c>
    </row>
    <row r="3">
      <c r="A3" s="37" t="inlineStr">
        <is>
          <t>Instrument</t>
        </is>
      </c>
      <c r="B3" s="24" t="inlineStr">
        <is>
          <t>Weiss Functional Impairment Rating Scale, Self Report</t>
        </is>
      </c>
      <c r="C3" s="24" t="n"/>
      <c r="D3" s="24" t="n"/>
      <c r="E3" s="24" t="n"/>
      <c r="F3" s="24" t="n"/>
      <c r="G3" s="24" t="n"/>
    </row>
    <row r="4">
      <c r="A4" s="37" t="inlineStr">
        <is>
          <t>Code</t>
        </is>
      </c>
      <c r="B4" s="24" t="inlineStr">
        <is>
          <t>WFIRS-S</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Functional impairment attributable to emotional or behavioural problems (ADHD) across 7 life domains over the past month.</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69</v>
      </c>
      <c r="C10" s="24" t="n"/>
      <c r="D10" s="24" t="n"/>
      <c r="E10" s="24" t="n"/>
      <c r="F10" s="24" t="n"/>
      <c r="G10" s="24" t="n"/>
    </row>
    <row r="11">
      <c r="A11" s="37" t="inlineStr">
        <is>
          <t>Items reproduced here</t>
        </is>
      </c>
      <c r="B11" s="24" t="n">
        <v>69</v>
      </c>
      <c r="C11" s="24" t="n"/>
      <c r="D11" s="24" t="n"/>
      <c r="E11" s="24" t="n"/>
      <c r="F11" s="24" t="n"/>
      <c r="G11" s="24" t="n"/>
    </row>
    <row r="12">
      <c r="A12" s="37" t="inlineStr">
        <is>
          <t>Administration time</t>
        </is>
      </c>
      <c r="B12" s="24" t="inlineStr">
        <is>
          <t>10 minutes</t>
        </is>
      </c>
      <c r="C12" s="24" t="n"/>
      <c r="D12" s="24" t="n"/>
      <c r="E12" s="24" t="n"/>
      <c r="F12" s="24" t="n"/>
      <c r="G12" s="24" t="n"/>
    </row>
    <row r="13">
      <c r="A13" s="37" t="inlineStr">
        <is>
          <t>Cost and access</t>
        </is>
      </c>
      <c r="B13" s="24"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t>
        </is>
      </c>
      <c r="C13" s="24" t="n"/>
      <c r="D13" s="24" t="n"/>
      <c r="E13" s="24" t="n"/>
      <c r="F13" s="24" t="n"/>
      <c r="G13" s="24" t="n"/>
    </row>
    <row r="14">
      <c r="A14" s="37" t="inlineStr">
        <is>
          <t>Coaching application</t>
        </is>
      </c>
      <c r="B14" s="24" t="inlineStr">
        <is>
          <t>Impairment rather than symptom focused, so it shows where ADHD actually costs the client and tracks real life change across coaching.</t>
        </is>
      </c>
      <c r="C14" s="24" t="n"/>
      <c r="D14" s="24" t="n"/>
      <c r="E14" s="24" t="n"/>
      <c r="F14" s="24" t="n"/>
      <c r="G14" s="24" t="n"/>
    </row>
    <row r="15">
      <c r="A15" s="37" t="inlineStr">
        <is>
          <t>Purpose</t>
        </is>
      </c>
      <c r="B15" s="24" t="inlineStr">
        <is>
          <t>Functional impairment attributable to emotional or behavioural problems (ADHD) across 7 life domains over the past month.</t>
        </is>
      </c>
      <c r="C15" s="24" t="n"/>
      <c r="D15" s="24" t="n"/>
      <c r="E15" s="24" t="n"/>
      <c r="F15" s="24" t="n"/>
      <c r="G15" s="24" t="n"/>
    </row>
    <row r="16">
      <c r="A16" s="37" t="inlineStr">
        <is>
          <t>Instructions / prompt</t>
        </is>
      </c>
      <c r="B16" s="24" t="inlineStr">
        <is>
          <t>Circle the number for the rating that best describes how your emotional or behavioural problems have affected each item in the last month.</t>
        </is>
      </c>
      <c r="C16" s="24" t="n"/>
      <c r="D16" s="24" t="n"/>
      <c r="E16" s="24" t="n"/>
      <c r="F16" s="24" t="n"/>
      <c r="G16" s="24" t="n"/>
    </row>
    <row r="17">
      <c r="A17" s="37" t="inlineStr">
        <is>
          <t>Response options</t>
        </is>
      </c>
      <c r="B17" s="24" t="inlineStr">
        <is>
          <t>Never or not at all = 0 | Sometimes or somewhat = 1 | Often or much = 2 | Very often or very much = 3</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The form's scoring box records, for each domain and overall: Number of Items Scored '2' or '3'; Total Score; Mean Score (N/A items not included in calculation); and the number of answered questions the mean is calculated from. Higher scores indicate greater impairment. The form itself prints no cut offs. Weiss's scoring guidance, as summarised in the target record and the WFIRS literature, treats a domain mean of 1.5 or above, or 2 items scored 2 or 1 item scored 3 within a domain, as clinically significant impairment; this threshold is not printed on the UCC copy and should be verified against Weiss's published scoring instructions.</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Weiss, M. D. (2000). Weiss Functional Impairment Rating Scale – Self Report (WFIRS-S) [Measurement instrument]. University of British Columbia.</t>
        </is>
      </c>
      <c r="C25" s="24" t="n"/>
      <c r="D25" s="24" t="n"/>
      <c r="E25" s="24" t="n"/>
      <c r="F25" s="24" t="n"/>
      <c r="G25" s="24" t="n"/>
    </row>
    <row r="26">
      <c r="A26" s="37" t="inlineStr">
        <is>
          <t>Copyright and licensing</t>
        </is>
      </c>
      <c r="B26" s="24" t="inlineStr">
        <is>
          <t>This scale is copyrighted by Margaret Danielle Weiss, MD PhD. The scale can be used by clinicians and researchers free of charge and can be posted on the Internet or replicated as needed. Please contact Dr. Weiss at margaret.weiss@icloud.com if you wish to post the scale on the Internet, use it in research or plan to create a translation. Source: https://www.ucc.ie/en/media/support/studenthealthservice/docs/ADHD-WeissFunctionalImpairmentScale.pdf</t>
        </is>
      </c>
      <c r="C26" s="24" t="n"/>
      <c r="D26" s="24" t="n"/>
      <c r="E26" s="24" t="n"/>
      <c r="F26" s="24" t="n"/>
      <c r="G26" s="24" t="n"/>
    </row>
    <row r="27">
      <c r="A27" s="37" t="inlineStr">
        <is>
          <t>Source URL</t>
        </is>
      </c>
      <c r="B27" s="24" t="inlineStr">
        <is>
          <t>https://www.ucc.ie/en/media/support/studenthealthservice/docs/ADHD-WeissFunctionalImpairmentScale.pdf</t>
        </is>
      </c>
      <c r="C27" s="24" t="n"/>
      <c r="D27" s="24" t="n"/>
      <c r="E27" s="24" t="n"/>
      <c r="F27" s="24" t="n"/>
      <c r="G27" s="24" t="n"/>
    </row>
    <row r="28">
      <c r="A28" s="37" t="inlineStr">
        <is>
          <t>Transcription note</t>
        </is>
      </c>
      <c r="B28" s="24" t="inlineStr">
        <is>
          <t>All 69 items transcribed from the UCC Student Health Service PDF, title 'WEISS FUNCTIONAL IMPAIRMENT RATING SCALE – SELF REPORT (WFIRS-S)'. Items are numbered 1 to 69 sequentially here; the source numbers items within each lettered domain (A1 to G14) and the source label is given in each item note. The form prints the 4 response labels plus n/a but does not print the numbers 0 to 3; the 0 to 3 values are inferred from the scoring box, which refers to items scored '2' or '3'. Spelling follows the form (behavioural, neighbours). WebFetch returned the items in 3 domain batches; the instruction and copyright statement were returned in consecutive fragments and rejoined.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Having problems with family</t>
        </is>
      </c>
      <c r="C32" s="24" t="inlineStr">
        <is>
          <t>Family</t>
        </is>
      </c>
      <c r="D32" s="24" t="inlineStr">
        <is>
          <t>FALSE</t>
        </is>
      </c>
      <c r="E32" s="24" t="inlineStr">
        <is>
          <t>FALSE</t>
        </is>
      </c>
      <c r="F32" s="24" t="inlineStr">
        <is>
          <t>Source label A1</t>
        </is>
      </c>
      <c r="G32" s="24" t="inlineStr">
        <is>
          <t>Never or not at all = 0 | Sometimes or somewhat = 1 | Often or much = 2 | Very often or very much = 3</t>
        </is>
      </c>
    </row>
    <row r="33">
      <c r="A33" s="24" t="n">
        <v>2</v>
      </c>
      <c r="B33" s="24" t="inlineStr">
        <is>
          <t>Having problems with spouse/partner</t>
        </is>
      </c>
      <c r="C33" s="24" t="inlineStr">
        <is>
          <t>Family</t>
        </is>
      </c>
      <c r="D33" s="24" t="inlineStr">
        <is>
          <t>FALSE</t>
        </is>
      </c>
      <c r="E33" s="24" t="inlineStr">
        <is>
          <t>FALSE</t>
        </is>
      </c>
      <c r="F33" s="24" t="inlineStr">
        <is>
          <t>Source label A2</t>
        </is>
      </c>
      <c r="G33" s="24" t="inlineStr">
        <is>
          <t>Never or not at all = 0 | Sometimes or somewhat = 1 | Often or much = 2 | Very often or very much = 3</t>
        </is>
      </c>
    </row>
    <row r="34">
      <c r="A34" s="24" t="n">
        <v>3</v>
      </c>
      <c r="B34" s="24" t="inlineStr">
        <is>
          <t>Relying on others to do things for you</t>
        </is>
      </c>
      <c r="C34" s="24" t="inlineStr">
        <is>
          <t>Family</t>
        </is>
      </c>
      <c r="D34" s="24" t="inlineStr">
        <is>
          <t>FALSE</t>
        </is>
      </c>
      <c r="E34" s="24" t="inlineStr">
        <is>
          <t>FALSE</t>
        </is>
      </c>
      <c r="F34" s="24" t="inlineStr">
        <is>
          <t>Source label A3</t>
        </is>
      </c>
      <c r="G34" s="24" t="inlineStr">
        <is>
          <t>Never or not at all = 0 | Sometimes or somewhat = 1 | Often or much = 2 | Very often or very much = 3</t>
        </is>
      </c>
    </row>
    <row r="35">
      <c r="A35" s="24" t="n">
        <v>4</v>
      </c>
      <c r="B35" s="24" t="inlineStr">
        <is>
          <t>Causing fighting in the family</t>
        </is>
      </c>
      <c r="C35" s="24" t="inlineStr">
        <is>
          <t>Family</t>
        </is>
      </c>
      <c r="D35" s="24" t="inlineStr">
        <is>
          <t>FALSE</t>
        </is>
      </c>
      <c r="E35" s="24" t="inlineStr">
        <is>
          <t>FALSE</t>
        </is>
      </c>
      <c r="F35" s="24" t="inlineStr">
        <is>
          <t>Source label A4</t>
        </is>
      </c>
      <c r="G35" s="24" t="inlineStr">
        <is>
          <t>Never or not at all = 0 | Sometimes or somewhat = 1 | Often or much = 2 | Very often or very much = 3</t>
        </is>
      </c>
    </row>
    <row r="36">
      <c r="A36" s="24" t="n">
        <v>5</v>
      </c>
      <c r="B36" s="24" t="inlineStr">
        <is>
          <t>Makes it hard for the family to have fun together</t>
        </is>
      </c>
      <c r="C36" s="24" t="inlineStr">
        <is>
          <t>Family</t>
        </is>
      </c>
      <c r="D36" s="24" t="inlineStr">
        <is>
          <t>FALSE</t>
        </is>
      </c>
      <c r="E36" s="24" t="inlineStr">
        <is>
          <t>FALSE</t>
        </is>
      </c>
      <c r="F36" s="24" t="inlineStr">
        <is>
          <t>Source label A5</t>
        </is>
      </c>
      <c r="G36" s="24" t="inlineStr">
        <is>
          <t>Never or not at all = 0 | Sometimes or somewhat = 1 | Often or much = 2 | Very often or very much = 3</t>
        </is>
      </c>
    </row>
    <row r="37">
      <c r="A37" s="24" t="n">
        <v>6</v>
      </c>
      <c r="B37" s="24" t="inlineStr">
        <is>
          <t>Problems taking care of your family</t>
        </is>
      </c>
      <c r="C37" s="24" t="inlineStr">
        <is>
          <t>Family</t>
        </is>
      </c>
      <c r="D37" s="24" t="inlineStr">
        <is>
          <t>FALSE</t>
        </is>
      </c>
      <c r="E37" s="24" t="inlineStr">
        <is>
          <t>FALSE</t>
        </is>
      </c>
      <c r="F37" s="24" t="inlineStr">
        <is>
          <t>Source label A6</t>
        </is>
      </c>
      <c r="G37" s="24" t="inlineStr">
        <is>
          <t>Never or not at all = 0 | Sometimes or somewhat = 1 | Often or much = 2 | Very often or very much = 3</t>
        </is>
      </c>
    </row>
    <row r="38">
      <c r="A38" s="24" t="n">
        <v>7</v>
      </c>
      <c r="B38" s="24" t="inlineStr">
        <is>
          <t>Problems balancing your needs against those of your family</t>
        </is>
      </c>
      <c r="C38" s="24" t="inlineStr">
        <is>
          <t>Family</t>
        </is>
      </c>
      <c r="D38" s="24" t="inlineStr">
        <is>
          <t>FALSE</t>
        </is>
      </c>
      <c r="E38" s="24" t="inlineStr">
        <is>
          <t>FALSE</t>
        </is>
      </c>
      <c r="F38" s="24" t="inlineStr">
        <is>
          <t>Source label A7</t>
        </is>
      </c>
      <c r="G38" s="24" t="inlineStr">
        <is>
          <t>Never or not at all = 0 | Sometimes or somewhat = 1 | Often or much = 2 | Very often or very much = 3</t>
        </is>
      </c>
    </row>
    <row r="39">
      <c r="A39" s="24" t="n">
        <v>8</v>
      </c>
      <c r="B39" s="24" t="inlineStr">
        <is>
          <t>Problems losing control with family</t>
        </is>
      </c>
      <c r="C39" s="24" t="inlineStr">
        <is>
          <t>Family</t>
        </is>
      </c>
      <c r="D39" s="24" t="inlineStr">
        <is>
          <t>FALSE</t>
        </is>
      </c>
      <c r="E39" s="24" t="inlineStr">
        <is>
          <t>FALSE</t>
        </is>
      </c>
      <c r="F39" s="24" t="inlineStr">
        <is>
          <t>Source label A8</t>
        </is>
      </c>
      <c r="G39" s="24" t="inlineStr">
        <is>
          <t>Never or not at all = 0 | Sometimes or somewhat = 1 | Often or much = 2 | Very often or very much = 3</t>
        </is>
      </c>
    </row>
    <row r="40">
      <c r="A40" s="24" t="n">
        <v>9</v>
      </c>
      <c r="B40" s="24" t="inlineStr">
        <is>
          <t>Problems performing required duties</t>
        </is>
      </c>
      <c r="C40" s="24" t="inlineStr">
        <is>
          <t>Work</t>
        </is>
      </c>
      <c r="D40" s="24" t="inlineStr">
        <is>
          <t>FALSE</t>
        </is>
      </c>
      <c r="E40" s="24" t="inlineStr">
        <is>
          <t>FALSE</t>
        </is>
      </c>
      <c r="F40" s="24" t="inlineStr">
        <is>
          <t>Source label B1</t>
        </is>
      </c>
      <c r="G40" s="24" t="inlineStr">
        <is>
          <t>Never or not at all = 0 | Sometimes or somewhat = 1 | Often or much = 2 | Very often or very much = 3</t>
        </is>
      </c>
    </row>
    <row r="41">
      <c r="A41" s="24" t="n">
        <v>10</v>
      </c>
      <c r="B41" s="24" t="inlineStr">
        <is>
          <t>Problems with getting your work done efficiently</t>
        </is>
      </c>
      <c r="C41" s="24" t="inlineStr">
        <is>
          <t>Work</t>
        </is>
      </c>
      <c r="D41" s="24" t="inlineStr">
        <is>
          <t>FALSE</t>
        </is>
      </c>
      <c r="E41" s="24" t="inlineStr">
        <is>
          <t>FALSE</t>
        </is>
      </c>
      <c r="F41" s="24" t="inlineStr">
        <is>
          <t>Source label B2</t>
        </is>
      </c>
      <c r="G41" s="24" t="inlineStr">
        <is>
          <t>Never or not at all = 0 | Sometimes or somewhat = 1 | Often or much = 2 | Very often or very much = 3</t>
        </is>
      </c>
    </row>
    <row r="42">
      <c r="A42" s="24" t="n">
        <v>11</v>
      </c>
      <c r="B42" s="24" t="inlineStr">
        <is>
          <t>Problems with your supervisor</t>
        </is>
      </c>
      <c r="C42" s="24" t="inlineStr">
        <is>
          <t>Work</t>
        </is>
      </c>
      <c r="D42" s="24" t="inlineStr">
        <is>
          <t>FALSE</t>
        </is>
      </c>
      <c r="E42" s="24" t="inlineStr">
        <is>
          <t>FALSE</t>
        </is>
      </c>
      <c r="F42" s="24" t="inlineStr">
        <is>
          <t>Source label B3</t>
        </is>
      </c>
      <c r="G42" s="24" t="inlineStr">
        <is>
          <t>Never or not at all = 0 | Sometimes or somewhat = 1 | Often or much = 2 | Very often or very much = 3</t>
        </is>
      </c>
    </row>
    <row r="43">
      <c r="A43" s="24" t="n">
        <v>12</v>
      </c>
      <c r="B43" s="24" t="inlineStr">
        <is>
          <t>Problems keeping a job</t>
        </is>
      </c>
      <c r="C43" s="24" t="inlineStr">
        <is>
          <t>Work</t>
        </is>
      </c>
      <c r="D43" s="24" t="inlineStr">
        <is>
          <t>FALSE</t>
        </is>
      </c>
      <c r="E43" s="24" t="inlineStr">
        <is>
          <t>FALSE</t>
        </is>
      </c>
      <c r="F43" s="24" t="inlineStr">
        <is>
          <t>Source label B4</t>
        </is>
      </c>
      <c r="G43" s="24" t="inlineStr">
        <is>
          <t>Never or not at all = 0 | Sometimes or somewhat = 1 | Often or much = 2 | Very often or very much = 3</t>
        </is>
      </c>
    </row>
    <row r="44">
      <c r="A44" s="24" t="n">
        <v>13</v>
      </c>
      <c r="B44" s="24" t="inlineStr">
        <is>
          <t>Getting fired from work</t>
        </is>
      </c>
      <c r="C44" s="24" t="inlineStr">
        <is>
          <t>Work</t>
        </is>
      </c>
      <c r="D44" s="24" t="inlineStr">
        <is>
          <t>FALSE</t>
        </is>
      </c>
      <c r="E44" s="24" t="inlineStr">
        <is>
          <t>FALSE</t>
        </is>
      </c>
      <c r="F44" s="24" t="inlineStr">
        <is>
          <t>Source label B5</t>
        </is>
      </c>
      <c r="G44" s="24" t="inlineStr">
        <is>
          <t>Never or not at all = 0 | Sometimes or somewhat = 1 | Often or much = 2 | Very often or very much = 3</t>
        </is>
      </c>
    </row>
    <row r="45">
      <c r="A45" s="24" t="n">
        <v>14</v>
      </c>
      <c r="B45" s="24" t="inlineStr">
        <is>
          <t>Problems working in a team</t>
        </is>
      </c>
      <c r="C45" s="24" t="inlineStr">
        <is>
          <t>Work</t>
        </is>
      </c>
      <c r="D45" s="24" t="inlineStr">
        <is>
          <t>FALSE</t>
        </is>
      </c>
      <c r="E45" s="24" t="inlineStr">
        <is>
          <t>FALSE</t>
        </is>
      </c>
      <c r="F45" s="24" t="inlineStr">
        <is>
          <t>Source label B6</t>
        </is>
      </c>
      <c r="G45" s="24" t="inlineStr">
        <is>
          <t>Never or not at all = 0 | Sometimes or somewhat = 1 | Often or much = 2 | Very often or very much = 3</t>
        </is>
      </c>
    </row>
    <row r="46">
      <c r="A46" s="24" t="n">
        <v>15</v>
      </c>
      <c r="B46" s="24" t="inlineStr">
        <is>
          <t>Problems with your attendance</t>
        </is>
      </c>
      <c r="C46" s="24" t="inlineStr">
        <is>
          <t>Work</t>
        </is>
      </c>
      <c r="D46" s="24" t="inlineStr">
        <is>
          <t>FALSE</t>
        </is>
      </c>
      <c r="E46" s="24" t="inlineStr">
        <is>
          <t>FALSE</t>
        </is>
      </c>
      <c r="F46" s="24" t="inlineStr">
        <is>
          <t>Source label B7</t>
        </is>
      </c>
      <c r="G46" s="24" t="inlineStr">
        <is>
          <t>Never or not at all = 0 | Sometimes or somewhat = 1 | Often or much = 2 | Very often or very much = 3</t>
        </is>
      </c>
    </row>
    <row r="47">
      <c r="A47" s="24" t="n">
        <v>16</v>
      </c>
      <c r="B47" s="24" t="inlineStr">
        <is>
          <t>Problems with being late</t>
        </is>
      </c>
      <c r="C47" s="24" t="inlineStr">
        <is>
          <t>Work</t>
        </is>
      </c>
      <c r="D47" s="24" t="inlineStr">
        <is>
          <t>FALSE</t>
        </is>
      </c>
      <c r="E47" s="24" t="inlineStr">
        <is>
          <t>FALSE</t>
        </is>
      </c>
      <c r="F47" s="24" t="inlineStr">
        <is>
          <t>Source label B8</t>
        </is>
      </c>
      <c r="G47" s="24" t="inlineStr">
        <is>
          <t>Never or not at all = 0 | Sometimes or somewhat = 1 | Often or much = 2 | Very often or very much = 3</t>
        </is>
      </c>
    </row>
    <row r="48">
      <c r="A48" s="24" t="n">
        <v>17</v>
      </c>
      <c r="B48" s="24" t="inlineStr">
        <is>
          <t>Problems taking on new tasks</t>
        </is>
      </c>
      <c r="C48" s="24" t="inlineStr">
        <is>
          <t>Work</t>
        </is>
      </c>
      <c r="D48" s="24" t="inlineStr">
        <is>
          <t>FALSE</t>
        </is>
      </c>
      <c r="E48" s="24" t="inlineStr">
        <is>
          <t>FALSE</t>
        </is>
      </c>
      <c r="F48" s="24" t="inlineStr">
        <is>
          <t>Source label B9</t>
        </is>
      </c>
      <c r="G48" s="24" t="inlineStr">
        <is>
          <t>Never or not at all = 0 | Sometimes or somewhat = 1 | Often or much = 2 | Very often or very much = 3</t>
        </is>
      </c>
    </row>
    <row r="49">
      <c r="A49" s="24" t="n">
        <v>18</v>
      </c>
      <c r="B49" s="24" t="inlineStr">
        <is>
          <t>Problems working to your potential</t>
        </is>
      </c>
      <c r="C49" s="24" t="inlineStr">
        <is>
          <t>Work</t>
        </is>
      </c>
      <c r="D49" s="24" t="inlineStr">
        <is>
          <t>FALSE</t>
        </is>
      </c>
      <c r="E49" s="24" t="inlineStr">
        <is>
          <t>FALSE</t>
        </is>
      </c>
      <c r="F49" s="24" t="inlineStr">
        <is>
          <t>Source label B10</t>
        </is>
      </c>
      <c r="G49" s="24" t="inlineStr">
        <is>
          <t>Never or not at all = 0 | Sometimes or somewhat = 1 | Often or much = 2 | Very often or very much = 3</t>
        </is>
      </c>
    </row>
    <row r="50">
      <c r="A50" s="24" t="n">
        <v>19</v>
      </c>
      <c r="B50" s="24" t="inlineStr">
        <is>
          <t>Poor performance evaluations</t>
        </is>
      </c>
      <c r="C50" s="24" t="inlineStr">
        <is>
          <t>Work</t>
        </is>
      </c>
      <c r="D50" s="24" t="inlineStr">
        <is>
          <t>FALSE</t>
        </is>
      </c>
      <c r="E50" s="24" t="inlineStr">
        <is>
          <t>FALSE</t>
        </is>
      </c>
      <c r="F50" s="24" t="inlineStr">
        <is>
          <t>Source label B11</t>
        </is>
      </c>
      <c r="G50" s="24" t="inlineStr">
        <is>
          <t>Never or not at all = 0 | Sometimes or somewhat = 1 | Often or much = 2 | Very often or very much = 3</t>
        </is>
      </c>
    </row>
    <row r="51">
      <c r="A51" s="24" t="n">
        <v>20</v>
      </c>
      <c r="B51" s="24" t="inlineStr">
        <is>
          <t>Problems taking notes</t>
        </is>
      </c>
      <c r="C51" s="24" t="inlineStr">
        <is>
          <t>School</t>
        </is>
      </c>
      <c r="D51" s="24" t="inlineStr">
        <is>
          <t>FALSE</t>
        </is>
      </c>
      <c r="E51" s="24" t="inlineStr">
        <is>
          <t>FALSE</t>
        </is>
      </c>
      <c r="F51" s="24" t="inlineStr">
        <is>
          <t>Source label C1</t>
        </is>
      </c>
      <c r="G51" s="24" t="inlineStr">
        <is>
          <t>Never or not at all = 0 | Sometimes or somewhat = 1 | Often or much = 2 | Very often or very much = 3</t>
        </is>
      </c>
    </row>
    <row r="52">
      <c r="A52" s="24" t="n">
        <v>21</v>
      </c>
      <c r="B52" s="24" t="inlineStr">
        <is>
          <t>Problems completing assignments</t>
        </is>
      </c>
      <c r="C52" s="24" t="inlineStr">
        <is>
          <t>School</t>
        </is>
      </c>
      <c r="D52" s="24" t="inlineStr">
        <is>
          <t>FALSE</t>
        </is>
      </c>
      <c r="E52" s="24" t="inlineStr">
        <is>
          <t>FALSE</t>
        </is>
      </c>
      <c r="F52" s="24" t="inlineStr">
        <is>
          <t>Source label C2</t>
        </is>
      </c>
      <c r="G52" s="24" t="inlineStr">
        <is>
          <t>Never or not at all = 0 | Sometimes or somewhat = 1 | Often or much = 2 | Very often or very much = 3</t>
        </is>
      </c>
    </row>
    <row r="53">
      <c r="A53" s="24" t="n">
        <v>22</v>
      </c>
      <c r="B53" s="24" t="inlineStr">
        <is>
          <t>Problems getting your work done efficiently</t>
        </is>
      </c>
      <c r="C53" s="24" t="inlineStr">
        <is>
          <t>School</t>
        </is>
      </c>
      <c r="D53" s="24" t="inlineStr">
        <is>
          <t>FALSE</t>
        </is>
      </c>
      <c r="E53" s="24" t="inlineStr">
        <is>
          <t>FALSE</t>
        </is>
      </c>
      <c r="F53" s="24" t="inlineStr">
        <is>
          <t>Source label C3</t>
        </is>
      </c>
      <c r="G53" s="24" t="inlineStr">
        <is>
          <t>Never or not at all = 0 | Sometimes or somewhat = 1 | Often or much = 2 | Very often or very much = 3</t>
        </is>
      </c>
    </row>
    <row r="54">
      <c r="A54" s="24" t="n">
        <v>23</v>
      </c>
      <c r="B54" s="24" t="inlineStr">
        <is>
          <t>Problems with teachers</t>
        </is>
      </c>
      <c r="C54" s="24" t="inlineStr">
        <is>
          <t>School</t>
        </is>
      </c>
      <c r="D54" s="24" t="inlineStr">
        <is>
          <t>FALSE</t>
        </is>
      </c>
      <c r="E54" s="24" t="inlineStr">
        <is>
          <t>FALSE</t>
        </is>
      </c>
      <c r="F54" s="24" t="inlineStr">
        <is>
          <t>Source label C4</t>
        </is>
      </c>
      <c r="G54" s="24" t="inlineStr">
        <is>
          <t>Never or not at all = 0 | Sometimes or somewhat = 1 | Often or much = 2 | Very often or very much = 3</t>
        </is>
      </c>
    </row>
    <row r="55">
      <c r="A55" s="24" t="n">
        <v>24</v>
      </c>
      <c r="B55" s="24" t="inlineStr">
        <is>
          <t>Problems with school administrators</t>
        </is>
      </c>
      <c r="C55" s="24" t="inlineStr">
        <is>
          <t>School</t>
        </is>
      </c>
      <c r="D55" s="24" t="inlineStr">
        <is>
          <t>FALSE</t>
        </is>
      </c>
      <c r="E55" s="24" t="inlineStr">
        <is>
          <t>FALSE</t>
        </is>
      </c>
      <c r="F55" s="24" t="inlineStr">
        <is>
          <t>Source label C5</t>
        </is>
      </c>
      <c r="G55" s="24" t="inlineStr">
        <is>
          <t>Never or not at all = 0 | Sometimes or somewhat = 1 | Often or much = 2 | Very often or very much = 3</t>
        </is>
      </c>
    </row>
    <row r="56">
      <c r="A56" s="24" t="n">
        <v>25</v>
      </c>
      <c r="B56" s="24" t="inlineStr">
        <is>
          <t>Problems meeting minimum requirements to stay in school</t>
        </is>
      </c>
      <c r="C56" s="24" t="inlineStr">
        <is>
          <t>School</t>
        </is>
      </c>
      <c r="D56" s="24" t="inlineStr">
        <is>
          <t>FALSE</t>
        </is>
      </c>
      <c r="E56" s="24" t="inlineStr">
        <is>
          <t>FALSE</t>
        </is>
      </c>
      <c r="F56" s="24" t="inlineStr">
        <is>
          <t>Source label C6</t>
        </is>
      </c>
      <c r="G56" s="24" t="inlineStr">
        <is>
          <t>Never or not at all = 0 | Sometimes or somewhat = 1 | Often or much = 2 | Very often or very much = 3</t>
        </is>
      </c>
    </row>
    <row r="57">
      <c r="A57" s="24" t="n">
        <v>26</v>
      </c>
      <c r="B57" s="24" t="inlineStr">
        <is>
          <t>Problems with attendance</t>
        </is>
      </c>
      <c r="C57" s="24" t="inlineStr">
        <is>
          <t>School</t>
        </is>
      </c>
      <c r="D57" s="24" t="inlineStr">
        <is>
          <t>FALSE</t>
        </is>
      </c>
      <c r="E57" s="24" t="inlineStr">
        <is>
          <t>FALSE</t>
        </is>
      </c>
      <c r="F57" s="24" t="inlineStr">
        <is>
          <t>Source label C7</t>
        </is>
      </c>
      <c r="G57" s="24" t="inlineStr">
        <is>
          <t>Never or not at all = 0 | Sometimes or somewhat = 1 | Often or much = 2 | Very often or very much = 3</t>
        </is>
      </c>
    </row>
    <row r="58">
      <c r="A58" s="24" t="n">
        <v>27</v>
      </c>
      <c r="B58" s="24" t="inlineStr">
        <is>
          <t>Problems with being late</t>
        </is>
      </c>
      <c r="C58" s="24" t="inlineStr">
        <is>
          <t>School</t>
        </is>
      </c>
      <c r="D58" s="24" t="inlineStr">
        <is>
          <t>FALSE</t>
        </is>
      </c>
      <c r="E58" s="24" t="inlineStr">
        <is>
          <t>FALSE</t>
        </is>
      </c>
      <c r="F58" s="24" t="inlineStr">
        <is>
          <t>Source label C8</t>
        </is>
      </c>
      <c r="G58" s="24" t="inlineStr">
        <is>
          <t>Never or not at all = 0 | Sometimes or somewhat = 1 | Often or much = 2 | Very often or very much = 3</t>
        </is>
      </c>
    </row>
    <row r="59">
      <c r="A59" s="24" t="n">
        <v>28</v>
      </c>
      <c r="B59" s="24" t="inlineStr">
        <is>
          <t>Problems with working to your potential</t>
        </is>
      </c>
      <c r="C59" s="24" t="inlineStr">
        <is>
          <t>School</t>
        </is>
      </c>
      <c r="D59" s="24" t="inlineStr">
        <is>
          <t>FALSE</t>
        </is>
      </c>
      <c r="E59" s="24" t="inlineStr">
        <is>
          <t>FALSE</t>
        </is>
      </c>
      <c r="F59" s="24" t="inlineStr">
        <is>
          <t>Source label C9</t>
        </is>
      </c>
      <c r="G59" s="24" t="inlineStr">
        <is>
          <t>Never or not at all = 0 | Sometimes or somewhat = 1 | Often or much = 2 | Very often or very much = 3</t>
        </is>
      </c>
    </row>
    <row r="60">
      <c r="A60" s="24" t="n">
        <v>29</v>
      </c>
      <c r="B60" s="24" t="inlineStr">
        <is>
          <t>Problems with inconsistent grades</t>
        </is>
      </c>
      <c r="C60" s="24" t="inlineStr">
        <is>
          <t>School</t>
        </is>
      </c>
      <c r="D60" s="24" t="inlineStr">
        <is>
          <t>FALSE</t>
        </is>
      </c>
      <c r="E60" s="24" t="inlineStr">
        <is>
          <t>FALSE</t>
        </is>
      </c>
      <c r="F60" s="24" t="inlineStr">
        <is>
          <t>Source label C10</t>
        </is>
      </c>
      <c r="G60" s="24" t="inlineStr">
        <is>
          <t>Never or not at all = 0 | Sometimes or somewhat = 1 | Often or much = 2 | Very often or very much = 3</t>
        </is>
      </c>
    </row>
    <row r="61">
      <c r="A61" s="24" t="n">
        <v>30</v>
      </c>
      <c r="B61" s="24" t="inlineStr">
        <is>
          <t>Excessive or inappropriate use of internet, video games or TV</t>
        </is>
      </c>
      <c r="C61" s="24" t="inlineStr">
        <is>
          <t>Life Skills</t>
        </is>
      </c>
      <c r="D61" s="24" t="inlineStr">
        <is>
          <t>FALSE</t>
        </is>
      </c>
      <c r="E61" s="24" t="inlineStr">
        <is>
          <t>FALSE</t>
        </is>
      </c>
      <c r="F61" s="24" t="inlineStr">
        <is>
          <t>Source label D1</t>
        </is>
      </c>
      <c r="G61" s="24" t="inlineStr">
        <is>
          <t>Never or not at all = 0 | Sometimes or somewhat = 1 | Often or much = 2 | Very often or very much = 3</t>
        </is>
      </c>
    </row>
    <row r="62">
      <c r="A62" s="24" t="n">
        <v>31</v>
      </c>
      <c r="B62" s="24" t="inlineStr">
        <is>
          <t>Problems keeping an acceptable appearance</t>
        </is>
      </c>
      <c r="C62" s="24" t="inlineStr">
        <is>
          <t>Life Skills</t>
        </is>
      </c>
      <c r="D62" s="24" t="inlineStr">
        <is>
          <t>FALSE</t>
        </is>
      </c>
      <c r="E62" s="24" t="inlineStr">
        <is>
          <t>FALSE</t>
        </is>
      </c>
      <c r="F62" s="24" t="inlineStr">
        <is>
          <t>Source label D2</t>
        </is>
      </c>
      <c r="G62" s="24" t="inlineStr">
        <is>
          <t>Never or not at all = 0 | Sometimes or somewhat = 1 | Often or much = 2 | Very often or very much = 3</t>
        </is>
      </c>
    </row>
    <row r="63">
      <c r="A63" s="24" t="n">
        <v>32</v>
      </c>
      <c r="B63" s="24" t="inlineStr">
        <is>
          <t>Problems getting ready to leave the house</t>
        </is>
      </c>
      <c r="C63" s="24" t="inlineStr">
        <is>
          <t>Life Skills</t>
        </is>
      </c>
      <c r="D63" s="24" t="inlineStr">
        <is>
          <t>FALSE</t>
        </is>
      </c>
      <c r="E63" s="24" t="inlineStr">
        <is>
          <t>FALSE</t>
        </is>
      </c>
      <c r="F63" s="24" t="inlineStr">
        <is>
          <t>Source label D3</t>
        </is>
      </c>
      <c r="G63" s="24" t="inlineStr">
        <is>
          <t>Never or not at all = 0 | Sometimes or somewhat = 1 | Often or much = 2 | Very often or very much = 3</t>
        </is>
      </c>
    </row>
    <row r="64">
      <c r="A64" s="24" t="n">
        <v>33</v>
      </c>
      <c r="B64" s="24" t="inlineStr">
        <is>
          <t>Problems getting to bed</t>
        </is>
      </c>
      <c r="C64" s="24" t="inlineStr">
        <is>
          <t>Life Skills</t>
        </is>
      </c>
      <c r="D64" s="24" t="inlineStr">
        <is>
          <t>FALSE</t>
        </is>
      </c>
      <c r="E64" s="24" t="inlineStr">
        <is>
          <t>FALSE</t>
        </is>
      </c>
      <c r="F64" s="24" t="inlineStr">
        <is>
          <t>Source label D4</t>
        </is>
      </c>
      <c r="G64" s="24" t="inlineStr">
        <is>
          <t>Never or not at all = 0 | Sometimes or somewhat = 1 | Often or much = 2 | Very often or very much = 3</t>
        </is>
      </c>
    </row>
    <row r="65">
      <c r="A65" s="24" t="n">
        <v>34</v>
      </c>
      <c r="B65" s="24" t="inlineStr">
        <is>
          <t>Problems with nutrition</t>
        </is>
      </c>
      <c r="C65" s="24" t="inlineStr">
        <is>
          <t>Life Skills</t>
        </is>
      </c>
      <c r="D65" s="24" t="inlineStr">
        <is>
          <t>FALSE</t>
        </is>
      </c>
      <c r="E65" s="24" t="inlineStr">
        <is>
          <t>FALSE</t>
        </is>
      </c>
      <c r="F65" s="24" t="inlineStr">
        <is>
          <t>Source label D5</t>
        </is>
      </c>
      <c r="G65" s="24" t="inlineStr">
        <is>
          <t>Never or not at all = 0 | Sometimes or somewhat = 1 | Often or much = 2 | Very often or very much = 3</t>
        </is>
      </c>
    </row>
    <row r="66">
      <c r="A66" s="24" t="n">
        <v>35</v>
      </c>
      <c r="B66" s="24" t="inlineStr">
        <is>
          <t>Problems with sex</t>
        </is>
      </c>
      <c r="C66" s="24" t="inlineStr">
        <is>
          <t>Life Skills</t>
        </is>
      </c>
      <c r="D66" s="24" t="inlineStr">
        <is>
          <t>FALSE</t>
        </is>
      </c>
      <c r="E66" s="24" t="inlineStr">
        <is>
          <t>FALSE</t>
        </is>
      </c>
      <c r="F66" s="24" t="inlineStr">
        <is>
          <t>Source label D6</t>
        </is>
      </c>
      <c r="G66" s="24" t="inlineStr">
        <is>
          <t>Never or not at all = 0 | Sometimes or somewhat = 1 | Often or much = 2 | Very often or very much = 3</t>
        </is>
      </c>
    </row>
    <row r="67">
      <c r="A67" s="24" t="n">
        <v>36</v>
      </c>
      <c r="B67" s="24" t="inlineStr">
        <is>
          <t>Problems with sleeping</t>
        </is>
      </c>
      <c r="C67" s="24" t="inlineStr">
        <is>
          <t>Life Skills</t>
        </is>
      </c>
      <c r="D67" s="24" t="inlineStr">
        <is>
          <t>FALSE</t>
        </is>
      </c>
      <c r="E67" s="24" t="inlineStr">
        <is>
          <t>FALSE</t>
        </is>
      </c>
      <c r="F67" s="24" t="inlineStr">
        <is>
          <t>Source label D7</t>
        </is>
      </c>
      <c r="G67" s="24" t="inlineStr">
        <is>
          <t>Never or not at all = 0 | Sometimes or somewhat = 1 | Often or much = 2 | Very often or very much = 3</t>
        </is>
      </c>
    </row>
    <row r="68">
      <c r="A68" s="24" t="n">
        <v>37</v>
      </c>
      <c r="B68" s="24" t="inlineStr">
        <is>
          <t>Getting hurt or injured</t>
        </is>
      </c>
      <c r="C68" s="24" t="inlineStr">
        <is>
          <t>Life Skills</t>
        </is>
      </c>
      <c r="D68" s="24" t="inlineStr">
        <is>
          <t>FALSE</t>
        </is>
      </c>
      <c r="E68" s="24" t="inlineStr">
        <is>
          <t>FALSE</t>
        </is>
      </c>
      <c r="F68" s="24" t="inlineStr">
        <is>
          <t>Source label D8</t>
        </is>
      </c>
      <c r="G68" s="24" t="inlineStr">
        <is>
          <t>Never or not at all = 0 | Sometimes or somewhat = 1 | Often or much = 2 | Very often or very much = 3</t>
        </is>
      </c>
    </row>
    <row r="69">
      <c r="A69" s="24" t="n">
        <v>38</v>
      </c>
      <c r="B69" s="24" t="inlineStr">
        <is>
          <t>Avoiding exercise</t>
        </is>
      </c>
      <c r="C69" s="24" t="inlineStr">
        <is>
          <t>Life Skills</t>
        </is>
      </c>
      <c r="D69" s="24" t="inlineStr">
        <is>
          <t>FALSE</t>
        </is>
      </c>
      <c r="E69" s="24" t="inlineStr">
        <is>
          <t>FALSE</t>
        </is>
      </c>
      <c r="F69" s="24" t="inlineStr">
        <is>
          <t>Source label D9</t>
        </is>
      </c>
      <c r="G69" s="24" t="inlineStr">
        <is>
          <t>Never or not at all = 0 | Sometimes or somewhat = 1 | Often or much = 2 | Very often or very much = 3</t>
        </is>
      </c>
    </row>
    <row r="70">
      <c r="A70" s="24" t="n">
        <v>39</v>
      </c>
      <c r="B70" s="24" t="inlineStr">
        <is>
          <t>Problems keeping regular appointments with doctor/dentist</t>
        </is>
      </c>
      <c r="C70" s="24" t="inlineStr">
        <is>
          <t>Life Skills</t>
        </is>
      </c>
      <c r="D70" s="24" t="inlineStr">
        <is>
          <t>FALSE</t>
        </is>
      </c>
      <c r="E70" s="24" t="inlineStr">
        <is>
          <t>FALSE</t>
        </is>
      </c>
      <c r="F70" s="24" t="inlineStr">
        <is>
          <t>Source label D10</t>
        </is>
      </c>
      <c r="G70" s="24" t="inlineStr">
        <is>
          <t>Never or not at all = 0 | Sometimes or somewhat = 1 | Often or much = 2 | Very often or very much = 3</t>
        </is>
      </c>
    </row>
    <row r="71">
      <c r="A71" s="24" t="n">
        <v>40</v>
      </c>
      <c r="B71" s="24" t="inlineStr">
        <is>
          <t>Problems keeping up with household chores</t>
        </is>
      </c>
      <c r="C71" s="24" t="inlineStr">
        <is>
          <t>Life Skills</t>
        </is>
      </c>
      <c r="D71" s="24" t="inlineStr">
        <is>
          <t>FALSE</t>
        </is>
      </c>
      <c r="E71" s="24" t="inlineStr">
        <is>
          <t>FALSE</t>
        </is>
      </c>
      <c r="F71" s="24" t="inlineStr">
        <is>
          <t>Source label D11</t>
        </is>
      </c>
      <c r="G71" s="24" t="inlineStr">
        <is>
          <t>Never or not at all = 0 | Sometimes or somewhat = 1 | Often or much = 2 | Very often or very much = 3</t>
        </is>
      </c>
    </row>
    <row r="72">
      <c r="A72" s="24" t="n">
        <v>41</v>
      </c>
      <c r="B72" s="24" t="inlineStr">
        <is>
          <t>Problems managing money</t>
        </is>
      </c>
      <c r="C72" s="24" t="inlineStr">
        <is>
          <t>Life Skills</t>
        </is>
      </c>
      <c r="D72" s="24" t="inlineStr">
        <is>
          <t>FALSE</t>
        </is>
      </c>
      <c r="E72" s="24" t="inlineStr">
        <is>
          <t>FALSE</t>
        </is>
      </c>
      <c r="F72" s="24" t="inlineStr">
        <is>
          <t>Source label D12</t>
        </is>
      </c>
      <c r="G72" s="24" t="inlineStr">
        <is>
          <t>Never or not at all = 0 | Sometimes or somewhat = 1 | Often or much = 2 | Very often or very much = 3</t>
        </is>
      </c>
    </row>
    <row r="73">
      <c r="A73" s="24" t="n">
        <v>42</v>
      </c>
      <c r="B73" s="24" t="inlineStr">
        <is>
          <t>Feeling bad about yourself</t>
        </is>
      </c>
      <c r="C73" s="24" t="inlineStr">
        <is>
          <t>Self-Concept</t>
        </is>
      </c>
      <c r="D73" s="24" t="inlineStr">
        <is>
          <t>FALSE</t>
        </is>
      </c>
      <c r="E73" s="24" t="inlineStr">
        <is>
          <t>FALSE</t>
        </is>
      </c>
      <c r="F73" s="24" t="inlineStr">
        <is>
          <t>Source label E1</t>
        </is>
      </c>
      <c r="G73" s="24" t="inlineStr">
        <is>
          <t>Never or not at all = 0 | Sometimes or somewhat = 1 | Often or much = 2 | Very often or very much = 3</t>
        </is>
      </c>
    </row>
    <row r="74">
      <c r="A74" s="24" t="n">
        <v>43</v>
      </c>
      <c r="B74" s="24" t="inlineStr">
        <is>
          <t>Feeling frustrated with yourself</t>
        </is>
      </c>
      <c r="C74" s="24" t="inlineStr">
        <is>
          <t>Self-Concept</t>
        </is>
      </c>
      <c r="D74" s="24" t="inlineStr">
        <is>
          <t>FALSE</t>
        </is>
      </c>
      <c r="E74" s="24" t="inlineStr">
        <is>
          <t>FALSE</t>
        </is>
      </c>
      <c r="F74" s="24" t="inlineStr">
        <is>
          <t>Source label E2</t>
        </is>
      </c>
      <c r="G74" s="24" t="inlineStr">
        <is>
          <t>Never or not at all = 0 | Sometimes or somewhat = 1 | Often or much = 2 | Very often or very much = 3</t>
        </is>
      </c>
    </row>
    <row r="75">
      <c r="A75" s="24" t="n">
        <v>44</v>
      </c>
      <c r="B75" s="24" t="inlineStr">
        <is>
          <t>Feeling discouraged</t>
        </is>
      </c>
      <c r="C75" s="24" t="inlineStr">
        <is>
          <t>Self-Concept</t>
        </is>
      </c>
      <c r="D75" s="24" t="inlineStr">
        <is>
          <t>FALSE</t>
        </is>
      </c>
      <c r="E75" s="24" t="inlineStr">
        <is>
          <t>FALSE</t>
        </is>
      </c>
      <c r="F75" s="24" t="inlineStr">
        <is>
          <t>Source label E3</t>
        </is>
      </c>
      <c r="G75" s="24" t="inlineStr">
        <is>
          <t>Never or not at all = 0 | Sometimes or somewhat = 1 | Often or much = 2 | Very often or very much = 3</t>
        </is>
      </c>
    </row>
    <row r="76">
      <c r="A76" s="24" t="n">
        <v>45</v>
      </c>
      <c r="B76" s="24" t="inlineStr">
        <is>
          <t>Not feeling happy with your life</t>
        </is>
      </c>
      <c r="C76" s="24" t="inlineStr">
        <is>
          <t>Self-Concept</t>
        </is>
      </c>
      <c r="D76" s="24" t="inlineStr">
        <is>
          <t>FALSE</t>
        </is>
      </c>
      <c r="E76" s="24" t="inlineStr">
        <is>
          <t>FALSE</t>
        </is>
      </c>
      <c r="F76" s="24" t="inlineStr">
        <is>
          <t>Source label E4</t>
        </is>
      </c>
      <c r="G76" s="24" t="inlineStr">
        <is>
          <t>Never or not at all = 0 | Sometimes or somewhat = 1 | Often or much = 2 | Very often or very much = 3</t>
        </is>
      </c>
    </row>
    <row r="77">
      <c r="A77" s="24" t="n">
        <v>46</v>
      </c>
      <c r="B77" s="24" t="inlineStr">
        <is>
          <t>Feeling incompetent</t>
        </is>
      </c>
      <c r="C77" s="24" t="inlineStr">
        <is>
          <t>Self-Concept</t>
        </is>
      </c>
      <c r="D77" s="24" t="inlineStr">
        <is>
          <t>FALSE</t>
        </is>
      </c>
      <c r="E77" s="24" t="inlineStr">
        <is>
          <t>FALSE</t>
        </is>
      </c>
      <c r="F77" s="24" t="inlineStr">
        <is>
          <t>Source label E5</t>
        </is>
      </c>
      <c r="G77" s="24" t="inlineStr">
        <is>
          <t>Never or not at all = 0 | Sometimes or somewhat = 1 | Often or much = 2 | Very often or very much = 3</t>
        </is>
      </c>
    </row>
    <row r="78">
      <c r="A78" s="24" t="n">
        <v>47</v>
      </c>
      <c r="B78" s="24" t="inlineStr">
        <is>
          <t>Getting into arguments</t>
        </is>
      </c>
      <c r="C78" s="24" t="inlineStr">
        <is>
          <t>Social</t>
        </is>
      </c>
      <c r="D78" s="24" t="inlineStr">
        <is>
          <t>FALSE</t>
        </is>
      </c>
      <c r="E78" s="24" t="inlineStr">
        <is>
          <t>FALSE</t>
        </is>
      </c>
      <c r="F78" s="24" t="inlineStr">
        <is>
          <t>Source label F1</t>
        </is>
      </c>
      <c r="G78" s="24" t="inlineStr">
        <is>
          <t>Never or not at all = 0 | Sometimes or somewhat = 1 | Often or much = 2 | Very often or very much = 3</t>
        </is>
      </c>
    </row>
    <row r="79">
      <c r="A79" s="24" t="n">
        <v>48</v>
      </c>
      <c r="B79" s="24" t="inlineStr">
        <is>
          <t>Trouble cooperating</t>
        </is>
      </c>
      <c r="C79" s="24" t="inlineStr">
        <is>
          <t>Social</t>
        </is>
      </c>
      <c r="D79" s="24" t="inlineStr">
        <is>
          <t>FALSE</t>
        </is>
      </c>
      <c r="E79" s="24" t="inlineStr">
        <is>
          <t>FALSE</t>
        </is>
      </c>
      <c r="F79" s="24" t="inlineStr">
        <is>
          <t>Source label F2</t>
        </is>
      </c>
      <c r="G79" s="24" t="inlineStr">
        <is>
          <t>Never or not at all = 0 | Sometimes or somewhat = 1 | Often or much = 2 | Very often or very much = 3</t>
        </is>
      </c>
    </row>
    <row r="80">
      <c r="A80" s="24" t="n">
        <v>49</v>
      </c>
      <c r="B80" s="24" t="inlineStr">
        <is>
          <t>Trouble getting along with people</t>
        </is>
      </c>
      <c r="C80" s="24" t="inlineStr">
        <is>
          <t>Social</t>
        </is>
      </c>
      <c r="D80" s="24" t="inlineStr">
        <is>
          <t>FALSE</t>
        </is>
      </c>
      <c r="E80" s="24" t="inlineStr">
        <is>
          <t>FALSE</t>
        </is>
      </c>
      <c r="F80" s="24" t="inlineStr">
        <is>
          <t>Source label F3</t>
        </is>
      </c>
      <c r="G80" s="24" t="inlineStr">
        <is>
          <t>Never or not at all = 0 | Sometimes or somewhat = 1 | Often or much = 2 | Very often or very much = 3</t>
        </is>
      </c>
    </row>
    <row r="81">
      <c r="A81" s="24" t="n">
        <v>50</v>
      </c>
      <c r="B81" s="24" t="inlineStr">
        <is>
          <t>Problems having fun with other people</t>
        </is>
      </c>
      <c r="C81" s="24" t="inlineStr">
        <is>
          <t>Social</t>
        </is>
      </c>
      <c r="D81" s="24" t="inlineStr">
        <is>
          <t>FALSE</t>
        </is>
      </c>
      <c r="E81" s="24" t="inlineStr">
        <is>
          <t>FALSE</t>
        </is>
      </c>
      <c r="F81" s="24" t="inlineStr">
        <is>
          <t>Source label F4</t>
        </is>
      </c>
      <c r="G81" s="24" t="inlineStr">
        <is>
          <t>Never or not at all = 0 | Sometimes or somewhat = 1 | Often or much = 2 | Very often or very much = 3</t>
        </is>
      </c>
    </row>
    <row r="82">
      <c r="A82" s="24" t="n">
        <v>51</v>
      </c>
      <c r="B82" s="24" t="inlineStr">
        <is>
          <t>Problems participating in hobbies</t>
        </is>
      </c>
      <c r="C82" s="24" t="inlineStr">
        <is>
          <t>Social</t>
        </is>
      </c>
      <c r="D82" s="24" t="inlineStr">
        <is>
          <t>FALSE</t>
        </is>
      </c>
      <c r="E82" s="24" t="inlineStr">
        <is>
          <t>FALSE</t>
        </is>
      </c>
      <c r="F82" s="24" t="inlineStr">
        <is>
          <t>Source label F5</t>
        </is>
      </c>
      <c r="G82" s="24" t="inlineStr">
        <is>
          <t>Never or not at all = 0 | Sometimes or somewhat = 1 | Often or much = 2 | Very often or very much = 3</t>
        </is>
      </c>
    </row>
    <row r="83">
      <c r="A83" s="24" t="n">
        <v>52</v>
      </c>
      <c r="B83" s="24" t="inlineStr">
        <is>
          <t>Problems making friends</t>
        </is>
      </c>
      <c r="C83" s="24" t="inlineStr">
        <is>
          <t>Social</t>
        </is>
      </c>
      <c r="D83" s="24" t="inlineStr">
        <is>
          <t>FALSE</t>
        </is>
      </c>
      <c r="E83" s="24" t="inlineStr">
        <is>
          <t>FALSE</t>
        </is>
      </c>
      <c r="F83" s="24" t="inlineStr">
        <is>
          <t>Source label F6</t>
        </is>
      </c>
      <c r="G83" s="24" t="inlineStr">
        <is>
          <t>Never or not at all = 0 | Sometimes or somewhat = 1 | Often or much = 2 | Very often or very much = 3</t>
        </is>
      </c>
    </row>
    <row r="84">
      <c r="A84" s="24" t="n">
        <v>53</v>
      </c>
      <c r="B84" s="24" t="inlineStr">
        <is>
          <t>Problems keeping friends</t>
        </is>
      </c>
      <c r="C84" s="24" t="inlineStr">
        <is>
          <t>Social</t>
        </is>
      </c>
      <c r="D84" s="24" t="inlineStr">
        <is>
          <t>FALSE</t>
        </is>
      </c>
      <c r="E84" s="24" t="inlineStr">
        <is>
          <t>FALSE</t>
        </is>
      </c>
      <c r="F84" s="24" t="inlineStr">
        <is>
          <t>Source label F7</t>
        </is>
      </c>
      <c r="G84" s="24" t="inlineStr">
        <is>
          <t>Never or not at all = 0 | Sometimes or somewhat = 1 | Often or much = 2 | Very often or very much = 3</t>
        </is>
      </c>
    </row>
    <row r="85">
      <c r="A85" s="24" t="n">
        <v>54</v>
      </c>
      <c r="B85" s="24" t="inlineStr">
        <is>
          <t>Saying inappropriate things</t>
        </is>
      </c>
      <c r="C85" s="24" t="inlineStr">
        <is>
          <t>Social</t>
        </is>
      </c>
      <c r="D85" s="24" t="inlineStr">
        <is>
          <t>FALSE</t>
        </is>
      </c>
      <c r="E85" s="24" t="inlineStr">
        <is>
          <t>FALSE</t>
        </is>
      </c>
      <c r="F85" s="24" t="inlineStr">
        <is>
          <t>Source label F8</t>
        </is>
      </c>
      <c r="G85" s="24" t="inlineStr">
        <is>
          <t>Never or not at all = 0 | Sometimes or somewhat = 1 | Often or much = 2 | Very often or very much = 3</t>
        </is>
      </c>
    </row>
    <row r="86">
      <c r="A86" s="24" t="n">
        <v>55</v>
      </c>
      <c r="B86" s="24" t="inlineStr">
        <is>
          <t>Complaints from neighbours</t>
        </is>
      </c>
      <c r="C86" s="24" t="inlineStr">
        <is>
          <t>Social</t>
        </is>
      </c>
      <c r="D86" s="24" t="inlineStr">
        <is>
          <t>FALSE</t>
        </is>
      </c>
      <c r="E86" s="24" t="inlineStr">
        <is>
          <t>FALSE</t>
        </is>
      </c>
      <c r="F86" s="24" t="inlineStr">
        <is>
          <t>Source label F9</t>
        </is>
      </c>
      <c r="G86" s="24" t="inlineStr">
        <is>
          <t>Never or not at all = 0 | Sometimes or somewhat = 1 | Often or much = 2 | Very often or very much = 3</t>
        </is>
      </c>
    </row>
    <row r="87">
      <c r="A87" s="24" t="n">
        <v>56</v>
      </c>
      <c r="B87" s="24" t="inlineStr">
        <is>
          <t>Aggressive driving</t>
        </is>
      </c>
      <c r="C87" s="24" t="inlineStr">
        <is>
          <t>Risk</t>
        </is>
      </c>
      <c r="D87" s="24" t="inlineStr">
        <is>
          <t>FALSE</t>
        </is>
      </c>
      <c r="E87" s="24" t="inlineStr">
        <is>
          <t>FALSE</t>
        </is>
      </c>
      <c r="F87" s="24" t="inlineStr">
        <is>
          <t>Source label G1</t>
        </is>
      </c>
      <c r="G87" s="24" t="inlineStr">
        <is>
          <t>Never or not at all = 0 | Sometimes or somewhat = 1 | Often or much = 2 | Very often or very much = 3</t>
        </is>
      </c>
    </row>
    <row r="88">
      <c r="A88" s="24" t="n">
        <v>57</v>
      </c>
      <c r="B88" s="24" t="inlineStr">
        <is>
          <t>Doing other things while driving</t>
        </is>
      </c>
      <c r="C88" s="24" t="inlineStr">
        <is>
          <t>Risk</t>
        </is>
      </c>
      <c r="D88" s="24" t="inlineStr">
        <is>
          <t>FALSE</t>
        </is>
      </c>
      <c r="E88" s="24" t="inlineStr">
        <is>
          <t>FALSE</t>
        </is>
      </c>
      <c r="F88" s="24" t="inlineStr">
        <is>
          <t>Source label G2</t>
        </is>
      </c>
      <c r="G88" s="24" t="inlineStr">
        <is>
          <t>Never or not at all = 0 | Sometimes or somewhat = 1 | Often or much = 2 | Very often or very much = 3</t>
        </is>
      </c>
    </row>
    <row r="89">
      <c r="A89" s="24" t="n">
        <v>58</v>
      </c>
      <c r="B89" s="24" t="inlineStr">
        <is>
          <t>Road rage</t>
        </is>
      </c>
      <c r="C89" s="24" t="inlineStr">
        <is>
          <t>Risk</t>
        </is>
      </c>
      <c r="D89" s="24" t="inlineStr">
        <is>
          <t>FALSE</t>
        </is>
      </c>
      <c r="E89" s="24" t="inlineStr">
        <is>
          <t>FALSE</t>
        </is>
      </c>
      <c r="F89" s="24" t="inlineStr">
        <is>
          <t>Source label G3</t>
        </is>
      </c>
      <c r="G89" s="24" t="inlineStr">
        <is>
          <t>Never or not at all = 0 | Sometimes or somewhat = 1 | Often or much = 2 | Very often or very much = 3</t>
        </is>
      </c>
    </row>
    <row r="90">
      <c r="A90" s="24" t="n">
        <v>59</v>
      </c>
      <c r="B90" s="24" t="inlineStr">
        <is>
          <t>Breaking or damaging things</t>
        </is>
      </c>
      <c r="C90" s="24" t="inlineStr">
        <is>
          <t>Risk</t>
        </is>
      </c>
      <c r="D90" s="24" t="inlineStr">
        <is>
          <t>FALSE</t>
        </is>
      </c>
      <c r="E90" s="24" t="inlineStr">
        <is>
          <t>FALSE</t>
        </is>
      </c>
      <c r="F90" s="24" t="inlineStr">
        <is>
          <t>Source label G4</t>
        </is>
      </c>
      <c r="G90" s="24" t="inlineStr">
        <is>
          <t>Never or not at all = 0 | Sometimes or somewhat = 1 | Often or much = 2 | Very often or very much = 3</t>
        </is>
      </c>
    </row>
    <row r="91">
      <c r="A91" s="24" t="n">
        <v>60</v>
      </c>
      <c r="B91" s="24" t="inlineStr">
        <is>
          <t>Doing things that are illegal</t>
        </is>
      </c>
      <c r="C91" s="24" t="inlineStr">
        <is>
          <t>Risk</t>
        </is>
      </c>
      <c r="D91" s="24" t="inlineStr">
        <is>
          <t>FALSE</t>
        </is>
      </c>
      <c r="E91" s="24" t="inlineStr">
        <is>
          <t>FALSE</t>
        </is>
      </c>
      <c r="F91" s="24" t="inlineStr">
        <is>
          <t>Source label G5</t>
        </is>
      </c>
      <c r="G91" s="24" t="inlineStr">
        <is>
          <t>Never or not at all = 0 | Sometimes or somewhat = 1 | Often or much = 2 | Very often or very much = 3</t>
        </is>
      </c>
    </row>
    <row r="92">
      <c r="A92" s="24" t="n">
        <v>61</v>
      </c>
      <c r="B92" s="24" t="inlineStr">
        <is>
          <t>Being involved with the police</t>
        </is>
      </c>
      <c r="C92" s="24" t="inlineStr">
        <is>
          <t>Risk</t>
        </is>
      </c>
      <c r="D92" s="24" t="inlineStr">
        <is>
          <t>FALSE</t>
        </is>
      </c>
      <c r="E92" s="24" t="inlineStr">
        <is>
          <t>FALSE</t>
        </is>
      </c>
      <c r="F92" s="24" t="inlineStr">
        <is>
          <t>Source label G6</t>
        </is>
      </c>
      <c r="G92" s="24" t="inlineStr">
        <is>
          <t>Never or not at all = 0 | Sometimes or somewhat = 1 | Often or much = 2 | Very often or very much = 3</t>
        </is>
      </c>
    </row>
    <row r="93">
      <c r="A93" s="24" t="n">
        <v>62</v>
      </c>
      <c r="B93" s="24" t="inlineStr">
        <is>
          <t>Smoking cigarettes</t>
        </is>
      </c>
      <c r="C93" s="24" t="inlineStr">
        <is>
          <t>Risk</t>
        </is>
      </c>
      <c r="D93" s="24" t="inlineStr">
        <is>
          <t>FALSE</t>
        </is>
      </c>
      <c r="E93" s="24" t="inlineStr">
        <is>
          <t>FALSE</t>
        </is>
      </c>
      <c r="F93" s="24" t="inlineStr">
        <is>
          <t>Source label G7</t>
        </is>
      </c>
      <c r="G93" s="24" t="inlineStr">
        <is>
          <t>Never or not at all = 0 | Sometimes or somewhat = 1 | Often or much = 2 | Very often or very much = 3</t>
        </is>
      </c>
    </row>
    <row r="94">
      <c r="A94" s="24" t="n">
        <v>63</v>
      </c>
      <c r="B94" s="24" t="inlineStr">
        <is>
          <t>Smoking marijuana</t>
        </is>
      </c>
      <c r="C94" s="24" t="inlineStr">
        <is>
          <t>Risk</t>
        </is>
      </c>
      <c r="D94" s="24" t="inlineStr">
        <is>
          <t>FALSE</t>
        </is>
      </c>
      <c r="E94" s="24" t="inlineStr">
        <is>
          <t>FALSE</t>
        </is>
      </c>
      <c r="F94" s="24" t="inlineStr">
        <is>
          <t>Source label G8</t>
        </is>
      </c>
      <c r="G94" s="24" t="inlineStr">
        <is>
          <t>Never or not at all = 0 | Sometimes or somewhat = 1 | Often or much = 2 | Very often or very much = 3</t>
        </is>
      </c>
    </row>
    <row r="95">
      <c r="A95" s="24" t="n">
        <v>64</v>
      </c>
      <c r="B95" s="24" t="inlineStr">
        <is>
          <t>Drinking alcohol</t>
        </is>
      </c>
      <c r="C95" s="24" t="inlineStr">
        <is>
          <t>Risk</t>
        </is>
      </c>
      <c r="D95" s="24" t="inlineStr">
        <is>
          <t>FALSE</t>
        </is>
      </c>
      <c r="E95" s="24" t="inlineStr">
        <is>
          <t>FALSE</t>
        </is>
      </c>
      <c r="F95" s="24" t="inlineStr">
        <is>
          <t>Source label G9</t>
        </is>
      </c>
      <c r="G95" s="24" t="inlineStr">
        <is>
          <t>Never or not at all = 0 | Sometimes or somewhat = 1 | Often or much = 2 | Very often or very much = 3</t>
        </is>
      </c>
    </row>
    <row r="96">
      <c r="A96" s="24" t="n">
        <v>65</v>
      </c>
      <c r="B96" s="24" t="inlineStr">
        <is>
          <t>Taking "street" drugs</t>
        </is>
      </c>
      <c r="C96" s="24" t="inlineStr">
        <is>
          <t>Risk</t>
        </is>
      </c>
      <c r="D96" s="24" t="inlineStr">
        <is>
          <t>FALSE</t>
        </is>
      </c>
      <c r="E96" s="24" t="inlineStr">
        <is>
          <t>FALSE</t>
        </is>
      </c>
      <c r="F96" s="24" t="inlineStr">
        <is>
          <t>Source label G10</t>
        </is>
      </c>
      <c r="G96" s="24" t="inlineStr">
        <is>
          <t>Never or not at all = 0 | Sometimes or somewhat = 1 | Often or much = 2 | Very often or very much = 3</t>
        </is>
      </c>
    </row>
    <row r="97">
      <c r="A97" s="24" t="n">
        <v>66</v>
      </c>
      <c r="B97" s="24" t="inlineStr">
        <is>
          <t>Sex without protection (birth control, condom)</t>
        </is>
      </c>
      <c r="C97" s="24" t="inlineStr">
        <is>
          <t>Risk</t>
        </is>
      </c>
      <c r="D97" s="24" t="inlineStr">
        <is>
          <t>FALSE</t>
        </is>
      </c>
      <c r="E97" s="24" t="inlineStr">
        <is>
          <t>FALSE</t>
        </is>
      </c>
      <c r="F97" s="24" t="inlineStr">
        <is>
          <t>Source label G11</t>
        </is>
      </c>
      <c r="G97" s="24" t="inlineStr">
        <is>
          <t>Never or not at all = 0 | Sometimes or somewhat = 1 | Often or much = 2 | Very often or very much = 3</t>
        </is>
      </c>
    </row>
    <row r="98">
      <c r="A98" s="24" t="n">
        <v>67</v>
      </c>
      <c r="B98" s="24" t="inlineStr">
        <is>
          <t>Sexually inappropriate behaviour</t>
        </is>
      </c>
      <c r="C98" s="24" t="inlineStr">
        <is>
          <t>Risk</t>
        </is>
      </c>
      <c r="D98" s="24" t="inlineStr">
        <is>
          <t>FALSE</t>
        </is>
      </c>
      <c r="E98" s="24" t="inlineStr">
        <is>
          <t>FALSE</t>
        </is>
      </c>
      <c r="F98" s="24" t="inlineStr">
        <is>
          <t>Source label G12</t>
        </is>
      </c>
      <c r="G98" s="24" t="inlineStr">
        <is>
          <t>Never or not at all = 0 | Sometimes or somewhat = 1 | Often or much = 2 | Very often or very much = 3</t>
        </is>
      </c>
    </row>
    <row r="99">
      <c r="A99" s="24" t="n">
        <v>68</v>
      </c>
      <c r="B99" s="24" t="inlineStr">
        <is>
          <t>Being physically aggressive</t>
        </is>
      </c>
      <c r="C99" s="24" t="inlineStr">
        <is>
          <t>Risk</t>
        </is>
      </c>
      <c r="D99" s="24" t="inlineStr">
        <is>
          <t>FALSE</t>
        </is>
      </c>
      <c r="E99" s="24" t="inlineStr">
        <is>
          <t>FALSE</t>
        </is>
      </c>
      <c r="F99" s="24" t="inlineStr">
        <is>
          <t>Source label G13</t>
        </is>
      </c>
      <c r="G99" s="24" t="inlineStr">
        <is>
          <t>Never or not at all = 0 | Sometimes or somewhat = 1 | Often or much = 2 | Very often or very much = 3</t>
        </is>
      </c>
    </row>
    <row r="100">
      <c r="A100" s="24" t="n">
        <v>69</v>
      </c>
      <c r="B100" s="24" t="inlineStr">
        <is>
          <t>Being verbally aggressive</t>
        </is>
      </c>
      <c r="C100" s="24" t="inlineStr">
        <is>
          <t>Risk</t>
        </is>
      </c>
      <c r="D100" s="24" t="inlineStr">
        <is>
          <t>FALSE</t>
        </is>
      </c>
      <c r="E100" s="24" t="inlineStr">
        <is>
          <t>FALSE</t>
        </is>
      </c>
      <c r="F100" s="24" t="inlineStr">
        <is>
          <t>Source label G14</t>
        </is>
      </c>
      <c r="G100" s="24" t="inlineStr">
        <is>
          <t>Never or not at all = 0 | Sometimes or somewhat = 1 | Often or much = 2 | Very often or very much = 3</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WHO-5 Well-Being Index</t>
        </is>
      </c>
    </row>
    <row r="3">
      <c r="A3" s="37" t="inlineStr">
        <is>
          <t>Instrument</t>
        </is>
      </c>
      <c r="B3" s="24" t="inlineStr">
        <is>
          <t>WHO-5 Well-Being Index</t>
        </is>
      </c>
      <c r="C3" s="24" t="n"/>
      <c r="D3" s="24" t="n"/>
      <c r="E3" s="24" t="n"/>
      <c r="F3" s="24" t="n"/>
      <c r="G3" s="24" t="n"/>
    </row>
    <row r="4">
      <c r="A4" s="37" t="inlineStr">
        <is>
          <t>Code</t>
        </is>
      </c>
      <c r="B4" s="24" t="inlineStr">
        <is>
          <t>WHO-5</t>
        </is>
      </c>
      <c r="C4" s="24" t="n"/>
      <c r="D4" s="24" t="n"/>
      <c r="E4" s="24" t="n"/>
      <c r="F4" s="24" t="n"/>
      <c r="G4" s="24" t="n"/>
    </row>
    <row r="5">
      <c r="A5" s="37" t="inlineStr">
        <is>
          <t>Domain</t>
        </is>
      </c>
      <c r="B5" s="24" t="inlineStr">
        <is>
          <t>7. Wellbeing and life satisfaction</t>
        </is>
      </c>
      <c r="C5" s="24" t="n"/>
      <c r="D5" s="24" t="n"/>
      <c r="E5" s="24" t="n"/>
      <c r="F5" s="24" t="n"/>
      <c r="G5" s="24" t="n"/>
    </row>
    <row r="6">
      <c r="A6" s="37" t="inlineStr">
        <is>
          <t>Availability</t>
        </is>
      </c>
      <c r="B6" s="24" t="inlineStr">
        <is>
          <t>Public domain</t>
        </is>
      </c>
      <c r="C6" s="24" t="n"/>
      <c r="D6" s="24" t="n"/>
      <c r="E6" s="24" t="n"/>
      <c r="F6" s="24" t="n"/>
      <c r="G6" s="24" t="n"/>
    </row>
    <row r="7">
      <c r="A7" s="37" t="inlineStr">
        <is>
          <t>Construct</t>
        </is>
      </c>
      <c r="B7" s="24" t="inlineStr">
        <is>
          <t>Subjective psychological wellbeing (positive mood, vitality and interest) over the past 2 weeks.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9+ (Te Pou); adults in general population</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CORC: "The WHO-5 is free of charge and does not require permission to use." PsyToolkit 'Legal stuff': the WHO-5 can be used for research provided the authors and their research paper are acknowledged.</t>
        </is>
      </c>
      <c r="C13" s="24" t="n"/>
      <c r="D13" s="24" t="n"/>
      <c r="E13" s="24" t="n"/>
      <c r="F13" s="24" t="n"/>
      <c r="G13" s="24" t="n"/>
    </row>
    <row r="14">
      <c r="A14" s="37" t="inlineStr">
        <is>
          <t>Coaching application</t>
        </is>
      </c>
      <c r="B14" s="24" t="inlineStr">
        <is>
          <t>Ideal 2 minute session opener or repeated progress measure; already used by Statistics NZ so NZ comparisons exist.</t>
        </is>
      </c>
      <c r="C14" s="24" t="n"/>
      <c r="D14" s="24" t="n"/>
      <c r="E14" s="24" t="n"/>
      <c r="F14" s="24" t="n"/>
      <c r="G14" s="24" t="n"/>
    </row>
    <row r="15">
      <c r="A15" s="37" t="inlineStr">
        <is>
          <t>Purpose</t>
        </is>
      </c>
      <c r="B15" s="24" t="inlineStr">
        <is>
          <t>Subjective psychological wellbeing (positive mood, vitality and interest) over the past 2 weeks.</t>
        </is>
      </c>
      <c r="C15" s="24" t="n"/>
      <c r="D15" s="24" t="n"/>
      <c r="E15" s="24" t="n"/>
      <c r="F15" s="24" t="n"/>
      <c r="G15" s="24" t="n"/>
    </row>
    <row r="16">
      <c r="A16" s="37" t="inlineStr">
        <is>
          <t>Instructions / prompt</t>
        </is>
      </c>
      <c r="B16" s="24" t="inlineStr">
        <is>
          <t>Please respond to each item regarding how you felt in the last two weeks.</t>
        </is>
      </c>
      <c r="C16" s="24" t="n"/>
      <c r="D16" s="24" t="n"/>
      <c r="E16" s="24" t="n"/>
      <c r="F16" s="24" t="n"/>
      <c r="G16" s="24" t="n"/>
    </row>
    <row r="17">
      <c r="A17" s="37" t="inlineStr">
        <is>
          <t>Response options</t>
        </is>
      </c>
      <c r="B17" s="24" t="inlineStr">
        <is>
          <t>All of the time = 5 | Most of the time = 4 | More than half the time = 3 | Less than half the time = 2 | Some of the time = 1 | At no time = 0</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(0 to 25) and multiply by 4 to give a percentage score from 0 (worst) to 100 (best). Higher scores indicate better wellbeing. Topp et al. (2015): a score below 51 (that is, 50 or lower) is commonly used as a screening cut off for depression and warrants further assessment; a change of 10 percentage points is considered clinically relevant. Some studies use a lower cut off depending on the population.</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World Health Organization Regional Office for Europe. (1998). Wellbeing measures in primary health care/The DepCare Project: Report on a WHO meeting, Stockholm, Sweden, 12–13 February 1998. WHO Regional Office for Europe. See also Topp, C. W., Østergaard, S. D., Søndergaard, S., &amp; Bech, P. (2015). The WHO-5 Well-Being Index: A systematic review of the literature. Psychotherapy and Psychosomatics, 84(3), 167–176. https://doi.org/10.1159/000376585</t>
        </is>
      </c>
      <c r="C25" s="24" t="n"/>
      <c r="D25" s="24" t="n"/>
      <c r="E25" s="24" t="n"/>
      <c r="F25" s="24" t="n"/>
      <c r="G25" s="24" t="n"/>
    </row>
    <row r="26">
      <c r="A26" s="37" t="inlineStr">
        <is>
          <t>Copyright and licensing</t>
        </is>
      </c>
      <c r="B26" s="24" t="inlineStr">
        <is>
          <t>CORC: "The WHO-5 is free of charge and does not require permission to use." PsyToolkit 'Legal stuff': the WHO-5 can be used for research provided the authors and their research paper are acknowledged. Source: https://www.corc.uk.net/outcome-experience-measures/the-world-health-organisation-five-well-being-index-who-5</t>
        </is>
      </c>
      <c r="C26" s="24" t="n"/>
      <c r="D26" s="24" t="n"/>
      <c r="E26" s="24" t="n"/>
      <c r="F26" s="24" t="n"/>
      <c r="G26" s="24" t="n"/>
    </row>
    <row r="27">
      <c r="A27" s="37" t="inlineStr">
        <is>
          <t>Source URL</t>
        </is>
      </c>
      <c r="B27" s="24" t="inlineStr">
        <is>
          <t>https://www.psytoolkit.org/survey-library/who5.html</t>
        </is>
      </c>
      <c r="C27" s="24" t="n"/>
      <c r="D27" s="24" t="n"/>
      <c r="E27" s="24" t="n"/>
      <c r="F27" s="24" t="n"/>
      <c r="G27" s="24" t="n"/>
    </row>
    <row r="28">
      <c r="A28" s="37" t="inlineStr">
        <is>
          <t>Transcription note</t>
        </is>
      </c>
      <c r="B28" s="24" t="inlineStr">
        <is>
          <t>Items, stem, instruction and response values transcribed from the PsyToolkit survey library page. Item 1 on PsyToolkit reads 'cheerful in good spirits' whereas the WHO original (quoted on tepou.co.nz) reads 'cheerful and in good spirits'; PsyToolkit wording retained verbatim with the difference flagged. CORC prints the response labels as 'More than half of the time' and 'Less than half of the time'; PsyToolkit omits 'of'. The official WHO form (psykiatri-regionh.dk) was not fetched, so its instruction wording was not compared.</t>
        </is>
      </c>
      <c r="C28" s="24" t="n"/>
      <c r="D28" s="24" t="n"/>
      <c r="E28" s="24" t="n"/>
      <c r="F28" s="24" t="n"/>
      <c r="G28" s="24" t="n"/>
    </row>
    <row r="29">
      <c r="A29" s="37" t="inlineStr">
        <is>
          <t>Independent check</t>
        </is>
      </c>
      <c r="B29" s="24" t="inlineStr">
        <is>
          <t>verified</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Over the past two weeks ... I have felt cheerful in good spirits.</t>
        </is>
      </c>
      <c r="C32" s="24" t="inlineStr">
        <is>
          <t>Total</t>
        </is>
      </c>
      <c r="D32" s="24" t="inlineStr">
        <is>
          <t>FALSE</t>
        </is>
      </c>
      <c r="E32" s="24" t="inlineStr">
        <is>
          <t>FALSE</t>
        </is>
      </c>
      <c r="F32" s="24" t="inlineStr">
        <is>
          <t>PsyToolkit omits 'and'; the WHO original and Te Pou read 'I have felt cheerful and in good spirits.'</t>
        </is>
      </c>
      <c r="G32" s="24" t="inlineStr">
        <is>
          <t>All of the time = 5 | Most of the time = 4 | More than half the time = 3 | Less than half the time = 2 | Some of the time = 1 | At no time = 0</t>
        </is>
      </c>
    </row>
    <row r="33">
      <c r="A33" s="24" t="n">
        <v>2</v>
      </c>
      <c r="B33" s="24" t="inlineStr">
        <is>
          <t>Over the past two weeks ... I have felt calm and relaxed.</t>
        </is>
      </c>
      <c r="C33" s="24" t="inlineStr">
        <is>
          <t>Total</t>
        </is>
      </c>
      <c r="D33" s="24" t="inlineStr">
        <is>
          <t>FALSE</t>
        </is>
      </c>
      <c r="E33" s="24" t="inlineStr">
        <is>
          <t>FALSE</t>
        </is>
      </c>
      <c r="F33" s="24" t="n"/>
      <c r="G33" s="24" t="inlineStr">
        <is>
          <t>All of the time = 5 | Most of the time = 4 | More than half the time = 3 | Less than half the time = 2 | Some of the time = 1 | At no time = 0</t>
        </is>
      </c>
    </row>
    <row r="34">
      <c r="A34" s="24" t="n">
        <v>3</v>
      </c>
      <c r="B34" s="24" t="inlineStr">
        <is>
          <t>Over the past two weeks ... I have felt active and vigorous.</t>
        </is>
      </c>
      <c r="C34" s="24" t="inlineStr">
        <is>
          <t>Total</t>
        </is>
      </c>
      <c r="D34" s="24" t="inlineStr">
        <is>
          <t>FALSE</t>
        </is>
      </c>
      <c r="E34" s="24" t="inlineStr">
        <is>
          <t>FALSE</t>
        </is>
      </c>
      <c r="F34" s="24" t="n"/>
      <c r="G34" s="24" t="inlineStr">
        <is>
          <t>All of the time = 5 | Most of the time = 4 | More than half the time = 3 | Less than half the time = 2 | Some of the time = 1 | At no time = 0</t>
        </is>
      </c>
    </row>
    <row r="35">
      <c r="A35" s="24" t="n">
        <v>4</v>
      </c>
      <c r="B35" s="24" t="inlineStr">
        <is>
          <t>Over the past two weeks ... I woke up feeling fresh and rested.</t>
        </is>
      </c>
      <c r="C35" s="24" t="inlineStr">
        <is>
          <t>Total</t>
        </is>
      </c>
      <c r="D35" s="24" t="inlineStr">
        <is>
          <t>FALSE</t>
        </is>
      </c>
      <c r="E35" s="24" t="inlineStr">
        <is>
          <t>FALSE</t>
        </is>
      </c>
      <c r="F35" s="24" t="n"/>
      <c r="G35" s="24" t="inlineStr">
        <is>
          <t>All of the time = 5 | Most of the time = 4 | More than half the time = 3 | Less than half the time = 2 | Some of the time = 1 | At no time = 0</t>
        </is>
      </c>
    </row>
    <row r="36">
      <c r="A36" s="24" t="n">
        <v>5</v>
      </c>
      <c r="B36" s="24" t="inlineStr">
        <is>
          <t>Over the past two weeks ... My daily life has been filled with things that interest me.</t>
        </is>
      </c>
      <c r="C36" s="24" t="inlineStr">
        <is>
          <t>Total</t>
        </is>
      </c>
      <c r="D36" s="24" t="inlineStr">
        <is>
          <t>FALSE</t>
        </is>
      </c>
      <c r="E36" s="24" t="inlineStr">
        <is>
          <t>FALSE</t>
        </is>
      </c>
      <c r="F36" s="24" t="n"/>
      <c r="G36" s="24" t="inlineStr">
        <is>
          <t>All of the time = 5 | Most of the time = 4 | More than half the time = 3 | Less than half the time = 2 | Some of the time = 1 | At no time = 0</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G67"/>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WHO Disability Assessment Schedule 2.0, 36 item self administered</t>
        </is>
      </c>
    </row>
    <row r="3">
      <c r="A3" s="37" t="inlineStr">
        <is>
          <t>Instrument</t>
        </is>
      </c>
      <c r="B3" s="24" t="inlineStr">
        <is>
          <t>WHO Disability Assessment Schedule 2.0, 36 item self administered</t>
        </is>
      </c>
      <c r="C3" s="24" t="n"/>
      <c r="D3" s="24" t="n"/>
      <c r="E3" s="24" t="n"/>
      <c r="F3" s="24" t="n"/>
      <c r="G3" s="24" t="n"/>
    </row>
    <row r="4">
      <c r="A4" s="37" t="inlineStr">
        <is>
          <t>Code</t>
        </is>
      </c>
      <c r="B4" s="24" t="inlineStr">
        <is>
          <t>WHODAS-36</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Functioning and disability over the past 30 days across 6 life domains aligned with the International Classification of Functioning, Disability and Health.</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36</v>
      </c>
      <c r="C10" s="24" t="n"/>
      <c r="D10" s="24" t="n"/>
      <c r="E10" s="24" t="n"/>
      <c r="F10" s="24" t="n"/>
      <c r="G10" s="24" t="n"/>
    </row>
    <row r="11">
      <c r="A11" s="37" t="inlineStr">
        <is>
          <t>Items reproduced here</t>
        </is>
      </c>
      <c r="B11" s="24" t="n">
        <v>36</v>
      </c>
      <c r="C11" s="24" t="n"/>
      <c r="D11" s="24" t="n"/>
      <c r="E11" s="24" t="n"/>
      <c r="F11" s="24" t="n"/>
      <c r="G11" s="24" t="n"/>
    </row>
    <row r="12">
      <c r="A12" s="37" t="inlineStr">
        <is>
          <t>Administration time</t>
        </is>
      </c>
      <c r="B12" s="24" t="inlineStr">
        <is>
          <t>8 minutes</t>
        </is>
      </c>
      <c r="C12" s="24" t="n"/>
      <c r="D12" s="24" t="n"/>
      <c r="E12" s="24" t="n"/>
      <c r="F12" s="24" t="n"/>
      <c r="G12" s="24" t="n"/>
    </row>
    <row r="13">
      <c r="A13" s="37" t="inlineStr">
        <is>
          <t>Cost and access</t>
        </is>
      </c>
      <c r="B13" s="24"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t>
        </is>
      </c>
      <c r="C13" s="24" t="n"/>
      <c r="D13" s="24" t="n"/>
      <c r="E13" s="24" t="n"/>
      <c r="F13" s="24" t="n"/>
      <c r="G13" s="24" t="n"/>
    </row>
    <row r="14">
      <c r="A14" s="37" t="inlineStr">
        <is>
          <t>Coaching application</t>
        </is>
      </c>
      <c r="B14" s="24" t="inlineStr">
        <is>
          <t>Strong outcome measure for coaching because it indexes day to day functioning rather than symptoms; the Life activities and Getting along domains map directly onto work goals. The 12 item version exists if burden matters.</t>
        </is>
      </c>
      <c r="C14" s="24" t="n"/>
      <c r="D14" s="24" t="n"/>
      <c r="E14" s="24" t="n"/>
      <c r="F14" s="24" t="n"/>
      <c r="G14" s="24" t="n"/>
    </row>
    <row r="15">
      <c r="A15" s="37" t="inlineStr">
        <is>
          <t>Purpose</t>
        </is>
      </c>
      <c r="B15" s="24" t="inlineStr">
        <is>
          <t>Functioning and disability over the past 30 days across 6 life domains aligned with the International Classification of Functioning, Disability and Health.</t>
        </is>
      </c>
      <c r="C15" s="24" t="n"/>
      <c r="D15" s="24" t="n"/>
      <c r="E15" s="24" t="n"/>
      <c r="F15" s="24" t="n"/>
      <c r="G15" s="24" t="n"/>
    </row>
    <row r="16">
      <c r="A16" s="37" t="inlineStr">
        <is>
          <t>Instructions / prompt</t>
        </is>
      </c>
      <c r="B16" s="24" t="inlineStr">
        <is>
          <t>This questionnaire asks about difficulties due to health/mental health conditions. Health conditions include diseases or illnesses, other health problems that may be short or long lasting, injuries, mental or emotional problems, and problems with alcohol or drugs. Think back over the past 30 days and answer these questions thinking about how much difficulty you had doing the following activities. For each question, please circle only one response. In the last 30 days, how much difficulty did you have in:</t>
        </is>
      </c>
      <c r="C16" s="24" t="n"/>
      <c r="D16" s="24" t="n"/>
      <c r="E16" s="24" t="n"/>
      <c r="F16" s="24" t="n"/>
      <c r="G16" s="24" t="n"/>
    </row>
    <row r="17">
      <c r="A17" s="37" t="inlineStr">
        <is>
          <t>Response options</t>
        </is>
      </c>
      <c r="B17" s="24" t="inlineStr">
        <is>
          <t>None = 1 | Mild = 2 | Moderate = 3 | Severe = 4 | Extreme or cannot do = 5</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Simple scoring: Step 1, sum the item scores within each domain to give 6 domain scores; Step 2, sum all 6 domain scores to give the general disability score (36 to 180). The DSM-5-TR version also reports average scores: the average domain score is the raw domain score divided by the number of items in the domain, and the average general disability score is the raw overall score divided by 36, both on the 1 to 5 scale. Higher scores indicate more disability. WHO's complex (item response theory based) scoring applies item weights and converts to a 0 to 100 scale via the WHO SPSS syntax. Missing data: if 10 or more items are unanswered (more than 25 percent of the 36 items) the simple and average general disability scores may not be helpful, but domain scores may be used for domains that are 75 to 100 percent complete. No cut offs are published in the APA document.</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Üstün, T. B., Kostanjsek, N., Chatterji, S., &amp; Rehm, J. (Eds.). (2010). Measuring health and disability: Manual for WHO Disability Assessment Schedule (WHODAS 2.0). World Health Organization.</t>
        </is>
      </c>
      <c r="C25" s="24" t="n"/>
      <c r="D25" s="24" t="n"/>
      <c r="E25" s="24" t="n"/>
      <c r="F25" s="24" t="n"/>
      <c r="G25" s="24" t="n"/>
    </row>
    <row r="26">
      <c r="A26" s="37" t="inlineStr">
        <is>
          <t>Copyright and licensing</t>
        </is>
      </c>
      <c r="B26" s="24" t="inlineStr">
        <is>
          <t>"© World Health Organization, 2012. All rights reserved." "The World Health Organization has granted the Publisher permission for the reproduction of this instrument." "This material can be reproduced without permission by clinicians for use with their own patients. Any other use, including electronic use, requires written permission from WHO." WHO WHODAS 2.0 page: "To license WHODAS 2.0, such as for including WHODAS 2.0 in an electronic records or data capture system or reproducing it in any way, please go to Licensing WHO Classifications." Source: https://www.who.int/standards/classifications/international-classification-of-functioning-disability-and-health/who-disability-assessment-schedule</t>
        </is>
      </c>
      <c r="C26" s="24" t="n"/>
      <c r="D26" s="24" t="n"/>
      <c r="E26" s="24" t="n"/>
      <c r="F26" s="24" t="n"/>
      <c r="G26" s="24" t="n"/>
    </row>
    <row r="27">
      <c r="A27" s="37" t="inlineStr">
        <is>
          <t>Source URL</t>
        </is>
      </c>
      <c r="B27" s="24" t="inlineStr">
        <is>
          <t>https://www.psychiatry.org/getmedia/5f4794de-8d66-4434-99f3-784a3fd1e567/APA-DSM5TR-WHODAS2SelfAdministered.pdf</t>
        </is>
      </c>
      <c r="C27" s="24" t="n"/>
      <c r="D27" s="24" t="n"/>
      <c r="E27" s="24" t="n"/>
      <c r="F27" s="24" t="n"/>
      <c r="G27" s="24" t="n"/>
    </row>
    <row r="28">
      <c r="A28" s="37" t="inlineStr">
        <is>
          <t>Transcription note</t>
        </is>
      </c>
      <c r="B28" s="24" t="inlineStr">
        <is>
          <t>Items transcribed from the APA DSM-5-TR reproduction of the WHODAS 2.0 36 item self administered version, retrieved domain by domain. Items are numbered 1 to 36 here with the WHO item code (D1.1 to D6.8) in each note. Domain 6 items are full questions under the stem "In the past 30 days:" rather than completions of "how much difficulty did you have in:". Item D6.4 uses different response labels (None, Some, Moderate, A Lot, Extreme or cannot do). The H1 to H3 items (days affected) in the WHO interviewer version are not present in the APA self administered version. The APA page itself carries no permission statement beyond the lines quoted from the PDF. Second pass: WHO page quoted exactly; electronic use requires a WHO licence.</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Concentrating on doing something for ten minutes?</t>
        </is>
      </c>
      <c r="C32" s="24" t="inlineStr">
        <is>
          <t>Understanding and communicating</t>
        </is>
      </c>
      <c r="D32" s="24" t="inlineStr">
        <is>
          <t>FALSE</t>
        </is>
      </c>
      <c r="E32" s="24" t="inlineStr">
        <is>
          <t>FALSE</t>
        </is>
      </c>
      <c r="F32" s="24" t="inlineStr">
        <is>
          <t>Item code D1.1</t>
        </is>
      </c>
      <c r="G32" s="24" t="inlineStr">
        <is>
          <t>None = 1 | Mild = 2 | Moderate = 3 | Severe = 4 | Extreme or cannot do = 5</t>
        </is>
      </c>
    </row>
    <row r="33">
      <c r="A33" s="24" t="n">
        <v>2</v>
      </c>
      <c r="B33" s="24" t="inlineStr">
        <is>
          <t>Remembering to do important things?</t>
        </is>
      </c>
      <c r="C33" s="24" t="inlineStr">
        <is>
          <t>Understanding and communicating</t>
        </is>
      </c>
      <c r="D33" s="24" t="inlineStr">
        <is>
          <t>FALSE</t>
        </is>
      </c>
      <c r="E33" s="24" t="inlineStr">
        <is>
          <t>FALSE</t>
        </is>
      </c>
      <c r="F33" s="24" t="inlineStr">
        <is>
          <t>Item code D1.2</t>
        </is>
      </c>
      <c r="G33" s="24" t="inlineStr">
        <is>
          <t>None = 1 | Mild = 2 | Moderate = 3 | Severe = 4 | Extreme or cannot do = 5</t>
        </is>
      </c>
    </row>
    <row r="34">
      <c r="A34" s="24" t="n">
        <v>3</v>
      </c>
      <c r="B34" s="24" t="inlineStr">
        <is>
          <t>Analyzing and finding solutions to problems in day-to-day life?</t>
        </is>
      </c>
      <c r="C34" s="24" t="inlineStr">
        <is>
          <t>Understanding and communicating</t>
        </is>
      </c>
      <c r="D34" s="24" t="inlineStr">
        <is>
          <t>FALSE</t>
        </is>
      </c>
      <c r="E34" s="24" t="inlineStr">
        <is>
          <t>FALSE</t>
        </is>
      </c>
      <c r="F34" s="24" t="inlineStr">
        <is>
          <t>Item code D1.3</t>
        </is>
      </c>
      <c r="G34" s="24" t="inlineStr">
        <is>
          <t>None = 1 | Mild = 2 | Moderate = 3 | Severe = 4 | Extreme or cannot do = 5</t>
        </is>
      </c>
    </row>
    <row r="35">
      <c r="A35" s="24" t="n">
        <v>4</v>
      </c>
      <c r="B35" s="24" t="inlineStr">
        <is>
          <t>Learning a new task, for example, learning how to get to a new place?</t>
        </is>
      </c>
      <c r="C35" s="24" t="inlineStr">
        <is>
          <t>Understanding and communicating</t>
        </is>
      </c>
      <c r="D35" s="24" t="inlineStr">
        <is>
          <t>FALSE</t>
        </is>
      </c>
      <c r="E35" s="24" t="inlineStr">
        <is>
          <t>FALSE</t>
        </is>
      </c>
      <c r="F35" s="24" t="inlineStr">
        <is>
          <t>Item code D1.4</t>
        </is>
      </c>
      <c r="G35" s="24" t="inlineStr">
        <is>
          <t>None = 1 | Mild = 2 | Moderate = 3 | Severe = 4 | Extreme or cannot do = 5</t>
        </is>
      </c>
    </row>
    <row r="36">
      <c r="A36" s="24" t="n">
        <v>5</v>
      </c>
      <c r="B36" s="24" t="inlineStr">
        <is>
          <t>Generally understanding what people say?</t>
        </is>
      </c>
      <c r="C36" s="24" t="inlineStr">
        <is>
          <t>Understanding and communicating</t>
        </is>
      </c>
      <c r="D36" s="24" t="inlineStr">
        <is>
          <t>FALSE</t>
        </is>
      </c>
      <c r="E36" s="24" t="inlineStr">
        <is>
          <t>FALSE</t>
        </is>
      </c>
      <c r="F36" s="24" t="inlineStr">
        <is>
          <t>Item code D1.5</t>
        </is>
      </c>
      <c r="G36" s="24" t="inlineStr">
        <is>
          <t>None = 1 | Mild = 2 | Moderate = 3 | Severe = 4 | Extreme or cannot do = 5</t>
        </is>
      </c>
    </row>
    <row r="37">
      <c r="A37" s="24" t="n">
        <v>6</v>
      </c>
      <c r="B37" s="24" t="inlineStr">
        <is>
          <t>Starting and maintaining a conversation?</t>
        </is>
      </c>
      <c r="C37" s="24" t="inlineStr">
        <is>
          <t>Understanding and communicating</t>
        </is>
      </c>
      <c r="D37" s="24" t="inlineStr">
        <is>
          <t>FALSE</t>
        </is>
      </c>
      <c r="E37" s="24" t="inlineStr">
        <is>
          <t>FALSE</t>
        </is>
      </c>
      <c r="F37" s="24" t="inlineStr">
        <is>
          <t>Item code D1.6</t>
        </is>
      </c>
      <c r="G37" s="24" t="inlineStr">
        <is>
          <t>None = 1 | Mild = 2 | Moderate = 3 | Severe = 4 | Extreme or cannot do = 5</t>
        </is>
      </c>
    </row>
    <row r="38">
      <c r="A38" s="24" t="n">
        <v>7</v>
      </c>
      <c r="B38" s="24" t="inlineStr">
        <is>
          <t>Standing for long periods, such as 30 minutes?</t>
        </is>
      </c>
      <c r="C38" s="24" t="inlineStr">
        <is>
          <t>Getting around</t>
        </is>
      </c>
      <c r="D38" s="24" t="inlineStr">
        <is>
          <t>FALSE</t>
        </is>
      </c>
      <c r="E38" s="24" t="inlineStr">
        <is>
          <t>FALSE</t>
        </is>
      </c>
      <c r="F38" s="24" t="inlineStr">
        <is>
          <t>Item code D2.1</t>
        </is>
      </c>
      <c r="G38" s="24" t="inlineStr">
        <is>
          <t>None = 1 | Mild = 2 | Moderate = 3 | Severe = 4 | Extreme or cannot do = 5</t>
        </is>
      </c>
    </row>
    <row r="39">
      <c r="A39" s="24" t="n">
        <v>8</v>
      </c>
      <c r="B39" s="24" t="inlineStr">
        <is>
          <t>Standing up from sitting down?</t>
        </is>
      </c>
      <c r="C39" s="24" t="inlineStr">
        <is>
          <t>Getting around</t>
        </is>
      </c>
      <c r="D39" s="24" t="inlineStr">
        <is>
          <t>FALSE</t>
        </is>
      </c>
      <c r="E39" s="24" t="inlineStr">
        <is>
          <t>FALSE</t>
        </is>
      </c>
      <c r="F39" s="24" t="inlineStr">
        <is>
          <t>Item code D2.2</t>
        </is>
      </c>
      <c r="G39" s="24" t="inlineStr">
        <is>
          <t>None = 1 | Mild = 2 | Moderate = 3 | Severe = 4 | Extreme or cannot do = 5</t>
        </is>
      </c>
    </row>
    <row r="40">
      <c r="A40" s="24" t="n">
        <v>9</v>
      </c>
      <c r="B40" s="24" t="inlineStr">
        <is>
          <t>Moving around inside your home?</t>
        </is>
      </c>
      <c r="C40" s="24" t="inlineStr">
        <is>
          <t>Getting around</t>
        </is>
      </c>
      <c r="D40" s="24" t="inlineStr">
        <is>
          <t>FALSE</t>
        </is>
      </c>
      <c r="E40" s="24" t="inlineStr">
        <is>
          <t>FALSE</t>
        </is>
      </c>
      <c r="F40" s="24" t="inlineStr">
        <is>
          <t>Item code D2.3</t>
        </is>
      </c>
      <c r="G40" s="24" t="inlineStr">
        <is>
          <t>None = 1 | Mild = 2 | Moderate = 3 | Severe = 4 | Extreme or cannot do = 5</t>
        </is>
      </c>
    </row>
    <row r="41">
      <c r="A41" s="24" t="n">
        <v>10</v>
      </c>
      <c r="B41" s="24" t="inlineStr">
        <is>
          <t>Getting out of your home?</t>
        </is>
      </c>
      <c r="C41" s="24" t="inlineStr">
        <is>
          <t>Getting around</t>
        </is>
      </c>
      <c r="D41" s="24" t="inlineStr">
        <is>
          <t>FALSE</t>
        </is>
      </c>
      <c r="E41" s="24" t="inlineStr">
        <is>
          <t>FALSE</t>
        </is>
      </c>
      <c r="F41" s="24" t="inlineStr">
        <is>
          <t>Item code D2.4</t>
        </is>
      </c>
      <c r="G41" s="24" t="inlineStr">
        <is>
          <t>None = 1 | Mild = 2 | Moderate = 3 | Severe = 4 | Extreme or cannot do = 5</t>
        </is>
      </c>
    </row>
    <row r="42">
      <c r="A42" s="24" t="n">
        <v>11</v>
      </c>
      <c r="B42" s="24" t="inlineStr">
        <is>
          <t>Walking a long distance, such as a kilometer (or equivalent)?</t>
        </is>
      </c>
      <c r="C42" s="24" t="inlineStr">
        <is>
          <t>Getting around</t>
        </is>
      </c>
      <c r="D42" s="24" t="inlineStr">
        <is>
          <t>FALSE</t>
        </is>
      </c>
      <c r="E42" s="24" t="inlineStr">
        <is>
          <t>FALSE</t>
        </is>
      </c>
      <c r="F42" s="24" t="inlineStr">
        <is>
          <t>Item code D2.5</t>
        </is>
      </c>
      <c r="G42" s="24" t="inlineStr">
        <is>
          <t>None = 1 | Mild = 2 | Moderate = 3 | Severe = 4 | Extreme or cannot do = 5</t>
        </is>
      </c>
    </row>
    <row r="43">
      <c r="A43" s="24" t="n">
        <v>12</v>
      </c>
      <c r="B43" s="24" t="inlineStr">
        <is>
          <t>Washing your whole body?</t>
        </is>
      </c>
      <c r="C43" s="24" t="inlineStr">
        <is>
          <t>Self-care</t>
        </is>
      </c>
      <c r="D43" s="24" t="inlineStr">
        <is>
          <t>FALSE</t>
        </is>
      </c>
      <c r="E43" s="24" t="inlineStr">
        <is>
          <t>FALSE</t>
        </is>
      </c>
      <c r="F43" s="24" t="inlineStr">
        <is>
          <t>Item code D3.1</t>
        </is>
      </c>
      <c r="G43" s="24" t="inlineStr">
        <is>
          <t>None = 1 | Mild = 2 | Moderate = 3 | Severe = 4 | Extreme or cannot do = 5</t>
        </is>
      </c>
    </row>
    <row r="44">
      <c r="A44" s="24" t="n">
        <v>13</v>
      </c>
      <c r="B44" s="24" t="inlineStr">
        <is>
          <t>Getting dressed?</t>
        </is>
      </c>
      <c r="C44" s="24" t="inlineStr">
        <is>
          <t>Self-care</t>
        </is>
      </c>
      <c r="D44" s="24" t="inlineStr">
        <is>
          <t>FALSE</t>
        </is>
      </c>
      <c r="E44" s="24" t="inlineStr">
        <is>
          <t>FALSE</t>
        </is>
      </c>
      <c r="F44" s="24" t="inlineStr">
        <is>
          <t>Item code D3.2</t>
        </is>
      </c>
      <c r="G44" s="24" t="inlineStr">
        <is>
          <t>None = 1 | Mild = 2 | Moderate = 3 | Severe = 4 | Extreme or cannot do = 5</t>
        </is>
      </c>
    </row>
    <row r="45">
      <c r="A45" s="24" t="n">
        <v>14</v>
      </c>
      <c r="B45" s="24" t="inlineStr">
        <is>
          <t>Eating?</t>
        </is>
      </c>
      <c r="C45" s="24" t="inlineStr">
        <is>
          <t>Self-care</t>
        </is>
      </c>
      <c r="D45" s="24" t="inlineStr">
        <is>
          <t>FALSE</t>
        </is>
      </c>
      <c r="E45" s="24" t="inlineStr">
        <is>
          <t>FALSE</t>
        </is>
      </c>
      <c r="F45" s="24" t="inlineStr">
        <is>
          <t>Item code D3.3</t>
        </is>
      </c>
      <c r="G45" s="24" t="inlineStr">
        <is>
          <t>None = 1 | Mild = 2 | Moderate = 3 | Severe = 4 | Extreme or cannot do = 5</t>
        </is>
      </c>
    </row>
    <row r="46">
      <c r="A46" s="24" t="n">
        <v>15</v>
      </c>
      <c r="B46" s="24" t="inlineStr">
        <is>
          <t>Staying by yourself for a few days?</t>
        </is>
      </c>
      <c r="C46" s="24" t="inlineStr">
        <is>
          <t>Self-care</t>
        </is>
      </c>
      <c r="D46" s="24" t="inlineStr">
        <is>
          <t>FALSE</t>
        </is>
      </c>
      <c r="E46" s="24" t="inlineStr">
        <is>
          <t>FALSE</t>
        </is>
      </c>
      <c r="F46" s="24" t="inlineStr">
        <is>
          <t>Item code D3.4</t>
        </is>
      </c>
      <c r="G46" s="24" t="inlineStr">
        <is>
          <t>None = 1 | Mild = 2 | Moderate = 3 | Severe = 4 | Extreme or cannot do = 5</t>
        </is>
      </c>
    </row>
    <row r="47">
      <c r="A47" s="24" t="n">
        <v>16</v>
      </c>
      <c r="B47" s="24" t="inlineStr">
        <is>
          <t>Dealing with people you do not know?</t>
        </is>
      </c>
      <c r="C47" s="24" t="inlineStr">
        <is>
          <t>Getting along with people</t>
        </is>
      </c>
      <c r="D47" s="24" t="inlineStr">
        <is>
          <t>FALSE</t>
        </is>
      </c>
      <c r="E47" s="24" t="inlineStr">
        <is>
          <t>FALSE</t>
        </is>
      </c>
      <c r="F47" s="24" t="inlineStr">
        <is>
          <t>Item code D4.1</t>
        </is>
      </c>
      <c r="G47" s="24" t="inlineStr">
        <is>
          <t>None = 1 | Mild = 2 | Moderate = 3 | Severe = 4 | Extreme or cannot do = 5</t>
        </is>
      </c>
    </row>
    <row r="48">
      <c r="A48" s="24" t="n">
        <v>17</v>
      </c>
      <c r="B48" s="24" t="inlineStr">
        <is>
          <t>Maintaining a friendship?</t>
        </is>
      </c>
      <c r="C48" s="24" t="inlineStr">
        <is>
          <t>Getting along with people</t>
        </is>
      </c>
      <c r="D48" s="24" t="inlineStr">
        <is>
          <t>FALSE</t>
        </is>
      </c>
      <c r="E48" s="24" t="inlineStr">
        <is>
          <t>FALSE</t>
        </is>
      </c>
      <c r="F48" s="24" t="inlineStr">
        <is>
          <t>Item code D4.2</t>
        </is>
      </c>
      <c r="G48" s="24" t="inlineStr">
        <is>
          <t>None = 1 | Mild = 2 | Moderate = 3 | Severe = 4 | Extreme or cannot do = 5</t>
        </is>
      </c>
    </row>
    <row r="49">
      <c r="A49" s="24" t="n">
        <v>18</v>
      </c>
      <c r="B49" s="24" t="inlineStr">
        <is>
          <t>Getting along with people who are close to you?</t>
        </is>
      </c>
      <c r="C49" s="24" t="inlineStr">
        <is>
          <t>Getting along with people</t>
        </is>
      </c>
      <c r="D49" s="24" t="inlineStr">
        <is>
          <t>FALSE</t>
        </is>
      </c>
      <c r="E49" s="24" t="inlineStr">
        <is>
          <t>FALSE</t>
        </is>
      </c>
      <c r="F49" s="24" t="inlineStr">
        <is>
          <t>Item code D4.3</t>
        </is>
      </c>
      <c r="G49" s="24" t="inlineStr">
        <is>
          <t>None = 1 | Mild = 2 | Moderate = 3 | Severe = 4 | Extreme or cannot do = 5</t>
        </is>
      </c>
    </row>
    <row r="50">
      <c r="A50" s="24" t="n">
        <v>19</v>
      </c>
      <c r="B50" s="24" t="inlineStr">
        <is>
          <t>Making new friends?</t>
        </is>
      </c>
      <c r="C50" s="24" t="inlineStr">
        <is>
          <t>Getting along with people</t>
        </is>
      </c>
      <c r="D50" s="24" t="inlineStr">
        <is>
          <t>FALSE</t>
        </is>
      </c>
      <c r="E50" s="24" t="inlineStr">
        <is>
          <t>FALSE</t>
        </is>
      </c>
      <c r="F50" s="24" t="inlineStr">
        <is>
          <t>Item code D4.4</t>
        </is>
      </c>
      <c r="G50" s="24" t="inlineStr">
        <is>
          <t>None = 1 | Mild = 2 | Moderate = 3 | Severe = 4 | Extreme or cannot do = 5</t>
        </is>
      </c>
    </row>
    <row r="51">
      <c r="A51" s="24" t="n">
        <v>20</v>
      </c>
      <c r="B51" s="24" t="inlineStr">
        <is>
          <t>Sexual activities?</t>
        </is>
      </c>
      <c r="C51" s="24" t="inlineStr">
        <is>
          <t>Getting along with people</t>
        </is>
      </c>
      <c r="D51" s="24" t="inlineStr">
        <is>
          <t>FALSE</t>
        </is>
      </c>
      <c r="E51" s="24" t="inlineStr">
        <is>
          <t>FALSE</t>
        </is>
      </c>
      <c r="F51" s="24" t="inlineStr">
        <is>
          <t>Item code D4.5</t>
        </is>
      </c>
      <c r="G51" s="24" t="inlineStr">
        <is>
          <t>None = 1 | Mild = 2 | Moderate = 3 | Severe = 4 | Extreme or cannot do = 5</t>
        </is>
      </c>
    </row>
    <row r="52">
      <c r="A52" s="24" t="n">
        <v>21</v>
      </c>
      <c r="B52" s="24" t="inlineStr">
        <is>
          <t>Taking care of your household responsibilities?</t>
        </is>
      </c>
      <c r="C52" s="24" t="inlineStr">
        <is>
          <t>Life activities</t>
        </is>
      </c>
      <c r="D52" s="24" t="inlineStr">
        <is>
          <t>FALSE</t>
        </is>
      </c>
      <c r="E52" s="24" t="inlineStr">
        <is>
          <t>FALSE</t>
        </is>
      </c>
      <c r="F52" s="24" t="inlineStr">
        <is>
          <t>Item code D5.1; Life activities—Household</t>
        </is>
      </c>
      <c r="G52" s="24" t="inlineStr">
        <is>
          <t>None = 1 | Mild = 2 | Moderate = 3 | Severe = 4 | Extreme or cannot do = 5</t>
        </is>
      </c>
    </row>
    <row r="53">
      <c r="A53" s="24" t="n">
        <v>22</v>
      </c>
      <c r="B53" s="24" t="inlineStr">
        <is>
          <t>Doing most important household tasks well?</t>
        </is>
      </c>
      <c r="C53" s="24" t="inlineStr">
        <is>
          <t>Life activities</t>
        </is>
      </c>
      <c r="D53" s="24" t="inlineStr">
        <is>
          <t>FALSE</t>
        </is>
      </c>
      <c r="E53" s="24" t="inlineStr">
        <is>
          <t>FALSE</t>
        </is>
      </c>
      <c r="F53" s="24" t="inlineStr">
        <is>
          <t>Item code D5.2; Life activities—Household</t>
        </is>
      </c>
      <c r="G53" s="24" t="inlineStr">
        <is>
          <t>None = 1 | Mild = 2 | Moderate = 3 | Severe = 4 | Extreme or cannot do = 5</t>
        </is>
      </c>
    </row>
    <row r="54">
      <c r="A54" s="24" t="n">
        <v>23</v>
      </c>
      <c r="B54" s="24" t="inlineStr">
        <is>
          <t>Getting all of the household work done that you needed to do?</t>
        </is>
      </c>
      <c r="C54" s="24" t="inlineStr">
        <is>
          <t>Life activities</t>
        </is>
      </c>
      <c r="D54" s="24" t="inlineStr">
        <is>
          <t>FALSE</t>
        </is>
      </c>
      <c r="E54" s="24" t="inlineStr">
        <is>
          <t>FALSE</t>
        </is>
      </c>
      <c r="F54" s="24" t="inlineStr">
        <is>
          <t>Item code D5.3; Life activities—Household</t>
        </is>
      </c>
      <c r="G54" s="24" t="inlineStr">
        <is>
          <t>None = 1 | Mild = 2 | Moderate = 3 | Severe = 4 | Extreme or cannot do = 5</t>
        </is>
      </c>
    </row>
    <row r="55">
      <c r="A55" s="24" t="n">
        <v>24</v>
      </c>
      <c r="B55" s="24" t="inlineStr">
        <is>
          <t>Getting your household work done as quickly as needed?</t>
        </is>
      </c>
      <c r="C55" s="24" t="inlineStr">
        <is>
          <t>Life activities</t>
        </is>
      </c>
      <c r="D55" s="24" t="inlineStr">
        <is>
          <t>FALSE</t>
        </is>
      </c>
      <c r="E55" s="24" t="inlineStr">
        <is>
          <t>FALSE</t>
        </is>
      </c>
      <c r="F55" s="24" t="inlineStr">
        <is>
          <t>Item code D5.4; Life activities—Household</t>
        </is>
      </c>
      <c r="G55" s="24" t="inlineStr">
        <is>
          <t>None = 1 | Mild = 2 | Moderate = 3 | Severe = 4 | Extreme or cannot do = 5</t>
        </is>
      </c>
    </row>
    <row r="56">
      <c r="A56" s="24" t="n">
        <v>25</v>
      </c>
      <c r="B56" s="24" t="inlineStr">
        <is>
          <t>Your day-to-day work/school?</t>
        </is>
      </c>
      <c r="C56" s="24" t="inlineStr">
        <is>
          <t>Life activities</t>
        </is>
      </c>
      <c r="D56" s="24" t="inlineStr">
        <is>
          <t>FALSE</t>
        </is>
      </c>
      <c r="E56" s="24" t="inlineStr">
        <is>
          <t>FALSE</t>
        </is>
      </c>
      <c r="F56" s="24" t="inlineStr">
        <is>
          <t>Item code D5.5; Life activities—School/Work</t>
        </is>
      </c>
      <c r="G56" s="24" t="inlineStr">
        <is>
          <t>None = 1 | Mild = 2 | Moderate = 3 | Severe = 4 | Extreme or cannot do = 5</t>
        </is>
      </c>
    </row>
    <row r="57">
      <c r="A57" s="24" t="n">
        <v>26</v>
      </c>
      <c r="B57" s="24" t="inlineStr">
        <is>
          <t>Doing your most important work/school tasks well?</t>
        </is>
      </c>
      <c r="C57" s="24" t="inlineStr">
        <is>
          <t>Life activities</t>
        </is>
      </c>
      <c r="D57" s="24" t="inlineStr">
        <is>
          <t>FALSE</t>
        </is>
      </c>
      <c r="E57" s="24" t="inlineStr">
        <is>
          <t>FALSE</t>
        </is>
      </c>
      <c r="F57" s="24" t="inlineStr">
        <is>
          <t>Item code D5.6; Life activities—School/Work</t>
        </is>
      </c>
      <c r="G57" s="24" t="inlineStr">
        <is>
          <t>None = 1 | Mild = 2 | Moderate = 3 | Severe = 4 | Extreme or cannot do = 5</t>
        </is>
      </c>
    </row>
    <row r="58">
      <c r="A58" s="24" t="n">
        <v>27</v>
      </c>
      <c r="B58" s="24" t="inlineStr">
        <is>
          <t>Getting all of the work done that you need to do?</t>
        </is>
      </c>
      <c r="C58" s="24" t="inlineStr">
        <is>
          <t>Life activities</t>
        </is>
      </c>
      <c r="D58" s="24" t="inlineStr">
        <is>
          <t>FALSE</t>
        </is>
      </c>
      <c r="E58" s="24" t="inlineStr">
        <is>
          <t>FALSE</t>
        </is>
      </c>
      <c r="F58" s="24" t="inlineStr">
        <is>
          <t>Item code D5.7; Life activities—School/Work</t>
        </is>
      </c>
      <c r="G58" s="24" t="inlineStr">
        <is>
          <t>None = 1 | Mild = 2 | Moderate = 3 | Severe = 4 | Extreme or cannot do = 5</t>
        </is>
      </c>
    </row>
    <row r="59">
      <c r="A59" s="24" t="n">
        <v>28</v>
      </c>
      <c r="B59" s="24" t="inlineStr">
        <is>
          <t>Getting your work done as quickly as needed?</t>
        </is>
      </c>
      <c r="C59" s="24" t="inlineStr">
        <is>
          <t>Life activities</t>
        </is>
      </c>
      <c r="D59" s="24" t="inlineStr">
        <is>
          <t>FALSE</t>
        </is>
      </c>
      <c r="E59" s="24" t="inlineStr">
        <is>
          <t>FALSE</t>
        </is>
      </c>
      <c r="F59" s="24" t="inlineStr">
        <is>
          <t>Item code D5.8; Life activities—School/Work</t>
        </is>
      </c>
      <c r="G59" s="24" t="inlineStr">
        <is>
          <t>None = 1 | Mild = 2 | Moderate = 3 | Severe = 4 | Extreme or cannot do = 5</t>
        </is>
      </c>
    </row>
    <row r="60">
      <c r="A60" s="24" t="n">
        <v>29</v>
      </c>
      <c r="B60" s="24" t="inlineStr">
        <is>
          <t>How much of a problem did you have in joining in community activities (for example, festivities, religious, or other activities) in the same way as anyone else can?</t>
        </is>
      </c>
      <c r="C60" s="24" t="inlineStr">
        <is>
          <t>Participation in society</t>
        </is>
      </c>
      <c r="D60" s="24" t="inlineStr">
        <is>
          <t>FALSE</t>
        </is>
      </c>
      <c r="E60" s="24" t="inlineStr">
        <is>
          <t>FALSE</t>
        </is>
      </c>
      <c r="F60" s="24" t="inlineStr">
        <is>
          <t>Item code D6.1; stem for domain 6 is "In the past 30 days:"</t>
        </is>
      </c>
      <c r="G60" s="24" t="inlineStr">
        <is>
          <t>None = 1 | Mild = 2 | Moderate = 3 | Severe = 4 | Extreme or cannot do = 5</t>
        </is>
      </c>
    </row>
    <row r="61">
      <c r="A61" s="24" t="n">
        <v>30</v>
      </c>
      <c r="B61" s="24" t="inlineStr">
        <is>
          <t>How much of a problem did you have because of barriers or hindrances around you?</t>
        </is>
      </c>
      <c r="C61" s="24" t="inlineStr">
        <is>
          <t>Participation in society</t>
        </is>
      </c>
      <c r="D61" s="24" t="inlineStr">
        <is>
          <t>FALSE</t>
        </is>
      </c>
      <c r="E61" s="24" t="inlineStr">
        <is>
          <t>FALSE</t>
        </is>
      </c>
      <c r="F61" s="24" t="inlineStr">
        <is>
          <t>Item code D6.2; stem for domain 6 is "In the past 30 days:"</t>
        </is>
      </c>
      <c r="G61" s="24" t="inlineStr">
        <is>
          <t>None = 1 | Mild = 2 | Moderate = 3 | Severe = 4 | Extreme or cannot do = 5</t>
        </is>
      </c>
    </row>
    <row r="62">
      <c r="A62" s="24" t="n">
        <v>31</v>
      </c>
      <c r="B62" s="24" t="inlineStr">
        <is>
          <t>How much of a problem did you have living with dignity because of the attitudes and actions of others?</t>
        </is>
      </c>
      <c r="C62" s="24" t="inlineStr">
        <is>
          <t>Participation in society</t>
        </is>
      </c>
      <c r="D62" s="24" t="inlineStr">
        <is>
          <t>FALSE</t>
        </is>
      </c>
      <c r="E62" s="24" t="inlineStr">
        <is>
          <t>FALSE</t>
        </is>
      </c>
      <c r="F62" s="24" t="inlineStr">
        <is>
          <t>Item code D6.3; stem for domain 6 is "In the past 30 days:"</t>
        </is>
      </c>
      <c r="G62" s="24" t="inlineStr">
        <is>
          <t>None = 1 | Mild = 2 | Moderate = 3 | Severe = 4 | Extreme or cannot do = 5</t>
        </is>
      </c>
    </row>
    <row r="63">
      <c r="A63" s="24" t="n">
        <v>32</v>
      </c>
      <c r="B63" s="24" t="inlineStr">
        <is>
          <t>How much time did you spend on your health condition or its consequences?</t>
        </is>
      </c>
      <c r="C63" s="24" t="inlineStr">
        <is>
          <t>Participation in society</t>
        </is>
      </c>
      <c r="D63" s="24" t="inlineStr">
        <is>
          <t>FALSE</t>
        </is>
      </c>
      <c r="E63" s="24" t="inlineStr">
        <is>
          <t>FALSE</t>
        </is>
      </c>
      <c r="F63" s="24" t="inlineStr">
        <is>
          <t>Item code D6.4; response labels for this item are None, Some, Moderate, A Lot, Extreme or cannot do (1 to 5); stem for domain 6 is "In the past 30 days:"</t>
        </is>
      </c>
      <c r="G63" s="24" t="inlineStr">
        <is>
          <t>None = 1 | Mild = 2 | Moderate = 3 | Severe = 4 | Extreme or cannot do = 5</t>
        </is>
      </c>
    </row>
    <row r="64">
      <c r="A64" s="24" t="n">
        <v>33</v>
      </c>
      <c r="B64" s="24" t="inlineStr">
        <is>
          <t>How much have you been emotionally affected by your health condition?</t>
        </is>
      </c>
      <c r="C64" s="24" t="inlineStr">
        <is>
          <t>Participation in society</t>
        </is>
      </c>
      <c r="D64" s="24" t="inlineStr">
        <is>
          <t>FALSE</t>
        </is>
      </c>
      <c r="E64" s="24" t="inlineStr">
        <is>
          <t>FALSE</t>
        </is>
      </c>
      <c r="F64" s="24" t="inlineStr">
        <is>
          <t>Item code D6.5; stem for domain 6 is "In the past 30 days:"</t>
        </is>
      </c>
      <c r="G64" s="24" t="inlineStr">
        <is>
          <t>None = 1 | Mild = 2 | Moderate = 3 | Severe = 4 | Extreme or cannot do = 5</t>
        </is>
      </c>
    </row>
    <row r="65">
      <c r="A65" s="24" t="n">
        <v>34</v>
      </c>
      <c r="B65" s="24" t="inlineStr">
        <is>
          <t>How much has your health been a drain on the financial resources of you or your family?</t>
        </is>
      </c>
      <c r="C65" s="24" t="inlineStr">
        <is>
          <t>Participation in society</t>
        </is>
      </c>
      <c r="D65" s="24" t="inlineStr">
        <is>
          <t>FALSE</t>
        </is>
      </c>
      <c r="E65" s="24" t="inlineStr">
        <is>
          <t>FALSE</t>
        </is>
      </c>
      <c r="F65" s="24" t="inlineStr">
        <is>
          <t>Item code D6.6; stem for domain 6 is "In the past 30 days:"</t>
        </is>
      </c>
      <c r="G65" s="24" t="inlineStr">
        <is>
          <t>None = 1 | Mild = 2 | Moderate = 3 | Severe = 4 | Extreme or cannot do = 5</t>
        </is>
      </c>
    </row>
    <row r="66">
      <c r="A66" s="24" t="n">
        <v>35</v>
      </c>
      <c r="B66" s="24" t="inlineStr">
        <is>
          <t>How much of a problem did your family have because of your health problems?</t>
        </is>
      </c>
      <c r="C66" s="24" t="inlineStr">
        <is>
          <t>Participation in society</t>
        </is>
      </c>
      <c r="D66" s="24" t="inlineStr">
        <is>
          <t>FALSE</t>
        </is>
      </c>
      <c r="E66" s="24" t="inlineStr">
        <is>
          <t>FALSE</t>
        </is>
      </c>
      <c r="F66" s="24" t="inlineStr">
        <is>
          <t>Item code D6.7; stem for domain 6 is "In the past 30 days:"</t>
        </is>
      </c>
      <c r="G66" s="24" t="inlineStr">
        <is>
          <t>None = 1 | Mild = 2 | Moderate = 3 | Severe = 4 | Extreme or cannot do = 5</t>
        </is>
      </c>
    </row>
    <row r="67">
      <c r="A67" s="24" t="n">
        <v>36</v>
      </c>
      <c r="B67" s="24" t="inlineStr">
        <is>
          <t>How much of a problem did you have in doing things by yourself for relaxation or pleasure?</t>
        </is>
      </c>
      <c r="C67" s="24" t="inlineStr">
        <is>
          <t>Participation in society</t>
        </is>
      </c>
      <c r="D67" s="24" t="inlineStr">
        <is>
          <t>FALSE</t>
        </is>
      </c>
      <c r="E67" s="24" t="inlineStr">
        <is>
          <t>FALSE</t>
        </is>
      </c>
      <c r="F67" s="24" t="inlineStr">
        <is>
          <t>Item code D6.8; stem for domain 6 is "In the past 30 days:"</t>
        </is>
      </c>
      <c r="G67" s="24" t="inlineStr">
        <is>
          <t>None = 1 | Mild = 2 | Moderate = 3 | Severe = 4 | Extreme or cannot do = 5</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26" customWidth="1" style="17" min="1" max="1"/>
    <col width="90" customWidth="1" style="17" min="2" max="2"/>
    <col width="28" customWidth="1" style="17" min="3" max="3"/>
    <col width="40" customWidth="1" style="17" min="6" max="6"/>
    <col width="40" customWidth="1" style="17" min="7" max="7"/>
  </cols>
  <sheetData>
    <row r="1">
      <c r="A1" s="36" t="inlineStr">
        <is>
          <t>Work and Social Adjustment Scale</t>
        </is>
      </c>
    </row>
    <row r="3">
      <c r="A3" s="37" t="inlineStr">
        <is>
          <t>Instrument</t>
        </is>
      </c>
      <c r="B3" s="24" t="inlineStr">
        <is>
          <t>Work and Social Adjustment Scale</t>
        </is>
      </c>
      <c r="C3" s="24" t="n"/>
      <c r="D3" s="24" t="n"/>
      <c r="E3" s="24" t="n"/>
      <c r="F3" s="24" t="n"/>
      <c r="G3" s="24" t="n"/>
    </row>
    <row r="4">
      <c r="A4" s="37" t="inlineStr">
        <is>
          <t>Code</t>
        </is>
      </c>
      <c r="B4" s="24" t="inlineStr">
        <is>
          <t>WSAS</t>
        </is>
      </c>
      <c r="C4" s="24" t="n"/>
      <c r="D4" s="24" t="n"/>
      <c r="E4" s="24" t="n"/>
      <c r="F4" s="24" t="n"/>
      <c r="G4" s="24" t="n"/>
    </row>
    <row r="5">
      <c r="A5" s="37" t="inlineStr">
        <is>
          <t>Domain</t>
        </is>
      </c>
      <c r="B5" s="24" t="inlineStr">
        <is>
          <t>8. Functioning and health</t>
        </is>
      </c>
      <c r="C5" s="24" t="n"/>
      <c r="D5" s="24" t="n"/>
      <c r="E5" s="24" t="n"/>
      <c r="F5" s="24" t="n"/>
      <c r="G5" s="24" t="n"/>
    </row>
    <row r="6">
      <c r="A6" s="37" t="inlineStr">
        <is>
          <t>Availability</t>
        </is>
      </c>
      <c r="B6" s="24" t="inlineStr">
        <is>
          <t>Free / open access</t>
        </is>
      </c>
      <c r="C6" s="24" t="n"/>
      <c r="D6" s="24" t="n"/>
      <c r="E6" s="24" t="n"/>
      <c r="F6" s="24" t="n"/>
      <c r="G6" s="24" t="n"/>
    </row>
    <row r="7">
      <c r="A7" s="37" t="inlineStr">
        <is>
          <t>Construct</t>
        </is>
      </c>
      <c r="B7" s="24" t="inlineStr">
        <is>
          <t>Functional impairment attributable to an identified problem across work, home management, social leisure, private leisure and close relationships.</t>
        </is>
      </c>
      <c r="C7" s="24" t="n"/>
      <c r="D7" s="24" t="n"/>
      <c r="E7" s="24" t="n"/>
      <c r="F7" s="24" t="n"/>
      <c r="G7" s="24" t="n"/>
    </row>
    <row r="8">
      <c r="A8" s="37" t="inlineStr">
        <is>
          <t>Respondent</t>
        </is>
      </c>
      <c r="B8" s="24" t="inlineStr">
        <is>
          <t>Self report</t>
        </is>
      </c>
      <c r="C8" s="24" t="n"/>
      <c r="D8" s="24" t="n"/>
      <c r="E8" s="24" t="n"/>
      <c r="F8" s="24" t="n"/>
      <c r="G8" s="24" t="n"/>
    </row>
    <row r="9">
      <c r="A9" s="37" t="inlineStr">
        <is>
          <t>Age range</t>
        </is>
      </c>
      <c r="B9" s="24" t="inlineStr">
        <is>
          <t>18+</t>
        </is>
      </c>
      <c r="C9" s="24" t="n"/>
      <c r="D9" s="24" t="n"/>
      <c r="E9" s="24" t="n"/>
      <c r="F9" s="24" t="n"/>
      <c r="G9" s="24" t="n"/>
    </row>
    <row r="10">
      <c r="A10" s="37" t="inlineStr">
        <is>
          <t>Items in instrument</t>
        </is>
      </c>
      <c r="B10" s="24" t="n">
        <v>5</v>
      </c>
      <c r="C10" s="24" t="n"/>
      <c r="D10" s="24" t="n"/>
      <c r="E10" s="24" t="n"/>
      <c r="F10" s="24" t="n"/>
      <c r="G10" s="24" t="n"/>
    </row>
    <row r="11">
      <c r="A11" s="37" t="inlineStr">
        <is>
          <t>Items reproduced here</t>
        </is>
      </c>
      <c r="B11" s="24" t="n">
        <v>5</v>
      </c>
      <c r="C11" s="24" t="n"/>
      <c r="D11" s="24" t="n"/>
      <c r="E11" s="24" t="n"/>
      <c r="F11" s="24" t="n"/>
      <c r="G11" s="24" t="n"/>
    </row>
    <row r="12">
      <c r="A12" s="37" t="inlineStr">
        <is>
          <t>Administration time</t>
        </is>
      </c>
      <c r="B12" s="24" t="inlineStr">
        <is>
          <t>2 minutes</t>
        </is>
      </c>
      <c r="C12" s="24" t="n"/>
      <c r="D12" s="24" t="n"/>
      <c r="E12" s="24" t="n"/>
      <c r="F12" s="24" t="n"/>
      <c r="G12" s="24" t="n"/>
    </row>
    <row r="13">
      <c r="A13" s="37" t="inlineStr">
        <is>
          <t>Cost and access</t>
        </is>
      </c>
      <c r="B13" s="24"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t>
        </is>
      </c>
      <c r="C13" s="24" t="n"/>
      <c r="D13" s="24" t="n"/>
      <c r="E13" s="24" t="n"/>
      <c r="F13" s="24" t="n"/>
      <c r="G13" s="24" t="n"/>
    </row>
    <row r="14">
      <c r="A14" s="37" t="inlineStr">
        <is>
          <t>Coaching application</t>
        </is>
      </c>
      <c r="B14" s="24" t="inlineStr">
        <is>
          <t>Arguably the most coaching friendly brief functioning measure, since the work item isolates occupational impact; adaptable by naming the client's presenting issue in the stem.</t>
        </is>
      </c>
      <c r="C14" s="24" t="n"/>
      <c r="D14" s="24" t="n"/>
      <c r="E14" s="24" t="n"/>
      <c r="F14" s="24" t="n"/>
      <c r="G14" s="24" t="n"/>
    </row>
    <row r="15">
      <c r="A15" s="37" t="inlineStr">
        <is>
          <t>Purpose</t>
        </is>
      </c>
      <c r="B15" s="24" t="inlineStr">
        <is>
          <t>Functional impairment attributable to an identified problem across work, home management, social leisure, private leisure and close relationships.</t>
        </is>
      </c>
      <c r="C15" s="24" t="n"/>
      <c r="D15" s="24" t="n"/>
      <c r="E15" s="24" t="n"/>
      <c r="F15" s="24" t="n"/>
      <c r="G15" s="24" t="n"/>
    </row>
    <row r="16">
      <c r="A16" s="37" t="inlineStr">
        <is>
          <t>Instructions / prompt</t>
        </is>
      </c>
      <c r="B16" s="24" t="inlineStr">
        <is>
          <t>Over the last two weeks, or since your last consultation if more recent, please rate how much the ways you think, feel, or behave impair your ability to do each of the everyday activities described in the following items? Use the following scale:</t>
        </is>
      </c>
      <c r="C16" s="24" t="n"/>
      <c r="D16" s="24" t="n"/>
      <c r="E16" s="24" t="n"/>
      <c r="F16" s="24" t="n"/>
      <c r="G16" s="24" t="n"/>
    </row>
    <row r="17">
      <c r="A17" s="37" t="inlineStr">
        <is>
          <t>Response options</t>
        </is>
      </c>
      <c r="B17" s="24" t="inlineStr">
        <is>
          <t>Not at all impaired = 0 | 1 = 1 | Slightly impaired = 2 | 3 = 3 | Definitely impaired = 4 | 5 = 5 | Markedly impaired = 6 | 7 = 7 | Very severely impaired = 8</t>
        </is>
      </c>
      <c r="C17" s="24" t="n"/>
      <c r="D17" s="24" t="n"/>
      <c r="E17" s="24" t="n"/>
      <c r="F17" s="24" t="n"/>
      <c r="G17" s="24" t="n"/>
    </row>
    <row r="18">
      <c r="A18" s="37" t="inlineStr">
        <is>
          <t>Reverse-scored items</t>
        </is>
      </c>
      <c r="B18" s="24" t="inlineStr">
        <is>
          <t>None</t>
        </is>
      </c>
      <c r="C18" s="24" t="n"/>
      <c r="D18" s="24" t="n"/>
      <c r="E18" s="24" t="n"/>
      <c r="F18" s="24" t="n"/>
      <c r="G18" s="24" t="n"/>
    </row>
    <row r="19">
      <c r="A19" s="37" t="inlineStr">
        <is>
          <t>Filler items (not scored)</t>
        </is>
      </c>
      <c r="B19" s="24" t="inlineStr">
        <is>
          <t>None</t>
        </is>
      </c>
      <c r="C19" s="24" t="n"/>
      <c r="D19" s="24" t="n"/>
      <c r="E19" s="24" t="n"/>
      <c r="F19" s="24" t="n"/>
      <c r="G19" s="24" t="n"/>
    </row>
    <row r="20">
      <c r="A20" s="37" t="inlineStr">
        <is>
          <t>Total scoring</t>
        </is>
      </c>
      <c r="B20" s="24" t="inlineStr">
        <is>
          <t>Sum the 5 items for a total of 0 to 40; higher scores indicate greater impairment. Mundt et al. (2002): scores above 20 suggest moderately severe or worse psychopathology; 10 to 20 is associated with significant functional impairment but less severe symptomatology; below 10 is associated with subclinical populations. If item 1 is N/A, NHS Talking Therapies practice is to score the remaining items and interpret the total with caution or prorate.</t>
        </is>
      </c>
      <c r="C20" s="24" t="n"/>
      <c r="D20" s="24" t="n"/>
      <c r="E20" s="24" t="n"/>
      <c r="F20" s="24" t="n"/>
      <c r="G20" s="24" t="n"/>
    </row>
    <row r="21">
      <c r="A21" s="37" t="inlineStr">
        <is>
          <t>Interpretation bands</t>
        </is>
      </c>
      <c r="B21" s="24" t="inlineStr">
        <is>
          <t>See Total scoring</t>
        </is>
      </c>
      <c r="C21" s="24" t="n"/>
      <c r="D21" s="24" t="n"/>
      <c r="E21" s="24" t="n"/>
      <c r="F21" s="24" t="n"/>
      <c r="G21" s="24" t="n"/>
    </row>
    <row r="22">
      <c r="A22" s="37" t="inlineStr">
        <is>
          <t>Cut-offs</t>
        </is>
      </c>
      <c r="B22" s="24" t="inlineStr">
        <is>
          <t>See Total scoring</t>
        </is>
      </c>
      <c r="C22" s="24" t="n"/>
      <c r="D22" s="24" t="n"/>
      <c r="E22" s="24" t="n"/>
      <c r="F22" s="24" t="n"/>
      <c r="G22" s="24" t="n"/>
    </row>
    <row r="23">
      <c r="A23" s="37" t="inlineStr">
        <is>
          <t>Normative data</t>
        </is>
      </c>
      <c r="B23" s="24" t="inlineStr">
        <is>
          <t>Not stated on source</t>
        </is>
      </c>
      <c r="C23" s="24" t="n"/>
      <c r="D23" s="24" t="n"/>
      <c r="E23" s="24" t="n"/>
      <c r="F23" s="24" t="n"/>
      <c r="G23" s="24" t="n"/>
    </row>
    <row r="24">
      <c r="A24" s="37" t="inlineStr">
        <is>
          <t>Psychometric properties</t>
        </is>
      </c>
      <c r="B24" s="24" t="inlineStr">
        <is>
          <t>Not stated on source</t>
        </is>
      </c>
      <c r="C24" s="24" t="n"/>
      <c r="D24" s="24" t="n"/>
      <c r="E24" s="24" t="n"/>
      <c r="F24" s="24" t="n"/>
      <c r="G24" s="24" t="n"/>
    </row>
    <row r="25">
      <c r="A25" s="37" t="inlineStr">
        <is>
          <t>Developer citation</t>
        </is>
      </c>
      <c r="B25" s="24" t="inlineStr">
        <is>
          <t>Mundt, J. C., Marks, I. M., Shear, M. K., &amp; Greist, J. M. (2002). The Work and Social Adjustment Scale: A simple measure of impairment in functioning. British Journal of Psychiatry, 180(5), 461–464. https://doi.org/10.1192/bjp.180.5.461</t>
        </is>
      </c>
      <c r="C25" s="24" t="n"/>
      <c r="D25" s="24" t="n"/>
      <c r="E25" s="24" t="n"/>
      <c r="F25" s="24" t="n"/>
      <c r="G25" s="24" t="n"/>
    </row>
    <row r="26">
      <c r="A26" s="37" t="inlineStr">
        <is>
          <t>Copyright and licensing</t>
        </is>
      </c>
      <c r="B26" s="24" t="inlineStr">
        <is>
          <t>Mundt et al. (2002): "The copyright in WSAS is owned by I. M. M." Permission for use in research without charge is obtained from Dr Marks. Form reproduced here: "Work and Social Adjustment Scale – WSAS © James C. Mundt and Isaac M. Marks, 2002. Adapted by the MSSS with permission from the authors." The NHS Talking Therapies manual lists the WSAS as a free required outcome measure. Source: https://www.england.nhs.uk/publication/the-improving-access-to-psychological-therapies-manual/</t>
        </is>
      </c>
      <c r="C26" s="24" t="n"/>
      <c r="D26" s="24" t="n"/>
      <c r="E26" s="24" t="n"/>
      <c r="F26" s="24" t="n"/>
      <c r="G26" s="24" t="n"/>
    </row>
    <row r="27">
      <c r="A27" s="37" t="inlineStr">
        <is>
          <t>Source URL</t>
        </is>
      </c>
      <c r="B27" s="24" t="inlineStr">
        <is>
          <t>https://www.ciusss-capitalenationale.gouv.qc.ca/sites/d8/files/docs/ProfSante/SanteMentale/DSMDI_Form-questionnaire-WSAS_EN.pdf</t>
        </is>
      </c>
      <c r="C27" s="24" t="n"/>
      <c r="D27" s="24" t="n"/>
      <c r="E27" s="24" t="n"/>
      <c r="F27" s="24" t="n"/>
      <c r="G27" s="24" t="n"/>
    </row>
    <row r="28">
      <c r="A28" s="37" t="inlineStr">
        <is>
          <t>Transcription note</t>
        </is>
      </c>
      <c r="B28" s="24" t="inlineStr">
        <is>
          <t>Items and instructions transcribed from the English MSSS (Quebec) form hosted by CIUSSS de la Capitale-Nationale, which is an adaptation with permission: the stem reads 'Because of the ways I think, feel, or behave' where the Mundt et al. (2002) original reads 'Because of my [disorder]', and the instruction references the last two weeks or last consultation. The Cambridge Core article page was fetched but the WebFetch model would not reproduce the appendix verbatim; the Mind toolkit PDF (target sourceUrl) does not contain the WSAS. The response labels Not at all, Slightly, Definitely, Markedly and Very severely impaired are printed beneath the 0 to 8 row; text extraction did not confirm column alignment, so their placement at 0, 2, 4, 6 and 8 follows the standard WSAS layout and points 1, 3, 5 and 7 are left unlabelled. Item 1 text includes the two explanatory sentences printed with it on the form. Second pass: the form also prints N/A as a response (item 1, retired or choosing not to have a job); not offered in the hub, where item 1 may be left unanswered.</t>
        </is>
      </c>
      <c r="C28" s="24" t="n"/>
      <c r="D28" s="24" t="n"/>
      <c r="E28" s="24" t="n"/>
      <c r="F28" s="24" t="n"/>
      <c r="G28" s="24" t="n"/>
    </row>
    <row r="29">
      <c r="A29" s="37" t="inlineStr">
        <is>
          <t>Independent check</t>
        </is>
      </c>
      <c r="B29" s="24" t="inlineStr">
        <is>
          <t>verified with corrections</t>
        </is>
      </c>
      <c r="C29" s="24" t="n"/>
      <c r="D29" s="24" t="n"/>
      <c r="E29" s="24" t="n"/>
      <c r="F29" s="24" t="n"/>
      <c r="G29" s="24" t="n"/>
    </row>
    <row r="30">
      <c r="A30" s="24" t="n"/>
      <c r="B30" s="24" t="n"/>
      <c r="C30" s="24" t="n"/>
      <c r="D30" s="24" t="n"/>
      <c r="E30" s="24" t="n"/>
      <c r="F30" s="24" t="n"/>
      <c r="G30" s="24" t="n"/>
    </row>
    <row r="31">
      <c r="A31" s="37" t="inlineStr">
        <is>
          <t>Item Number</t>
        </is>
      </c>
      <c r="B31" s="37" t="inlineStr">
        <is>
          <t>Item Text (verbatim)</t>
        </is>
      </c>
      <c r="C31" s="37" t="inlineStr">
        <is>
          <t>Subscale / Domain</t>
        </is>
      </c>
      <c r="D31" s="37" t="inlineStr">
        <is>
          <t>Reverse</t>
        </is>
      </c>
      <c r="E31" s="37" t="inlineStr">
        <is>
          <t>Filler</t>
        </is>
      </c>
      <c r="F31" s="37" t="inlineStr">
        <is>
          <t>Item Notes</t>
        </is>
      </c>
      <c r="G31" s="37" t="inlineStr">
        <is>
          <t>Response Options</t>
        </is>
      </c>
    </row>
    <row r="32">
      <c r="A32" s="24" t="n">
        <v>1</v>
      </c>
      <c r="B32" s="24" t="inlineStr">
        <is>
          <t>Because of the ways I think, feel, or behave, my ability to work is impaired. 8 means very severely impaired to the point I cannot work. N/A (not applicable) means I am retired or choose not to have a job.</t>
        </is>
      </c>
      <c r="C32" s="24" t="inlineStr">
        <is>
          <t>Total</t>
        </is>
      </c>
      <c r="D32" s="24" t="inlineStr">
        <is>
          <t>FALSE</t>
        </is>
      </c>
      <c r="E32" s="24" t="inlineStr">
        <is>
          <t>FALSE</t>
        </is>
      </c>
      <c r="F32" s="24" t="inlineStr">
        <is>
          <t>Item 1 also offers N/A for respondents who are retired or choose not to work.</t>
        </is>
      </c>
      <c r="G32" s="24" t="inlineStr">
        <is>
          <t>Not at all impaired = 0 | 1 = 1 | Slightly impaired = 2 | 3 = 3 | Definitely impaired = 4 | 5 = 5 | Markedly impaired = 6 | 7 = 7 | Very severely impaired = 8</t>
        </is>
      </c>
    </row>
    <row r="33">
      <c r="A33" s="24" t="n">
        <v>2</v>
      </c>
      <c r="B33" s="24" t="inlineStr">
        <is>
          <t>Because of the ways I think, feel, or behave, my home management (cleaning, tidying, shopping, cooking, looking after home or children, paying bills) is impaired.</t>
        </is>
      </c>
      <c r="C33" s="24" t="inlineStr">
        <is>
          <t>Total</t>
        </is>
      </c>
      <c r="D33" s="24" t="inlineStr">
        <is>
          <t>FALSE</t>
        </is>
      </c>
      <c r="E33" s="24" t="inlineStr">
        <is>
          <t>FALSE</t>
        </is>
      </c>
      <c r="F33" s="24" t="n"/>
      <c r="G33" s="24" t="inlineStr">
        <is>
          <t>Not at all impaired = 0 | 1 = 1 | Slightly impaired = 2 | 3 = 3 | Definitely impaired = 4 | 5 = 5 | Markedly impaired = 6 | 7 = 7 | Very severely impaired = 8</t>
        </is>
      </c>
    </row>
    <row r="34">
      <c r="A34" s="24" t="n">
        <v>3</v>
      </c>
      <c r="B34" s="24" t="inlineStr">
        <is>
          <t>Because of the ways I think, feel, or behave, my social leisure activities (with other people, such as parties, bars, clubs, outings, visits, dating, home entertaining) are impaired.</t>
        </is>
      </c>
      <c r="C34" s="24" t="inlineStr">
        <is>
          <t>Total</t>
        </is>
      </c>
      <c r="D34" s="24" t="inlineStr">
        <is>
          <t>FALSE</t>
        </is>
      </c>
      <c r="E34" s="24" t="inlineStr">
        <is>
          <t>FALSE</t>
        </is>
      </c>
      <c r="F34" s="24" t="n"/>
      <c r="G34" s="24" t="inlineStr">
        <is>
          <t>Not at all impaired = 0 | 1 = 1 | Slightly impaired = 2 | 3 = 3 | Definitely impaired = 4 | 5 = 5 | Markedly impaired = 6 | 7 = 7 | Very severely impaired = 8</t>
        </is>
      </c>
    </row>
    <row r="35">
      <c r="A35" s="24" t="n">
        <v>4</v>
      </c>
      <c r="B35" s="24" t="inlineStr">
        <is>
          <t>Because of the ways I think, feel, or behave, my private leisure activities (done alone, such as reading, gardening, collecting, sewing, walking alone) are impaired.</t>
        </is>
      </c>
      <c r="C35" s="24" t="inlineStr">
        <is>
          <t>Total</t>
        </is>
      </c>
      <c r="D35" s="24" t="inlineStr">
        <is>
          <t>FALSE</t>
        </is>
      </c>
      <c r="E35" s="24" t="inlineStr">
        <is>
          <t>FALSE</t>
        </is>
      </c>
      <c r="F35" s="24" t="n"/>
      <c r="G35" s="24" t="inlineStr">
        <is>
          <t>Not at all impaired = 0 | 1 = 1 | Slightly impaired = 2 | 3 = 3 | Definitely impaired = 4 | 5 = 5 | Markedly impaired = 6 | 7 = 7 | Very severely impaired = 8</t>
        </is>
      </c>
    </row>
    <row r="36">
      <c r="A36" s="24" t="n">
        <v>5</v>
      </c>
      <c r="B36" s="24" t="inlineStr">
        <is>
          <t>Because of the ways I think, feel, or behave, my ability to form and maintain close relationships with others, including those I live with, is impaired</t>
        </is>
      </c>
      <c r="C36" s="24" t="inlineStr">
        <is>
          <t>Total</t>
        </is>
      </c>
      <c r="D36" s="24" t="inlineStr">
        <is>
          <t>FALSE</t>
        </is>
      </c>
      <c r="E36" s="24" t="inlineStr">
        <is>
          <t>FALSE</t>
        </is>
      </c>
      <c r="F36" s="24" t="n"/>
      <c r="G36" s="24" t="inlineStr">
        <is>
          <t>Not at all impaired = 0 | 1 = 1 | Slightly impaired = 2 | 3 = 3 | Definitely impaired = 4 | 5 = 5 | Markedly impaired = 6 | 7 = 7 | Very severely impaired = 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2026-09-26T02:55:48Z</dcterms:created>
  <dcterms:modified xmlns:dcterms="http://purl.org/dc/terms/" xmlns:xsi="http://www.w3.org/2001/XMLSchema-instance" xsi:type="dcterms:W3CDTF">2026-10-18T09:54:32Z</dcterms:modified>
  <cp:revision>0</cp:revision>
</cp:coreProperties>
</file>