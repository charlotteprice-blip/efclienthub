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Hub Library" sheetId="2" state="visible" r:id="rId2"/>
    <sheet xmlns:r="http://schemas.openxmlformats.org/officeDocument/2006/relationships" name="Hub Subscales" sheetId="3" state="visible" r:id="rId3"/>
    <sheet xmlns:r="http://schemas.openxmlformats.org/officeDocument/2006/relationships" name="Batteries" sheetId="4" state="visible" r:id="rId4"/>
    <sheet xmlns:r="http://schemas.openxmlformats.org/officeDocument/2006/relationships" name="Tally Prompt" sheetId="5" state="visible" r:id="rId5"/>
    <sheet xmlns:r="http://schemas.openxmlformats.org/officeDocument/2006/relationships" name="Instrument Summary" sheetId="6" state="visible" r:id="rId6"/>
    <sheet xmlns:r="http://schemas.openxmlformats.org/officeDocument/2006/relationships" name="Master Item List" sheetId="7" state="visible" r:id="rId7"/>
    <sheet xmlns:r="http://schemas.openxmlformats.org/officeDocument/2006/relationships" name="Structure and Subscales" sheetId="8" state="visible" r:id="rId8"/>
    <sheet xmlns:r="http://schemas.openxmlformats.org/officeDocument/2006/relationships" name="References" sheetId="9" state="visible" r:id="rId9"/>
    <sheet xmlns:r="http://schemas.openxmlformats.org/officeDocument/2006/relationships" name="ESQ-R" sheetId="10" state="visible" r:id="rId10"/>
    <sheet xmlns:r="http://schemas.openxmlformats.org/officeDocument/2006/relationships" name="CFI" sheetId="11" state="visible" r:id="rId11"/>
    <sheet xmlns:r="http://schemas.openxmlformats.org/officeDocument/2006/relationships" name="ASRS" sheetId="12" state="visible" r:id="rId12"/>
    <sheet xmlns:r="http://schemas.openxmlformats.org/officeDocument/2006/relationships" name="SKS" sheetId="13" state="visible" r:id="rId13"/>
    <sheet xmlns:r="http://schemas.openxmlformats.org/officeDocument/2006/relationships" name="SUS" sheetId="14" state="visible" r:id="rId14"/>
    <sheet xmlns:r="http://schemas.openxmlformats.org/officeDocument/2006/relationships" name="SSES" sheetId="15" state="visible" r:id="rId15"/>
    <sheet xmlns:r="http://schemas.openxmlformats.org/officeDocument/2006/relationships" name="CSES" sheetId="16" state="visible" r:id="rId16"/>
    <sheet xmlns:r="http://schemas.openxmlformats.org/officeDocument/2006/relationships" name="PES Empowerment" sheetId="17" state="visible" r:id="rId17"/>
    <sheet xmlns:r="http://schemas.openxmlformats.org/officeDocument/2006/relationships" name="DASS-21" sheetId="18" state="visible" r:id="rId18"/>
    <sheet xmlns:r="http://schemas.openxmlformats.org/officeDocument/2006/relationships" name="PTQ" sheetId="19" state="visible" r:id="rId19"/>
    <sheet xmlns:r="http://schemas.openxmlformats.org/officeDocument/2006/relationships" name="RRS" sheetId="20" state="visible" r:id="rId20"/>
    <sheet xmlns:r="http://schemas.openxmlformats.org/officeDocument/2006/relationships" name="FSCRS" sheetId="21" state="visible" r:id="rId21"/>
    <sheet xmlns:r="http://schemas.openxmlformats.org/officeDocument/2006/relationships" name="PCI" sheetId="22" state="visible" r:id="rId22"/>
    <sheet xmlns:r="http://schemas.openxmlformats.org/officeDocument/2006/relationships" name="SCS-SF" sheetId="23" state="visible" r:id="rId23"/>
    <sheet xmlns:r="http://schemas.openxmlformats.org/officeDocument/2006/relationships" name="BPNSFS" sheetId="24" state="visible" r:id="rId24"/>
    <sheet xmlns:r="http://schemas.openxmlformats.org/officeDocument/2006/relationships" name="PPS" sheetId="25" state="visible" r:id="rId25"/>
    <sheet xmlns:r="http://schemas.openxmlformats.org/officeDocument/2006/relationships" name="IPS" sheetId="26" state="visible" r:id="rId26"/>
    <sheet xmlns:r="http://schemas.openxmlformats.org/officeDocument/2006/relationships" name="GSE" sheetId="27" state="visible" r:id="rId27"/>
    <sheet xmlns:r="http://schemas.openxmlformats.org/officeDocument/2006/relationships" name="GCS Goal Commitment" sheetId="28" state="visible" r:id="rId28"/>
    <sheet xmlns:r="http://schemas.openxmlformats.org/officeDocument/2006/relationships" name="GADJ Goal Adjustment" sheetId="29" state="visible" r:id="rId29"/>
  </sheets>
  <definedNames>
    <definedName name="_xlnm._FilterDatabase" localSheetId="3" hidden="1">'Batteries'!$A$1:$I$12</definedName>
    <definedName name="_xlnm._FilterDatabase" localSheetId="5" hidden="1">'Instrument Summary'!$A$1:$Z$21</definedName>
    <definedName name="_xlnm._FilterDatabase" localSheetId="6" hidden="1">'Master Item List'!$A$1:$K$308</definedName>
    <definedName name="_xlnm._FilterDatabase" localSheetId="7" hidden="1">'Structure and Subscales'!$A$1:$H$51</definedName>
    <definedName name="_xlnm._FilterDatabase" localSheetId="8" hidden="1">'References'!$A$1:$E$62</definedName>
    <definedName name="_xlnm._FilterDatabase" localSheetId="9" hidden="1">'ESQ-R'!$A$29:$F$54</definedName>
    <definedName name="_xlnm._FilterDatabase" localSheetId="10" hidden="1">'CFI'!$A$29:$F$49</definedName>
    <definedName name="_xlnm._FilterDatabase" localSheetId="11" hidden="1">'ASRS'!$A$29:$F$47</definedName>
    <definedName name="_xlnm._FilterDatabase" localSheetId="12" hidden="1">'SKS'!$A$29:$F$37</definedName>
    <definedName name="_xlnm._FilterDatabase" localSheetId="13" hidden="1">'SUS'!$A$29:$F$43</definedName>
    <definedName name="_xlnm._FilterDatabase" localSheetId="14" hidden="1">'SSES'!$A$29:$F$40</definedName>
    <definedName name="_xlnm._FilterDatabase" localSheetId="15" hidden="1">'CSES'!$A$29:$F$41</definedName>
    <definedName name="_xlnm._FilterDatabase" localSheetId="16" hidden="1">'PES Empowerment'!$A$29:$F$41</definedName>
    <definedName name="_xlnm._FilterDatabase" localSheetId="17" hidden="1">'DASS-21'!$A$29:$F$50</definedName>
    <definedName name="_xlnm._FilterDatabase" localSheetId="18" hidden="1">'PTQ'!$A$29:$F$44</definedName>
    <definedName name="_xlnm._FilterDatabase" localSheetId="19" hidden="1">'RRS'!$A$29:$F$51</definedName>
    <definedName name="_xlnm._FilterDatabase" localSheetId="20" hidden="1">'FSCRS'!$A$29:$F$51</definedName>
    <definedName name="_xlnm._FilterDatabase" localSheetId="21" hidden="1">'PCI'!$A$29:$F$54</definedName>
    <definedName name="_xlnm._FilterDatabase" localSheetId="22" hidden="1">'SCS-SF'!$A$29:$F$41</definedName>
    <definedName name="_xlnm._FilterDatabase" localSheetId="23" hidden="1">'BPNSFS'!$A$29:$F$53</definedName>
    <definedName name="_xlnm._FilterDatabase" localSheetId="24" hidden="1">'PPS'!$A$29:$F$41</definedName>
    <definedName name="_xlnm._FilterDatabase" localSheetId="25" hidden="1">'IPS'!$A$29:$F$38</definedName>
    <definedName name="_xlnm._FilterDatabase" localSheetId="26" hidden="1">'GSE'!$A$29:$F$39</definedName>
    <definedName name="_xlnm._FilterDatabase" localSheetId="27" hidden="1">'GCS Goal Commitment'!$A$29:$F$34</definedName>
    <definedName name="_xlnm._FilterDatabase" localSheetId="28" hidden="1">'GADJ Goal Adjustment'!$A$29:$F$39</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sz val="10"/>
    </font>
    <font>
      <name val="Arial"/>
      <charset val="1"/>
      <family val="0"/>
      <b val="1"/>
      <color rgb="FF1F3864"/>
      <sz val="11"/>
    </font>
    <font>
      <name val="Arial"/>
      <charset val="1"/>
      <family val="0"/>
      <b val="1"/>
      <color rgb="FFFFFFFF"/>
      <sz val="10"/>
    </font>
    <font>
      <name val="Arial"/>
      <charset val="1"/>
      <family val="0"/>
      <i val="1"/>
      <color rgb="FF808080"/>
      <sz val="10"/>
    </font>
    <font>
      <name val="Arial"/>
      <charset val="1"/>
      <family val="0"/>
      <b val="1"/>
      <color rgb="FFB25E00"/>
      <sz val="10"/>
    </font>
    <font>
      <name val="Arial"/>
      <charset val="1"/>
      <family val="0"/>
      <b val="1"/>
      <color rgb="FFC00000"/>
      <sz val="10"/>
    </font>
    <font>
      <b val="1"/>
    </font>
    <font>
      <b val="1"/>
      <color rgb="00FFFFFF"/>
    </font>
  </fonts>
  <fills count="6">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D9E2F3"/>
        <bgColor rgb="FFF2F2F2"/>
      </patternFill>
    </fill>
    <fill>
      <patternFill patternType="solid">
        <fgColor rgb="002E406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5" fillId="0" borderId="1" applyAlignment="1" pivotButton="0" quotePrefix="0" xfId="0">
      <alignment horizontal="general" vertical="top" wrapText="1"/>
    </xf>
    <xf numFmtId="0" fontId="5" fillId="0" borderId="1" applyAlignment="1" pivotButton="0" quotePrefix="0" xfId="0">
      <alignment horizontal="center" vertical="top"/>
    </xf>
    <xf numFmtId="0" fontId="9" fillId="0" borderId="1" applyAlignment="1" pivotButton="0" quotePrefix="0" xfId="0">
      <alignment horizontal="general" vertical="top" wrapText="1"/>
    </xf>
    <xf numFmtId="0" fontId="7" fillId="0" borderId="0" applyAlignment="1" pivotButton="0" quotePrefix="0" xfId="0">
      <alignment horizontal="general" vertical="bottom"/>
    </xf>
    <xf numFmtId="0" fontId="4" fillId="0" borderId="0" applyAlignment="1" pivotButton="0" quotePrefix="0" xfId="0">
      <alignment horizontal="general" vertical="bottom"/>
    </xf>
    <xf numFmtId="0" fontId="5"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6"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2" fillId="0" borderId="0" pivotButton="0" quotePrefix="0" xfId="0"/>
    <xf numFmtId="0" fontId="13" fillId="5" borderId="0" applyAlignment="1" pivotButton="0" quotePrefix="0" xfId="0">
      <alignment vertical="top" wrapText="1"/>
    </xf>
    <xf numFmtId="0" fontId="0" fillId="0" borderId="0" applyAlignment="1" pivotButton="0" quotePrefix="0" xfId="0">
      <alignment vertical="top" wrapText="1"/>
    </xf>
    <xf numFmtId="0" fontId="8"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5" fillId="0" borderId="1" applyAlignment="1" pivotButton="0" quotePrefix="0" xfId="0">
      <alignment horizontal="general" vertical="top" wrapText="1"/>
    </xf>
    <xf numFmtId="0" fontId="5" fillId="0" borderId="1" applyAlignment="1" pivotButton="0" quotePrefix="0" xfId="0">
      <alignment horizontal="center" vertical="top"/>
    </xf>
    <xf numFmtId="0" fontId="9" fillId="0" borderId="1" applyAlignment="1" pivotButton="0" quotePrefix="0" xfId="0">
      <alignment horizontal="general" vertical="top" wrapText="1"/>
    </xf>
    <xf numFmtId="0" fontId="7" fillId="0" borderId="0" applyAlignment="1" pivotButton="0" quotePrefix="0" xfId="0">
      <alignment horizontal="general" vertical="bottom"/>
    </xf>
    <xf numFmtId="0" fontId="4" fillId="0" borderId="0" applyAlignment="1" pivotButton="0" quotePrefix="0" xfId="0">
      <alignment horizontal="general" vertical="bottom"/>
    </xf>
    <xf numFmtId="0" fontId="5"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6"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B25E00"/>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B25E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6" min="1" max="1"/>
    <col width="120" customWidth="1" style="16" min="2" max="2"/>
  </cols>
  <sheetData>
    <row r="1" ht="32.8" customHeight="1" s="17">
      <c r="A1" s="18" t="inlineStr">
        <is>
          <t>EF Client Hub Codebook</t>
        </is>
      </c>
      <c r="B1" s="19" t="n"/>
    </row>
    <row r="2" ht="15" customHeight="1" s="17">
      <c r="A2" s="20" t="inlineStr">
        <is>
          <t>Compiled for</t>
        </is>
      </c>
      <c r="B2" s="19" t="inlineStr">
        <is>
          <t>Executive Frame Client Hub (clients.executiveframe.co.nz), from the Charlotte Price Consulting Psychometric Codebook</t>
        </is>
      </c>
    </row>
    <row r="3" ht="15" customHeight="1" s="17">
      <c r="A3" s="20" t="inlineStr">
        <is>
          <t>Compiled</t>
        </is>
      </c>
      <c r="B3" s="19" t="inlineStr">
        <is>
          <t>18 October 2026 (duplicated from the CPC codebook compiled 26 September 2026)</t>
        </is>
      </c>
    </row>
    <row r="4" ht="15" customHeight="1" s="17">
      <c r="A4" s="20" t="inlineStr">
        <is>
          <t>Scope</t>
        </is>
      </c>
      <c r="B4" s="19" t="inlineStr">
        <is>
          <t>The working set of 20 instruments selected for practice use, across 6 domains. 307 items are reproduced verbatim.</t>
        </is>
      </c>
    </row>
    <row r="5" ht="23.85" customHeight="1" s="17">
      <c r="A5" s="20" t="inlineStr">
        <is>
          <t>Sources</t>
        </is>
      </c>
      <c r="B5" s="19" t="inlineStr">
        <is>
          <t>NovoPsych assessment pages and blank form PDFs, the official University of New South Wales DASS site, instrument developers, and original validation papers or authoritative open reproductions. Every record carries its source URL.</t>
        </is>
      </c>
    </row>
    <row r="6" ht="15" customHeight="1" s="17">
      <c r="A6" s="20" t="n"/>
      <c r="B6" s="19" t="n"/>
    </row>
    <row r="7" ht="15" customHeight="1" s="17">
      <c r="A7" s="21" t="inlineStr">
        <is>
          <t>Domains</t>
        </is>
      </c>
      <c r="B7" s="19" t="n"/>
    </row>
    <row r="8" ht="23.85" customHeight="1" s="17">
      <c r="A8" s="20" t="inlineStr">
        <is>
          <t>1. Executive functioning and ADHD</t>
        </is>
      </c>
      <c r="B8" s="19" t="inlineStr">
        <is>
          <t>ESQ-R, CFI and ASRS. The ESQ-R is the executive skills core of both executive function batteries and the ASRS adds current adult ADHD symptom screening. The CFI measures cognitive flexibility and is now used in the Perfectionism battery rather than the executive function batteries.</t>
        </is>
      </c>
    </row>
    <row r="9" ht="23.85" customHeight="1" s="17">
      <c r="A9" s="20" t="inlineStr">
        <is>
          <t>2. Strengths knowledge, use and support at work</t>
        </is>
      </c>
      <c r="B9" s="19" t="inlineStr">
        <is>
          <t>SKS, SUS and SSES: whether a client knows their strengths, uses them, and is confident applying them. These are the measures that show change across a coaching engagement.</t>
        </is>
      </c>
    </row>
    <row r="10" ht="23.85" customHeight="1" s="17">
      <c r="A10" s="20" t="inlineStr">
        <is>
          <t>3. Adjacent occupational and wellbeing</t>
        </is>
      </c>
      <c r="B10" s="19" t="inlineStr">
        <is>
          <t>Core Self Evaluations Scale and Psychological Empowerment Scale: general positive self appraisal and felt empowerment in a work role.</t>
        </is>
      </c>
    </row>
    <row r="11" ht="23.85" customHeight="1" s="17">
      <c r="A11" s="20" t="inlineStr">
        <is>
          <t>4. Psychological distress screening</t>
        </is>
      </c>
      <c r="B11" s="19" t="inlineStr">
        <is>
          <t>DASS-21: depression, anxiety and stress over the past week. A screening measure used to establish whether coaching can safely proceed and whether clinical input is needed.</t>
        </is>
      </c>
    </row>
    <row r="12" ht="23.85" customHeight="1" s="17">
      <c r="A12" s="20" t="inlineStr">
        <is>
          <t>5. Repetitive negative thinking and self talk</t>
        </is>
      </c>
      <c r="B12" s="19" t="inlineStr">
        <is>
          <t>PTQ and RRS measure the process of repetitive negative thinking rather than the resulting mood, which the DASS-21 captures. FSCRS and PCI measure self critical and perfectionistic self talk, and the SCS-SF measures the self compassionate counterpart that coaching aims to build.</t>
        </is>
      </c>
    </row>
    <row r="13" ht="35.05" customHeight="1" s="17">
      <c r="A13" s="20" t="inlineStr">
        <is>
          <t>6. Motivation, self determination and goal pursuit</t>
        </is>
      </c>
      <c r="B13" s="19" t="inlineStr">
        <is>
          <t>Basic Psychological Need Satisfaction and Frustration Scale, Pure and Irrational Procrastination Scales, General Self-Efficacy Scale, Goal Commitment Scale and Goal Adjustment Scale. The last 2 are specific to goals: commitment to a goal the client names, and the capacity to let go of unattainable goals and take up new ones.</t>
        </is>
      </c>
    </row>
    <row r="14" ht="15" customHeight="1" s="17">
      <c r="A14" s="20" t="n"/>
      <c r="B14" s="19" t="n"/>
    </row>
    <row r="15" ht="15" customHeight="1" s="17">
      <c r="A15" s="20" t="inlineStr">
        <is>
          <t>Sheet</t>
        </is>
      </c>
      <c r="B15" s="19" t="inlineStr">
        <is>
          <t>Contents</t>
        </is>
      </c>
    </row>
    <row r="16" ht="23.85" customHeight="1" s="17">
      <c r="A16" s="16" t="inlineStr">
        <is>
          <t>Hub Library</t>
        </is>
      </c>
      <c r="B16" s="16" t="inlineStr">
        <is>
          <t>One row per instrument as it appears in the Client Hub: the id and client facing name, whether it is included, its licence status for the hub (only cleared instruments can be assigned to clients), whether clients see strengths and areas of focus, item flags for Sarah, and the instructions shown on screen. Edit this sheet, then run npm run codebook to rebuild the hub library files.</t>
        </is>
      </c>
    </row>
    <row r="17" ht="23.85" customHeight="1" s="17">
      <c r="A17" s="16" t="inlineStr">
        <is>
          <t>Hub Subscales</t>
        </is>
      </c>
      <c r="B17" s="16" t="inlineStr">
        <is>
          <t>One row per subscale as the hub scores it: client facing label, scoring direction, method, optional band thresholds (blank means thirds of the response range), the strength and focus wording clients see once released, and the Learning Hub topic each area of focus links to. All wording is draft for Sarah to approve.</t>
        </is>
      </c>
    </row>
    <row r="18" ht="23.85" customHeight="1" s="17">
      <c r="A18" s="20" t="inlineStr">
        <is>
          <t>Batteries</t>
        </is>
      </c>
      <c r="B18" s="19" t="inlineStr">
        <is>
          <t>The 11 assessment forms used in practice, each a combination of instruments: which instruments each contains, total items, the matching report skill, what it assesses and its scoring cautions. Below it, a map showing which batteries use each instrument.</t>
        </is>
      </c>
    </row>
    <row r="19" ht="23.85" customHeight="1" s="17">
      <c r="A19" s="20" t="inlineStr">
        <is>
          <t>Tally Prompt</t>
        </is>
      </c>
      <c r="B19" s="19" t="inlineStr">
        <is>
          <t>The prompt used to convert an existing Tally assessment form to a different battery, with instructions on which codebook fields to paste in and a checklist for testing the finished form.</t>
        </is>
      </c>
    </row>
    <row r="20" ht="15" customHeight="1" s="17">
      <c r="A20" s="20" t="inlineStr">
        <is>
          <t>Instrument Summary</t>
        </is>
      </c>
      <c r="B20" s="19" t="inlineStr">
        <is>
          <t>One row per instrument with domain, availability, item counts, construct, respondent, cost and access, coaching application, instructions, response options, scoring, interpretation, cut-offs, norms, psychometrics, developer citation, copyright and source.</t>
        </is>
      </c>
    </row>
    <row r="21" ht="15" customHeight="1" s="17">
      <c r="A21" s="20" t="inlineStr">
        <is>
          <t>Master Item List</t>
        </is>
      </c>
      <c r="B21" s="19" t="inlineStr">
        <is>
          <t>One row per item across all 20 instruments. Verbatim wording, subscale, reverse and filler flags, response options and notes. Filter on Domain or Code.</t>
        </is>
      </c>
    </row>
    <row r="22" ht="15" customHeight="1" s="17">
      <c r="A22" s="20" t="inlineStr">
        <is>
          <t>Structure and Subscales</t>
        </is>
      </c>
      <c r="B22" s="19" t="inlineStr">
        <is>
          <t>One row per subscale.</t>
        </is>
      </c>
    </row>
    <row r="23" ht="15" customHeight="1" s="17">
      <c r="A23" s="20" t="inlineStr">
        <is>
          <t>References</t>
        </is>
      </c>
      <c r="B23" s="19" t="inlineStr">
        <is>
          <t>Developer citations and reference lists in APA 7 format.</t>
        </is>
      </c>
    </row>
    <row r="24" ht="15" customHeight="1" s="17">
      <c r="A24" s="20" t="inlineStr">
        <is>
          <t>Individual instrument tabs</t>
        </is>
      </c>
      <c r="B24" s="19" t="inlineStr">
        <is>
          <t>One tab per instrument with its metadata block above its own item table.</t>
        </is>
      </c>
    </row>
    <row r="25" ht="23.85" customHeight="1" s="17">
      <c r="A25" s="20" t="n"/>
      <c r="B25" s="19" t="n"/>
    </row>
    <row r="26" ht="15" customHeight="1" s="17">
      <c r="A26" s="22" t="inlineStr">
        <is>
          <t>Hub conventions</t>
        </is>
      </c>
    </row>
    <row r="27" ht="15" customHeight="1" s="17">
      <c r="A27" s="16" t="inlineStr">
        <is>
          <t>Licence status</t>
        </is>
      </c>
      <c r="B27" s="16" t="inlineStr">
        <is>
          <t>cleared: can be assigned to clients. review: in the library file but not uploadable until the licence is confirmed. permission: written permission needed before use. excluded: left out of the hub. The hub refuses to assign anything that is not cleared.</t>
        </is>
      </c>
    </row>
    <row r="28" ht="15" customHeight="1" s="17">
      <c r="A28" s="16" t="inlineStr">
        <is>
          <t>Scoring direction</t>
        </is>
      </c>
      <c r="B28" s="16" t="inlineStr">
        <is>
          <t>difficulty: a higher score means more difficulty, so low scores are strengths and high scores are areas of focus. positive: the reverse. none: scored for Sarah only, never summarised to the client. Reverse scored items are reversed as min plus max minus the answer, so 1 to 7 scales reverse correctly.</t>
        </is>
      </c>
    </row>
    <row r="29" ht="15" customHeight="1" s="17">
      <c r="A29" s="21" t="inlineStr">
        <is>
          <t>Conventions</t>
        </is>
      </c>
      <c r="B29" s="19" t="n"/>
    </row>
    <row r="30" ht="15" customHeight="1" s="17">
      <c r="A30" s="20" t="inlineStr">
        <is>
          <t>Verbatim wording</t>
        </is>
      </c>
      <c r="B30" s="19" t="inlineStr">
        <is>
          <t>Item text is transcribed word for word from the source named against each instrument. Nothing has been paraphrased or reconstructed. Where an item could not be retrieved the cell says so.</t>
        </is>
      </c>
    </row>
    <row r="31" ht="23.85" customHeight="1" s="17">
      <c r="A31" s="20" t="inlineStr">
        <is>
          <t>Not stated on source</t>
        </is>
      </c>
      <c r="B31" s="19" t="inlineStr">
        <is>
          <t>The field is not published in the sources consulted.</t>
        </is>
      </c>
    </row>
    <row r="32" ht="23.85" customHeight="1" s="17">
      <c r="A32" s="20" t="inlineStr">
        <is>
          <t>Reverse and filler</t>
        </is>
      </c>
      <c r="B32" s="19" t="inlineStr">
        <is>
          <t>TRUE in the reverse column means the item is reversed before summing. TRUE in the filler column means the item is not scored at all.</t>
        </is>
      </c>
    </row>
    <row r="33" ht="23.85" customHeight="1" s="17">
      <c r="A33" s="20" t="inlineStr">
        <is>
          <t>Spelling</t>
        </is>
      </c>
      <c r="B33" s="19" t="inlineStr">
        <is>
          <t>Item wording is reproduced exactly as published, including United States spelling. Surrounding commentary uses UK spelling.</t>
        </is>
      </c>
    </row>
    <row r="34" ht="35.05" customHeight="1" s="17">
      <c r="A34" s="20" t="n"/>
      <c r="B34" s="19" t="n"/>
    </row>
    <row r="35" ht="23.85" customHeight="1" s="17">
      <c r="A35" s="21" t="inlineStr">
        <is>
          <t>Cautions and known gaps</t>
        </is>
      </c>
      <c r="B35" s="19" t="n"/>
    </row>
    <row r="36" ht="35.05" customHeight="1" s="17">
      <c r="A36" s="20" t="n"/>
      <c r="B36" s="19" t="inlineStr">
        <is>
          <t>ESQ-R and CFI are scored in opposite directions: higher ESQ-R means more executive difficulty, higher CFI means more flexibility. The ESQ-R norms are 327 Malaysian working adults; the CFI norms are 196 university students.</t>
        </is>
      </c>
    </row>
    <row r="37" ht="23.85" customHeight="1" s="17">
      <c r="A37" s="20" t="n"/>
      <c r="B37" s="19" t="inlineStr">
        <is>
          <t>ASRS Part A of 14 or more is a positive screen, not a diagnosis. Gallup style caution applies: always pair with clinical interview, and with the WURS-25 where childhood history is needed.</t>
        </is>
      </c>
    </row>
    <row r="38" ht="23.85" customHeight="1" s="17">
      <c r="A38" s="20" t="n"/>
      <c r="B38" s="19" t="inlineStr">
        <is>
          <t>SKS and SUS items are taken from an open access peer reviewed reproduction (Frontiers in Psychology, 2023). CAPP asserts copyright over the scales and one later reuse redacted them, so they are viewable and freely reprinted rather than formally public domain.</t>
        </is>
      </c>
    </row>
    <row r="39" ht="23.85" customHeight="1" s="17">
      <c r="A39" s="20" t="n"/>
      <c r="B39" s="19" t="inlineStr">
        <is>
          <t>DASS-21 is a screening measure only. It describes the past week, contains no item on suicidal thinking and does not assess risk. Items 10, 17 and 21 are followed up directly when endorsed at 2 or 3, as the practice report builder does. Severity labels are population position descriptors, not diagnostic thresholds.</t>
        </is>
      </c>
    </row>
    <row r="40" ht="35.05" customHeight="1" s="17">
      <c r="A40" s="20" t="n"/>
      <c r="B40" s="19" t="inlineStr">
        <is>
          <t>No normative percentile tables exist for the SKS, SUS, SSES, CSES or PES. They are continuous measures best read against a client’s own baseline across repeated administration.</t>
        </is>
      </c>
    </row>
    <row r="41" ht="35.05" customHeight="1" s="17">
      <c r="A41" s="20" t="n"/>
      <c r="B41" s="19" t="inlineStr">
        <is>
          <t>RRS: only the 5 item Brooding and 5 item Reflection subscales are recommended for coaching use. The remaining 12 items overlap with depressive symptom content and are retained for completeness only. NovoPsych hosts the RRS, but its scoring and norm text could not be retrieved, so interpretation here rests on Treynor, Gonzalez and Nolen-Hoeksema (2003).</t>
        </is>
      </c>
    </row>
    <row r="42" ht="68.65000000000001" customHeight="1" s="17">
      <c r="A42" s="20" t="n"/>
      <c r="B42" s="19" t="inlineStr">
        <is>
          <t>FSCRS item 9 sits close to self harm content. Frame it with care, and treat endorsement as a prompt for a conversation rather than a score. The FSCRS carries an author copyright notice with no commercial grant or restriction stated; a short email to the authors settles its use in paid practice.</t>
        </is>
      </c>
    </row>
    <row r="43">
      <c r="A43" s="20" t="n"/>
      <c r="B43" s="19" t="inlineStr">
        <is>
          <t>SCS-SF: items 1, 4, 8, 9, 11 and 12 are reverse scored. Higher total scores mean greater self compassion, so the direction runs opposite to the FSCRS, PCI, PTQ and RRS, where higher means more difficulty.</t>
        </is>
      </c>
    </row>
    <row r="44">
      <c r="A44" s="20" t="n"/>
      <c r="B44" s="19" t="inlineStr">
        <is>
          <t>IPS items 2, 6 and 9 are reverse scored. The PPS has no reversed items. Both are free for research and clinical purposes per the author, with items from a CC BY article.</t>
        </is>
      </c>
    </row>
    <row r="45">
      <c r="A45" s="20" t="n"/>
      <c r="B45" s="19" t="inlineStr">
        <is>
          <t>GCS: the 5 items refer to a goal the client names, so the form must ask for that goal first; no verbatim published instructions were located. Items 1, 2 and 4 are reverse scored. Commercial use may need permission from Howard Klein. The items were corrected against Klein et al. (2001) after an aggregator site listed 2 items from the older 9 item scale.</t>
        </is>
      </c>
    </row>
    <row r="46">
      <c r="A46" s="20" t="n"/>
      <c r="B46" s="19" t="inlineStr">
        <is>
          <t>GADJ (Goal Adjustment Scale, coded GADJ to avoid confusion with Goal Attainment Scaling): 4 disengagement and 6 reengagement items, scored separately; items 2 and 3 are reverse scored. The published article carries no licence statement, and permission should be sought from Carsten Wrosch before paid use.</t>
        </is>
      </c>
    </row>
    <row r="47">
      <c r="A47" s="20" t="n"/>
      <c r="B47" s="19" t="inlineStr">
        <is>
          <t>BPNSFS: copyrighted by the Center for Self-Determination Theory. Academic use is free, but the Center’s terms state it may not be used for any commercial purpose without written permission, and paid coaching counts as commercial. Request a commercial licence through the Center before using it with clients. The 6 subscales of 4 items each are scored separately; satisfaction and frustration are distinct constructs with different links to wellbeing and ill being, so read them as a profile rather than combining them. No items are reverse scored. Reliability figures come from an open academia.edu copy of Chen et al. (2015) and should be checked against the journal version before quoting. It replaces the older 21 item Basic Psychological Need Satisfaction in General Scale, which fitted poorly.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30" customWidth="1" style="17" min="3" max="3"/>
    <col width="40" customWidth="1" style="17" min="4" max="4"/>
    <col width="14" customWidth="1" style="17" min="5" max="5"/>
    <col width="18" customWidth="1" style="17" min="6" max="6"/>
    <col width="60" customWidth="1" style="17" min="7" max="7"/>
    <col width="16" customWidth="1" style="17" min="8" max="8"/>
    <col width="20" customWidth="1" style="17" min="9" max="9"/>
    <col width="60" customWidth="1" style="17" min="10" max="10"/>
    <col width="8" customWidth="1" style="17" min="11" max="11"/>
    <col width="30" customWidth="1" style="17" min="12" max="12"/>
  </cols>
  <sheetData>
    <row r="1">
      <c r="A1" s="23" t="inlineStr">
        <is>
          <t>Code</t>
        </is>
      </c>
      <c r="B1" s="23" t="inlineStr">
        <is>
          <t>Hub id</t>
        </is>
      </c>
      <c r="C1" s="23" t="inlineStr">
        <is>
          <t>Name shown to clients</t>
        </is>
      </c>
      <c r="D1" s="23" t="inlineStr">
        <is>
          <t>Full instrument name</t>
        </is>
      </c>
      <c r="E1" s="23" t="inlineStr">
        <is>
          <t>Include in hub (Yes / No / Decide)</t>
        </is>
      </c>
      <c r="F1" s="23" t="inlineStr">
        <is>
          <t>Hub licence status (cleared / review / permission / excluded)</t>
        </is>
      </c>
      <c r="G1" s="23" t="inlineStr">
        <is>
          <t>Licence note</t>
        </is>
      </c>
      <c r="H1" s="23" t="inlineStr">
        <is>
          <t>Client sees strengths and focus (Yes / No)</t>
        </is>
      </c>
      <c r="I1" s="23" t="inlineStr">
        <is>
          <t>Flag items for Sarah (item numbers at threshold)</t>
        </is>
      </c>
      <c r="J1" s="23" t="inlineStr">
        <is>
          <t>Instructions shown to the client</t>
        </is>
      </c>
      <c r="K1" s="23" t="inlineStr">
        <is>
          <t>Minutes</t>
        </is>
      </c>
      <c r="L1" s="23" t="inlineStr">
        <is>
          <t>Notes</t>
        </is>
      </c>
    </row>
    <row r="2">
      <c r="A2" s="24" t="inlineStr">
        <is>
          <t>ESQ-R</t>
        </is>
      </c>
      <c r="B2" s="24" t="inlineStr">
        <is>
          <t>esq-r</t>
        </is>
      </c>
      <c r="C2" s="24" t="inlineStr">
        <is>
          <t>Everyday executive skills</t>
        </is>
      </c>
      <c r="D2" s="24" t="inlineStr">
        <is>
          <t>Executive Skills Questionnaire - Revised (ESQ-R)</t>
        </is>
      </c>
      <c r="E2" s="24" t="inlineStr">
        <is>
          <t>Yes</t>
        </is>
      </c>
      <c r="F2" s="24" t="inlineStr">
        <is>
          <t>review</t>
        </is>
      </c>
      <c r="G2" s="24" t="inlineStr">
        <is>
          <t>Strait et al. (2020) scale, free to use; NovoPsych page carries a NovoPsych copyright notice. Confirm with Dr Peg Dawson or the authors before clearing.</t>
        </is>
      </c>
      <c r="H2" s="24" t="inlineStr">
        <is>
          <t>Yes</t>
        </is>
      </c>
      <c r="I2" s="24" t="inlineStr"/>
      <c r="J2" s="24" t="inlineStr">
        <is>
          <t>Read each item and decide how often it's a problem for you.</t>
        </is>
      </c>
      <c r="K2" s="24" t="n">
        <v>5</v>
      </c>
      <c r="L2" s="24" t="inlineStr"/>
    </row>
    <row r="3">
      <c r="A3" s="24" t="inlineStr">
        <is>
          <t>CFI</t>
        </is>
      </c>
      <c r="B3" s="24" t="inlineStr">
        <is>
          <t>cfi</t>
        </is>
      </c>
      <c r="C3" s="24" t="inlineStr">
        <is>
          <t>Thinking flexibly</t>
        </is>
      </c>
      <c r="D3" s="24" t="inlineStr">
        <is>
          <t>Cognitive Flexibility Inventory (CFI)</t>
        </is>
      </c>
      <c r="E3" s="24" t="inlineStr">
        <is>
          <t>Yes</t>
        </is>
      </c>
      <c r="F3" s="24" t="inlineStr">
        <is>
          <t>review</t>
        </is>
      </c>
      <c r="G3" s="24" t="inlineStr">
        <is>
          <t>Dennis and Vander Wal (2010); NovoPsych reproduction carries a NovoPsych copyright notice. Confirm author permission before clearing.</t>
        </is>
      </c>
      <c r="H3" s="24" t="inlineStr">
        <is>
          <t>Yes</t>
        </is>
      </c>
      <c r="I3" s="24" t="inlineStr"/>
      <c r="J3" s="24" t="inlineStr">
        <is>
          <t>Please use the scale below to indicate the extent to which you agree or disagree with the following statements.</t>
        </is>
      </c>
      <c r="K3" s="24" t="n">
        <v>4</v>
      </c>
      <c r="L3" s="24" t="inlineStr"/>
    </row>
    <row r="4">
      <c r="A4" s="24" t="inlineStr">
        <is>
          <t>ASRS</t>
        </is>
      </c>
      <c r="B4" s="24" t="inlineStr">
        <is>
          <t>asrs</t>
        </is>
      </c>
      <c r="C4" s="24" t="inlineStr">
        <is>
          <t>Attention and activity</t>
        </is>
      </c>
      <c r="D4" s="24" t="inlineStr">
        <is>
          <t>Adult ADHD Self-Report Scale (ASRS v1.1)</t>
        </is>
      </c>
      <c r="E4" s="24" t="inlineStr">
        <is>
          <t>Yes</t>
        </is>
      </c>
      <c r="F4" s="24" t="inlineStr">
        <is>
          <t>cleared</t>
        </is>
      </c>
      <c r="G4" s="24" t="inlineStr">
        <is>
          <t>Public domain WHO instrument, freely reproducible for clinical use.</t>
        </is>
      </c>
      <c r="H4" s="24" t="inlineStr">
        <is>
          <t>No</t>
        </is>
      </c>
      <c r="I4" s="24" t="inlineStr"/>
      <c r="J4" s="24" t="inlineStr">
        <is>
          <t>Please answer the questions below, rating yourself on each of the criteria shown. As you answer each question, select the box that best describes how you have felt and conducted yourself over the past 6 months.</t>
        </is>
      </c>
      <c r="K4" s="24" t="n">
        <v>4</v>
      </c>
      <c r="L4" s="24" t="inlineStr"/>
    </row>
    <row r="5">
      <c r="A5" s="24" t="inlineStr">
        <is>
          <t>SKS</t>
        </is>
      </c>
      <c r="B5" s="24" t="inlineStr">
        <is>
          <t>sks</t>
        </is>
      </c>
      <c r="C5" s="24" t="inlineStr">
        <is>
          <t>Knowing your strengths</t>
        </is>
      </c>
      <c r="D5" s="24" t="inlineStr">
        <is>
          <t>Strengths Knowledge Scale</t>
        </is>
      </c>
      <c r="E5" s="24" t="inlineStr">
        <is>
          <t>Yes</t>
        </is>
      </c>
      <c r="F5" s="24" t="inlineStr">
        <is>
          <t>review</t>
        </is>
      </c>
      <c r="G5" s="24" t="inlineStr">
        <is>
          <t>No explicit licence found; CAPP asserts copyright over the scales. Confirm before clearing.</t>
        </is>
      </c>
      <c r="H5" s="24" t="inlineStr">
        <is>
          <t>Yes</t>
        </is>
      </c>
      <c r="I5" s="24" t="inlineStr"/>
      <c r="J5" s="24" t="inlineStr">
        <is>
          <t>Not stated on source</t>
        </is>
      </c>
      <c r="K5" s="24" t="n">
        <v>2</v>
      </c>
      <c r="L5" s="24" t="inlineStr"/>
    </row>
    <row r="6">
      <c r="A6" s="24" t="inlineStr">
        <is>
          <t>SUS</t>
        </is>
      </c>
      <c r="B6" s="24" t="inlineStr">
        <is>
          <t>sus</t>
        </is>
      </c>
      <c r="C6" s="24" t="inlineStr">
        <is>
          <t>Using your strengths</t>
        </is>
      </c>
      <c r="D6" s="24" t="inlineStr">
        <is>
          <t>Strengths Use Scale</t>
        </is>
      </c>
      <c r="E6" s="24" t="inlineStr">
        <is>
          <t>Yes</t>
        </is>
      </c>
      <c r="F6" s="24" t="inlineStr">
        <is>
          <t>review</t>
        </is>
      </c>
      <c r="G6" s="24" t="inlineStr">
        <is>
          <t>No explicit licence found; CAPP asserts copyright over the scales. Confirm before clearing.</t>
        </is>
      </c>
      <c r="H6" s="24" t="inlineStr">
        <is>
          <t>Yes</t>
        </is>
      </c>
      <c r="I6" s="24" t="inlineStr"/>
      <c r="J6" s="24" t="inlineStr">
        <is>
          <t>The following 14 questions ask about your strengths, that is, the things that you can do well or do best.</t>
        </is>
      </c>
      <c r="K6" s="24" t="n">
        <v>3</v>
      </c>
      <c r="L6" s="24" t="inlineStr"/>
    </row>
    <row r="7">
      <c r="A7" s="24" t="inlineStr">
        <is>
          <t>SSES</t>
        </is>
      </c>
      <c r="B7" s="24" t="inlineStr">
        <is>
          <t>sses</t>
        </is>
      </c>
      <c r="C7" s="24" t="inlineStr">
        <is>
          <t>Confidence in your strengths</t>
        </is>
      </c>
      <c r="D7" s="24" t="inlineStr">
        <is>
          <t>Strengths Self-Efficacy Scale</t>
        </is>
      </c>
      <c r="E7" s="24" t="inlineStr">
        <is>
          <t>Yes</t>
        </is>
      </c>
      <c r="F7" s="24" t="inlineStr">
        <is>
          <t>review</t>
        </is>
      </c>
      <c r="G7" s="24" t="inlineStr">
        <is>
          <t>Distributed free for practitioner use by PositivePsychology.com; no explicit licence from the authors. Confirm before clearing.</t>
        </is>
      </c>
      <c r="H7" s="24" t="inlineStr">
        <is>
          <t>Yes</t>
        </is>
      </c>
      <c r="I7" s="24" t="inlineStr"/>
      <c r="J7" s="24" t="inlineStr">
        <is>
          <t>First, please list your 5 signature strengths below: [space for 5 strengths]. How confident are you in your ability to ....</t>
        </is>
      </c>
      <c r="K7" s="24" t="n">
        <v>3</v>
      </c>
      <c r="L7" s="24" t="inlineStr"/>
    </row>
    <row r="8">
      <c r="A8" s="24" t="inlineStr">
        <is>
          <t>CSES</t>
        </is>
      </c>
      <c r="B8" s="24" t="inlineStr">
        <is>
          <t>cses</t>
        </is>
      </c>
      <c r="C8" s="24" t="inlineStr">
        <is>
          <t>How you see yourself</t>
        </is>
      </c>
      <c r="D8" s="24" t="inlineStr">
        <is>
          <t>Core Self-Evaluations Scale</t>
        </is>
      </c>
      <c r="E8" s="24" t="inlineStr">
        <is>
          <t>Yes</t>
        </is>
      </c>
      <c r="F8" s="24" t="inlineStr">
        <is>
          <t>cleared</t>
        </is>
      </c>
      <c r="G8" s="24" t="inlineStr">
        <is>
          <t>Stated non proprietary and free to use without permission.</t>
        </is>
      </c>
      <c r="H8" s="24" t="inlineStr">
        <is>
          <t>Yes</t>
        </is>
      </c>
      <c r="I8" s="24" t="inlineStr"/>
      <c r="J8" s="24" t="inlineStr">
        <is>
          <t>Not retrieved verbatim from a fetched source; the CSES PDF reproduces the item table and response scale but the source fetched did not include a printed respondent-facing preamble/instruction sentence.</t>
        </is>
      </c>
      <c r="K8" s="24" t="n">
        <v>3</v>
      </c>
      <c r="L8" s="24" t="inlineStr"/>
    </row>
    <row r="9">
      <c r="A9" s="24" t="inlineStr">
        <is>
          <t>PES</t>
        </is>
      </c>
      <c r="B9" s="24" t="inlineStr">
        <is>
          <t>pes</t>
        </is>
      </c>
      <c r="C9" s="24" t="inlineStr">
        <is>
          <t>Feeling empowered at work</t>
        </is>
      </c>
      <c r="D9" s="24" t="inlineStr">
        <is>
          <t>Psychological Empowerment Scale</t>
        </is>
      </c>
      <c r="E9" s="24" t="inlineStr">
        <is>
          <t>Yes</t>
        </is>
      </c>
      <c r="F9" s="24" t="inlineStr">
        <is>
          <t>cleared</t>
        </is>
      </c>
      <c r="G9" s="24" t="inlineStr">
        <is>
          <t>Hosted freely by the author for research and practice use.</t>
        </is>
      </c>
      <c r="H9" s="24" t="inlineStr">
        <is>
          <t>Yes</t>
        </is>
      </c>
      <c r="I9" s="24" t="inlineStr"/>
      <c r="J9" s="24" t="inlineStr">
        <is>
          <t>Listed below are a number of self-orientations that people may have with regard to their work role. Using the following scale, please indicate the extent to which you agree or disagree that each one describes your self-orientation.</t>
        </is>
      </c>
      <c r="K9" s="24" t="n">
        <v>3</v>
      </c>
      <c r="L9" s="24" t="inlineStr"/>
    </row>
    <row r="10">
      <c r="A10" s="24" t="inlineStr">
        <is>
          <t>DASS-21</t>
        </is>
      </c>
      <c r="B10" s="24" t="inlineStr">
        <is>
          <t>dass-21</t>
        </is>
      </c>
      <c r="C10" s="24" t="inlineStr">
        <is>
          <t>How you have been feeling this week</t>
        </is>
      </c>
      <c r="D10" s="24" t="inlineStr">
        <is>
          <t>Depression Anxiety Stress Scales, 21 item version (DASS-21)</t>
        </is>
      </c>
      <c r="E10" s="24" t="inlineStr">
        <is>
          <t>Yes</t>
        </is>
      </c>
      <c r="F10" s="24" t="inlineStr">
        <is>
          <t>cleared</t>
        </is>
      </c>
      <c r="G10" s="24" t="inlineStr">
        <is>
          <t>Public domain per the official UNSW DASS site.</t>
        </is>
      </c>
      <c r="H10" s="24" t="inlineStr">
        <is>
          <t>No</t>
        </is>
      </c>
      <c r="I10" s="24" t="inlineStr">
        <is>
          <t>10,17,21 at 2</t>
        </is>
      </c>
      <c r="J10" s="24" t="inlineStr">
        <is>
          <t>Please read each statement and choose the answer that shows how much the statement applied to you over the past week. There are no right or wrong answers. Do not spend too much time on any statement.</t>
        </is>
      </c>
      <c r="K10" s="24" t="n">
        <v>4</v>
      </c>
      <c r="L10" s="24" t="inlineStr">
        <is>
          <t>Instructions reworded for the screen ("choose the answer" in place of "circle a number"); otherwise verbatim.</t>
        </is>
      </c>
    </row>
    <row r="11">
      <c r="A11" s="24" t="inlineStr">
        <is>
          <t>PTQ</t>
        </is>
      </c>
      <c r="B11" s="24" t="inlineStr">
        <is>
          <t>ptq</t>
        </is>
      </c>
      <c r="C11" s="24" t="inlineStr">
        <is>
          <t>Repetitive thinking</t>
        </is>
      </c>
      <c r="D11" s="24" t="inlineStr">
        <is>
          <t>Perseverative Thinking Questionnaire</t>
        </is>
      </c>
      <c r="E11" s="24" t="inlineStr">
        <is>
          <t>Yes</t>
        </is>
      </c>
      <c r="F11" s="24" t="inlineStr">
        <is>
          <t>review</t>
        </is>
      </c>
      <c r="G11" s="24" t="inlineStr">
        <is>
          <t>Elsevier copyright on the article; no permission statement for practice use found. Confirm before clearing.</t>
        </is>
      </c>
      <c r="H11" s="24" t="inlineStr">
        <is>
          <t>Yes</t>
        </is>
      </c>
      <c r="I11" s="24" t="inlineStr"/>
      <c r="J11" s="24" t="inlineStr">
        <is>
          <t>In this questionnaire, you will be asked to describe how you typically think about negative experiences or problems. Please read the following statements and rate the extent to which they apply to you when you think about negative experiences or problems.</t>
        </is>
      </c>
      <c r="K11" s="24" t="n">
        <v>4</v>
      </c>
      <c r="L11" s="24" t="inlineStr"/>
    </row>
    <row r="12">
      <c r="A12" s="24" t="inlineStr">
        <is>
          <t>RRS</t>
        </is>
      </c>
      <c r="B12" s="24" t="inlineStr">
        <is>
          <t>rrs</t>
        </is>
      </c>
      <c r="C12" s="24" t="inlineStr">
        <is>
          <t>Responding to low mood</t>
        </is>
      </c>
      <c r="D12" s="24" t="inlineStr">
        <is>
          <t>Ruminative Responses Scale</t>
        </is>
      </c>
      <c r="E12" s="24" t="inlineStr">
        <is>
          <t>Yes</t>
        </is>
      </c>
      <c r="F12" s="24" t="inlineStr">
        <is>
          <t>review</t>
        </is>
      </c>
      <c r="G12" s="24" t="inlineStr">
        <is>
          <t>No explicit licence statement found. Confirm before clearing. Only Brooding and Reflection are scored.</t>
        </is>
      </c>
      <c r="H12" s="24" t="inlineStr">
        <is>
          <t>Yes</t>
        </is>
      </c>
      <c r="I12" s="24" t="inlineStr"/>
      <c r="J12" s="24" t="inlineStr">
        <is>
          <t>Please read each of the items below and indicate whether you almost never, sometimes, often, or almost always think or do each one when you feel down, sad, or depressed. Please indicate what you generally do, not what you think you should do.</t>
        </is>
      </c>
      <c r="K12" s="24" t="n">
        <v>5</v>
      </c>
      <c r="L12" s="24" t="inlineStr"/>
    </row>
    <row r="13">
      <c r="A13" s="24" t="inlineStr">
        <is>
          <t>FSCRS</t>
        </is>
      </c>
      <c r="B13" s="24" t="inlineStr">
        <is>
          <t>fscrs</t>
        </is>
      </c>
      <c r="C13" s="24" t="inlineStr">
        <is>
          <t>How you talk to yourself</t>
        </is>
      </c>
      <c r="D13" s="24" t="inlineStr">
        <is>
          <t>Forms of Self-Criticising/Attacking and Self-Reassuring Scale</t>
        </is>
      </c>
      <c r="E13" s="24" t="inlineStr">
        <is>
          <t>Yes</t>
        </is>
      </c>
      <c r="F13" s="24" t="inlineStr">
        <is>
          <t>review</t>
        </is>
      </c>
      <c r="G13" s="24" t="inlineStr">
        <is>
          <t>Author copyright notice (Gilbert et al., 2004); no explicit practice use grant found. Confirm before clearing.</t>
        </is>
      </c>
      <c r="H13" s="24" t="inlineStr">
        <is>
          <t>Yes</t>
        </is>
      </c>
      <c r="I13" s="24" t="inlineStr">
        <is>
          <t>9 at 1</t>
        </is>
      </c>
      <c r="J13" s="24" t="inlineStr">
        <is>
          <t>When things go wrong in our lives or don't work out as we hoped, and we feel we could have done better, we sometimes have negative and self-critical thoughts and feelings. These may take the form of feeling worthless, useless or inferior etc. However, people can also try to be supportive of themselves. Below are a series of thoughts and feelings that people sometimes have. Read each statement carefully and choose the answer that best describes how much each statement is true for you.</t>
        </is>
      </c>
      <c r="K13" s="24" t="n">
        <v>5</v>
      </c>
      <c r="L13" s="24" t="inlineStr">
        <is>
          <t>Instructions reworded for the screen ("choose the answer"); otherwise verbatim.</t>
        </is>
      </c>
    </row>
    <row r="14">
      <c r="A14" s="24" t="inlineStr">
        <is>
          <t>PCI</t>
        </is>
      </c>
      <c r="B14" s="24" t="inlineStr">
        <is>
          <t>pci</t>
        </is>
      </c>
      <c r="C14" s="24" t="inlineStr">
        <is>
          <t>Perfectionistic thoughts</t>
        </is>
      </c>
      <c r="D14" s="24" t="inlineStr">
        <is>
          <t>Perfectionism Cognitions Inventory</t>
        </is>
      </c>
      <c r="E14" s="24" t="inlineStr">
        <is>
          <t>Yes</t>
        </is>
      </c>
      <c r="F14" s="24" t="inlineStr">
        <is>
          <t>review</t>
        </is>
      </c>
      <c r="G14" s="24" t="inlineStr">
        <is>
          <t>No explicit restriction found; Hewitt Lab hosts the document. Confirm before clearing.</t>
        </is>
      </c>
      <c r="H14" s="24" t="inlineStr">
        <is>
          <t>Yes</t>
        </is>
      </c>
      <c r="I14" s="24" t="inlineStr"/>
      <c r="J14" s="24" t="inlineStr">
        <is>
          <t>Listed below are a variety of thoughts about perfectionism that sometimes pop into people's heads. Please read each thought and indicate how frequently, if at all, the thoughts occurred to you over the last week.</t>
        </is>
      </c>
      <c r="K14" s="24" t="n">
        <v>5</v>
      </c>
      <c r="L14" s="24" t="inlineStr"/>
    </row>
    <row r="15">
      <c r="A15" s="24" t="inlineStr">
        <is>
          <t>SCS-SF</t>
        </is>
      </c>
      <c r="B15" s="24" t="inlineStr">
        <is>
          <t>scs-sf</t>
        </is>
      </c>
      <c r="C15" s="24" t="inlineStr">
        <is>
          <t>Self compassion</t>
        </is>
      </c>
      <c r="D15" s="24" t="inlineStr">
        <is>
          <t>Self-Compassion Scale – Short Form</t>
        </is>
      </c>
      <c r="E15" s="24" t="inlineStr">
        <is>
          <t>Yes</t>
        </is>
      </c>
      <c r="F15" s="24" t="inlineStr">
        <is>
          <t>review</t>
        </is>
      </c>
      <c r="G15" s="24" t="inlineStr">
        <is>
          <t>Author permits research use; practice use not addressed. Confirm with Dr Kristin Neff before clearing.</t>
        </is>
      </c>
      <c r="H15" s="24" t="inlineStr">
        <is>
          <t>Yes</t>
        </is>
      </c>
      <c r="I15" s="24" t="inlineStr"/>
      <c r="J15" s="24" t="inlineStr">
        <is>
          <t>Please read each statement carefully before answering. Indicate how often you behave in the stated manner.</t>
        </is>
      </c>
      <c r="K15" s="24" t="n">
        <v>3</v>
      </c>
      <c r="L15" s="24" t="inlineStr"/>
    </row>
    <row r="16">
      <c r="A16" s="24" t="inlineStr">
        <is>
          <t>BPNSFS</t>
        </is>
      </c>
      <c r="B16" s="24" t="inlineStr">
        <is>
          <t>bpnsfs</t>
        </is>
      </c>
      <c r="C16" s="24" t="inlineStr">
        <is>
          <t>What you need to feel at your best</t>
        </is>
      </c>
      <c r="D16" s="24" t="inlineStr">
        <is>
          <t>Basic Psychological Need Satisfaction and Frustration Scale (BPNSFS)</t>
        </is>
      </c>
      <c r="E16" s="24" t="inlineStr">
        <is>
          <t>Decide</t>
        </is>
      </c>
      <c r="F16" s="24" t="inlineStr">
        <is>
          <t>permission</t>
        </is>
      </c>
      <c r="G16" s="24" t="inlineStr">
        <is>
          <t>Copyright Center for Self-Determination Theory; written permission required for commercial use.</t>
        </is>
      </c>
      <c r="H16" s="24" t="inlineStr">
        <is>
          <t>Yes</t>
        </is>
      </c>
      <c r="I16" s="24" t="inlineStr"/>
      <c r="J16" s="24" t="inlineStr">
        <is>
          <t>Below, we ask you about the kind of experiences you actually have in your life. Please read each of the following items carefully. You can choose from 1 to 5 to indicate the degree to which the statement is true for you at this point in your life.</t>
        </is>
      </c>
      <c r="K16" s="24" t="n">
        <v>5</v>
      </c>
      <c r="L16" s="24" t="inlineStr"/>
    </row>
    <row r="17">
      <c r="A17" s="24" t="inlineStr">
        <is>
          <t>PPS</t>
        </is>
      </c>
      <c r="B17" s="24" t="inlineStr">
        <is>
          <t>pps</t>
        </is>
      </c>
      <c r="C17" s="24" t="inlineStr">
        <is>
          <t>Putting things off</t>
        </is>
      </c>
      <c r="D17" s="24" t="inlineStr">
        <is>
          <t>Pure Procrastination Scale</t>
        </is>
      </c>
      <c r="E17" s="24" t="inlineStr">
        <is>
          <t>Yes</t>
        </is>
      </c>
      <c r="F17" s="24" t="inlineStr">
        <is>
          <t>cleared</t>
        </is>
      </c>
      <c r="G17" s="24" t="inlineStr">
        <is>
          <t>Items published under CC BY (Svartdal and Steel, 2017).</t>
        </is>
      </c>
      <c r="H17" s="24" t="inlineStr">
        <is>
          <t>Yes</t>
        </is>
      </c>
      <c r="I17" s="24" t="inlineStr"/>
      <c r="J17" s="24" t="inlineStr">
        <is>
          <t>Not stated on source</t>
        </is>
      </c>
      <c r="K17" s="24" t="n">
        <v>3</v>
      </c>
      <c r="L17" s="24" t="inlineStr"/>
    </row>
    <row r="18">
      <c r="A18" s="24" t="inlineStr">
        <is>
          <t>IPS</t>
        </is>
      </c>
      <c r="B18" s="24" t="inlineStr">
        <is>
          <t>ips</t>
        </is>
      </c>
      <c r="C18" s="24" t="inlineStr">
        <is>
          <t>Delaying despite good intentions</t>
        </is>
      </c>
      <c r="D18" s="24" t="inlineStr">
        <is>
          <t>Irrational Procrastination Scale</t>
        </is>
      </c>
      <c r="E18" s="24" t="inlineStr">
        <is>
          <t>Yes</t>
        </is>
      </c>
      <c r="F18" s="24" t="inlineStr">
        <is>
          <t>cleared</t>
        </is>
      </c>
      <c r="G18" s="24" t="inlineStr">
        <is>
          <t>Items published under CC BY (Svartdal and Steel, 2017).</t>
        </is>
      </c>
      <c r="H18" s="24" t="inlineStr">
        <is>
          <t>Yes</t>
        </is>
      </c>
      <c r="I18" s="24" t="inlineStr"/>
      <c r="J18" s="24" t="inlineStr">
        <is>
          <t>Not stated on source</t>
        </is>
      </c>
      <c r="K18" s="24" t="n">
        <v>2</v>
      </c>
      <c r="L18" s="24" t="inlineStr"/>
    </row>
    <row r="19">
      <c r="A19" s="24" t="inlineStr">
        <is>
          <t>GSE</t>
        </is>
      </c>
      <c r="B19" s="24" t="inlineStr">
        <is>
          <t>gse</t>
        </is>
      </c>
      <c r="C19" s="24" t="inlineStr">
        <is>
          <t>Confidence in handling challenges</t>
        </is>
      </c>
      <c r="D19" s="24" t="inlineStr">
        <is>
          <t>General Self-Efficacy Scale</t>
        </is>
      </c>
      <c r="E19" s="24" t="inlineStr">
        <is>
          <t>Yes</t>
        </is>
      </c>
      <c r="F19" s="24" t="inlineStr">
        <is>
          <t>cleared</t>
        </is>
      </c>
      <c r="G19" s="24" t="inlineStr">
        <is>
          <t>Authors grant permission to use and reproduce.</t>
        </is>
      </c>
      <c r="H19" s="24" t="inlineStr">
        <is>
          <t>Yes</t>
        </is>
      </c>
      <c r="I19" s="24" t="inlineStr"/>
      <c r="J19" s="24" t="inlineStr">
        <is>
          <t>Not stated on source</t>
        </is>
      </c>
      <c r="K19" s="24" t="n">
        <v>2</v>
      </c>
      <c r="L19" s="24" t="inlineStr"/>
    </row>
    <row r="20">
      <c r="A20" s="24" t="inlineStr">
        <is>
          <t>GCS</t>
        </is>
      </c>
      <c r="B20" s="24" t="inlineStr">
        <is>
          <t>gcs</t>
        </is>
      </c>
      <c r="C20" s="24" t="inlineStr">
        <is>
          <t>Commitment to your goal</t>
        </is>
      </c>
      <c r="D20" s="24" t="inlineStr">
        <is>
          <t>Goal Commitment Scale (5-item unidimensional version)</t>
        </is>
      </c>
      <c r="E20" s="24" t="inlineStr">
        <is>
          <t>Decide</t>
        </is>
      </c>
      <c r="F20" s="24" t="inlineStr">
        <is>
          <t>permission</t>
        </is>
      </c>
      <c r="G20" s="24" t="inlineStr">
        <is>
          <t>No licence statement found; paywalled Elsevier article. Confirm before clearing. The form must ask the client to name a goal first.</t>
        </is>
      </c>
      <c r="H20" s="24" t="inlineStr">
        <is>
          <t>Yes</t>
        </is>
      </c>
      <c r="I20" s="24" t="inlineStr"/>
      <c r="J20" s="24" t="inlineStr">
        <is>
          <t>Think of the main goal you are working on with Sarah. Answer each statement about that goal.</t>
        </is>
      </c>
      <c r="K20" s="24" t="n">
        <v>2</v>
      </c>
      <c r="L20" s="24" t="inlineStr">
        <is>
          <t>No verbatim published instructions exist. Draft wording for Sarah; the hub does not yet ask the client to type the goal.</t>
        </is>
      </c>
    </row>
    <row r="21">
      <c r="A21" s="24" t="inlineStr">
        <is>
          <t>GADJ</t>
        </is>
      </c>
      <c r="B21" s="24" t="inlineStr">
        <is>
          <t>gadj</t>
        </is>
      </c>
      <c r="C21" s="24" t="inlineStr">
        <is>
          <t>Adjusting your goals</t>
        </is>
      </c>
      <c r="D21" s="24" t="inlineStr">
        <is>
          <t>Goal Adjustment Scale</t>
        </is>
      </c>
      <c r="E21" s="24" t="inlineStr">
        <is>
          <t>Decide</t>
        </is>
      </c>
      <c r="F21" s="24" t="inlineStr">
        <is>
          <t>permission</t>
        </is>
      </c>
      <c r="G21" s="24" t="inlineStr">
        <is>
          <t>Society for Personality and Social Psychology copyright; no permission statement found. Confirm before clearing.</t>
        </is>
      </c>
      <c r="H21" s="24" t="inlineStr">
        <is>
          <t>Yes</t>
        </is>
      </c>
      <c r="I21" s="24" t="inlineStr"/>
      <c r="J21" s="24" t="inlineStr">
        <is>
          <t>"If I have to stop pursuing an important goal in my life . . ." This is the generic item stem used for all 10 items in Study 2 and Study 3, quoted verbatim from a footnote to Table 1 of Wrosch et al. (2003), fetched and confirmed in this session. In Study 1, the goal disengagement items only were instead presented against three separate situational stems, one of which is quoted verbatim in the article as: "If it becomes likely that I have to stop pursuing an important goal because I no longer have the opportunity to realize it . . ."</t>
        </is>
      </c>
      <c r="K21" s="24" t="n">
        <v>3</v>
      </c>
      <c r="L21" s="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2"/>
  <sheetViews>
    <sheetView workbookViewId="0">
      <pane ySplit="1" topLeftCell="A2" activePane="bottomLeft" state="frozen"/>
      <selection pane="bottomLeft" activeCell="A1" sqref="A1"/>
    </sheetView>
  </sheetViews>
  <sheetFormatPr baseColWidth="8" defaultRowHeight="15"/>
  <cols>
    <col width="10" customWidth="1" style="17" min="1" max="1"/>
    <col width="34" customWidth="1" style="17" min="2" max="2"/>
    <col width="18" customWidth="1" style="17" min="3" max="3"/>
    <col width="28" customWidth="1" style="17" min="4" max="4"/>
    <col width="16" customWidth="1" style="17" min="5" max="5"/>
    <col width="10" customWidth="1" style="17" min="6" max="6"/>
    <col width="12" customWidth="1" style="17" min="7" max="7"/>
    <col width="12" customWidth="1" style="17" min="8" max="8"/>
    <col width="50" customWidth="1" style="17" min="9" max="9"/>
    <col width="50" customWidth="1" style="17" min="10" max="10"/>
    <col width="24" customWidth="1" style="17" min="11" max="11"/>
    <col width="44" customWidth="1" style="17" min="12" max="12"/>
    <col width="40" customWidth="1" style="17" min="13" max="13"/>
  </cols>
  <sheetData>
    <row r="1">
      <c r="A1" s="23" t="inlineStr">
        <is>
          <t>Code</t>
        </is>
      </c>
      <c r="B1" s="23" t="inlineStr">
        <is>
          <t>Codebook subscale</t>
        </is>
      </c>
      <c r="C1" s="23" t="inlineStr">
        <is>
          <t>Hub subscale id</t>
        </is>
      </c>
      <c r="D1" s="23" t="inlineStr">
        <is>
          <t>Label shown to clients</t>
        </is>
      </c>
      <c r="E1" s="23" t="inlineStr">
        <is>
          <t>Scoring direction (difficulty / positive / none)</t>
        </is>
      </c>
      <c r="F1" s="23" t="inlineStr">
        <is>
          <t>Method (mean / sum)</t>
        </is>
      </c>
      <c r="G1" s="23" t="inlineStr">
        <is>
          <t>Lower band up to (blank = third of range)</t>
        </is>
      </c>
      <c r="H1" s="23" t="inlineStr">
        <is>
          <t>Upper band up to (blank = two thirds of range)</t>
        </is>
      </c>
      <c r="I1" s="23" t="inlineStr">
        <is>
          <t>Strength wording (client sees)</t>
        </is>
      </c>
      <c r="J1" s="23" t="inlineStr">
        <is>
          <t>Focus wording (client sees)</t>
        </is>
      </c>
      <c r="K1" s="23" t="inlineStr">
        <is>
          <t>Learning Hub topic</t>
        </is>
      </c>
      <c r="L1" s="23" t="inlineStr">
        <is>
          <t>Topic URL</t>
        </is>
      </c>
      <c r="M1" s="23" t="inlineStr">
        <is>
          <t>Notes</t>
        </is>
      </c>
    </row>
    <row r="2">
      <c r="A2" s="24" t="inlineStr">
        <is>
          <t>ESQ-R</t>
        </is>
      </c>
      <c r="B2" s="24" t="inlineStr">
        <is>
          <t>Plan Management</t>
        </is>
      </c>
      <c r="C2" s="24" t="inlineStr">
        <is>
          <t>plan</t>
        </is>
      </c>
      <c r="D2" s="24" t="inlineStr">
        <is>
          <t>Planning and managing tasks</t>
        </is>
      </c>
      <c r="E2" s="24" t="inlineStr">
        <is>
          <t>difficulty</t>
        </is>
      </c>
      <c r="F2" s="24" t="inlineStr">
        <is>
          <t>mean</t>
        </is>
      </c>
      <c r="G2" s="24" t="inlineStr"/>
      <c r="H2" s="24" t="inlineStr"/>
      <c r="I2" s="24" t="inlineStr">
        <is>
          <t>You described planning and managing tasks as something that mostly goes smoothly for you.</t>
        </is>
      </c>
      <c r="J2" s="24" t="inlineStr">
        <is>
          <t>Planning and keeping track of tasks came up often in your answers.</t>
        </is>
      </c>
      <c r="K2" s="24" t="inlineStr">
        <is>
          <t>Planning and prioritising</t>
        </is>
      </c>
      <c r="L2" s="24" t="inlineStr">
        <is>
          <t>https://app.executiveframe.co.nz/hub/planning</t>
        </is>
      </c>
      <c r="M2" s="24" t="inlineStr"/>
    </row>
    <row r="3">
      <c r="A3" s="24" t="inlineStr">
        <is>
          <t>ESQ-R</t>
        </is>
      </c>
      <c r="B3" s="24" t="inlineStr">
        <is>
          <t>Time Management</t>
        </is>
      </c>
      <c r="C3" s="24" t="inlineStr">
        <is>
          <t>time</t>
        </is>
      </c>
      <c r="D3" s="24" t="inlineStr">
        <is>
          <t>Managing time</t>
        </is>
      </c>
      <c r="E3" s="24" t="inlineStr">
        <is>
          <t>difficulty</t>
        </is>
      </c>
      <c r="F3" s="24" t="inlineStr">
        <is>
          <t>mean</t>
        </is>
      </c>
      <c r="G3" s="24" t="inlineStr"/>
      <c r="H3" s="24" t="inlineStr"/>
      <c r="I3" s="24" t="inlineStr">
        <is>
          <t>You told us that keeping to time mostly works for you.</t>
        </is>
      </c>
      <c r="J3" s="24" t="inlineStr">
        <is>
          <t>Estimating and keeping to time came up as a difficulty in your answers.</t>
        </is>
      </c>
      <c r="K3" s="24" t="inlineStr">
        <is>
          <t>Time and estimating</t>
        </is>
      </c>
      <c r="L3" s="24" t="inlineStr">
        <is>
          <t>https://app.executiveframe.co.nz/hub/time</t>
        </is>
      </c>
      <c r="M3" s="24" t="inlineStr"/>
    </row>
    <row r="4">
      <c r="A4" s="24" t="inlineStr">
        <is>
          <t>ESQ-R</t>
        </is>
      </c>
      <c r="B4" s="24" t="inlineStr">
        <is>
          <t>Organization</t>
        </is>
      </c>
      <c r="C4" s="24" t="inlineStr">
        <is>
          <t>organisation</t>
        </is>
      </c>
      <c r="D4" s="24" t="inlineStr">
        <is>
          <t>Staying organised</t>
        </is>
      </c>
      <c r="E4" s="24" t="inlineStr">
        <is>
          <t>difficulty</t>
        </is>
      </c>
      <c r="F4" s="24" t="inlineStr">
        <is>
          <t>mean</t>
        </is>
      </c>
      <c r="G4" s="24" t="inlineStr"/>
      <c r="H4" s="24" t="inlineStr"/>
      <c r="I4" s="24" t="inlineStr">
        <is>
          <t>Keeping things and spaces in order mostly works for you.</t>
        </is>
      </c>
      <c r="J4" s="24" t="inlineStr">
        <is>
          <t>Keeping things and spaces in order came up as a difficulty in your answers.</t>
        </is>
      </c>
      <c r="K4" s="24" t="inlineStr">
        <is>
          <t>Organising your things and spaces</t>
        </is>
      </c>
      <c r="L4" s="24" t="inlineStr">
        <is>
          <t>https://app.executiveframe.co.nz/hub/organisation</t>
        </is>
      </c>
      <c r="M4" s="24" t="inlineStr"/>
    </row>
    <row r="5">
      <c r="A5" s="24" t="inlineStr">
        <is>
          <t>ESQ-R</t>
        </is>
      </c>
      <c r="B5" s="24" t="inlineStr">
        <is>
          <t>Emotional Regulation</t>
        </is>
      </c>
      <c r="C5" s="24" t="inlineStr">
        <is>
          <t>emotion</t>
        </is>
      </c>
      <c r="D5" s="24" t="inlineStr">
        <is>
          <t>Managing feelings</t>
        </is>
      </c>
      <c r="E5" s="24" t="inlineStr">
        <is>
          <t>difficulty</t>
        </is>
      </c>
      <c r="F5" s="24" t="inlineStr">
        <is>
          <t>mean</t>
        </is>
      </c>
      <c r="G5" s="24" t="inlineStr"/>
      <c r="H5" s="24" t="inlineStr"/>
      <c r="I5" s="24" t="inlineStr">
        <is>
          <t>You described managing strong feelings as something you handle well.</t>
        </is>
      </c>
      <c r="J5" s="24" t="inlineStr">
        <is>
          <t>Managing strong feelings came up as a difficulty in your answers.</t>
        </is>
      </c>
      <c r="K5" s="24" t="inlineStr">
        <is>
          <t>Managing feelings</t>
        </is>
      </c>
      <c r="L5" s="24" t="inlineStr">
        <is>
          <t>https://app.executiveframe.co.nz/hub/emotional-regulation</t>
        </is>
      </c>
      <c r="M5" s="24" t="inlineStr"/>
    </row>
    <row r="6">
      <c r="A6" s="24" t="inlineStr">
        <is>
          <t>ESQ-R</t>
        </is>
      </c>
      <c r="B6" s="24" t="inlineStr">
        <is>
          <t>Behavioral Regulation</t>
        </is>
      </c>
      <c r="C6" s="24" t="inlineStr">
        <is>
          <t>behaviour</t>
        </is>
      </c>
      <c r="D6" s="24" t="inlineStr">
        <is>
          <t>Pausing before acting</t>
        </is>
      </c>
      <c r="E6" s="24" t="inlineStr">
        <is>
          <t>difficulty</t>
        </is>
      </c>
      <c r="F6" s="24" t="inlineStr">
        <is>
          <t>mean</t>
        </is>
      </c>
      <c r="G6" s="24" t="inlineStr"/>
      <c r="H6" s="24" t="inlineStr"/>
      <c r="I6" s="24" t="inlineStr">
        <is>
          <t>Pausing before acting and sticking with a plan mostly works for you.</t>
        </is>
      </c>
      <c r="J6" s="24" t="inlineStr">
        <is>
          <t>Pausing before acting and sticking with a plan came up as a difficulty in your answers.</t>
        </is>
      </c>
      <c r="K6" s="24" t="inlineStr">
        <is>
          <t>Pausing and following through</t>
        </is>
      </c>
      <c r="L6" s="24" t="inlineStr">
        <is>
          <t>https://app.executiveframe.co.nz/hub/impulse-control</t>
        </is>
      </c>
      <c r="M6" s="24" t="inlineStr"/>
    </row>
    <row r="7">
      <c r="A7" s="24" t="inlineStr">
        <is>
          <t>CFI</t>
        </is>
      </c>
      <c r="B7" s="24" t="inlineStr">
        <is>
          <t>Alternatives</t>
        </is>
      </c>
      <c r="C7" s="24" t="inlineStr">
        <is>
          <t>alternatives</t>
        </is>
      </c>
      <c r="D7" s="24" t="inlineStr">
        <is>
          <t>Seeing other options</t>
        </is>
      </c>
      <c r="E7" s="24" t="inlineStr">
        <is>
          <t>positive</t>
        </is>
      </c>
      <c r="F7" s="24" t="inlineStr">
        <is>
          <t>mean</t>
        </is>
      </c>
      <c r="G7" s="24" t="inlineStr"/>
      <c r="H7" s="24" t="inlineStr"/>
      <c r="I7" s="24" t="inlineStr">
        <is>
          <t>You described finding other ways of seeing a situation as something that comes readily to you.</t>
        </is>
      </c>
      <c r="J7" s="24" t="inlineStr">
        <is>
          <t>Your answers suggest it can be hard to see other ways of reading a situation.</t>
        </is>
      </c>
      <c r="K7" s="24" t="inlineStr">
        <is>
          <t>Thinking flexibly</t>
        </is>
      </c>
      <c r="L7" s="24" t="inlineStr">
        <is>
          <t>https://app.executiveframe.co.nz/hub/flexible-thinking</t>
        </is>
      </c>
      <c r="M7" s="24" t="inlineStr"/>
    </row>
    <row r="8">
      <c r="A8" s="24" t="inlineStr">
        <is>
          <t>CFI</t>
        </is>
      </c>
      <c r="B8" s="24" t="inlineStr">
        <is>
          <t>Control</t>
        </is>
      </c>
      <c r="C8" s="24" t="inlineStr">
        <is>
          <t>control</t>
        </is>
      </c>
      <c r="D8" s="24" t="inlineStr">
        <is>
          <t>Seeing situations as workable</t>
        </is>
      </c>
      <c r="E8" s="24" t="inlineStr">
        <is>
          <t>positive</t>
        </is>
      </c>
      <c r="F8" s="24" t="inlineStr">
        <is>
          <t>mean</t>
        </is>
      </c>
      <c r="G8" s="24" t="inlineStr"/>
      <c r="H8" s="24" t="inlineStr"/>
      <c r="I8" s="24" t="inlineStr">
        <is>
          <t>You tend to see difficult situations as ones you can do something about.</t>
        </is>
      </c>
      <c r="J8" s="24" t="inlineStr">
        <is>
          <t>Your answers suggest difficult situations can feel outside your control.</t>
        </is>
      </c>
      <c r="K8" s="24" t="inlineStr">
        <is>
          <t>Thinking flexibly</t>
        </is>
      </c>
      <c r="L8" s="24" t="inlineStr">
        <is>
          <t>https://app.executiveframe.co.nz/hub/flexible-thinking</t>
        </is>
      </c>
      <c r="M8" s="24" t="inlineStr"/>
    </row>
    <row r="9">
      <c r="A9" s="24" t="inlineStr">
        <is>
          <t>ASRS</t>
        </is>
      </c>
      <c r="B9" s="24" t="inlineStr">
        <is>
          <t>Part A (Criterion / Screener)</t>
        </is>
      </c>
      <c r="C9" s="24" t="inlineStr">
        <is>
          <t>part-a</t>
        </is>
      </c>
      <c r="D9" s="24" t="inlineStr">
        <is>
          <t>Part A</t>
        </is>
      </c>
      <c r="E9" s="24" t="inlineStr">
        <is>
          <t>none</t>
        </is>
      </c>
      <c r="F9" s="24" t="inlineStr">
        <is>
          <t>sum</t>
        </is>
      </c>
      <c r="G9" s="24" t="inlineStr"/>
      <c r="H9" s="24" t="inlineStr"/>
      <c r="I9" s="24" t="inlineStr"/>
      <c r="J9" s="24" t="inlineStr"/>
      <c r="K9" s="24" t="inlineStr"/>
      <c r="L9" s="24" t="inlineStr"/>
      <c r="M9" s="24" t="inlineStr">
        <is>
          <t>Screener. Scored for Sarah only; the hub never shows this to the client.</t>
        </is>
      </c>
    </row>
    <row r="10">
      <c r="A10" s="24" t="inlineStr">
        <is>
          <t>ASRS</t>
        </is>
      </c>
      <c r="B10" s="24" t="inlineStr">
        <is>
          <t>Part B (Additional Symptoms)</t>
        </is>
      </c>
      <c r="C10" s="24" t="inlineStr">
        <is>
          <t>part-b</t>
        </is>
      </c>
      <c r="D10" s="24" t="inlineStr">
        <is>
          <t>Part B</t>
        </is>
      </c>
      <c r="E10" s="24" t="inlineStr">
        <is>
          <t>none</t>
        </is>
      </c>
      <c r="F10" s="24" t="inlineStr">
        <is>
          <t>sum</t>
        </is>
      </c>
      <c r="G10" s="24" t="inlineStr"/>
      <c r="H10" s="24" t="inlineStr"/>
      <c r="I10" s="24" t="inlineStr"/>
      <c r="J10" s="24" t="inlineStr"/>
      <c r="K10" s="24" t="inlineStr"/>
      <c r="L10" s="24" t="inlineStr"/>
      <c r="M10" s="24" t="inlineStr">
        <is>
          <t>Scored for Sarah only.</t>
        </is>
      </c>
    </row>
    <row r="11">
      <c r="A11" s="24" t="inlineStr">
        <is>
          <t>ASRS</t>
        </is>
      </c>
      <c r="B11" s="24" t="inlineStr">
        <is>
          <t>Inattentiveness</t>
        </is>
      </c>
      <c r="C11" s="24" t="inlineStr">
        <is>
          <t>inattention</t>
        </is>
      </c>
      <c r="D11" s="24" t="inlineStr">
        <is>
          <t>Inattention</t>
        </is>
      </c>
      <c r="E11" s="24" t="inlineStr">
        <is>
          <t>none</t>
        </is>
      </c>
      <c r="F11" s="24" t="inlineStr">
        <is>
          <t>sum</t>
        </is>
      </c>
      <c r="G11" s="24" t="inlineStr"/>
      <c r="H11" s="24" t="inlineStr"/>
      <c r="I11" s="24" t="inlineStr"/>
      <c r="J11" s="24" t="inlineStr"/>
      <c r="K11" s="24" t="inlineStr"/>
      <c r="L11" s="24" t="inlineStr"/>
      <c r="M11" s="24" t="inlineStr">
        <is>
          <t>Raw sum; the dichotomous symptom count is read from the shaded boxes by Sarah.</t>
        </is>
      </c>
    </row>
    <row r="12">
      <c r="A12" s="24" t="inlineStr">
        <is>
          <t>ASRS</t>
        </is>
      </c>
      <c r="B12" s="24" t="inlineStr">
        <is>
          <t>Hyperactivity/Impulsivity - Motor</t>
        </is>
      </c>
      <c r="C12" s="24" t="inlineStr">
        <is>
          <t>motor</t>
        </is>
      </c>
      <c r="D12" s="24" t="inlineStr">
        <is>
          <t>Motor</t>
        </is>
      </c>
      <c r="E12" s="24" t="inlineStr">
        <is>
          <t>none</t>
        </is>
      </c>
      <c r="F12" s="24" t="inlineStr">
        <is>
          <t>sum</t>
        </is>
      </c>
      <c r="G12" s="24" t="inlineStr"/>
      <c r="H12" s="24" t="inlineStr"/>
      <c r="I12" s="24" t="inlineStr"/>
      <c r="J12" s="24" t="inlineStr"/>
      <c r="K12" s="24" t="inlineStr"/>
      <c r="L12" s="24" t="inlineStr"/>
      <c r="M12" s="24" t="inlineStr">
        <is>
          <t>Raw sum.</t>
        </is>
      </c>
    </row>
    <row r="13">
      <c r="A13" s="24" t="inlineStr">
        <is>
          <t>ASRS</t>
        </is>
      </c>
      <c r="B13" s="24" t="inlineStr">
        <is>
          <t>Hyperactivity/Impulsivity - Verbal</t>
        </is>
      </c>
      <c r="C13" s="24" t="inlineStr">
        <is>
          <t>verbal</t>
        </is>
      </c>
      <c r="D13" s="24" t="inlineStr">
        <is>
          <t>Verbal</t>
        </is>
      </c>
      <c r="E13" s="24" t="inlineStr">
        <is>
          <t>none</t>
        </is>
      </c>
      <c r="F13" s="24" t="inlineStr">
        <is>
          <t>sum</t>
        </is>
      </c>
      <c r="G13" s="24" t="inlineStr"/>
      <c r="H13" s="24" t="inlineStr"/>
      <c r="I13" s="24" t="inlineStr"/>
      <c r="J13" s="24" t="inlineStr"/>
      <c r="K13" s="24" t="inlineStr"/>
      <c r="L13" s="24" t="inlineStr"/>
      <c r="M13" s="24" t="inlineStr">
        <is>
          <t>Raw sum.</t>
        </is>
      </c>
    </row>
    <row r="14">
      <c r="A14" s="24" t="inlineStr">
        <is>
          <t>SKS</t>
        </is>
      </c>
      <c r="B14" s="24" t="inlineStr">
        <is>
          <t>Strengths Knowledge (total scale)</t>
        </is>
      </c>
      <c r="C14" s="24" t="inlineStr">
        <is>
          <t>total</t>
        </is>
      </c>
      <c r="D14" s="24" t="inlineStr">
        <is>
          <t>Knowing your strengths</t>
        </is>
      </c>
      <c r="E14" s="24" t="inlineStr">
        <is>
          <t>positive</t>
        </is>
      </c>
      <c r="F14" s="24" t="inlineStr">
        <is>
          <t>mean</t>
        </is>
      </c>
      <c r="G14" s="24" t="inlineStr"/>
      <c r="H14" s="24" t="inlineStr"/>
      <c r="I14" s="24" t="inlineStr">
        <is>
          <t>You have a clear sense of what your strengths are.</t>
        </is>
      </c>
      <c r="J14" s="24" t="inlineStr">
        <is>
          <t>Your answers suggest you are not yet sure what your strengths are, which is a good place to start.</t>
        </is>
      </c>
      <c r="K14" s="24" t="inlineStr">
        <is>
          <t>Finding your strengths</t>
        </is>
      </c>
      <c r="L14" s="24" t="inlineStr">
        <is>
          <t>https://app.executiveframe.co.nz/hub/strengths</t>
        </is>
      </c>
      <c r="M14" s="24" t="inlineStr"/>
    </row>
    <row r="15">
      <c r="A15" s="24" t="inlineStr">
        <is>
          <t>SUS</t>
        </is>
      </c>
      <c r="B15" s="24" t="inlineStr">
        <is>
          <t>Strengths Use (total scale)</t>
        </is>
      </c>
      <c r="C15" s="24" t="inlineStr">
        <is>
          <t>total</t>
        </is>
      </c>
      <c r="D15" s="24" t="inlineStr">
        <is>
          <t>Using your strengths</t>
        </is>
      </c>
      <c r="E15" s="24" t="inlineStr">
        <is>
          <t>positive</t>
        </is>
      </c>
      <c r="F15" s="24" t="inlineStr">
        <is>
          <t>mean</t>
        </is>
      </c>
      <c r="G15" s="24" t="inlineStr"/>
      <c r="H15" s="24" t="inlineStr"/>
      <c r="I15" s="24" t="inlineStr">
        <is>
          <t>You described using your strengths often, at work and beyond.</t>
        </is>
      </c>
      <c r="J15" s="24" t="inlineStr">
        <is>
          <t>Your answers suggest your strengths do not get much use day to day.</t>
        </is>
      </c>
      <c r="K15" s="24" t="inlineStr">
        <is>
          <t>Using your strengths</t>
        </is>
      </c>
      <c r="L15" s="24" t="inlineStr">
        <is>
          <t>https://app.executiveframe.co.nz/hub/strengths-use</t>
        </is>
      </c>
      <c r="M15" s="24" t="inlineStr"/>
    </row>
    <row r="16">
      <c r="A16" s="24" t="inlineStr">
        <is>
          <t>SSES</t>
        </is>
      </c>
      <c r="B16" s="24" t="inlineStr">
        <is>
          <t>Strengths Self-Efficacy (total scale)</t>
        </is>
      </c>
      <c r="C16" s="24" t="inlineStr">
        <is>
          <t>total</t>
        </is>
      </c>
      <c r="D16" s="24" t="inlineStr">
        <is>
          <t>Confidence in your strengths</t>
        </is>
      </c>
      <c r="E16" s="24" t="inlineStr">
        <is>
          <t>positive</t>
        </is>
      </c>
      <c r="F16" s="24" t="inlineStr">
        <is>
          <t>mean</t>
        </is>
      </c>
      <c r="G16" s="24" t="inlineStr"/>
      <c r="H16" s="24" t="inlineStr"/>
      <c r="I16" s="24" t="inlineStr">
        <is>
          <t>You feel confident applying your strengths when it counts.</t>
        </is>
      </c>
      <c r="J16" s="24" t="inlineStr">
        <is>
          <t>Your answers suggest you are not yet confident putting your strengths to use.</t>
        </is>
      </c>
      <c r="K16" s="24" t="inlineStr">
        <is>
          <t>Using your strengths</t>
        </is>
      </c>
      <c r="L16" s="24" t="inlineStr">
        <is>
          <t>https://app.executiveframe.co.nz/hub/strengths-use</t>
        </is>
      </c>
      <c r="M16" s="24" t="inlineStr"/>
    </row>
    <row r="17">
      <c r="A17" s="24" t="inlineStr">
        <is>
          <t>CSES</t>
        </is>
      </c>
      <c r="B17" s="24" t="inlineStr">
        <is>
          <t>Core Self-Evaluations (total scale, unidimensional)</t>
        </is>
      </c>
      <c r="C17" s="24" t="inlineStr">
        <is>
          <t>total</t>
        </is>
      </c>
      <c r="D17" s="24" t="inlineStr">
        <is>
          <t>How you see yourself</t>
        </is>
      </c>
      <c r="E17" s="24" t="inlineStr">
        <is>
          <t>positive</t>
        </is>
      </c>
      <c r="F17" s="24" t="inlineStr">
        <is>
          <t>mean</t>
        </is>
      </c>
      <c r="G17" s="24" t="inlineStr"/>
      <c r="H17" s="24" t="inlineStr"/>
      <c r="I17" s="24" t="inlineStr">
        <is>
          <t>You described a steady, positive view of yourself and what you can do.</t>
        </is>
      </c>
      <c r="J17" s="24" t="inlineStr">
        <is>
          <t>Your answers suggest your view of yourself can be harsh or uncertain.</t>
        </is>
      </c>
      <c r="K17" s="24" t="inlineStr">
        <is>
          <t>How you see yourself</t>
        </is>
      </c>
      <c r="L17" s="24" t="inlineStr">
        <is>
          <t>https://app.executiveframe.co.nz/hub/self-view</t>
        </is>
      </c>
      <c r="M17" s="24" t="inlineStr"/>
    </row>
    <row r="18">
      <c r="A18" s="24" t="inlineStr">
        <is>
          <t>PES</t>
        </is>
      </c>
      <c r="B18" s="24" t="inlineStr">
        <is>
          <t>Meaning</t>
        </is>
      </c>
      <c r="C18" s="24" t="inlineStr">
        <is>
          <t>meaning</t>
        </is>
      </c>
      <c r="D18" s="24" t="inlineStr">
        <is>
          <t>Meaning in your work</t>
        </is>
      </c>
      <c r="E18" s="24" t="inlineStr">
        <is>
          <t>positive</t>
        </is>
      </c>
      <c r="F18" s="24" t="inlineStr">
        <is>
          <t>mean</t>
        </is>
      </c>
      <c r="G18" s="24" t="inlineStr"/>
      <c r="H18" s="24" t="inlineStr"/>
      <c r="I18" s="24" t="inlineStr">
        <is>
          <t>Your work feels meaningful to you.</t>
        </is>
      </c>
      <c r="J18" s="24" t="inlineStr">
        <is>
          <t>Your answers suggest your work does not feel very meaningful at the moment.</t>
        </is>
      </c>
      <c r="K18" s="24" t="inlineStr">
        <is>
          <t>Meaning at work</t>
        </is>
      </c>
      <c r="L18" s="24" t="inlineStr">
        <is>
          <t>https://app.executiveframe.co.nz/hub/meaning</t>
        </is>
      </c>
      <c r="M18" s="24" t="inlineStr"/>
    </row>
    <row r="19">
      <c r="A19" s="24" t="inlineStr">
        <is>
          <t>PES</t>
        </is>
      </c>
      <c r="B19" s="24" t="inlineStr">
        <is>
          <t>Competence</t>
        </is>
      </c>
      <c r="C19" s="24" t="inlineStr">
        <is>
          <t>competence</t>
        </is>
      </c>
      <c r="D19" s="24" t="inlineStr">
        <is>
          <t>Confidence in your work</t>
        </is>
      </c>
      <c r="E19" s="24" t="inlineStr">
        <is>
          <t>positive</t>
        </is>
      </c>
      <c r="F19" s="24" t="inlineStr">
        <is>
          <t>mean</t>
        </is>
      </c>
      <c r="G19" s="24" t="inlineStr"/>
      <c r="H19" s="24" t="inlineStr"/>
      <c r="I19" s="24" t="inlineStr">
        <is>
          <t>You feel capable in your work.</t>
        </is>
      </c>
      <c r="J19" s="24" t="inlineStr">
        <is>
          <t>Your answers suggest you are not feeling confident in your work right now.</t>
        </is>
      </c>
      <c r="K19" s="24" t="inlineStr">
        <is>
          <t>Confidence at work</t>
        </is>
      </c>
      <c r="L19" s="24" t="inlineStr">
        <is>
          <t>https://app.executiveframe.co.nz/hub/competence</t>
        </is>
      </c>
      <c r="M19" s="24" t="inlineStr"/>
    </row>
    <row r="20">
      <c r="A20" s="24" t="inlineStr">
        <is>
          <t>PES</t>
        </is>
      </c>
      <c r="B20" s="24" t="inlineStr">
        <is>
          <t>Self-Determination</t>
        </is>
      </c>
      <c r="C20" s="24" t="inlineStr">
        <is>
          <t>autonomy</t>
        </is>
      </c>
      <c r="D20" s="24" t="inlineStr">
        <is>
          <t>Choice in how you work</t>
        </is>
      </c>
      <c r="E20" s="24" t="inlineStr">
        <is>
          <t>positive</t>
        </is>
      </c>
      <c r="F20" s="24" t="inlineStr">
        <is>
          <t>mean</t>
        </is>
      </c>
      <c r="G20" s="24" t="inlineStr"/>
      <c r="H20" s="24" t="inlineStr"/>
      <c r="I20" s="24" t="inlineStr">
        <is>
          <t>You have a good deal of say in how you do your work.</t>
        </is>
      </c>
      <c r="J20" s="24" t="inlineStr">
        <is>
          <t>Your answers suggest you have little say in how you do your work.</t>
        </is>
      </c>
      <c r="K20" s="24" t="inlineStr">
        <is>
          <t>Choice and autonomy at work</t>
        </is>
      </c>
      <c r="L20" s="24" t="inlineStr">
        <is>
          <t>https://app.executiveframe.co.nz/hub/autonomy</t>
        </is>
      </c>
      <c r="M20" s="24" t="inlineStr"/>
    </row>
    <row r="21">
      <c r="A21" s="24" t="inlineStr">
        <is>
          <t>PES</t>
        </is>
      </c>
      <c r="B21" s="24" t="inlineStr">
        <is>
          <t>Impact</t>
        </is>
      </c>
      <c r="C21" s="24" t="inlineStr">
        <is>
          <t>impact</t>
        </is>
      </c>
      <c r="D21" s="24" t="inlineStr">
        <is>
          <t>Influence at work</t>
        </is>
      </c>
      <c r="E21" s="24" t="inlineStr">
        <is>
          <t>positive</t>
        </is>
      </c>
      <c r="F21" s="24" t="inlineStr">
        <is>
          <t>mean</t>
        </is>
      </c>
      <c r="G21" s="24" t="inlineStr"/>
      <c r="H21" s="24" t="inlineStr"/>
      <c r="I21" s="24" t="inlineStr">
        <is>
          <t>You feel your work makes a difference where you are.</t>
        </is>
      </c>
      <c r="J21" s="24" t="inlineStr">
        <is>
          <t>Your answers suggest you feel your work has little influence on what happens around you.</t>
        </is>
      </c>
      <c r="K21" s="24" t="inlineStr">
        <is>
          <t>Influence at work</t>
        </is>
      </c>
      <c r="L21" s="24" t="inlineStr">
        <is>
          <t>https://app.executiveframe.co.nz/hub/impact</t>
        </is>
      </c>
      <c r="M21" s="24" t="inlineStr"/>
    </row>
    <row r="22">
      <c r="A22" s="24" t="inlineStr">
        <is>
          <t>DASS-21</t>
        </is>
      </c>
      <c r="B22" s="24" t="inlineStr">
        <is>
          <t>Depression</t>
        </is>
      </c>
      <c r="C22" s="24" t="inlineStr">
        <is>
          <t>depression</t>
        </is>
      </c>
      <c r="D22" s="24" t="inlineStr">
        <is>
          <t>Depression</t>
        </is>
      </c>
      <c r="E22" s="24" t="inlineStr">
        <is>
          <t>difficulty</t>
        </is>
      </c>
      <c r="F22" s="24" t="inlineStr">
        <is>
          <t>sum</t>
        </is>
      </c>
      <c r="G22" s="24" t="inlineStr"/>
      <c r="H22" s="24" t="n">
        <v>4</v>
      </c>
      <c r="I22" s="24" t="inlineStr"/>
      <c r="J22" s="24" t="inlineStr"/>
      <c r="K22" s="24" t="inlineStr"/>
      <c r="L22" s="24" t="inlineStr"/>
      <c r="M22" s="24" t="inlineStr">
        <is>
          <t>Raw sum of 7 items. Doubled score: normal 0 to 9. Sarah only.</t>
        </is>
      </c>
    </row>
    <row r="23">
      <c r="A23" s="24" t="inlineStr">
        <is>
          <t>DASS-21</t>
        </is>
      </c>
      <c r="B23" s="24" t="inlineStr">
        <is>
          <t>Anxiety</t>
        </is>
      </c>
      <c r="C23" s="24" t="inlineStr">
        <is>
          <t>anxiety</t>
        </is>
      </c>
      <c r="D23" s="24" t="inlineStr">
        <is>
          <t>Anxiety</t>
        </is>
      </c>
      <c r="E23" s="24" t="inlineStr">
        <is>
          <t>difficulty</t>
        </is>
      </c>
      <c r="F23" s="24" t="inlineStr">
        <is>
          <t>sum</t>
        </is>
      </c>
      <c r="G23" s="24" t="inlineStr"/>
      <c r="H23" s="24" t="n">
        <v>3</v>
      </c>
      <c r="I23" s="24" t="inlineStr"/>
      <c r="J23" s="24" t="inlineStr"/>
      <c r="K23" s="24" t="inlineStr"/>
      <c r="L23" s="24" t="inlineStr"/>
      <c r="M23" s="24" t="inlineStr">
        <is>
          <t>Raw sum. Doubled score: normal 0 to 7. Sarah only.</t>
        </is>
      </c>
    </row>
    <row r="24">
      <c r="A24" s="24" t="inlineStr">
        <is>
          <t>DASS-21</t>
        </is>
      </c>
      <c r="B24" s="24" t="inlineStr">
        <is>
          <t>Stress</t>
        </is>
      </c>
      <c r="C24" s="24" t="inlineStr">
        <is>
          <t>stress</t>
        </is>
      </c>
      <c r="D24" s="24" t="inlineStr">
        <is>
          <t>Stress</t>
        </is>
      </c>
      <c r="E24" s="24" t="inlineStr">
        <is>
          <t>difficulty</t>
        </is>
      </c>
      <c r="F24" s="24" t="inlineStr">
        <is>
          <t>sum</t>
        </is>
      </c>
      <c r="G24" s="24" t="inlineStr"/>
      <c r="H24" s="24" t="n">
        <v>7</v>
      </c>
      <c r="I24" s="24" t="inlineStr"/>
      <c r="J24" s="24" t="inlineStr"/>
      <c r="K24" s="24" t="inlineStr"/>
      <c r="L24" s="24" t="inlineStr"/>
      <c r="M24" s="24" t="inlineStr">
        <is>
          <t>Raw sum. Doubled score: normal 0 to 14. Sarah only.</t>
        </is>
      </c>
    </row>
    <row r="25">
      <c r="A25" s="24" t="inlineStr">
        <is>
          <t>PTQ</t>
        </is>
      </c>
      <c r="B25" s="24" t="inlineStr">
        <is>
          <t>Core Characteristics of Repetitive Negative Thinking</t>
        </is>
      </c>
      <c r="C25" s="24" t="inlineStr">
        <is>
          <t>core</t>
        </is>
      </c>
      <c r="D25" s="24" t="inlineStr">
        <is>
          <t>Thoughts that go round</t>
        </is>
      </c>
      <c r="E25" s="24" t="inlineStr">
        <is>
          <t>difficulty</t>
        </is>
      </c>
      <c r="F25" s="24" t="inlineStr">
        <is>
          <t>mean</t>
        </is>
      </c>
      <c r="G25" s="24" t="inlineStr"/>
      <c r="H25" s="24" t="inlineStr"/>
      <c r="I25" s="24" t="inlineStr">
        <is>
          <t>Thoughts that repeat do not seem to take hold for long with you.</t>
        </is>
      </c>
      <c r="J25" s="24" t="inlineStr">
        <is>
          <t>Thoughts that go round and are hard to stop came up often in your answers.</t>
        </is>
      </c>
      <c r="K25" s="24" t="inlineStr">
        <is>
          <t>Repetitive thinking</t>
        </is>
      </c>
      <c r="L25" s="24" t="inlineStr">
        <is>
          <t>https://app.executiveframe.co.nz/hub/repetitive-thinking</t>
        </is>
      </c>
      <c r="M25" s="24" t="inlineStr"/>
    </row>
    <row r="26">
      <c r="A26" s="24" t="inlineStr">
        <is>
          <t>PTQ</t>
        </is>
      </c>
      <c r="B26" s="24" t="inlineStr">
        <is>
          <t>Unproductiveness</t>
        </is>
      </c>
      <c r="C26" s="24" t="inlineStr">
        <is>
          <t>unproductive</t>
        </is>
      </c>
      <c r="D26" s="24" t="inlineStr">
        <is>
          <t>Thinking that goes nowhere</t>
        </is>
      </c>
      <c r="E26" s="24" t="inlineStr">
        <is>
          <t>difficulty</t>
        </is>
      </c>
      <c r="F26" s="24" t="inlineStr">
        <is>
          <t>mean</t>
        </is>
      </c>
      <c r="G26" s="24" t="inlineStr"/>
      <c r="H26" s="24" t="inlineStr"/>
      <c r="I26" s="24" t="inlineStr">
        <is>
          <t>When you think things over, it tends to get you somewhere.</t>
        </is>
      </c>
      <c r="J26" s="24" t="inlineStr">
        <is>
          <t>Your answers suggest a lot of thinking that does not lead anywhere useful.</t>
        </is>
      </c>
      <c r="K26" s="24" t="inlineStr">
        <is>
          <t>Repetitive thinking</t>
        </is>
      </c>
      <c r="L26" s="24" t="inlineStr">
        <is>
          <t>https://app.executiveframe.co.nz/hub/repetitive-thinking</t>
        </is>
      </c>
      <c r="M26" s="24" t="inlineStr"/>
    </row>
    <row r="27">
      <c r="A27" s="24" t="inlineStr">
        <is>
          <t>PTQ</t>
        </is>
      </c>
      <c r="B27" s="24" t="inlineStr">
        <is>
          <t>Capturing Mental Capacity</t>
        </is>
      </c>
      <c r="C27" s="24" t="inlineStr">
        <is>
          <t>capacity</t>
        </is>
      </c>
      <c r="D27" s="24" t="inlineStr">
        <is>
          <t>Thinking that takes over</t>
        </is>
      </c>
      <c r="E27" s="24" t="inlineStr">
        <is>
          <t>difficulty</t>
        </is>
      </c>
      <c r="F27" s="24" t="inlineStr">
        <is>
          <t>mean</t>
        </is>
      </c>
      <c r="G27" s="24" t="inlineStr"/>
      <c r="H27" s="24" t="inlineStr"/>
      <c r="I27" s="24" t="inlineStr">
        <is>
          <t>Your thinking leaves you room for other things.</t>
        </is>
      </c>
      <c r="J27" s="24" t="inlineStr">
        <is>
          <t>Your answers suggest repetitive thinking takes up a lot of your mental space.</t>
        </is>
      </c>
      <c r="K27" s="24" t="inlineStr">
        <is>
          <t>Repetitive thinking</t>
        </is>
      </c>
      <c r="L27" s="24" t="inlineStr">
        <is>
          <t>https://app.executiveframe.co.nz/hub/repetitive-thinking</t>
        </is>
      </c>
      <c r="M27" s="24" t="inlineStr"/>
    </row>
    <row r="28">
      <c r="A28" s="24" t="inlineStr">
        <is>
          <t>RRS</t>
        </is>
      </c>
      <c r="B28" s="24" t="inlineStr">
        <is>
          <t>Brooding</t>
        </is>
      </c>
      <c r="C28" s="24" t="inlineStr">
        <is>
          <t>brooding</t>
        </is>
      </c>
      <c r="D28" s="24" t="inlineStr">
        <is>
          <t>Dwelling on what is wrong</t>
        </is>
      </c>
      <c r="E28" s="24" t="inlineStr">
        <is>
          <t>difficulty</t>
        </is>
      </c>
      <c r="F28" s="24" t="inlineStr">
        <is>
          <t>mean</t>
        </is>
      </c>
      <c r="G28" s="24" t="inlineStr"/>
      <c r="H28" s="24" t="inlineStr"/>
      <c r="I28" s="24" t="inlineStr">
        <is>
          <t>You do not tend to get stuck dwelling on what is wrong.</t>
        </is>
      </c>
      <c r="J28" s="24" t="inlineStr">
        <is>
          <t>Dwelling on what is wrong came up often in your answers.</t>
        </is>
      </c>
      <c r="K28" s="24" t="inlineStr">
        <is>
          <t>Getting unstuck from low mood</t>
        </is>
      </c>
      <c r="L28" s="24" t="inlineStr">
        <is>
          <t>https://app.executiveframe.co.nz/hub/brooding</t>
        </is>
      </c>
      <c r="M28" s="24" t="inlineStr"/>
    </row>
    <row r="29">
      <c r="A29" s="24" t="inlineStr">
        <is>
          <t>RRS</t>
        </is>
      </c>
      <c r="B29" s="24" t="inlineStr">
        <is>
          <t>Reflection</t>
        </is>
      </c>
      <c r="C29" s="24" t="inlineStr">
        <is>
          <t>reflection</t>
        </is>
      </c>
      <c r="D29" s="24" t="inlineStr">
        <is>
          <t>Reflecting on low mood</t>
        </is>
      </c>
      <c r="E29" s="24" t="inlineStr">
        <is>
          <t>none</t>
        </is>
      </c>
      <c r="F29" s="24" t="inlineStr">
        <is>
          <t>mean</t>
        </is>
      </c>
      <c r="G29" s="24" t="inlineStr"/>
      <c r="H29" s="24" t="inlineStr"/>
      <c r="I29" s="24" t="inlineStr"/>
      <c r="J29" s="24" t="inlineStr"/>
      <c r="K29" s="24" t="inlineStr"/>
      <c r="L29" s="24" t="inlineStr"/>
      <c r="M29" s="24" t="inlineStr">
        <is>
          <t>Reflection can be helpful or unhelpful; numbers only.</t>
        </is>
      </c>
    </row>
    <row r="30">
      <c r="A30" s="24" t="inlineStr">
        <is>
          <t>RRS</t>
        </is>
      </c>
      <c r="B30" s="24" t="inlineStr">
        <is>
          <t>Depression-related items (not scored as a subscale)</t>
        </is>
      </c>
      <c r="C30" s="24" t="inlineStr">
        <is>
          <t>depressive</t>
        </is>
      </c>
      <c r="D30" s="24" t="inlineStr">
        <is>
          <t>Depression related items</t>
        </is>
      </c>
      <c r="E30" s="24" t="inlineStr">
        <is>
          <t>none</t>
        </is>
      </c>
      <c r="F30" s="24" t="inlineStr">
        <is>
          <t>mean</t>
        </is>
      </c>
      <c r="G30" s="24" t="inlineStr"/>
      <c r="H30" s="24" t="inlineStr"/>
      <c r="I30" s="24" t="inlineStr"/>
      <c r="J30" s="24" t="inlineStr"/>
      <c r="K30" s="24" t="inlineStr"/>
      <c r="L30" s="24" t="inlineStr"/>
      <c r="M30" s="24" t="inlineStr">
        <is>
          <t>Not recommended for coaching use; numbers only.</t>
        </is>
      </c>
    </row>
    <row r="31">
      <c r="A31" s="24" t="inlineStr">
        <is>
          <t>FSCRS</t>
        </is>
      </c>
      <c r="B31" s="24" t="inlineStr">
        <is>
          <t>Inadequate Self</t>
        </is>
      </c>
      <c r="C31" s="24" t="inlineStr">
        <is>
          <t>inadequate</t>
        </is>
      </c>
      <c r="D31" s="24" t="inlineStr">
        <is>
          <t>Feeling not good enough</t>
        </is>
      </c>
      <c r="E31" s="24" t="inlineStr">
        <is>
          <t>difficulty</t>
        </is>
      </c>
      <c r="F31" s="24" t="inlineStr">
        <is>
          <t>mean</t>
        </is>
      </c>
      <c r="G31" s="24" t="inlineStr"/>
      <c r="H31" s="24" t="inlineStr"/>
      <c r="I31" s="24" t="inlineStr">
        <is>
          <t>You do not tend to come down hard on yourself when things go wrong.</t>
        </is>
      </c>
      <c r="J31" s="24" t="inlineStr">
        <is>
          <t>Feeling not good enough when things go wrong came up often in your answers.</t>
        </is>
      </c>
      <c r="K31" s="24" t="inlineStr">
        <is>
          <t>Self criticism</t>
        </is>
      </c>
      <c r="L31" s="24" t="inlineStr">
        <is>
          <t>https://app.executiveframe.co.nz/hub/self-criticism</t>
        </is>
      </c>
      <c r="M31" s="24" t="inlineStr"/>
    </row>
    <row r="32">
      <c r="A32" s="24" t="inlineStr">
        <is>
          <t>FSCRS</t>
        </is>
      </c>
      <c r="B32" s="24" t="inlineStr">
        <is>
          <t>Hated Self</t>
        </is>
      </c>
      <c r="C32" s="24" t="inlineStr">
        <is>
          <t>hated</t>
        </is>
      </c>
      <c r="D32" s="24" t="inlineStr">
        <is>
          <t>Harsh self attack</t>
        </is>
      </c>
      <c r="E32" s="24" t="inlineStr">
        <is>
          <t>difficulty</t>
        </is>
      </c>
      <c r="F32" s="24" t="inlineStr">
        <is>
          <t>mean</t>
        </is>
      </c>
      <c r="G32" s="24" t="inlineStr"/>
      <c r="H32" s="24" t="inlineStr"/>
      <c r="I32" s="24" t="inlineStr"/>
      <c r="J32" s="24" t="inlineStr">
        <is>
          <t>Your answers include some very harsh thoughts about yourself, which Sarah will talk through with you.</t>
        </is>
      </c>
      <c r="K32" s="24" t="inlineStr">
        <is>
          <t>Self criticism</t>
        </is>
      </c>
      <c r="L32" s="24" t="inlineStr">
        <is>
          <t>https://app.executiveframe.co.nz/hub/self-criticism</t>
        </is>
      </c>
      <c r="M32" s="24" t="inlineStr">
        <is>
          <t>No strength wording; focus wording is deliberately gentle.</t>
        </is>
      </c>
    </row>
    <row r="33">
      <c r="A33" s="24" t="inlineStr">
        <is>
          <t>FSCRS</t>
        </is>
      </c>
      <c r="B33" s="24" t="inlineStr">
        <is>
          <t>Reassured Self</t>
        </is>
      </c>
      <c r="C33" s="24" t="inlineStr">
        <is>
          <t>reassured</t>
        </is>
      </c>
      <c r="D33" s="24" t="inlineStr">
        <is>
          <t>Reassuring yourself</t>
        </is>
      </c>
      <c r="E33" s="24" t="inlineStr">
        <is>
          <t>positive</t>
        </is>
      </c>
      <c r="F33" s="24" t="inlineStr">
        <is>
          <t>mean</t>
        </is>
      </c>
      <c r="G33" s="24" t="inlineStr"/>
      <c r="H33" s="24" t="inlineStr"/>
      <c r="I33" s="24" t="inlineStr">
        <is>
          <t>You are able to be kind and reassuring to yourself when things go wrong.</t>
        </is>
      </c>
      <c r="J33" s="24" t="inlineStr">
        <is>
          <t>Your answers suggest reassuring yourself when things go wrong does not come easily yet.</t>
        </is>
      </c>
      <c r="K33" s="24" t="inlineStr">
        <is>
          <t>Self compassion</t>
        </is>
      </c>
      <c r="L33" s="24" t="inlineStr">
        <is>
          <t>https://app.executiveframe.co.nz/hub/self-compassion</t>
        </is>
      </c>
      <c r="M33" s="24" t="inlineStr"/>
    </row>
    <row r="34">
      <c r="A34" s="24" t="inlineStr">
        <is>
          <t>PCI</t>
        </is>
      </c>
      <c r="B34" s="24" t="inlineStr">
        <is>
          <t>Perfectionism Cognitions (total scale)</t>
        </is>
      </c>
      <c r="C34" s="24" t="inlineStr">
        <is>
          <t>total</t>
        </is>
      </c>
      <c r="D34" s="24" t="inlineStr">
        <is>
          <t>Perfectionistic thoughts</t>
        </is>
      </c>
      <c r="E34" s="24" t="inlineStr">
        <is>
          <t>difficulty</t>
        </is>
      </c>
      <c r="F34" s="24" t="inlineStr">
        <is>
          <t>mean</t>
        </is>
      </c>
      <c r="G34" s="24" t="inlineStr"/>
      <c r="H34" s="24" t="inlineStr"/>
      <c r="I34" s="24" t="inlineStr">
        <is>
          <t>Thoughts about needing to be perfect do not seem to feature much for you.</t>
        </is>
      </c>
      <c r="J34" s="24" t="inlineStr">
        <is>
          <t>Thoughts about needing to be perfect came up often in your answers.</t>
        </is>
      </c>
      <c r="K34" s="24" t="inlineStr">
        <is>
          <t>Perfectionism</t>
        </is>
      </c>
      <c r="L34" s="24" t="inlineStr">
        <is>
          <t>https://app.executiveframe.co.nz/hub/perfectionism</t>
        </is>
      </c>
      <c r="M34" s="24" t="inlineStr"/>
    </row>
    <row r="35">
      <c r="A35" s="24" t="inlineStr">
        <is>
          <t>SCS-SF</t>
        </is>
      </c>
      <c r="B35" s="24" t="inlineStr">
        <is>
          <t>Self-Kindness</t>
        </is>
      </c>
      <c r="C35" s="24" t="inlineStr">
        <is>
          <t>kindness</t>
        </is>
      </c>
      <c r="D35" s="24" t="inlineStr">
        <is>
          <t>Being kind to yourself</t>
        </is>
      </c>
      <c r="E35" s="24" t="inlineStr">
        <is>
          <t>positive</t>
        </is>
      </c>
      <c r="F35" s="24" t="inlineStr">
        <is>
          <t>mean</t>
        </is>
      </c>
      <c r="G35" s="24" t="inlineStr"/>
      <c r="H35" s="24" t="inlineStr"/>
      <c r="I35" s="24" t="inlineStr">
        <is>
          <t>You tend to treat yourself with kindness.</t>
        </is>
      </c>
      <c r="J35" s="24" t="inlineStr">
        <is>
          <t>Your answers suggest being kind to yourself does not come easily.</t>
        </is>
      </c>
      <c r="K35" s="24" t="inlineStr">
        <is>
          <t>Self compassion</t>
        </is>
      </c>
      <c r="L35" s="24" t="inlineStr">
        <is>
          <t>https://app.executiveframe.co.nz/hub/self-compassion</t>
        </is>
      </c>
      <c r="M35" s="24" t="inlineStr"/>
    </row>
    <row r="36">
      <c r="A36" s="24" t="inlineStr">
        <is>
          <t>SCS-SF</t>
        </is>
      </c>
      <c r="B36" s="24" t="inlineStr">
        <is>
          <t>Self-Judgment</t>
        </is>
      </c>
      <c r="C36" s="24" t="inlineStr">
        <is>
          <t>judgment</t>
        </is>
      </c>
      <c r="D36" s="24" t="inlineStr">
        <is>
          <t>Easing self judgement</t>
        </is>
      </c>
      <c r="E36" s="24" t="inlineStr">
        <is>
          <t>positive</t>
        </is>
      </c>
      <c r="F36" s="24" t="inlineStr">
        <is>
          <t>mean</t>
        </is>
      </c>
      <c r="G36" s="24" t="inlineStr"/>
      <c r="H36" s="24" t="inlineStr"/>
      <c r="I36" s="24" t="inlineStr">
        <is>
          <t>You tend not to judge yourself harshly.</t>
        </is>
      </c>
      <c r="J36" s="24" t="inlineStr">
        <is>
          <t>Your answers suggest you judge yourself harshly.</t>
        </is>
      </c>
      <c r="K36" s="24" t="inlineStr">
        <is>
          <t>Self compassion</t>
        </is>
      </c>
      <c r="L36" s="24" t="inlineStr">
        <is>
          <t>https://app.executiveframe.co.nz/hub/self-compassion</t>
        </is>
      </c>
      <c r="M36" s="24" t="inlineStr">
        <is>
          <t>Reverse scored, so higher is better.</t>
        </is>
      </c>
    </row>
    <row r="37">
      <c r="A37" s="24" t="inlineStr">
        <is>
          <t>SCS-SF</t>
        </is>
      </c>
      <c r="B37" s="24" t="inlineStr">
        <is>
          <t>Common Humanity</t>
        </is>
      </c>
      <c r="C37" s="24" t="inlineStr">
        <is>
          <t>humanity</t>
        </is>
      </c>
      <c r="D37" s="24" t="inlineStr">
        <is>
          <t>Feeling you are not alone</t>
        </is>
      </c>
      <c r="E37" s="24" t="inlineStr">
        <is>
          <t>positive</t>
        </is>
      </c>
      <c r="F37" s="24" t="inlineStr">
        <is>
          <t>mean</t>
        </is>
      </c>
      <c r="G37" s="24" t="inlineStr"/>
      <c r="H37" s="24" t="inlineStr"/>
      <c r="I37" s="24" t="inlineStr">
        <is>
          <t>You see your struggles as part of being human.</t>
        </is>
      </c>
      <c r="J37" s="24" t="inlineStr">
        <is>
          <t>Your answers suggest your struggles feel like yours alone.</t>
        </is>
      </c>
      <c r="K37" s="24" t="inlineStr">
        <is>
          <t>Self compassion</t>
        </is>
      </c>
      <c r="L37" s="24" t="inlineStr">
        <is>
          <t>https://app.executiveframe.co.nz/hub/self-compassion</t>
        </is>
      </c>
      <c r="M37" s="24" t="inlineStr"/>
    </row>
    <row r="38">
      <c r="A38" s="24" t="inlineStr">
        <is>
          <t>SCS-SF</t>
        </is>
      </c>
      <c r="B38" s="24" t="inlineStr">
        <is>
          <t>Isolation</t>
        </is>
      </c>
      <c r="C38" s="24" t="inlineStr">
        <is>
          <t>isolation</t>
        </is>
      </c>
      <c r="D38" s="24" t="inlineStr">
        <is>
          <t>Feeling less isolated</t>
        </is>
      </c>
      <c r="E38" s="24" t="inlineStr">
        <is>
          <t>positive</t>
        </is>
      </c>
      <c r="F38" s="24" t="inlineStr">
        <is>
          <t>mean</t>
        </is>
      </c>
      <c r="G38" s="24" t="inlineStr"/>
      <c r="H38" s="24" t="inlineStr"/>
      <c r="I38" s="24" t="inlineStr">
        <is>
          <t>You tend not to feel cut off from others when things are hard.</t>
        </is>
      </c>
      <c r="J38" s="24" t="inlineStr">
        <is>
          <t>Your answers suggest you feel cut off from others when things are hard.</t>
        </is>
      </c>
      <c r="K38" s="24" t="inlineStr">
        <is>
          <t>Self compassion</t>
        </is>
      </c>
      <c r="L38" s="24" t="inlineStr">
        <is>
          <t>https://app.executiveframe.co.nz/hub/self-compassion</t>
        </is>
      </c>
      <c r="M38" s="24" t="inlineStr">
        <is>
          <t>Reverse scored, so higher is better.</t>
        </is>
      </c>
    </row>
    <row r="39">
      <c r="A39" s="24" t="inlineStr">
        <is>
          <t>SCS-SF</t>
        </is>
      </c>
      <c r="B39" s="24" t="inlineStr">
        <is>
          <t>Mindfulness</t>
        </is>
      </c>
      <c r="C39" s="24" t="inlineStr">
        <is>
          <t>mindfulness</t>
        </is>
      </c>
      <c r="D39" s="24" t="inlineStr">
        <is>
          <t>Keeping perspective</t>
        </is>
      </c>
      <c r="E39" s="24" t="inlineStr">
        <is>
          <t>positive</t>
        </is>
      </c>
      <c r="F39" s="24" t="inlineStr">
        <is>
          <t>mean</t>
        </is>
      </c>
      <c r="G39" s="24" t="inlineStr"/>
      <c r="H39" s="24" t="inlineStr"/>
      <c r="I39" s="24" t="inlineStr">
        <is>
          <t>You tend to keep feelings in perspective.</t>
        </is>
      </c>
      <c r="J39" s="24" t="inlineStr">
        <is>
          <t>Your answers suggest difficult feelings can crowd out perspective.</t>
        </is>
      </c>
      <c r="K39" s="24" t="inlineStr">
        <is>
          <t>Self compassion</t>
        </is>
      </c>
      <c r="L39" s="24" t="inlineStr">
        <is>
          <t>https://app.executiveframe.co.nz/hub/self-compassion</t>
        </is>
      </c>
      <c r="M39" s="24" t="inlineStr"/>
    </row>
    <row r="40">
      <c r="A40" s="24" t="inlineStr">
        <is>
          <t>SCS-SF</t>
        </is>
      </c>
      <c r="B40" s="24" t="inlineStr">
        <is>
          <t>Over-Identification</t>
        </is>
      </c>
      <c r="C40" s="24" t="inlineStr">
        <is>
          <t>overidentification</t>
        </is>
      </c>
      <c r="D40" s="24" t="inlineStr">
        <is>
          <t>Not getting swept up</t>
        </is>
      </c>
      <c r="E40" s="24" t="inlineStr">
        <is>
          <t>positive</t>
        </is>
      </c>
      <c r="F40" s="24" t="inlineStr">
        <is>
          <t>mean</t>
        </is>
      </c>
      <c r="G40" s="24" t="inlineStr"/>
      <c r="H40" s="24" t="inlineStr"/>
      <c r="I40" s="24" t="inlineStr">
        <is>
          <t>You tend not to get swept up in difficult feelings.</t>
        </is>
      </c>
      <c r="J40" s="24" t="inlineStr">
        <is>
          <t>Your answers suggest difficult feelings can sweep you up.</t>
        </is>
      </c>
      <c r="K40" s="24" t="inlineStr">
        <is>
          <t>Self compassion</t>
        </is>
      </c>
      <c r="L40" s="24" t="inlineStr">
        <is>
          <t>https://app.executiveframe.co.nz/hub/self-compassion</t>
        </is>
      </c>
      <c r="M40" s="24" t="inlineStr">
        <is>
          <t>Reverse scored, so higher is better.</t>
        </is>
      </c>
    </row>
    <row r="41">
      <c r="A41" s="24" t="inlineStr">
        <is>
          <t>BPNSFS</t>
        </is>
      </c>
      <c r="B41" s="24" t="inlineStr">
        <is>
          <t>Autonomy satisfaction</t>
        </is>
      </c>
      <c r="C41" s="24" t="inlineStr">
        <is>
          <t>autonomy-sat</t>
        </is>
      </c>
      <c r="D41" s="24" t="inlineStr">
        <is>
          <t>Feeling free to choose</t>
        </is>
      </c>
      <c r="E41" s="24" t="inlineStr">
        <is>
          <t>positive</t>
        </is>
      </c>
      <c r="F41" s="24" t="inlineStr">
        <is>
          <t>mean</t>
        </is>
      </c>
      <c r="G41" s="24" t="inlineStr"/>
      <c r="H41" s="24" t="inlineStr"/>
      <c r="I41" s="24" t="inlineStr">
        <is>
          <t>You feel free to choose how you live and work.</t>
        </is>
      </c>
      <c r="J41" s="24" t="inlineStr">
        <is>
          <t>Your answers suggest you do not feel free to choose how you live and work.</t>
        </is>
      </c>
      <c r="K41" s="24" t="inlineStr">
        <is>
          <t>Autonomy</t>
        </is>
      </c>
      <c r="L41" s="24" t="inlineStr">
        <is>
          <t>https://app.executiveframe.co.nz/hub/autonomy</t>
        </is>
      </c>
      <c r="M41" s="24" t="inlineStr"/>
    </row>
    <row r="42">
      <c r="A42" s="24" t="inlineStr">
        <is>
          <t>BPNSFS</t>
        </is>
      </c>
      <c r="B42" s="24" t="inlineStr">
        <is>
          <t>Autonomy frustration</t>
        </is>
      </c>
      <c r="C42" s="24" t="inlineStr">
        <is>
          <t>autonomy-frus</t>
        </is>
      </c>
      <c r="D42" s="24" t="inlineStr">
        <is>
          <t>Feeling pushed</t>
        </is>
      </c>
      <c r="E42" s="24" t="inlineStr">
        <is>
          <t>difficulty</t>
        </is>
      </c>
      <c r="F42" s="24" t="inlineStr">
        <is>
          <t>mean</t>
        </is>
      </c>
      <c r="G42" s="24" t="inlineStr"/>
      <c r="H42" s="24" t="inlineStr"/>
      <c r="I42" s="24" t="inlineStr">
        <is>
          <t>You do not feel pushed into things against your wishes.</t>
        </is>
      </c>
      <c r="J42" s="24" t="inlineStr">
        <is>
          <t>Feeling pushed into things came up often in your answers.</t>
        </is>
      </c>
      <c r="K42" s="24" t="inlineStr">
        <is>
          <t>Autonomy</t>
        </is>
      </c>
      <c r="L42" s="24" t="inlineStr">
        <is>
          <t>https://app.executiveframe.co.nz/hub/autonomy</t>
        </is>
      </c>
      <c r="M42" s="24" t="inlineStr"/>
    </row>
    <row r="43">
      <c r="A43" s="24" t="inlineStr">
        <is>
          <t>BPNSFS</t>
        </is>
      </c>
      <c r="B43" s="24" t="inlineStr">
        <is>
          <t>Relatedness satisfaction</t>
        </is>
      </c>
      <c r="C43" s="24" t="inlineStr">
        <is>
          <t>relatedness-sat</t>
        </is>
      </c>
      <c r="D43" s="24" t="inlineStr">
        <is>
          <t>Feeling connected</t>
        </is>
      </c>
      <c r="E43" s="24" t="inlineStr">
        <is>
          <t>positive</t>
        </is>
      </c>
      <c r="F43" s="24" t="inlineStr">
        <is>
          <t>mean</t>
        </is>
      </c>
      <c r="G43" s="24" t="inlineStr"/>
      <c r="H43" s="24" t="inlineStr"/>
      <c r="I43" s="24" t="inlineStr">
        <is>
          <t>You feel close to the people who matter to you.</t>
        </is>
      </c>
      <c r="J43" s="24" t="inlineStr">
        <is>
          <t>Your answers suggest you are not feeling close to the people who matter to you.</t>
        </is>
      </c>
      <c r="K43" s="24" t="inlineStr">
        <is>
          <t>Connection</t>
        </is>
      </c>
      <c r="L43" s="24" t="inlineStr">
        <is>
          <t>https://app.executiveframe.co.nz/hub/relatedness</t>
        </is>
      </c>
      <c r="M43" s="24" t="inlineStr"/>
    </row>
    <row r="44">
      <c r="A44" s="24" t="inlineStr">
        <is>
          <t>BPNSFS</t>
        </is>
      </c>
      <c r="B44" s="24" t="inlineStr">
        <is>
          <t>Relatedness frustration</t>
        </is>
      </c>
      <c r="C44" s="24" t="inlineStr">
        <is>
          <t>relatedness-frus</t>
        </is>
      </c>
      <c r="D44" s="24" t="inlineStr">
        <is>
          <t>Feeling left out</t>
        </is>
      </c>
      <c r="E44" s="24" t="inlineStr">
        <is>
          <t>difficulty</t>
        </is>
      </c>
      <c r="F44" s="24" t="inlineStr">
        <is>
          <t>mean</t>
        </is>
      </c>
      <c r="G44" s="24" t="inlineStr"/>
      <c r="H44" s="24" t="inlineStr"/>
      <c r="I44" s="24" t="inlineStr">
        <is>
          <t>You do not feel left out or distant from others.</t>
        </is>
      </c>
      <c r="J44" s="24" t="inlineStr">
        <is>
          <t>Feeling left out or distant from others came up often in your answers.</t>
        </is>
      </c>
      <c r="K44" s="24" t="inlineStr">
        <is>
          <t>Connection</t>
        </is>
      </c>
      <c r="L44" s="24" t="inlineStr">
        <is>
          <t>https://app.executiveframe.co.nz/hub/relatedness</t>
        </is>
      </c>
      <c r="M44" s="24" t="inlineStr"/>
    </row>
    <row r="45">
      <c r="A45" s="24" t="inlineStr">
        <is>
          <t>BPNSFS</t>
        </is>
      </c>
      <c r="B45" s="24" t="inlineStr">
        <is>
          <t>Competence satisfaction</t>
        </is>
      </c>
      <c r="C45" s="24" t="inlineStr">
        <is>
          <t>competence-sat</t>
        </is>
      </c>
      <c r="D45" s="24" t="inlineStr">
        <is>
          <t>Feeling capable</t>
        </is>
      </c>
      <c r="E45" s="24" t="inlineStr">
        <is>
          <t>positive</t>
        </is>
      </c>
      <c r="F45" s="24" t="inlineStr">
        <is>
          <t>mean</t>
        </is>
      </c>
      <c r="G45" s="24" t="inlineStr"/>
      <c r="H45" s="24" t="inlineStr"/>
      <c r="I45" s="24" t="inlineStr">
        <is>
          <t>You feel capable of what you set out to do.</t>
        </is>
      </c>
      <c r="J45" s="24" t="inlineStr">
        <is>
          <t>Your answers suggest you are not feeling capable of what you set out to do.</t>
        </is>
      </c>
      <c r="K45" s="24" t="inlineStr">
        <is>
          <t>Confidence</t>
        </is>
      </c>
      <c r="L45" s="24" t="inlineStr">
        <is>
          <t>https://app.executiveframe.co.nz/hub/competence</t>
        </is>
      </c>
      <c r="M45" s="24" t="inlineStr"/>
    </row>
    <row r="46">
      <c r="A46" s="24" t="inlineStr">
        <is>
          <t>BPNSFS</t>
        </is>
      </c>
      <c r="B46" s="24" t="inlineStr">
        <is>
          <t>Competence frustration</t>
        </is>
      </c>
      <c r="C46" s="24" t="inlineStr">
        <is>
          <t>competence-frus</t>
        </is>
      </c>
      <c r="D46" s="24" t="inlineStr">
        <is>
          <t>Doubting yourself</t>
        </is>
      </c>
      <c r="E46" s="24" t="inlineStr">
        <is>
          <t>difficulty</t>
        </is>
      </c>
      <c r="F46" s="24" t="inlineStr">
        <is>
          <t>mean</t>
        </is>
      </c>
      <c r="G46" s="24" t="inlineStr"/>
      <c r="H46" s="24" t="inlineStr"/>
      <c r="I46" s="24" t="inlineStr">
        <is>
          <t>You do not doubt your ability much.</t>
        </is>
      </c>
      <c r="J46" s="24" t="inlineStr">
        <is>
          <t>Doubting your ability came up often in your answers.</t>
        </is>
      </c>
      <c r="K46" s="24" t="inlineStr">
        <is>
          <t>Confidence</t>
        </is>
      </c>
      <c r="L46" s="24" t="inlineStr">
        <is>
          <t>https://app.executiveframe.co.nz/hub/competence</t>
        </is>
      </c>
      <c r="M46" s="24" t="inlineStr"/>
    </row>
    <row r="47">
      <c r="A47" s="24" t="inlineStr">
        <is>
          <t>PPS</t>
        </is>
      </c>
      <c r="B47" s="24" t="inlineStr">
        <is>
          <t>Pure Procrastination (total scale)</t>
        </is>
      </c>
      <c r="C47" s="24" t="inlineStr">
        <is>
          <t>total</t>
        </is>
      </c>
      <c r="D47" s="24" t="inlineStr">
        <is>
          <t>Putting things off</t>
        </is>
      </c>
      <c r="E47" s="24" t="inlineStr">
        <is>
          <t>difficulty</t>
        </is>
      </c>
      <c r="F47" s="24" t="inlineStr">
        <is>
          <t>mean</t>
        </is>
      </c>
      <c r="G47" s="24" t="inlineStr"/>
      <c r="H47" s="24" t="inlineStr"/>
      <c r="I47" s="24" t="inlineStr">
        <is>
          <t>Putting things off is not a big feature of how you work.</t>
        </is>
      </c>
      <c r="J47" s="24" t="inlineStr">
        <is>
          <t>Putting things off came up often in your answers.</t>
        </is>
      </c>
      <c r="K47" s="24" t="inlineStr">
        <is>
          <t>Getting started</t>
        </is>
      </c>
      <c r="L47" s="24" t="inlineStr">
        <is>
          <t>https://app.executiveframe.co.nz/hub/starting</t>
        </is>
      </c>
      <c r="M47" s="24" t="inlineStr"/>
    </row>
    <row r="48">
      <c r="A48" s="24" t="inlineStr">
        <is>
          <t>IPS</t>
        </is>
      </c>
      <c r="B48" s="24" t="inlineStr">
        <is>
          <t>Irrational Procrastination (total scale)</t>
        </is>
      </c>
      <c r="C48" s="24" t="inlineStr">
        <is>
          <t>total</t>
        </is>
      </c>
      <c r="D48" s="24" t="inlineStr">
        <is>
          <t>Delaying despite good intentions</t>
        </is>
      </c>
      <c r="E48" s="24" t="inlineStr">
        <is>
          <t>difficulty</t>
        </is>
      </c>
      <c r="F48" s="24" t="inlineStr">
        <is>
          <t>mean</t>
        </is>
      </c>
      <c r="G48" s="24" t="inlineStr"/>
      <c r="H48" s="24" t="inlineStr"/>
      <c r="I48" s="24" t="inlineStr">
        <is>
          <t>You mostly do what you intend to, when you intend to.</t>
        </is>
      </c>
      <c r="J48" s="24" t="inlineStr">
        <is>
          <t>Delaying things you meant to do came up often in your answers.</t>
        </is>
      </c>
      <c r="K48" s="24" t="inlineStr">
        <is>
          <t>Getting started</t>
        </is>
      </c>
      <c r="L48" s="24" t="inlineStr">
        <is>
          <t>https://app.executiveframe.co.nz/hub/starting</t>
        </is>
      </c>
      <c r="M48" s="24" t="inlineStr"/>
    </row>
    <row r="49">
      <c r="A49" s="24" t="inlineStr">
        <is>
          <t>GSE</t>
        </is>
      </c>
      <c r="B49" s="24" t="inlineStr">
        <is>
          <t>General Self-Efficacy (total scale)</t>
        </is>
      </c>
      <c r="C49" s="24" t="inlineStr">
        <is>
          <t>total</t>
        </is>
      </c>
      <c r="D49" s="24" t="inlineStr">
        <is>
          <t>Confidence in handling challenges</t>
        </is>
      </c>
      <c r="E49" s="24" t="inlineStr">
        <is>
          <t>positive</t>
        </is>
      </c>
      <c r="F49" s="24" t="inlineStr">
        <is>
          <t>mean</t>
        </is>
      </c>
      <c r="G49" s="24" t="inlineStr"/>
      <c r="H49" s="24" t="inlineStr"/>
      <c r="I49" s="24" t="inlineStr">
        <is>
          <t>You feel confident you can handle what comes your way.</t>
        </is>
      </c>
      <c r="J49" s="24" t="inlineStr">
        <is>
          <t>Your answers suggest you are not feeling confident about handling what comes your way.</t>
        </is>
      </c>
      <c r="K49" s="24" t="inlineStr">
        <is>
          <t>Confidence</t>
        </is>
      </c>
      <c r="L49" s="24" t="inlineStr">
        <is>
          <t>https://app.executiveframe.co.nz/hub/competence</t>
        </is>
      </c>
      <c r="M49" s="24" t="inlineStr"/>
    </row>
    <row r="50">
      <c r="A50" s="24" t="inlineStr">
        <is>
          <t>GCS</t>
        </is>
      </c>
      <c r="B50" s="24" t="inlineStr">
        <is>
          <t>Goal Commitment</t>
        </is>
      </c>
      <c r="C50" s="24" t="inlineStr">
        <is>
          <t>total</t>
        </is>
      </c>
      <c r="D50" s="24" t="inlineStr">
        <is>
          <t>Commitment to your goal</t>
        </is>
      </c>
      <c r="E50" s="24" t="inlineStr">
        <is>
          <t>positive</t>
        </is>
      </c>
      <c r="F50" s="24" t="inlineStr">
        <is>
          <t>mean</t>
        </is>
      </c>
      <c r="G50" s="24" t="inlineStr"/>
      <c r="H50" s="24" t="inlineStr"/>
      <c r="I50" s="24" t="inlineStr">
        <is>
          <t>You are firmly committed to the goal you named.</t>
        </is>
      </c>
      <c r="J50" s="24" t="inlineStr">
        <is>
          <t>Your answers suggest your commitment to the goal you named is wavering.</t>
        </is>
      </c>
      <c r="K50" s="24" t="inlineStr">
        <is>
          <t>Goals</t>
        </is>
      </c>
      <c r="L50" s="24" t="inlineStr">
        <is>
          <t>https://app.executiveframe.co.nz/hub/goals</t>
        </is>
      </c>
      <c r="M50" s="24" t="inlineStr"/>
    </row>
    <row r="51">
      <c r="A51" s="24" t="inlineStr">
        <is>
          <t>GADJ</t>
        </is>
      </c>
      <c r="B51" s="24" t="inlineStr">
        <is>
          <t>Goal Disengagement</t>
        </is>
      </c>
      <c r="C51" s="24" t="inlineStr">
        <is>
          <t>disengagement</t>
        </is>
      </c>
      <c r="D51" s="24" t="inlineStr">
        <is>
          <t>Letting go of goals</t>
        </is>
      </c>
      <c r="E51" s="24" t="inlineStr">
        <is>
          <t>none</t>
        </is>
      </c>
      <c r="F51" s="24" t="inlineStr">
        <is>
          <t>mean</t>
        </is>
      </c>
      <c r="G51" s="24" t="inlineStr"/>
      <c r="H51" s="24" t="inlineStr"/>
      <c r="I51" s="24" t="inlineStr"/>
      <c r="J51" s="24" t="inlineStr"/>
      <c r="K51" s="24" t="inlineStr"/>
      <c r="L51" s="24" t="inlineStr"/>
      <c r="M51" s="24" t="inlineStr">
        <is>
          <t>Neither high nor low is better in itself; numbers only.</t>
        </is>
      </c>
    </row>
    <row r="52">
      <c r="A52" s="24" t="inlineStr">
        <is>
          <t>GADJ</t>
        </is>
      </c>
      <c r="B52" s="24" t="inlineStr">
        <is>
          <t>Goal Reengagement</t>
        </is>
      </c>
      <c r="C52" s="24" t="inlineStr">
        <is>
          <t>reengagement</t>
        </is>
      </c>
      <c r="D52" s="24" t="inlineStr">
        <is>
          <t>Finding new goals</t>
        </is>
      </c>
      <c r="E52" s="24" t="inlineStr">
        <is>
          <t>positive</t>
        </is>
      </c>
      <c r="F52" s="24" t="inlineStr">
        <is>
          <t>mean</t>
        </is>
      </c>
      <c r="G52" s="24" t="inlineStr"/>
      <c r="H52" s="24" t="inlineStr"/>
      <c r="I52" s="24" t="inlineStr">
        <is>
          <t>When a goal is out of reach you find new ones to pursue.</t>
        </is>
      </c>
      <c r="J52" s="24" t="inlineStr">
        <is>
          <t>Your answers suggest it is hard to find new goals when one is out of reach.</t>
        </is>
      </c>
      <c r="K52" s="24" t="inlineStr">
        <is>
          <t>Goals</t>
        </is>
      </c>
      <c r="L52" s="24" t="inlineStr">
        <is>
          <t>https://app.executiveframe.co.nz/hub/goals</t>
        </is>
      </c>
      <c r="M52" s="24" t="inlineStr"/>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0" customWidth="1" style="16" min="1" max="1"/>
    <col width="24" customWidth="1" style="16" min="2" max="2"/>
    <col width="20" customWidth="1" style="16" min="3" max="3"/>
    <col width="44" customWidth="1" style="16" min="4" max="4"/>
    <col width="11" customWidth="1" style="16" min="5" max="5"/>
    <col width="40" customWidth="1" style="16" min="6" max="6"/>
    <col width="26" customWidth="1" style="16" min="7" max="7"/>
    <col width="60" customWidth="1" style="16" min="8" max="9"/>
  </cols>
  <sheetData>
    <row r="1" ht="30" customHeight="1" s="17">
      <c r="A1" s="25" t="inlineStr">
        <is>
          <t>Battery (form name)</t>
        </is>
      </c>
      <c r="B1" s="25" t="inlineStr">
        <is>
          <t>Notion tag</t>
        </is>
      </c>
      <c r="C1" s="25" t="inlineStr">
        <is>
          <t>Instrument codes</t>
        </is>
      </c>
      <c r="D1" s="25" t="inlineStr">
        <is>
          <t>Instruments</t>
        </is>
      </c>
      <c r="E1" s="25" t="inlineStr">
        <is>
          <t>Items in battery</t>
        </is>
      </c>
      <c r="F1" s="25" t="inlineStr">
        <is>
          <t>Administration time by instrument</t>
        </is>
      </c>
      <c r="G1" s="25" t="inlineStr">
        <is>
          <t>Report skill</t>
        </is>
      </c>
      <c r="H1" s="25" t="inlineStr">
        <is>
          <t>What it assesses</t>
        </is>
      </c>
      <c r="I1" s="25" t="inlineStr">
        <is>
          <t>Scoring and interpretation notes</t>
        </is>
      </c>
    </row>
    <row r="2" ht="94.5" customHeight="1" s="17">
      <c r="A2" s="26" t="inlineStr">
        <is>
          <t>Executive Function Measures</t>
        </is>
      </c>
      <c r="B2" s="27" t="inlineStr">
        <is>
          <t>Executive Function (NT)</t>
        </is>
      </c>
      <c r="C2" s="27" t="inlineStr">
        <is>
          <t>ESQ-R</t>
        </is>
      </c>
      <c r="D2" s="27" t="inlineStr">
        <is>
          <t>Executive Skills Questionnaire - Revised (ESQ-R)</t>
        </is>
      </c>
      <c r="E2" s="28">
        <f>COUNTIF('Master Item List'!$A:$A,"ESQ-R")</f>
        <v/>
      </c>
      <c r="F2" s="27" t="inlineStr">
        <is>
          <t>ESQ-R: 5 minutes</t>
        </is>
      </c>
      <c r="G2" s="27" t="inlineStr">
        <is>
          <t>ef-measures-report-nt</t>
        </is>
      </c>
      <c r="H2" s="27" t="inlineStr">
        <is>
          <t>Executive skills profile for clients without an ADHD diagnosis, locating difficulty across plan management, time management, organisation, emotional regulation and behavioural regulation.</t>
        </is>
      </c>
      <c r="I2" s="27" t="inlineStr">
        <is>
          <t>Single instrument battery. Higher ESQ-R scores mean more difficulty. The CFI was removed from this battery on 26 September 2026; check the report skill no longer expects it.</t>
        </is>
      </c>
    </row>
    <row r="3" ht="94.5" customHeight="1" s="17">
      <c r="A3" s="26" t="inlineStr">
        <is>
          <t>Executive Function Measures (ADHD)</t>
        </is>
      </c>
      <c r="B3" s="27" t="inlineStr">
        <is>
          <t>Executive Function (ADHD)</t>
        </is>
      </c>
      <c r="C3" s="27" t="inlineStr">
        <is>
          <t>ASRS, ESQ-R</t>
        </is>
      </c>
      <c r="D3" s="27" t="inlineStr">
        <is>
          <t>Adult ADHD Self-Report Scale (ASRS v1.1)
Executive Skills Questionnaire - Revised (ESQ-R)</t>
        </is>
      </c>
      <c r="E3" s="28">
        <f>COUNTIF('Master Item List'!$A:$A,"ASRS")+COUNTIF('Master Item List'!$A:$A,"ESQ-R")</f>
        <v/>
      </c>
      <c r="F3" s="27" t="inlineStr">
        <is>
          <t>ASRS: 3 minutes
ESQ-R: 5 minutes</t>
        </is>
      </c>
      <c r="G3" s="27" t="inlineStr">
        <is>
          <t>ef-measures-report-adhd</t>
        </is>
      </c>
      <c r="H3" s="27" t="inlineStr">
        <is>
          <t>The executive skills profile with current adult ADHD symptom screening added. Use for clients with a diagnosis or where ADHD is a live question.</t>
        </is>
      </c>
      <c r="I3" s="27" t="inlineStr">
        <is>
          <t>ASRS Part A of 14 or more is a positive screen, not a diagnosis. The CFI was removed from this battery on 26 September 2026. The report skill description still names the CFI and the ACOS-Self, neither of which is in this battery now; check the skill matches the form.</t>
        </is>
      </c>
    </row>
    <row r="4" ht="94.5" customHeight="1" s="17">
      <c r="A4" s="26" t="inlineStr">
        <is>
          <t>Strengths Assessment</t>
        </is>
      </c>
      <c r="B4" s="27" t="inlineStr">
        <is>
          <t>Strengths</t>
        </is>
      </c>
      <c r="C4" s="27" t="inlineStr">
        <is>
          <t>SKS, SUS, SSES</t>
        </is>
      </c>
      <c r="D4" s="27" t="inlineStr">
        <is>
          <t>Strengths Knowledge Scale
Strengths Use Scale
Strengths Self-Efficacy Scale</t>
        </is>
      </c>
      <c r="E4" s="28">
        <f>COUNTIF('Master Item List'!$A:$A,"SKS")+COUNTIF('Master Item List'!$A:$A,"SUS")+COUNTIF('Master Item List'!$A:$A,"SSES")</f>
        <v/>
      </c>
      <c r="F4" s="27" t="inlineStr">
        <is>
          <t>SKS: 2-3 minutes
SUS: 3-5 minutes
SSES: 3-5 minutes</t>
        </is>
      </c>
      <c r="G4" s="27" t="inlineStr">
        <is>
          <t>strengths-report</t>
        </is>
      </c>
      <c r="H4" s="27" t="inlineStr">
        <is>
          <t>Whether a client knows their strengths, uses them, and feels confident applying them. Suited to repeat administration to show change across a coaching engagement.</t>
        </is>
      </c>
      <c r="I4" s="27" t="inlineStr">
        <is>
          <t>No population norms; read against the client’s own baseline.</t>
        </is>
      </c>
    </row>
    <row r="5" ht="94.5" customHeight="1" s="17">
      <c r="A5" s="26" t="inlineStr">
        <is>
          <t>Work Mindset Assessment</t>
        </is>
      </c>
      <c r="B5" s="27" t="inlineStr">
        <is>
          <t>Work Mindset</t>
        </is>
      </c>
      <c r="C5" s="27" t="inlineStr">
        <is>
          <t>CSES, PES</t>
        </is>
      </c>
      <c r="D5" s="27" t="inlineStr">
        <is>
          <t>Core Self-Evaluations Scale
Psychological Empowerment Scale</t>
        </is>
      </c>
      <c r="E5" s="28">
        <f>COUNTIF('Master Item List'!$A:$A,"CSES")+COUNTIF('Master Item List'!$A:$A,"PES")</f>
        <v/>
      </c>
      <c r="F5" s="27" t="inlineStr">
        <is>
          <t>CSES: 2-3 minutes
PES: 3-5 minutes</t>
        </is>
      </c>
      <c r="G5" s="27" t="inlineStr">
        <is>
          <t>work-mindset-report</t>
        </is>
      </c>
      <c r="H5" s="27" t="inlineStr">
        <is>
          <t>General positive self appraisal alongside felt empowerment in a work or study role.</t>
        </is>
      </c>
      <c r="I5" s="27" t="inlineStr">
        <is>
          <t>The PES assumes a defined work role, so it suits employed and placement clients better than full time students.</t>
        </is>
      </c>
    </row>
    <row r="6" ht="94.5" customHeight="1" s="17">
      <c r="A6" s="26" t="inlineStr">
        <is>
          <t>DASS-21</t>
        </is>
      </c>
      <c r="B6" s="27" t="inlineStr">
        <is>
          <t>Single Measure</t>
        </is>
      </c>
      <c r="C6" s="27" t="inlineStr">
        <is>
          <t>DASS-21</t>
        </is>
      </c>
      <c r="D6" s="27" t="inlineStr">
        <is>
          <t>Depression Anxiety Stress Scales, 21 item version (DASS-21)</t>
        </is>
      </c>
      <c r="E6" s="28">
        <f>COUNTIF('Master Item List'!$A:$A,"DASS-21")</f>
        <v/>
      </c>
      <c r="F6" s="27" t="inlineStr">
        <is>
          <t>DASS-21: 4 minutes</t>
        </is>
      </c>
      <c r="G6" s="27" t="inlineStr">
        <is>
          <t>dass21-report</t>
        </is>
      </c>
      <c r="H6" s="27" t="inlineStr">
        <is>
          <t>Distress screening over the past week, to establish whether coaching can safely proceed and whether clinical input is needed.</t>
        </is>
      </c>
      <c r="I6" s="27" t="inlineStr">
        <is>
          <t>Screening only. Contains no suicide item and does not assess risk; items 10, 17 and 21 are followed up directly when endorsed at 2 or 3.</t>
        </is>
      </c>
    </row>
    <row r="7" ht="94.5" customHeight="1" s="17">
      <c r="A7" s="26" t="inlineStr">
        <is>
          <t>Thinking Patterns</t>
        </is>
      </c>
      <c r="B7" s="27" t="inlineStr">
        <is>
          <t>Thinking Patterns</t>
        </is>
      </c>
      <c r="C7" s="27" t="inlineStr">
        <is>
          <t>PTQ, RRS</t>
        </is>
      </c>
      <c r="D7" s="27" t="inlineStr">
        <is>
          <t>Perseverative Thinking Questionnaire
Ruminative Responses Scale</t>
        </is>
      </c>
      <c r="E7" s="28">
        <f>COUNTIF('Master Item List'!$A:$A,"PTQ")+COUNTIF('Master Item List'!$A:$A,"RRS")</f>
        <v/>
      </c>
      <c r="F7" s="27" t="inlineStr">
        <is>
          <t>PTQ: Not stated in the source. A brief 15-item self-report measure, typically completed in a few minutes.
RRS: Approximately 2 minutes (per NovoPsych).</t>
        </is>
      </c>
      <c r="G7" s="27" t="inlineStr">
        <is>
          <t>thinking-patterns-report</t>
        </is>
      </c>
      <c r="H7" s="27" t="inlineStr">
        <is>
          <t>The process of repetitive negative thinking rather than the resulting mood: overall perseverative thinking, and brooding versus reflective rumination.</t>
        </is>
      </c>
      <c r="I7" s="27" t="inlineStr">
        <is>
          <t>Only the RRS Brooding and Reflection subscales are recommended for coaching interpretation.</t>
        </is>
      </c>
    </row>
    <row r="8" ht="94.5" customHeight="1" s="17">
      <c r="A8" s="26" t="inlineStr">
        <is>
          <t>Perfectionism</t>
        </is>
      </c>
      <c r="B8" s="27" t="inlineStr">
        <is>
          <t>Perfectionism</t>
        </is>
      </c>
      <c r="C8" s="27" t="inlineStr">
        <is>
          <t>CFI, PCI</t>
        </is>
      </c>
      <c r="D8" s="27" t="inlineStr">
        <is>
          <t>Cognitive Flexibility Inventory (CFI)
Perfectionism Cognitions Inventory</t>
        </is>
      </c>
      <c r="E8" s="28">
        <f>COUNTIF('Master Item List'!$A:$A,"CFI")+COUNTIF('Master Item List'!$A:$A,"PCI")</f>
        <v/>
      </c>
      <c r="F8" s="27" t="inlineStr">
        <is>
          <t>CFI: 3 minutes
PCI: Approximately 4 minutes (per NovoPsych).</t>
        </is>
      </c>
      <c r="G8" s="27" t="inlineStr">
        <is>
          <t>perfectionism-report</t>
        </is>
      </c>
      <c r="H8" s="27" t="inlineStr">
        <is>
          <t>Frequency of perfectionistic self talk, paired with cognitive flexibility as the capacity that loosens it.</t>
        </is>
      </c>
      <c r="I8" s="27" t="inlineStr">
        <is>
          <t>PCI higher means more perfectionistic thinking; CFI higher means more flexibility.</t>
        </is>
      </c>
    </row>
    <row r="9" ht="94.5" customHeight="1" s="17">
      <c r="A9" s="26" t="inlineStr">
        <is>
          <t>Self-Appraisal Assessment</t>
        </is>
      </c>
      <c r="B9" s="27" t="inlineStr">
        <is>
          <t>Self-Appraisal</t>
        </is>
      </c>
      <c r="C9" s="27" t="inlineStr">
        <is>
          <t>FSCRS, SCS-SF</t>
        </is>
      </c>
      <c r="D9" s="27" t="inlineStr">
        <is>
          <t>Forms of Self-Criticising/Attacking and Self-Reassuring Scale
Self-Compassion Scale – Short Form</t>
        </is>
      </c>
      <c r="E9" s="28">
        <f>COUNTIF('Master Item List'!$A:$A,"FSCRS")+COUNTIF('Master Item List'!$A:$A,"SCS-SF")</f>
        <v/>
      </c>
      <c r="F9" s="27" t="inlineStr">
        <is>
          <t>FSCRS: Not stated in the source. A brief 22-item self-report measure, typically completed in a few minutes.
SCS-SF: Approximately 2 minutes (per NovoPsych).</t>
        </is>
      </c>
      <c r="G9" s="27" t="inlineStr">
        <is>
          <t>self-appraisal-report</t>
        </is>
      </c>
      <c r="H9" s="27" t="inlineStr">
        <is>
          <t>How a client talks to themselves when things go wrong: self critical and self reassuring forms from the FSCRS, and self compassion from the SCS-SF.</t>
        </is>
      </c>
      <c r="I9" s="27" t="inlineStr">
        <is>
          <t>FSCRS item 9 sits close to self harm content; frame with care. SCS-SF higher means more self compassion, the opposite direction to the FSCRS Inadequate and Hated Self subscales.</t>
        </is>
      </c>
    </row>
    <row r="10" ht="94.5" customHeight="1" s="17">
      <c r="A10" s="26" t="inlineStr">
        <is>
          <t>Procrastination</t>
        </is>
      </c>
      <c r="B10" s="27" t="inlineStr">
        <is>
          <t>Procrastination</t>
        </is>
      </c>
      <c r="C10" s="27" t="inlineStr">
        <is>
          <t>PPS, IPS</t>
        </is>
      </c>
      <c r="D10" s="27" t="inlineStr">
        <is>
          <t>Pure Procrastination Scale
Irrational Procrastination Scale</t>
        </is>
      </c>
      <c r="E10" s="28">
        <f>COUNTIF('Master Item List'!$A:$A,"PPS")+COUNTIF('Master Item List'!$A:$A,"IPS")</f>
        <v/>
      </c>
      <c r="F10" s="27" t="inlineStr">
        <is>
          <t>PPS: 2-3 minutes
IPS: 1-2 minutes</t>
        </is>
      </c>
      <c r="G10" s="27" t="inlineStr">
        <is>
          <t>procrastination-report</t>
        </is>
      </c>
      <c r="H10" s="27" t="inlineStr">
        <is>
          <t>General delay across decisions and tasks (PPS) and delay that the client recognises as harmful to them (IPS).</t>
        </is>
      </c>
      <c r="I10" s="27" t="inlineStr">
        <is>
          <t>IPS items 2, 6 and 9 are reverse scored.</t>
        </is>
      </c>
    </row>
    <row r="11" ht="94.5" customHeight="1" s="17">
      <c r="A11" s="26" t="inlineStr">
        <is>
          <t>Goal Pursuit</t>
        </is>
      </c>
      <c r="B11" s="27" t="inlineStr">
        <is>
          <t>Goal Pursuit</t>
        </is>
      </c>
      <c r="C11" s="27" t="inlineStr">
        <is>
          <t>GSE, GCS, GADJ</t>
        </is>
      </c>
      <c r="D11" s="27" t="inlineStr">
        <is>
          <t>General Self-Efficacy Scale
Goal Commitment Scale (5-item unidimensional version)
Goal Adjustment Scale</t>
        </is>
      </c>
      <c r="E11" s="28">
        <f>COUNTIF('Master Item List'!$A:$A,"GSE")+COUNTIF('Master Item List'!$A:$A,"GCS")+COUNTIF('Master Item List'!$A:$A,"GADJ")</f>
        <v/>
      </c>
      <c r="F11" s="27" t="inlineStr">
        <is>
          <t>GSE: 4 minutes average (per the official FU Berlin documentation)
GCS: Not stated on source
GADJ: Not stated on source</t>
        </is>
      </c>
      <c r="G11" s="29" t="inlineStr">
        <is>
          <t>No report skill yet</t>
        </is>
      </c>
      <c r="H11" s="27" t="inlineStr">
        <is>
          <t>General confidence in managing difficulty (GSE), commitment to a specific goal the client names (GCS), and the capacity to let go of unattainable goals and take up new ones (GADJ).</t>
        </is>
      </c>
      <c r="I11" s="27" t="inlineStr">
        <is>
          <t>GCS items refer to a goal the client names, so the form must ask for the goal first; GCS items 1, 2 and 4 are reverse scored. Score the 2 GADJ subscales separately; GADJ items 2 and 3 are reverse scored. Both the GCS and GADJ need author permission for paid use.</t>
        </is>
      </c>
    </row>
    <row r="12" ht="94.5" customHeight="1" s="17">
      <c r="A12" s="26" t="inlineStr">
        <is>
          <t>Self-Determination</t>
        </is>
      </c>
      <c r="B12" s="27" t="inlineStr">
        <is>
          <t>Self Determination</t>
        </is>
      </c>
      <c r="C12" s="27" t="inlineStr">
        <is>
          <t>BPNSFS</t>
        </is>
      </c>
      <c r="D12" s="27" t="inlineStr">
        <is>
          <t>Basic Psychological Need Satisfaction and Frustration Scale (BPNSFS)</t>
        </is>
      </c>
      <c r="E12" s="28">
        <f>COUNTIF('Master Item List'!$A:$A,"BPNSFS")</f>
        <v/>
      </c>
      <c r="F12" s="27" t="inlineStr">
        <is>
          <t>BPNSFS: Not stated on source</t>
        </is>
      </c>
      <c r="G12" s="27" t="inlineStr">
        <is>
          <t>self-determination-report</t>
        </is>
      </c>
      <c r="H12" s="27" t="inlineStr">
        <is>
          <t>Satisfaction and frustration of the needs for autonomy, competence and relatedness, to locate whether low motivation reflects unmet needs or actively thwarted ones.</t>
        </is>
      </c>
      <c r="I12" s="27" t="inlineStr">
        <is>
          <t>Keep the 6 subscales separate. Commercial use needs written permission from the Center for Self-Determination Theory.</t>
        </is>
      </c>
    </row>
    <row r="14" ht="15" customHeight="1" s="17">
      <c r="A14" s="30" t="inlineStr">
        <is>
          <t>Instrument to battery map</t>
        </is>
      </c>
    </row>
    <row r="15" ht="15" customHeight="1" s="17">
      <c r="A15" s="25" t="inlineStr">
        <is>
          <t>Instrument code</t>
        </is>
      </c>
      <c r="B15" s="25" t="inlineStr">
        <is>
          <t>Instrument</t>
        </is>
      </c>
      <c r="C15" s="25" t="inlineStr">
        <is>
          <t>Batteries using it</t>
        </is>
      </c>
    </row>
    <row r="16" ht="46.25" customHeight="1" s="17">
      <c r="A16" s="26" t="inlineStr">
        <is>
          <t>ESQ-R</t>
        </is>
      </c>
      <c r="B16" s="27" t="inlineStr">
        <is>
          <t>Executive Skills Questionnaire - Revised (ESQ-R)</t>
        </is>
      </c>
      <c r="C16" s="27" t="inlineStr">
        <is>
          <t>Executive Function Measures
Executive Function Measures (ADHD)</t>
        </is>
      </c>
    </row>
    <row r="17" ht="23.85" customHeight="1" s="17">
      <c r="A17" s="26" t="inlineStr">
        <is>
          <t>CFI</t>
        </is>
      </c>
      <c r="B17" s="27" t="inlineStr">
        <is>
          <t>Cognitive Flexibility Inventory (CFI)</t>
        </is>
      </c>
      <c r="C17" s="27" t="inlineStr">
        <is>
          <t>Perfectionism</t>
        </is>
      </c>
    </row>
    <row r="18" ht="23.85" customHeight="1" s="17">
      <c r="A18" s="26" t="inlineStr">
        <is>
          <t>ASRS</t>
        </is>
      </c>
      <c r="B18" s="27" t="inlineStr">
        <is>
          <t>Adult ADHD Self-Report Scale (ASRS v1.1)</t>
        </is>
      </c>
      <c r="C18" s="27" t="inlineStr">
        <is>
          <t>Executive Function Measures (ADHD)</t>
        </is>
      </c>
    </row>
    <row r="19" ht="15" customHeight="1" s="17">
      <c r="A19" s="26" t="inlineStr">
        <is>
          <t>SKS</t>
        </is>
      </c>
      <c r="B19" s="27" t="inlineStr">
        <is>
          <t>Strengths Knowledge Scale</t>
        </is>
      </c>
      <c r="C19" s="27" t="inlineStr">
        <is>
          <t>Strengths Assessment</t>
        </is>
      </c>
    </row>
    <row r="20" ht="15" customHeight="1" s="17">
      <c r="A20" s="26" t="inlineStr">
        <is>
          <t>SUS</t>
        </is>
      </c>
      <c r="B20" s="27" t="inlineStr">
        <is>
          <t>Strengths Use Scale</t>
        </is>
      </c>
      <c r="C20" s="27" t="inlineStr">
        <is>
          <t>Strengths Assessment</t>
        </is>
      </c>
    </row>
    <row r="21" ht="15" customHeight="1" s="17">
      <c r="A21" s="26" t="inlineStr">
        <is>
          <t>SSES</t>
        </is>
      </c>
      <c r="B21" s="27" t="inlineStr">
        <is>
          <t>Strengths Self-Efficacy Scale</t>
        </is>
      </c>
      <c r="C21" s="27" t="inlineStr">
        <is>
          <t>Strengths Assessment</t>
        </is>
      </c>
    </row>
    <row r="22" ht="23.85" customHeight="1" s="17">
      <c r="A22" s="26" t="inlineStr">
        <is>
          <t>CSES</t>
        </is>
      </c>
      <c r="B22" s="27" t="inlineStr">
        <is>
          <t>Core Self-Evaluations Scale</t>
        </is>
      </c>
      <c r="C22" s="27" t="inlineStr">
        <is>
          <t>Work Mindset Assessment</t>
        </is>
      </c>
    </row>
    <row r="23" ht="23.85" customHeight="1" s="17">
      <c r="A23" s="26" t="inlineStr">
        <is>
          <t>PES</t>
        </is>
      </c>
      <c r="B23" s="27" t="inlineStr">
        <is>
          <t>Psychological Empowerment Scale</t>
        </is>
      </c>
      <c r="C23" s="27" t="inlineStr">
        <is>
          <t>Work Mindset Assessment</t>
        </is>
      </c>
    </row>
    <row r="24" ht="35.05" customHeight="1" s="17">
      <c r="A24" s="26" t="inlineStr">
        <is>
          <t>DASS-21</t>
        </is>
      </c>
      <c r="B24" s="27" t="inlineStr">
        <is>
          <t>Depression Anxiety Stress Scales, 21 item version (DASS-21)</t>
        </is>
      </c>
      <c r="C24" s="27" t="inlineStr">
        <is>
          <t>DASS-21</t>
        </is>
      </c>
    </row>
    <row r="25" ht="23.85" customHeight="1" s="17">
      <c r="A25" s="26" t="inlineStr">
        <is>
          <t>PTQ</t>
        </is>
      </c>
      <c r="B25" s="27" t="inlineStr">
        <is>
          <t>Perseverative Thinking Questionnaire</t>
        </is>
      </c>
      <c r="C25" s="27" t="inlineStr">
        <is>
          <t>Thinking Patterns</t>
        </is>
      </c>
    </row>
    <row r="26" ht="23.85" customHeight="1" s="17">
      <c r="A26" s="26" t="inlineStr">
        <is>
          <t>RRS</t>
        </is>
      </c>
      <c r="B26" s="27" t="inlineStr">
        <is>
          <t>Ruminative Responses Scale</t>
        </is>
      </c>
      <c r="C26" s="27" t="inlineStr">
        <is>
          <t>Thinking Patterns</t>
        </is>
      </c>
    </row>
    <row r="27" ht="35.05" customHeight="1" s="17">
      <c r="A27" s="26" t="inlineStr">
        <is>
          <t>FSCRS</t>
        </is>
      </c>
      <c r="B27" s="27" t="inlineStr">
        <is>
          <t>Forms of Self-Criticising/Attacking and Self-Reassuring Scale</t>
        </is>
      </c>
      <c r="C27" s="27" t="inlineStr">
        <is>
          <t>Self-Appraisal Assessment</t>
        </is>
      </c>
    </row>
    <row r="28" ht="23.85" customHeight="1" s="17">
      <c r="A28" s="26" t="inlineStr">
        <is>
          <t>PCI</t>
        </is>
      </c>
      <c r="B28" s="27" t="inlineStr">
        <is>
          <t>Perfectionism Cognitions Inventory</t>
        </is>
      </c>
      <c r="C28" s="27" t="inlineStr">
        <is>
          <t>Perfectionism</t>
        </is>
      </c>
    </row>
    <row r="29" ht="23.85" customHeight="1" s="17">
      <c r="A29" s="26" t="inlineStr">
        <is>
          <t>SCS-SF</t>
        </is>
      </c>
      <c r="B29" s="27" t="inlineStr">
        <is>
          <t>Self-Compassion Scale – Short Form</t>
        </is>
      </c>
      <c r="C29" s="27" t="inlineStr">
        <is>
          <t>Self-Appraisal Assessment</t>
        </is>
      </c>
    </row>
    <row r="30" ht="35.05" customHeight="1" s="17">
      <c r="A30" s="26" t="inlineStr">
        <is>
          <t>BPNSFS</t>
        </is>
      </c>
      <c r="B30" s="27" t="inlineStr">
        <is>
          <t>Basic Psychological Need Satisfaction and Frustration Scale (BPNSFS)</t>
        </is>
      </c>
      <c r="C30" s="27" t="inlineStr">
        <is>
          <t>Self-Determination</t>
        </is>
      </c>
    </row>
    <row r="31" ht="15" customHeight="1" s="17">
      <c r="A31" s="26" t="inlineStr">
        <is>
          <t>PPS</t>
        </is>
      </c>
      <c r="B31" s="27" t="inlineStr">
        <is>
          <t>Pure Procrastination Scale</t>
        </is>
      </c>
      <c r="C31" s="27" t="inlineStr">
        <is>
          <t>Procrastination</t>
        </is>
      </c>
    </row>
    <row r="32" ht="23.85" customHeight="1" s="17">
      <c r="A32" s="26" t="inlineStr">
        <is>
          <t>IPS</t>
        </is>
      </c>
      <c r="B32" s="27" t="inlineStr">
        <is>
          <t>Irrational Procrastination Scale</t>
        </is>
      </c>
      <c r="C32" s="27" t="inlineStr">
        <is>
          <t>Procrastination</t>
        </is>
      </c>
    </row>
    <row r="33" ht="15" customHeight="1" s="17">
      <c r="A33" s="26" t="inlineStr">
        <is>
          <t>GSE</t>
        </is>
      </c>
      <c r="B33" s="27" t="inlineStr">
        <is>
          <t>General Self-Efficacy Scale</t>
        </is>
      </c>
      <c r="C33" s="27" t="inlineStr">
        <is>
          <t>Goal Pursuit</t>
        </is>
      </c>
    </row>
    <row r="34" ht="23.85" customHeight="1" s="17">
      <c r="A34" s="26" t="inlineStr">
        <is>
          <t>GCS</t>
        </is>
      </c>
      <c r="B34" s="27" t="inlineStr">
        <is>
          <t>Goal Commitment Scale (5-item unidimensional version)</t>
        </is>
      </c>
      <c r="C34" s="27" t="inlineStr">
        <is>
          <t>Goal Pursuit</t>
        </is>
      </c>
    </row>
    <row r="35" ht="15" customHeight="1" s="17">
      <c r="A35" s="26" t="inlineStr">
        <is>
          <t>GADJ</t>
        </is>
      </c>
      <c r="B35" s="27" t="inlineStr">
        <is>
          <t>Goal Adjustment Scale</t>
        </is>
      </c>
      <c r="C35" s="27" t="inlineStr">
        <is>
          <t>Goal Pursuit</t>
        </is>
      </c>
    </row>
  </sheetData>
  <autoFilter ref="A1:I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6" min="1" max="1"/>
  </cols>
  <sheetData>
    <row r="1" ht="17.35" customHeight="1" s="17">
      <c r="A1" s="31" t="inlineStr">
        <is>
          <t>Tally form conversion prompt</t>
        </is>
      </c>
    </row>
    <row r="2" ht="75" customHeight="1" s="17">
      <c r="A2" s="19" t="inlineStr">
        <is>
          <t>Use this prompt in Tally when converting an existing assessment form to a different battery. Copy the prompt from the single cell in row 5 (select the cell, copy, paste into Tally), then replace the final placeholder with the rows for each instrument in the battery. The Batteries tab lists which instruments belong to each form. For each instrument, paste from the Instrument Summary: Instrument Name and Code, Instructions / prompt, Response options, Reverse-scored items, Filler items, Subscales / structure and Total scoring; and from the Master Item List, all Item Text rows for that code in item number order.</t>
        </is>
      </c>
    </row>
    <row r="4" ht="15" customHeight="1" s="17">
      <c r="A4" s="30" t="inlineStr">
        <is>
          <t>Prompt</t>
        </is>
      </c>
    </row>
    <row r="5" ht="408.75" customHeight="1" s="17">
      <c r="A5" s="32" t="inlineStr">
        <is>
          <t>I want to convert this form to a different psychometric assessment. Keep the existing layout, branding and client details section exactly as they are, and make the following changes.
1. Title
Change the form title to name the construct being measured, for example "Thinking Patterns Assessment". Use the plain construct name rather than instrument acronyms.
2. Introduction
Keep the introductory paragraph, but rewrite its closing sentence so it explains why this assessment is being used and what it will help us understand. Keep the tone warm and plain, avoid clinical or diagnostic language, and write in UK English.
3. Client details
Keep this section, its fields and its position unchanged.
4. Psychometric pages
Delete the existing psychometric questions and replace them with the instruments below, one page per instrument. On each page:
- Use the instrument's full name as the page heading.
- Add the respondent instructions exactly as given.
- Add every item exactly as worded and in the order given. Do not paraphrase, shorten or correct any item, including American spelling.
- Number the items and make every item required.
- Use the same question type for every item within an instrument.
5. Response scales
Use the response scale given for each instrument, with the exact anchor labels and numeric values. Check that the scale fits the wording of the instructions (for example, a "how often" instruction needs a frequency scale, and a "how true" instruction needs an agreement or truth scale). Directly under the instructions on each page, add one sentence explaining how to use the scale and naming its anchors, for example: "Choose 1 if the statement is not at all true of you, through to 5 if it is completely true."
6. Scoring
Add calculated fields that score each instrument according to the scoring information below.
- Reverse score the listed items before adding them up. A reversed score is (scale maximum plus scale minimum) minus the response.
- Record filler items but leave them out of every score.
- Create one calculated field per subscale, plus a total only where the scoring information says a total is used. Where it says subscales are kept separate, do not create a total.
- Name each calculated field with the instrument code and subscale, for example PTQ_Total or RRS_Brooding.
- Keep every calculated field hidden from the respondent, so that no scores appear on the form or the thank you page.
7. Check back
When you have finished, list back to me each page heading, the number of items per instrument, the response scale used, the reverse scored items, and each calculated field with its formula, so that I can check them against my codebook.
Psychometric information:
[Paste the codebook rows for each instrument here: name and code, instructions, response options, items, reverse scored items, filler items, subscales with item numbers, and total scoring.]</t>
        </is>
      </c>
    </row>
    <row r="7" ht="15" customHeight="1" s="17">
      <c r="A7" s="30" t="inlineStr">
        <is>
          <t>Checks after Tally has built the form</t>
        </is>
      </c>
    </row>
    <row r="8" ht="15" customHeight="1" s="17">
      <c r="A8" s="19" t="inlineStr">
        <is>
          <t>Item count on each page matches the Items in instrument column of the Instrument Summary.</t>
        </is>
      </c>
    </row>
    <row r="9" ht="15" customHeight="1" s="17">
      <c r="A9" s="19" t="inlineStr">
        <is>
          <t>Item wording matches the Master Item List exactly, including spelling.</t>
        </is>
      </c>
    </row>
    <row r="10" ht="15" customHeight="1" s="17">
      <c r="A10" s="19" t="inlineStr">
        <is>
          <t>Reverse scored items are reversed in the calculated fields, and filler items are excluded.</t>
        </is>
      </c>
    </row>
    <row r="11" ht="15" customHeight="1" s="17">
      <c r="A11" s="19" t="inlineStr">
        <is>
          <t>The BPNSFS and RRS have subscale fields only, with no combined total.</t>
        </is>
      </c>
    </row>
    <row r="12" ht="15" customHeight="1" s="17">
      <c r="A12" s="19" t="inlineStr">
        <is>
          <t>Calculated fields are hidden, so no scores appear on the form or the thank you page.</t>
        </is>
      </c>
    </row>
    <row r="13" ht="15" customHeight="1" s="17">
      <c r="A13" s="19" t="inlineStr">
        <is>
          <t>Submit a test response and check each calculated field by hand against the scoring rules before sending the form to a client.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Z21"/>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6" min="1" max="1"/>
    <col width="36" customWidth="1" style="16" min="2" max="2"/>
    <col width="34" customWidth="1" style="16" min="3" max="3"/>
    <col width="26" customWidth="1" style="16" min="4" max="4"/>
    <col width="13" customWidth="1" style="16" min="5" max="6"/>
    <col width="40" customWidth="1" style="16" min="7" max="7"/>
    <col width="26" customWidth="1" style="16" min="8" max="8"/>
    <col width="16" customWidth="1" style="16" min="9" max="10"/>
    <col width="60" customWidth="1" style="16" min="11" max="12"/>
    <col width="58" customWidth="1" style="16" min="13" max="13"/>
    <col width="56" customWidth="1" style="16" min="14" max="14"/>
    <col width="46" customWidth="1" style="16" min="15" max="15"/>
    <col width="14" customWidth="1" style="16" min="16" max="17"/>
    <col width="58" customWidth="1" style="16" min="18" max="20"/>
    <col width="52" customWidth="1" style="16" min="21" max="21"/>
    <col width="58" customWidth="1" style="16" min="22" max="22"/>
    <col width="60" customWidth="1" style="16" min="23" max="23"/>
    <col width="58" customWidth="1" style="16" min="24" max="24"/>
    <col width="56" customWidth="1" style="16" min="25" max="25"/>
    <col width="52" customWidth="1" style="16" min="26" max="26"/>
  </cols>
  <sheetData>
    <row r="1" ht="30" customHeight="1" s="17">
      <c r="A1" s="25" t="inlineStr">
        <is>
          <t>Code</t>
        </is>
      </c>
      <c r="B1" s="25" t="inlineStr">
        <is>
          <t>Instrument Name</t>
        </is>
      </c>
      <c r="C1" s="25" t="inlineStr">
        <is>
          <t>Domain</t>
        </is>
      </c>
      <c r="D1" s="25" t="inlineStr">
        <is>
          <t>Availability</t>
        </is>
      </c>
      <c r="E1" s="25" t="inlineStr">
        <is>
          <t>Items in instrument</t>
        </is>
      </c>
      <c r="F1" s="25" t="inlineStr">
        <is>
          <t>Items in this codebook</t>
        </is>
      </c>
      <c r="G1" s="25" t="inlineStr">
        <is>
          <t>Construct measured</t>
        </is>
      </c>
      <c r="H1" s="25" t="inlineStr">
        <is>
          <t>Respondent</t>
        </is>
      </c>
      <c r="I1" s="25" t="inlineStr">
        <is>
          <t>Age range</t>
        </is>
      </c>
      <c r="J1" s="25" t="inlineStr">
        <is>
          <t>Administration time</t>
        </is>
      </c>
      <c r="K1" s="25" t="inlineStr">
        <is>
          <t>Cost and access</t>
        </is>
      </c>
      <c r="L1" s="25" t="inlineStr">
        <is>
          <t>Coaching application</t>
        </is>
      </c>
      <c r="M1" s="25" t="inlineStr">
        <is>
          <t>Purpose</t>
        </is>
      </c>
      <c r="N1" s="25" t="inlineStr">
        <is>
          <t>Instructions / prompt</t>
        </is>
      </c>
      <c r="O1" s="25" t="inlineStr">
        <is>
          <t>Response options</t>
        </is>
      </c>
      <c r="P1" s="25" t="inlineStr">
        <is>
          <t>Reverse-scored items</t>
        </is>
      </c>
      <c r="Q1" s="25" t="inlineStr">
        <is>
          <t>Filler items (not scored)</t>
        </is>
      </c>
      <c r="R1" s="25" t="inlineStr">
        <is>
          <t>Subscales / structure</t>
        </is>
      </c>
      <c r="S1" s="25" t="inlineStr">
        <is>
          <t>Total scoring</t>
        </is>
      </c>
      <c r="T1" s="25" t="inlineStr">
        <is>
          <t>Interpretation bands</t>
        </is>
      </c>
      <c r="U1" s="25" t="inlineStr">
        <is>
          <t>Cut-offs</t>
        </is>
      </c>
      <c r="V1" s="25" t="inlineStr">
        <is>
          <t>Normative data</t>
        </is>
      </c>
      <c r="W1" s="25" t="inlineStr">
        <is>
          <t>Psychometric properties</t>
        </is>
      </c>
      <c r="X1" s="25" t="inlineStr">
        <is>
          <t>Developer citation</t>
        </is>
      </c>
      <c r="Y1" s="25" t="inlineStr">
        <is>
          <t>Copyright and licensing</t>
        </is>
      </c>
      <c r="Z1" s="25" t="inlineStr">
        <is>
          <t>Source URL</t>
        </is>
      </c>
    </row>
    <row r="2" ht="169.5" customHeight="1" s="17">
      <c r="A2" s="26" t="inlineStr">
        <is>
          <t>ESQ-R</t>
        </is>
      </c>
      <c r="B2" s="27" t="inlineStr">
        <is>
          <t>Executive Skills Questionnaire - Revised (ESQ-R)</t>
        </is>
      </c>
      <c r="C2" s="27" t="inlineStr">
        <is>
          <t>1. Executive functioning and ADHD</t>
        </is>
      </c>
      <c r="D2" s="27" t="inlineStr">
        <is>
          <t>Free / open access</t>
        </is>
      </c>
      <c r="E2" s="28" t="n">
        <v>25</v>
      </c>
      <c r="F2" s="28">
        <f>COUNTIF('Master Item List'!$A:$A,$A2)</f>
        <v/>
      </c>
      <c r="G2" s="27" t="inlineStr">
        <is>
          <t>Executive functioning skills, including plan and time management, organization, and emotional and behavioral regulation</t>
        </is>
      </c>
      <c r="H2" s="27" t="inlineStr">
        <is>
          <t>Self-report</t>
        </is>
      </c>
      <c r="I2" s="27" t="inlineStr">
        <is>
          <t>14+</t>
        </is>
      </c>
      <c r="J2" s="27" t="inlineStr">
        <is>
          <t>5 minutes</t>
        </is>
      </c>
      <c r="K2" s="27" t="inlineStr">
        <is>
          <t>Included on NovoPsych with the permission of Dr Peg Dawson; blank form hosted free. Scoring and percentiles need a NovoPsych account.</t>
        </is>
      </c>
      <c r="L2" s="27" t="inlineStr">
        <is>
          <t>The core executive skills profile for coaching; the five subscales map directly onto coaching targets. Measures higher order skills rather than core executive functions.</t>
        </is>
      </c>
      <c r="M2" s="27" t="inlineStr">
        <is>
          <t>The ESQ-R is a 25-item self-report measure of executive functioning skills, including plan and time management, organization, and emotional and behavioral regulation. It was developed and published by Strait et al. (2020) and is included on NovoPsych with permission from Dr. Peg Dawson. It is intended to help identify specific areas of executive skill difficulty across five domains.</t>
        </is>
      </c>
      <c r="N2" s="27" t="inlineStr">
        <is>
          <t>Read each item and decide how often it's a problem for you.</t>
        </is>
      </c>
      <c r="O2" s="27" t="inlineStr">
        <is>
          <t>Never or rarely = 0 | Sometimes = 1 | Often = 2 | Very often = 3</t>
        </is>
      </c>
      <c r="P2" s="27" t="inlineStr">
        <is>
          <t>None</t>
        </is>
      </c>
      <c r="Q2" s="27" t="inlineStr">
        <is>
          <t>None</t>
        </is>
      </c>
      <c r="R2" s="27" t="inlineStr">
        <is>
          <t>Plan Management (items 6-7, 12-14, 16-18, 22-24; n=11; range 0-33)
Time Management (items 10-11, 15, 20; n=4; range 0-12)
Organization (items 3, 8-9; n=3; range 0-9)
Emotional Regulation (items 4-5, 21; n=3; range 0-9)
Behavioral Regulation (items 1-2, 19, 25; n=4; range 0-12)</t>
        </is>
      </c>
      <c r="S2" s="27" t="inlineStr">
        <is>
          <t>Each item is rated on a 4-point Likert-type scale from 0 to 3 reflecting the frequency with which a respondent experiences a specific difficulty. Item scores are summed to produce a total score (range 0-75) and five subscale scores (Plan Management 0-33, Time Management 0-12, Organization 0-9, Emotional Regulation 0-9, Behavioral Regulation 0-12). Higher scores indicate more difficulties with executive functioning. No reverse-scored items were identified in the retrieved source material.</t>
        </is>
      </c>
      <c r="T2" s="27" t="inlineStr">
        <is>
          <t>Low Difficulties: ≤10th percentile - Low difficulties with executive functioning skills relative to the normative sample.
Below Average Difficulties: 10th-24th percentile - Below average difficulties with executive functioning skills relative to the normative sample.
Average Difficulties: 25th-75th percentile - Average difficulties with executive functioning skills relative to the normative sample.
Above Average Difficulties: 76th-89th percentile - Above average difficulties with executive functioning skills relative to the normative sample.
High Difficulties: ≥90th percentile - High difficulties with executive functioning skills relative to the normative sample.</t>
        </is>
      </c>
      <c r="U2" s="27" t="inlineStr">
        <is>
          <t>No diagnostic cut-off. Total score percentile bands: Low Difficulties (&lt;=10th), Below Average (11th-24th), Average (25th-75th), Above Average (76th-89th), High (&gt;=90th). Above Average or High suggests clinically significant executive functioning challenges. Subscale average ratings: No or Low Difficulty 0-1; Moderate Difficulty 1.01-1.99; High Difficulty 2-3. A change of 5 or more points on the total score is a Minimally Important Difference.</t>
        </is>
      </c>
      <c r="V2" s="27" t="inlineStr">
        <is>
          <t>Sample of 327 working adults in Malaysia (153 male, 171 female, 1 unknown; aged 23-80, M = 40.34, SD = 10.39) completing a modified ESQ-R (Nasir et al., 2021). Total M = 20.54 (SD 10.27); Plan Management M = 7.59 (SD 5.08); Time Management M = 3.03 (SD 2.24); Organization M = 2.57 (SD 1.96); Emotional Regulation M = 3.02 (SD 1.88); Behavioral Regulation M = 4.32 (SD 2.08). These means and SDs convert raw scores to percentiles.</t>
        </is>
      </c>
      <c r="W2" s="27" t="inlineStr">
        <is>
          <t>Internal consistency Cronbach's alpha = .91; test-retest reliability r = .70 (Strait et al., 2020). Factor alphas: Plan Management .89 (11 items), Time Management .74 (4), Organization .76 (3), Emotional Regulation .75 (3), Behavioral Regulation .65 (4). Convergent validity: Current Behavior Scale r = .74; Adult Executive Functioning Inventory r = .69. Discriminant validity: DASS-21 Depression r = .48, Anxiety r = .38, Stress r = .44; GAD-7 r = .45; PSS-10 r = .55. Academic engagement r = -.40.</t>
        </is>
      </c>
      <c r="X2" s="27" t="inlineStr">
        <is>
          <t>Developed by Dr. Peg Dawson (Smart But Scattered Kids). Original citation: Strait, J. E., Dawson, P., Walther, C. A. P., Strait, G. G., Barton, A. K., &amp; McClain, M. B. (2020). Refinement and psychometric evaluation of the Executive Skills Questionnaire-Revised. Contemporary School Psychology, 24, 378-388. https://doi.org/10.1007/s40688-018-00224-x</t>
        </is>
      </c>
      <c r="Y2" s="27" t="inlineStr">
        <is>
          <t>© 2026 Copyright – NovoPsych – All rights reserved. The ESQ-R was developed and published by Strait et al. (2020) and is included on NovoPsych with permission from Dr. Peg Dawson.</t>
        </is>
      </c>
      <c r="Z2" s="27" t="inlineStr">
        <is>
          <t>https://novopsych.com/assessments/formulation/executive-skills-questionnaire-revised-esq-r/</t>
        </is>
      </c>
    </row>
    <row r="3" ht="169.5" customHeight="1" s="17">
      <c r="A3" s="26" t="inlineStr">
        <is>
          <t>CFI</t>
        </is>
      </c>
      <c r="B3" s="27" t="inlineStr">
        <is>
          <t>Cognitive Flexibility Inventory (CFI)</t>
        </is>
      </c>
      <c r="C3" s="27" t="inlineStr">
        <is>
          <t>1. Executive functioning and ADHD</t>
        </is>
      </c>
      <c r="D3" s="27" t="inlineStr">
        <is>
          <t>Free / open access</t>
        </is>
      </c>
      <c r="E3" s="28" t="n">
        <v>20</v>
      </c>
      <c r="F3" s="28">
        <f>COUNTIF('Master Item List'!$A:$A,$A3)</f>
        <v/>
      </c>
      <c r="G3" s="27" t="inlineStr">
        <is>
          <t>Cognitive flexibility - the ability to perceive multiple alternative explanations for life occurrences and human behaviour, generate multiple alternative solutions to difficult situations, and perceive difficult situations as controllable</t>
        </is>
      </c>
      <c r="H3" s="27" t="inlineStr">
        <is>
          <t>Self-report</t>
        </is>
      </c>
      <c r="I3" s="27" t="inlineStr">
        <is>
          <t>18+</t>
        </is>
      </c>
      <c r="J3" s="27" t="inlineStr">
        <is>
          <t>3 minutes</t>
        </is>
      </c>
      <c r="K3" s="27" t="inlineStr">
        <is>
          <t>Published in Dennis and Vander Wal (2010); blank form hosted free on NovoPsych.</t>
        </is>
      </c>
      <c r="L3" s="27" t="inlineStr">
        <is>
          <t>Measures cognitive flexibility, useful for tracking response to reframing and problem solving work. Scored in the opposite direction to the ESQ-R.</t>
        </is>
      </c>
      <c r="M3" s="27" t="inlineStr">
        <is>
          <t>The CFI is a 20-item self-report measure used to monitor how often individuals engaged in cognitive behavioural thought challenging interventions. Cognitive flexibility is a core skill targeted in cognitive behavioral therapy that enables adaptive thinking during stressful life events and helps individuals avoid maladaptive thinking patterns.</t>
        </is>
      </c>
      <c r="N3" s="27" t="inlineStr">
        <is>
          <t>Please use the scale below to indicate the extent to which you agree or disagree with the following statements.</t>
        </is>
      </c>
      <c r="O3" s="27" t="inlineStr">
        <is>
          <t>Strongly disagree = 1 | Disagree = 2 | Somewhat disagree = 3 | Neutral = 4 | Somewhat agree = 5 | Agree = 6 | Strongly agree = 7</t>
        </is>
      </c>
      <c r="P3" s="27" t="inlineStr">
        <is>
          <t>2, 4, 7, 9, 11, 17</t>
        </is>
      </c>
      <c r="Q3" s="27" t="inlineStr">
        <is>
          <t>None</t>
        </is>
      </c>
      <c r="R3" s="27" t="inlineStr">
        <is>
          <t>Alternatives (items 1, 3, 5-6, 8, 10, 12-14, 16, 18-20; n=13; range 13-91)
Control (items 2, 4, 7, 9, 11, 15, 17; n=7; range 7-49)</t>
        </is>
      </c>
      <c r="S3" s="27" t="inlineStr">
        <is>
          <t>Each item is rated on a 7-point Likert scale from 1 (Strongly disagree) to 7 (Strongly agree). Items 2, 4, 7, 9, 11, and 17 are reverse scored. Item scores are summed to produce a total CFI score and two subscale scores (Alternatives and Control). A higher score indicates more cognitive flexibility.</t>
        </is>
      </c>
      <c r="T3" s="27" t="inlineStr">
        <is>
          <t>Clinically significant inflexibility: Below approximately the 25th percentile - Cognitive inflexibility of clinical significance; a target for CBT.
Average: Around the 50th percentile - More cognitive flexibility than 50 per cent of the normative sample.
High flexibility: Upper percentiles - Higher likelihood of adaptive responses to difficult life experiences.</t>
        </is>
      </c>
      <c r="U3" s="27" t="inlineStr">
        <is>
          <t>No formal diagnostic cut-off. Percentiles below approximately 25 represent clinically significant cognitive inflexibility, which would be important to target within cognitive behavioural therapy.</t>
        </is>
      </c>
      <c r="V3" s="27" t="inlineStr">
        <is>
          <t>Sample of 196 university students (Dennis &amp; Vander Wal, 2010): CFI total M = 102.98 (SD = 13.91); Alternatives M = 67.59 (SD = 9.41); Control M = 35.35 (SD = 7.02).</t>
        </is>
      </c>
      <c r="W3" s="27" t="inlineStr">
        <is>
          <t>Test-retest reliability: total r = .81; Alternatives r = .75; Control r = .77 (Dennis &amp; Vander Wal, 2010). Internal consistency: Alternatives alpha = .91; Control alpha = .86; total alpha = .90. Convergent construct validity established through associations with other measures of cognitive flexibility, depressive symptomatology and coping (Dennis &amp; Vander Wal, 2010). The CFI differentiates a clinical group (anxiety and depression) from a non-clinical sample, with the clinical group scoring significantly lower on total and subscale scores (Johnco, Wuthrich, &amp; Rapee, 2014).</t>
        </is>
      </c>
      <c r="X3" s="27" t="inlineStr">
        <is>
          <t>Dennis, J. P., &amp; Vander Wal, J. S. (2010). The cognitive flexibility inventory: Instrument development and estimates of reliability and validity. Cognitive Therapy and Research, 34(3), 241-253. https://doi.org/10.1007/s10608-009-9276-4</t>
        </is>
      </c>
      <c r="Y3" s="27" t="inlineStr">
        <is>
          <t>© 2026 Copyright – NovoPsych – All rights reserved. Sample report footer: Copyright 2022 NovoPsych Pty Ltd.</t>
        </is>
      </c>
      <c r="Z3" s="27" t="inlineStr">
        <is>
          <t>https://novopsych.com/assessments/formulation/cognitive-flexibility-inventory-cfi/</t>
        </is>
      </c>
    </row>
    <row r="4" ht="169.5" customHeight="1" s="17">
      <c r="A4" s="26" t="inlineStr">
        <is>
          <t>ASRS</t>
        </is>
      </c>
      <c r="B4" s="27" t="inlineStr">
        <is>
          <t>Adult ADHD Self-Report Scale (ASRS v1.1)</t>
        </is>
      </c>
      <c r="C4" s="27" t="inlineStr">
        <is>
          <t>1. Executive functioning and ADHD</t>
        </is>
      </c>
      <c r="D4" s="27" t="inlineStr">
        <is>
          <t>Free / open access</t>
        </is>
      </c>
      <c r="E4" s="28" t="n">
        <v>18</v>
      </c>
      <c r="F4" s="28">
        <f>COUNTIF('Master Item List'!$A:$A,$A4)</f>
        <v/>
      </c>
      <c r="G4" s="27" t="inlineStr">
        <is>
          <t>Attention Deficit Hyperactivity Disorder (ADHD) symptoms in adults, spanning inattentiveness and hyperactivity/impulsivity (including motor and verbal components)</t>
        </is>
      </c>
      <c r="H4" s="27" t="inlineStr">
        <is>
          <t>self-report</t>
        </is>
      </c>
      <c r="I4" s="27" t="inlineStr">
        <is>
          <t>18+</t>
        </is>
      </c>
      <c r="J4" s="27" t="inlineStr">
        <is>
          <t>3 minutes</t>
        </is>
      </c>
      <c r="K4" s="27" t="inlineStr">
        <is>
          <t>Public domain WHO instrument. Blank form hosted free on NovoPsych; scoring and reports need a NovoPsych account.</t>
        </is>
      </c>
      <c r="L4" s="27" t="inlineStr">
        <is>
          <t>Screening and severity measure for current adult ADHD symptoms; pairs with the WURS-25 for childhood history. Not a diagnostic instrument on its own.</t>
        </is>
      </c>
      <c r="M4" s="27" t="inlineStr">
        <is>
          <t>The ASRS v1.1 is an 18-item self-report questionnaire designed to assess ADHD symptoms in adults. It is based on the World Health Organization Composite International Diagnostic Interview (2001) and is worded to be consistent with both DSM-IV and DSM-5-TR criteria as they manifest in adults. It is intended as a screening tool used alongside clinical interview and other measures (e.g. the WURS for childhood history) rather than as a standalone diagnostic instrument.</t>
        </is>
      </c>
      <c r="N4" s="27" t="inlineStr">
        <is>
          <t>Please answer the questions below, rating yourself on each of the criteria shown. As you answer each question, select the box that best describes how you have felt and conducted yourself over the past 6 months.</t>
        </is>
      </c>
      <c r="O4" s="27" t="inlineStr">
        <is>
          <t>Never = 0 | Rarely = 1 | Sometimes = 2 | Often = 3 | Very Often = 4</t>
        </is>
      </c>
      <c r="P4" s="27" t="inlineStr">
        <is>
          <t>None</t>
        </is>
      </c>
      <c r="Q4" s="27" t="inlineStr">
        <is>
          <t>None</t>
        </is>
      </c>
      <c r="R4" s="27" t="inlineStr">
        <is>
          <t>Part A (Criterion / Screener) (items 1-6; n=6; range 0-24)
Part B (Additional Symptoms) (items 7-18; n=12; range 0-48)
Inattentiveness (items 1-4, 7-11; n=9; range 0-9 (dichotomous symptom count))
Hyperactivity/Impulsivity - Motor (items 5-6, 12-14; n=5; range 0-5 (dichotomous symptom count))
Hyperactivity/Impulsivity - Verbal (items 15-18; n=4; range 0-4 (dichotomous symptom count))</t>
        </is>
      </c>
      <c r="S4" s="27" t="inlineStr">
        <is>
          <t>As of the 2024 update, each of the 18 items is scored on a 5-point Likert scale (Never=0, Rarely=1, Sometimes=2, Often=3, Very Often=4). Part A = sum of items 1-6 (range 0-24). Part B = sum of items 7-18 (range 0-48). Total = sum of all 18 items (range 0-72). The original dichotomous (0/1) scoring is still used separately to calculate the 'percent of symptoms endorsed' for subtype/subscale reporting.</t>
        </is>
      </c>
      <c r="T4" s="27" t="inlineStr">
        <is>
          <t>Part A - Low: 0-9 - Not consistent with an ADHD diagnosis.
Part A - Mild to Moderate: 10-13 - Below the screening threshold; some symptoms reported.
Part A - High: 14-17 - Clinically significant. Symptom profile consistent with a DSM-5-TR ADHD diagnosis in adults.
Part A - Very High: 18-24 - Clinically significant; symptoms endorsed at high frequency.
Part B - Low: 0-19 - Low additional symptom burden.
Part B - Mild to Moderate: 20-26 - Below the clinically significant range.
Part B - High: 27-32 - Clinically significant.
Part B - Very High: 33-48 - Clinically significant; high additional symptom burden.
Total - Low: 0-30 - Low overall symptom burden.
Total - Mild to Moderate: 31-39 - Below the range typical of adults with ADHD.
Total - High: 40-49 - At or above the 79th percentile; in most cases someone with ADHD will score in this range or above.
Total - Very High: 50-72 - Very high overall symptom burden.</t>
        </is>
      </c>
      <c r="U4" s="27" t="inlineStr">
        <is>
          <t>Part A &gt;= 14 constitutes a positive screen and a symptom profile consistent with a DSM-5-TR adult ADHD diagnosis (Adler et al., 2006; Kessler et al., 2007; Harvard Medical School, 2024). Part B &gt;= 27 is clinically significant. A total score at or above the 79th percentile (raw &gt;= 40) typically indicates ADHD. Kessler et al. (2007) four-level Part A classification: 0-9, 10-13, 14-17, 18-24 (AUC = 0.90). Always use alongside clinical interview.</t>
        </is>
      </c>
      <c r="V4" s="27" t="inlineStr">
        <is>
          <t>Adler et al. (2018/2019) sample of 22,397 adults, 465 (2.1%) self-reporting a physician ADHD diagnosis. NovoPsych recalculated summed means/SDs (Likert scoring), accounting for inter-item correlations (r = 0.32 within parts, r = 0.74 between Parts A and B). ADHD group (n = 465): Part A M = 16.71 (SD 5.07); Part B M = 32.74 (SD 9.16); Total M = 49.45 (SD 13.36). Community sample (n = 21,932): Part A M = 10.88 (SD 3.76); Part B M = 21.60 (SD 6.69); Total M = 32.48 (SD 9.80).</t>
        </is>
      </c>
      <c r="W4" s="27" t="inlineStr">
        <is>
          <t>Internal consistency: Cronbach's alpha = .88 in adult ADHD patients (Adler et al., 2006); .952 for the full scale (Brevik et al., 2020). Concurrent validity with clinician-rated symptoms r = .84 (Adler et al., 2006). Diagnostic accuracy: AUC = .904 for the 18-item scale and .903 for the six Part A items (Brevik et al., 2020); AUC = .90 for the Kessler et al. (2007) four-level Part A classification. Under the previous scoring convention, sensitivity 1.0, specificity .71, PPP .52, NPP 1.0 (Hines, King &amp; Curry, 2012). Combined with the WURS-25, AUC = .964. Factor structure: CFA in over 1,000 adults identified three factors - Inattentiveness, Motor Hyperactivity/Impulsivity, Verbal Hyperactivity/Impulsivity (Stanton et al., 2018).</t>
        </is>
      </c>
      <c r="X4" s="27" t="inlineStr">
        <is>
          <t>Kessler, R. C., Adler, L., Ames, M., Demler, O., Faraone, S., Hiripi, E., Howes, M. J., Jin, R., Secnik, K., Spencer, T., Ustun, T. B., &amp; Walters, E. E. (2005). The World Health Organization Adult ADHD Self-Report Scale (ASRS): a short screening scale for use in the general population. Psychological Medicine, 35(2), 245-256. https://doi.org/10.1017/s0033291704002892</t>
        </is>
      </c>
      <c r="Y4" s="27" t="inlineStr">
        <is>
          <t>Public-domain WHO instrument (ASRS v1.1 Symptom Checklist). Freely reproducible for clinical and research use; NovoPsych hosts the blank form as a public PDF.</t>
        </is>
      </c>
      <c r="Z4" s="27" t="inlineStr">
        <is>
          <t>https://novopsych.com/assessments/diagnosis/adult-adhd-self-report-scale-asrs/</t>
        </is>
      </c>
    </row>
    <row r="5" ht="169.5" customHeight="1" s="17">
      <c r="A5" s="26" t="inlineStr">
        <is>
          <t>SKS</t>
        </is>
      </c>
      <c r="B5" s="27" t="inlineStr">
        <is>
          <t>Strengths Knowledge Scale</t>
        </is>
      </c>
      <c r="C5" s="27" t="inlineStr">
        <is>
          <t>2. Strengths knowledge, use and support at work</t>
        </is>
      </c>
      <c r="D5" s="27" t="inlineStr">
        <is>
          <t>Free / open access</t>
        </is>
      </c>
      <c r="E5" s="28" t="n">
        <v>8</v>
      </c>
      <c r="F5" s="28">
        <f>COUNTIF('Master Item List'!$A:$A,$A5)</f>
        <v/>
      </c>
      <c r="G5" s="27" t="inlineStr">
        <is>
          <t>Perceived self-knowledge of one's own personal strengths, i.e. the extent to which a person is aware of what they do best.</t>
        </is>
      </c>
      <c r="H5" s="27" t="inlineStr">
        <is>
          <t>Self-report</t>
        </is>
      </c>
      <c r="I5" s="27" t="inlineStr">
        <is>
          <t>Adults and university students; used in adolescent samples (secondary school age) in later validations, but the original 2007 development sample was working adults</t>
        </is>
      </c>
      <c r="J5" s="27" t="inlineStr">
        <is>
          <t>2-3 minutes</t>
        </is>
      </c>
      <c r="K5" s="27" t="inlineStr">
        <is>
          <t>No licence fee or permission is required to use the SKS in coaching practice. The scale was published in full within the original journal article (Govindji &amp; Linley, 2007, International Coaching Psychology Review, a BPS Special Group in Coaching Psychology publication) and has since been reproduced verbatim in several open-access peer-reviewed validation papers (e.g. the Frontiers in Psychology 2023 Spanish validation used as the source for this record). A practitioner can administer it as a simple paper or online 7-point rating form; no test manual, scoring software or purchase is needed. The original 2007 article itself is not reliably available as an open PDF (International Coaching Psychology Review back issues are not consistently hosted online), so items here were transcribed from an open-access reproduction rather than the original publication.</t>
        </is>
      </c>
      <c r="L5" s="27" t="inlineStr">
        <is>
          <t>The SKS is useful early in strengths coaching to establish a baseline of how well a client can already name and recognise their own best qualities, which shapes whether initial sessions should focus on strength identification (e.g. via VIA or Realise2) before moving to strengths use. Low scores flag clients who may benefit from structured strength-spotting exercises, feedback from others, or a formal strengths assessment before goal-setting. Its main limit is that it only captures self-perceived awareness, not accuracy of that self-knowledge, so it should be paired with an objective strengths measure or 360-degree feedback rather than used alone to confirm what a client's real strengths are.</t>
        </is>
      </c>
      <c r="M5" s="27" t="inlineStr">
        <is>
          <t>The SKS was developed by Govindji and Linley (2007) to measure the degree to which individuals know their own strengths, as a companion construct to strengths use. It was designed for use in positive psychology and coaching research examining how strengths knowledge and strengths use relate to well-being outcomes (subjective well-being, psychological well-being and vitality).</t>
        </is>
      </c>
      <c r="N5" s="27" t="inlineStr">
        <is>
          <t>Not stated on source</t>
        </is>
      </c>
      <c r="O5" s="27" t="inlineStr">
        <is>
          <t>Strongly disagree = 1 | 2 = 2 | 3 = 3 | 4 = 4 | 5 = 5 | 6 = 6 | Strongly agree = 7</t>
        </is>
      </c>
      <c r="P5" s="27" t="inlineStr">
        <is>
          <t>None</t>
        </is>
      </c>
      <c r="Q5" s="27" t="inlineStr">
        <is>
          <t>None</t>
        </is>
      </c>
      <c r="R5" s="27" t="inlineStr">
        <is>
          <t>Strengths Knowledge (total scale) (items 1-8; n=8; range 8-56)</t>
        </is>
      </c>
      <c r="S5" s="27" t="inlineStr">
        <is>
          <t>Sum (or mean) of the 8 item ratings. Higher total scores indicate greater self-perceived knowledge of one's own strengths. No published reverse-scored items were identified for this scale in the sources reviewed.</t>
        </is>
      </c>
      <c r="T5" s="27" t="inlineStr">
        <is>
          <t>Not stated on source</t>
        </is>
      </c>
      <c r="U5" s="27" t="inlineStr">
        <is>
          <t>No clinical or normative cut-off scores have been published for the SKS. It is used as a continuous research/coaching variable, typically compared against a client's own baseline over time rather than against population norms.</t>
        </is>
      </c>
      <c r="V5" s="27" t="inlineStr">
        <is>
          <t>No formal normative tables were located. Reported sample means come from individual studies using varied populations (e.g. UK working adults in the original 2007 study; Chinese adolescents in Duan, Li &amp; Mu, 2018, Journal of Happiness Studies; Spanish-speaking adults in the 2023 Frontiers validation) and are not interchangeable as norms.</t>
        </is>
      </c>
      <c r="W5" s="27" t="inlineStr">
        <is>
          <t>Internal consistency has repeatedly been reported as high: Cronbach's alpha = .90 for the English-language items in a 2023 Spanish validation study (Frontiers in Psychology, fpsyg.2023.1086510), which also confirmed a single-factor structure. The original Govindji &amp; Linley (2007) paper is reported in secondary sources to have found good reliability and significant positive correlations between strengths knowledge, strengths use, subjective well-being, psychological well-being and vitality, but the exact original alpha coefficient could not be independently confirmed from a source directly accessed for this record.</t>
        </is>
      </c>
      <c r="X5" s="27" t="inlineStr">
        <is>
          <t>Govindji, R., &amp; Linley, P. A. (2007). Strengths use, self-concordance and well-being: Implications for strengths coaching and coaching psychologists. International Coaching Psychology Review, 2(2), 143-153.</t>
        </is>
      </c>
      <c r="Y5" s="27" t="inlineStr">
        <is>
          <t>No explicit copyright statement, licence, or restriction on use was found for the SKS in any source reviewed. It is a short academic research scale that has been freely reprinted in full within multiple peer-reviewed, open-access journal articles without any stated permission requirement; practitioners typically cite Govindji and Linley (2007) as the source when using it. This should not be taken as a formal confirmation of public-domain status, only as the licensing position actually found.</t>
        </is>
      </c>
      <c r="Z5" s="27" t="inlineStr">
        <is>
          <t>https://www.frontiersin.org/journals/psychology/articles/10.3389/fpsyg.2023.1086510/full</t>
        </is>
      </c>
    </row>
    <row r="6" ht="169.5" customHeight="1" s="17">
      <c r="A6" s="26" t="inlineStr">
        <is>
          <t>SUS</t>
        </is>
      </c>
      <c r="B6" s="27" t="inlineStr">
        <is>
          <t>Strengths Use Scale</t>
        </is>
      </c>
      <c r="C6" s="27" t="inlineStr">
        <is>
          <t>2. Strengths knowledge, use and support at work</t>
        </is>
      </c>
      <c r="D6" s="27" t="inlineStr">
        <is>
          <t>Free / open access</t>
        </is>
      </c>
      <c r="E6" s="28" t="n">
        <v>14</v>
      </c>
      <c r="F6" s="28">
        <f>COUNTIF('Master Item List'!$A:$A,$A6)</f>
        <v/>
      </c>
      <c r="G6" s="27" t="inlineStr">
        <is>
          <t>Perceived deployment of one's own personal strengths in daily life, i.e. the extent to which a person actively uses what they do best across situations.</t>
        </is>
      </c>
      <c r="H6" s="27" t="inlineStr">
        <is>
          <t>Self-report</t>
        </is>
      </c>
      <c r="I6" s="27" t="inlineStr">
        <is>
          <t>Adults and university students; used in adolescent samples (secondary school age) in later validations, but the original 2007 development sample was working adults</t>
        </is>
      </c>
      <c r="J6" s="27" t="inlineStr">
        <is>
          <t>3-5 minutes</t>
        </is>
      </c>
      <c r="K6" s="27" t="inlineStr">
        <is>
          <t>No licence fee or permission is required to use the SUS in coaching practice. The scale was published in full within the original journal article (Govindji &amp; Linley, 2007, International Coaching Psychology Review, a BPS Special Group in Coaching Psychology publication) and has since been reproduced verbatim in several open-access peer-reviewed validation papers (e.g. the Frontiers in Psychology 2023 Spanish validation used as the source for this record). It can be administered as a simple paper or online 7-point rating form; no manual, scoring software or purchase is needed. The original 2007 article itself is not reliably available as an open PDF (International Coaching Psychology Review back issues are not consistently hosted online), so items here were transcribed from an open-access reproduction rather than the original publication.</t>
        </is>
      </c>
      <c r="L6" s="27" t="inlineStr">
        <is>
          <t>The SUS is well suited to tracking a client's progress in strengths coaching over time, since it directly measures how often and how naturally strengths are being deployed at work, study and in life generally, which is the practical outcome most strengths coaching aims to move. It works well as a short pre/post measure around a block of coaching focused on applying identified strengths to goals. Its limit is that it assumes the client already knows what their strengths are (it should usually follow, not replace, a strengths-identification step such as VIA or the SKS) and it captures frequency and ease of use rather than the fit or appropriateness of how strengths are being applied.</t>
        </is>
      </c>
      <c r="M6" s="27" t="inlineStr">
        <is>
          <t>The SUS was developed by Govindji and Linley (2007) to measure the degree to which individuals use their strengths in everyday life, for use in positive psychology and coaching research examining how strengths use relates to self-concordance and to well-being outcomes (subjective well-being, psychological well-being and vitality).</t>
        </is>
      </c>
      <c r="N6" s="27" t="inlineStr">
        <is>
          <t>The following 14 questions ask about your strengths, that is, the things that you can do well or do best.</t>
        </is>
      </c>
      <c r="O6" s="27" t="inlineStr">
        <is>
          <t>Strongly disagree = 1 | 2 = 2 | 3 = 3 | 4 = 4 | 5 = 5 | 6 = 6 | Strongly agree = 7</t>
        </is>
      </c>
      <c r="P6" s="27" t="inlineStr">
        <is>
          <t>None</t>
        </is>
      </c>
      <c r="Q6" s="27" t="inlineStr">
        <is>
          <t>None</t>
        </is>
      </c>
      <c r="R6" s="27" t="inlineStr">
        <is>
          <t>Strengths Use (total scale) (items 1-14; n=14; range 14-98)</t>
        </is>
      </c>
      <c r="S6" s="27" t="inlineStr">
        <is>
          <t>Sum (or mean) of the 14 item ratings. Higher total scores indicate greater self-reported use of personal strengths in daily life. No reverse-scored items were identified for this scale in the sources reviewed.</t>
        </is>
      </c>
      <c r="T6" s="27" t="inlineStr">
        <is>
          <t>Not stated on source</t>
        </is>
      </c>
      <c r="U6" s="27" t="inlineStr">
        <is>
          <t>No clinical or normative cut-off scores have been published for the SUS. It is used as a continuous research/coaching variable, typically tracked against a client's own baseline over time rather than against population norms.</t>
        </is>
      </c>
      <c r="V6" s="27" t="inlineStr">
        <is>
          <t>No formal normative tables were located. Reported sample means come from individual studies using varied populations (e.g. UK working adults in the original 2007 study; Chinese adolescents in Duan, Li &amp; Mu, 2018, Journal of Happiness Studies; Spanish-speaking adults in the 2023 Frontiers validation) and are not interchangeable as norms.</t>
        </is>
      </c>
      <c r="W6" s="27" t="inlineStr">
        <is>
          <t>Internal consistency has repeatedly been reported as very high: Cronbach's alpha = .95 for the English-language items in a 2023 Spanish validation study (Frontiers in Psychology, fpsyg.2023.1086510), which also confirmed a single-factor structure. The original Govindji &amp; Linley (2007) paper is reported in secondary sources to have found good reliability and significant positive correlations between strengths use, self-concordance, subjective well-being, psychological well-being and vitality, but the exact original alpha coefficient could not be independently confirmed from a source directly accessed for this record.</t>
        </is>
      </c>
      <c r="X6" s="27" t="inlineStr">
        <is>
          <t>Govindji, R., &amp; Linley, P. A. (2007). Strengths use, self-concordance and well-being: Implications for strengths coaching and coaching psychologists. International Coaching Psychology Review, 2(2), 143-153.</t>
        </is>
      </c>
      <c r="Y6" s="27" t="inlineStr">
        <is>
          <t>No explicit copyright statement, licence, or restriction on use was found for the SUS in any source reviewed. It is a short academic research scale that has been freely reprinted in full within multiple peer-reviewed, open-access journal articles without any stated permission requirement; practitioners typically cite Govindji and Linley (2007) as the source when using it. This should not be taken as a formal confirmation of public-domain status, only as the licensing position actually found.</t>
        </is>
      </c>
      <c r="Z6" s="27" t="inlineStr">
        <is>
          <t>https://www.frontiersin.org/journals/psychology/articles/10.3389/fpsyg.2023.1086510/full</t>
        </is>
      </c>
    </row>
    <row r="7" ht="169.5" customHeight="1" s="17">
      <c r="A7" s="26" t="inlineStr">
        <is>
          <t>SSES</t>
        </is>
      </c>
      <c r="B7" s="27" t="inlineStr">
        <is>
          <t>Strengths Self-Efficacy Scale</t>
        </is>
      </c>
      <c r="C7" s="27" t="inlineStr">
        <is>
          <t>2. Strengths knowledge, use and support at work</t>
        </is>
      </c>
      <c r="D7" s="27" t="inlineStr">
        <is>
          <t>Free / open access</t>
        </is>
      </c>
      <c r="E7" s="28" t="n">
        <v>11</v>
      </c>
      <c r="F7" s="28">
        <f>COUNTIF('Master Item List'!$A:$A,$A7)</f>
        <v/>
      </c>
      <c r="G7" s="27" t="inlineStr">
        <is>
          <t>Perceived self-efficacy (confidence) in one's ability to identify, apply and use one's personal strengths across everyday situations, at work or study, and in pursuit of goals.</t>
        </is>
      </c>
      <c r="H7" s="27" t="inlineStr">
        <is>
          <t>Self-report</t>
        </is>
      </c>
      <c r="I7" s="27" t="inlineStr">
        <is>
          <t>Adults; validated with U.S. college students and working adults, applicable to late-secondary and university-age coaching clients</t>
        </is>
      </c>
      <c r="J7" s="27" t="inlineStr">
        <is>
          <t>3-5 minutes</t>
        </is>
      </c>
      <c r="K7" s="27" t="inlineStr">
        <is>
          <t>The SSES is free to use for practice and research; the full 11-item form (with its instructions, five-signature-strengths preamble, and 10-point response scale) is published as an open-access downloadable PDF by PositivePsychology.com, and the same item wording is corroborated by an independent academic reproduction. No licence fee or formal permission is required, though practitioners should cite Tsai, Chaichanasakul, Zhao, Flores and Lopez (2014) as the scale's developers. The original peer-reviewed validation article is behind a SAGE subscription paywall (Journal of Career Assessment).</t>
        </is>
      </c>
      <c r="L7" s="27" t="inlineStr">
        <is>
          <t>The SSES is a good fit for strengths-based career and academic coaching because it measures confidence in actually applying strengths, which is the practical skill most coaching aims to build, and it can be re-administered after a coaching block to check whether a client's confidence in using their strengths has shifted. Because it asks respondents to first name their own five signature strengths, it works well paired with a prior strengths-identification step (VIA, Realise2, or the SKS/SUS above). Its limit is that it measures perceived confidence rather than actual competent strengths use, so a client can score highly while still using strengths in an unhelpful or overextended way, and low scores need follow-up to distinguish a genuine skills gap from low self-belief alone.</t>
        </is>
      </c>
      <c r="M7" s="27" t="inlineStr">
        <is>
          <t>The SSES was developed by Tsai, Chaichanasakul, Zhao, Flores and Lopez (2014) to give career counsellors, educators and researchers a brief measure of an individual's confidence in their ability to build on and apply their personal strengths in daily life, extending Bandura's self-efficacy framework to the strengths domain.</t>
        </is>
      </c>
      <c r="N7" s="27" t="inlineStr">
        <is>
          <t>First, please list your 5 signature strengths below: [space for 5 strengths]. How confident are you in your ability to ....</t>
        </is>
      </c>
      <c r="O7" s="27" t="inlineStr">
        <is>
          <t>Not confident at all = 1 | 2 = 2 | 3 = 3 | 4 = 4 | Moderately confident = 5 | 6 = 6 | 7 = 7 | 8 = 8 | 9 = 9 | Extremely confident = 10</t>
        </is>
      </c>
      <c r="P7" s="27" t="inlineStr">
        <is>
          <t>None</t>
        </is>
      </c>
      <c r="Q7" s="27" t="inlineStr">
        <is>
          <t>None</t>
        </is>
      </c>
      <c r="R7" s="27" t="inlineStr">
        <is>
          <t>Strengths Self-Efficacy (total scale) (items 1-11; n=11; range 11-110)</t>
        </is>
      </c>
      <c r="S7" s="27" t="inlineStr">
        <is>
          <t>Sum the 11 item scores for a total (range 11-110); a weighted/mean score can also be calculated by dividing the total by 11. Higher scores indicate greater confidence in using one's strengths. No items are reverse-scored.</t>
        </is>
      </c>
      <c r="T7" s="27" t="inlineStr">
        <is>
          <t>Not stated on source</t>
        </is>
      </c>
      <c r="U7" s="27" t="inlineStr">
        <is>
          <t>No clinical or normative cut-off scores have been published for the SSES. It is intended as a continuous measure for research and for tracking an individual's own change over time, not for categorical classification.</t>
        </is>
      </c>
      <c r="V7" s="27" t="inlineStr">
        <is>
          <t>No published normative tables were located. The original validation samples were U.S. adults: 275 in the exploratory factor analysis phase, 302 in the confirmatory phase, and 36 in a 3-week test-retest reliability subsample.</t>
        </is>
      </c>
      <c r="W7" s="27" t="inlineStr">
        <is>
          <t>In the original validation (Tsai et al., 2014), exploratory factor analysis on the first adult sample (n = 275) supported a single general strengths-self-efficacy factor with internal consistency of alpha = .96; confirmatory factor analysis on a second sample (n = 302) confirmed the one-factor structure with alpha = .95. A 3-week test-retest reliability check (n = 36) showed stable scores over time. Validity evidence included moderate positive correlations with self-esteem and life satisfaction, and a weak relationship with social desirability, supporting discriminant validity from mere impression management.</t>
        </is>
      </c>
      <c r="X7" s="27" t="inlineStr">
        <is>
          <t>Tsai, C.-L., Chaichanasakul, A., Zhao, R., Flores, L. Y., &amp; Lopez, S. J. (2014). Development and validation of the Strengths Self-Efficacy Scale (SSES). Journal of Career Assessment, 22(2), 221-232. https://doi.org/10.1177/1069072713493761</t>
        </is>
      </c>
      <c r="Y7" s="27" t="inlineStr">
        <is>
          <t>No explicit copyright restriction or paid-licence requirement was found; PositivePsychology.com distributes the full instrument as a free downloadable PDF for practitioner use, and an independent academic reproduction (academia.edu) carries identical item wording, both without a stated permissions requirement beyond citing the original authors. The peer-reviewed source article remains behind a SAGE subscription paywall. This reflects the licensing position actually found, not a confirmed public-domain status.</t>
        </is>
      </c>
      <c r="Z7" s="27" t="inlineStr">
        <is>
          <t>https://positivepsychology.com/wp-content/uploads/The-Strengths-Self-efficacy-Scale.pdf</t>
        </is>
      </c>
    </row>
    <row r="8" ht="169.5" customHeight="1" s="17">
      <c r="A8" s="26" t="inlineStr">
        <is>
          <t>CSES</t>
        </is>
      </c>
      <c r="B8" s="27" t="inlineStr">
        <is>
          <t>Core Self-Evaluations Scale</t>
        </is>
      </c>
      <c r="C8" s="27" t="inlineStr">
        <is>
          <t>3. Adjacent occupational and wellbeing</t>
        </is>
      </c>
      <c r="D8" s="27" t="inlineStr">
        <is>
          <t>Free / open access</t>
        </is>
      </c>
      <c r="E8" s="28" t="n">
        <v>12</v>
      </c>
      <c r="F8" s="28">
        <f>COUNTIF('Master Item List'!$A:$A,$A8)</f>
        <v/>
      </c>
      <c r="G8" s="27" t="inlineStr">
        <is>
          <t>Core self-evaluations: a broad, fundamental positive self-appraisal trait combining self-esteem, generalised self-efficacy, internal locus of control and low neuroticism (emotional stability).</t>
        </is>
      </c>
      <c r="H8" s="27" t="inlineStr">
        <is>
          <t>Self-report</t>
        </is>
      </c>
      <c r="I8" s="27" t="inlineStr">
        <is>
          <t>Working adults (Samples 1-2 of the original validation); also validated with university undergraduates (Samples 3-4). Suitable for university-age and early-career coaching clients.</t>
        </is>
      </c>
      <c r="J8" s="27" t="inlineStr">
        <is>
          <t>2-3 minutes</t>
        </is>
      </c>
      <c r="K8" s="27" t="inlineStr">
        <is>
          <t>The scale is explicitly stated by the developers to be non-proprietary and free to use without permission. The full 12-item scale, with response format and scoring key, is reproduced in an open PDF of the original SIOP conference/journal materials.</t>
        </is>
      </c>
      <c r="L8" s="27" t="inlineStr">
        <is>
          <t>The CSES is useful as a brief baseline measure of a student or early-career client's general positive self-appraisal (self-esteem, self-efficacy, sense of control) at the start of a coaching relationship, and can flag when low scores on 'control' or 'competence' items point to executive-function or confidence work rather than a skills gap. It is not a strengths-identification tool and should not be presented to a client as diagnostic; its brevity and free licence make it practical for repeat use, but coaches should be alert that several reverse-scored items touch on depressed mood and hopelessness, which needs sensitive framing with any client where wellbeing is a live concern.</t>
        </is>
      </c>
      <c r="M8" s="27" t="inlineStr">
        <is>
          <t>Judge, Erez, Bono and Thoresen developed the CSES to provide a direct, parsimonious measure of core self-evaluations, a higher-order trait they argued underlies self-esteem, generalised self-efficacy, locus of control and neuroticism, and which predicts job and life satisfaction and job performance.</t>
        </is>
      </c>
      <c r="N8" s="27" t="inlineStr">
        <is>
          <t>Not retrieved verbatim from a fetched source; the CSES PDF reproduces the item table and response scale but the source fetched did not include a printed respondent-facing preamble/instruction sentence.</t>
        </is>
      </c>
      <c r="O8" s="27" t="inlineStr">
        <is>
          <t>Strongly Disagree = 1 | Disagree = 2 | Neutral = 3 | Agree = 4 | Strongly Agree = 5</t>
        </is>
      </c>
      <c r="P8" s="27" t="inlineStr">
        <is>
          <t>2, 4, 6, 8, 10, 12</t>
        </is>
      </c>
      <c r="Q8" s="27" t="inlineStr">
        <is>
          <t>None</t>
        </is>
      </c>
      <c r="R8" s="27" t="inlineStr">
        <is>
          <t>Core Self-Evaluations (total scale, unidimensional) (items 1-12; n=12; range 12-60)</t>
        </is>
      </c>
      <c r="S8" s="27" t="inlineStr">
        <is>
          <t>Reverse-score items 2, 4, 6, 8, 10 and 12 (6 minus the raw response on the 1-5 scale), then sum or average all 12 items. Higher scores indicate more positive core self-evaluations.</t>
        </is>
      </c>
      <c r="T8" s="27" t="inlineStr">
        <is>
          <t>Not stated on source</t>
        </is>
      </c>
      <c r="U8" s="27" t="inlineStr">
        <is>
          <t>No published clinical or normative cut-off scores; intended as a continuous individual-differences measure for research and comparison, not categorical classification.</t>
        </is>
      </c>
      <c r="V8" s="27" t="inlineStr">
        <is>
          <t>No population percentile norm tables were retrieved. Original validation means/SDs by sample were not reproduced in the source fetched; sample sizes and composition were: Sample 1, N = 280, US food-service company employees (roles from truck driver to manager); Sample 2, N = 175, pharmaceutical sales representatives, mean age 42.1; Sample 3, N = 265 (T1) and 205 (T2), undergraduates; Sample 4, N = 126, undergraduates.</t>
        </is>
      </c>
      <c r="W8" s="27" t="inlineStr">
        <is>
          <t>Internal consistency (Cronbach's alpha): Sample 1 = .85; Sample 2 = .83; Sample 3 T1 = .85, T2 = .87; Sample 4 (self-report) = .83, (other-report) = .81. Test-retest reliability over one month (Sample 3) = .81. Inter-rater (self/significant-other) agreement ICC = .43. Convergent validity (corrected correlations): self-esteem .80-.92, generalised self-efficacy .78-.90, neuroticism -.67 to -.84, locus of control .41-.62. Criterion validity (corrected correlations): job satisfaction .49-.59, job performance .26-.27, life satisfaction .53-.66. (Judge, Erez, Bono &amp; Thoresen, 2003, Table 4.)</t>
        </is>
      </c>
      <c r="X8" s="27" t="inlineStr">
        <is>
          <t>Judge, T. A., Erez, A., Bono, J. E., &amp; Thoresen, C. J. (2003). The Core Self-Evaluations Scale: Development of a measure. Personnel Psychology, 56(2), 303-331. https://doi.org/10.1111/j.1744-6570.2003.tb00152.x</t>
        </is>
      </c>
      <c r="Y8" s="27" t="inlineStr">
        <is>
          <t>"This measure is non-proprietary (free) and may be used without permission," as stated in the source fetched.</t>
        </is>
      </c>
      <c r="Z8" s="27" t="inlineStr">
        <is>
          <t>http://ionilies.com/SIOP03/Files/CSES.pdf</t>
        </is>
      </c>
    </row>
    <row r="9" ht="169.5" customHeight="1" s="17">
      <c r="A9" s="26" t="inlineStr">
        <is>
          <t>PES</t>
        </is>
      </c>
      <c r="B9" s="27" t="inlineStr">
        <is>
          <t>Psychological Empowerment Scale</t>
        </is>
      </c>
      <c r="C9" s="27" t="inlineStr">
        <is>
          <t>3. Adjacent occupational and wellbeing</t>
        </is>
      </c>
      <c r="D9" s="27" t="inlineStr">
        <is>
          <t>Free / open access</t>
        </is>
      </c>
      <c r="E9" s="28" t="n">
        <v>12</v>
      </c>
      <c r="F9" s="28">
        <f>COUNTIF('Master Item List'!$A:$A,$A9)</f>
        <v/>
      </c>
      <c r="G9" s="27" t="inlineStr">
        <is>
          <t>Psychological empowerment at work, a motivational construct with four cognitive dimensions: meaning, competence, self-determination and impact.</t>
        </is>
      </c>
      <c r="H9" s="27" t="inlineStr">
        <is>
          <t>Self-report, employed adults</t>
        </is>
      </c>
      <c r="I9" s="27" t="inlineStr">
        <is>
          <t>Working adults; original validation used middle managers and industrial-firm employees. Applicable to early-career and internship-stage clients holding a defined work role.</t>
        </is>
      </c>
      <c r="J9" s="27" t="inlineStr">
        <is>
          <t>3-5 minutes</t>
        </is>
      </c>
      <c r="K9" s="27" t="inlineStr">
        <is>
          <t>The instrument is hosted freely by the developer, Gretchen Spreitzer, on her own university web page for research and practice use, with no stated fee or formal permission process.</t>
        </is>
      </c>
      <c r="L9" s="27" t="inlineStr">
        <is>
          <t>This scale works well in coaching to make explicit which of the four empowerment dimensions (meaning, competence, self-determination, impact) is weakest for a client in a job, internship or leadership role, giving a concrete focus for goal-setting. It is designed for someone already in a defined work role with a 'department' or team, so it fits early-career and placement clients better than full-time students without paid work, and it measures a felt cognitive state rather than actual job conditions, so a low score should prompt exploration of both the client's perception and the realities of their role rather than being taken as a fixed trait.</t>
        </is>
      </c>
      <c r="M9" s="27" t="inlineStr">
        <is>
          <t>Spreitzer (1995) developed this scale to operationalise and measure psychological empowerment as a multidimensional motivational construct in the workplace, validating it as an antecedent of managerial effectiveness and innovation.</t>
        </is>
      </c>
      <c r="N9" s="27" t="inlineStr">
        <is>
          <t>Listed below are a number of self-orientations that people may have with regard to their work role. Using the following scale, please indicate the extent to which you agree or disagree that each one describes your self-orientation.</t>
        </is>
      </c>
      <c r="O9" s="27" t="inlineStr">
        <is>
          <t>Very Strongly Disagree = 1 | Strongly Disagree = 2 | Disagree = 3 | Neutral = 4 | Agree = 5 | Strongly Agree = 6 | Very Strongly Agree = 7</t>
        </is>
      </c>
      <c r="P9" s="27" t="inlineStr">
        <is>
          <t>None</t>
        </is>
      </c>
      <c r="Q9" s="27" t="inlineStr">
        <is>
          <t>None</t>
        </is>
      </c>
      <c r="R9" s="27" t="inlineStr">
        <is>
          <t>Meaning (items 1-3; n=3; range 3-21 (mean 1-7))
Competence (items 4-6; n=3; range 3-21 (mean 1-7))
Self-Determination (items 7-9; n=3; range 3-21 (mean 1-7))
Impact (items 10-12; n=3; range 3-21 (mean 1-7))</t>
        </is>
      </c>
      <c r="S9" s="27" t="inlineStr">
        <is>
          <t>Each subscale is scored as the mean of its 3 items (range 1-7). An overall empowerment score can be computed as the mean of the four subscale means, as the source document itself instructs: "You may use the subdimensions individually (taking the mean of the 3 items measuring one dimension) or take the mean of the 4 subdimension means to create an overall empowerment score."</t>
        </is>
      </c>
      <c r="T9" s="27" t="inlineStr">
        <is>
          <t>Not stated on source</t>
        </is>
      </c>
      <c r="U9" s="27" t="inlineStr">
        <is>
          <t>No published clinical or normative cut-off scores; intended as a continuous research and diagnostic measure, not categorical classification.</t>
        </is>
      </c>
      <c r="V9" s="27" t="inlineStr">
        <is>
          <t>No specific normative table (means/SDs) was retrieved. The instrument page states the scale has been "used successfully in more than 50 different studies" since the original 1995 validation, which used two working-adult field samples (insurance-company middle managers and a Fortune 50 industrial firm), with typical test-retest reliability and validity coefficients around .80 across studies.</t>
        </is>
      </c>
      <c r="W9" s="27" t="inlineStr">
        <is>
          <t>Test-retest reliability described on the source page as "strong," with validity estimates for the four dimensions "typically around .80" across the more than 50 studies that have used the scale. Exact original-validation alpha coefficients per subscale were not reproduced on the instrument page fetched.</t>
        </is>
      </c>
      <c r="X9" s="27" t="inlineStr">
        <is>
          <t>Spreitzer, G. M. (1995). Psychological empowerment in the workplace: Dimensions, measurement, and validation. Academy of Management Journal, 38(5), 1442-1465. https://doi.org/10.2307/256865</t>
        </is>
      </c>
      <c r="Y9" s="27" t="inlineStr">
        <is>
          <t>Hosted freely by the author for research and practice use; no explicit restriction or fee is stated on the page.</t>
        </is>
      </c>
      <c r="Z9" s="27" t="inlineStr">
        <is>
          <t>https://webuser.bus.umich.edu/spreitze/Pdfs/EmpowerInstrument.pdf</t>
        </is>
      </c>
    </row>
    <row r="10" ht="169.5" customHeight="1" s="17">
      <c r="A10" s="26" t="inlineStr">
        <is>
          <t>DASS-21</t>
        </is>
      </c>
      <c r="B10" s="27" t="inlineStr">
        <is>
          <t>Depression Anxiety Stress Scales, 21 item version (DASS-21)</t>
        </is>
      </c>
      <c r="C10" s="27" t="inlineStr">
        <is>
          <t>4. Psychological distress screening</t>
        </is>
      </c>
      <c r="D10" s="27" t="inlineStr">
        <is>
          <t>Free / open access</t>
        </is>
      </c>
      <c r="E10" s="28" t="n">
        <v>21</v>
      </c>
      <c r="F10" s="28">
        <f>COUNTIF('Master Item List'!$A:$A,$A10)</f>
        <v/>
      </c>
      <c r="G10" s="27" t="inlineStr">
        <is>
          <t>Three related negative emotional states over the past week: depression (dysphoria, hopelessness, devaluation of life, self deprecation, lack of interest or involvement, anhedonia, inertia), anxiety (autonomic arousal, skeletal muscle effects, situational anxiety, subjective experience of anxious affect) and stress (difficulty relaxing, nervous arousal, being easily upset or agitated, irritable or over reactive, impatient). Built on a dimensional rather than a categorical model of distress.</t>
        </is>
      </c>
      <c r="H10" s="27" t="inlineStr">
        <is>
          <t>Self-report</t>
        </is>
      </c>
      <c r="I10" s="27" t="inlineStr">
        <is>
          <t>17+ (NovoPsych); adults and older adolescents</t>
        </is>
      </c>
      <c r="J10" s="27" t="inlineStr">
        <is>
          <t>4 minutes</t>
        </is>
      </c>
      <c r="K10" s="27" t="inlineStr">
        <is>
          <t>Public domain. The University of New South Wales DASS site states that the DASS questionnaire is in the public domain and may be downloaded from the site without charge. The form, scoring template and translations are free; only the printed manual is sold (AUD 55). NovoPsych also hosts the DASS-21 with automated scoring and reports for account holders. Charlotte Price Consulting administers it through a Tally form and scores it with the practice DASS-21 report builder.</t>
        </is>
      </c>
      <c r="L10" s="27" t="inlineStr">
        <is>
          <t>A brief screening measure to establish whether a client's current distress sits within the range coaching can safely hold, or whether a general practitioner or registered mental health practitioner should be involved before or alongside coaching. Scores describe the past week only, so a repeat administration is needed to separate a difficult week from a developing pattern. It is not a diagnostic instrument and does not assess suicide risk; items 10, 17 and 21 are followed up directly when endorsed at 2 or 3, as the practice report builder does.</t>
        </is>
      </c>
      <c r="M10" s="27" t="inlineStr">
        <is>
          <t>The DASS was developed by Lovibond and Lovibond (1995) to measure the three related negative emotional states of depression, anxiety and stress, and to discriminate between them as fully as possible. The 21 item short form takes 7 items from each of the three 14 item scales of the full DASS-42. It is used across clinical, research and non clinical settings to describe current symptom severity and to track change over time, rather than to assign diagnostic categories.</t>
        </is>
      </c>
      <c r="N10" s="27" t="inlineStr">
        <is>
          <t>Please read each statement and circle a number 0, 1, 2 or 3 which indicates how much the statement applied to you over the past week. There are no right or wrong answers. Do not spend too much time on any statement.</t>
        </is>
      </c>
      <c r="O10" s="27" t="inlineStr">
        <is>
          <t>Did not apply to me at all = 0 | Applied to me to some degree, or some of the time = 1 | Applied to me to a considerable degree, or a good part of time = 2 | Applied to me very much, or most of the time = 3</t>
        </is>
      </c>
      <c r="P10" s="27" t="inlineStr">
        <is>
          <t>None</t>
        </is>
      </c>
      <c r="Q10" s="27" t="inlineStr">
        <is>
          <t>None</t>
        </is>
      </c>
      <c r="R10" s="27" t="inlineStr">
        <is>
          <t>Depression (items 3, 5, 10, 13, 16-17, 21; n=7; range 0-21 raw; 0-42 after doubling)
Anxiety (items 2, 4, 7, 9, 15, 19-20; n=7; range 0-21 raw; 0-42 after doubling)
Stress (items 1, 6, 8, 11-12, 14, 18; n=7; range 0-21 raw; 0-42 after doubling)</t>
        </is>
      </c>
      <c r="S10" s="27" t="inlineStr">
        <is>
          <t>Each item is rated 0 to 3 for the past week. The 7 items of each subscale are summed (raw range 0 to 21) and the sum is multiplied by 2, placing each subscale on the same 0 to 42 range as the full DASS-42 so that the published severity labels can be applied. No items are reverse scored. A total distress score (sum of all 21 items, doubled) is sometimes reported but the three subscales are the primary outputs.</t>
        </is>
      </c>
      <c r="T10" s="27" t="inlineStr">
        <is>
          <t>Depression - Normal: 0-9 - Within the normal range for the general adult population.
Depression - Mild: 10-13 - Above the population mean; conventionally labelled mild.
Depression - Moderate: 14-20 - Clearly above the normal range; duration is the key clinical question.
Depression - Severe: 21-27 - Well above the normal range; clinical involvement is indicated.
Depression - Extremely severe: 28-42 - Highest severity band; clinical contact is the first step.
Anxiety - Normal: 0-7 - Within the normal range.
Anxiety - Mild: 8-9 - Above the population mean.
Anxiety - Moderate: 10-14 - Clearly above the normal range.
Anxiety - Severe: 15-19 - Well above the normal range; general practitioner review is also useful because several items are physical symptoms.
Anxiety - Extremely severe: 20-42 - Highest severity band.
Stress - Normal: 0-14 - Within the normal range.
Stress - Mild: 15-18 - Above the population mean.
Stress - Moderate: 19-25 - Clearly above the normal range; most responsive of the three to workload and structure.
Stress - Severe: 26-33 - Well above the normal range; sustained arousal at this level commonly precedes exhaustion.
Stress - Extremely severe: 34-42 - Highest severity band.</t>
        </is>
      </c>
      <c r="U10" s="27" t="inlineStr">
        <is>
          <t>Severity labels (Lovibond &amp; Lovibond, 1995) applied to the doubled subscale score. Depression: Normal 0-9, Mild 10-13, Moderate 14-20, Severe 21-27, Extremely severe 28+. Anxiety: Normal 0-7, Mild 8-9, Moderate 10-14, Severe 15-19, Extremely severe 20+. Stress: Normal 0-14, Mild 15-18, Moderate 19-25, Severe 26-33, Extremely severe 34+. These are conventional descriptors of position relative to the population distribution (Normal to approximately the 78th percentile, Mild 78th to 87th, Moderate 87th to 95th, Severe 95th to 98th, Extremely severe 98th and above), not diagnostic thresholds. The DASS-21 contains no item on suicidal thinking and does not assess risk.</t>
        </is>
      </c>
      <c r="V10" s="27" t="inlineStr">
        <is>
          <t>Henry and Crawford (2005): non clinical UK adult sample, n = 1,794, provided normative data for the DASS-21 and supported use of the three subscales plus a general distress factor. Antony et al. (1998): clinical groups and a community sample comparing the 42 and 21 item versions. The severity labels derive from the Australian normative work reported in the Lovibond and Lovibond (1995) manual.</t>
        </is>
      </c>
      <c r="W10" s="27" t="inlineStr">
        <is>
          <t>Internal consistency in the Henry and Crawford (2005) non clinical sample of 1,794 adults: Depression alpha = .88, Anxiety alpha = .82, Stress alpha = .90, total scale alpha = .93. Confirmatory factor analysis supported a quadripartite structure: three correlated specific factors plus a general negative affectivity factor. Antony et al. (1998) found the DASS-21 subscales reproduced the three factor structure of the full DASS in clinical and community samples, with alphas of .94 (Depression), .87 (Anxiety) and .91 (Stress), and the 21 item version showed a cleaner factor structure than the 42 item version. Brown et al. (1997) supported the three factor structure and discriminant validity in clinical samples.</t>
        </is>
      </c>
      <c r="X10" s="27" t="inlineStr">
        <is>
          <t>Lovibond, S. H., &amp; Lovibond, P. F. (1995). Manual for the Depression Anxiety Stress Scales (2nd ed.). Sydney: Psychology Foundation of Australia.</t>
        </is>
      </c>
      <c r="Y10" s="27" t="inlineStr">
        <is>
          <t>Public domain. The developers state on the official UNSW DASS site that the questionnaire is in the public domain and may be downloaded and used freely; the printed manual is the only priced item. Items reproduced here verbatim from the official DASS-21 form PDF.</t>
        </is>
      </c>
      <c r="Z10" s="27" t="inlineStr">
        <is>
          <t>https://www2.psy.unsw.edu.au/dass/</t>
        </is>
      </c>
    </row>
    <row r="11" ht="169.5" customHeight="1" s="17">
      <c r="A11" s="26" t="inlineStr">
        <is>
          <t>PTQ</t>
        </is>
      </c>
      <c r="B11" s="27" t="inlineStr">
        <is>
          <t>Perseverative Thinking Questionnaire</t>
        </is>
      </c>
      <c r="C11" s="27" t="inlineStr">
        <is>
          <t>5. Repetitive negative thinking and self talk</t>
        </is>
      </c>
      <c r="D11" s="27" t="inlineStr">
        <is>
          <t>Free / open access</t>
        </is>
      </c>
      <c r="E11" s="28" t="n">
        <v>15</v>
      </c>
      <c r="F11" s="28">
        <f>COUNTIF('Master Item List'!$A:$A,$A11)</f>
        <v/>
      </c>
      <c r="G11" s="27" t="inlineStr">
        <is>
          <t>Repetitive negative thinking (RNT), measured as a content-independent process (applies equally to worry, rumination, or any other form of repetitive negative thought about problems), rather than a specific symptom or diagnostic construct.</t>
        </is>
      </c>
      <c r="H11" s="27" t="inlineStr">
        <is>
          <t>Adult self-report</t>
        </is>
      </c>
      <c r="I11" s="27" t="inlineStr">
        <is>
          <t>Not stated in the source article. Validation samples were adult (internet, non-clinical, clinical, and English-language) populations; no minimum/maximum age is specified in the text retrieved.</t>
        </is>
      </c>
      <c r="J11" s="27" t="inlineStr">
        <is>
          <t>Not stated in the source. A brief 15-item self-report measure, typically completed in a few minutes.</t>
        </is>
      </c>
      <c r="K11" s="27" t="inlineStr">
        <is>
          <t>No formal licensing or fee-for-use process was found. The hosted PDF (via OxCADAT Resources, a University of Oxford-affiliated trauma/CBT resource site) carries the standard journal notice "© 2010 Elsevier Ltd. All rights reserved." from Journal of Behavior Therapy and Experimental Psychiatry. No explicit blanket grant for commercial or paid-coaching administration was found in the source, but equally no restriction on non-research/practitioner use was stated; the measure is very widely reproduced in open clinical and training materials without visible enforcement. For a paid coaching practice, treat as reasonably low-risk to administer informally with citation, but not as a confirmed formal commercial licence. Licensing note: Free / open access, with a standard journal copyright notice</t>
        </is>
      </c>
      <c r="L11" s="27" t="inlineStr">
        <is>
          <t>The PTQ is useful in coaching as a transdiagnostic check on whether a student or early-career client is getting cognitively "stuck" in repetitive negative thinking about study, performance or career worries, independent of the topic they are ruminating on. Its brevity and content-neutral wording make it easy to reuse across sessions to track whether coaching strategies are reducing the repetitive, unproductive quality of the thinking rather than the topic itself. It is a process measure, not a diagnostic or symptom-severity tool, so elevated scores should prompt a coaching conversation about thinking patterns rather than a clinical judgement, and persistent high scores alongside distress should prompt referral consideration.</t>
        </is>
      </c>
      <c r="M11" s="27" t="inlineStr">
        <is>
          <t>The PTQ was developed to measure repetitive negative thinking (RNT) as a content-independent process common to worry, rumination and related forms of perseverative thought, rather than measuring a specific content domain (e.g. depressive rumination or anxious worry). It captures three lower-order aspects of RNT: its core repetitive/intrusive characteristics, its perceived unproductiveness, and the degree to which it captures mental capacity. It was designed to be usable across clinical and research contexts where a single content-independent RNT measure is needed.</t>
        </is>
      </c>
      <c r="N11" s="27" t="inlineStr">
        <is>
          <t>In this questionnaire, you will be asked to describe how you typically think about negative experiences or problems. Please read the following statements and rate the extent to which they apply to you when you think about negative experiences or problems.</t>
        </is>
      </c>
      <c r="O11" s="27" t="inlineStr">
        <is>
          <t>never = 0 | rarely = 1 | sometimes = 2 | often = 3 | almost always = 4</t>
        </is>
      </c>
      <c r="P11" s="27" t="inlineStr">
        <is>
          <t>None</t>
        </is>
      </c>
      <c r="Q11" s="27" t="inlineStr">
        <is>
          <t>None</t>
        </is>
      </c>
      <c r="R11" s="27" t="inlineStr">
        <is>
          <t>Core Characteristics of Repetitive Negative Thinking (items 1-3, 6-8, 11-13; n=9; range 0-36)
Unproductiveness (items 4, 9, 14; n=3; range 0-12)
Capturing Mental Capacity (items 5, 10, 15; n=3; range 0-12)</t>
        </is>
      </c>
      <c r="S11" s="27" t="inlineStr">
        <is>
          <t>Total PTQ score is the sum of all 15 items (range 0-60), computed as recommended in the source article. Each of the three subscale scores is the sum of its own items (each subscale range 0-36 for Core Characteristics, 0-12 for the other two).</t>
        </is>
      </c>
      <c r="T11" s="27" t="inlineStr">
        <is>
          <t>Not stated on source</t>
        </is>
      </c>
      <c r="U11" s="27" t="inlineStr">
        <is>
          <t>No clinical cutoff scores or interpretive bands were reported in the source article that was fetched.</t>
        </is>
      </c>
      <c r="V11" s="27" t="inlineStr">
        <is>
          <t>No published normative means/SDs by population were reported in the source article beyond describing four validation samples: an internet sample, a German non-clinical sample, a German clinical sample, and an English-language sample, totalling N = 1,832 across Study 1 and Study 2. Exact per-sample means/SDs were not extractable from the fetched text.</t>
        </is>
      </c>
      <c r="W11" s="27" t="inlineStr">
        <is>
          <t>Internal consistency: Cronbach's alpha = .95 (Study 1, internet sample), .94 (Study 1, non-clinical sample), .95 (Study 1, clinical sample), .95 (Study 2, English-language sample). Test-retest reliability over a 4-week interval: r = .69, p &lt; .001 (n = 186). (Ehring et al., 2011.)</t>
        </is>
      </c>
      <c r="X11" s="27" t="inlineStr">
        <is>
          <t>Ehring, T., Zetsche, U., Weidacker, K., Wahl, K., Schönfeld, S., &amp; Ehlers, A. (2011). The Perseverative Thinking Questionnaire (PTQ): Validation of a content-independent measure of repetitive negative thinking. Journal of Behavior Therapy and Experimental Psychiatry, 42(2), 225–232. https://doi.org/10.1016/j.jbtep.2010.12.003</t>
        </is>
      </c>
      <c r="Y11" s="27" t="inlineStr">
        <is>
          <t>© 2010 Elsevier Ltd. All rights reserved. (Copyright notice appears on the hosted article/PDF; no separate explicit permission statement for reproduction, non-commercial use, or commercial/coaching administration was found in the fetched source.)</t>
        </is>
      </c>
      <c r="Z11" s="27" t="inlineStr">
        <is>
          <t>https://oxcadatresources.com/wp-content/uploads/2020/09/EhringetalRuminationQuestionnaire.2011.pdf</t>
        </is>
      </c>
    </row>
    <row r="12" ht="169.5" customHeight="1" s="17">
      <c r="A12" s="26" t="inlineStr">
        <is>
          <t>RRS</t>
        </is>
      </c>
      <c r="B12" s="27" t="inlineStr">
        <is>
          <t>Ruminative Responses Scale</t>
        </is>
      </c>
      <c r="C12" s="27" t="inlineStr">
        <is>
          <t>5. Repetitive negative thinking and self talk</t>
        </is>
      </c>
      <c r="D12" s="27" t="inlineStr">
        <is>
          <t>Free / open access</t>
        </is>
      </c>
      <c r="E12" s="28" t="n">
        <v>22</v>
      </c>
      <c r="F12" s="28">
        <f>COUNTIF('Master Item List'!$A:$A,$A12)</f>
        <v/>
      </c>
      <c r="G12" s="27" t="inlineStr">
        <is>
          <t>Trait rumination in response to low mood: the tendency to repetitively focus attention on the symptoms and possible causes/consequences of one's depressed mood. The Treynor et al. (2003) refinement splits this into a passive, self-critical/moody-pondering component (Brooding) and a more deliberate, analytic component (Reflection), leaving 12 items that overlap with depressive symptoms unscored in either subscale.</t>
        </is>
      </c>
      <c r="H12" s="27" t="inlineStr">
        <is>
          <t>Adult self-report</t>
        </is>
      </c>
      <c r="I12" s="27" t="inlineStr">
        <is>
          <t>NovoPsych lists 18 years and older. The original Nolen-Hoeksema &amp; Morrow (1991) and Treynor et al. (2003) sources do not themselves state an age range in the text retrieved.</t>
        </is>
      </c>
      <c r="J12" s="27" t="inlineStr">
        <is>
          <t>Approximately 2 minutes (per NovoPsych).</t>
        </is>
      </c>
      <c r="K12" s="27" t="inlineStr">
        <is>
          <t>The 22 items and simple summed scoring are freely available from the developer-hosted PDFs (Susan Nolen-Hoeksema's own item sheet, and the Treynor et al. subscale-mapping paper), with no explicit copyright or commercial-use restriction stated on either document. NovoPsych also hosts the RRS with automated scoring, but its scoring/psychometrics detail is gated behind NovoPsych's paid professional-access platform (app.novopsych.com registration required); this session could not retrieve NovoPsych's own cutoff, norm or psychometric text for the RRS specifically (its RRS page did not expose that content, and no NovoPsych-hosted RRS blank-form or sample-results PDF could be located). For manual/paper administration in coaching, the items may be used and hand-scored directly from the developer sources with citation; for automated scoring, reporting and any NovoPsych-specific norms, a NovoPsych subscription would be required. Licensing note: Free / open access for the item content and scoring algorithm (no restriction found in the developer sources); full scoring, norms and psychometrics on the NovoPsych platform sit behind NovoPsych's professional/paid clinician access.</t>
        </is>
      </c>
      <c r="L12" s="27" t="inlineStr">
        <is>
          <t>The RRS, and the Brooding subscale in particular, is well suited to coaching conversations with students and early-career clients about unhelpful dwelling on setbacks (e.g. "why can't I handle things better") versus more adaptive, problem-focused reflection. Distinguishing Brooding from Reflection lets Charlotte target the maladaptive pattern directly (as a coaching focus) while validating that some analytic self-reflection is normal and can be constructive. Because 12 of the 22 items closely track depressive symptoms rather than rumination style, the total 22-item score should be interpreted cautiously in a non-clinical coaching context and the Brooding/Reflection subscales are generally the more directly actionable pickup.</t>
        </is>
      </c>
      <c r="M12" s="27" t="inlineStr">
        <is>
          <t>The RRS was originally developed by Nolen-Hoeksema and Morrow (1991) to assess ruminative responses to depressed mood as part of the Response Styles Questionnaire. Treynor, Gonzalez and Nolen-Hoeksema (2003) later re-analysed the scale and identified two "pure" 5-item subscales within it, Brooding (passive, self-critical comparison of one's current state to an unachieved standard) and Reflection (deliberate, analytic turning inward to understand one's low mood), while the remaining 12 items were found to overlap substantially with depressive symptoms themselves and are not used in either subscale score.</t>
        </is>
      </c>
      <c r="N12" s="27" t="inlineStr">
        <is>
          <t>Please read each of the items below and indicate whether you almost never, sometimes, often, or almost always think or do each one when you feel down, sad, or depressed. Please indicate what you generally do, not what you think you should do.</t>
        </is>
      </c>
      <c r="O12" s="27" t="inlineStr">
        <is>
          <t>almost never = 1 | sometimes = 2 | often = 3 | almost always = 4</t>
        </is>
      </c>
      <c r="P12" s="27" t="inlineStr">
        <is>
          <t>None</t>
        </is>
      </c>
      <c r="Q12" s="27" t="inlineStr">
        <is>
          <t>None</t>
        </is>
      </c>
      <c r="R12" s="27" t="inlineStr">
        <is>
          <t>Brooding (items 5, 10, 13, 15-16; n=5; range 5-20)
Reflection (items 7, 11-12, 20-21; n=5; range 5-20)
Depression-related items (not scored as a subscale) (items 1-4, 6, 8-9, 14, 17-19, 22; n=12; range 12-48)</t>
        </is>
      </c>
      <c r="S12" s="27" t="inlineStr">
        <is>
          <t>Full-scale total: sum of all 22 items (range 22-88), per Nolen-Hoeksema's own scoring note ("simply sum the scores on the 22 items"). Brooding and Reflection subscale scores are each the sum of their 5 items (range 5-20 each), per Treynor et al. (2003).</t>
        </is>
      </c>
      <c r="T12" s="27" t="inlineStr">
        <is>
          <t>Not stated on source</t>
        </is>
      </c>
      <c r="U12" s="27" t="inlineStr">
        <is>
          <t>No clinical cutoff scores were found in the developer sources (Nolen-Hoeksema &amp; Morrow, 1991; Treynor et al., 2003) or retrievable from the NovoPsych RRS page, which itself does not display specific score ranges or interpretation bands in the content that could be fetched this session.</t>
        </is>
      </c>
      <c r="V12" s="27" t="inlineStr">
        <is>
          <t>Treynor et al. (2003) used a community sample of N = 1,130 adults assessed at two time points approximately one year apart, but exact normative means/SDs were not extractable from the fetched text. NovoPsych's own normative data for the RRS could not be retrieved this session (its scoring/psychometrics content did not come through fetch, and no NovoPsych-hosted RRS blank-form or sample-results PDF could be located via search).</t>
        </is>
      </c>
      <c r="W12" s="27" t="inlineStr">
        <is>
          <t>Full 22-item scale: Cronbach's alpha = .90 (Time 1); test-retest r = .67 across the ~1-year interval. Brooding subscale: alpha = .77 (Time 1); test-retest r = .62. Reflection subscale: alpha = .72 (Time 1); test-retest r = .60. Sample: N = 1,130 community adults (Treynor, Gonzalez, &amp; Nolen-Hoeksema, 2003).</t>
        </is>
      </c>
      <c r="X12" s="27" t="inlineStr">
        <is>
          <t>Nolen-Hoeksema, S., &amp; Morrow, J. (1991). A prospective study of depression and posttraumatic stress symptoms after a natural disaster: The 1989 Loma Prieta earthquake. Journal of Personality and Social Psychology, 61(1), 115–121. https://doi.org/10.1037/0022-3514.61.1.115</t>
        </is>
      </c>
      <c r="Y12" s="27" t="inlineStr">
        <is>
          <t>The Nolen-Hoeksema item PDF carries no explicit copyright/licence statement beyond her name and Yale University letter header in the source fetched; no blanket free-for-commercial-use grant nor an explicit restriction was found in either developer source. NovoPsych's own terms govern use of its platform-hosted administration and scoring, which was not accessible in full this session.</t>
        </is>
      </c>
      <c r="Z12" s="27" t="inlineStr">
        <is>
          <t>https://novopsych.com/assessments/formulation/ruminative-responses-scale-rrs/</t>
        </is>
      </c>
    </row>
    <row r="13" ht="169.5" customHeight="1" s="17">
      <c r="A13" s="26" t="inlineStr">
        <is>
          <t>FSCRS</t>
        </is>
      </c>
      <c r="B13" s="27" t="inlineStr">
        <is>
          <t>Forms of Self-Criticising/Attacking and Self-Reassuring Scale</t>
        </is>
      </c>
      <c r="C13" s="27" t="inlineStr">
        <is>
          <t>5. Repetitive negative thinking and self talk</t>
        </is>
      </c>
      <c r="D13" s="27" t="inlineStr">
        <is>
          <t>Free / open access</t>
        </is>
      </c>
      <c r="E13" s="28" t="n">
        <v>22</v>
      </c>
      <c r="F13" s="28">
        <f>COUNTIF('Master Item List'!$A:$A,$A13)</f>
        <v/>
      </c>
      <c r="G13" s="27" t="inlineStr">
        <is>
          <t>Self-criticism and self-reassurance as distinct forms of self-relating that people use when things go wrong: an inadequacy-focused form of self-criticism, a more punitive, self-disgust-based (hated-self) form of self-criticism, and the capacity to be self-reassuring/self-supportive.</t>
        </is>
      </c>
      <c r="H13" s="27" t="inlineStr">
        <is>
          <t>Adult self-report</t>
        </is>
      </c>
      <c r="I13" s="27" t="inlineStr">
        <is>
          <t>Not stated on the source document. The original 2004 development sample was female university students; the scale has since been used across adult clinical and non-clinical populations, but no formal age range is specified in the fetched source.</t>
        </is>
      </c>
      <c r="J13" s="27" t="inlineStr">
        <is>
          <t>Not stated in the source. A brief 22-item self-report measure, typically completed in a few minutes.</t>
        </is>
      </c>
      <c r="K13" s="27" t="inlineStr">
        <is>
          <t>The scale is freely downloadable (e.g. via the Portland Psychotherapy Clinic hosting used here) and is very widely used in clinical, compassion-focused therapy and coaching-adjacent contexts without a reported paywall or licensing fee. The document carries the notice "© Gilbert et al., 2004" but no explicit statement granting or restricting commercial/paid-coaching use. Treat as reasonably safe to administer with citation, but not as a confirmed formal commercial licence; a courtesy email to the authors would close this gap before large-scale paid use. Licensing note: Free / open access, with an author copyright notice</t>
        </is>
      </c>
      <c r="L13" s="27" t="inlineStr">
        <is>
          <t>The FSCRS is one of the strongest available tools for identifying harsh, punitive self-talk under academic or early-career performance pressure, and it usefully separates self-criticism (Inadequate Self, Hated Self) from the client's existing capacity to self-reassure (Reassured Self), which is directly actionable as a coaching target. Because item 9 references wanting to hurt or injure oneself, it needs careful, consent-based framing in a non-clinical coaching setting, with a clear plan for what happens if it is endorsed, and should be introduced only once appropriate rapport and safety-checking practices are in place. As a self-report measure of self-relating style rather than a diagnostic tool, elevated Hated Self scores should prompt sensitive follow-up and, where indicated, referral rather than being worked with in coaching alone.</t>
        </is>
      </c>
      <c r="M13" s="27" t="inlineStr">
        <is>
          <t>The FSCRS was developed by Gilbert, Clarke, Hempel, Miles and Irons (2004) to explore the different forms, styles and functions of self-criticism and self-reassurance that people use when they feel they have fallen short or things have gone wrong. It distinguishes an inadequacy-focused form of self-attacking from a more hostile, punitive, self-disgust/self-hatred form, and separately measures the person's capacity to respond to setbacks with self-support and self-reassurance.</t>
        </is>
      </c>
      <c r="N13" s="27" t="inlineStr">
        <is>
          <t>When things go wrong in our lives or don't work out as we hoped, and we feel we could have done better, we sometimes have negative and self-critical thoughts and feelings. These may take the form of feeling worthless, useless or inferior etc. However, people can also try to be supportive of themselves. Below are a series of thoughts and feelings that people sometimes have. Read each statement carefully and circle the number that best describes how much each statement is true for you. Please use the scale below.</t>
        </is>
      </c>
      <c r="O13" s="27" t="inlineStr">
        <is>
          <t>Not at all like me = 0 | A little bit like me = 1 | Moderately like me = 2 | Quite a bit like me = 3 | Extremely like me = 4</t>
        </is>
      </c>
      <c r="P13" s="27" t="inlineStr">
        <is>
          <t>None</t>
        </is>
      </c>
      <c r="Q13" s="27" t="inlineStr">
        <is>
          <t>None</t>
        </is>
      </c>
      <c r="R13" s="27" t="inlineStr">
        <is>
          <t>Inadequate Self (items 1-2, 4, 6-7, 14, 17-18, 20; n=9; range 0-36)
Hated Self (items 9-10, 12, 15, 22; n=5; range 0-20)
Reassured Self (items 3, 5, 8, 11, 13, 16, 19, 21; n=8; range 0-32)</t>
        </is>
      </c>
      <c r="S13" s="27" t="inlineStr">
        <is>
          <t>Each subscale is scored as the sum of its own items: Inadequate Self (9 items, range 0-36), Hated Self (5 items, range 0-20), Reassured Self (8 items, range 0-32). There is no single overall FSCRS total; the three subscales are interpreted separately (Gilbert et al., 2004).</t>
        </is>
      </c>
      <c r="T13" s="27" t="inlineStr">
        <is>
          <t>Not stated on source</t>
        </is>
      </c>
      <c r="U13" s="27" t="inlineStr">
        <is>
          <t>No clinical cutoff scores were reported in the fetched source.</t>
        </is>
      </c>
      <c r="V13" s="27" t="inlineStr">
        <is>
          <t>No normative means/SDs by population were extractable from the fetched source. The original development sample was female university students (UK); the source notes the scale has since been re-validated across thirteen countries (Baíao et al., 2015 normative study), but that paper was not directly fetched this session.</t>
        </is>
      </c>
      <c r="W13" s="27" t="inlineStr">
        <is>
          <t>Cronbach's alpha = .90 (Inadequate Self), .86 (Hated Self), .86 (Reassured Self), as reported in the fetched source document (Gilbert et al., 2004).</t>
        </is>
      </c>
      <c r="X13" s="27" t="inlineStr">
        <is>
          <t>Gilbert, P., Clarke, M., Hempel, S., Miles, J. N. V., &amp; Irons, C. (2004). Criticizing and reassuring oneself: An exploration of forms, styles and reasons in female students. British Journal of Clinical Psychology, 43(1), 31–50. https://doi.org/10.1348/014466504772812959</t>
        </is>
      </c>
      <c r="Y13" s="27" t="inlineStr">
        <is>
          <t>© Gilbert et al., 2004 (notice appears on the source document). No explicit commercial-use grant or restriction was found beyond this author copyright notice.</t>
        </is>
      </c>
      <c r="Z13" s="27" t="inlineStr">
        <is>
          <t>https://d3n8a8pro7vhmx.cloudfront.net/portlandpsychotherapy/pages/21/attachments/original/1438799410/Forms_of_self-criticising_and_self_reassuring_scale.pdf</t>
        </is>
      </c>
    </row>
    <row r="14" ht="169.5" customHeight="1" s="17">
      <c r="A14" s="26" t="inlineStr">
        <is>
          <t>PCI</t>
        </is>
      </c>
      <c r="B14" s="27" t="inlineStr">
        <is>
          <t>Perfectionism Cognitions Inventory</t>
        </is>
      </c>
      <c r="C14" s="27" t="inlineStr">
        <is>
          <t>5. Repetitive negative thinking and self talk</t>
        </is>
      </c>
      <c r="D14" s="27" t="inlineStr">
        <is>
          <t>Free / open access</t>
        </is>
      </c>
      <c r="E14" s="28" t="n">
        <v>25</v>
      </c>
      <c r="F14" s="28">
        <f>COUNTIF('Master Item List'!$A:$A,$A14)</f>
        <v/>
      </c>
      <c r="G14" s="27" t="inlineStr">
        <is>
          <t>Frequency of perfectionism-related automatic thoughts (perfectionistic cognitions) over the preceding week, e.g. thoughts such as "Why can't I be perfect" or "My work should be flawless", as distinct from trait perfectionism itself.</t>
        </is>
      </c>
      <c r="H14" s="27" t="inlineStr">
        <is>
          <t>Self-report</t>
        </is>
      </c>
      <c r="I14" s="27" t="inlineStr">
        <is>
          <t>NovoPsych lists the PCI as suitable from age 15 and up. The original Flett, Hewitt, Blankstein &amp; Gray (1998) development/validation samples were adult (psychiatric patients, adults recovering from alcoholism, and university students).</t>
        </is>
      </c>
      <c r="J14" s="27" t="inlineStr">
        <is>
          <t>Approximately 4 minutes (per NovoPsych).</t>
        </is>
      </c>
      <c r="K14" s="27" t="inlineStr">
        <is>
          <t>The 25 items, respondent instructions and simple 0-100 summed scoring are freely reproduced across the psychometric literature and hosted by the original authors' own lab (Hewitt Lab, UBC) with no visible paywall or explicit commercial restriction. NovoPsych also hosts the PCI with automated scoring against community and clinical percentile norms; its sample results report was retrievable and used for the norm/interpretation detail below, but full access to run and score the instrument on the platform requires a NovoPsych professional registration (app.novopsych.com). For manual/paper administration in coaching, the items may be used and hand-scored directly with citation. Licensing note: Free / open access for the items and scoring algorithm (no restriction found in the developer sources); NovoPsych's own norms/percentiles are presented through NovoPsych's professional-access platform.</t>
        </is>
      </c>
      <c r="L14" s="27" t="inlineStr">
        <is>
          <t>The PCI is the clearest "automatic thoughts of perfectionism" instrument among the measures reviewed, making it a natural session-opener for university students and early-career professionals whose main presenting issue is perfectionistic self-talk (e.g. around assignments, exams or performance reviews) rather than general worry or low mood. Because it measures frequency of thoughts over the past week, it can be re-administered across a coaching programme to track whether strategies are reducing how often these thoughts intrude, which is directly useful for session-to-session progress tracking. As with all self-report frequency measures, a high score identifies a thinking pattern to work with in coaching, not a diagnosis, and very high or distressing scores should prompt a broader wellbeing check.</t>
        </is>
      </c>
      <c r="M14" s="27" t="inlineStr">
        <is>
          <t>The PCI was developed by Flett, Hewitt, Blankstein and Gray (1998) as a 25-item measure of the frequency of automatic thoughts with perfectionistic themes (e.g. the need to be perfect, self-criticism for falling short of perfection) occurring over the preceding week. It was designed to capture perfectionism at the level of momentary automatic cognition, complementing trait-level perfectionism measures, and has been used to study links between perfectionistic thinking and psychological distress.</t>
        </is>
      </c>
      <c r="N14" s="27" t="inlineStr">
        <is>
          <t>Listed below are a variety of thoughts about perfectionism that sometimes pop into people's heads. Please read each thought and indicate how frequently, if at all, the thoughts occurred to you over the last week.</t>
        </is>
      </c>
      <c r="O14" s="27" t="inlineStr">
        <is>
          <t>Not At All = 0 | Sometimes = 1 | Moderately Often = 2 | Often = 3 | All of the time = 4</t>
        </is>
      </c>
      <c r="P14" s="27" t="inlineStr">
        <is>
          <t>None</t>
        </is>
      </c>
      <c r="Q14" s="27" t="inlineStr">
        <is>
          <t>None</t>
        </is>
      </c>
      <c r="R14" s="27" t="inlineStr">
        <is>
          <t>Not stated on source</t>
        </is>
      </c>
      <c r="S14" s="27" t="inlineStr">
        <is>
          <t>Total score is the sum of all 25 items, converted/reported on a 0-100 scale, with higher scores indicating a greater frequency of perfectionistic cognitions (per NovoPsych's automatic scoring report). The instrument is unidimensional; no subscales are used.</t>
        </is>
      </c>
      <c r="T14" s="27" t="inlineStr">
        <is>
          <t>Typical: around the 50th percentile of the community reference sample - Frequency of perfectionistic thinking broadly typical of the community normative sample (NovoPsych).
Clinically elevated: 85th percentile and above - Frequency of perfectionistic cognitions notably higher than the community reference sample, described by NovoPsych as clinically elevated (exact score-to-percentile mapping not further specified in the retrieved report excerpt).</t>
        </is>
      </c>
      <c r="U14" s="27" t="inlineStr">
        <is>
          <t>NovoPsych's sample scoring report references percentile bands (50th percentile as typical, 85th percentile and above as clinically elevated) against a community/clinical reference sample, but did not provide the underlying raw-score-to-percentile table in the content retrieved this session.</t>
        </is>
      </c>
      <c r="V14" s="27" t="inlineStr">
        <is>
          <t>NovoPsych's sample report states that community and clinical normative samples are used, with a reference age group of 26-45 years, but exact sample sizes and means/SDs were not retrievable from the content fetched this session. The original Flett et al. (1998) development sample was N = 747 university students, with subsequent validation in N = 258 psychiatric patients (Study 1) and N = 80 adults recovering from alcoholism (Study 2).</t>
        </is>
      </c>
      <c r="W14" s="27" t="inlineStr">
        <is>
          <t>Cronbach's alpha = .95 in both the psychiatric patient sample (N = 258, Study 1) and the recovering-alcoholism sample (N = 80, Study 2); mean inter-item correlation = .44. An earlier reported sample (N = 62 psychiatric patients) gave alpha = .95 with 3-month test-retest reliability = .85 (Flett, Hewitt, Blankstein, &amp; Gray, 1998).</t>
        </is>
      </c>
      <c r="X14" s="27" t="inlineStr">
        <is>
          <t>Flett, G. L., Hewitt, P. L., Blankstein, K. R., &amp; Gray, L. (1998). Psychological distress and the frequency of perfectionistic thinking. Journal of Personality and Social Psychology, 75(5), 1363–1381. https://doi.org/10.1037/0022-3514.75.5.1363</t>
        </is>
      </c>
      <c r="Y14" s="27" t="inlineStr">
        <is>
          <t>No explicit copyright or commercial-use restriction was found on the fetched sources (Hewitt Lab-hosted document, db.arabpsychology.com scale database, or the NovoPsych sample scoring report).</t>
        </is>
      </c>
      <c r="Z14" s="27" t="inlineStr">
        <is>
          <t>https://novopsych.com/assessments/formulation/perfectionistic-cognitions-inventory-pci/</t>
        </is>
      </c>
    </row>
    <row r="15" ht="169.5" customHeight="1" s="17">
      <c r="A15" s="26" t="inlineStr">
        <is>
          <t>SCS-SF</t>
        </is>
      </c>
      <c r="B15" s="27" t="inlineStr">
        <is>
          <t>Self-Compassion Scale – Short Form</t>
        </is>
      </c>
      <c r="C15" s="27" t="inlineStr">
        <is>
          <t>5. Repetitive negative thinking and self talk</t>
        </is>
      </c>
      <c r="D15" s="27" t="inlineStr">
        <is>
          <t>Free / open access</t>
        </is>
      </c>
      <c r="E15" s="28" t="n">
        <v>12</v>
      </c>
      <c r="F15" s="28">
        <f>COUNTIF('Master Item List'!$A:$A,$A15)</f>
        <v/>
      </c>
      <c r="G15" s="27" t="inlineStr">
        <is>
          <t>Self-compassion: treating oneself with kindness during difficult times, recognising one's experience as part shared common humanity, and holding painful thoughts/feelings in mindful awareness, versus self-judgment, isolation and over-identification with negative emotion.</t>
        </is>
      </c>
      <c r="H15" s="27" t="inlineStr">
        <is>
          <t>Self-report</t>
        </is>
      </c>
      <c r="I15" s="27" t="inlineStr">
        <is>
          <t>NovoPsych lists 18 years and over. The English validation sample was University of Texas at Austin students; construction samples were Dutch/Belgian adults.</t>
        </is>
      </c>
      <c r="J15" s="27" t="inlineStr">
        <is>
          <t>Approximately 2 minutes (per NovoPsych).</t>
        </is>
      </c>
      <c r="K15" s="27" t="inlineStr">
        <is>
          <t>The author's own distribution site (self-compassion.org, Kristin Neff's official scale page) states explicitly: "Please feel free to use the Self-Compassion Scale – Short Form in your research," and does not gate clinical or coaching use; the standard Wiley 2010 journal copyright notice applies to the validation article itself, not to use of the instrument. NovoPsych also hosts the SCS-SF with automated scoring against normative comparison groups, with full scoring/psychometric detail sitting behind NovoPsych's professional-access platform (app.novopsych.com); NovoPsych's blank form and sample scoring report were both retrieved and used below. For manual/paper administration in coaching, the items and mean-based scoring can be used and hand-scored directly with citation.</t>
        </is>
      </c>
      <c r="L15" s="27" t="inlineStr">
        <is>
          <t>The SCS-SF is the natural "what to build" counterpart to a self-criticism measure like the FSCRS: rather than only identifying harsh self-talk, it measures the client's existing capacity for self-kindness, common humanity and mindful acceptance, which coaching can then work to strengthen. It is well suited to university students and early-career professionals navigating academic or performance setbacks, as a light, explicitly open-licensed check-in that pairs naturally with perfectionism- or rumination-focused work. As with all brief self-report scales, low scores flag a coaching target rather than a diagnosis, and very low scores alongside signs of distress should prompt a broader wellbeing conversation.</t>
        </is>
      </c>
      <c r="M15" s="27" t="inlineStr">
        <is>
          <t>The SCS-SF was developed by Raes, Pommier, Neff and Van Gucht (2011) as a 12-item short form of Neff's original 26-item Self-Compassion Scale, designed to be a more time-efficient measure for use when the longer scale is impractical, while preserving the same six-facet structure (Self-Kindness, Self-Judgment, Common Humanity, Isolation, Mindfulness, Over-Identification) and strongly correlating with the long-form total score.</t>
        </is>
      </c>
      <c r="N15" s="27" t="inlineStr">
        <is>
          <t>Please read each statement carefully before answering. Indicate how often you behave in the stated manner.</t>
        </is>
      </c>
      <c r="O15" s="27" t="inlineStr">
        <is>
          <t>Almost never = 1 | 2 = 2 | 3 = 3 | 4 = 4 | Almost always = 5</t>
        </is>
      </c>
      <c r="P15" s="27" t="inlineStr">
        <is>
          <t>1, 4, 8-9, 11-12</t>
        </is>
      </c>
      <c r="Q15" s="27" t="inlineStr">
        <is>
          <t>None</t>
        </is>
      </c>
      <c r="R15" s="27" t="inlineStr">
        <is>
          <t>Self-Kindness (items 2, 6; n=2; range 1-5 (mean of 2 items))
Self-Judgment (items 11-12; n=2; range 1-5 (mean of 2 items, reverse scored))
Common Humanity (items 5, 10; n=2; range 1-5 (mean of 2 items))
Isolation (items 4, 8; n=2; range 1-5 (mean of 2 items, reverse scored))
Mindfulness (items 3, 7; n=2; range 1-5 (mean of 2 items))
Over-Identification (items 1, 9; n=2; range 1-5 (mean of 2 items, reverse scored))</t>
        </is>
      </c>
      <c r="S15" s="27" t="inlineStr">
        <is>
          <t>Reverse score the six negative-subscale items (1, 4, 8, 9, 11, 12) using 1=5, 2=4, 3=3, 4=2, 5=1. Each of the six subscale scores is the mean of its 2 items (range 1-5). The total self-compassion score is the mean of all 12 item scores after reverse-scoring (range 1-5), as stated in the source (self-compassion.org). NovoPsych additionally reports two composite groupings from its own sample scoring report: Self-Care (the 6 positively-worded items: 2, 3, 5, 6, 7, 10) and Self-Disparagement (the 6 negatively-worded items: 1, 4, 8, 9, 11, 12, unreversed), with total self-compassion characterised as high Self-Care combined with low Self-Disparagement.</t>
        </is>
      </c>
      <c r="T15" s="27" t="inlineStr">
        <is>
          <t>Average: around the 50th percentile - Level of self-compassion broadly typical of NovoPsych's comparison group (per NovoPsych's sample scoring report, which compares individual scores to a clinical/psychotherapy-client reference group).</t>
        </is>
      </c>
      <c r="U15" s="27" t="inlineStr">
        <is>
          <t>No formal clinical cutoff scores were found in the developer source (self-compassion.org). NovoPsych's sample scoring report presents results as percentiles against a normative comparison group but did not provide a specific raw-score cutoff table in the content retrieved this session.</t>
        </is>
      </c>
      <c r="V15" s="27" t="inlineStr">
        <is>
          <t>NovoPsych's sample scoring report states norms are presented in comparison to a clinical group with no previous suicidal ideation, citing Hayes et al. (2016); exact sample size and means/SDs were not retrievable from the content fetched this session. The original short-form validation (Raes et al., 2011) used Dutch/Belgian construction samples plus an English validation sample of N = 415 University of Texas at Austin students.</t>
        </is>
      </c>
      <c r="W15" s="27" t="inlineStr">
        <is>
          <t>Total-score Cronbach's alpha = .86 across the construction samples and the N = 415 English-language student validation sample (Raes, Pommier, Neff, &amp; Van Gucht, 2011). No additional subscale-level reliability coefficients were extractable from the sources fetched this session.</t>
        </is>
      </c>
      <c r="X15" s="27" t="inlineStr">
        <is>
          <t>Raes, F., Pommier, E., Neff, K. D., &amp; Van Gucht, D. (2011). Construction and factorial validation of a short form of the Self-Compassion Scale. Clinical Psychology &amp; Psychotherapy, 18(3), 250–255. https://doi.org/10.1002/cpp.702</t>
        </is>
      </c>
      <c r="Y15" s="27" t="inlineStr">
        <is>
          <t>self-compassion.org (Kristin Neff's official scale page) states: "Please feel free to use the Self-Compassion Scale – Short Form in your research." Standard journal copyright (Wiley, 2010) applies to the Raes et al. validation article itself, not to use of the instrument.</t>
        </is>
      </c>
      <c r="Z15" s="27" t="inlineStr">
        <is>
          <t>https://self-compassion.org/wp-content/uploads/2015/02/ShortSCS.pdf</t>
        </is>
      </c>
    </row>
    <row r="16" ht="169.5" customHeight="1" s="17">
      <c r="A16" s="26" t="inlineStr">
        <is>
          <t>BPNSFS</t>
        </is>
      </c>
      <c r="B16" s="27" t="inlineStr">
        <is>
          <t>Basic Psychological Need Satisfaction and Frustration Scale (BPNSFS)</t>
        </is>
      </c>
      <c r="C16" s="27" t="inlineStr">
        <is>
          <t>6. Motivation, self determination and goal pursuit</t>
        </is>
      </c>
      <c r="D16" s="33" t="inlineStr">
        <is>
          <t>Free for research; permission needed for commercial use</t>
        </is>
      </c>
      <c r="E16" s="28" t="n">
        <v>24</v>
      </c>
      <c r="F16" s="28">
        <f>COUNTIF('Master Item List'!$A:$A,$A16)</f>
        <v/>
      </c>
      <c r="G16" s="27" t="inlineStr">
        <is>
          <t>The satisfaction and the frustration of the three basic psychological needs identified in self-determination theory: autonomy, competence and relatedness. The scale distinguishes need satisfaction (the needs being met) from need frustration (the needs being actively thwarted, not merely unmet), producing six subscale scores rather than three.</t>
        </is>
      </c>
      <c r="H16" s="27" t="inlineStr">
        <is>
          <t>General adult respondents (self-report). The Center for Self-Determination Theory also publishes separate BPNSFS versions for children and for adults with intellectual disabilities, and domain-specific adaptations (e.g. school, work, sport, physical education, exercise, relationships, motherhood) in numerous languages; this record documents the general, life-wide, English adult version.</t>
        </is>
      </c>
      <c r="I16" s="27" t="inlineStr">
        <is>
          <t>Not stated precisely in the source; the general version is written for adults. Separate child and intellectual-disability versions exist but were not transcribed here.</t>
        </is>
      </c>
      <c r="J16" s="27" t="inlineStr">
        <is>
          <t>Not stated on source</t>
        </is>
      </c>
      <c r="K16" s="27" t="inlineStr">
        <is>
          <t>The form is downloaded free of charge from the Center for Self-Determination Theory website (selfdeterminationtheory.org), which requires agreeing to terms before download. The Questionnaires page (https://selfdeterminationtheory.org/questionnaires/) states: 'You are welcome to use the instruments for academic (non-commercial) research projects.' and 'However, you may not use any of them for any commercial purposes without written permission to do so from the Center for Self-Determination Theory.' It also states: 'Please note that all questionnaires on this web site, developed for research on self-determination theory, are copyrighted.' No fee is specified for research use; commercial use requires contacting the Center for written permission.</t>
        </is>
      </c>
      <c r="L16" s="27" t="inlineStr">
        <is>
          <t>In coaching university students and early-career professionals, the BPNSFS is useful because it separates need satisfaction from need frustration rather than collapsing autonomy, competence and relatedness onto a single dimension each, so a client can show low satisfaction with no active frustration (an unmet need, e.g. a quiet sense that study choices are not their own) or high frustration (an actively thwarted need, e.g. feeling coerced or excluded), which point to different interventions. This distinction is well suited to conversations about study or career direction, workload and belonging during placements or early jobs. Its limits are that it is a general self-report measure not normed for coaching or clinical decision-making, carries no published cutoffs, and (per Chen et al., 2015) shows lower and more variable reliability for some subscales outside Western samples, so scores should inform discussion rather than stand as a diagnostic result.</t>
        </is>
      </c>
      <c r="M16" s="27" t="inlineStr">
        <is>
          <t>The BPNSFS was developed to measure the degree to which people experience their basic psychological needs for autonomy, competence and relatedness as satisfied in their life, and separately, the degree to which those needs are actively frustrated. It was designed to test self-determination theory's proposition that need frustration is not simply the absence of need satisfaction but a distinct experience with its own consequences for ill-being. The general version asks about need satisfaction and frustration in life as a whole, while domain-specific versions ask about the same six constructs within a particular context such as work, school, sport or relationships.</t>
        </is>
      </c>
      <c r="N16" s="27" t="inlineStr">
        <is>
          <t>Below, we ask you about the kind of experiences you actually have in your life. Please read each of the following items carefully. You can choose from 1 to 5 to indicate the degree to which the statement is true for you at this point in your life.</t>
        </is>
      </c>
      <c r="O16" s="27" t="inlineStr">
        <is>
          <t>Not true at all = 1 | 2 = 2 | 3 = 3 | 4 = 4 | Completely true = 5</t>
        </is>
      </c>
      <c r="P16" s="27" t="inlineStr">
        <is>
          <t>None</t>
        </is>
      </c>
      <c r="Q16" s="27" t="inlineStr">
        <is>
          <t>None</t>
        </is>
      </c>
      <c r="R16" s="27" t="inlineStr">
        <is>
          <t>Autonomy satisfaction (items 1, 7, 13, 19; n=4; range 4-20)
Autonomy frustration (items 2, 8, 14, 20; n=4; range 4-20)
Relatedness satisfaction (items 3, 9, 15, 21; n=4; range 4-20)
Relatedness frustration (items 4, 10, 16, 22; n=4; range 4-20)
Competence satisfaction (items 5, 11, 17, 23; n=4; range 4-20)
Competence frustration (items 6, 12, 18, 24; n=4; range 4-20)</t>
        </is>
      </c>
      <c r="S16" s="27" t="inlineStr">
        <is>
          <t>The BPNSFS manual (BPNSFS_Complete_2020.pdf) specifies only which four items belong to each of the six subscales; it does not itself print an explicit averaging or summing instruction. The Center for Self-Determination Theory manual discusses more than one scoring approach used in the literature, including subscale scores kept separate, and composite need-satisfaction and need-frustration scores formed by combining the three relevant subscales; it does not state that combining is prohibited. The standard and most commonly reported approach in the validation literature (Chen et al., 2015) is to score the six four-item subscales separately (mean or sum of their four items) and, where a broader summary is wanted, to form composite satisfaction and composite frustration scores from the three satisfaction and three frustration subscales respectively, keeping satisfaction and frustration as two separate scores rather than collapsing them into one overall index, because Chen et al. (2015) found satisfaction and frustration had 'relatively unique associations' with well-being and ill-being outcomes respectively.</t>
        </is>
      </c>
      <c r="T16" s="27" t="inlineStr">
        <is>
          <t>Not stated on source</t>
        </is>
      </c>
      <c r="U16" s="27" t="inlineStr">
        <is>
          <t>Not stated on source</t>
        </is>
      </c>
      <c r="V16" s="27" t="inlineStr">
        <is>
          <t>Not stated on source</t>
        </is>
      </c>
      <c r="W16" s="27" t="inlineStr">
        <is>
          <t>Chen et al. (2015), Study 2 (N = 525 across four countries), reported Cronbach's alpha internal consistencies for the six subscales as follows (extracted from an open-access full-text copy of the article, since the publisher (Springer) version and the Center for Self-Determination Theory's own hosted copy required login/subscription and could not be opened directly): United States - autonomy satisfaction .81, autonomy frustration .71, relatedness satisfaction .83, relatedness frustration .81, competence satisfaction .88, competence frustration .86; China - autonomy satisfaction .69, autonomy frustration .72, relatedness satisfaction .65, relatedness frustration .73, competence satisfaction .74, competence frustration .76; Peru - autonomy satisfaction .74, autonomy frustration .77, relatedness satisfaction .75, relatedness frustration .64, competence satisfaction .78, competence frustration .67; Belgium - autonomy satisfaction .82, autonomy frustration .77, relatedness satisfaction .83, relatedness frustration .67, competence satisfaction .82, competence frustration .84. The source text also describes the overall set of alphas as ranging 'between 0.64 and 0.89' across the four countries, a fractionally wider range than the highest individual subscale value located (.88, US competence satisfaction), which may reflect a composite need-satisfaction or need-frustration score not itemised in the extracted table. Chen, B., et al. (2015), Motivation and Emotion, 39, 216-236, https://doi.org/10.1007/s11031-014-9450-1.</t>
        </is>
      </c>
      <c r="X16" s="27" t="inlineStr">
        <is>
          <t>Chen, B., Vansteenkiste, M., Beyers, W., Boone, L., Deci, E. L., Van der Kaap-Deeder, J., Duriez, B., Lens, W., Matos, L., Mouratidis, A., Ryan, R. M., Sheldon, K. M., Soenens, B., Van Petegem, S., &amp; Verstuyf, J. (2015). Basic psychological need satisfaction, need frustration, and need strength across four cultures. Motivation and Emotion, 39(2), 216-236. https://doi.org/10.1007/s11031-014-9450-1</t>
        </is>
      </c>
      <c r="Y16" s="27" t="inlineStr">
        <is>
          <t>All questionnaires on selfdeterminationtheory.org, including the BPNSFS, are stated to be copyrighted. Free for academic, non-commercial research use. Written permission from the Center for Self-Determination Theory is required for any commercial use.</t>
        </is>
      </c>
      <c r="Z16" s="27" t="inlineStr">
        <is>
          <t>https://selfdeterminationtheory.org/basic-psychological-need-satisfaction-and-frustration-scale/</t>
        </is>
      </c>
    </row>
    <row r="17" ht="169.5" customHeight="1" s="17">
      <c r="A17" s="26" t="inlineStr">
        <is>
          <t>PPS</t>
        </is>
      </c>
      <c r="B17" s="27" t="inlineStr">
        <is>
          <t>Pure Procrastination Scale</t>
        </is>
      </c>
      <c r="C17" s="27" t="inlineStr">
        <is>
          <t>6. Motivation, self determination and goal pursuit</t>
        </is>
      </c>
      <c r="D17" s="27" t="inlineStr">
        <is>
          <t>Free / open access</t>
        </is>
      </c>
      <c r="E17" s="28" t="n">
        <v>12</v>
      </c>
      <c r="F17" s="28">
        <f>COUNTIF('Master Item List'!$A:$A,$A17)</f>
        <v/>
      </c>
      <c r="G17" s="27" t="inlineStr">
        <is>
          <t>Trait (general) procrastination, i.e. the tendency to voluntarily delay an intended course of action despite expecting to be worse off for the delay. The PPS is a distilled, 12-item unidimensional measure combining items drawn from three earlier procrastination scales (the Decisional Procrastination Scale, the General Procrastination Scale, and the Adult Inventory of Procrastination).</t>
        </is>
      </c>
      <c r="H17" s="27" t="inlineStr">
        <is>
          <t>Self-report</t>
        </is>
      </c>
      <c r="I17" s="27" t="inlineStr">
        <is>
          <t>Adults; validated in a global cross-national adult sample (used with university students and working adults)</t>
        </is>
      </c>
      <c r="J17" s="27" t="inlineStr">
        <is>
          <t>2-3 minutes</t>
        </is>
      </c>
      <c r="K17" s="27" t="inlineStr">
        <is>
          <t>No licence fee or permission is required to use the PPS in coaching practice. The scale is reproduced in full in Table 1 of Svartdal and Steel (2017), which is published under a Creative Commons Attribution License (CC BY), explicitly permitting reuse including commercial use with attribution. Separately, on his own measure page (procrastinus.com), the scale's co-developer Piers Steel states: "Feel free to use it for any research purpose or clinical purposes and adjust the scale length or anchors as you see fit," and invites practitioners to email him (steel@ucalgary.ca) for norms and scoring materials. A practitioner can administer it as a simple 1-5 rating form; no test manual, scoring software or purchase is needed.</t>
        </is>
      </c>
      <c r="L17" s="27" t="inlineStr">
        <is>
          <t>The PPS is a strong short screening tool for executive-function coaching with university students and early-career professionals, giving a quick trait-level read on how pervasive delay and avoidance behaviour is before goal-setting or study-skills work begins. It pairs well with the shorter Irrational Procrastination Scale and the Brief Self-Control Scale for a "what's actually driving the delay" conversation. Its main limit is that it is a broad trait measure rather than a task-specific or state measure, so it should be framed as a starting-point reflection tool rather than a diagnostic instrument, and re-administration over a coaching programme should be treated as indicative rather than clinically validated change tracking.</t>
        </is>
      </c>
      <c r="M17" s="27" t="inlineStr">
        <is>
          <t>The PPS was developed by Piers Steel to provide a short, psychometrically distilled trait measure of procrastination for research and applied use, drawing together the strongest items from three earlier scales (Decisional Procrastination Scale, General Procrastination Scale, Adult Inventory of Procrastination). Svartdal and Steel (2017) re-examined the PPS alongside four other procrastination scales, including the companion Irrational Procrastination Scale, across a large multi-country adult sample to compare their measurement properties.</t>
        </is>
      </c>
      <c r="N17" s="27" t="inlineStr">
        <is>
          <t>Not stated on source</t>
        </is>
      </c>
      <c r="O17" s="27" t="inlineStr">
        <is>
          <t>Very seldom or not true of me = 1 | 2 = 2 | 3 = 3 | 4 = 4 | Very often true, or true of me = 5</t>
        </is>
      </c>
      <c r="P17" s="27" t="inlineStr">
        <is>
          <t>None</t>
        </is>
      </c>
      <c r="Q17" s="27" t="inlineStr">
        <is>
          <t>None</t>
        </is>
      </c>
      <c r="R17" s="27" t="inlineStr">
        <is>
          <t>Pure Procrastination (total scale) (items 1-12; n=12; range 12-60)</t>
        </is>
      </c>
      <c r="S17" s="27" t="inlineStr">
        <is>
          <t>Sum (or mean) of the 12 item ratings. Higher total scores indicate greater trait procrastination. No reverse-scored items are indicated for the PPS in the source table (unlike the companion IPS, which has three reverse-scored items).</t>
        </is>
      </c>
      <c r="T17" s="27" t="inlineStr">
        <is>
          <t>Not stated on source</t>
        </is>
      </c>
      <c r="U17" s="27" t="inlineStr">
        <is>
          <t>No clinical or normative cut-off scores were given in the fetched source. It is used as a continuous research/coaching variable.</t>
        </is>
      </c>
      <c r="V17" s="27" t="inlineStr">
        <is>
          <t>No normative table was printed in the fetched excerpt of the source article. Piers Steel's own measure page invites direct contact for norms and scoring materials.</t>
        </is>
      </c>
      <c r="W17" s="27" t="inlineStr">
        <is>
          <t>Svartdal and Steel (2017) report Cronbach's alpha = .92 for the 12-item PPS in their multi-country sample, and alpha = .87 for the abbreviated 5-item PPS version (items 4-8) reported separately in the article. The article states psychometric adequacy for the scale across the six European countries sampled, in a comparison of five procrastination scales.</t>
        </is>
      </c>
      <c r="X17" s="27" t="inlineStr">
        <is>
          <t>Svartdal, F., &amp; Steel, P. (2017). Irrational delay revisited: Examining five procrastination scales in a global sample. Frontiers in Psychology, 8, 1927. https://doi.org/10.3389/fpsyg.2017.01927</t>
        </is>
      </c>
      <c r="Y17" s="27" t="inlineStr">
        <is>
          <t>The source article (Svartdal &amp; Steel, 2017) is published under the Creative Commons Attribution License (CC BY): "Copyright © 2017 Svartdal and Steel. This is an open-access article distributed under the terms of the Creative Commons Attribution License (CC BY)." Piers Steel's own measure page (procrastinus.com/piers-steel/about-the-measure/) additionally states: "Feel free to use it for any research purpose or clinical purposes and adjust the scale length or anchors as you see fit."</t>
        </is>
      </c>
      <c r="Z17" s="27" t="inlineStr">
        <is>
          <t>https://www.frontiersin.org/articles/10.3389/fpsyg.2017.01927/full</t>
        </is>
      </c>
    </row>
    <row r="18" ht="169.5" customHeight="1" s="17">
      <c r="A18" s="26" t="inlineStr">
        <is>
          <t>IPS</t>
        </is>
      </c>
      <c r="B18" s="27" t="inlineStr">
        <is>
          <t>Irrational Procrastination Scale</t>
        </is>
      </c>
      <c r="C18" s="27" t="inlineStr">
        <is>
          <t>6. Motivation, self determination and goal pursuit</t>
        </is>
      </c>
      <c r="D18" s="27" t="inlineStr">
        <is>
          <t>Free / open access</t>
        </is>
      </c>
      <c r="E18" s="28" t="n">
        <v>9</v>
      </c>
      <c r="F18" s="28">
        <f>COUNTIF('Master Item List'!$A:$A,$A18)</f>
        <v/>
      </c>
      <c r="G18" s="27" t="inlineStr">
        <is>
          <t>Irrational procrastination, i.e. the tendency to delay in a way that is knowingly counterproductive to one's own well-being or efficiency, distinguishing procrastination proper from merely intentional or strategic delay.</t>
        </is>
      </c>
      <c r="H18" s="27" t="inlineStr">
        <is>
          <t>Self-report</t>
        </is>
      </c>
      <c r="I18" s="27" t="inlineStr">
        <is>
          <t>Adults; validated in a global cross-national adult sample (16,413 adults across multiple languages per Steel's own measure page)</t>
        </is>
      </c>
      <c r="J18" s="27" t="inlineStr">
        <is>
          <t>1-2 minutes</t>
        </is>
      </c>
      <c r="K18" s="27" t="inlineStr">
        <is>
          <t>No licence fee or permission is required to use the IPS in coaching practice. The scale is reproduced in full in Table 1 of Svartdal and Steel (2017), which is published under a Creative Commons Attribution License (CC BY), explicitly permitting reuse including commercial use with attribution. Separately, on his own measure page (procrastinus.com), the scale's co-developer Piers Steel states: "Feel free to use it for any research purpose or clinical purposes and adjust the scale length or anchors as you see fit," and invites practitioners to email him (steel@ucalgary.ca) for norms and scoring materials. A practitioner can administer it as a simple 1-5 rating form; no test manual, scoring software or purchase is needed.</t>
        </is>
      </c>
      <c r="L18" s="27" t="inlineStr">
        <is>
          <t>The IPS is a compact, unidimensional measure well suited to opening an executive-function coaching conversation with university students and early-career professionals, quickly surfacing whether a client's delay is experienced as genuinely counterproductive rather than a considered choice. It pairs well with the longer Pure Procrastination Scale and the Brief Self-Control Scale for exploring what is driving the delay. Its main limit is that, like the PPS, it is a broad trait measure rather than task-specific, so it should support reflection and goal-setting rather than serve as a clinical or diagnostic tool.</t>
        </is>
      </c>
      <c r="M18" s="27" t="inlineStr">
        <is>
          <t>The IPS was developed by Piers Steel as a short, unidimensional companion measure to the Pure Procrastination Scale, targeting the irrational, self-defeating core of procrastination rather than delay in general. Svartdal and Steel (2017) re-examined the IPS alongside four other procrastination scales across a large multi-country adult sample to compare their measurement properties.</t>
        </is>
      </c>
      <c r="N18" s="27" t="inlineStr">
        <is>
          <t>Not stated on source</t>
        </is>
      </c>
      <c r="O18" s="27" t="inlineStr">
        <is>
          <t>Very seldom or not true of me = 1 | 2 = 2 | 3 = 3 | 4 = 4 | Very often true, or true of me = 5</t>
        </is>
      </c>
      <c r="P18" s="27" t="inlineStr">
        <is>
          <t>2, 6, 9</t>
        </is>
      </c>
      <c r="Q18" s="27" t="inlineStr">
        <is>
          <t>None</t>
        </is>
      </c>
      <c r="R18" s="27" t="inlineStr">
        <is>
          <t>Irrational Procrastination (total scale) (items 1-9; n=9; range 9-45)</t>
        </is>
      </c>
      <c r="S18" s="27" t="inlineStr">
        <is>
          <t>Reverse-code items 2, 6 and 9, then sum (or mean) all 9 item ratings. Higher total scores indicate greater irrational procrastination.</t>
        </is>
      </c>
      <c r="T18" s="27" t="inlineStr">
        <is>
          <t>Not stated on source</t>
        </is>
      </c>
      <c r="U18" s="27" t="inlineStr">
        <is>
          <t>No clinical or normative cut-off scores were given in the fetched source. It is used as a continuous research/coaching variable.</t>
        </is>
      </c>
      <c r="V18" s="27" t="inlineStr">
        <is>
          <t>No normative table was printed in the fetched excerpt of the source article. Piers Steel's own measure page states the IPS has been validated across international samples totalling 16,413 adults and invites direct contact for norms and scoring materials.</t>
        </is>
      </c>
      <c r="W18" s="27" t="inlineStr">
        <is>
          <t>Svartdal and Steel (2017) report Cronbach's alpha = .91 for the 9-item IPS in their multi-country sample. The article states psychometric adequacy for the scale across the six European countries sampled, in a comparison of five procrastination scales.</t>
        </is>
      </c>
      <c r="X18" s="27" t="inlineStr">
        <is>
          <t>Svartdal, F., &amp; Steel, P. (2017). Irrational delay revisited: Examining five procrastination scales in a global sample. Frontiers in Psychology, 8, 1927. https://doi.org/10.3389/fpsyg.2017.01927</t>
        </is>
      </c>
      <c r="Y18" s="27" t="inlineStr">
        <is>
          <t>The source article (Svartdal &amp; Steel, 2017) is published under the Creative Commons Attribution License (CC BY): "Copyright © 2017 Svartdal and Steel. This is an open-access article distributed under the terms of the Creative Commons Attribution License (CC BY)." Piers Steel's own measure page (procrastinus.com/piers-steel/about-the-measure/) additionally states: "Feel free to use it for any research purpose or clinical purposes and adjust the scale length or anchors as you see fit."</t>
        </is>
      </c>
      <c r="Z18" s="27" t="inlineStr">
        <is>
          <t>https://www.frontiersin.org/articles/10.3389/fpsyg.2017.01927/full</t>
        </is>
      </c>
    </row>
    <row r="19" ht="169.5" customHeight="1" s="17">
      <c r="A19" s="26" t="inlineStr">
        <is>
          <t>GSE</t>
        </is>
      </c>
      <c r="B19" s="27" t="inlineStr">
        <is>
          <t>General Self-Efficacy Scale</t>
        </is>
      </c>
      <c r="C19" s="27" t="inlineStr">
        <is>
          <t>6. Motivation, self determination and goal pursuit</t>
        </is>
      </c>
      <c r="D19" s="27" t="inlineStr">
        <is>
          <t>Free / open access</t>
        </is>
      </c>
      <c r="E19" s="28" t="n">
        <v>10</v>
      </c>
      <c r="F19" s="28">
        <f>COUNTIF('Master Item List'!$A:$A,$A19)</f>
        <v/>
      </c>
      <c r="G19" s="27" t="inlineStr">
        <is>
          <t>Generalized self-efficacy, i.e. a broad and stable sense of personal competence to deal effectively with a variety of stressful or difficult situations, treated as a unidimensional trait rather than task-specific self-efficacy.</t>
        </is>
      </c>
      <c r="H19" s="27" t="inlineStr">
        <is>
          <t>Self-report</t>
        </is>
      </c>
      <c r="I19" s="27" t="inlineStr">
        <is>
          <t>Adolescents through adults; validated across 23 nations in general population and student samples</t>
        </is>
      </c>
      <c r="J19" s="27" t="inlineStr">
        <is>
          <t>4 minutes average (per the official FU Berlin documentation)</t>
        </is>
      </c>
      <c r="K19" s="27" t="inlineStr">
        <is>
          <t>No licence fee or permission is required to use the GSE in coaching practice. The official documentation (faq_gse.pdf, hosted on the developers' own Freie Universität Berlin page) states explicitly: "You do not need our explicit permission to utilize the scale in your research studies. We hereby grant you permission to use and reproduce the General Self-Efficacy Scale for your study, given that appropriate recognition of the source of the scale is made." No commercial-use exclusion is stated anywhere on the official site. Items and instructions are freely viewable on the official page; no purchase, manual or scoring software is required.</t>
        </is>
      </c>
      <c r="L19" s="27" t="inlineStr">
        <is>
          <t>The GSE is a strong short default confidence measure for university students and early-career professionals in executive-function, study-skills and career coaching, giving a quick read on a client's general belief in their capacity to handle difficult or unfamiliar academic and career tasks, which is directly actionable in goal-setting and in framing setbacks. Its limits are that it measures a broad, stable trait rather than confidence in a specific task or domain (such as a particular assignment or job search step), so a low score should prompt further, more specific exploration rather than be treated as a complete picture of a client's confidence.</t>
        </is>
      </c>
      <c r="M19" s="27" t="inlineStr">
        <is>
          <t>The GSE was developed by Schwarzer and Jerusalem to provide a short, psychometrically robust measure of a person's general sense of perceived self-efficacy, intended to predict how well people cope with daily hassles and adapt after experiencing stressful life events, across cultures and languages.</t>
        </is>
      </c>
      <c r="N19" s="27" t="inlineStr">
        <is>
          <t>Not stated on source</t>
        </is>
      </c>
      <c r="O19" s="27" t="inlineStr">
        <is>
          <t>Not at all true = 1 | Hardly true = 2 | Moderately true = 3 | Exactly true = 4</t>
        </is>
      </c>
      <c r="P19" s="27" t="inlineStr">
        <is>
          <t>None</t>
        </is>
      </c>
      <c r="Q19" s="27" t="inlineStr">
        <is>
          <t>None</t>
        </is>
      </c>
      <c r="R19" s="27" t="inlineStr">
        <is>
          <t>General Self-Efficacy (total scale) (items 1-10; n=10; range 10-40)</t>
        </is>
      </c>
      <c r="S19" s="27" t="inlineStr">
        <is>
          <t>Sum of the 10 item ratings, giving a total score ranging from 10 to 40. Higher scores indicate greater generalized self-efficacy. No items are reverse-scored.</t>
        </is>
      </c>
      <c r="T19" s="27" t="inlineStr">
        <is>
          <t>Not stated on source</t>
        </is>
      </c>
      <c r="U19" s="27" t="inlineStr">
        <is>
          <t>No clinical cut-off scores are given on the official page; it is used as a continuous variable.</t>
        </is>
      </c>
      <c r="V19" s="27" t="inlineStr">
        <is>
          <t>The official page states the scale has been validated in samples from 23 nations. No specific mean/SD norm tables were printed in the fetched page text, though the page indicates such information is discussed in the accompanying FAQ documentation.</t>
        </is>
      </c>
      <c r="W19" s="27" t="inlineStr">
        <is>
          <t>Cronbach's alpha coefficients ranged from .76 to .90 across the 23-nation samples, with the majority in the high .80s, per the official FU Berlin documentation.</t>
        </is>
      </c>
      <c r="X19" s="27" t="inlineStr">
        <is>
          <t>Schwarzer, R., &amp; Jerusalem, M. (1995). Generalized Self-Efficacy scale. In J. Weinman, S. Wright, &amp; M. Johnston, Measures in health psychology: A user's portfolio. Causal and control beliefs (pp. 35-37). NFER-NELSON.</t>
        </is>
      </c>
      <c r="Y19" s="27" t="inlineStr">
        <is>
          <t>The official FAQ documentation (faq_gse.pdf) states: "You do not need our explicit permission to utilize the scale in your research studies. We hereby grant you permission to use and reproduce the General Self-Efficacy Scale for your study, given that appropriate recognition of the source of the scale is made." No copyright or permission statement restricting commercial use appears on the item-hosting page itself.</t>
        </is>
      </c>
      <c r="Z19" s="27" t="inlineStr">
        <is>
          <t>https://userpage.fu-berlin.de/~health/engscal.htm</t>
        </is>
      </c>
    </row>
    <row r="20" ht="169.5" customHeight="1" s="17">
      <c r="A20" s="26" t="inlineStr">
        <is>
          <t>GCS</t>
        </is>
      </c>
      <c r="B20" s="27" t="inlineStr">
        <is>
          <t>Goal Commitment Scale (5-item unidimensional version)</t>
        </is>
      </c>
      <c r="C20" s="27" t="inlineStr">
        <is>
          <t>6. Motivation, self determination and goal pursuit</t>
        </is>
      </c>
      <c r="D20" s="33" t="inlineStr">
        <is>
          <t>Free for research; permission needed for commercial use</t>
        </is>
      </c>
      <c r="E20" s="28" t="n">
        <v>5</v>
      </c>
      <c r="F20" s="28">
        <f>COUNTIF('Master Item List'!$A:$A,$A20)</f>
        <v/>
      </c>
      <c r="G20" s="27" t="inlineStr">
        <is>
          <t>Unidimensional goal commitment, i.e. the degree of attachment to, and determination to reach, a specific goal the respondent has in mind, independent of the goal's difficulty or content.</t>
        </is>
      </c>
      <c r="H20" s="27" t="inlineStr">
        <is>
          <t>Self-report, completed with reference to a specific goal the respondent names or is given (items are worded around "this goal"); used with working adults and students across the many studies aggregated in the 2001 meta-analysis.</t>
        </is>
      </c>
      <c r="I20" s="27" t="inlineStr">
        <is>
          <t>Adult (18+) in the studies identified; no child or adolescent validation located in the sources fetched.</t>
        </is>
      </c>
      <c r="J20" s="27" t="inlineStr">
        <is>
          <t>Not stated on source</t>
        </is>
      </c>
      <c r="K20" s="27" t="inlineStr">
        <is>
          <t>No purchase, licence fee, manual, or scoring software is needed to administer the 5 items themselves. The item text is reproduced by an aggregator (scales.arabpsychology.com and its sister site db.arabpsychology.com, both fetched and cross-checked against each other in this session) which states verbatim: "Generally utilized freely for non-commercial academic research, provided proper attribution and citation are given to the original authors. Commercial use or modifications may require explicit permission." This is the aggregator's own licensing note, not a statement issued by Klein et al. or by Elsevier/Organizational Behavior and Human Decision Processes, and no author contact address was found on either aggregator page. The original 2001 article itself is behind the ScienceDirect paywall, so no publisher-issued licence text could be checked directly. Recommend written confirmation from Howard J. Klein (Ohio State University) before using the scale as a scored instrument within a paid coaching product; low-risk for informal, unscored use as a single reflective rating within an individual coaching session. Licensing detail: Free to view for research and academic use; the hosting database states commercial use or modification may require explicit permission from the original authors (position as stated by the aggregator, not by the original publisher, Elsevier)</t>
        </is>
      </c>
      <c r="L20" s="27" t="inlineStr">
        <is>
          <t>The 5-item Goal Commitment Scale is a well-validated, quick diagnostic for how genuinely committed a client is to a goal they have just set, which is useful before investing coaching effort in goal-setting or accountability work with university students or early-career professionals. It works best as a short check-in on a specific, named goal (e.g. a study goal or a career-transition goal) rather than as a general trait measure, and because it was developed and validated in organisational/laboratory goal-setting research rather than in coaching or clinical samples, any score interpretation should stay descriptive and conversational rather than being presented as a validated clinical cut-off.</t>
        </is>
      </c>
      <c r="M20" s="27" t="inlineStr">
        <is>
          <t>The Goal Commitment Scale was originally developed by Hollenbeck, Williams and Klein (1989) as a 9-item measure of commitment to a specific, often difficult, goal, extending earlier single-item approaches used in goal-setting research. Klein, Wesson, Hollenbeck, Wright and DeShon (2001) conducted a measurement-model meta-analysis of goal commitment measures across the accumulated literature and concluded that a unidimensional, 5-item subset of the original 9 items (items 1 to 5 below) provided the best-fitting and most parsimonious measurement model, recommending it over the full 9-item version and over the other item combinations tested.</t>
        </is>
      </c>
      <c r="N20" s="27" t="inlineStr">
        <is>
          <t>Not retrieved verbatim from a published source. The items refer to 'this goal', so the respondent must first name the goal being rated; a practitioner instruction such as asking the client to write down the goal and rate each statement about it is needed on the form.</t>
        </is>
      </c>
      <c r="O20" s="27" t="inlineStr">
        <is>
          <t>Strongly Disagree = 1 | Moderately Disagree = 2 | Neutral = 3 | Moderately Agree = 4 | Strongly Agree = 5</t>
        </is>
      </c>
      <c r="P20" s="27" t="inlineStr">
        <is>
          <t>1-2, 4</t>
        </is>
      </c>
      <c r="Q20" s="27" t="inlineStr">
        <is>
          <t>None</t>
        </is>
      </c>
      <c r="R20" s="27" t="inlineStr">
        <is>
          <t>Goal Commitment (items 1-5; n=5; range 5-25 (sum) or 1-5 (mean) on a 5 point scale)</t>
        </is>
      </c>
      <c r="S20" s="27" t="inlineStr">
        <is>
          <t>Reverse score items 1, 2 and 4 (6 minus the response on a 1 to 5 scale), then sum or average all 5 items. Higher scores indicate stronger commitment to the named goal. Klein et al. (2001) recommended these 5 items from the 9 item Hollenbeck, Williams and Klein (1989) scale on the basis of their meta-analytic measurement model; the scale is unidimensional.</t>
        </is>
      </c>
      <c r="T20" s="27" t="inlineStr">
        <is>
          <t>Not stated on source</t>
        </is>
      </c>
      <c r="U20" s="27" t="inlineStr">
        <is>
          <t>Not stated on source</t>
        </is>
      </c>
      <c r="V20" s="27" t="inlineStr">
        <is>
          <t>Not stated on source</t>
        </is>
      </c>
      <c r="W20" s="27" t="inlineStr">
        <is>
          <t>The original Klein et al. (2001) primary-source alpha for the 5-item scale could not be independently retrieved in this session (ScienceDirect paywall). A secondary source that cites Klein et al. (2001) directly (Examination of Goal Commitment and Subjective..., ERIC document EJ1263534, fetched in this session) states: "the internal consistency coefficient of the scale was found to be 0.74," attributed to the Klein et al. (2001) 5-item version, but this figure is a secondary citation, not a quote taken from the original 2001 article itself. A separate, unrelated study using the same 5-item scale (fetched via PMC8490751, a feedback-and-goal-commitment study) reports Cronbach's alpha ranging from .80 to .88 across experimental conditions at Time 1, again not from the original 2001 source. A later, related 4-item unidimensional target-free measure derived from this tradition (the KUT; Klein, Cooper, Molloy &amp; Swanson, 2014, cited in a secondary dissertation source fetched in this session) is reported with alpha = .92, but this is a different, shorter instrument, not the Klein et al. (2001) 5-item GCS itself, and is included here only for context. No alpha figure could be confirmed as coming directly from the text of Klein et al. (2001). Correction note: an earlier draft of this record, taken from an aggregator site, listed two items from the 9 item parent scale ('It's unrealistic for me to expect to reach this goal' and 'It is quite likely that this goal may need to be revised') in place of 2 of the 5 recommended items. The items were corrected against Klein et al. (2001, p. 34) as quoted in an independent thesis; reliability figures quoted above from sources using the aggregator's set should be treated with caution.</t>
        </is>
      </c>
      <c r="X20" s="27" t="inlineStr">
        <is>
          <t>Klein, H. J., Wesson, M. J., Hollenbeck, J. R., Wright, P. M., &amp; DeShon, R. P. (2001). The assessment of goal commitment: A measurement model meta-analysis. Organizational Behavior and Human Decision Processes, 85(1), 32-55.</t>
        </is>
      </c>
      <c r="Y20" s="27" t="inlineStr">
        <is>
          <t>No copyright or licence statement was found on the original publisher's own materials (the article is paywalled at Elsevier/ScienceDirect and no author-hosted copy was located). The item-hosting aggregator (arabpsychology.com, both scales. and db. subdomains, cross-checked against each other) states verbatim: "Generally utilized freely for non-commercial academic research, provided proper attribution and citation are given to the original authors. Commercial use or modifications may require explicit permission." One of the two aggregator pages additionally attributes the underlying construct to a different 1989 citation (Hollenbeck, Klein, O'Leary &amp; Wright, 1989, Journal of Applied Psychology, 74, 951-956, "Investigation of the construct validity of a self-report measure of goal commitment") rather than to the Hollenbeck, Williams &amp; Klein (1989) citation specified in this record's brief; both 1989 papers exist in the literature and this discrepancy between the two aggregator pages should be treated as an aggregator inconsistency, not a confirmed fact about the scale's origin.</t>
        </is>
      </c>
      <c r="Z20" s="27" t="inlineStr">
        <is>
          <t>https://bearworks.missouristate.edu/cgi/viewcontent.cgi?article=4229&amp;context=theses</t>
        </is>
      </c>
    </row>
    <row r="21" ht="169.5" customHeight="1" s="17">
      <c r="A21" s="26" t="inlineStr">
        <is>
          <t>GADJ</t>
        </is>
      </c>
      <c r="B21" s="27" t="inlineStr">
        <is>
          <t>Goal Adjustment Scale</t>
        </is>
      </c>
      <c r="C21" s="27" t="inlineStr">
        <is>
          <t>6. Motivation, self determination and goal pursuit</t>
        </is>
      </c>
      <c r="D21" s="33" t="inlineStr">
        <is>
          <t>Free for research; permission needed for commercial use</t>
        </is>
      </c>
      <c r="E21" s="28" t="n">
        <v>10</v>
      </c>
      <c r="F21" s="28">
        <f>COUNTIF('Master Item List'!$A:$A,$A21)</f>
        <v/>
      </c>
      <c r="G21" s="27" t="inlineStr">
        <is>
          <t>Adaptive self-regulation in the face of unattainable goals, comprising two related capacities: Goal Disengagement (the ability to withdraw effort and commitment from a goal that can no longer be reached) and Goal Reengagement (the ability to identify, commit to, and pursue new goals after disengaging from an old one).</t>
        </is>
      </c>
      <c r="H21" s="27" t="inlineStr">
        <is>
          <t>Self-report, answered with respect to a general stem about an important, unattainable goal in the respondent's own life (not a goal supplied by an interviewer).</t>
        </is>
      </c>
      <c r="I21" s="27" t="inlineStr">
        <is>
          <t>Validated across three studies spanning young adulthood to old age: Study 1, undergraduates aged 17-23 (M = 19.35, SD = 1.08); Study 2, young adults aged 19-35 (M = 22.47) and older adults aged 55-89 (M = 69.67); Study 3, parents in their mid-30s to mid-40s (M around 36.9-37.6). No dedicated adolescent (under 17) validation was located.</t>
        </is>
      </c>
      <c r="J21" s="27" t="inlineStr">
        <is>
          <t>Not stated on source</t>
        </is>
      </c>
      <c r="K21" s="27" t="inlineStr">
        <is>
          <t>No purchase or licence fee is required to view the 10 items; they are reproduced in Table 1 of the original journal article, re-hosted at https://www.cmu.edu/dietrich/psychology/pdf/scales/GAS_article.pdf (fetched and confirmed in this session; this is the original 2003 Personality and Social Psychology Bulletin article, carrying the line "\u00a9 2003 by the Society for Personality and Social Psychology, Inc."). Carnegie Mellon's psychology department also hosts what its filename indicates is a standalone scale-only document at https://www.cmu.edu/dietrich/psychology/pdf/scales/GAS_scale.pdf; this URL was fetched in this session but returned no machine-readable text ("This PDF is empty or contains no machine-readable text"), so it could not be used to confirm a separate administration-ready form, and its existence as a genuinely standalone form is unconfirmed. No copyright, licence, or commercial-use statement appears anywhere in the original article itself. A third-party aggregator, Psychology Roots (https://psychologyroots.com/goal-adjustment-scale/, fetched and quoted directly in this session), states: "Psychology Roots does not have the right to grant permission for the use of any psychological scales or assessments listed on its website. To use any scale or assessment, you must obtain permission directly from the author or translator of the tool," naming the original authors (Wrosch, Scheier, Miller, Schulz, Carver) as the people to contact. Recommend written permission from Carsten Wrosch or Michael F. Scheier before using the GAS as a scored instrument in a commercial coaching product. Licensing detail: Free to view via a university-hosted copy of the original journal article; commercial/paid use is not explicitly addressed by the original authors or publisher, and a third-party scale-listing site states that permission must be obtained directly from the authors</t>
        </is>
      </c>
      <c r="L21" s="27" t="inlineStr">
        <is>
          <t>The Goal Adjustment Scale is directly useful in goal-setting coaching with university students and early-career professionals when the presenting issue is a stalled, blocked, or no-longer-realistic goal, such as a failed course, a missed graduate-entry pathway, or a career plan overtaken by events, because it separates the client's capacity to let go of that goal from their capacity to reinvest energy in a new one. Its main limits for this population are that it was validated primarily on undergraduates, community adults, and parents of ill children rather than on a coaching-specific sample, and that a low Reengagement score in a young client may reflect a genuinely open-ended transitional life stage rather than a self-regulatory deficit, so scores should inform conversation rather than be treated as a fixed trait diagnosis.</t>
        </is>
      </c>
      <c r="M21" s="27" t="inlineStr">
        <is>
          <t>The Goal Adjustment Scale was developed by Wrosch, Scheier, Miller, Schulz and Carver (2003) to measure two theoretically distinct components of adaptive self-regulation when a personal goal becomes unattainable: disengaging from the blocked goal, and reengaging with new, attainable goals. The scale was validated across three studies (university students, a community sample of young and older adults, and parents of children with or without cancer) and used to test whether disengagement and reengagement independently predict subjective well-being and physical health symptoms.</t>
        </is>
      </c>
      <c r="N21" s="27" t="inlineStr">
        <is>
          <t>"If I have to stop pursuing an important goal in my life . . ." This is the generic item stem used for all 10 items in Study 2 and Study 3, quoted verbatim from a footnote to Table 1 of Wrosch et al. (2003), fetched and confirmed in this session. In Study 1, the goal disengagement items only were instead presented against three separate situational stems, one of which is quoted verbatim in the article as: "If it becomes likely that I have to stop pursuing an important goal because I no longer have the opportunity to realize it . . ."</t>
        </is>
      </c>
      <c r="O21" s="27" t="inlineStr">
        <is>
          <t>Almost never true = 1 | 2 = 2 | 3 = 3 | 4 = 4 | Almost always true = 5</t>
        </is>
      </c>
      <c r="P21" s="27" t="inlineStr">
        <is>
          <t>2-3</t>
        </is>
      </c>
      <c r="Q21" s="27" t="inlineStr">
        <is>
          <t>None</t>
        </is>
      </c>
      <c r="R21" s="27" t="inlineStr">
        <is>
          <t>Goal Disengagement (items 1-4; n=4; range 4-20 (sum) or 1-5 (mean))
Goal Reengagement (items 5-10; n=6; range 6-30 (sum) or 1-5 (mean))</t>
        </is>
      </c>
      <c r="S21" s="27" t="inlineStr">
        <is>
          <t>Score the two subscales separately; the instrument does not sum to a single overall score. For Goal Disengagement, reverse-score items 2 and 3, then average (or sum) all 4 items; higher scores indicate greater ability to disengage from an unattainable goal. For Goal Reengagement, average (or sum) all 6 items with no reversal; higher scores indicate greater capacity to reengage with new goals.</t>
        </is>
      </c>
      <c r="T21" s="27" t="inlineStr">
        <is>
          <t>Not stated on source</t>
        </is>
      </c>
      <c r="U21" s="27" t="inlineStr">
        <is>
          <t>Not stated on source</t>
        </is>
      </c>
      <c r="V21" s="27" t="inlineStr">
        <is>
          <t>Not stated on source</t>
        </is>
      </c>
      <c r="W21" s="27" t="inlineStr">
        <is>
          <t>Cronbach's alpha values quoted verbatim from Wrosch et al. (2003), fetched and confirmed in this session: Study 1 (N = 115 undergraduates), Goal Disengagement α = .84, Goal Reengagement α = .86; Study 2 (N = 120 community adults), Goal Disengagement α = .76, Goal Reengagement α = .89; Study 3 (N = 45 parents), Goal Disengagement α = .79, Goal Reengagement α = .86. Note that a third-party aggregator page (Psychology Roots) states the Study 1 figures (.84 disengagement / .86 reengagement) as if they were the scale's single reliability figures and separately describes the response scale as "1 (Strongly Disagree) to 5 (Strongly Agree)," which conflicts with the "almost never true" to "almost always true" anchors confirmed directly from the primary article's Table 1 footnote; the primary-source anchors are used in this record and the aggregator's anchor wording should be treated as an error.</t>
        </is>
      </c>
      <c r="X21" s="27" t="inlineStr">
        <is>
          <t>Wrosch, C., Scheier, M. F., Miller, G. E., Schulz, R., &amp; Carver, C. S. (2003). Adaptive self-regulation of unattainable goals: Goal disengagement, goal reengagement, and subjective well-being. Personality and Social Psychology Bulletin, 29(12), 1494-1508.</t>
        </is>
      </c>
      <c r="Y21" s="27" t="inlineStr">
        <is>
          <t>The original article carries the line "\u00a9 2003 by the Society for Personality and Social Psychology, Inc." but no explicit statement about permission to reproduce or use the scale for research, clinical, or commercial purposes appears anywhere in the fetched text. Psychology Roots (third-party aggregator, quoted verbatim above) states that permission must be sought directly from the original authors and that the aggregator itself has no right to grant use permission.</t>
        </is>
      </c>
      <c r="Z21" s="27" t="inlineStr">
        <is>
          <t>https://www.cmu.edu/dietrich/psychology/pdf/scales/GAS_article.pdf</t>
        </is>
      </c>
    </row>
  </sheetData>
  <autoFilter ref="A1:Z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308"/>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14" customWidth="1" style="16" min="1" max="1"/>
    <col width="34" customWidth="1" style="16" min="2" max="3"/>
    <col width="9" customWidth="1" style="16" min="4" max="4"/>
    <col width="78" customWidth="1" style="16" min="5" max="5"/>
    <col width="34" customWidth="1" style="16" min="6" max="6"/>
    <col width="10" customWidth="1" style="16" min="7" max="7"/>
    <col width="12" customWidth="1" style="16" min="8" max="8"/>
    <col width="44" customWidth="1" style="16" min="9" max="9"/>
    <col width="60" customWidth="1" style="16" min="10" max="10"/>
    <col width="46" customWidth="1" style="16" min="11" max="11"/>
  </cols>
  <sheetData>
    <row r="1" ht="30" customHeight="1" s="17">
      <c r="A1" s="25" t="inlineStr">
        <is>
          <t>Code</t>
        </is>
      </c>
      <c r="B1" s="25" t="inlineStr">
        <is>
          <t>Instrument Name</t>
        </is>
      </c>
      <c r="C1" s="25" t="inlineStr">
        <is>
          <t>Domain</t>
        </is>
      </c>
      <c r="D1" s="25" t="inlineStr">
        <is>
          <t>Item Number</t>
        </is>
      </c>
      <c r="E1" s="25" t="inlineStr">
        <is>
          <t>Item Text (verbatim)</t>
        </is>
      </c>
      <c r="F1" s="25" t="inlineStr">
        <is>
          <t>Subscale / Domain</t>
        </is>
      </c>
      <c r="G1" s="25" t="inlineStr">
        <is>
          <t>Reverse Scored</t>
        </is>
      </c>
      <c r="H1" s="25" t="inlineStr">
        <is>
          <t>Filler (not scored)</t>
        </is>
      </c>
      <c r="I1" s="25" t="inlineStr">
        <is>
          <t>Response Options</t>
        </is>
      </c>
      <c r="J1" s="25" t="inlineStr">
        <is>
          <t>Item Notes</t>
        </is>
      </c>
      <c r="K1" s="25" t="inlineStr">
        <is>
          <t>Source URL</t>
        </is>
      </c>
    </row>
    <row r="2" ht="23.85" customHeight="1" s="17">
      <c r="A2" s="27" t="inlineStr">
        <is>
          <t>ESQ-R</t>
        </is>
      </c>
      <c r="B2" s="27" t="inlineStr">
        <is>
          <t>Executive Skills Questionnaire - Revised (ESQ-R)</t>
        </is>
      </c>
      <c r="C2" s="27" t="inlineStr">
        <is>
          <t>1. Executive functioning and ADHD</t>
        </is>
      </c>
      <c r="D2" s="28" t="n">
        <v>1</v>
      </c>
      <c r="E2" s="27" t="inlineStr">
        <is>
          <t>I act on impulse.</t>
        </is>
      </c>
      <c r="F2" s="27" t="inlineStr">
        <is>
          <t>Behavioral Regulation</t>
        </is>
      </c>
      <c r="G2" s="27" t="inlineStr">
        <is>
          <t>FALSE</t>
        </is>
      </c>
      <c r="H2" s="27" t="inlineStr">
        <is>
          <t>FALSE</t>
        </is>
      </c>
      <c r="I2" s="27" t="inlineStr">
        <is>
          <t>Never or rarely = 0 | Sometimes = 1 | Often = 2 | Very often = 3</t>
        </is>
      </c>
      <c r="J2" s="27" t="n"/>
      <c r="K2" s="27" t="inlineStr">
        <is>
          <t>https://novopsych.com/assessments/formulation/executive-skills-questionnaire-revised-esq-r/</t>
        </is>
      </c>
    </row>
    <row r="3" ht="23.85" customHeight="1" s="17">
      <c r="A3" s="27" t="inlineStr">
        <is>
          <t>ESQ-R</t>
        </is>
      </c>
      <c r="B3" s="27" t="inlineStr">
        <is>
          <t>Executive Skills Questionnaire - Revised (ESQ-R)</t>
        </is>
      </c>
      <c r="C3" s="27" t="inlineStr">
        <is>
          <t>1. Executive functioning and ADHD</t>
        </is>
      </c>
      <c r="D3" s="28" t="n">
        <v>2</v>
      </c>
      <c r="E3" s="27" t="inlineStr">
        <is>
          <t>I say things without thinking.</t>
        </is>
      </c>
      <c r="F3" s="27" t="inlineStr">
        <is>
          <t>Behavioral Regulation</t>
        </is>
      </c>
      <c r="G3" s="27" t="inlineStr">
        <is>
          <t>FALSE</t>
        </is>
      </c>
      <c r="H3" s="27" t="inlineStr">
        <is>
          <t>FALSE</t>
        </is>
      </c>
      <c r="I3" s="27" t="inlineStr">
        <is>
          <t>Never or rarely = 0 | Sometimes = 1 | Often = 2 | Very often = 3</t>
        </is>
      </c>
      <c r="J3" s="27" t="n"/>
      <c r="K3" s="27" t="inlineStr">
        <is>
          <t>https://novopsych.com/assessments/formulation/executive-skills-questionnaire-revised-esq-r/</t>
        </is>
      </c>
    </row>
    <row r="4" ht="23.85" customHeight="1" s="17">
      <c r="A4" s="27" t="inlineStr">
        <is>
          <t>ESQ-R</t>
        </is>
      </c>
      <c r="B4" s="27" t="inlineStr">
        <is>
          <t>Executive Skills Questionnaire - Revised (ESQ-R)</t>
        </is>
      </c>
      <c r="C4" s="27" t="inlineStr">
        <is>
          <t>1. Executive functioning and ADHD</t>
        </is>
      </c>
      <c r="D4" s="28" t="n">
        <v>3</v>
      </c>
      <c r="E4" s="27" t="inlineStr">
        <is>
          <t>I lose things.</t>
        </is>
      </c>
      <c r="F4" s="27" t="inlineStr">
        <is>
          <t>Organization</t>
        </is>
      </c>
      <c r="G4" s="27" t="inlineStr">
        <is>
          <t>FALSE</t>
        </is>
      </c>
      <c r="H4" s="27" t="inlineStr">
        <is>
          <t>FALSE</t>
        </is>
      </c>
      <c r="I4" s="27" t="inlineStr">
        <is>
          <t>Never or rarely = 0 | Sometimes = 1 | Often = 2 | Very often = 3</t>
        </is>
      </c>
      <c r="J4" s="27" t="n"/>
      <c r="K4" s="27" t="inlineStr">
        <is>
          <t>https://novopsych.com/assessments/formulation/executive-skills-questionnaire-revised-esq-r/</t>
        </is>
      </c>
    </row>
    <row r="5" ht="23.85" customHeight="1" s="17">
      <c r="A5" s="27" t="inlineStr">
        <is>
          <t>ESQ-R</t>
        </is>
      </c>
      <c r="B5" s="27" t="inlineStr">
        <is>
          <t>Executive Skills Questionnaire - Revised (ESQ-R)</t>
        </is>
      </c>
      <c r="C5" s="27" t="inlineStr">
        <is>
          <t>1. Executive functioning and ADHD</t>
        </is>
      </c>
      <c r="D5" s="28" t="n">
        <v>4</v>
      </c>
      <c r="E5" s="27" t="inlineStr">
        <is>
          <t>I have a short fuse.</t>
        </is>
      </c>
      <c r="F5" s="27" t="inlineStr">
        <is>
          <t>Emotional Regulation</t>
        </is>
      </c>
      <c r="G5" s="27" t="inlineStr">
        <is>
          <t>FALSE</t>
        </is>
      </c>
      <c r="H5" s="27" t="inlineStr">
        <is>
          <t>FALSE</t>
        </is>
      </c>
      <c r="I5" s="27" t="inlineStr">
        <is>
          <t>Never or rarely = 0 | Sometimes = 1 | Often = 2 | Very often = 3</t>
        </is>
      </c>
      <c r="J5" s="27" t="n"/>
      <c r="K5" s="27" t="inlineStr">
        <is>
          <t>https://novopsych.com/assessments/formulation/executive-skills-questionnaire-revised-esq-r/</t>
        </is>
      </c>
    </row>
    <row r="6" ht="23.85" customHeight="1" s="17">
      <c r="A6" s="27" t="inlineStr">
        <is>
          <t>ESQ-R</t>
        </is>
      </c>
      <c r="B6" s="27" t="inlineStr">
        <is>
          <t>Executive Skills Questionnaire - Revised (ESQ-R)</t>
        </is>
      </c>
      <c r="C6" s="27" t="inlineStr">
        <is>
          <t>1. Executive functioning and ADHD</t>
        </is>
      </c>
      <c r="D6" s="28" t="n">
        <v>5</v>
      </c>
      <c r="E6" s="27" t="inlineStr">
        <is>
          <t>I get upset when things don't go as planned.</t>
        </is>
      </c>
      <c r="F6" s="27" t="inlineStr">
        <is>
          <t>Emotional Regulation</t>
        </is>
      </c>
      <c r="G6" s="27" t="inlineStr">
        <is>
          <t>FALSE</t>
        </is>
      </c>
      <c r="H6" s="27" t="inlineStr">
        <is>
          <t>FALSE</t>
        </is>
      </c>
      <c r="I6" s="27" t="inlineStr">
        <is>
          <t>Never or rarely = 0 | Sometimes = 1 | Often = 2 | Very often = 3</t>
        </is>
      </c>
      <c r="J6" s="27" t="n"/>
      <c r="K6" s="27" t="inlineStr">
        <is>
          <t>https://novopsych.com/assessments/formulation/executive-skills-questionnaire-revised-esq-r/</t>
        </is>
      </c>
    </row>
    <row r="7" ht="23.85" customHeight="1" s="17">
      <c r="A7" s="27" t="inlineStr">
        <is>
          <t>ESQ-R</t>
        </is>
      </c>
      <c r="B7" s="27" t="inlineStr">
        <is>
          <t>Executive Skills Questionnaire - Revised (ESQ-R)</t>
        </is>
      </c>
      <c r="C7" s="27" t="inlineStr">
        <is>
          <t>1. Executive functioning and ADHD</t>
        </is>
      </c>
      <c r="D7" s="28" t="n">
        <v>6</v>
      </c>
      <c r="E7" s="27" t="inlineStr">
        <is>
          <t>I run out of steam before finishing a task.</t>
        </is>
      </c>
      <c r="F7" s="27" t="inlineStr">
        <is>
          <t>Plan Management</t>
        </is>
      </c>
      <c r="G7" s="27" t="inlineStr">
        <is>
          <t>FALSE</t>
        </is>
      </c>
      <c r="H7" s="27" t="inlineStr">
        <is>
          <t>FALSE</t>
        </is>
      </c>
      <c r="I7" s="27" t="inlineStr">
        <is>
          <t>Never or rarely = 0 | Sometimes = 1 | Often = 2 | Very often = 3</t>
        </is>
      </c>
      <c r="J7" s="27" t="n"/>
      <c r="K7" s="27" t="inlineStr">
        <is>
          <t>https://novopsych.com/assessments/formulation/executive-skills-questionnaire-revised-esq-r/</t>
        </is>
      </c>
    </row>
    <row r="8" ht="23.85" customHeight="1" s="17">
      <c r="A8" s="27" t="inlineStr">
        <is>
          <t>ESQ-R</t>
        </is>
      </c>
      <c r="B8" s="27" t="inlineStr">
        <is>
          <t>Executive Skills Questionnaire - Revised (ESQ-R)</t>
        </is>
      </c>
      <c r="C8" s="27" t="inlineStr">
        <is>
          <t>1. Executive functioning and ADHD</t>
        </is>
      </c>
      <c r="D8" s="28" t="n">
        <v>7</v>
      </c>
      <c r="E8" s="27" t="inlineStr">
        <is>
          <t>It's hard for me to set priorities when I have a lot of things to do.</t>
        </is>
      </c>
      <c r="F8" s="27" t="inlineStr">
        <is>
          <t>Plan Management</t>
        </is>
      </c>
      <c r="G8" s="27" t="inlineStr">
        <is>
          <t>FALSE</t>
        </is>
      </c>
      <c r="H8" s="27" t="inlineStr">
        <is>
          <t>FALSE</t>
        </is>
      </c>
      <c r="I8" s="27" t="inlineStr">
        <is>
          <t>Never or rarely = 0 | Sometimes = 1 | Often = 2 | Very often = 3</t>
        </is>
      </c>
      <c r="J8" s="27" t="n"/>
      <c r="K8" s="27" t="inlineStr">
        <is>
          <t>https://novopsych.com/assessments/formulation/executive-skills-questionnaire-revised-esq-r/</t>
        </is>
      </c>
    </row>
    <row r="9" ht="23.85" customHeight="1" s="17">
      <c r="A9" s="27" t="inlineStr">
        <is>
          <t>ESQ-R</t>
        </is>
      </c>
      <c r="B9" s="27" t="inlineStr">
        <is>
          <t>Executive Skills Questionnaire - Revised (ESQ-R)</t>
        </is>
      </c>
      <c r="C9" s="27" t="inlineStr">
        <is>
          <t>1. Executive functioning and ADHD</t>
        </is>
      </c>
      <c r="D9" s="28" t="n">
        <v>8</v>
      </c>
      <c r="E9" s="27" t="inlineStr">
        <is>
          <t>My desk or workspace is a mess.</t>
        </is>
      </c>
      <c r="F9" s="27" t="inlineStr">
        <is>
          <t>Organization</t>
        </is>
      </c>
      <c r="G9" s="27" t="inlineStr">
        <is>
          <t>FALSE</t>
        </is>
      </c>
      <c r="H9" s="27" t="inlineStr">
        <is>
          <t>FALSE</t>
        </is>
      </c>
      <c r="I9" s="27" t="inlineStr">
        <is>
          <t>Never or rarely = 0 | Sometimes = 1 | Often = 2 | Very often = 3</t>
        </is>
      </c>
      <c r="J9" s="27" t="n"/>
      <c r="K9" s="27" t="inlineStr">
        <is>
          <t>https://novopsych.com/assessments/formulation/executive-skills-questionnaire-revised-esq-r/</t>
        </is>
      </c>
    </row>
    <row r="10" ht="23.85" customHeight="1" s="17">
      <c r="A10" s="27" t="inlineStr">
        <is>
          <t>ESQ-R</t>
        </is>
      </c>
      <c r="B10" s="27" t="inlineStr">
        <is>
          <t>Executive Skills Questionnaire - Revised (ESQ-R)</t>
        </is>
      </c>
      <c r="C10" s="27" t="inlineStr">
        <is>
          <t>1. Executive functioning and ADHD</t>
        </is>
      </c>
      <c r="D10" s="28" t="n">
        <v>9</v>
      </c>
      <c r="E10" s="27" t="inlineStr">
        <is>
          <t>I have trouble keeping my house or room clean.</t>
        </is>
      </c>
      <c r="F10" s="27" t="inlineStr">
        <is>
          <t>Organization</t>
        </is>
      </c>
      <c r="G10" s="27" t="inlineStr">
        <is>
          <t>FALSE</t>
        </is>
      </c>
      <c r="H10" s="27" t="inlineStr">
        <is>
          <t>FALSE</t>
        </is>
      </c>
      <c r="I10" s="27" t="inlineStr">
        <is>
          <t>Never or rarely = 0 | Sometimes = 1 | Often = 2 | Very often = 3</t>
        </is>
      </c>
      <c r="J10" s="27" t="n"/>
      <c r="K10" s="27" t="inlineStr">
        <is>
          <t>https://novopsych.com/assessments/formulation/executive-skills-questionnaire-revised-esq-r/</t>
        </is>
      </c>
    </row>
    <row r="11" ht="23.85" customHeight="1" s="17">
      <c r="A11" s="27" t="inlineStr">
        <is>
          <t>ESQ-R</t>
        </is>
      </c>
      <c r="B11" s="27" t="inlineStr">
        <is>
          <t>Executive Skills Questionnaire - Revised (ESQ-R)</t>
        </is>
      </c>
      <c r="C11" s="27" t="inlineStr">
        <is>
          <t>1. Executive functioning and ADHD</t>
        </is>
      </c>
      <c r="D11" s="28" t="n">
        <v>10</v>
      </c>
      <c r="E11" s="27" t="inlineStr">
        <is>
          <t>I have trouble estimating how long it will take to complete a task.</t>
        </is>
      </c>
      <c r="F11" s="27" t="inlineStr">
        <is>
          <t>Time Management</t>
        </is>
      </c>
      <c r="G11" s="27" t="inlineStr">
        <is>
          <t>FALSE</t>
        </is>
      </c>
      <c r="H11" s="27" t="inlineStr">
        <is>
          <t>FALSE</t>
        </is>
      </c>
      <c r="I11" s="27" t="inlineStr">
        <is>
          <t>Never or rarely = 0 | Sometimes = 1 | Often = 2 | Very often = 3</t>
        </is>
      </c>
      <c r="J11" s="27" t="n"/>
      <c r="K11" s="27" t="inlineStr">
        <is>
          <t>https://novopsych.com/assessments/formulation/executive-skills-questionnaire-revised-esq-r/</t>
        </is>
      </c>
    </row>
    <row r="12" ht="23.85" customHeight="1" s="17">
      <c r="A12" s="27" t="inlineStr">
        <is>
          <t>ESQ-R</t>
        </is>
      </c>
      <c r="B12" s="27" t="inlineStr">
        <is>
          <t>Executive Skills Questionnaire - Revised (ESQ-R)</t>
        </is>
      </c>
      <c r="C12" s="27" t="inlineStr">
        <is>
          <t>1. Executive functioning and ADHD</t>
        </is>
      </c>
      <c r="D12" s="28" t="n">
        <v>11</v>
      </c>
      <c r="E12" s="27" t="inlineStr">
        <is>
          <t>I'm slow at getting ready for school, work, or appointments.</t>
        </is>
      </c>
      <c r="F12" s="27" t="inlineStr">
        <is>
          <t>Time Management</t>
        </is>
      </c>
      <c r="G12" s="27" t="inlineStr">
        <is>
          <t>FALSE</t>
        </is>
      </c>
      <c r="H12" s="27" t="inlineStr">
        <is>
          <t>FALSE</t>
        </is>
      </c>
      <c r="I12" s="27" t="inlineStr">
        <is>
          <t>Never or rarely = 0 | Sometimes = 1 | Often = 2 | Very often = 3</t>
        </is>
      </c>
      <c r="J12" s="27" t="n"/>
      <c r="K12" s="27" t="inlineStr">
        <is>
          <t>https://novopsych.com/assessments/formulation/executive-skills-questionnaire-revised-esq-r/</t>
        </is>
      </c>
    </row>
    <row r="13" ht="23.85" customHeight="1" s="17">
      <c r="A13" s="27" t="inlineStr">
        <is>
          <t>ESQ-R</t>
        </is>
      </c>
      <c r="B13" s="27" t="inlineStr">
        <is>
          <t>Executive Skills Questionnaire - Revised (ESQ-R)</t>
        </is>
      </c>
      <c r="C13" s="27" t="inlineStr">
        <is>
          <t>1. Executive functioning and ADHD</t>
        </is>
      </c>
      <c r="D13" s="28" t="n">
        <v>12</v>
      </c>
      <c r="E13" s="27" t="inlineStr">
        <is>
          <t>If the first solution to a problem doesn't work, I have trouble thinking of a different one.</t>
        </is>
      </c>
      <c r="F13" s="27" t="inlineStr">
        <is>
          <t>Plan Management</t>
        </is>
      </c>
      <c r="G13" s="27" t="inlineStr">
        <is>
          <t>FALSE</t>
        </is>
      </c>
      <c r="H13" s="27" t="inlineStr">
        <is>
          <t>FALSE</t>
        </is>
      </c>
      <c r="I13" s="27" t="inlineStr">
        <is>
          <t>Never or rarely = 0 | Sometimes = 1 | Often = 2 | Very often = 3</t>
        </is>
      </c>
      <c r="J13" s="27" t="n"/>
      <c r="K13" s="27" t="inlineStr">
        <is>
          <t>https://novopsych.com/assessments/formulation/executive-skills-questionnaire-revised-esq-r/</t>
        </is>
      </c>
    </row>
    <row r="14" ht="23.85" customHeight="1" s="17">
      <c r="A14" s="27" t="inlineStr">
        <is>
          <t>ESQ-R</t>
        </is>
      </c>
      <c r="B14" s="27" t="inlineStr">
        <is>
          <t>Executive Skills Questionnaire - Revised (ESQ-R)</t>
        </is>
      </c>
      <c r="C14" s="27" t="inlineStr">
        <is>
          <t>1. Executive functioning and ADHD</t>
        </is>
      </c>
      <c r="D14" s="28" t="n">
        <v>13</v>
      </c>
      <c r="E14" s="27" t="inlineStr">
        <is>
          <t>I skip checking my work for mistakes, even when the stakes are high.</t>
        </is>
      </c>
      <c r="F14" s="27" t="inlineStr">
        <is>
          <t>Plan Management</t>
        </is>
      </c>
      <c r="G14" s="27" t="inlineStr">
        <is>
          <t>FALSE</t>
        </is>
      </c>
      <c r="H14" s="27" t="inlineStr">
        <is>
          <t>FALSE</t>
        </is>
      </c>
      <c r="I14" s="27" t="inlineStr">
        <is>
          <t>Never or rarely = 0 | Sometimes = 1 | Often = 2 | Very often = 3</t>
        </is>
      </c>
      <c r="J14" s="27" t="n"/>
      <c r="K14" s="27" t="inlineStr">
        <is>
          <t>https://novopsych.com/assessments/formulation/executive-skills-questionnaire-revised-esq-r/</t>
        </is>
      </c>
    </row>
    <row r="15" ht="23.85" customHeight="1" s="17">
      <c r="A15" s="27" t="inlineStr">
        <is>
          <t>ESQ-R</t>
        </is>
      </c>
      <c r="B15" s="27" t="inlineStr">
        <is>
          <t>Executive Skills Questionnaire - Revised (ESQ-R)</t>
        </is>
      </c>
      <c r="C15" s="27" t="inlineStr">
        <is>
          <t>1. Executive functioning and ADHD</t>
        </is>
      </c>
      <c r="D15" s="28" t="n">
        <v>14</v>
      </c>
      <c r="E15" s="27" t="inlineStr">
        <is>
          <t>I get annoyed when tasks are too hard.</t>
        </is>
      </c>
      <c r="F15" s="27" t="inlineStr">
        <is>
          <t>Plan Management</t>
        </is>
      </c>
      <c r="G15" s="27" t="inlineStr">
        <is>
          <t>FALSE</t>
        </is>
      </c>
      <c r="H15" s="27" t="inlineStr">
        <is>
          <t>FALSE</t>
        </is>
      </c>
      <c r="I15" s="27" t="inlineStr">
        <is>
          <t>Never or rarely = 0 | Sometimes = 1 | Often = 2 | Very often = 3</t>
        </is>
      </c>
      <c r="J15" s="27" t="n"/>
      <c r="K15" s="27" t="inlineStr">
        <is>
          <t>https://novopsych.com/assessments/formulation/executive-skills-questionnaire-revised-esq-r/</t>
        </is>
      </c>
    </row>
    <row r="16" ht="23.85" customHeight="1" s="17">
      <c r="A16" s="27" t="inlineStr">
        <is>
          <t>ESQ-R</t>
        </is>
      </c>
      <c r="B16" s="27" t="inlineStr">
        <is>
          <t>Executive Skills Questionnaire - Revised (ESQ-R)</t>
        </is>
      </c>
      <c r="C16" s="27" t="inlineStr">
        <is>
          <t>1. Executive functioning and ADHD</t>
        </is>
      </c>
      <c r="D16" s="28" t="n">
        <v>15</v>
      </c>
      <c r="E16" s="27" t="inlineStr">
        <is>
          <t>It's hard for me to put aside fun activities to start things I know I need to do.</t>
        </is>
      </c>
      <c r="F16" s="27" t="inlineStr">
        <is>
          <t>Time Management</t>
        </is>
      </c>
      <c r="G16" s="27" t="inlineStr">
        <is>
          <t>FALSE</t>
        </is>
      </c>
      <c r="H16" s="27" t="inlineStr">
        <is>
          <t>FALSE</t>
        </is>
      </c>
      <c r="I16" s="27" t="inlineStr">
        <is>
          <t>Never or rarely = 0 | Sometimes = 1 | Often = 2 | Very often = 3</t>
        </is>
      </c>
      <c r="J16" s="27" t="n"/>
      <c r="K16" s="27" t="inlineStr">
        <is>
          <t>https://novopsych.com/assessments/formulation/executive-skills-questionnaire-revised-esq-r/</t>
        </is>
      </c>
    </row>
    <row r="17" ht="23.85" customHeight="1" s="17">
      <c r="A17" s="27" t="inlineStr">
        <is>
          <t>ESQ-R</t>
        </is>
      </c>
      <c r="B17" s="27" t="inlineStr">
        <is>
          <t>Executive Skills Questionnaire - Revised (ESQ-R)</t>
        </is>
      </c>
      <c r="C17" s="27" t="inlineStr">
        <is>
          <t>1. Executive functioning and ADHD</t>
        </is>
      </c>
      <c r="D17" s="28" t="n">
        <v>16</v>
      </c>
      <c r="E17" s="27" t="inlineStr">
        <is>
          <t>I have trouble with tasks where I have to come up with my own ideas.</t>
        </is>
      </c>
      <c r="F17" s="27" t="inlineStr">
        <is>
          <t>Plan Management</t>
        </is>
      </c>
      <c r="G17" s="27" t="inlineStr">
        <is>
          <t>FALSE</t>
        </is>
      </c>
      <c r="H17" s="27" t="inlineStr">
        <is>
          <t>FALSE</t>
        </is>
      </c>
      <c r="I17" s="27" t="inlineStr">
        <is>
          <t>Never or rarely = 0 | Sometimes = 1 | Often = 2 | Very often = 3</t>
        </is>
      </c>
      <c r="J17" s="27" t="n"/>
      <c r="K17" s="27" t="inlineStr">
        <is>
          <t>https://novopsych.com/assessments/formulation/executive-skills-questionnaire-revised-esq-r/</t>
        </is>
      </c>
    </row>
    <row r="18" ht="23.85" customHeight="1" s="17">
      <c r="A18" s="27" t="inlineStr">
        <is>
          <t>ESQ-R</t>
        </is>
      </c>
      <c r="B18" s="27" t="inlineStr">
        <is>
          <t>Executive Skills Questionnaire - Revised (ESQ-R)</t>
        </is>
      </c>
      <c r="C18" s="27" t="inlineStr">
        <is>
          <t>1. Executive functioning and ADHD</t>
        </is>
      </c>
      <c r="D18" s="28" t="n">
        <v>17</v>
      </c>
      <c r="E18" s="27" t="inlineStr">
        <is>
          <t>It's hard for me to tell how well I'm doing on a task.</t>
        </is>
      </c>
      <c r="F18" s="27" t="inlineStr">
        <is>
          <t>Plan Management</t>
        </is>
      </c>
      <c r="G18" s="27" t="inlineStr">
        <is>
          <t>FALSE</t>
        </is>
      </c>
      <c r="H18" s="27" t="inlineStr">
        <is>
          <t>FALSE</t>
        </is>
      </c>
      <c r="I18" s="27" t="inlineStr">
        <is>
          <t>Never or rarely = 0 | Sometimes = 1 | Often = 2 | Very often = 3</t>
        </is>
      </c>
      <c r="J18" s="27" t="n"/>
      <c r="K18" s="27" t="inlineStr">
        <is>
          <t>https://novopsych.com/assessments/formulation/executive-skills-questionnaire-revised-esq-r/</t>
        </is>
      </c>
    </row>
    <row r="19" ht="23.85" customHeight="1" s="17">
      <c r="A19" s="27" t="inlineStr">
        <is>
          <t>ESQ-R</t>
        </is>
      </c>
      <c r="B19" s="27" t="inlineStr">
        <is>
          <t>Executive Skills Questionnaire - Revised (ESQ-R)</t>
        </is>
      </c>
      <c r="C19" s="27" t="inlineStr">
        <is>
          <t>1. Executive functioning and ADHD</t>
        </is>
      </c>
      <c r="D19" s="28" t="n">
        <v>18</v>
      </c>
      <c r="E19" s="27" t="inlineStr">
        <is>
          <t>I have trouble reaching long-term goals.</t>
        </is>
      </c>
      <c r="F19" s="27" t="inlineStr">
        <is>
          <t>Plan Management</t>
        </is>
      </c>
      <c r="G19" s="27" t="inlineStr">
        <is>
          <t>FALSE</t>
        </is>
      </c>
      <c r="H19" s="27" t="inlineStr">
        <is>
          <t>FALSE</t>
        </is>
      </c>
      <c r="I19" s="27" t="inlineStr">
        <is>
          <t>Never or rarely = 0 | Sometimes = 1 | Often = 2 | Very often = 3</t>
        </is>
      </c>
      <c r="J19" s="27" t="n"/>
      <c r="K19" s="27" t="inlineStr">
        <is>
          <t>https://novopsych.com/assessments/formulation/executive-skills-questionnaire-revised-esq-r/</t>
        </is>
      </c>
    </row>
    <row r="20" ht="23.85" customHeight="1" s="17">
      <c r="A20" s="27" t="inlineStr">
        <is>
          <t>ESQ-R</t>
        </is>
      </c>
      <c r="B20" s="27" t="inlineStr">
        <is>
          <t>Executive Skills Questionnaire - Revised (ESQ-R)</t>
        </is>
      </c>
      <c r="C20" s="27" t="inlineStr">
        <is>
          <t>1. Executive functioning and ADHD</t>
        </is>
      </c>
      <c r="D20" s="28" t="n">
        <v>19</v>
      </c>
      <c r="E20" s="27" t="inlineStr">
        <is>
          <t>I "go with my gut" when making decisions.</t>
        </is>
      </c>
      <c r="F20" s="27" t="inlineStr">
        <is>
          <t>Behavioral Regulation</t>
        </is>
      </c>
      <c r="G20" s="27" t="inlineStr">
        <is>
          <t>FALSE</t>
        </is>
      </c>
      <c r="H20" s="27" t="inlineStr">
        <is>
          <t>FALSE</t>
        </is>
      </c>
      <c r="I20" s="27" t="inlineStr">
        <is>
          <t>Never or rarely = 0 | Sometimes = 1 | Often = 2 | Very often = 3</t>
        </is>
      </c>
      <c r="J20" s="27" t="n"/>
      <c r="K20" s="27" t="inlineStr">
        <is>
          <t>https://novopsych.com/assessments/formulation/executive-skills-questionnaire-revised-esq-r/</t>
        </is>
      </c>
    </row>
    <row r="21" ht="23.85" customHeight="1" s="17">
      <c r="A21" s="27" t="inlineStr">
        <is>
          <t>ESQ-R</t>
        </is>
      </c>
      <c r="B21" s="27" t="inlineStr">
        <is>
          <t>Executive Skills Questionnaire - Revised (ESQ-R)</t>
        </is>
      </c>
      <c r="C21" s="27" t="inlineStr">
        <is>
          <t>1. Executive functioning and ADHD</t>
        </is>
      </c>
      <c r="D21" s="28" t="n">
        <v>20</v>
      </c>
      <c r="E21" s="27" t="inlineStr">
        <is>
          <t>I get so wrapped up in what I'm doing that I forget about other things I need to do.</t>
        </is>
      </c>
      <c r="F21" s="27" t="inlineStr">
        <is>
          <t>Time Management</t>
        </is>
      </c>
      <c r="G21" s="27" t="inlineStr">
        <is>
          <t>FALSE</t>
        </is>
      </c>
      <c r="H21" s="27" t="inlineStr">
        <is>
          <t>FALSE</t>
        </is>
      </c>
      <c r="I21" s="27" t="inlineStr">
        <is>
          <t>Never or rarely = 0 | Sometimes = 1 | Often = 2 | Very often = 3</t>
        </is>
      </c>
      <c r="J21" s="27" t="n"/>
      <c r="K21" s="27" t="inlineStr">
        <is>
          <t>https://novopsych.com/assessments/formulation/executive-skills-questionnaire-revised-esq-r/</t>
        </is>
      </c>
    </row>
    <row r="22" ht="23.85" customHeight="1" s="17">
      <c r="A22" s="27" t="inlineStr">
        <is>
          <t>ESQ-R</t>
        </is>
      </c>
      <c r="B22" s="27" t="inlineStr">
        <is>
          <t>Executive Skills Questionnaire - Revised (ESQ-R)</t>
        </is>
      </c>
      <c r="C22" s="27" t="inlineStr">
        <is>
          <t>1. Executive functioning and ADHD</t>
        </is>
      </c>
      <c r="D22" s="28" t="n">
        <v>21</v>
      </c>
      <c r="E22" s="27" t="inlineStr">
        <is>
          <t>Little things frustrate me.</t>
        </is>
      </c>
      <c r="F22" s="27" t="inlineStr">
        <is>
          <t>Emotional Regulation</t>
        </is>
      </c>
      <c r="G22" s="27" t="inlineStr">
        <is>
          <t>FALSE</t>
        </is>
      </c>
      <c r="H22" s="27" t="inlineStr">
        <is>
          <t>FALSE</t>
        </is>
      </c>
      <c r="I22" s="27" t="inlineStr">
        <is>
          <t>Never or rarely = 0 | Sometimes = 1 | Often = 2 | Very often = 3</t>
        </is>
      </c>
      <c r="J22" s="27" t="n"/>
      <c r="K22" s="27" t="inlineStr">
        <is>
          <t>https://novopsych.com/assessments/formulation/executive-skills-questionnaire-revised-esq-r/</t>
        </is>
      </c>
    </row>
    <row r="23" ht="23.85" customHeight="1" s="17">
      <c r="A23" s="27" t="inlineStr">
        <is>
          <t>ESQ-R</t>
        </is>
      </c>
      <c r="B23" s="27" t="inlineStr">
        <is>
          <t>Executive Skills Questionnaire - Revised (ESQ-R)</t>
        </is>
      </c>
      <c r="C23" s="27" t="inlineStr">
        <is>
          <t>1. Executive functioning and ADHD</t>
        </is>
      </c>
      <c r="D23" s="28" t="n">
        <v>22</v>
      </c>
      <c r="E23" s="27" t="inlineStr">
        <is>
          <t>I have trouble getting back on track if I'm interrupted.</t>
        </is>
      </c>
      <c r="F23" s="27" t="inlineStr">
        <is>
          <t>Plan Management</t>
        </is>
      </c>
      <c r="G23" s="27" t="inlineStr">
        <is>
          <t>FALSE</t>
        </is>
      </c>
      <c r="H23" s="27" t="inlineStr">
        <is>
          <t>FALSE</t>
        </is>
      </c>
      <c r="I23" s="27" t="inlineStr">
        <is>
          <t>Never or rarely = 0 | Sometimes = 1 | Often = 2 | Very often = 3</t>
        </is>
      </c>
      <c r="J23" s="27" t="n"/>
      <c r="K23" s="27" t="inlineStr">
        <is>
          <t>https://novopsych.com/assessments/formulation/executive-skills-questionnaire-revised-esq-r/</t>
        </is>
      </c>
    </row>
    <row r="24" ht="23.85" customHeight="1" s="17">
      <c r="A24" s="27" t="inlineStr">
        <is>
          <t>ESQ-R</t>
        </is>
      </c>
      <c r="B24" s="27" t="inlineStr">
        <is>
          <t>Executive Skills Questionnaire - Revised (ESQ-R)</t>
        </is>
      </c>
      <c r="C24" s="27" t="inlineStr">
        <is>
          <t>1. Executive functioning and ADHD</t>
        </is>
      </c>
      <c r="D24" s="28" t="n">
        <v>23</v>
      </c>
      <c r="E24" s="27" t="inlineStr">
        <is>
          <t>I have trouble making a plan.</t>
        </is>
      </c>
      <c r="F24" s="27" t="inlineStr">
        <is>
          <t>Plan Management</t>
        </is>
      </c>
      <c r="G24" s="27" t="inlineStr">
        <is>
          <t>FALSE</t>
        </is>
      </c>
      <c r="H24" s="27" t="inlineStr">
        <is>
          <t>FALSE</t>
        </is>
      </c>
      <c r="I24" s="27" t="inlineStr">
        <is>
          <t>Never or rarely = 0 | Sometimes = 1 | Often = 2 | Very often = 3</t>
        </is>
      </c>
      <c r="J24" s="27" t="n"/>
      <c r="K24" s="27" t="inlineStr">
        <is>
          <t>https://novopsych.com/assessments/formulation/executive-skills-questionnaire-revised-esq-r/</t>
        </is>
      </c>
    </row>
    <row r="25" ht="23.85" customHeight="1" s="17">
      <c r="A25" s="27" t="inlineStr">
        <is>
          <t>ESQ-R</t>
        </is>
      </c>
      <c r="B25" s="27" t="inlineStr">
        <is>
          <t>Executive Skills Questionnaire - Revised (ESQ-R)</t>
        </is>
      </c>
      <c r="C25" s="27" t="inlineStr">
        <is>
          <t>1. Executive functioning and ADHD</t>
        </is>
      </c>
      <c r="D25" s="28" t="n">
        <v>24</v>
      </c>
      <c r="E25" s="27" t="inlineStr">
        <is>
          <t>I miss the big picture.</t>
        </is>
      </c>
      <c r="F25" s="27" t="inlineStr">
        <is>
          <t>Plan Management</t>
        </is>
      </c>
      <c r="G25" s="27" t="inlineStr">
        <is>
          <t>FALSE</t>
        </is>
      </c>
      <c r="H25" s="27" t="inlineStr">
        <is>
          <t>FALSE</t>
        </is>
      </c>
      <c r="I25" s="27" t="inlineStr">
        <is>
          <t>Never or rarely = 0 | Sometimes = 1 | Often = 2 | Very often = 3</t>
        </is>
      </c>
      <c r="J25" s="27" t="n"/>
      <c r="K25" s="27" t="inlineStr">
        <is>
          <t>https://novopsych.com/assessments/formulation/executive-skills-questionnaire-revised-esq-r/</t>
        </is>
      </c>
    </row>
    <row r="26" ht="23.85" customHeight="1" s="17">
      <c r="A26" s="27" t="inlineStr">
        <is>
          <t>ESQ-R</t>
        </is>
      </c>
      <c r="B26" s="27" t="inlineStr">
        <is>
          <t>Executive Skills Questionnaire - Revised (ESQ-R)</t>
        </is>
      </c>
      <c r="C26" s="27" t="inlineStr">
        <is>
          <t>1. Executive functioning and ADHD</t>
        </is>
      </c>
      <c r="D26" s="28" t="n">
        <v>25</v>
      </c>
      <c r="E26" s="27" t="inlineStr">
        <is>
          <t>I live for the moment.</t>
        </is>
      </c>
      <c r="F26" s="27" t="inlineStr">
        <is>
          <t>Behavioral Regulation</t>
        </is>
      </c>
      <c r="G26" s="27" t="inlineStr">
        <is>
          <t>FALSE</t>
        </is>
      </c>
      <c r="H26" s="27" t="inlineStr">
        <is>
          <t>FALSE</t>
        </is>
      </c>
      <c r="I26" s="27" t="inlineStr">
        <is>
          <t>Never or rarely = 0 | Sometimes = 1 | Often = 2 | Very often = 3</t>
        </is>
      </c>
      <c r="J26" s="27" t="n"/>
      <c r="K26" s="27" t="inlineStr">
        <is>
          <t>https://novopsych.com/assessments/formulation/executive-skills-questionnaire-revised-esq-r/</t>
        </is>
      </c>
    </row>
    <row r="27" ht="35.05" customHeight="1" s="17">
      <c r="A27" s="27" t="inlineStr">
        <is>
          <t>CFI</t>
        </is>
      </c>
      <c r="B27" s="27" t="inlineStr">
        <is>
          <t>Cognitive Flexibility Inventory (CFI)</t>
        </is>
      </c>
      <c r="C27" s="27" t="inlineStr">
        <is>
          <t>1. Executive functioning and ADHD</t>
        </is>
      </c>
      <c r="D27" s="28" t="n">
        <v>1</v>
      </c>
      <c r="E27" s="27" t="inlineStr">
        <is>
          <t>I am good at "sizing up" situations.</t>
        </is>
      </c>
      <c r="F27" s="27" t="inlineStr">
        <is>
          <t>Alternatives</t>
        </is>
      </c>
      <c r="G27" s="27" t="inlineStr">
        <is>
          <t>FALSE</t>
        </is>
      </c>
      <c r="H27" s="27" t="inlineStr">
        <is>
          <t>FALSE</t>
        </is>
      </c>
      <c r="I27" s="27" t="inlineStr">
        <is>
          <t>Strongly disagree = 1 | Disagree = 2 | Somewhat disagree = 3 | Neutral = 4 | Somewhat agree = 5 | Agree = 6 | Strongly agree = 7</t>
        </is>
      </c>
      <c r="J27" s="27" t="n"/>
      <c r="K27" s="27" t="inlineStr">
        <is>
          <t>https://novopsych.com/assessments/formulation/cognitive-flexibility-inventory-cfi/</t>
        </is>
      </c>
    </row>
    <row r="28" ht="35.05" customHeight="1" s="17">
      <c r="A28" s="27" t="inlineStr">
        <is>
          <t>CFI</t>
        </is>
      </c>
      <c r="B28" s="27" t="inlineStr">
        <is>
          <t>Cognitive Flexibility Inventory (CFI)</t>
        </is>
      </c>
      <c r="C28" s="27" t="inlineStr">
        <is>
          <t>1. Executive functioning and ADHD</t>
        </is>
      </c>
      <c r="D28" s="28" t="n">
        <v>2</v>
      </c>
      <c r="E28" s="27" t="inlineStr">
        <is>
          <t>I have a hard time making decisions when faced with difficult situations.</t>
        </is>
      </c>
      <c r="F28" s="27" t="inlineStr">
        <is>
          <t>Control</t>
        </is>
      </c>
      <c r="G28" s="34" t="inlineStr">
        <is>
          <t>TRUE</t>
        </is>
      </c>
      <c r="H28" s="27" t="inlineStr">
        <is>
          <t>FALSE</t>
        </is>
      </c>
      <c r="I28" s="27" t="inlineStr">
        <is>
          <t>Strongly disagree = 1 | Disagree = 2 | Somewhat disagree = 3 | Neutral = 4 | Somewhat agree = 5 | Agree = 6 | Strongly agree = 7</t>
        </is>
      </c>
      <c r="J28" s="27" t="n"/>
      <c r="K28" s="27" t="inlineStr">
        <is>
          <t>https://novopsych.com/assessments/formulation/cognitive-flexibility-inventory-cfi/</t>
        </is>
      </c>
    </row>
    <row r="29" ht="35.05" customHeight="1" s="17">
      <c r="A29" s="27" t="inlineStr">
        <is>
          <t>CFI</t>
        </is>
      </c>
      <c r="B29" s="27" t="inlineStr">
        <is>
          <t>Cognitive Flexibility Inventory (CFI)</t>
        </is>
      </c>
      <c r="C29" s="27" t="inlineStr">
        <is>
          <t>1. Executive functioning and ADHD</t>
        </is>
      </c>
      <c r="D29" s="28" t="n">
        <v>3</v>
      </c>
      <c r="E29" s="27" t="inlineStr">
        <is>
          <t>I consider multiple options before making a decision.</t>
        </is>
      </c>
      <c r="F29" s="27" t="inlineStr">
        <is>
          <t>Alternatives</t>
        </is>
      </c>
      <c r="G29" s="27" t="inlineStr">
        <is>
          <t>FALSE</t>
        </is>
      </c>
      <c r="H29" s="27" t="inlineStr">
        <is>
          <t>FALSE</t>
        </is>
      </c>
      <c r="I29" s="27" t="inlineStr">
        <is>
          <t>Strongly disagree = 1 | Disagree = 2 | Somewhat disagree = 3 | Neutral = 4 | Somewhat agree = 5 | Agree = 6 | Strongly agree = 7</t>
        </is>
      </c>
      <c r="J29" s="27" t="n"/>
      <c r="K29" s="27" t="inlineStr">
        <is>
          <t>https://novopsych.com/assessments/formulation/cognitive-flexibility-inventory-cfi/</t>
        </is>
      </c>
    </row>
    <row r="30" ht="35.05" customHeight="1" s="17">
      <c r="A30" s="27" t="inlineStr">
        <is>
          <t>CFI</t>
        </is>
      </c>
      <c r="B30" s="27" t="inlineStr">
        <is>
          <t>Cognitive Flexibility Inventory (CFI)</t>
        </is>
      </c>
      <c r="C30" s="27" t="inlineStr">
        <is>
          <t>1. Executive functioning and ADHD</t>
        </is>
      </c>
      <c r="D30" s="28" t="n">
        <v>4</v>
      </c>
      <c r="E30" s="27" t="inlineStr">
        <is>
          <t>When I encounter difficult situations, I feel like I am losing control.</t>
        </is>
      </c>
      <c r="F30" s="27" t="inlineStr">
        <is>
          <t>Control</t>
        </is>
      </c>
      <c r="G30" s="34" t="inlineStr">
        <is>
          <t>TRUE</t>
        </is>
      </c>
      <c r="H30" s="27" t="inlineStr">
        <is>
          <t>FALSE</t>
        </is>
      </c>
      <c r="I30" s="27" t="inlineStr">
        <is>
          <t>Strongly disagree = 1 | Disagree = 2 | Somewhat disagree = 3 | Neutral = 4 | Somewhat agree = 5 | Agree = 6 | Strongly agree = 7</t>
        </is>
      </c>
      <c r="J30" s="27" t="n"/>
      <c r="K30" s="27" t="inlineStr">
        <is>
          <t>https://novopsych.com/assessments/formulation/cognitive-flexibility-inventory-cfi/</t>
        </is>
      </c>
    </row>
    <row r="31" ht="35.05" customHeight="1" s="17">
      <c r="A31" s="27" t="inlineStr">
        <is>
          <t>CFI</t>
        </is>
      </c>
      <c r="B31" s="27" t="inlineStr">
        <is>
          <t>Cognitive Flexibility Inventory (CFI)</t>
        </is>
      </c>
      <c r="C31" s="27" t="inlineStr">
        <is>
          <t>1. Executive functioning and ADHD</t>
        </is>
      </c>
      <c r="D31" s="28" t="n">
        <v>5</v>
      </c>
      <c r="E31" s="27" t="inlineStr">
        <is>
          <t>I like to look at difficult situations from many different angles.</t>
        </is>
      </c>
      <c r="F31" s="27" t="inlineStr">
        <is>
          <t>Alternatives</t>
        </is>
      </c>
      <c r="G31" s="27" t="inlineStr">
        <is>
          <t>FALSE</t>
        </is>
      </c>
      <c r="H31" s="27" t="inlineStr">
        <is>
          <t>FALSE</t>
        </is>
      </c>
      <c r="I31" s="27" t="inlineStr">
        <is>
          <t>Strongly disagree = 1 | Disagree = 2 | Somewhat disagree = 3 | Neutral = 4 | Somewhat agree = 5 | Agree = 6 | Strongly agree = 7</t>
        </is>
      </c>
      <c r="J31" s="27" t="n"/>
      <c r="K31" s="27" t="inlineStr">
        <is>
          <t>https://novopsych.com/assessments/formulation/cognitive-flexibility-inventory-cfi/</t>
        </is>
      </c>
    </row>
    <row r="32" ht="35.05" customHeight="1" s="17">
      <c r="A32" s="27" t="inlineStr">
        <is>
          <t>CFI</t>
        </is>
      </c>
      <c r="B32" s="27" t="inlineStr">
        <is>
          <t>Cognitive Flexibility Inventory (CFI)</t>
        </is>
      </c>
      <c r="C32" s="27" t="inlineStr">
        <is>
          <t>1. Executive functioning and ADHD</t>
        </is>
      </c>
      <c r="D32" s="28" t="n">
        <v>6</v>
      </c>
      <c r="E32" s="27" t="inlineStr">
        <is>
          <t>I seek additional information not immediately available before attributing causes to behaviour.</t>
        </is>
      </c>
      <c r="F32" s="27" t="inlineStr">
        <is>
          <t>Alternatives</t>
        </is>
      </c>
      <c r="G32" s="27" t="inlineStr">
        <is>
          <t>FALSE</t>
        </is>
      </c>
      <c r="H32" s="27" t="inlineStr">
        <is>
          <t>FALSE</t>
        </is>
      </c>
      <c r="I32" s="27" t="inlineStr">
        <is>
          <t>Strongly disagree = 1 | Disagree = 2 | Somewhat disagree = 3 | Neutral = 4 | Somewhat agree = 5 | Agree = 6 | Strongly agree = 7</t>
        </is>
      </c>
      <c r="J32" s="27" t="n"/>
      <c r="K32" s="27" t="inlineStr">
        <is>
          <t>https://novopsych.com/assessments/formulation/cognitive-flexibility-inventory-cfi/</t>
        </is>
      </c>
    </row>
    <row r="33" ht="35.05" customHeight="1" s="17">
      <c r="A33" s="27" t="inlineStr">
        <is>
          <t>CFI</t>
        </is>
      </c>
      <c r="B33" s="27" t="inlineStr">
        <is>
          <t>Cognitive Flexibility Inventory (CFI)</t>
        </is>
      </c>
      <c r="C33" s="27" t="inlineStr">
        <is>
          <t>1. Executive functioning and ADHD</t>
        </is>
      </c>
      <c r="D33" s="28" t="n">
        <v>7</v>
      </c>
      <c r="E33" s="27" t="inlineStr">
        <is>
          <t>When encountering difficult situations, I become so stressed that I can not think of a way to resolve the situation.</t>
        </is>
      </c>
      <c r="F33" s="27" t="inlineStr">
        <is>
          <t>Control</t>
        </is>
      </c>
      <c r="G33" s="34" t="inlineStr">
        <is>
          <t>TRUE</t>
        </is>
      </c>
      <c r="H33" s="27" t="inlineStr">
        <is>
          <t>FALSE</t>
        </is>
      </c>
      <c r="I33" s="27" t="inlineStr">
        <is>
          <t>Strongly disagree = 1 | Disagree = 2 | Somewhat disagree = 3 | Neutral = 4 | Somewhat agree = 5 | Agree = 6 | Strongly agree = 7</t>
        </is>
      </c>
      <c r="J33" s="27" t="n"/>
      <c r="K33" s="27" t="inlineStr">
        <is>
          <t>https://novopsych.com/assessments/formulation/cognitive-flexibility-inventory-cfi/</t>
        </is>
      </c>
    </row>
    <row r="34" ht="35.05" customHeight="1" s="17">
      <c r="A34" s="27" t="inlineStr">
        <is>
          <t>CFI</t>
        </is>
      </c>
      <c r="B34" s="27" t="inlineStr">
        <is>
          <t>Cognitive Flexibility Inventory (CFI)</t>
        </is>
      </c>
      <c r="C34" s="27" t="inlineStr">
        <is>
          <t>1. Executive functioning and ADHD</t>
        </is>
      </c>
      <c r="D34" s="28" t="n">
        <v>8</v>
      </c>
      <c r="E34" s="27" t="inlineStr">
        <is>
          <t>I try to think about things from another person's point of view.</t>
        </is>
      </c>
      <c r="F34" s="27" t="inlineStr">
        <is>
          <t>Alternatives</t>
        </is>
      </c>
      <c r="G34" s="27" t="inlineStr">
        <is>
          <t>FALSE</t>
        </is>
      </c>
      <c r="H34" s="27" t="inlineStr">
        <is>
          <t>FALSE</t>
        </is>
      </c>
      <c r="I34" s="27" t="inlineStr">
        <is>
          <t>Strongly disagree = 1 | Disagree = 2 | Somewhat disagree = 3 | Neutral = 4 | Somewhat agree = 5 | Agree = 6 | Strongly agree = 7</t>
        </is>
      </c>
      <c r="J34" s="27" t="n"/>
      <c r="K34" s="27" t="inlineStr">
        <is>
          <t>https://novopsych.com/assessments/formulation/cognitive-flexibility-inventory-cfi/</t>
        </is>
      </c>
    </row>
    <row r="35" ht="35.05" customHeight="1" s="17">
      <c r="A35" s="27" t="inlineStr">
        <is>
          <t>CFI</t>
        </is>
      </c>
      <c r="B35" s="27" t="inlineStr">
        <is>
          <t>Cognitive Flexibility Inventory (CFI)</t>
        </is>
      </c>
      <c r="C35" s="27" t="inlineStr">
        <is>
          <t>1. Executive functioning and ADHD</t>
        </is>
      </c>
      <c r="D35" s="28" t="n">
        <v>9</v>
      </c>
      <c r="E35" s="27" t="inlineStr">
        <is>
          <t>I find it troublesome that there are so many different ways to deal with difficult situations.</t>
        </is>
      </c>
      <c r="F35" s="27" t="inlineStr">
        <is>
          <t>Control</t>
        </is>
      </c>
      <c r="G35" s="34" t="inlineStr">
        <is>
          <t>TRUE</t>
        </is>
      </c>
      <c r="H35" s="27" t="inlineStr">
        <is>
          <t>FALSE</t>
        </is>
      </c>
      <c r="I35" s="27" t="inlineStr">
        <is>
          <t>Strongly disagree = 1 | Disagree = 2 | Somewhat disagree = 3 | Neutral = 4 | Somewhat agree = 5 | Agree = 6 | Strongly agree = 7</t>
        </is>
      </c>
      <c r="J35" s="27" t="n"/>
      <c r="K35" s="27" t="inlineStr">
        <is>
          <t>https://novopsych.com/assessments/formulation/cognitive-flexibility-inventory-cfi/</t>
        </is>
      </c>
    </row>
    <row r="36" ht="35.05" customHeight="1" s="17">
      <c r="A36" s="27" t="inlineStr">
        <is>
          <t>CFI</t>
        </is>
      </c>
      <c r="B36" s="27" t="inlineStr">
        <is>
          <t>Cognitive Flexibility Inventory (CFI)</t>
        </is>
      </c>
      <c r="C36" s="27" t="inlineStr">
        <is>
          <t>1. Executive functioning and ADHD</t>
        </is>
      </c>
      <c r="D36" s="28" t="n">
        <v>10</v>
      </c>
      <c r="E36" s="27" t="inlineStr">
        <is>
          <t>I am good at putting myself in others' shoes.</t>
        </is>
      </c>
      <c r="F36" s="27" t="inlineStr">
        <is>
          <t>Alternatives</t>
        </is>
      </c>
      <c r="G36" s="27" t="inlineStr">
        <is>
          <t>FALSE</t>
        </is>
      </c>
      <c r="H36" s="27" t="inlineStr">
        <is>
          <t>FALSE</t>
        </is>
      </c>
      <c r="I36" s="27" t="inlineStr">
        <is>
          <t>Strongly disagree = 1 | Disagree = 2 | Somewhat disagree = 3 | Neutral = 4 | Somewhat agree = 5 | Agree = 6 | Strongly agree = 7</t>
        </is>
      </c>
      <c r="J36" s="27" t="n"/>
      <c r="K36" s="27" t="inlineStr">
        <is>
          <t>https://novopsych.com/assessments/formulation/cognitive-flexibility-inventory-cfi/</t>
        </is>
      </c>
    </row>
    <row r="37" ht="35.05" customHeight="1" s="17">
      <c r="A37" s="27" t="inlineStr">
        <is>
          <t>CFI</t>
        </is>
      </c>
      <c r="B37" s="27" t="inlineStr">
        <is>
          <t>Cognitive Flexibility Inventory (CFI)</t>
        </is>
      </c>
      <c r="C37" s="27" t="inlineStr">
        <is>
          <t>1. Executive functioning and ADHD</t>
        </is>
      </c>
      <c r="D37" s="28" t="n">
        <v>11</v>
      </c>
      <c r="E37" s="27" t="inlineStr">
        <is>
          <t>When I encounter difficult situations, I just don't know what to do.</t>
        </is>
      </c>
      <c r="F37" s="27" t="inlineStr">
        <is>
          <t>Control</t>
        </is>
      </c>
      <c r="G37" s="34" t="inlineStr">
        <is>
          <t>TRUE</t>
        </is>
      </c>
      <c r="H37" s="27" t="inlineStr">
        <is>
          <t>FALSE</t>
        </is>
      </c>
      <c r="I37" s="27" t="inlineStr">
        <is>
          <t>Strongly disagree = 1 | Disagree = 2 | Somewhat disagree = 3 | Neutral = 4 | Somewhat agree = 5 | Agree = 6 | Strongly agree = 7</t>
        </is>
      </c>
      <c r="J37" s="27" t="n"/>
      <c r="K37" s="27" t="inlineStr">
        <is>
          <t>https://novopsych.com/assessments/formulation/cognitive-flexibility-inventory-cfi/</t>
        </is>
      </c>
    </row>
    <row r="38" ht="35.05" customHeight="1" s="17">
      <c r="A38" s="27" t="inlineStr">
        <is>
          <t>CFI</t>
        </is>
      </c>
      <c r="B38" s="27" t="inlineStr">
        <is>
          <t>Cognitive Flexibility Inventory (CFI)</t>
        </is>
      </c>
      <c r="C38" s="27" t="inlineStr">
        <is>
          <t>1. Executive functioning and ADHD</t>
        </is>
      </c>
      <c r="D38" s="28" t="n">
        <v>12</v>
      </c>
      <c r="E38" s="27" t="inlineStr">
        <is>
          <t>It is important to look at difficult situations from many angles.</t>
        </is>
      </c>
      <c r="F38" s="27" t="inlineStr">
        <is>
          <t>Alternatives</t>
        </is>
      </c>
      <c r="G38" s="27" t="inlineStr">
        <is>
          <t>FALSE</t>
        </is>
      </c>
      <c r="H38" s="27" t="inlineStr">
        <is>
          <t>FALSE</t>
        </is>
      </c>
      <c r="I38" s="27" t="inlineStr">
        <is>
          <t>Strongly disagree = 1 | Disagree = 2 | Somewhat disagree = 3 | Neutral = 4 | Somewhat agree = 5 | Agree = 6 | Strongly agree = 7</t>
        </is>
      </c>
      <c r="J38" s="27" t="n"/>
      <c r="K38" s="27" t="inlineStr">
        <is>
          <t>https://novopsych.com/assessments/formulation/cognitive-flexibility-inventory-cfi/</t>
        </is>
      </c>
    </row>
    <row r="39" ht="35.05" customHeight="1" s="17">
      <c r="A39" s="27" t="inlineStr">
        <is>
          <t>CFI</t>
        </is>
      </c>
      <c r="B39" s="27" t="inlineStr">
        <is>
          <t>Cognitive Flexibility Inventory (CFI)</t>
        </is>
      </c>
      <c r="C39" s="27" t="inlineStr">
        <is>
          <t>1. Executive functioning and ADHD</t>
        </is>
      </c>
      <c r="D39" s="28" t="n">
        <v>13</v>
      </c>
      <c r="E39" s="27" t="inlineStr">
        <is>
          <t>When in difficult situations, I consider multiple options before deciding how to behave.</t>
        </is>
      </c>
      <c r="F39" s="27" t="inlineStr">
        <is>
          <t>Alternatives</t>
        </is>
      </c>
      <c r="G39" s="27" t="inlineStr">
        <is>
          <t>FALSE</t>
        </is>
      </c>
      <c r="H39" s="27" t="inlineStr">
        <is>
          <t>FALSE</t>
        </is>
      </c>
      <c r="I39" s="27" t="inlineStr">
        <is>
          <t>Strongly disagree = 1 | Disagree = 2 | Somewhat disagree = 3 | Neutral = 4 | Somewhat agree = 5 | Agree = 6 | Strongly agree = 7</t>
        </is>
      </c>
      <c r="J39" s="27" t="n"/>
      <c r="K39" s="27" t="inlineStr">
        <is>
          <t>https://novopsych.com/assessments/formulation/cognitive-flexibility-inventory-cfi/</t>
        </is>
      </c>
    </row>
    <row r="40" ht="35.05" customHeight="1" s="17">
      <c r="A40" s="27" t="inlineStr">
        <is>
          <t>CFI</t>
        </is>
      </c>
      <c r="B40" s="27" t="inlineStr">
        <is>
          <t>Cognitive Flexibility Inventory (CFI)</t>
        </is>
      </c>
      <c r="C40" s="27" t="inlineStr">
        <is>
          <t>1. Executive functioning and ADHD</t>
        </is>
      </c>
      <c r="D40" s="28" t="n">
        <v>14</v>
      </c>
      <c r="E40" s="27" t="inlineStr">
        <is>
          <t>I often look at a situation from different view-points.</t>
        </is>
      </c>
      <c r="F40" s="27" t="inlineStr">
        <is>
          <t>Alternatives</t>
        </is>
      </c>
      <c r="G40" s="27" t="inlineStr">
        <is>
          <t>FALSE</t>
        </is>
      </c>
      <c r="H40" s="27" t="inlineStr">
        <is>
          <t>FALSE</t>
        </is>
      </c>
      <c r="I40" s="27" t="inlineStr">
        <is>
          <t>Strongly disagree = 1 | Disagree = 2 | Somewhat disagree = 3 | Neutral = 4 | Somewhat agree = 5 | Agree = 6 | Strongly agree = 7</t>
        </is>
      </c>
      <c r="J40" s="27" t="n"/>
      <c r="K40" s="27" t="inlineStr">
        <is>
          <t>https://novopsych.com/assessments/formulation/cognitive-flexibility-inventory-cfi/</t>
        </is>
      </c>
    </row>
    <row r="41" ht="35.05" customHeight="1" s="17">
      <c r="A41" s="27" t="inlineStr">
        <is>
          <t>CFI</t>
        </is>
      </c>
      <c r="B41" s="27" t="inlineStr">
        <is>
          <t>Cognitive Flexibility Inventory (CFI)</t>
        </is>
      </c>
      <c r="C41" s="27" t="inlineStr">
        <is>
          <t>1. Executive functioning and ADHD</t>
        </is>
      </c>
      <c r="D41" s="28" t="n">
        <v>15</v>
      </c>
      <c r="E41" s="27" t="inlineStr">
        <is>
          <t>I am capable of overcoming the difficulties in life that I face.</t>
        </is>
      </c>
      <c r="F41" s="27" t="inlineStr">
        <is>
          <t>Control</t>
        </is>
      </c>
      <c r="G41" s="27" t="inlineStr">
        <is>
          <t>FALSE</t>
        </is>
      </c>
      <c r="H41" s="27" t="inlineStr">
        <is>
          <t>FALSE</t>
        </is>
      </c>
      <c r="I41" s="27" t="inlineStr">
        <is>
          <t>Strongly disagree = 1 | Disagree = 2 | Somewhat disagree = 3 | Neutral = 4 | Somewhat agree = 5 | Agree = 6 | Strongly agree = 7</t>
        </is>
      </c>
      <c r="J41" s="27" t="n"/>
      <c r="K41" s="27" t="inlineStr">
        <is>
          <t>https://novopsych.com/assessments/formulation/cognitive-flexibility-inventory-cfi/</t>
        </is>
      </c>
    </row>
    <row r="42" ht="35.05" customHeight="1" s="17">
      <c r="A42" s="27" t="inlineStr">
        <is>
          <t>CFI</t>
        </is>
      </c>
      <c r="B42" s="27" t="inlineStr">
        <is>
          <t>Cognitive Flexibility Inventory (CFI)</t>
        </is>
      </c>
      <c r="C42" s="27" t="inlineStr">
        <is>
          <t>1. Executive functioning and ADHD</t>
        </is>
      </c>
      <c r="D42" s="28" t="n">
        <v>16</v>
      </c>
      <c r="E42" s="27" t="inlineStr">
        <is>
          <t>I consider all the available facts and information when attributing causes to behaviour.</t>
        </is>
      </c>
      <c r="F42" s="27" t="inlineStr">
        <is>
          <t>Alternatives</t>
        </is>
      </c>
      <c r="G42" s="27" t="inlineStr">
        <is>
          <t>FALSE</t>
        </is>
      </c>
      <c r="H42" s="27" t="inlineStr">
        <is>
          <t>FALSE</t>
        </is>
      </c>
      <c r="I42" s="27" t="inlineStr">
        <is>
          <t>Strongly disagree = 1 | Disagree = 2 | Somewhat disagree = 3 | Neutral = 4 | Somewhat agree = 5 | Agree = 6 | Strongly agree = 7</t>
        </is>
      </c>
      <c r="J42" s="27" t="n"/>
      <c r="K42" s="27" t="inlineStr">
        <is>
          <t>https://novopsych.com/assessments/formulation/cognitive-flexibility-inventory-cfi/</t>
        </is>
      </c>
    </row>
    <row r="43" ht="35.05" customHeight="1" s="17">
      <c r="A43" s="27" t="inlineStr">
        <is>
          <t>CFI</t>
        </is>
      </c>
      <c r="B43" s="27" t="inlineStr">
        <is>
          <t>Cognitive Flexibility Inventory (CFI)</t>
        </is>
      </c>
      <c r="C43" s="27" t="inlineStr">
        <is>
          <t>1. Executive functioning and ADHD</t>
        </is>
      </c>
      <c r="D43" s="28" t="n">
        <v>17</v>
      </c>
      <c r="E43" s="27" t="inlineStr">
        <is>
          <t>I feel I have no power to change things in difficult situations.</t>
        </is>
      </c>
      <c r="F43" s="27" t="inlineStr">
        <is>
          <t>Control</t>
        </is>
      </c>
      <c r="G43" s="34" t="inlineStr">
        <is>
          <t>TRUE</t>
        </is>
      </c>
      <c r="H43" s="27" t="inlineStr">
        <is>
          <t>FALSE</t>
        </is>
      </c>
      <c r="I43" s="27" t="inlineStr">
        <is>
          <t>Strongly disagree = 1 | Disagree = 2 | Somewhat disagree = 3 | Neutral = 4 | Somewhat agree = 5 | Agree = 6 | Strongly agree = 7</t>
        </is>
      </c>
      <c r="J43" s="27" t="n"/>
      <c r="K43" s="27" t="inlineStr">
        <is>
          <t>https://novopsych.com/assessments/formulation/cognitive-flexibility-inventory-cfi/</t>
        </is>
      </c>
    </row>
    <row r="44" ht="35.05" customHeight="1" s="17">
      <c r="A44" s="27" t="inlineStr">
        <is>
          <t>CFI</t>
        </is>
      </c>
      <c r="B44" s="27" t="inlineStr">
        <is>
          <t>Cognitive Flexibility Inventory (CFI)</t>
        </is>
      </c>
      <c r="C44" s="27" t="inlineStr">
        <is>
          <t>1. Executive functioning and ADHD</t>
        </is>
      </c>
      <c r="D44" s="28" t="n">
        <v>18</v>
      </c>
      <c r="E44" s="27" t="inlineStr">
        <is>
          <t>When I encounter difficult situations, I stop and try to think of several ways to resolve it.</t>
        </is>
      </c>
      <c r="F44" s="27" t="inlineStr">
        <is>
          <t>Alternatives</t>
        </is>
      </c>
      <c r="G44" s="27" t="inlineStr">
        <is>
          <t>FALSE</t>
        </is>
      </c>
      <c r="H44" s="27" t="inlineStr">
        <is>
          <t>FALSE</t>
        </is>
      </c>
      <c r="I44" s="27" t="inlineStr">
        <is>
          <t>Strongly disagree = 1 | Disagree = 2 | Somewhat disagree = 3 | Neutral = 4 | Somewhat agree = 5 | Agree = 6 | Strongly agree = 7</t>
        </is>
      </c>
      <c r="J44" s="27" t="n"/>
      <c r="K44" s="27" t="inlineStr">
        <is>
          <t>https://novopsych.com/assessments/formulation/cognitive-flexibility-inventory-cfi/</t>
        </is>
      </c>
    </row>
    <row r="45" ht="35.05" customHeight="1" s="17">
      <c r="A45" s="27" t="inlineStr">
        <is>
          <t>CFI</t>
        </is>
      </c>
      <c r="B45" s="27" t="inlineStr">
        <is>
          <t>Cognitive Flexibility Inventory (CFI)</t>
        </is>
      </c>
      <c r="C45" s="27" t="inlineStr">
        <is>
          <t>1. Executive functioning and ADHD</t>
        </is>
      </c>
      <c r="D45" s="28" t="n">
        <v>19</v>
      </c>
      <c r="E45" s="27" t="inlineStr">
        <is>
          <t>I can think of more than one way to resolve a difficult situation I'm confronted with.</t>
        </is>
      </c>
      <c r="F45" s="27" t="inlineStr">
        <is>
          <t>Alternatives</t>
        </is>
      </c>
      <c r="G45" s="27" t="inlineStr">
        <is>
          <t>FALSE</t>
        </is>
      </c>
      <c r="H45" s="27" t="inlineStr">
        <is>
          <t>FALSE</t>
        </is>
      </c>
      <c r="I45" s="27" t="inlineStr">
        <is>
          <t>Strongly disagree = 1 | Disagree = 2 | Somewhat disagree = 3 | Neutral = 4 | Somewhat agree = 5 | Agree = 6 | Strongly agree = 7</t>
        </is>
      </c>
      <c r="J45" s="27" t="n"/>
      <c r="K45" s="27" t="inlineStr">
        <is>
          <t>https://novopsych.com/assessments/formulation/cognitive-flexibility-inventory-cfi/</t>
        </is>
      </c>
    </row>
    <row r="46" ht="35.05" customHeight="1" s="17">
      <c r="A46" s="27" t="inlineStr">
        <is>
          <t>CFI</t>
        </is>
      </c>
      <c r="B46" s="27" t="inlineStr">
        <is>
          <t>Cognitive Flexibility Inventory (CFI)</t>
        </is>
      </c>
      <c r="C46" s="27" t="inlineStr">
        <is>
          <t>1. Executive functioning and ADHD</t>
        </is>
      </c>
      <c r="D46" s="28" t="n">
        <v>20</v>
      </c>
      <c r="E46" s="27" t="inlineStr">
        <is>
          <t>I consider multiple options before responding to difficult situations.</t>
        </is>
      </c>
      <c r="F46" s="27" t="inlineStr">
        <is>
          <t>Alternatives</t>
        </is>
      </c>
      <c r="G46" s="27" t="inlineStr">
        <is>
          <t>FALSE</t>
        </is>
      </c>
      <c r="H46" s="27" t="inlineStr">
        <is>
          <t>FALSE</t>
        </is>
      </c>
      <c r="I46" s="27" t="inlineStr">
        <is>
          <t>Strongly disagree = 1 | Disagree = 2 | Somewhat disagree = 3 | Neutral = 4 | Somewhat agree = 5 | Agree = 6 | Strongly agree = 7</t>
        </is>
      </c>
      <c r="J46" s="27" t="n"/>
      <c r="K46" s="27" t="inlineStr">
        <is>
          <t>https://novopsych.com/assessments/formulation/cognitive-flexibility-inventory-cfi/</t>
        </is>
      </c>
    </row>
    <row r="47" ht="23.85" customHeight="1" s="17">
      <c r="A47" s="27" t="inlineStr">
        <is>
          <t>ASRS</t>
        </is>
      </c>
      <c r="B47" s="27" t="inlineStr">
        <is>
          <t>Adult ADHD Self-Report Scale (ASRS v1.1)</t>
        </is>
      </c>
      <c r="C47" s="27" t="inlineStr">
        <is>
          <t>1. Executive functioning and ADHD</t>
        </is>
      </c>
      <c r="D47" s="28" t="n">
        <v>1</v>
      </c>
      <c r="E47" s="27" t="inlineStr">
        <is>
          <t>How often do you have trouble wrapping up the final details of a project, once the challenging parts have been done?</t>
        </is>
      </c>
      <c r="F47" s="27" t="inlineStr">
        <is>
          <t>Part A | Inattentiveness</t>
        </is>
      </c>
      <c r="G47" s="27" t="inlineStr">
        <is>
          <t>FALSE</t>
        </is>
      </c>
      <c r="H47" s="27" t="inlineStr">
        <is>
          <t>FALSE</t>
        </is>
      </c>
      <c r="I47" s="27" t="inlineStr">
        <is>
          <t>Never = 0 | Rarely = 1 | Sometimes = 2 | Often = 3 | Very Often = 4</t>
        </is>
      </c>
      <c r="J47" s="27" t="n"/>
      <c r="K47" s="27" t="inlineStr">
        <is>
          <t>https://novopsych.com/assessments/diagnosis/adult-adhd-self-report-scale-asrs/</t>
        </is>
      </c>
    </row>
    <row r="48" ht="23.85" customHeight="1" s="17">
      <c r="A48" s="27" t="inlineStr">
        <is>
          <t>ASRS</t>
        </is>
      </c>
      <c r="B48" s="27" t="inlineStr">
        <is>
          <t>Adult ADHD Self-Report Scale (ASRS v1.1)</t>
        </is>
      </c>
      <c r="C48" s="27" t="inlineStr">
        <is>
          <t>1. Executive functioning and ADHD</t>
        </is>
      </c>
      <c r="D48" s="28" t="n">
        <v>2</v>
      </c>
      <c r="E48" s="27" t="inlineStr">
        <is>
          <t>How often do you have difficulty getting things in order when you have to do a task that requires organisation?</t>
        </is>
      </c>
      <c r="F48" s="27" t="inlineStr">
        <is>
          <t>Part A | Inattentiveness</t>
        </is>
      </c>
      <c r="G48" s="27" t="inlineStr">
        <is>
          <t>FALSE</t>
        </is>
      </c>
      <c r="H48" s="27" t="inlineStr">
        <is>
          <t>FALSE</t>
        </is>
      </c>
      <c r="I48" s="27" t="inlineStr">
        <is>
          <t>Never = 0 | Rarely = 1 | Sometimes = 2 | Often = 3 | Very Often = 4</t>
        </is>
      </c>
      <c r="J48" s="27" t="n"/>
      <c r="K48" s="27" t="inlineStr">
        <is>
          <t>https://novopsych.com/assessments/diagnosis/adult-adhd-self-report-scale-asrs/</t>
        </is>
      </c>
    </row>
    <row r="49" ht="23.85" customHeight="1" s="17">
      <c r="A49" s="27" t="inlineStr">
        <is>
          <t>ASRS</t>
        </is>
      </c>
      <c r="B49" s="27" t="inlineStr">
        <is>
          <t>Adult ADHD Self-Report Scale (ASRS v1.1)</t>
        </is>
      </c>
      <c r="C49" s="27" t="inlineStr">
        <is>
          <t>1. Executive functioning and ADHD</t>
        </is>
      </c>
      <c r="D49" s="28" t="n">
        <v>3</v>
      </c>
      <c r="E49" s="27" t="inlineStr">
        <is>
          <t>How often do you have problems remembering appointments or obligations?</t>
        </is>
      </c>
      <c r="F49" s="27" t="inlineStr">
        <is>
          <t>Part A | Inattentiveness</t>
        </is>
      </c>
      <c r="G49" s="27" t="inlineStr">
        <is>
          <t>FALSE</t>
        </is>
      </c>
      <c r="H49" s="27" t="inlineStr">
        <is>
          <t>FALSE</t>
        </is>
      </c>
      <c r="I49" s="27" t="inlineStr">
        <is>
          <t>Never = 0 | Rarely = 1 | Sometimes = 2 | Often = 3 | Very Often = 4</t>
        </is>
      </c>
      <c r="J49" s="27" t="n"/>
      <c r="K49" s="27" t="inlineStr">
        <is>
          <t>https://novopsych.com/assessments/diagnosis/adult-adhd-self-report-scale-asrs/</t>
        </is>
      </c>
    </row>
    <row r="50" ht="23.85" customHeight="1" s="17">
      <c r="A50" s="27" t="inlineStr">
        <is>
          <t>ASRS</t>
        </is>
      </c>
      <c r="B50" s="27" t="inlineStr">
        <is>
          <t>Adult ADHD Self-Report Scale (ASRS v1.1)</t>
        </is>
      </c>
      <c r="C50" s="27" t="inlineStr">
        <is>
          <t>1. Executive functioning and ADHD</t>
        </is>
      </c>
      <c r="D50" s="28" t="n">
        <v>4</v>
      </c>
      <c r="E50" s="27" t="inlineStr">
        <is>
          <t>When you have a task that requires a lot of thought, how often do you avoid or delay getting started?</t>
        </is>
      </c>
      <c r="F50" s="27" t="inlineStr">
        <is>
          <t>Part A | Inattentiveness</t>
        </is>
      </c>
      <c r="G50" s="27" t="inlineStr">
        <is>
          <t>FALSE</t>
        </is>
      </c>
      <c r="H50" s="27" t="inlineStr">
        <is>
          <t>FALSE</t>
        </is>
      </c>
      <c r="I50" s="27" t="inlineStr">
        <is>
          <t>Never = 0 | Rarely = 1 | Sometimes = 2 | Often = 3 | Very Often = 4</t>
        </is>
      </c>
      <c r="J50" s="27" t="n"/>
      <c r="K50" s="27" t="inlineStr">
        <is>
          <t>https://novopsych.com/assessments/diagnosis/adult-adhd-self-report-scale-asrs/</t>
        </is>
      </c>
    </row>
    <row r="51" ht="23.85" customHeight="1" s="17">
      <c r="A51" s="27" t="inlineStr">
        <is>
          <t>ASRS</t>
        </is>
      </c>
      <c r="B51" s="27" t="inlineStr">
        <is>
          <t>Adult ADHD Self-Report Scale (ASRS v1.1)</t>
        </is>
      </c>
      <c r="C51" s="27" t="inlineStr">
        <is>
          <t>1. Executive functioning and ADHD</t>
        </is>
      </c>
      <c r="D51" s="28" t="n">
        <v>5</v>
      </c>
      <c r="E51" s="27" t="inlineStr">
        <is>
          <t>How often do you fidget or squirm with your hands or feet when you have to sit down for a long time?</t>
        </is>
      </c>
      <c r="F51" s="27" t="inlineStr">
        <is>
          <t>Part A | Hyperactivity/Impulsivity - Motor</t>
        </is>
      </c>
      <c r="G51" s="27" t="inlineStr">
        <is>
          <t>FALSE</t>
        </is>
      </c>
      <c r="H51" s="27" t="inlineStr">
        <is>
          <t>FALSE</t>
        </is>
      </c>
      <c r="I51" s="27" t="inlineStr">
        <is>
          <t>Never = 0 | Rarely = 1 | Sometimes = 2 | Often = 3 | Very Often = 4</t>
        </is>
      </c>
      <c r="J51" s="27" t="n"/>
      <c r="K51" s="27" t="inlineStr">
        <is>
          <t>https://novopsych.com/assessments/diagnosis/adult-adhd-self-report-scale-asrs/</t>
        </is>
      </c>
    </row>
    <row r="52" ht="23.85" customHeight="1" s="17">
      <c r="A52" s="27" t="inlineStr">
        <is>
          <t>ASRS</t>
        </is>
      </c>
      <c r="B52" s="27" t="inlineStr">
        <is>
          <t>Adult ADHD Self-Report Scale (ASRS v1.1)</t>
        </is>
      </c>
      <c r="C52" s="27" t="inlineStr">
        <is>
          <t>1. Executive functioning and ADHD</t>
        </is>
      </c>
      <c r="D52" s="28" t="n">
        <v>6</v>
      </c>
      <c r="E52" s="27" t="inlineStr">
        <is>
          <t>How often do you feel overly active and compelled to do things, like you were driven by a motor?</t>
        </is>
      </c>
      <c r="F52" s="27" t="inlineStr">
        <is>
          <t>Part A | Hyperactivity/Impulsivity - Motor</t>
        </is>
      </c>
      <c r="G52" s="27" t="inlineStr">
        <is>
          <t>FALSE</t>
        </is>
      </c>
      <c r="H52" s="27" t="inlineStr">
        <is>
          <t>FALSE</t>
        </is>
      </c>
      <c r="I52" s="27" t="inlineStr">
        <is>
          <t>Never = 0 | Rarely = 1 | Sometimes = 2 | Often = 3 | Very Often = 4</t>
        </is>
      </c>
      <c r="J52" s="27" t="n"/>
      <c r="K52" s="27" t="inlineStr">
        <is>
          <t>https://novopsych.com/assessments/diagnosis/adult-adhd-self-report-scale-asrs/</t>
        </is>
      </c>
    </row>
    <row r="53" ht="23.85" customHeight="1" s="17">
      <c r="A53" s="27" t="inlineStr">
        <is>
          <t>ASRS</t>
        </is>
      </c>
      <c r="B53" s="27" t="inlineStr">
        <is>
          <t>Adult ADHD Self-Report Scale (ASRS v1.1)</t>
        </is>
      </c>
      <c r="C53" s="27" t="inlineStr">
        <is>
          <t>1. Executive functioning and ADHD</t>
        </is>
      </c>
      <c r="D53" s="28" t="n">
        <v>7</v>
      </c>
      <c r="E53" s="27" t="inlineStr">
        <is>
          <t>How often do you make careless mistakes when you have to work on a boring or difficult project?</t>
        </is>
      </c>
      <c r="F53" s="27" t="inlineStr">
        <is>
          <t>Part B | Inattentiveness</t>
        </is>
      </c>
      <c r="G53" s="27" t="inlineStr">
        <is>
          <t>FALSE</t>
        </is>
      </c>
      <c r="H53" s="27" t="inlineStr">
        <is>
          <t>FALSE</t>
        </is>
      </c>
      <c r="I53" s="27" t="inlineStr">
        <is>
          <t>Never = 0 | Rarely = 1 | Sometimes = 2 | Often = 3 | Very Often = 4</t>
        </is>
      </c>
      <c r="J53" s="27" t="n"/>
      <c r="K53" s="27" t="inlineStr">
        <is>
          <t>https://novopsych.com/assessments/diagnosis/adult-adhd-self-report-scale-asrs/</t>
        </is>
      </c>
    </row>
    <row r="54" ht="23.85" customHeight="1" s="17">
      <c r="A54" s="27" t="inlineStr">
        <is>
          <t>ASRS</t>
        </is>
      </c>
      <c r="B54" s="27" t="inlineStr">
        <is>
          <t>Adult ADHD Self-Report Scale (ASRS v1.1)</t>
        </is>
      </c>
      <c r="C54" s="27" t="inlineStr">
        <is>
          <t>1. Executive functioning and ADHD</t>
        </is>
      </c>
      <c r="D54" s="28" t="n">
        <v>8</v>
      </c>
      <c r="E54" s="27" t="inlineStr">
        <is>
          <t>How often do you have difficulty keeping your attention when you are doing boring or repetitive work?</t>
        </is>
      </c>
      <c r="F54" s="27" t="inlineStr">
        <is>
          <t>Part B | Inattentiveness</t>
        </is>
      </c>
      <c r="G54" s="27" t="inlineStr">
        <is>
          <t>FALSE</t>
        </is>
      </c>
      <c r="H54" s="27" t="inlineStr">
        <is>
          <t>FALSE</t>
        </is>
      </c>
      <c r="I54" s="27" t="inlineStr">
        <is>
          <t>Never = 0 | Rarely = 1 | Sometimes = 2 | Often = 3 | Very Often = 4</t>
        </is>
      </c>
      <c r="J54" s="27" t="n"/>
      <c r="K54" s="27" t="inlineStr">
        <is>
          <t>https://novopsych.com/assessments/diagnosis/adult-adhd-self-report-scale-asrs/</t>
        </is>
      </c>
    </row>
    <row r="55" ht="23.85" customHeight="1" s="17">
      <c r="A55" s="27" t="inlineStr">
        <is>
          <t>ASRS</t>
        </is>
      </c>
      <c r="B55" s="27" t="inlineStr">
        <is>
          <t>Adult ADHD Self-Report Scale (ASRS v1.1)</t>
        </is>
      </c>
      <c r="C55" s="27" t="inlineStr">
        <is>
          <t>1. Executive functioning and ADHD</t>
        </is>
      </c>
      <c r="D55" s="28" t="n">
        <v>9</v>
      </c>
      <c r="E55" s="27" t="inlineStr">
        <is>
          <t>How often do you have difficulty concentrating on what people say to you, even when they are speaking to you directly?</t>
        </is>
      </c>
      <c r="F55" s="27" t="inlineStr">
        <is>
          <t>Part B | Inattentiveness</t>
        </is>
      </c>
      <c r="G55" s="27" t="inlineStr">
        <is>
          <t>FALSE</t>
        </is>
      </c>
      <c r="H55" s="27" t="inlineStr">
        <is>
          <t>FALSE</t>
        </is>
      </c>
      <c r="I55" s="27" t="inlineStr">
        <is>
          <t>Never = 0 | Rarely = 1 | Sometimes = 2 | Often = 3 | Very Often = 4</t>
        </is>
      </c>
      <c r="J55" s="27" t="n"/>
      <c r="K55" s="27" t="inlineStr">
        <is>
          <t>https://novopsych.com/assessments/diagnosis/adult-adhd-self-report-scale-asrs/</t>
        </is>
      </c>
    </row>
    <row r="56" ht="23.85" customHeight="1" s="17">
      <c r="A56" s="27" t="inlineStr">
        <is>
          <t>ASRS</t>
        </is>
      </c>
      <c r="B56" s="27" t="inlineStr">
        <is>
          <t>Adult ADHD Self-Report Scale (ASRS v1.1)</t>
        </is>
      </c>
      <c r="C56" s="27" t="inlineStr">
        <is>
          <t>1. Executive functioning and ADHD</t>
        </is>
      </c>
      <c r="D56" s="28" t="n">
        <v>10</v>
      </c>
      <c r="E56" s="27" t="inlineStr">
        <is>
          <t>How often do you misplace or have difficulty finding things at home or at work?</t>
        </is>
      </c>
      <c r="F56" s="27" t="inlineStr">
        <is>
          <t>Part B | Inattentiveness</t>
        </is>
      </c>
      <c r="G56" s="27" t="inlineStr">
        <is>
          <t>FALSE</t>
        </is>
      </c>
      <c r="H56" s="27" t="inlineStr">
        <is>
          <t>FALSE</t>
        </is>
      </c>
      <c r="I56" s="27" t="inlineStr">
        <is>
          <t>Never = 0 | Rarely = 1 | Sometimes = 2 | Often = 3 | Very Often = 4</t>
        </is>
      </c>
      <c r="J56" s="27" t="n"/>
      <c r="K56" s="27" t="inlineStr">
        <is>
          <t>https://novopsych.com/assessments/diagnosis/adult-adhd-self-report-scale-asrs/</t>
        </is>
      </c>
    </row>
    <row r="57" ht="23.85" customHeight="1" s="17">
      <c r="A57" s="27" t="inlineStr">
        <is>
          <t>ASRS</t>
        </is>
      </c>
      <c r="B57" s="27" t="inlineStr">
        <is>
          <t>Adult ADHD Self-Report Scale (ASRS v1.1)</t>
        </is>
      </c>
      <c r="C57" s="27" t="inlineStr">
        <is>
          <t>1. Executive functioning and ADHD</t>
        </is>
      </c>
      <c r="D57" s="28" t="n">
        <v>11</v>
      </c>
      <c r="E57" s="27" t="inlineStr">
        <is>
          <t>How often are you distracted by activity or noise around you?</t>
        </is>
      </c>
      <c r="F57" s="27" t="inlineStr">
        <is>
          <t>Part B | Inattentiveness</t>
        </is>
      </c>
      <c r="G57" s="27" t="inlineStr">
        <is>
          <t>FALSE</t>
        </is>
      </c>
      <c r="H57" s="27" t="inlineStr">
        <is>
          <t>FALSE</t>
        </is>
      </c>
      <c r="I57" s="27" t="inlineStr">
        <is>
          <t>Never = 0 | Rarely = 1 | Sometimes = 2 | Often = 3 | Very Often = 4</t>
        </is>
      </c>
      <c r="J57" s="27" t="n"/>
      <c r="K57" s="27" t="inlineStr">
        <is>
          <t>https://novopsych.com/assessments/diagnosis/adult-adhd-self-report-scale-asrs/</t>
        </is>
      </c>
    </row>
    <row r="58" ht="23.85" customHeight="1" s="17">
      <c r="A58" s="27" t="inlineStr">
        <is>
          <t>ASRS</t>
        </is>
      </c>
      <c r="B58" s="27" t="inlineStr">
        <is>
          <t>Adult ADHD Self-Report Scale (ASRS v1.1)</t>
        </is>
      </c>
      <c r="C58" s="27" t="inlineStr">
        <is>
          <t>1. Executive functioning and ADHD</t>
        </is>
      </c>
      <c r="D58" s="28" t="n">
        <v>12</v>
      </c>
      <c r="E58" s="27" t="inlineStr">
        <is>
          <t>How often do you leave your seat in meetings or other situations in which you are expected to remain seated?</t>
        </is>
      </c>
      <c r="F58" s="27" t="inlineStr">
        <is>
          <t>Part B | Hyperactivity/Impulsivity - Motor</t>
        </is>
      </c>
      <c r="G58" s="27" t="inlineStr">
        <is>
          <t>FALSE</t>
        </is>
      </c>
      <c r="H58" s="27" t="inlineStr">
        <is>
          <t>FALSE</t>
        </is>
      </c>
      <c r="I58" s="27" t="inlineStr">
        <is>
          <t>Never = 0 | Rarely = 1 | Sometimes = 2 | Often = 3 | Very Often = 4</t>
        </is>
      </c>
      <c r="J58" s="27" t="n"/>
      <c r="K58" s="27" t="inlineStr">
        <is>
          <t>https://novopsych.com/assessments/diagnosis/adult-adhd-self-report-scale-asrs/</t>
        </is>
      </c>
    </row>
    <row r="59" ht="23.85" customHeight="1" s="17">
      <c r="A59" s="27" t="inlineStr">
        <is>
          <t>ASRS</t>
        </is>
      </c>
      <c r="B59" s="27" t="inlineStr">
        <is>
          <t>Adult ADHD Self-Report Scale (ASRS v1.1)</t>
        </is>
      </c>
      <c r="C59" s="27" t="inlineStr">
        <is>
          <t>1. Executive functioning and ADHD</t>
        </is>
      </c>
      <c r="D59" s="28" t="n">
        <v>13</v>
      </c>
      <c r="E59" s="27" t="inlineStr">
        <is>
          <t>How often do you feel restless or fidgety?</t>
        </is>
      </c>
      <c r="F59" s="27" t="inlineStr">
        <is>
          <t>Part B | Hyperactivity/Impulsivity - Motor</t>
        </is>
      </c>
      <c r="G59" s="27" t="inlineStr">
        <is>
          <t>FALSE</t>
        </is>
      </c>
      <c r="H59" s="27" t="inlineStr">
        <is>
          <t>FALSE</t>
        </is>
      </c>
      <c r="I59" s="27" t="inlineStr">
        <is>
          <t>Never = 0 | Rarely = 1 | Sometimes = 2 | Often = 3 | Very Often = 4</t>
        </is>
      </c>
      <c r="J59" s="27" t="n"/>
      <c r="K59" s="27" t="inlineStr">
        <is>
          <t>https://novopsych.com/assessments/diagnosis/adult-adhd-self-report-scale-asrs/</t>
        </is>
      </c>
    </row>
    <row r="60" ht="23.85" customHeight="1" s="17">
      <c r="A60" s="27" t="inlineStr">
        <is>
          <t>ASRS</t>
        </is>
      </c>
      <c r="B60" s="27" t="inlineStr">
        <is>
          <t>Adult ADHD Self-Report Scale (ASRS v1.1)</t>
        </is>
      </c>
      <c r="C60" s="27" t="inlineStr">
        <is>
          <t>1. Executive functioning and ADHD</t>
        </is>
      </c>
      <c r="D60" s="28" t="n">
        <v>14</v>
      </c>
      <c r="E60" s="27" t="inlineStr">
        <is>
          <t>How often do you have difficulty unwinding and relaxing when you have time to yourself?</t>
        </is>
      </c>
      <c r="F60" s="27" t="inlineStr">
        <is>
          <t>Part B | Hyperactivity/Impulsivity - Motor</t>
        </is>
      </c>
      <c r="G60" s="27" t="inlineStr">
        <is>
          <t>FALSE</t>
        </is>
      </c>
      <c r="H60" s="27" t="inlineStr">
        <is>
          <t>FALSE</t>
        </is>
      </c>
      <c r="I60" s="27" t="inlineStr">
        <is>
          <t>Never = 0 | Rarely = 1 | Sometimes = 2 | Often = 3 | Very Often = 4</t>
        </is>
      </c>
      <c r="J60" s="27" t="n"/>
      <c r="K60" s="27" t="inlineStr">
        <is>
          <t>https://novopsych.com/assessments/diagnosis/adult-adhd-self-report-scale-asrs/</t>
        </is>
      </c>
    </row>
    <row r="61" ht="23.85" customHeight="1" s="17">
      <c r="A61" s="27" t="inlineStr">
        <is>
          <t>ASRS</t>
        </is>
      </c>
      <c r="B61" s="27" t="inlineStr">
        <is>
          <t>Adult ADHD Self-Report Scale (ASRS v1.1)</t>
        </is>
      </c>
      <c r="C61" s="27" t="inlineStr">
        <is>
          <t>1. Executive functioning and ADHD</t>
        </is>
      </c>
      <c r="D61" s="28" t="n">
        <v>15</v>
      </c>
      <c r="E61" s="27" t="inlineStr">
        <is>
          <t>How often do you find yourself talking too much when you are in social situations?</t>
        </is>
      </c>
      <c r="F61" s="27" t="inlineStr">
        <is>
          <t>Part B | Hyperactivity/Impulsivity - Verbal</t>
        </is>
      </c>
      <c r="G61" s="27" t="inlineStr">
        <is>
          <t>FALSE</t>
        </is>
      </c>
      <c r="H61" s="27" t="inlineStr">
        <is>
          <t>FALSE</t>
        </is>
      </c>
      <c r="I61" s="27" t="inlineStr">
        <is>
          <t>Never = 0 | Rarely = 1 | Sometimes = 2 | Often = 3 | Very Often = 4</t>
        </is>
      </c>
      <c r="J61" s="27" t="n"/>
      <c r="K61" s="27" t="inlineStr">
        <is>
          <t>https://novopsych.com/assessments/diagnosis/adult-adhd-self-report-scale-asrs/</t>
        </is>
      </c>
    </row>
    <row r="62" ht="23.85" customHeight="1" s="17">
      <c r="A62" s="27" t="inlineStr">
        <is>
          <t>ASRS</t>
        </is>
      </c>
      <c r="B62" s="27" t="inlineStr">
        <is>
          <t>Adult ADHD Self-Report Scale (ASRS v1.1)</t>
        </is>
      </c>
      <c r="C62" s="27" t="inlineStr">
        <is>
          <t>1. Executive functioning and ADHD</t>
        </is>
      </c>
      <c r="D62" s="28" t="n">
        <v>16</v>
      </c>
      <c r="E62" s="27" t="inlineStr">
        <is>
          <t>When you're in a conversation, how often do you find yourself finishing the sentences of the people you are talking to, before they can finish them themselves?</t>
        </is>
      </c>
      <c r="F62" s="27" t="inlineStr">
        <is>
          <t>Part B | Hyperactivity/Impulsivity - Verbal</t>
        </is>
      </c>
      <c r="G62" s="27" t="inlineStr">
        <is>
          <t>FALSE</t>
        </is>
      </c>
      <c r="H62" s="27" t="inlineStr">
        <is>
          <t>FALSE</t>
        </is>
      </c>
      <c r="I62" s="27" t="inlineStr">
        <is>
          <t>Never = 0 | Rarely = 1 | Sometimes = 2 | Often = 3 | Very Often = 4</t>
        </is>
      </c>
      <c r="J62" s="27" t="n"/>
      <c r="K62" s="27" t="inlineStr">
        <is>
          <t>https://novopsych.com/assessments/diagnosis/adult-adhd-self-report-scale-asrs/</t>
        </is>
      </c>
    </row>
    <row r="63" ht="23.85" customHeight="1" s="17">
      <c r="A63" s="27" t="inlineStr">
        <is>
          <t>ASRS</t>
        </is>
      </c>
      <c r="B63" s="27" t="inlineStr">
        <is>
          <t>Adult ADHD Self-Report Scale (ASRS v1.1)</t>
        </is>
      </c>
      <c r="C63" s="27" t="inlineStr">
        <is>
          <t>1. Executive functioning and ADHD</t>
        </is>
      </c>
      <c r="D63" s="28" t="n">
        <v>17</v>
      </c>
      <c r="E63" s="27" t="inlineStr">
        <is>
          <t>How often do you have difficulty waiting your turn in situations when turn taking is required?</t>
        </is>
      </c>
      <c r="F63" s="27" t="inlineStr">
        <is>
          <t>Part B | Hyperactivity/Impulsivity - Verbal</t>
        </is>
      </c>
      <c r="G63" s="27" t="inlineStr">
        <is>
          <t>FALSE</t>
        </is>
      </c>
      <c r="H63" s="27" t="inlineStr">
        <is>
          <t>FALSE</t>
        </is>
      </c>
      <c r="I63" s="27" t="inlineStr">
        <is>
          <t>Never = 0 | Rarely = 1 | Sometimes = 2 | Often = 3 | Very Often = 4</t>
        </is>
      </c>
      <c r="J63" s="27" t="n"/>
      <c r="K63" s="27" t="inlineStr">
        <is>
          <t>https://novopsych.com/assessments/diagnosis/adult-adhd-self-report-scale-asrs/</t>
        </is>
      </c>
    </row>
    <row r="64" ht="23.85" customHeight="1" s="17">
      <c r="A64" s="27" t="inlineStr">
        <is>
          <t>ASRS</t>
        </is>
      </c>
      <c r="B64" s="27" t="inlineStr">
        <is>
          <t>Adult ADHD Self-Report Scale (ASRS v1.1)</t>
        </is>
      </c>
      <c r="C64" s="27" t="inlineStr">
        <is>
          <t>1. Executive functioning and ADHD</t>
        </is>
      </c>
      <c r="D64" s="28" t="n">
        <v>18</v>
      </c>
      <c r="E64" s="27" t="inlineStr">
        <is>
          <t>How often do you interrupt others when they are busy?</t>
        </is>
      </c>
      <c r="F64" s="27" t="inlineStr">
        <is>
          <t>Part B | Hyperactivity/Impulsivity - Verbal</t>
        </is>
      </c>
      <c r="G64" s="27" t="inlineStr">
        <is>
          <t>FALSE</t>
        </is>
      </c>
      <c r="H64" s="27" t="inlineStr">
        <is>
          <t>FALSE</t>
        </is>
      </c>
      <c r="I64" s="27" t="inlineStr">
        <is>
          <t>Never = 0 | Rarely = 1 | Sometimes = 2 | Often = 3 | Very Often = 4</t>
        </is>
      </c>
      <c r="J64" s="27" t="n"/>
      <c r="K64" s="27" t="inlineStr">
        <is>
          <t>https://novopsych.com/assessments/diagnosis/adult-adhd-self-report-scale-asrs/</t>
        </is>
      </c>
    </row>
    <row r="65" ht="23.85" customHeight="1" s="17">
      <c r="A65" s="27" t="inlineStr">
        <is>
          <t>SKS</t>
        </is>
      </c>
      <c r="B65" s="27" t="inlineStr">
        <is>
          <t>Strengths Knowledge Scale</t>
        </is>
      </c>
      <c r="C65" s="27" t="inlineStr">
        <is>
          <t>2. Strengths knowledge, use and support at work</t>
        </is>
      </c>
      <c r="D65" s="28" t="n">
        <v>1</v>
      </c>
      <c r="E65" s="27" t="inlineStr">
        <is>
          <t>Other people see the strengths that I have</t>
        </is>
      </c>
      <c r="F65" s="27" t="inlineStr">
        <is>
          <t>Strengths Knowledge (total scale)</t>
        </is>
      </c>
      <c r="G65" s="27" t="inlineStr">
        <is>
          <t>FALSE</t>
        </is>
      </c>
      <c r="H65" s="27" t="inlineStr">
        <is>
          <t>FALSE</t>
        </is>
      </c>
      <c r="I65" s="27" t="inlineStr">
        <is>
          <t>Strongly disagree = 1 | 2 = 2 | 3 = 3 | 4 = 4 | 5 = 5 | 6 = 6 | Strongly agree = 7</t>
        </is>
      </c>
      <c r="J65" s="27" t="inlineStr">
        <is>
          <t>Verbatim as reproduced in Frontiers in Psychology (2023), Table 5, citing Govindji &amp; Linley (2007).</t>
        </is>
      </c>
      <c r="K65" s="27" t="inlineStr">
        <is>
          <t>https://www.frontiersin.org/journals/psychology/articles/10.3389/fpsyg.2023.1086510/full</t>
        </is>
      </c>
    </row>
    <row r="66" ht="79.84999999999999" customHeight="1" s="17">
      <c r="A66" s="27" t="inlineStr">
        <is>
          <t>SKS</t>
        </is>
      </c>
      <c r="B66" s="27" t="inlineStr">
        <is>
          <t>Strengths Knowledge Scale</t>
        </is>
      </c>
      <c r="C66" s="27" t="inlineStr">
        <is>
          <t>2. Strengths knowledge, use and support at work</t>
        </is>
      </c>
      <c r="D66" s="28" t="n">
        <v>2</v>
      </c>
      <c r="E66" s="27" t="inlineStr">
        <is>
          <t>I have to think hard about what my strengths are</t>
        </is>
      </c>
      <c r="F66" s="27" t="inlineStr">
        <is>
          <t>Strengths Knowledge (total scale)</t>
        </is>
      </c>
      <c r="G66" s="27" t="inlineStr">
        <is>
          <t>FALSE</t>
        </is>
      </c>
      <c r="H66" s="27" t="inlineStr">
        <is>
          <t>FALSE</t>
        </is>
      </c>
      <c r="I66" s="27" t="inlineStr">
        <is>
          <t>Strongly disagree = 1 | 2 = 2 | 3 = 3 | 4 = 4 | 5 = 5 | 6 = 6 | Strongly agree = 7</t>
        </is>
      </c>
      <c r="J66" s="27" t="inlineStr">
        <is>
          <t>Verbatim as reproduced in Frontiers in Psychology (2023), Table 5. One secondary aggregator source (db.arabpsychology.com) describes this item as reverse-scored, but the Frontiers (2023) reproduction directly consulted for this record states no reverse-scored items are present for either scale, so reverse scoring for this item could not be independently confirmed and is left unmarked pending sight of the original 2007 scoring key.</t>
        </is>
      </c>
      <c r="K66" s="27" t="inlineStr">
        <is>
          <t>https://www.frontiersin.org/journals/psychology/articles/10.3389/fpsyg.2023.1086510/full</t>
        </is>
      </c>
    </row>
    <row r="67" ht="23.85" customHeight="1" s="17">
      <c r="A67" s="27" t="inlineStr">
        <is>
          <t>SKS</t>
        </is>
      </c>
      <c r="B67" s="27" t="inlineStr">
        <is>
          <t>Strengths Knowledge Scale</t>
        </is>
      </c>
      <c r="C67" s="27" t="inlineStr">
        <is>
          <t>2. Strengths knowledge, use and support at work</t>
        </is>
      </c>
      <c r="D67" s="28" t="n">
        <v>3</v>
      </c>
      <c r="E67" s="27" t="inlineStr">
        <is>
          <t>I know what I do best</t>
        </is>
      </c>
      <c r="F67" s="27" t="inlineStr">
        <is>
          <t>Strengths Knowledge (total scale)</t>
        </is>
      </c>
      <c r="G67" s="27" t="inlineStr">
        <is>
          <t>FALSE</t>
        </is>
      </c>
      <c r="H67" s="27" t="inlineStr">
        <is>
          <t>FALSE</t>
        </is>
      </c>
      <c r="I67" s="27" t="inlineStr">
        <is>
          <t>Strongly disagree = 1 | 2 = 2 | 3 = 3 | 4 = 4 | 5 = 5 | 6 = 6 | Strongly agree = 7</t>
        </is>
      </c>
      <c r="J67" s="27" t="inlineStr">
        <is>
          <t>Verbatim as reproduced in Frontiers in Psychology (2023), Table 5.</t>
        </is>
      </c>
      <c r="K67" s="27" t="inlineStr">
        <is>
          <t>https://www.frontiersin.org/journals/psychology/articles/10.3389/fpsyg.2023.1086510/full</t>
        </is>
      </c>
    </row>
    <row r="68" ht="23.85" customHeight="1" s="17">
      <c r="A68" s="27" t="inlineStr">
        <is>
          <t>SKS</t>
        </is>
      </c>
      <c r="B68" s="27" t="inlineStr">
        <is>
          <t>Strengths Knowledge Scale</t>
        </is>
      </c>
      <c r="C68" s="27" t="inlineStr">
        <is>
          <t>2. Strengths knowledge, use and support at work</t>
        </is>
      </c>
      <c r="D68" s="28" t="n">
        <v>4</v>
      </c>
      <c r="E68" s="27" t="inlineStr">
        <is>
          <t>I am aware of my strengths</t>
        </is>
      </c>
      <c r="F68" s="27" t="inlineStr">
        <is>
          <t>Strengths Knowledge (total scale)</t>
        </is>
      </c>
      <c r="G68" s="27" t="inlineStr">
        <is>
          <t>FALSE</t>
        </is>
      </c>
      <c r="H68" s="27" t="inlineStr">
        <is>
          <t>FALSE</t>
        </is>
      </c>
      <c r="I68" s="27" t="inlineStr">
        <is>
          <t>Strongly disagree = 1 | 2 = 2 | 3 = 3 | 4 = 4 | 5 = 5 | 6 = 6 | Strongly agree = 7</t>
        </is>
      </c>
      <c r="J68" s="27" t="inlineStr">
        <is>
          <t>Verbatim as reproduced in Frontiers in Psychology (2023), Table 5.</t>
        </is>
      </c>
      <c r="K68" s="27" t="inlineStr">
        <is>
          <t>https://www.frontiersin.org/journals/psychology/articles/10.3389/fpsyg.2023.1086510/full</t>
        </is>
      </c>
    </row>
    <row r="69" ht="23.85" customHeight="1" s="17">
      <c r="A69" s="27" t="inlineStr">
        <is>
          <t>SKS</t>
        </is>
      </c>
      <c r="B69" s="27" t="inlineStr">
        <is>
          <t>Strengths Knowledge Scale</t>
        </is>
      </c>
      <c r="C69" s="27" t="inlineStr">
        <is>
          <t>2. Strengths knowledge, use and support at work</t>
        </is>
      </c>
      <c r="D69" s="28" t="n">
        <v>5</v>
      </c>
      <c r="E69" s="27" t="inlineStr">
        <is>
          <t>I know the things I am good at doing</t>
        </is>
      </c>
      <c r="F69" s="27" t="inlineStr">
        <is>
          <t>Strengths Knowledge (total scale)</t>
        </is>
      </c>
      <c r="G69" s="27" t="inlineStr">
        <is>
          <t>FALSE</t>
        </is>
      </c>
      <c r="H69" s="27" t="inlineStr">
        <is>
          <t>FALSE</t>
        </is>
      </c>
      <c r="I69" s="27" t="inlineStr">
        <is>
          <t>Strongly disagree = 1 | 2 = 2 | 3 = 3 | 4 = 4 | 5 = 5 | 6 = 6 | Strongly agree = 7</t>
        </is>
      </c>
      <c r="J69" s="27" t="inlineStr">
        <is>
          <t>Verbatim as reproduced in Frontiers in Psychology (2023), Table 5.</t>
        </is>
      </c>
      <c r="K69" s="27" t="inlineStr">
        <is>
          <t>https://www.frontiersin.org/journals/psychology/articles/10.3389/fpsyg.2023.1086510/full</t>
        </is>
      </c>
    </row>
    <row r="70" ht="23.85" customHeight="1" s="17">
      <c r="A70" s="27" t="inlineStr">
        <is>
          <t>SKS</t>
        </is>
      </c>
      <c r="B70" s="27" t="inlineStr">
        <is>
          <t>Strengths Knowledge Scale</t>
        </is>
      </c>
      <c r="C70" s="27" t="inlineStr">
        <is>
          <t>2. Strengths knowledge, use and support at work</t>
        </is>
      </c>
      <c r="D70" s="28" t="n">
        <v>6</v>
      </c>
      <c r="E70" s="27" t="inlineStr">
        <is>
          <t>I know my strengths well</t>
        </is>
      </c>
      <c r="F70" s="27" t="inlineStr">
        <is>
          <t>Strengths Knowledge (total scale)</t>
        </is>
      </c>
      <c r="G70" s="27" t="inlineStr">
        <is>
          <t>FALSE</t>
        </is>
      </c>
      <c r="H70" s="27" t="inlineStr">
        <is>
          <t>FALSE</t>
        </is>
      </c>
      <c r="I70" s="27" t="inlineStr">
        <is>
          <t>Strongly disagree = 1 | 2 = 2 | 3 = 3 | 4 = 4 | 5 = 5 | 6 = 6 | Strongly agree = 7</t>
        </is>
      </c>
      <c r="J70" s="27" t="inlineStr">
        <is>
          <t>Verbatim as reproduced in Frontiers in Psychology (2023), Table 5.</t>
        </is>
      </c>
      <c r="K70" s="27" t="inlineStr">
        <is>
          <t>https://www.frontiersin.org/journals/psychology/articles/10.3389/fpsyg.2023.1086510/full</t>
        </is>
      </c>
    </row>
    <row r="71" ht="23.85" customHeight="1" s="17">
      <c r="A71" s="27" t="inlineStr">
        <is>
          <t>SKS</t>
        </is>
      </c>
      <c r="B71" s="27" t="inlineStr">
        <is>
          <t>Strengths Knowledge Scale</t>
        </is>
      </c>
      <c r="C71" s="27" t="inlineStr">
        <is>
          <t>2. Strengths knowledge, use and support at work</t>
        </is>
      </c>
      <c r="D71" s="28" t="n">
        <v>7</v>
      </c>
      <c r="E71" s="27" t="inlineStr">
        <is>
          <t>I know the things I do best</t>
        </is>
      </c>
      <c r="F71" s="27" t="inlineStr">
        <is>
          <t>Strengths Knowledge (total scale)</t>
        </is>
      </c>
      <c r="G71" s="27" t="inlineStr">
        <is>
          <t>FALSE</t>
        </is>
      </c>
      <c r="H71" s="27" t="inlineStr">
        <is>
          <t>FALSE</t>
        </is>
      </c>
      <c r="I71" s="27" t="inlineStr">
        <is>
          <t>Strongly disagree = 1 | 2 = 2 | 3 = 3 | 4 = 4 | 5 = 5 | 6 = 6 | Strongly agree = 7</t>
        </is>
      </c>
      <c r="J71" s="27" t="inlineStr">
        <is>
          <t>Verbatim as reproduced in Frontiers in Psychology (2023), Table 5.</t>
        </is>
      </c>
      <c r="K71" s="27" t="inlineStr">
        <is>
          <t>https://www.frontiersin.org/journals/psychology/articles/10.3389/fpsyg.2023.1086510/full</t>
        </is>
      </c>
    </row>
    <row r="72" ht="23.85" customHeight="1" s="17">
      <c r="A72" s="27" t="inlineStr">
        <is>
          <t>SKS</t>
        </is>
      </c>
      <c r="B72" s="27" t="inlineStr">
        <is>
          <t>Strengths Knowledge Scale</t>
        </is>
      </c>
      <c r="C72" s="27" t="inlineStr">
        <is>
          <t>2. Strengths knowledge, use and support at work</t>
        </is>
      </c>
      <c r="D72" s="28" t="n">
        <v>8</v>
      </c>
      <c r="E72" s="27" t="inlineStr">
        <is>
          <t>I know when I am at my best</t>
        </is>
      </c>
      <c r="F72" s="27" t="inlineStr">
        <is>
          <t>Strengths Knowledge (total scale)</t>
        </is>
      </c>
      <c r="G72" s="27" t="inlineStr">
        <is>
          <t>FALSE</t>
        </is>
      </c>
      <c r="H72" s="27" t="inlineStr">
        <is>
          <t>FALSE</t>
        </is>
      </c>
      <c r="I72" s="27" t="inlineStr">
        <is>
          <t>Strongly disagree = 1 | 2 = 2 | 3 = 3 | 4 = 4 | 5 = 5 | 6 = 6 | Strongly agree = 7</t>
        </is>
      </c>
      <c r="J72" s="27" t="inlineStr">
        <is>
          <t>Verbatim as reproduced in Frontiers in Psychology (2023), Table 5.</t>
        </is>
      </c>
      <c r="K72" s="27" t="inlineStr">
        <is>
          <t>https://www.frontiersin.org/journals/psychology/articles/10.3389/fpsyg.2023.1086510/full</t>
        </is>
      </c>
    </row>
    <row r="73" ht="23.85" customHeight="1" s="17">
      <c r="A73" s="27" t="inlineStr">
        <is>
          <t>SUS</t>
        </is>
      </c>
      <c r="B73" s="27" t="inlineStr">
        <is>
          <t>Strengths Use Scale</t>
        </is>
      </c>
      <c r="C73" s="27" t="inlineStr">
        <is>
          <t>2. Strengths knowledge, use and support at work</t>
        </is>
      </c>
      <c r="D73" s="28" t="n">
        <v>1</v>
      </c>
      <c r="E73" s="27" t="inlineStr">
        <is>
          <t>I am regularly able to do what I do best.</t>
        </is>
      </c>
      <c r="F73" s="27" t="inlineStr">
        <is>
          <t>Strengths Use (total scale)</t>
        </is>
      </c>
      <c r="G73" s="27" t="inlineStr">
        <is>
          <t>FALSE</t>
        </is>
      </c>
      <c r="H73" s="27" t="inlineStr">
        <is>
          <t>FALSE</t>
        </is>
      </c>
      <c r="I73" s="27" t="inlineStr">
        <is>
          <t>Strongly disagree = 1 | 2 = 2 | 3 = 3 | 4 = 4 | 5 = 5 | 6 = 6 | Strongly agree = 7</t>
        </is>
      </c>
      <c r="J73" s="27" t="inlineStr">
        <is>
          <t>Verbatim as reproduced in Frontiers in Psychology (2023), Table 2, citing Govindji &amp; Linley (2007).</t>
        </is>
      </c>
      <c r="K73" s="27" t="inlineStr">
        <is>
          <t>https://www.frontiersin.org/journals/psychology/articles/10.3389/fpsyg.2023.1086510/full</t>
        </is>
      </c>
    </row>
    <row r="74" ht="23.85" customHeight="1" s="17">
      <c r="A74" s="27" t="inlineStr">
        <is>
          <t>SUS</t>
        </is>
      </c>
      <c r="B74" s="27" t="inlineStr">
        <is>
          <t>Strengths Use Scale</t>
        </is>
      </c>
      <c r="C74" s="27" t="inlineStr">
        <is>
          <t>2. Strengths knowledge, use and support at work</t>
        </is>
      </c>
      <c r="D74" s="28" t="n">
        <v>2</v>
      </c>
      <c r="E74" s="27" t="inlineStr">
        <is>
          <t>I always play to my strengths.</t>
        </is>
      </c>
      <c r="F74" s="27" t="inlineStr">
        <is>
          <t>Strengths Use (total scale)</t>
        </is>
      </c>
      <c r="G74" s="27" t="inlineStr">
        <is>
          <t>FALSE</t>
        </is>
      </c>
      <c r="H74" s="27" t="inlineStr">
        <is>
          <t>FALSE</t>
        </is>
      </c>
      <c r="I74" s="27" t="inlineStr">
        <is>
          <t>Strongly disagree = 1 | 2 = 2 | 3 = 3 | 4 = 4 | 5 = 5 | 6 = 6 | Strongly agree = 7</t>
        </is>
      </c>
      <c r="J74" s="27" t="inlineStr">
        <is>
          <t>Verbatim as reproduced in Frontiers in Psychology (2023), Table 2.</t>
        </is>
      </c>
      <c r="K74" s="27" t="inlineStr">
        <is>
          <t>https://www.frontiersin.org/journals/psychology/articles/10.3389/fpsyg.2023.1086510/full</t>
        </is>
      </c>
    </row>
    <row r="75" ht="23.85" customHeight="1" s="17">
      <c r="A75" s="27" t="inlineStr">
        <is>
          <t>SUS</t>
        </is>
      </c>
      <c r="B75" s="27" t="inlineStr">
        <is>
          <t>Strengths Use Scale</t>
        </is>
      </c>
      <c r="C75" s="27" t="inlineStr">
        <is>
          <t>2. Strengths knowledge, use and support at work</t>
        </is>
      </c>
      <c r="D75" s="28" t="n">
        <v>3</v>
      </c>
      <c r="E75" s="27" t="inlineStr">
        <is>
          <t>I always try to use my strengths.</t>
        </is>
      </c>
      <c r="F75" s="27" t="inlineStr">
        <is>
          <t>Strengths Use (total scale)</t>
        </is>
      </c>
      <c r="G75" s="27" t="inlineStr">
        <is>
          <t>FALSE</t>
        </is>
      </c>
      <c r="H75" s="27" t="inlineStr">
        <is>
          <t>FALSE</t>
        </is>
      </c>
      <c r="I75" s="27" t="inlineStr">
        <is>
          <t>Strongly disagree = 1 | 2 = 2 | 3 = 3 | 4 = 4 | 5 = 5 | 6 = 6 | Strongly agree = 7</t>
        </is>
      </c>
      <c r="J75" s="27" t="inlineStr">
        <is>
          <t>Verbatim as reproduced in Frontiers in Psychology (2023), Table 2.</t>
        </is>
      </c>
      <c r="K75" s="27" t="inlineStr">
        <is>
          <t>https://www.frontiersin.org/journals/psychology/articles/10.3389/fpsyg.2023.1086510/full</t>
        </is>
      </c>
    </row>
    <row r="76" ht="23.85" customHeight="1" s="17">
      <c r="A76" s="27" t="inlineStr">
        <is>
          <t>SUS</t>
        </is>
      </c>
      <c r="B76" s="27" t="inlineStr">
        <is>
          <t>Strengths Use Scale</t>
        </is>
      </c>
      <c r="C76" s="27" t="inlineStr">
        <is>
          <t>2. Strengths knowledge, use and support at work</t>
        </is>
      </c>
      <c r="D76" s="28" t="n">
        <v>4</v>
      </c>
      <c r="E76" s="27" t="inlineStr">
        <is>
          <t>I achieve what I want by using my strengths.</t>
        </is>
      </c>
      <c r="F76" s="27" t="inlineStr">
        <is>
          <t>Strengths Use (total scale)</t>
        </is>
      </c>
      <c r="G76" s="27" t="inlineStr">
        <is>
          <t>FALSE</t>
        </is>
      </c>
      <c r="H76" s="27" t="inlineStr">
        <is>
          <t>FALSE</t>
        </is>
      </c>
      <c r="I76" s="27" t="inlineStr">
        <is>
          <t>Strongly disagree = 1 | 2 = 2 | 3 = 3 | 4 = 4 | 5 = 5 | 6 = 6 | Strongly agree = 7</t>
        </is>
      </c>
      <c r="J76" s="27" t="inlineStr">
        <is>
          <t>Verbatim as reproduced in Frontiers in Psychology (2023), Table 2.</t>
        </is>
      </c>
      <c r="K76" s="27" t="inlineStr">
        <is>
          <t>https://www.frontiersin.org/journals/psychology/articles/10.3389/fpsyg.2023.1086510/full</t>
        </is>
      </c>
    </row>
    <row r="77" ht="23.85" customHeight="1" s="17">
      <c r="A77" s="27" t="inlineStr">
        <is>
          <t>SUS</t>
        </is>
      </c>
      <c r="B77" s="27" t="inlineStr">
        <is>
          <t>Strengths Use Scale</t>
        </is>
      </c>
      <c r="C77" s="27" t="inlineStr">
        <is>
          <t>2. Strengths knowledge, use and support at work</t>
        </is>
      </c>
      <c r="D77" s="28" t="n">
        <v>5</v>
      </c>
      <c r="E77" s="27" t="inlineStr">
        <is>
          <t>I use my strengths every day.</t>
        </is>
      </c>
      <c r="F77" s="27" t="inlineStr">
        <is>
          <t>Strengths Use (total scale)</t>
        </is>
      </c>
      <c r="G77" s="27" t="inlineStr">
        <is>
          <t>FALSE</t>
        </is>
      </c>
      <c r="H77" s="27" t="inlineStr">
        <is>
          <t>FALSE</t>
        </is>
      </c>
      <c r="I77" s="27" t="inlineStr">
        <is>
          <t>Strongly disagree = 1 | 2 = 2 | 3 = 3 | 4 = 4 | 5 = 5 | 6 = 6 | Strongly agree = 7</t>
        </is>
      </c>
      <c r="J77" s="27" t="inlineStr">
        <is>
          <t>Verbatim as reproduced in Frontiers in Psychology (2023), Table 2.</t>
        </is>
      </c>
      <c r="K77" s="27" t="inlineStr">
        <is>
          <t>https://www.frontiersin.org/journals/psychology/articles/10.3389/fpsyg.2023.1086510/full</t>
        </is>
      </c>
    </row>
    <row r="78" ht="23.85" customHeight="1" s="17">
      <c r="A78" s="27" t="inlineStr">
        <is>
          <t>SUS</t>
        </is>
      </c>
      <c r="B78" s="27" t="inlineStr">
        <is>
          <t>Strengths Use Scale</t>
        </is>
      </c>
      <c r="C78" s="27" t="inlineStr">
        <is>
          <t>2. Strengths knowledge, use and support at work</t>
        </is>
      </c>
      <c r="D78" s="28" t="n">
        <v>6</v>
      </c>
      <c r="E78" s="27" t="inlineStr">
        <is>
          <t>I use my strengths to get what I want out of life.</t>
        </is>
      </c>
      <c r="F78" s="27" t="inlineStr">
        <is>
          <t>Strengths Use (total scale)</t>
        </is>
      </c>
      <c r="G78" s="27" t="inlineStr">
        <is>
          <t>FALSE</t>
        </is>
      </c>
      <c r="H78" s="27" t="inlineStr">
        <is>
          <t>FALSE</t>
        </is>
      </c>
      <c r="I78" s="27" t="inlineStr">
        <is>
          <t>Strongly disagree = 1 | 2 = 2 | 3 = 3 | 4 = 4 | 5 = 5 | 6 = 6 | Strongly agree = 7</t>
        </is>
      </c>
      <c r="J78" s="27" t="inlineStr">
        <is>
          <t>Verbatim as reproduced in Frontiers in Psychology (2023), Table 2.</t>
        </is>
      </c>
      <c r="K78" s="27" t="inlineStr">
        <is>
          <t>https://www.frontiersin.org/journals/psychology/articles/10.3389/fpsyg.2023.1086510/full</t>
        </is>
      </c>
    </row>
    <row r="79" ht="23.85" customHeight="1" s="17">
      <c r="A79" s="27" t="inlineStr">
        <is>
          <t>SUS</t>
        </is>
      </c>
      <c r="B79" s="27" t="inlineStr">
        <is>
          <t>Strengths Use Scale</t>
        </is>
      </c>
      <c r="C79" s="27" t="inlineStr">
        <is>
          <t>2. Strengths knowledge, use and support at work</t>
        </is>
      </c>
      <c r="D79" s="28" t="n">
        <v>7</v>
      </c>
      <c r="E79" s="27" t="inlineStr">
        <is>
          <t>My work gives me lots of opportunities to use my strengths.</t>
        </is>
      </c>
      <c r="F79" s="27" t="inlineStr">
        <is>
          <t>Strengths Use (total scale)</t>
        </is>
      </c>
      <c r="G79" s="27" t="inlineStr">
        <is>
          <t>FALSE</t>
        </is>
      </c>
      <c r="H79" s="27" t="inlineStr">
        <is>
          <t>FALSE</t>
        </is>
      </c>
      <c r="I79" s="27" t="inlineStr">
        <is>
          <t>Strongly disagree = 1 | 2 = 2 | 3 = 3 | 4 = 4 | 5 = 5 | 6 = 6 | Strongly agree = 7</t>
        </is>
      </c>
      <c r="J79" s="27" t="inlineStr">
        <is>
          <t>Verbatim as reproduced in Frontiers in Psychology (2023), Table 2.</t>
        </is>
      </c>
      <c r="K79" s="27" t="inlineStr">
        <is>
          <t>https://www.frontiersin.org/journals/psychology/articles/10.3389/fpsyg.2023.1086510/full</t>
        </is>
      </c>
    </row>
    <row r="80" ht="23.85" customHeight="1" s="17">
      <c r="A80" s="27" t="inlineStr">
        <is>
          <t>SUS</t>
        </is>
      </c>
      <c r="B80" s="27" t="inlineStr">
        <is>
          <t>Strengths Use Scale</t>
        </is>
      </c>
      <c r="C80" s="27" t="inlineStr">
        <is>
          <t>2. Strengths knowledge, use and support at work</t>
        </is>
      </c>
      <c r="D80" s="28" t="n">
        <v>8</v>
      </c>
      <c r="E80" s="27" t="inlineStr">
        <is>
          <t>My life presents me with lots of different ways to use my strengths.</t>
        </is>
      </c>
      <c r="F80" s="27" t="inlineStr">
        <is>
          <t>Strengths Use (total scale)</t>
        </is>
      </c>
      <c r="G80" s="27" t="inlineStr">
        <is>
          <t>FALSE</t>
        </is>
      </c>
      <c r="H80" s="27" t="inlineStr">
        <is>
          <t>FALSE</t>
        </is>
      </c>
      <c r="I80" s="27" t="inlineStr">
        <is>
          <t>Strongly disagree = 1 | 2 = 2 | 3 = 3 | 4 = 4 | 5 = 5 | 6 = 6 | Strongly agree = 7</t>
        </is>
      </c>
      <c r="J80" s="27" t="inlineStr">
        <is>
          <t>Verbatim as reproduced in Frontiers in Psychology (2023), Table 2.</t>
        </is>
      </c>
      <c r="K80" s="27" t="inlineStr">
        <is>
          <t>https://www.frontiersin.org/journals/psychology/articles/10.3389/fpsyg.2023.1086510/full</t>
        </is>
      </c>
    </row>
    <row r="81" ht="23.85" customHeight="1" s="17">
      <c r="A81" s="27" t="inlineStr">
        <is>
          <t>SUS</t>
        </is>
      </c>
      <c r="B81" s="27" t="inlineStr">
        <is>
          <t>Strengths Use Scale</t>
        </is>
      </c>
      <c r="C81" s="27" t="inlineStr">
        <is>
          <t>2. Strengths knowledge, use and support at work</t>
        </is>
      </c>
      <c r="D81" s="28" t="n">
        <v>9</v>
      </c>
      <c r="E81" s="27" t="inlineStr">
        <is>
          <t>Using my strengths comes naturally to me.</t>
        </is>
      </c>
      <c r="F81" s="27" t="inlineStr">
        <is>
          <t>Strengths Use (total scale)</t>
        </is>
      </c>
      <c r="G81" s="27" t="inlineStr">
        <is>
          <t>FALSE</t>
        </is>
      </c>
      <c r="H81" s="27" t="inlineStr">
        <is>
          <t>FALSE</t>
        </is>
      </c>
      <c r="I81" s="27" t="inlineStr">
        <is>
          <t>Strongly disagree = 1 | 2 = 2 | 3 = 3 | 4 = 4 | 5 = 5 | 6 = 6 | Strongly agree = 7</t>
        </is>
      </c>
      <c r="J81" s="27" t="inlineStr">
        <is>
          <t>Verbatim as reproduced in Frontiers in Psychology (2023), Table 2.</t>
        </is>
      </c>
      <c r="K81" s="27" t="inlineStr">
        <is>
          <t>https://www.frontiersin.org/journals/psychology/articles/10.3389/fpsyg.2023.1086510/full</t>
        </is>
      </c>
    </row>
    <row r="82" ht="23.85" customHeight="1" s="17">
      <c r="A82" s="27" t="inlineStr">
        <is>
          <t>SUS</t>
        </is>
      </c>
      <c r="B82" s="27" t="inlineStr">
        <is>
          <t>Strengths Use Scale</t>
        </is>
      </c>
      <c r="C82" s="27" t="inlineStr">
        <is>
          <t>2. Strengths knowledge, use and support at work</t>
        </is>
      </c>
      <c r="D82" s="28" t="n">
        <v>10</v>
      </c>
      <c r="E82" s="27" t="inlineStr">
        <is>
          <t>I find it easy to use my strengths in the things I do.</t>
        </is>
      </c>
      <c r="F82" s="27" t="inlineStr">
        <is>
          <t>Strengths Use (total scale)</t>
        </is>
      </c>
      <c r="G82" s="27" t="inlineStr">
        <is>
          <t>FALSE</t>
        </is>
      </c>
      <c r="H82" s="27" t="inlineStr">
        <is>
          <t>FALSE</t>
        </is>
      </c>
      <c r="I82" s="27" t="inlineStr">
        <is>
          <t>Strongly disagree = 1 | 2 = 2 | 3 = 3 | 4 = 4 | 5 = 5 | 6 = 6 | Strongly agree = 7</t>
        </is>
      </c>
      <c r="J82" s="27" t="inlineStr">
        <is>
          <t>Verbatim as reproduced in Frontiers in Psychology (2023), Table 2.</t>
        </is>
      </c>
      <c r="K82" s="27" t="inlineStr">
        <is>
          <t>https://www.frontiersin.org/journals/psychology/articles/10.3389/fpsyg.2023.1086510/full</t>
        </is>
      </c>
    </row>
    <row r="83" ht="23.85" customHeight="1" s="17">
      <c r="A83" s="27" t="inlineStr">
        <is>
          <t>SUS</t>
        </is>
      </c>
      <c r="B83" s="27" t="inlineStr">
        <is>
          <t>Strengths Use Scale</t>
        </is>
      </c>
      <c r="C83" s="27" t="inlineStr">
        <is>
          <t>2. Strengths knowledge, use and support at work</t>
        </is>
      </c>
      <c r="D83" s="28" t="n">
        <v>11</v>
      </c>
      <c r="E83" s="27" t="inlineStr">
        <is>
          <t>I am able to use my strengths in lots of different situations.</t>
        </is>
      </c>
      <c r="F83" s="27" t="inlineStr">
        <is>
          <t>Strengths Use (total scale)</t>
        </is>
      </c>
      <c r="G83" s="27" t="inlineStr">
        <is>
          <t>FALSE</t>
        </is>
      </c>
      <c r="H83" s="27" t="inlineStr">
        <is>
          <t>FALSE</t>
        </is>
      </c>
      <c r="I83" s="27" t="inlineStr">
        <is>
          <t>Strongly disagree = 1 | 2 = 2 | 3 = 3 | 4 = 4 | 5 = 5 | 6 = 6 | Strongly agree = 7</t>
        </is>
      </c>
      <c r="J83" s="27" t="inlineStr">
        <is>
          <t>Verbatim as reproduced in Frontiers in Psychology (2023), Table 2.</t>
        </is>
      </c>
      <c r="K83" s="27" t="inlineStr">
        <is>
          <t>https://www.frontiersin.org/journals/psychology/articles/10.3389/fpsyg.2023.1086510/full</t>
        </is>
      </c>
    </row>
    <row r="84" ht="23.85" customHeight="1" s="17">
      <c r="A84" s="27" t="inlineStr">
        <is>
          <t>SUS</t>
        </is>
      </c>
      <c r="B84" s="27" t="inlineStr">
        <is>
          <t>Strengths Use Scale</t>
        </is>
      </c>
      <c r="C84" s="27" t="inlineStr">
        <is>
          <t>2. Strengths knowledge, use and support at work</t>
        </is>
      </c>
      <c r="D84" s="28" t="n">
        <v>12</v>
      </c>
      <c r="E84" s="27" t="inlineStr">
        <is>
          <t>Most of my time is spent doing the things that I am good at doing.</t>
        </is>
      </c>
      <c r="F84" s="27" t="inlineStr">
        <is>
          <t>Strengths Use (total scale)</t>
        </is>
      </c>
      <c r="G84" s="27" t="inlineStr">
        <is>
          <t>FALSE</t>
        </is>
      </c>
      <c r="H84" s="27" t="inlineStr">
        <is>
          <t>FALSE</t>
        </is>
      </c>
      <c r="I84" s="27" t="inlineStr">
        <is>
          <t>Strongly disagree = 1 | 2 = 2 | 3 = 3 | 4 = 4 | 5 = 5 | 6 = 6 | Strongly agree = 7</t>
        </is>
      </c>
      <c r="J84" s="27" t="inlineStr">
        <is>
          <t>Verbatim as reproduced in Frontiers in Psychology (2023), Table 2.</t>
        </is>
      </c>
      <c r="K84" s="27" t="inlineStr">
        <is>
          <t>https://www.frontiersin.org/journals/psychology/articles/10.3389/fpsyg.2023.1086510/full</t>
        </is>
      </c>
    </row>
    <row r="85" ht="23.85" customHeight="1" s="17">
      <c r="A85" s="27" t="inlineStr">
        <is>
          <t>SUS</t>
        </is>
      </c>
      <c r="B85" s="27" t="inlineStr">
        <is>
          <t>Strengths Use Scale</t>
        </is>
      </c>
      <c r="C85" s="27" t="inlineStr">
        <is>
          <t>2. Strengths knowledge, use and support at work</t>
        </is>
      </c>
      <c r="D85" s="28" t="n">
        <v>13</v>
      </c>
      <c r="E85" s="27" t="inlineStr">
        <is>
          <t>Using my strengths is something I am familiar with.</t>
        </is>
      </c>
      <c r="F85" s="27" t="inlineStr">
        <is>
          <t>Strengths Use (total scale)</t>
        </is>
      </c>
      <c r="G85" s="27" t="inlineStr">
        <is>
          <t>FALSE</t>
        </is>
      </c>
      <c r="H85" s="27" t="inlineStr">
        <is>
          <t>FALSE</t>
        </is>
      </c>
      <c r="I85" s="27" t="inlineStr">
        <is>
          <t>Strongly disagree = 1 | 2 = 2 | 3 = 3 | 4 = 4 | 5 = 5 | 6 = 6 | Strongly agree = 7</t>
        </is>
      </c>
      <c r="J85" s="27" t="inlineStr">
        <is>
          <t>Verbatim as reproduced in Frontiers in Psychology (2023), Table 2.</t>
        </is>
      </c>
      <c r="K85" s="27" t="inlineStr">
        <is>
          <t>https://www.frontiersin.org/journals/psychology/articles/10.3389/fpsyg.2023.1086510/full</t>
        </is>
      </c>
    </row>
    <row r="86" ht="23.85" customHeight="1" s="17">
      <c r="A86" s="27" t="inlineStr">
        <is>
          <t>SUS</t>
        </is>
      </c>
      <c r="B86" s="27" t="inlineStr">
        <is>
          <t>Strengths Use Scale</t>
        </is>
      </c>
      <c r="C86" s="27" t="inlineStr">
        <is>
          <t>2. Strengths knowledge, use and support at work</t>
        </is>
      </c>
      <c r="D86" s="28" t="n">
        <v>14</v>
      </c>
      <c r="E86" s="27" t="inlineStr">
        <is>
          <t>I am able to use my strengths in lots of different ways.</t>
        </is>
      </c>
      <c r="F86" s="27" t="inlineStr">
        <is>
          <t>Strengths Use (total scale)</t>
        </is>
      </c>
      <c r="G86" s="27" t="inlineStr">
        <is>
          <t>FALSE</t>
        </is>
      </c>
      <c r="H86" s="27" t="inlineStr">
        <is>
          <t>FALSE</t>
        </is>
      </c>
      <c r="I86" s="27" t="inlineStr">
        <is>
          <t>Strongly disagree = 1 | 2 = 2 | 3 = 3 | 4 = 4 | 5 = 5 | 6 = 6 | Strongly agree = 7</t>
        </is>
      </c>
      <c r="J86" s="27" t="inlineStr">
        <is>
          <t>Verbatim as reproduced in Frontiers in Psychology (2023), Table 2.</t>
        </is>
      </c>
      <c r="K86" s="27" t="inlineStr">
        <is>
          <t>https://www.frontiersin.org/journals/psychology/articles/10.3389/fpsyg.2023.1086510/full</t>
        </is>
      </c>
    </row>
    <row r="87" ht="35.05" customHeight="1" s="17">
      <c r="A87" s="27" t="inlineStr">
        <is>
          <t>SSES</t>
        </is>
      </c>
      <c r="B87" s="27" t="inlineStr">
        <is>
          <t>Strengths Self-Efficacy Scale</t>
        </is>
      </c>
      <c r="C87" s="27" t="inlineStr">
        <is>
          <t>2. Strengths knowledge, use and support at work</t>
        </is>
      </c>
      <c r="D87" s="28" t="n">
        <v>1</v>
      </c>
      <c r="E87" s="27" t="inlineStr">
        <is>
          <t>Use your strengths at work?</t>
        </is>
      </c>
      <c r="F87" s="27" t="inlineStr">
        <is>
          <t>Strengths Self-Efficacy (total scale)</t>
        </is>
      </c>
      <c r="G87" s="27" t="inlineStr">
        <is>
          <t>FALSE</t>
        </is>
      </c>
      <c r="H87" s="27" t="inlineStr">
        <is>
          <t>FALSE</t>
        </is>
      </c>
      <c r="I87" s="27" t="inlineStr">
        <is>
          <t>Not confident at all = 1 | 2 = 2 | 3 = 3 | 4 = 4 | Moderately confident = 5 | 6 = 6 | 7 = 7 | 8 = 8 | 9 = 9 | Extremely confident = 10</t>
        </is>
      </c>
      <c r="J87" s="27" t="inlineStr">
        <is>
          <t>Verbatim as reproduced in the PositivePsychology.com PDF and corroborated by an independent academia.edu reproduction, both stemmed from "How confident are you in your ability to ...."</t>
        </is>
      </c>
      <c r="K87" s="27" t="inlineStr">
        <is>
          <t>https://positivepsychology.com/wp-content/uploads/The-Strengths-Self-efficacy-Scale.pdf</t>
        </is>
      </c>
    </row>
    <row r="88" ht="35.05" customHeight="1" s="17">
      <c r="A88" s="27" t="inlineStr">
        <is>
          <t>SSES</t>
        </is>
      </c>
      <c r="B88" s="27" t="inlineStr">
        <is>
          <t>Strengths Self-Efficacy Scale</t>
        </is>
      </c>
      <c r="C88" s="27" t="inlineStr">
        <is>
          <t>2. Strengths knowledge, use and support at work</t>
        </is>
      </c>
      <c r="D88" s="28" t="n">
        <v>2</v>
      </c>
      <c r="E88" s="27" t="inlineStr">
        <is>
          <t>Use your strengths without any struggles?</t>
        </is>
      </c>
      <c r="F88" s="27" t="inlineStr">
        <is>
          <t>Strengths Self-Efficacy (total scale)</t>
        </is>
      </c>
      <c r="G88" s="27" t="inlineStr">
        <is>
          <t>FALSE</t>
        </is>
      </c>
      <c r="H88" s="27" t="inlineStr">
        <is>
          <t>FALSE</t>
        </is>
      </c>
      <c r="I88" s="27" t="inlineStr">
        <is>
          <t>Not confident at all = 1 | 2 = 2 | 3 = 3 | 4 = 4 | Moderately confident = 5 | 6 = 6 | 7 = 7 | 8 = 8 | 9 = 9 | Extremely confident = 10</t>
        </is>
      </c>
      <c r="J88" s="27" t="inlineStr">
        <is>
          <t>Verbatim as reproduced in the PositivePsychology.com PDF, corroborated by academia.edu reproduction.</t>
        </is>
      </c>
      <c r="K88" s="27" t="inlineStr">
        <is>
          <t>https://positivepsychology.com/wp-content/uploads/The-Strengths-Self-efficacy-Scale.pdf</t>
        </is>
      </c>
    </row>
    <row r="89" ht="35.05" customHeight="1" s="17">
      <c r="A89" s="27" t="inlineStr">
        <is>
          <t>SSES</t>
        </is>
      </c>
      <c r="B89" s="27" t="inlineStr">
        <is>
          <t>Strengths Self-Efficacy Scale</t>
        </is>
      </c>
      <c r="C89" s="27" t="inlineStr">
        <is>
          <t>2. Strengths knowledge, use and support at work</t>
        </is>
      </c>
      <c r="D89" s="28" t="n">
        <v>3</v>
      </c>
      <c r="E89" s="27" t="inlineStr">
        <is>
          <t>Find ways to apply your strengths in the things you do everyday?</t>
        </is>
      </c>
      <c r="F89" s="27" t="inlineStr">
        <is>
          <t>Strengths Self-Efficacy (total scale)</t>
        </is>
      </c>
      <c r="G89" s="27" t="inlineStr">
        <is>
          <t>FALSE</t>
        </is>
      </c>
      <c r="H89" s="27" t="inlineStr">
        <is>
          <t>FALSE</t>
        </is>
      </c>
      <c r="I89" s="27" t="inlineStr">
        <is>
          <t>Not confident at all = 1 | 2 = 2 | 3 = 3 | 4 = 4 | Moderately confident = 5 | 6 = 6 | 7 = 7 | 8 = 8 | 9 = 9 | Extremely confident = 10</t>
        </is>
      </c>
      <c r="J89" s="27" t="inlineStr">
        <is>
          <t>Verbatim as reproduced in the PositivePsychology.com PDF, corroborated by academia.edu reproduction.</t>
        </is>
      </c>
      <c r="K89" s="27" t="inlineStr">
        <is>
          <t>https://positivepsychology.com/wp-content/uploads/The-Strengths-Self-efficacy-Scale.pdf</t>
        </is>
      </c>
    </row>
    <row r="90" ht="35.05" customHeight="1" s="17">
      <c r="A90" s="27" t="inlineStr">
        <is>
          <t>SSES</t>
        </is>
      </c>
      <c r="B90" s="27" t="inlineStr">
        <is>
          <t>Strengths Self-Efficacy Scale</t>
        </is>
      </c>
      <c r="C90" s="27" t="inlineStr">
        <is>
          <t>2. Strengths knowledge, use and support at work</t>
        </is>
      </c>
      <c r="D90" s="28" t="n">
        <v>4</v>
      </c>
      <c r="E90" s="27" t="inlineStr">
        <is>
          <t>Accomplish a lot using your strengths?</t>
        </is>
      </c>
      <c r="F90" s="27" t="inlineStr">
        <is>
          <t>Strengths Self-Efficacy (total scale)</t>
        </is>
      </c>
      <c r="G90" s="27" t="inlineStr">
        <is>
          <t>FALSE</t>
        </is>
      </c>
      <c r="H90" s="27" t="inlineStr">
        <is>
          <t>FALSE</t>
        </is>
      </c>
      <c r="I90" s="27" t="inlineStr">
        <is>
          <t>Not confident at all = 1 | 2 = 2 | 3 = 3 | 4 = 4 | Moderately confident = 5 | 6 = 6 | 7 = 7 | 8 = 8 | 9 = 9 | Extremely confident = 10</t>
        </is>
      </c>
      <c r="J90" s="27" t="inlineStr">
        <is>
          <t>Verbatim as reproduced in the PositivePsychology.com PDF, corroborated by academia.edu reproduction.</t>
        </is>
      </c>
      <c r="K90" s="27" t="inlineStr">
        <is>
          <t>https://positivepsychology.com/wp-content/uploads/The-Strengths-Self-efficacy-Scale.pdf</t>
        </is>
      </c>
    </row>
    <row r="91" ht="35.05" customHeight="1" s="17">
      <c r="A91" s="27" t="inlineStr">
        <is>
          <t>SSES</t>
        </is>
      </c>
      <c r="B91" s="27" t="inlineStr">
        <is>
          <t>Strengths Self-Efficacy Scale</t>
        </is>
      </c>
      <c r="C91" s="27" t="inlineStr">
        <is>
          <t>2. Strengths knowledge, use and support at work</t>
        </is>
      </c>
      <c r="D91" s="28" t="n">
        <v>5</v>
      </c>
      <c r="E91" s="27" t="inlineStr">
        <is>
          <t>Apply your strengths at work/school?</t>
        </is>
      </c>
      <c r="F91" s="27" t="inlineStr">
        <is>
          <t>Strengths Self-Efficacy (total scale)</t>
        </is>
      </c>
      <c r="G91" s="27" t="inlineStr">
        <is>
          <t>FALSE</t>
        </is>
      </c>
      <c r="H91" s="27" t="inlineStr">
        <is>
          <t>FALSE</t>
        </is>
      </c>
      <c r="I91" s="27" t="inlineStr">
        <is>
          <t>Not confident at all = 1 | 2 = 2 | 3 = 3 | 4 = 4 | Moderately confident = 5 | 6 = 6 | 7 = 7 | 8 = 8 | 9 = 9 | Extremely confident = 10</t>
        </is>
      </c>
      <c r="J91" s="27" t="inlineStr">
        <is>
          <t>Verbatim as reproduced in the PositivePsychology.com PDF, corroborated by academia.edu reproduction.</t>
        </is>
      </c>
      <c r="K91" s="27" t="inlineStr">
        <is>
          <t>https://positivepsychology.com/wp-content/uploads/The-Strengths-Self-efficacy-Scale.pdf</t>
        </is>
      </c>
    </row>
    <row r="92" ht="35.05" customHeight="1" s="17">
      <c r="A92" s="27" t="inlineStr">
        <is>
          <t>SSES</t>
        </is>
      </c>
      <c r="B92" s="27" t="inlineStr">
        <is>
          <t>Strengths Self-Efficacy Scale</t>
        </is>
      </c>
      <c r="C92" s="27" t="inlineStr">
        <is>
          <t>2. Strengths knowledge, use and support at work</t>
        </is>
      </c>
      <c r="D92" s="28" t="n">
        <v>6</v>
      </c>
      <c r="E92" s="27" t="inlineStr">
        <is>
          <t>Use your strengths in many situations?</t>
        </is>
      </c>
      <c r="F92" s="27" t="inlineStr">
        <is>
          <t>Strengths Self-Efficacy (total scale)</t>
        </is>
      </c>
      <c r="G92" s="27" t="inlineStr">
        <is>
          <t>FALSE</t>
        </is>
      </c>
      <c r="H92" s="27" t="inlineStr">
        <is>
          <t>FALSE</t>
        </is>
      </c>
      <c r="I92" s="27" t="inlineStr">
        <is>
          <t>Not confident at all = 1 | 2 = 2 | 3 = 3 | 4 = 4 | Moderately confident = 5 | 6 = 6 | 7 = 7 | 8 = 8 | 9 = 9 | Extremely confident = 10</t>
        </is>
      </c>
      <c r="J92" s="27" t="inlineStr">
        <is>
          <t>Verbatim as reproduced in the PositivePsychology.com PDF, corroborated by academia.edu reproduction.</t>
        </is>
      </c>
      <c r="K92" s="27" t="inlineStr">
        <is>
          <t>https://positivepsychology.com/wp-content/uploads/The-Strengths-Self-efficacy-Scale.pdf</t>
        </is>
      </c>
    </row>
    <row r="93" ht="35.05" customHeight="1" s="17">
      <c r="A93" s="27" t="inlineStr">
        <is>
          <t>SSES</t>
        </is>
      </c>
      <c r="B93" s="27" t="inlineStr">
        <is>
          <t>Strengths Self-Efficacy Scale</t>
        </is>
      </c>
      <c r="C93" s="27" t="inlineStr">
        <is>
          <t>2. Strengths knowledge, use and support at work</t>
        </is>
      </c>
      <c r="D93" s="28" t="n">
        <v>7</v>
      </c>
      <c r="E93" s="27" t="inlineStr">
        <is>
          <t>Use your strengths to succeed?</t>
        </is>
      </c>
      <c r="F93" s="27" t="inlineStr">
        <is>
          <t>Strengths Self-Efficacy (total scale)</t>
        </is>
      </c>
      <c r="G93" s="27" t="inlineStr">
        <is>
          <t>FALSE</t>
        </is>
      </c>
      <c r="H93" s="27" t="inlineStr">
        <is>
          <t>FALSE</t>
        </is>
      </c>
      <c r="I93" s="27" t="inlineStr">
        <is>
          <t>Not confident at all = 1 | 2 = 2 | 3 = 3 | 4 = 4 | Moderately confident = 5 | 6 = 6 | 7 = 7 | 8 = 8 | 9 = 9 | Extremely confident = 10</t>
        </is>
      </c>
      <c r="J93" s="27" t="inlineStr">
        <is>
          <t>Verbatim as reproduced in the PositivePsychology.com PDF, corroborated by academia.edu reproduction.</t>
        </is>
      </c>
      <c r="K93" s="27" t="inlineStr">
        <is>
          <t>https://positivepsychology.com/wp-content/uploads/The-Strengths-Self-efficacy-Scale.pdf</t>
        </is>
      </c>
    </row>
    <row r="94" ht="35.05" customHeight="1" s="17">
      <c r="A94" s="27" t="inlineStr">
        <is>
          <t>SSES</t>
        </is>
      </c>
      <c r="B94" s="27" t="inlineStr">
        <is>
          <t>Strengths Self-Efficacy Scale</t>
        </is>
      </c>
      <c r="C94" s="27" t="inlineStr">
        <is>
          <t>2. Strengths knowledge, use and support at work</t>
        </is>
      </c>
      <c r="D94" s="28" t="n">
        <v>8</v>
      </c>
      <c r="E94" s="27" t="inlineStr">
        <is>
          <t>Find ways to use your strengths at work/school everyday?</t>
        </is>
      </c>
      <c r="F94" s="27" t="inlineStr">
        <is>
          <t>Strengths Self-Efficacy (total scale)</t>
        </is>
      </c>
      <c r="G94" s="27" t="inlineStr">
        <is>
          <t>FALSE</t>
        </is>
      </c>
      <c r="H94" s="27" t="inlineStr">
        <is>
          <t>FALSE</t>
        </is>
      </c>
      <c r="I94" s="27" t="inlineStr">
        <is>
          <t>Not confident at all = 1 | 2 = 2 | 3 = 3 | 4 = 4 | Moderately confident = 5 | 6 = 6 | 7 = 7 | 8 = 8 | 9 = 9 | Extremely confident = 10</t>
        </is>
      </c>
      <c r="J94" s="27" t="inlineStr">
        <is>
          <t>Verbatim as reproduced in the PositivePsychology.com PDF, corroborated by academia.edu reproduction.</t>
        </is>
      </c>
      <c r="K94" s="27" t="inlineStr">
        <is>
          <t>https://positivepsychology.com/wp-content/uploads/The-Strengths-Self-efficacy-Scale.pdf</t>
        </is>
      </c>
    </row>
    <row r="95" ht="35.05" customHeight="1" s="17">
      <c r="A95" s="27" t="inlineStr">
        <is>
          <t>SSES</t>
        </is>
      </c>
      <c r="B95" s="27" t="inlineStr">
        <is>
          <t>Strengths Self-Efficacy Scale</t>
        </is>
      </c>
      <c r="C95" s="27" t="inlineStr">
        <is>
          <t>2. Strengths knowledge, use and support at work</t>
        </is>
      </c>
      <c r="D95" s="28" t="n">
        <v>9</v>
      </c>
      <c r="E95" s="27" t="inlineStr">
        <is>
          <t>Use your strengths at any time?</t>
        </is>
      </c>
      <c r="F95" s="27" t="inlineStr">
        <is>
          <t>Strengths Self-Efficacy (total scale)</t>
        </is>
      </c>
      <c r="G95" s="27" t="inlineStr">
        <is>
          <t>FALSE</t>
        </is>
      </c>
      <c r="H95" s="27" t="inlineStr">
        <is>
          <t>FALSE</t>
        </is>
      </c>
      <c r="I95" s="27" t="inlineStr">
        <is>
          <t>Not confident at all = 1 | 2 = 2 | 3 = 3 | 4 = 4 | Moderately confident = 5 | 6 = 6 | 7 = 7 | 8 = 8 | 9 = 9 | Extremely confident = 10</t>
        </is>
      </c>
      <c r="J95" s="27" t="inlineStr">
        <is>
          <t>Verbatim as reproduced in the PositivePsychology.com PDF, corroborated by academia.edu reproduction.</t>
        </is>
      </c>
      <c r="K95" s="27" t="inlineStr">
        <is>
          <t>https://positivepsychology.com/wp-content/uploads/The-Strengths-Self-efficacy-Scale.pdf</t>
        </is>
      </c>
    </row>
    <row r="96" ht="35.05" customHeight="1" s="17">
      <c r="A96" s="27" t="inlineStr">
        <is>
          <t>SSES</t>
        </is>
      </c>
      <c r="B96" s="27" t="inlineStr">
        <is>
          <t>Strengths Self-Efficacy Scale</t>
        </is>
      </c>
      <c r="C96" s="27" t="inlineStr">
        <is>
          <t>2. Strengths knowledge, use and support at work</t>
        </is>
      </c>
      <c r="D96" s="28" t="n">
        <v>10</v>
      </c>
      <c r="E96" s="27" t="inlineStr">
        <is>
          <t>Use your strengths to help you achieve your goals in life?</t>
        </is>
      </c>
      <c r="F96" s="27" t="inlineStr">
        <is>
          <t>Strengths Self-Efficacy (total scale)</t>
        </is>
      </c>
      <c r="G96" s="27" t="inlineStr">
        <is>
          <t>FALSE</t>
        </is>
      </c>
      <c r="H96" s="27" t="inlineStr">
        <is>
          <t>FALSE</t>
        </is>
      </c>
      <c r="I96" s="27" t="inlineStr">
        <is>
          <t>Not confident at all = 1 | 2 = 2 | 3 = 3 | 4 = 4 | Moderately confident = 5 | 6 = 6 | 7 = 7 | 8 = 8 | 9 = 9 | Extremely confident = 10</t>
        </is>
      </c>
      <c r="J96" s="27" t="inlineStr">
        <is>
          <t>Verbatim as reproduced in the PositivePsychology.com PDF, corroborated by academia.edu reproduction.</t>
        </is>
      </c>
      <c r="K96" s="27" t="inlineStr">
        <is>
          <t>https://positivepsychology.com/wp-content/uploads/The-Strengths-Self-efficacy-Scale.pdf</t>
        </is>
      </c>
    </row>
    <row r="97" ht="35.05" customHeight="1" s="17">
      <c r="A97" s="27" t="inlineStr">
        <is>
          <t>SSES</t>
        </is>
      </c>
      <c r="B97" s="27" t="inlineStr">
        <is>
          <t>Strengths Self-Efficacy Scale</t>
        </is>
      </c>
      <c r="C97" s="27" t="inlineStr">
        <is>
          <t>2. Strengths knowledge, use and support at work</t>
        </is>
      </c>
      <c r="D97" s="28" t="n">
        <v>11</v>
      </c>
      <c r="E97" s="27" t="inlineStr">
        <is>
          <t>Practice your strengths in areas where you excel?</t>
        </is>
      </c>
      <c r="F97" s="27" t="inlineStr">
        <is>
          <t>Strengths Self-Efficacy (total scale)</t>
        </is>
      </c>
      <c r="G97" s="27" t="inlineStr">
        <is>
          <t>FALSE</t>
        </is>
      </c>
      <c r="H97" s="27" t="inlineStr">
        <is>
          <t>FALSE</t>
        </is>
      </c>
      <c r="I97" s="27" t="inlineStr">
        <is>
          <t>Not confident at all = 1 | 2 = 2 | 3 = 3 | 4 = 4 | Moderately confident = 5 | 6 = 6 | 7 = 7 | 8 = 8 | 9 = 9 | Extremely confident = 10</t>
        </is>
      </c>
      <c r="J97" s="27" t="inlineStr">
        <is>
          <t>Verbatim as reproduced in the PositivePsychology.com PDF, corroborated by academia.edu reproduction.</t>
        </is>
      </c>
      <c r="K97" s="27" t="inlineStr">
        <is>
          <t>https://positivepsychology.com/wp-content/uploads/The-Strengths-Self-efficacy-Scale.pdf</t>
        </is>
      </c>
    </row>
    <row r="98" ht="23.85" customHeight="1" s="17">
      <c r="A98" s="27" t="inlineStr">
        <is>
          <t>CSES</t>
        </is>
      </c>
      <c r="B98" s="27" t="inlineStr">
        <is>
          <t>Core Self-Evaluations Scale</t>
        </is>
      </c>
      <c r="C98" s="27" t="inlineStr">
        <is>
          <t>3. Adjacent occupational and wellbeing</t>
        </is>
      </c>
      <c r="D98" s="28" t="n">
        <v>1</v>
      </c>
      <c r="E98" s="27" t="inlineStr">
        <is>
          <t>I am confident I get the success I deserve in life.</t>
        </is>
      </c>
      <c r="F98" s="27" t="inlineStr">
        <is>
          <t>Core Self-Evaluations (total scale, unidimensional)</t>
        </is>
      </c>
      <c r="G98" s="27" t="inlineStr">
        <is>
          <t>FALSE</t>
        </is>
      </c>
      <c r="H98" s="27" t="inlineStr">
        <is>
          <t>FALSE</t>
        </is>
      </c>
      <c r="I98" s="27" t="inlineStr">
        <is>
          <t>Strongly Disagree = 1 | Disagree = 2 | Neutral = 3 | Agree = 4 | Strongly Agree = 5</t>
        </is>
      </c>
      <c r="J98" s="27" t="n"/>
      <c r="K98" s="27" t="inlineStr">
        <is>
          <t>http://ionilies.com/SIOP03/Files/CSES.pdf</t>
        </is>
      </c>
    </row>
    <row r="99" ht="23.85" customHeight="1" s="17">
      <c r="A99" s="27" t="inlineStr">
        <is>
          <t>CSES</t>
        </is>
      </c>
      <c r="B99" s="27" t="inlineStr">
        <is>
          <t>Core Self-Evaluations Scale</t>
        </is>
      </c>
      <c r="C99" s="27" t="inlineStr">
        <is>
          <t>3. Adjacent occupational and wellbeing</t>
        </is>
      </c>
      <c r="D99" s="28" t="n">
        <v>2</v>
      </c>
      <c r="E99" s="27" t="inlineStr">
        <is>
          <t>Sometimes I feel depressed.</t>
        </is>
      </c>
      <c r="F99" s="27" t="inlineStr">
        <is>
          <t>Core Self-Evaluations (total scale, unidimensional)</t>
        </is>
      </c>
      <c r="G99" s="34" t="inlineStr">
        <is>
          <t>TRUE</t>
        </is>
      </c>
      <c r="H99" s="27" t="inlineStr">
        <is>
          <t>FALSE</t>
        </is>
      </c>
      <c r="I99" s="27" t="inlineStr">
        <is>
          <t>Strongly Disagree = 1 | Disagree = 2 | Neutral = 3 | Agree = 4 | Strongly Agree = 5</t>
        </is>
      </c>
      <c r="J99" s="27" t="inlineStr">
        <is>
          <t>Touches on depressed mood; use sensitively with clients where wellbeing is a live concern.</t>
        </is>
      </c>
      <c r="K99" s="27" t="inlineStr">
        <is>
          <t>http://ionilies.com/SIOP03/Files/CSES.pdf</t>
        </is>
      </c>
    </row>
    <row r="100" ht="23.85" customHeight="1" s="17">
      <c r="A100" s="27" t="inlineStr">
        <is>
          <t>CSES</t>
        </is>
      </c>
      <c r="B100" s="27" t="inlineStr">
        <is>
          <t>Core Self-Evaluations Scale</t>
        </is>
      </c>
      <c r="C100" s="27" t="inlineStr">
        <is>
          <t>3. Adjacent occupational and wellbeing</t>
        </is>
      </c>
      <c r="D100" s="28" t="n">
        <v>3</v>
      </c>
      <c r="E100" s="27" t="inlineStr">
        <is>
          <t>When I try, I generally succeed.</t>
        </is>
      </c>
      <c r="F100" s="27" t="inlineStr">
        <is>
          <t>Core Self-Evaluations (total scale, unidimensional)</t>
        </is>
      </c>
      <c r="G100" s="27" t="inlineStr">
        <is>
          <t>FALSE</t>
        </is>
      </c>
      <c r="H100" s="27" t="inlineStr">
        <is>
          <t>FALSE</t>
        </is>
      </c>
      <c r="I100" s="27" t="inlineStr">
        <is>
          <t>Strongly Disagree = 1 | Disagree = 2 | Neutral = 3 | Agree = 4 | Strongly Agree = 5</t>
        </is>
      </c>
      <c r="J100" s="27" t="n"/>
      <c r="K100" s="27" t="inlineStr">
        <is>
          <t>http://ionilies.com/SIOP03/Files/CSES.pdf</t>
        </is>
      </c>
    </row>
    <row r="101" ht="23.85" customHeight="1" s="17">
      <c r="A101" s="27" t="inlineStr">
        <is>
          <t>CSES</t>
        </is>
      </c>
      <c r="B101" s="27" t="inlineStr">
        <is>
          <t>Core Self-Evaluations Scale</t>
        </is>
      </c>
      <c r="C101" s="27" t="inlineStr">
        <is>
          <t>3. Adjacent occupational and wellbeing</t>
        </is>
      </c>
      <c r="D101" s="28" t="n">
        <v>4</v>
      </c>
      <c r="E101" s="27" t="inlineStr">
        <is>
          <t>Sometimes when I fail I feel worthless.</t>
        </is>
      </c>
      <c r="F101" s="27" t="inlineStr">
        <is>
          <t>Core Self-Evaluations (total scale, unidimensional)</t>
        </is>
      </c>
      <c r="G101" s="34" t="inlineStr">
        <is>
          <t>TRUE</t>
        </is>
      </c>
      <c r="H101" s="27" t="inlineStr">
        <is>
          <t>FALSE</t>
        </is>
      </c>
      <c r="I101" s="27" t="inlineStr">
        <is>
          <t>Strongly Disagree = 1 | Disagree = 2 | Neutral = 3 | Agree = 4 | Strongly Agree = 5</t>
        </is>
      </c>
      <c r="J101" s="27" t="n"/>
      <c r="K101" s="27" t="inlineStr">
        <is>
          <t>http://ionilies.com/SIOP03/Files/CSES.pdf</t>
        </is>
      </c>
    </row>
    <row r="102" ht="23.85" customHeight="1" s="17">
      <c r="A102" s="27" t="inlineStr">
        <is>
          <t>CSES</t>
        </is>
      </c>
      <c r="B102" s="27" t="inlineStr">
        <is>
          <t>Core Self-Evaluations Scale</t>
        </is>
      </c>
      <c r="C102" s="27" t="inlineStr">
        <is>
          <t>3. Adjacent occupational and wellbeing</t>
        </is>
      </c>
      <c r="D102" s="28" t="n">
        <v>5</v>
      </c>
      <c r="E102" s="27" t="inlineStr">
        <is>
          <t>I complete tasks successfully.</t>
        </is>
      </c>
      <c r="F102" s="27" t="inlineStr">
        <is>
          <t>Core Self-Evaluations (total scale, unidimensional)</t>
        </is>
      </c>
      <c r="G102" s="27" t="inlineStr">
        <is>
          <t>FALSE</t>
        </is>
      </c>
      <c r="H102" s="27" t="inlineStr">
        <is>
          <t>FALSE</t>
        </is>
      </c>
      <c r="I102" s="27" t="inlineStr">
        <is>
          <t>Strongly Disagree = 1 | Disagree = 2 | Neutral = 3 | Agree = 4 | Strongly Agree = 5</t>
        </is>
      </c>
      <c r="J102" s="27" t="n"/>
      <c r="K102" s="27" t="inlineStr">
        <is>
          <t>http://ionilies.com/SIOP03/Files/CSES.pdf</t>
        </is>
      </c>
    </row>
    <row r="103" ht="23.85" customHeight="1" s="17">
      <c r="A103" s="27" t="inlineStr">
        <is>
          <t>CSES</t>
        </is>
      </c>
      <c r="B103" s="27" t="inlineStr">
        <is>
          <t>Core Self-Evaluations Scale</t>
        </is>
      </c>
      <c r="C103" s="27" t="inlineStr">
        <is>
          <t>3. Adjacent occupational and wellbeing</t>
        </is>
      </c>
      <c r="D103" s="28" t="n">
        <v>6</v>
      </c>
      <c r="E103" s="27" t="inlineStr">
        <is>
          <t>Sometimes, I do not feel in control of my work.</t>
        </is>
      </c>
      <c r="F103" s="27" t="inlineStr">
        <is>
          <t>Core Self-Evaluations (total scale, unidimensional)</t>
        </is>
      </c>
      <c r="G103" s="34" t="inlineStr">
        <is>
          <t>TRUE</t>
        </is>
      </c>
      <c r="H103" s="27" t="inlineStr">
        <is>
          <t>FALSE</t>
        </is>
      </c>
      <c r="I103" s="27" t="inlineStr">
        <is>
          <t>Strongly Disagree = 1 | Disagree = 2 | Neutral = 3 | Agree = 4 | Strongly Agree = 5</t>
        </is>
      </c>
      <c r="J103" s="27" t="n"/>
      <c r="K103" s="27" t="inlineStr">
        <is>
          <t>http://ionilies.com/SIOP03/Files/CSES.pdf</t>
        </is>
      </c>
    </row>
    <row r="104" ht="23.85" customHeight="1" s="17">
      <c r="A104" s="27" t="inlineStr">
        <is>
          <t>CSES</t>
        </is>
      </c>
      <c r="B104" s="27" t="inlineStr">
        <is>
          <t>Core Self-Evaluations Scale</t>
        </is>
      </c>
      <c r="C104" s="27" t="inlineStr">
        <is>
          <t>3. Adjacent occupational and wellbeing</t>
        </is>
      </c>
      <c r="D104" s="28" t="n">
        <v>7</v>
      </c>
      <c r="E104" s="27" t="inlineStr">
        <is>
          <t>Overall, I am satisfied with myself.</t>
        </is>
      </c>
      <c r="F104" s="27" t="inlineStr">
        <is>
          <t>Core Self-Evaluations (total scale, unidimensional)</t>
        </is>
      </c>
      <c r="G104" s="27" t="inlineStr">
        <is>
          <t>FALSE</t>
        </is>
      </c>
      <c r="H104" s="27" t="inlineStr">
        <is>
          <t>FALSE</t>
        </is>
      </c>
      <c r="I104" s="27" t="inlineStr">
        <is>
          <t>Strongly Disagree = 1 | Disagree = 2 | Neutral = 3 | Agree = 4 | Strongly Agree = 5</t>
        </is>
      </c>
      <c r="J104" s="27" t="n"/>
      <c r="K104" s="27" t="inlineStr">
        <is>
          <t>http://ionilies.com/SIOP03/Files/CSES.pdf</t>
        </is>
      </c>
    </row>
    <row r="105" ht="23.85" customHeight="1" s="17">
      <c r="A105" s="27" t="inlineStr">
        <is>
          <t>CSES</t>
        </is>
      </c>
      <c r="B105" s="27" t="inlineStr">
        <is>
          <t>Core Self-Evaluations Scale</t>
        </is>
      </c>
      <c r="C105" s="27" t="inlineStr">
        <is>
          <t>3. Adjacent occupational and wellbeing</t>
        </is>
      </c>
      <c r="D105" s="28" t="n">
        <v>8</v>
      </c>
      <c r="E105" s="27" t="inlineStr">
        <is>
          <t>I am filled with doubts about my competence.</t>
        </is>
      </c>
      <c r="F105" s="27" t="inlineStr">
        <is>
          <t>Core Self-Evaluations (total scale, unidimensional)</t>
        </is>
      </c>
      <c r="G105" s="34" t="inlineStr">
        <is>
          <t>TRUE</t>
        </is>
      </c>
      <c r="H105" s="27" t="inlineStr">
        <is>
          <t>FALSE</t>
        </is>
      </c>
      <c r="I105" s="27" t="inlineStr">
        <is>
          <t>Strongly Disagree = 1 | Disagree = 2 | Neutral = 3 | Agree = 4 | Strongly Agree = 5</t>
        </is>
      </c>
      <c r="J105" s="27" t="n"/>
      <c r="K105" s="27" t="inlineStr">
        <is>
          <t>http://ionilies.com/SIOP03/Files/CSES.pdf</t>
        </is>
      </c>
    </row>
    <row r="106" ht="23.85" customHeight="1" s="17">
      <c r="A106" s="27" t="inlineStr">
        <is>
          <t>CSES</t>
        </is>
      </c>
      <c r="B106" s="27" t="inlineStr">
        <is>
          <t>Core Self-Evaluations Scale</t>
        </is>
      </c>
      <c r="C106" s="27" t="inlineStr">
        <is>
          <t>3. Adjacent occupational and wellbeing</t>
        </is>
      </c>
      <c r="D106" s="28" t="n">
        <v>9</v>
      </c>
      <c r="E106" s="27" t="inlineStr">
        <is>
          <t>I determine what will happen in my life.</t>
        </is>
      </c>
      <c r="F106" s="27" t="inlineStr">
        <is>
          <t>Core Self-Evaluations (total scale, unidimensional)</t>
        </is>
      </c>
      <c r="G106" s="27" t="inlineStr">
        <is>
          <t>FALSE</t>
        </is>
      </c>
      <c r="H106" s="27" t="inlineStr">
        <is>
          <t>FALSE</t>
        </is>
      </c>
      <c r="I106" s="27" t="inlineStr">
        <is>
          <t>Strongly Disagree = 1 | Disagree = 2 | Neutral = 3 | Agree = 4 | Strongly Agree = 5</t>
        </is>
      </c>
      <c r="J106" s="27" t="n"/>
      <c r="K106" s="27" t="inlineStr">
        <is>
          <t>http://ionilies.com/SIOP03/Files/CSES.pdf</t>
        </is>
      </c>
    </row>
    <row r="107" ht="23.85" customHeight="1" s="17">
      <c r="A107" s="27" t="inlineStr">
        <is>
          <t>CSES</t>
        </is>
      </c>
      <c r="B107" s="27" t="inlineStr">
        <is>
          <t>Core Self-Evaluations Scale</t>
        </is>
      </c>
      <c r="C107" s="27" t="inlineStr">
        <is>
          <t>3. Adjacent occupational and wellbeing</t>
        </is>
      </c>
      <c r="D107" s="28" t="n">
        <v>10</v>
      </c>
      <c r="E107" s="27" t="inlineStr">
        <is>
          <t>I do not feel in control of my success in my career.</t>
        </is>
      </c>
      <c r="F107" s="27" t="inlineStr">
        <is>
          <t>Core Self-Evaluations (total scale, unidimensional)</t>
        </is>
      </c>
      <c r="G107" s="34" t="inlineStr">
        <is>
          <t>TRUE</t>
        </is>
      </c>
      <c r="H107" s="27" t="inlineStr">
        <is>
          <t>FALSE</t>
        </is>
      </c>
      <c r="I107" s="27" t="inlineStr">
        <is>
          <t>Strongly Disagree = 1 | Disagree = 2 | Neutral = 3 | Agree = 4 | Strongly Agree = 5</t>
        </is>
      </c>
      <c r="J107" s="27" t="n"/>
      <c r="K107" s="27" t="inlineStr">
        <is>
          <t>http://ionilies.com/SIOP03/Files/CSES.pdf</t>
        </is>
      </c>
    </row>
    <row r="108" ht="23.85" customHeight="1" s="17">
      <c r="A108" s="27" t="inlineStr">
        <is>
          <t>CSES</t>
        </is>
      </c>
      <c r="B108" s="27" t="inlineStr">
        <is>
          <t>Core Self-Evaluations Scale</t>
        </is>
      </c>
      <c r="C108" s="27" t="inlineStr">
        <is>
          <t>3. Adjacent occupational and wellbeing</t>
        </is>
      </c>
      <c r="D108" s="28" t="n">
        <v>11</v>
      </c>
      <c r="E108" s="27" t="inlineStr">
        <is>
          <t>I am capable of coping with most of my problems.</t>
        </is>
      </c>
      <c r="F108" s="27" t="inlineStr">
        <is>
          <t>Core Self-Evaluations (total scale, unidimensional)</t>
        </is>
      </c>
      <c r="G108" s="27" t="inlineStr">
        <is>
          <t>FALSE</t>
        </is>
      </c>
      <c r="H108" s="27" t="inlineStr">
        <is>
          <t>FALSE</t>
        </is>
      </c>
      <c r="I108" s="27" t="inlineStr">
        <is>
          <t>Strongly Disagree = 1 | Disagree = 2 | Neutral = 3 | Agree = 4 | Strongly Agree = 5</t>
        </is>
      </c>
      <c r="J108" s="27" t="n"/>
      <c r="K108" s="27" t="inlineStr">
        <is>
          <t>http://ionilies.com/SIOP03/Files/CSES.pdf</t>
        </is>
      </c>
    </row>
    <row r="109" ht="23.85" customHeight="1" s="17">
      <c r="A109" s="27" t="inlineStr">
        <is>
          <t>CSES</t>
        </is>
      </c>
      <c r="B109" s="27" t="inlineStr">
        <is>
          <t>Core Self-Evaluations Scale</t>
        </is>
      </c>
      <c r="C109" s="27" t="inlineStr">
        <is>
          <t>3. Adjacent occupational and wellbeing</t>
        </is>
      </c>
      <c r="D109" s="28" t="n">
        <v>12</v>
      </c>
      <c r="E109" s="27" t="inlineStr">
        <is>
          <t>There are times when things look pretty bleak and hopeless to me.</t>
        </is>
      </c>
      <c r="F109" s="27" t="inlineStr">
        <is>
          <t>Core Self-Evaluations (total scale, unidimensional)</t>
        </is>
      </c>
      <c r="G109" s="34" t="inlineStr">
        <is>
          <t>TRUE</t>
        </is>
      </c>
      <c r="H109" s="27" t="inlineStr">
        <is>
          <t>FALSE</t>
        </is>
      </c>
      <c r="I109" s="27" t="inlineStr">
        <is>
          <t>Strongly Disagree = 1 | Disagree = 2 | Neutral = 3 | Agree = 4 | Strongly Agree = 5</t>
        </is>
      </c>
      <c r="J109" s="27" t="inlineStr">
        <is>
          <t>Touches on hopelessness; use sensitively with clients where wellbeing is a live concern.</t>
        </is>
      </c>
      <c r="K109" s="27" t="inlineStr">
        <is>
          <t>http://ionilies.com/SIOP03/Files/CSES.pdf</t>
        </is>
      </c>
    </row>
    <row r="110" ht="35.05" customHeight="1" s="17">
      <c r="A110" s="27" t="inlineStr">
        <is>
          <t>PES</t>
        </is>
      </c>
      <c r="B110" s="27" t="inlineStr">
        <is>
          <t>Psychological Empowerment Scale</t>
        </is>
      </c>
      <c r="C110" s="27" t="inlineStr">
        <is>
          <t>3. Adjacent occupational and wellbeing</t>
        </is>
      </c>
      <c r="D110" s="28" t="n">
        <v>1</v>
      </c>
      <c r="E110" s="27" t="inlineStr">
        <is>
          <t>The work that I do is important to me.</t>
        </is>
      </c>
      <c r="F110" s="27" t="inlineStr">
        <is>
          <t>Meaning</t>
        </is>
      </c>
      <c r="G110" s="27" t="inlineStr">
        <is>
          <t>FALSE</t>
        </is>
      </c>
      <c r="H110" s="27" t="inlineStr">
        <is>
          <t>FALSE</t>
        </is>
      </c>
      <c r="I110" s="27" t="inlineStr">
        <is>
          <t>Very Strongly Disagree = 1 | Strongly Disagree = 2 | Disagree = 3 | Neutral = 4 | Agree = 5 | Strongly Agree = 6 | Very Strongly Agree = 7</t>
        </is>
      </c>
      <c r="J110" s="27" t="n"/>
      <c r="K110" s="27" t="inlineStr">
        <is>
          <t>https://webuser.bus.umich.edu/spreitze/Pdfs/EmpowerInstrument.pdf</t>
        </is>
      </c>
    </row>
    <row r="111" ht="35.05" customHeight="1" s="17">
      <c r="A111" s="27" t="inlineStr">
        <is>
          <t>PES</t>
        </is>
      </c>
      <c r="B111" s="27" t="inlineStr">
        <is>
          <t>Psychological Empowerment Scale</t>
        </is>
      </c>
      <c r="C111" s="27" t="inlineStr">
        <is>
          <t>3. Adjacent occupational and wellbeing</t>
        </is>
      </c>
      <c r="D111" s="28" t="n">
        <v>2</v>
      </c>
      <c r="E111" s="27" t="inlineStr">
        <is>
          <t>My job activities are personally meaningful to me.</t>
        </is>
      </c>
      <c r="F111" s="27" t="inlineStr">
        <is>
          <t>Meaning</t>
        </is>
      </c>
      <c r="G111" s="27" t="inlineStr">
        <is>
          <t>FALSE</t>
        </is>
      </c>
      <c r="H111" s="27" t="inlineStr">
        <is>
          <t>FALSE</t>
        </is>
      </c>
      <c r="I111" s="27" t="inlineStr">
        <is>
          <t>Very Strongly Disagree = 1 | Strongly Disagree = 2 | Disagree = 3 | Neutral = 4 | Agree = 5 | Strongly Agree = 6 | Very Strongly Agree = 7</t>
        </is>
      </c>
      <c r="J111" s="27" t="n"/>
      <c r="K111" s="27" t="inlineStr">
        <is>
          <t>https://webuser.bus.umich.edu/spreitze/Pdfs/EmpowerInstrument.pdf</t>
        </is>
      </c>
    </row>
    <row r="112" ht="35.05" customHeight="1" s="17">
      <c r="A112" s="27" t="inlineStr">
        <is>
          <t>PES</t>
        </is>
      </c>
      <c r="B112" s="27" t="inlineStr">
        <is>
          <t>Psychological Empowerment Scale</t>
        </is>
      </c>
      <c r="C112" s="27" t="inlineStr">
        <is>
          <t>3. Adjacent occupational and wellbeing</t>
        </is>
      </c>
      <c r="D112" s="28" t="n">
        <v>3</v>
      </c>
      <c r="E112" s="27" t="inlineStr">
        <is>
          <t>The work I do is meaningful to me.</t>
        </is>
      </c>
      <c r="F112" s="27" t="inlineStr">
        <is>
          <t>Meaning</t>
        </is>
      </c>
      <c r="G112" s="27" t="inlineStr">
        <is>
          <t>FALSE</t>
        </is>
      </c>
      <c r="H112" s="27" t="inlineStr">
        <is>
          <t>FALSE</t>
        </is>
      </c>
      <c r="I112" s="27" t="inlineStr">
        <is>
          <t>Very Strongly Disagree = 1 | Strongly Disagree = 2 | Disagree = 3 | Neutral = 4 | Agree = 5 | Strongly Agree = 6 | Very Strongly Agree = 7</t>
        </is>
      </c>
      <c r="J112" s="27" t="n"/>
      <c r="K112" s="27" t="inlineStr">
        <is>
          <t>https://webuser.bus.umich.edu/spreitze/Pdfs/EmpowerInstrument.pdf</t>
        </is>
      </c>
    </row>
    <row r="113" ht="35.05" customHeight="1" s="17">
      <c r="A113" s="27" t="inlineStr">
        <is>
          <t>PES</t>
        </is>
      </c>
      <c r="B113" s="27" t="inlineStr">
        <is>
          <t>Psychological Empowerment Scale</t>
        </is>
      </c>
      <c r="C113" s="27" t="inlineStr">
        <is>
          <t>3. Adjacent occupational and wellbeing</t>
        </is>
      </c>
      <c r="D113" s="28" t="n">
        <v>4</v>
      </c>
      <c r="E113" s="27" t="inlineStr">
        <is>
          <t>I am confident about my ability to do my job.</t>
        </is>
      </c>
      <c r="F113" s="27" t="inlineStr">
        <is>
          <t>Competence</t>
        </is>
      </c>
      <c r="G113" s="27" t="inlineStr">
        <is>
          <t>FALSE</t>
        </is>
      </c>
      <c r="H113" s="27" t="inlineStr">
        <is>
          <t>FALSE</t>
        </is>
      </c>
      <c r="I113" s="27" t="inlineStr">
        <is>
          <t>Very Strongly Disagree = 1 | Strongly Disagree = 2 | Disagree = 3 | Neutral = 4 | Agree = 5 | Strongly Agree = 6 | Very Strongly Agree = 7</t>
        </is>
      </c>
      <c r="J113" s="27" t="n"/>
      <c r="K113" s="27" t="inlineStr">
        <is>
          <t>https://webuser.bus.umich.edu/spreitze/Pdfs/EmpowerInstrument.pdf</t>
        </is>
      </c>
    </row>
    <row r="114" ht="35.05" customHeight="1" s="17">
      <c r="A114" s="27" t="inlineStr">
        <is>
          <t>PES</t>
        </is>
      </c>
      <c r="B114" s="27" t="inlineStr">
        <is>
          <t>Psychological Empowerment Scale</t>
        </is>
      </c>
      <c r="C114" s="27" t="inlineStr">
        <is>
          <t>3. Adjacent occupational and wellbeing</t>
        </is>
      </c>
      <c r="D114" s="28" t="n">
        <v>5</v>
      </c>
      <c r="E114" s="27" t="inlineStr">
        <is>
          <t>I have mastered the skills necessary for my job.</t>
        </is>
      </c>
      <c r="F114" s="27" t="inlineStr">
        <is>
          <t>Competence</t>
        </is>
      </c>
      <c r="G114" s="27" t="inlineStr">
        <is>
          <t>FALSE</t>
        </is>
      </c>
      <c r="H114" s="27" t="inlineStr">
        <is>
          <t>FALSE</t>
        </is>
      </c>
      <c r="I114" s="27" t="inlineStr">
        <is>
          <t>Very Strongly Disagree = 1 | Strongly Disagree = 2 | Disagree = 3 | Neutral = 4 | Agree = 5 | Strongly Agree = 6 | Very Strongly Agree = 7</t>
        </is>
      </c>
      <c r="J114" s="27" t="n"/>
      <c r="K114" s="27" t="inlineStr">
        <is>
          <t>https://webuser.bus.umich.edu/spreitze/Pdfs/EmpowerInstrument.pdf</t>
        </is>
      </c>
    </row>
    <row r="115" ht="35.05" customHeight="1" s="17">
      <c r="A115" s="27" t="inlineStr">
        <is>
          <t>PES</t>
        </is>
      </c>
      <c r="B115" s="27" t="inlineStr">
        <is>
          <t>Psychological Empowerment Scale</t>
        </is>
      </c>
      <c r="C115" s="27" t="inlineStr">
        <is>
          <t>3. Adjacent occupational and wellbeing</t>
        </is>
      </c>
      <c r="D115" s="28" t="n">
        <v>6</v>
      </c>
      <c r="E115" s="27" t="inlineStr">
        <is>
          <t>I am self-assured about my capabilities to perform my work activities.</t>
        </is>
      </c>
      <c r="F115" s="27" t="inlineStr">
        <is>
          <t>Competence</t>
        </is>
      </c>
      <c r="G115" s="27" t="inlineStr">
        <is>
          <t>FALSE</t>
        </is>
      </c>
      <c r="H115" s="27" t="inlineStr">
        <is>
          <t>FALSE</t>
        </is>
      </c>
      <c r="I115" s="27" t="inlineStr">
        <is>
          <t>Very Strongly Disagree = 1 | Strongly Disagree = 2 | Disagree = 3 | Neutral = 4 | Agree = 5 | Strongly Agree = 6 | Very Strongly Agree = 7</t>
        </is>
      </c>
      <c r="J115" s="27" t="n"/>
      <c r="K115" s="27" t="inlineStr">
        <is>
          <t>https://webuser.bus.umich.edu/spreitze/Pdfs/EmpowerInstrument.pdf</t>
        </is>
      </c>
    </row>
    <row r="116" ht="35.05" customHeight="1" s="17">
      <c r="A116" s="27" t="inlineStr">
        <is>
          <t>PES</t>
        </is>
      </c>
      <c r="B116" s="27" t="inlineStr">
        <is>
          <t>Psychological Empowerment Scale</t>
        </is>
      </c>
      <c r="C116" s="27" t="inlineStr">
        <is>
          <t>3. Adjacent occupational and wellbeing</t>
        </is>
      </c>
      <c r="D116" s="28" t="n">
        <v>7</v>
      </c>
      <c r="E116" s="27" t="inlineStr">
        <is>
          <t>I have significant autonomy in determining how I do my job.</t>
        </is>
      </c>
      <c r="F116" s="27" t="inlineStr">
        <is>
          <t>Self-Determination</t>
        </is>
      </c>
      <c r="G116" s="27" t="inlineStr">
        <is>
          <t>FALSE</t>
        </is>
      </c>
      <c r="H116" s="27" t="inlineStr">
        <is>
          <t>FALSE</t>
        </is>
      </c>
      <c r="I116" s="27" t="inlineStr">
        <is>
          <t>Very Strongly Disagree = 1 | Strongly Disagree = 2 | Disagree = 3 | Neutral = 4 | Agree = 5 | Strongly Agree = 6 | Very Strongly Agree = 7</t>
        </is>
      </c>
      <c r="J116" s="27" t="n"/>
      <c r="K116" s="27" t="inlineStr">
        <is>
          <t>https://webuser.bus.umich.edu/spreitze/Pdfs/EmpowerInstrument.pdf</t>
        </is>
      </c>
    </row>
    <row r="117" ht="35.05" customHeight="1" s="17">
      <c r="A117" s="27" t="inlineStr">
        <is>
          <t>PES</t>
        </is>
      </c>
      <c r="B117" s="27" t="inlineStr">
        <is>
          <t>Psychological Empowerment Scale</t>
        </is>
      </c>
      <c r="C117" s="27" t="inlineStr">
        <is>
          <t>3. Adjacent occupational and wellbeing</t>
        </is>
      </c>
      <c r="D117" s="28" t="n">
        <v>8</v>
      </c>
      <c r="E117" s="27" t="inlineStr">
        <is>
          <t>I can decide on my own how to go about doing my own work.</t>
        </is>
      </c>
      <c r="F117" s="27" t="inlineStr">
        <is>
          <t>Self-Determination</t>
        </is>
      </c>
      <c r="G117" s="27" t="inlineStr">
        <is>
          <t>FALSE</t>
        </is>
      </c>
      <c r="H117" s="27" t="inlineStr">
        <is>
          <t>FALSE</t>
        </is>
      </c>
      <c r="I117" s="27" t="inlineStr">
        <is>
          <t>Very Strongly Disagree = 1 | Strongly Disagree = 2 | Disagree = 3 | Neutral = 4 | Agree = 5 | Strongly Agree = 6 | Very Strongly Agree = 7</t>
        </is>
      </c>
      <c r="J117" s="27" t="n"/>
      <c r="K117" s="27" t="inlineStr">
        <is>
          <t>https://webuser.bus.umich.edu/spreitze/Pdfs/EmpowerInstrument.pdf</t>
        </is>
      </c>
    </row>
    <row r="118" ht="35.05" customHeight="1" s="17">
      <c r="A118" s="27" t="inlineStr">
        <is>
          <t>PES</t>
        </is>
      </c>
      <c r="B118" s="27" t="inlineStr">
        <is>
          <t>Psychological Empowerment Scale</t>
        </is>
      </c>
      <c r="C118" s="27" t="inlineStr">
        <is>
          <t>3. Adjacent occupational and wellbeing</t>
        </is>
      </c>
      <c r="D118" s="28" t="n">
        <v>9</v>
      </c>
      <c r="E118" s="27" t="inlineStr">
        <is>
          <t>I have considerable opportunity for independence and freedom in how I do my job.</t>
        </is>
      </c>
      <c r="F118" s="27" t="inlineStr">
        <is>
          <t>Self-Determination</t>
        </is>
      </c>
      <c r="G118" s="27" t="inlineStr">
        <is>
          <t>FALSE</t>
        </is>
      </c>
      <c r="H118" s="27" t="inlineStr">
        <is>
          <t>FALSE</t>
        </is>
      </c>
      <c r="I118" s="27" t="inlineStr">
        <is>
          <t>Very Strongly Disagree = 1 | Strongly Disagree = 2 | Disagree = 3 | Neutral = 4 | Agree = 5 | Strongly Agree = 6 | Very Strongly Agree = 7</t>
        </is>
      </c>
      <c r="J118" s="27" t="n"/>
      <c r="K118" s="27" t="inlineStr">
        <is>
          <t>https://webuser.bus.umich.edu/spreitze/Pdfs/EmpowerInstrument.pdf</t>
        </is>
      </c>
    </row>
    <row r="119" ht="35.05" customHeight="1" s="17">
      <c r="A119" s="27" t="inlineStr">
        <is>
          <t>PES</t>
        </is>
      </c>
      <c r="B119" s="27" t="inlineStr">
        <is>
          <t>Psychological Empowerment Scale</t>
        </is>
      </c>
      <c r="C119" s="27" t="inlineStr">
        <is>
          <t>3. Adjacent occupational and wellbeing</t>
        </is>
      </c>
      <c r="D119" s="28" t="n">
        <v>10</v>
      </c>
      <c r="E119" s="27" t="inlineStr">
        <is>
          <t>My impact on what happens in my department is large.</t>
        </is>
      </c>
      <c r="F119" s="27" t="inlineStr">
        <is>
          <t>Impact</t>
        </is>
      </c>
      <c r="G119" s="27" t="inlineStr">
        <is>
          <t>FALSE</t>
        </is>
      </c>
      <c r="H119" s="27" t="inlineStr">
        <is>
          <t>FALSE</t>
        </is>
      </c>
      <c r="I119" s="27" t="inlineStr">
        <is>
          <t>Very Strongly Disagree = 1 | Strongly Disagree = 2 | Disagree = 3 | Neutral = 4 | Agree = 5 | Strongly Agree = 6 | Very Strongly Agree = 7</t>
        </is>
      </c>
      <c r="J119" s="27" t="n"/>
      <c r="K119" s="27" t="inlineStr">
        <is>
          <t>https://webuser.bus.umich.edu/spreitze/Pdfs/EmpowerInstrument.pdf</t>
        </is>
      </c>
    </row>
    <row r="120" ht="35.05" customHeight="1" s="17">
      <c r="A120" s="27" t="inlineStr">
        <is>
          <t>PES</t>
        </is>
      </c>
      <c r="B120" s="27" t="inlineStr">
        <is>
          <t>Psychological Empowerment Scale</t>
        </is>
      </c>
      <c r="C120" s="27" t="inlineStr">
        <is>
          <t>3. Adjacent occupational and wellbeing</t>
        </is>
      </c>
      <c r="D120" s="28" t="n">
        <v>11</v>
      </c>
      <c r="E120" s="27" t="inlineStr">
        <is>
          <t>I have a great deal of control over what happens in my department.</t>
        </is>
      </c>
      <c r="F120" s="27" t="inlineStr">
        <is>
          <t>Impact</t>
        </is>
      </c>
      <c r="G120" s="27" t="inlineStr">
        <is>
          <t>FALSE</t>
        </is>
      </c>
      <c r="H120" s="27" t="inlineStr">
        <is>
          <t>FALSE</t>
        </is>
      </c>
      <c r="I120" s="27" t="inlineStr">
        <is>
          <t>Very Strongly Disagree = 1 | Strongly Disagree = 2 | Disagree = 3 | Neutral = 4 | Agree = 5 | Strongly Agree = 6 | Very Strongly Agree = 7</t>
        </is>
      </c>
      <c r="J120" s="27" t="n"/>
      <c r="K120" s="27" t="inlineStr">
        <is>
          <t>https://webuser.bus.umich.edu/spreitze/Pdfs/EmpowerInstrument.pdf</t>
        </is>
      </c>
    </row>
    <row r="121" ht="35.05" customHeight="1" s="17">
      <c r="A121" s="27" t="inlineStr">
        <is>
          <t>PES</t>
        </is>
      </c>
      <c r="B121" s="27" t="inlineStr">
        <is>
          <t>Psychological Empowerment Scale</t>
        </is>
      </c>
      <c r="C121" s="27" t="inlineStr">
        <is>
          <t>3. Adjacent occupational and wellbeing</t>
        </is>
      </c>
      <c r="D121" s="28" t="n">
        <v>12</v>
      </c>
      <c r="E121" s="27" t="inlineStr">
        <is>
          <t>I have significant influence over what happens in my department.</t>
        </is>
      </c>
      <c r="F121" s="27" t="inlineStr">
        <is>
          <t>Impact</t>
        </is>
      </c>
      <c r="G121" s="27" t="inlineStr">
        <is>
          <t>FALSE</t>
        </is>
      </c>
      <c r="H121" s="27" t="inlineStr">
        <is>
          <t>FALSE</t>
        </is>
      </c>
      <c r="I121" s="27" t="inlineStr">
        <is>
          <t>Very Strongly Disagree = 1 | Strongly Disagree = 2 | Disagree = 3 | Neutral = 4 | Agree = 5 | Strongly Agree = 6 | Very Strongly Agree = 7</t>
        </is>
      </c>
      <c r="J121" s="27" t="n"/>
      <c r="K121" s="27" t="inlineStr">
        <is>
          <t>https://webuser.bus.umich.edu/spreitze/Pdfs/EmpowerInstrument.pdf</t>
        </is>
      </c>
    </row>
    <row r="122" ht="46.25" customHeight="1" s="17">
      <c r="A122" s="27" t="inlineStr">
        <is>
          <t>DASS-21</t>
        </is>
      </c>
      <c r="B122" s="27" t="inlineStr">
        <is>
          <t>Depression Anxiety Stress Scales, 21 item version (DASS-21)</t>
        </is>
      </c>
      <c r="C122" s="27" t="inlineStr">
        <is>
          <t>4. Psychological distress screening</t>
        </is>
      </c>
      <c r="D122" s="28" t="n">
        <v>1</v>
      </c>
      <c r="E122" s="27" t="inlineStr">
        <is>
          <t>I found it hard to wind down</t>
        </is>
      </c>
      <c r="F122" s="27" t="inlineStr">
        <is>
          <t>Stress</t>
        </is>
      </c>
      <c r="G122" s="27" t="inlineStr">
        <is>
          <t>FALSE</t>
        </is>
      </c>
      <c r="H122" s="27" t="inlineStr">
        <is>
          <t>FALSE</t>
        </is>
      </c>
      <c r="I122" s="27" t="inlineStr">
        <is>
          <t>Did not apply to me at all = 0 | Applied to me to some degree, or some of the time = 1 | Applied to me to a considerable degree, or a good part of time = 2 | Applied to me very much, or most of the time = 3</t>
        </is>
      </c>
      <c r="J122" s="27" t="n"/>
      <c r="K122" s="27" t="inlineStr">
        <is>
          <t>https://www2.psy.unsw.edu.au/dass/</t>
        </is>
      </c>
    </row>
    <row r="123" ht="46.25" customHeight="1" s="17">
      <c r="A123" s="27" t="inlineStr">
        <is>
          <t>DASS-21</t>
        </is>
      </c>
      <c r="B123" s="27" t="inlineStr">
        <is>
          <t>Depression Anxiety Stress Scales, 21 item version (DASS-21)</t>
        </is>
      </c>
      <c r="C123" s="27" t="inlineStr">
        <is>
          <t>4. Psychological distress screening</t>
        </is>
      </c>
      <c r="D123" s="28" t="n">
        <v>2</v>
      </c>
      <c r="E123" s="27" t="inlineStr">
        <is>
          <t>I was aware of dryness of my mouth</t>
        </is>
      </c>
      <c r="F123" s="27" t="inlineStr">
        <is>
          <t>Anxiety</t>
        </is>
      </c>
      <c r="G123" s="27" t="inlineStr">
        <is>
          <t>FALSE</t>
        </is>
      </c>
      <c r="H123" s="27" t="inlineStr">
        <is>
          <t>FALSE</t>
        </is>
      </c>
      <c r="I123" s="27" t="inlineStr">
        <is>
          <t>Did not apply to me at all = 0 | Applied to me to some degree, or some of the time = 1 | Applied to me to a considerable degree, or a good part of time = 2 | Applied to me very much, or most of the time = 3</t>
        </is>
      </c>
      <c r="J123" s="27" t="n"/>
      <c r="K123" s="27" t="inlineStr">
        <is>
          <t>https://www2.psy.unsw.edu.au/dass/</t>
        </is>
      </c>
    </row>
    <row r="124" ht="46.25" customHeight="1" s="17">
      <c r="A124" s="27" t="inlineStr">
        <is>
          <t>DASS-21</t>
        </is>
      </c>
      <c r="B124" s="27" t="inlineStr">
        <is>
          <t>Depression Anxiety Stress Scales, 21 item version (DASS-21)</t>
        </is>
      </c>
      <c r="C124" s="27" t="inlineStr">
        <is>
          <t>4. Psychological distress screening</t>
        </is>
      </c>
      <c r="D124" s="28" t="n">
        <v>3</v>
      </c>
      <c r="E124" s="27" t="inlineStr">
        <is>
          <t>I couldn't seem to experience any positive feeling at all</t>
        </is>
      </c>
      <c r="F124" s="27" t="inlineStr">
        <is>
          <t>Depression</t>
        </is>
      </c>
      <c r="G124" s="27" t="inlineStr">
        <is>
          <t>FALSE</t>
        </is>
      </c>
      <c r="H124" s="27" t="inlineStr">
        <is>
          <t>FALSE</t>
        </is>
      </c>
      <c r="I124" s="27" t="inlineStr">
        <is>
          <t>Did not apply to me at all = 0 | Applied to me to some degree, or some of the time = 1 | Applied to me to a considerable degree, or a good part of time = 2 | Applied to me very much, or most of the time = 3</t>
        </is>
      </c>
      <c r="J124" s="27" t="n"/>
      <c r="K124" s="27" t="inlineStr">
        <is>
          <t>https://www2.psy.unsw.edu.au/dass/</t>
        </is>
      </c>
    </row>
    <row r="125" ht="46.25" customHeight="1" s="17">
      <c r="A125" s="27" t="inlineStr">
        <is>
          <t>DASS-21</t>
        </is>
      </c>
      <c r="B125" s="27" t="inlineStr">
        <is>
          <t>Depression Anxiety Stress Scales, 21 item version (DASS-21)</t>
        </is>
      </c>
      <c r="C125" s="27" t="inlineStr">
        <is>
          <t>4. Psychological distress screening</t>
        </is>
      </c>
      <c r="D125" s="28" t="n">
        <v>4</v>
      </c>
      <c r="E125" s="27" t="inlineStr">
        <is>
          <t>I experienced breathing difficulty (eg, excessively rapid breathing, breathlessness in the absence of physical exertion)</t>
        </is>
      </c>
      <c r="F125" s="27" t="inlineStr">
        <is>
          <t>Anxiety</t>
        </is>
      </c>
      <c r="G125" s="27" t="inlineStr">
        <is>
          <t>FALSE</t>
        </is>
      </c>
      <c r="H125" s="27" t="inlineStr">
        <is>
          <t>FALSE</t>
        </is>
      </c>
      <c r="I125" s="27" t="inlineStr">
        <is>
          <t>Did not apply to me at all = 0 | Applied to me to some degree, or some of the time = 1 | Applied to me to a considerable degree, or a good part of time = 2 | Applied to me very much, or most of the time = 3</t>
        </is>
      </c>
      <c r="J125" s="27" t="n"/>
      <c r="K125" s="27" t="inlineStr">
        <is>
          <t>https://www2.psy.unsw.edu.au/dass/</t>
        </is>
      </c>
    </row>
    <row r="126" ht="46.25" customHeight="1" s="17">
      <c r="A126" s="27" t="inlineStr">
        <is>
          <t>DASS-21</t>
        </is>
      </c>
      <c r="B126" s="27" t="inlineStr">
        <is>
          <t>Depression Anxiety Stress Scales, 21 item version (DASS-21)</t>
        </is>
      </c>
      <c r="C126" s="27" t="inlineStr">
        <is>
          <t>4. Psychological distress screening</t>
        </is>
      </c>
      <c r="D126" s="28" t="n">
        <v>5</v>
      </c>
      <c r="E126" s="27" t="inlineStr">
        <is>
          <t>I found it difficult to work up the initiative to do things</t>
        </is>
      </c>
      <c r="F126" s="27" t="inlineStr">
        <is>
          <t>Depression</t>
        </is>
      </c>
      <c r="G126" s="27" t="inlineStr">
        <is>
          <t>FALSE</t>
        </is>
      </c>
      <c r="H126" s="27" t="inlineStr">
        <is>
          <t>FALSE</t>
        </is>
      </c>
      <c r="I126" s="27" t="inlineStr">
        <is>
          <t>Did not apply to me at all = 0 | Applied to me to some degree, or some of the time = 1 | Applied to me to a considerable degree, or a good part of time = 2 | Applied to me very much, or most of the time = 3</t>
        </is>
      </c>
      <c r="J126" s="27" t="n"/>
      <c r="K126" s="27" t="inlineStr">
        <is>
          <t>https://www2.psy.unsw.edu.au/dass/</t>
        </is>
      </c>
    </row>
    <row r="127" ht="46.25" customHeight="1" s="17">
      <c r="A127" s="27" t="inlineStr">
        <is>
          <t>DASS-21</t>
        </is>
      </c>
      <c r="B127" s="27" t="inlineStr">
        <is>
          <t>Depression Anxiety Stress Scales, 21 item version (DASS-21)</t>
        </is>
      </c>
      <c r="C127" s="27" t="inlineStr">
        <is>
          <t>4. Psychological distress screening</t>
        </is>
      </c>
      <c r="D127" s="28" t="n">
        <v>6</v>
      </c>
      <c r="E127" s="27" t="inlineStr">
        <is>
          <t>I tended to over-react to situations</t>
        </is>
      </c>
      <c r="F127" s="27" t="inlineStr">
        <is>
          <t>Stress</t>
        </is>
      </c>
      <c r="G127" s="27" t="inlineStr">
        <is>
          <t>FALSE</t>
        </is>
      </c>
      <c r="H127" s="27" t="inlineStr">
        <is>
          <t>FALSE</t>
        </is>
      </c>
      <c r="I127" s="27" t="inlineStr">
        <is>
          <t>Did not apply to me at all = 0 | Applied to me to some degree, or some of the time = 1 | Applied to me to a considerable degree, or a good part of time = 2 | Applied to me very much, or most of the time = 3</t>
        </is>
      </c>
      <c r="J127" s="27" t="n"/>
      <c r="K127" s="27" t="inlineStr">
        <is>
          <t>https://www2.psy.unsw.edu.au/dass/</t>
        </is>
      </c>
    </row>
    <row r="128" ht="46.25" customHeight="1" s="17">
      <c r="A128" s="27" t="inlineStr">
        <is>
          <t>DASS-21</t>
        </is>
      </c>
      <c r="B128" s="27" t="inlineStr">
        <is>
          <t>Depression Anxiety Stress Scales, 21 item version (DASS-21)</t>
        </is>
      </c>
      <c r="C128" s="27" t="inlineStr">
        <is>
          <t>4. Psychological distress screening</t>
        </is>
      </c>
      <c r="D128" s="28" t="n">
        <v>7</v>
      </c>
      <c r="E128" s="27" t="inlineStr">
        <is>
          <t>I experienced trembling (eg, in the hands)</t>
        </is>
      </c>
      <c r="F128" s="27" t="inlineStr">
        <is>
          <t>Anxiety</t>
        </is>
      </c>
      <c r="G128" s="27" t="inlineStr">
        <is>
          <t>FALSE</t>
        </is>
      </c>
      <c r="H128" s="27" t="inlineStr">
        <is>
          <t>FALSE</t>
        </is>
      </c>
      <c r="I128" s="27" t="inlineStr">
        <is>
          <t>Did not apply to me at all = 0 | Applied to me to some degree, or some of the time = 1 | Applied to me to a considerable degree, or a good part of time = 2 | Applied to me very much, or most of the time = 3</t>
        </is>
      </c>
      <c r="J128" s="27" t="n"/>
      <c r="K128" s="27" t="inlineStr">
        <is>
          <t>https://www2.psy.unsw.edu.au/dass/</t>
        </is>
      </c>
    </row>
    <row r="129" ht="46.25" customHeight="1" s="17">
      <c r="A129" s="27" t="inlineStr">
        <is>
          <t>DASS-21</t>
        </is>
      </c>
      <c r="B129" s="27" t="inlineStr">
        <is>
          <t>Depression Anxiety Stress Scales, 21 item version (DASS-21)</t>
        </is>
      </c>
      <c r="C129" s="27" t="inlineStr">
        <is>
          <t>4. Psychological distress screening</t>
        </is>
      </c>
      <c r="D129" s="28" t="n">
        <v>8</v>
      </c>
      <c r="E129" s="27" t="inlineStr">
        <is>
          <t>I felt that I was using a lot of nervous energy</t>
        </is>
      </c>
      <c r="F129" s="27" t="inlineStr">
        <is>
          <t>Stress</t>
        </is>
      </c>
      <c r="G129" s="27" t="inlineStr">
        <is>
          <t>FALSE</t>
        </is>
      </c>
      <c r="H129" s="27" t="inlineStr">
        <is>
          <t>FALSE</t>
        </is>
      </c>
      <c r="I129" s="27" t="inlineStr">
        <is>
          <t>Did not apply to me at all = 0 | Applied to me to some degree, or some of the time = 1 | Applied to me to a considerable degree, or a good part of time = 2 | Applied to me very much, or most of the time = 3</t>
        </is>
      </c>
      <c r="J129" s="27" t="n"/>
      <c r="K129" s="27" t="inlineStr">
        <is>
          <t>https://www2.psy.unsw.edu.au/dass/</t>
        </is>
      </c>
    </row>
    <row r="130" ht="46.25" customHeight="1" s="17">
      <c r="A130" s="27" t="inlineStr">
        <is>
          <t>DASS-21</t>
        </is>
      </c>
      <c r="B130" s="27" t="inlineStr">
        <is>
          <t>Depression Anxiety Stress Scales, 21 item version (DASS-21)</t>
        </is>
      </c>
      <c r="C130" s="27" t="inlineStr">
        <is>
          <t>4. Psychological distress screening</t>
        </is>
      </c>
      <c r="D130" s="28" t="n">
        <v>9</v>
      </c>
      <c r="E130" s="27" t="inlineStr">
        <is>
          <t>I was worried about situations in which I might panic and make a fool of myself</t>
        </is>
      </c>
      <c r="F130" s="27" t="inlineStr">
        <is>
          <t>Anxiety</t>
        </is>
      </c>
      <c r="G130" s="27" t="inlineStr">
        <is>
          <t>FALSE</t>
        </is>
      </c>
      <c r="H130" s="27" t="inlineStr">
        <is>
          <t>FALSE</t>
        </is>
      </c>
      <c r="I130" s="27" t="inlineStr">
        <is>
          <t>Did not apply to me at all = 0 | Applied to me to some degree, or some of the time = 1 | Applied to me to a considerable degree, or a good part of time = 2 | Applied to me very much, or most of the time = 3</t>
        </is>
      </c>
      <c r="J130" s="27" t="n"/>
      <c r="K130" s="27" t="inlineStr">
        <is>
          <t>https://www2.psy.unsw.edu.au/dass/</t>
        </is>
      </c>
    </row>
    <row r="131" ht="46.25" customHeight="1" s="17">
      <c r="A131" s="27" t="inlineStr">
        <is>
          <t>DASS-21</t>
        </is>
      </c>
      <c r="B131" s="27" t="inlineStr">
        <is>
          <t>Depression Anxiety Stress Scales, 21 item version (DASS-21)</t>
        </is>
      </c>
      <c r="C131" s="27" t="inlineStr">
        <is>
          <t>4. Psychological distress screening</t>
        </is>
      </c>
      <c r="D131" s="28" t="n">
        <v>10</v>
      </c>
      <c r="E131" s="27" t="inlineStr">
        <is>
          <t>I felt that I had nothing to look forward to</t>
        </is>
      </c>
      <c r="F131" s="27" t="inlineStr">
        <is>
          <t>Depression</t>
        </is>
      </c>
      <c r="G131" s="27" t="inlineStr">
        <is>
          <t>FALSE</t>
        </is>
      </c>
      <c r="H131" s="27" t="inlineStr">
        <is>
          <t>FALSE</t>
        </is>
      </c>
      <c r="I131" s="27" t="inlineStr">
        <is>
          <t>Did not apply to me at all = 0 | Applied to me to some degree, or some of the time = 1 | Applied to me to a considerable degree, or a good part of time = 2 | Applied to me very much, or most of the time = 3</t>
        </is>
      </c>
      <c r="J131" s="27" t="inlineStr">
        <is>
          <t>Followed up directly when endorsed at 2 or 3 (practice protocol).</t>
        </is>
      </c>
      <c r="K131" s="27" t="inlineStr">
        <is>
          <t>https://www2.psy.unsw.edu.au/dass/</t>
        </is>
      </c>
    </row>
    <row r="132" ht="46.25" customHeight="1" s="17">
      <c r="A132" s="27" t="inlineStr">
        <is>
          <t>DASS-21</t>
        </is>
      </c>
      <c r="B132" s="27" t="inlineStr">
        <is>
          <t>Depression Anxiety Stress Scales, 21 item version (DASS-21)</t>
        </is>
      </c>
      <c r="C132" s="27" t="inlineStr">
        <is>
          <t>4. Psychological distress screening</t>
        </is>
      </c>
      <c r="D132" s="28" t="n">
        <v>11</v>
      </c>
      <c r="E132" s="27" t="inlineStr">
        <is>
          <t>I found myself getting agitated</t>
        </is>
      </c>
      <c r="F132" s="27" t="inlineStr">
        <is>
          <t>Stress</t>
        </is>
      </c>
      <c r="G132" s="27" t="inlineStr">
        <is>
          <t>FALSE</t>
        </is>
      </c>
      <c r="H132" s="27" t="inlineStr">
        <is>
          <t>FALSE</t>
        </is>
      </c>
      <c r="I132" s="27" t="inlineStr">
        <is>
          <t>Did not apply to me at all = 0 | Applied to me to some degree, or some of the time = 1 | Applied to me to a considerable degree, or a good part of time = 2 | Applied to me very much, or most of the time = 3</t>
        </is>
      </c>
      <c r="J132" s="27" t="n"/>
      <c r="K132" s="27" t="inlineStr">
        <is>
          <t>https://www2.psy.unsw.edu.au/dass/</t>
        </is>
      </c>
    </row>
    <row r="133" ht="46.25" customHeight="1" s="17">
      <c r="A133" s="27" t="inlineStr">
        <is>
          <t>DASS-21</t>
        </is>
      </c>
      <c r="B133" s="27" t="inlineStr">
        <is>
          <t>Depression Anxiety Stress Scales, 21 item version (DASS-21)</t>
        </is>
      </c>
      <c r="C133" s="27" t="inlineStr">
        <is>
          <t>4. Psychological distress screening</t>
        </is>
      </c>
      <c r="D133" s="28" t="n">
        <v>12</v>
      </c>
      <c r="E133" s="27" t="inlineStr">
        <is>
          <t>I found it difficult to relax</t>
        </is>
      </c>
      <c r="F133" s="27" t="inlineStr">
        <is>
          <t>Stress</t>
        </is>
      </c>
      <c r="G133" s="27" t="inlineStr">
        <is>
          <t>FALSE</t>
        </is>
      </c>
      <c r="H133" s="27" t="inlineStr">
        <is>
          <t>FALSE</t>
        </is>
      </c>
      <c r="I133" s="27" t="inlineStr">
        <is>
          <t>Did not apply to me at all = 0 | Applied to me to some degree, or some of the time = 1 | Applied to me to a considerable degree, or a good part of time = 2 | Applied to me very much, or most of the time = 3</t>
        </is>
      </c>
      <c r="J133" s="27" t="n"/>
      <c r="K133" s="27" t="inlineStr">
        <is>
          <t>https://www2.psy.unsw.edu.au/dass/</t>
        </is>
      </c>
    </row>
    <row r="134" ht="46.25" customHeight="1" s="17">
      <c r="A134" s="27" t="inlineStr">
        <is>
          <t>DASS-21</t>
        </is>
      </c>
      <c r="B134" s="27" t="inlineStr">
        <is>
          <t>Depression Anxiety Stress Scales, 21 item version (DASS-21)</t>
        </is>
      </c>
      <c r="C134" s="27" t="inlineStr">
        <is>
          <t>4. Psychological distress screening</t>
        </is>
      </c>
      <c r="D134" s="28" t="n">
        <v>13</v>
      </c>
      <c r="E134" s="27" t="inlineStr">
        <is>
          <t>I felt down-hearted and blue</t>
        </is>
      </c>
      <c r="F134" s="27" t="inlineStr">
        <is>
          <t>Depression</t>
        </is>
      </c>
      <c r="G134" s="27" t="inlineStr">
        <is>
          <t>FALSE</t>
        </is>
      </c>
      <c r="H134" s="27" t="inlineStr">
        <is>
          <t>FALSE</t>
        </is>
      </c>
      <c r="I134" s="27" t="inlineStr">
        <is>
          <t>Did not apply to me at all = 0 | Applied to me to some degree, or some of the time = 1 | Applied to me to a considerable degree, or a good part of time = 2 | Applied to me very much, or most of the time = 3</t>
        </is>
      </c>
      <c r="J134" s="27" t="n"/>
      <c r="K134" s="27" t="inlineStr">
        <is>
          <t>https://www2.psy.unsw.edu.au/dass/</t>
        </is>
      </c>
    </row>
    <row r="135" ht="46.25" customHeight="1" s="17">
      <c r="A135" s="27" t="inlineStr">
        <is>
          <t>DASS-21</t>
        </is>
      </c>
      <c r="B135" s="27" t="inlineStr">
        <is>
          <t>Depression Anxiety Stress Scales, 21 item version (DASS-21)</t>
        </is>
      </c>
      <c r="C135" s="27" t="inlineStr">
        <is>
          <t>4. Psychological distress screening</t>
        </is>
      </c>
      <c r="D135" s="28" t="n">
        <v>14</v>
      </c>
      <c r="E135" s="27" t="inlineStr">
        <is>
          <t>I was intolerant of anything that kept me from getting on with what I was doing</t>
        </is>
      </c>
      <c r="F135" s="27" t="inlineStr">
        <is>
          <t>Stress</t>
        </is>
      </c>
      <c r="G135" s="27" t="inlineStr">
        <is>
          <t>FALSE</t>
        </is>
      </c>
      <c r="H135" s="27" t="inlineStr">
        <is>
          <t>FALSE</t>
        </is>
      </c>
      <c r="I135" s="27" t="inlineStr">
        <is>
          <t>Did not apply to me at all = 0 | Applied to me to some degree, or some of the time = 1 | Applied to me to a considerable degree, or a good part of time = 2 | Applied to me very much, or most of the time = 3</t>
        </is>
      </c>
      <c r="J135" s="27" t="n"/>
      <c r="K135" s="27" t="inlineStr">
        <is>
          <t>https://www2.psy.unsw.edu.au/dass/</t>
        </is>
      </c>
    </row>
    <row r="136" ht="46.25" customHeight="1" s="17">
      <c r="A136" s="27" t="inlineStr">
        <is>
          <t>DASS-21</t>
        </is>
      </c>
      <c r="B136" s="27" t="inlineStr">
        <is>
          <t>Depression Anxiety Stress Scales, 21 item version (DASS-21)</t>
        </is>
      </c>
      <c r="C136" s="27" t="inlineStr">
        <is>
          <t>4. Psychological distress screening</t>
        </is>
      </c>
      <c r="D136" s="28" t="n">
        <v>15</v>
      </c>
      <c r="E136" s="27" t="inlineStr">
        <is>
          <t>I felt I was close to panic</t>
        </is>
      </c>
      <c r="F136" s="27" t="inlineStr">
        <is>
          <t>Anxiety</t>
        </is>
      </c>
      <c r="G136" s="27" t="inlineStr">
        <is>
          <t>FALSE</t>
        </is>
      </c>
      <c r="H136" s="27" t="inlineStr">
        <is>
          <t>FALSE</t>
        </is>
      </c>
      <c r="I136" s="27" t="inlineStr">
        <is>
          <t>Did not apply to me at all = 0 | Applied to me to some degree, or some of the time = 1 | Applied to me to a considerable degree, or a good part of time = 2 | Applied to me very much, or most of the time = 3</t>
        </is>
      </c>
      <c r="J136" s="27" t="n"/>
      <c r="K136" s="27" t="inlineStr">
        <is>
          <t>https://www2.psy.unsw.edu.au/dass/</t>
        </is>
      </c>
    </row>
    <row r="137" ht="46.25" customHeight="1" s="17">
      <c r="A137" s="27" t="inlineStr">
        <is>
          <t>DASS-21</t>
        </is>
      </c>
      <c r="B137" s="27" t="inlineStr">
        <is>
          <t>Depression Anxiety Stress Scales, 21 item version (DASS-21)</t>
        </is>
      </c>
      <c r="C137" s="27" t="inlineStr">
        <is>
          <t>4. Psychological distress screening</t>
        </is>
      </c>
      <c r="D137" s="28" t="n">
        <v>16</v>
      </c>
      <c r="E137" s="27" t="inlineStr">
        <is>
          <t>I was unable to become enthusiastic about anything</t>
        </is>
      </c>
      <c r="F137" s="27" t="inlineStr">
        <is>
          <t>Depression</t>
        </is>
      </c>
      <c r="G137" s="27" t="inlineStr">
        <is>
          <t>FALSE</t>
        </is>
      </c>
      <c r="H137" s="27" t="inlineStr">
        <is>
          <t>FALSE</t>
        </is>
      </c>
      <c r="I137" s="27" t="inlineStr">
        <is>
          <t>Did not apply to me at all = 0 | Applied to me to some degree, or some of the time = 1 | Applied to me to a considerable degree, or a good part of time = 2 | Applied to me very much, or most of the time = 3</t>
        </is>
      </c>
      <c r="J137" s="27" t="n"/>
      <c r="K137" s="27" t="inlineStr">
        <is>
          <t>https://www2.psy.unsw.edu.au/dass/</t>
        </is>
      </c>
    </row>
    <row r="138" ht="46.25" customHeight="1" s="17">
      <c r="A138" s="27" t="inlineStr">
        <is>
          <t>DASS-21</t>
        </is>
      </c>
      <c r="B138" s="27" t="inlineStr">
        <is>
          <t>Depression Anxiety Stress Scales, 21 item version (DASS-21)</t>
        </is>
      </c>
      <c r="C138" s="27" t="inlineStr">
        <is>
          <t>4. Psychological distress screening</t>
        </is>
      </c>
      <c r="D138" s="28" t="n">
        <v>17</v>
      </c>
      <c r="E138" s="27" t="inlineStr">
        <is>
          <t>I felt I wasn't worth much as a person</t>
        </is>
      </c>
      <c r="F138" s="27" t="inlineStr">
        <is>
          <t>Depression</t>
        </is>
      </c>
      <c r="G138" s="27" t="inlineStr">
        <is>
          <t>FALSE</t>
        </is>
      </c>
      <c r="H138" s="27" t="inlineStr">
        <is>
          <t>FALSE</t>
        </is>
      </c>
      <c r="I138" s="27" t="inlineStr">
        <is>
          <t>Did not apply to me at all = 0 | Applied to me to some degree, or some of the time = 1 | Applied to me to a considerable degree, or a good part of time = 2 | Applied to me very much, or most of the time = 3</t>
        </is>
      </c>
      <c r="J138" s="27" t="inlineStr">
        <is>
          <t>Followed up directly when endorsed at 2 or 3 (practice protocol).</t>
        </is>
      </c>
      <c r="K138" s="27" t="inlineStr">
        <is>
          <t>https://www2.psy.unsw.edu.au/dass/</t>
        </is>
      </c>
    </row>
    <row r="139" ht="46.25" customHeight="1" s="17">
      <c r="A139" s="27" t="inlineStr">
        <is>
          <t>DASS-21</t>
        </is>
      </c>
      <c r="B139" s="27" t="inlineStr">
        <is>
          <t>Depression Anxiety Stress Scales, 21 item version (DASS-21)</t>
        </is>
      </c>
      <c r="C139" s="27" t="inlineStr">
        <is>
          <t>4. Psychological distress screening</t>
        </is>
      </c>
      <c r="D139" s="28" t="n">
        <v>18</v>
      </c>
      <c r="E139" s="27" t="inlineStr">
        <is>
          <t>I felt that I was rather touchy</t>
        </is>
      </c>
      <c r="F139" s="27" t="inlineStr">
        <is>
          <t>Stress</t>
        </is>
      </c>
      <c r="G139" s="27" t="inlineStr">
        <is>
          <t>FALSE</t>
        </is>
      </c>
      <c r="H139" s="27" t="inlineStr">
        <is>
          <t>FALSE</t>
        </is>
      </c>
      <c r="I139" s="27" t="inlineStr">
        <is>
          <t>Did not apply to me at all = 0 | Applied to me to some degree, or some of the time = 1 | Applied to me to a considerable degree, or a good part of time = 2 | Applied to me very much, or most of the time = 3</t>
        </is>
      </c>
      <c r="J139" s="27" t="n"/>
      <c r="K139" s="27" t="inlineStr">
        <is>
          <t>https://www2.psy.unsw.edu.au/dass/</t>
        </is>
      </c>
    </row>
    <row r="140" ht="46.25" customHeight="1" s="17">
      <c r="A140" s="27" t="inlineStr">
        <is>
          <t>DASS-21</t>
        </is>
      </c>
      <c r="B140" s="27" t="inlineStr">
        <is>
          <t>Depression Anxiety Stress Scales, 21 item version (DASS-21)</t>
        </is>
      </c>
      <c r="C140" s="27" t="inlineStr">
        <is>
          <t>4. Psychological distress screening</t>
        </is>
      </c>
      <c r="D140" s="28" t="n">
        <v>19</v>
      </c>
      <c r="E140" s="27" t="inlineStr">
        <is>
          <t>I was aware of the action of my heart in the absence of physical exertion (eg, sense of heart rate increase, heart missing a beat)</t>
        </is>
      </c>
      <c r="F140" s="27" t="inlineStr">
        <is>
          <t>Anxiety</t>
        </is>
      </c>
      <c r="G140" s="27" t="inlineStr">
        <is>
          <t>FALSE</t>
        </is>
      </c>
      <c r="H140" s="27" t="inlineStr">
        <is>
          <t>FALSE</t>
        </is>
      </c>
      <c r="I140" s="27" t="inlineStr">
        <is>
          <t>Did not apply to me at all = 0 | Applied to me to some degree, or some of the time = 1 | Applied to me to a considerable degree, or a good part of time = 2 | Applied to me very much, or most of the time = 3</t>
        </is>
      </c>
      <c r="J140" s="27" t="n"/>
      <c r="K140" s="27" t="inlineStr">
        <is>
          <t>https://www2.psy.unsw.edu.au/dass/</t>
        </is>
      </c>
    </row>
    <row r="141" ht="46.25" customHeight="1" s="17">
      <c r="A141" s="27" t="inlineStr">
        <is>
          <t>DASS-21</t>
        </is>
      </c>
      <c r="B141" s="27" t="inlineStr">
        <is>
          <t>Depression Anxiety Stress Scales, 21 item version (DASS-21)</t>
        </is>
      </c>
      <c r="C141" s="27" t="inlineStr">
        <is>
          <t>4. Psychological distress screening</t>
        </is>
      </c>
      <c r="D141" s="28" t="n">
        <v>20</v>
      </c>
      <c r="E141" s="27" t="inlineStr">
        <is>
          <t>I felt scared without any good reason</t>
        </is>
      </c>
      <c r="F141" s="27" t="inlineStr">
        <is>
          <t>Anxiety</t>
        </is>
      </c>
      <c r="G141" s="27" t="inlineStr">
        <is>
          <t>FALSE</t>
        </is>
      </c>
      <c r="H141" s="27" t="inlineStr">
        <is>
          <t>FALSE</t>
        </is>
      </c>
      <c r="I141" s="27" t="inlineStr">
        <is>
          <t>Did not apply to me at all = 0 | Applied to me to some degree, or some of the time = 1 | Applied to me to a considerable degree, or a good part of time = 2 | Applied to me very much, or most of the time = 3</t>
        </is>
      </c>
      <c r="J141" s="27" t="n"/>
      <c r="K141" s="27" t="inlineStr">
        <is>
          <t>https://www2.psy.unsw.edu.au/dass/</t>
        </is>
      </c>
    </row>
    <row r="142" ht="46.25" customHeight="1" s="17">
      <c r="A142" s="27" t="inlineStr">
        <is>
          <t>DASS-21</t>
        </is>
      </c>
      <c r="B142" s="27" t="inlineStr">
        <is>
          <t>Depression Anxiety Stress Scales, 21 item version (DASS-21)</t>
        </is>
      </c>
      <c r="C142" s="27" t="inlineStr">
        <is>
          <t>4. Psychological distress screening</t>
        </is>
      </c>
      <c r="D142" s="28" t="n">
        <v>21</v>
      </c>
      <c r="E142" s="27" t="inlineStr">
        <is>
          <t>I felt that life was meaningless</t>
        </is>
      </c>
      <c r="F142" s="27" t="inlineStr">
        <is>
          <t>Depression</t>
        </is>
      </c>
      <c r="G142" s="27" t="inlineStr">
        <is>
          <t>FALSE</t>
        </is>
      </c>
      <c r="H142" s="27" t="inlineStr">
        <is>
          <t>FALSE</t>
        </is>
      </c>
      <c r="I142" s="27" t="inlineStr">
        <is>
          <t>Did not apply to me at all = 0 | Applied to me to some degree, or some of the time = 1 | Applied to me to a considerable degree, or a good part of time = 2 | Applied to me very much, or most of the time = 3</t>
        </is>
      </c>
      <c r="J142" s="27" t="inlineStr">
        <is>
          <t>Followed up directly when endorsed at 2 or 3 (practice protocol).</t>
        </is>
      </c>
      <c r="K142" s="27" t="inlineStr">
        <is>
          <t>https://www2.psy.unsw.edu.au/dass/</t>
        </is>
      </c>
    </row>
    <row r="143" ht="23.85" customHeight="1" s="17">
      <c r="A143" s="27" t="inlineStr">
        <is>
          <t>PTQ</t>
        </is>
      </c>
      <c r="B143" s="27" t="inlineStr">
        <is>
          <t>Perseverative Thinking Questionnaire</t>
        </is>
      </c>
      <c r="C143" s="27" t="inlineStr">
        <is>
          <t>5. Repetitive negative thinking and self talk</t>
        </is>
      </c>
      <c r="D143" s="28" t="n">
        <v>1</v>
      </c>
      <c r="E143" s="27" t="inlineStr">
        <is>
          <t>The same thoughts keep going through my mind again and again.</t>
        </is>
      </c>
      <c r="F143" s="27" t="inlineStr">
        <is>
          <t>Core Characteristics of Repetitive Negative Thinking</t>
        </is>
      </c>
      <c r="G143" s="27" t="inlineStr">
        <is>
          <t>FALSE</t>
        </is>
      </c>
      <c r="H143" s="27" t="inlineStr">
        <is>
          <t>FALSE</t>
        </is>
      </c>
      <c r="I143" s="27" t="inlineStr">
        <is>
          <t>never = 0 | rarely = 1 | sometimes = 2 | often = 3 | almost always = 4</t>
        </is>
      </c>
      <c r="J143" s="27" t="n"/>
      <c r="K143" s="27" t="inlineStr">
        <is>
          <t>https://oxcadatresources.com/wp-content/uploads/2020/09/EhringetalRuminationQuestionnaire.2011.pdf</t>
        </is>
      </c>
    </row>
    <row r="144" ht="23.85" customHeight="1" s="17">
      <c r="A144" s="27" t="inlineStr">
        <is>
          <t>PTQ</t>
        </is>
      </c>
      <c r="B144" s="27" t="inlineStr">
        <is>
          <t>Perseverative Thinking Questionnaire</t>
        </is>
      </c>
      <c r="C144" s="27" t="inlineStr">
        <is>
          <t>5. Repetitive negative thinking and self talk</t>
        </is>
      </c>
      <c r="D144" s="28" t="n">
        <v>2</v>
      </c>
      <c r="E144" s="27" t="inlineStr">
        <is>
          <t>Thoughts intrude into my mind.</t>
        </is>
      </c>
      <c r="F144" s="27" t="inlineStr">
        <is>
          <t>Core Characteristics of Repetitive Negative Thinking</t>
        </is>
      </c>
      <c r="G144" s="27" t="inlineStr">
        <is>
          <t>FALSE</t>
        </is>
      </c>
      <c r="H144" s="27" t="inlineStr">
        <is>
          <t>FALSE</t>
        </is>
      </c>
      <c r="I144" s="27" t="inlineStr">
        <is>
          <t>never = 0 | rarely = 1 | sometimes = 2 | often = 3 | almost always = 4</t>
        </is>
      </c>
      <c r="J144" s="27" t="n"/>
      <c r="K144" s="27" t="inlineStr">
        <is>
          <t>https://oxcadatresources.com/wp-content/uploads/2020/09/EhringetalRuminationQuestionnaire.2011.pdf</t>
        </is>
      </c>
    </row>
    <row r="145" ht="23.85" customHeight="1" s="17">
      <c r="A145" s="27" t="inlineStr">
        <is>
          <t>PTQ</t>
        </is>
      </c>
      <c r="B145" s="27" t="inlineStr">
        <is>
          <t>Perseverative Thinking Questionnaire</t>
        </is>
      </c>
      <c r="C145" s="27" t="inlineStr">
        <is>
          <t>5. Repetitive negative thinking and self talk</t>
        </is>
      </c>
      <c r="D145" s="28" t="n">
        <v>3</v>
      </c>
      <c r="E145" s="27" t="inlineStr">
        <is>
          <t>I can't stop dwelling on them.</t>
        </is>
      </c>
      <c r="F145" s="27" t="inlineStr">
        <is>
          <t>Core Characteristics of Repetitive Negative Thinking</t>
        </is>
      </c>
      <c r="G145" s="27" t="inlineStr">
        <is>
          <t>FALSE</t>
        </is>
      </c>
      <c r="H145" s="27" t="inlineStr">
        <is>
          <t>FALSE</t>
        </is>
      </c>
      <c r="I145" s="27" t="inlineStr">
        <is>
          <t>never = 0 | rarely = 1 | sometimes = 2 | often = 3 | almost always = 4</t>
        </is>
      </c>
      <c r="J145" s="27" t="n"/>
      <c r="K145" s="27" t="inlineStr">
        <is>
          <t>https://oxcadatresources.com/wp-content/uploads/2020/09/EhringetalRuminationQuestionnaire.2011.pdf</t>
        </is>
      </c>
    </row>
    <row r="146" ht="23.85" customHeight="1" s="17">
      <c r="A146" s="27" t="inlineStr">
        <is>
          <t>PTQ</t>
        </is>
      </c>
      <c r="B146" s="27" t="inlineStr">
        <is>
          <t>Perseverative Thinking Questionnaire</t>
        </is>
      </c>
      <c r="C146" s="27" t="inlineStr">
        <is>
          <t>5. Repetitive negative thinking and self talk</t>
        </is>
      </c>
      <c r="D146" s="28" t="n">
        <v>4</v>
      </c>
      <c r="E146" s="27" t="inlineStr">
        <is>
          <t>I think about many problems without solving any of them.</t>
        </is>
      </c>
      <c r="F146" s="27" t="inlineStr">
        <is>
          <t>Unproductiveness</t>
        </is>
      </c>
      <c r="G146" s="27" t="inlineStr">
        <is>
          <t>FALSE</t>
        </is>
      </c>
      <c r="H146" s="27" t="inlineStr">
        <is>
          <t>FALSE</t>
        </is>
      </c>
      <c r="I146" s="27" t="inlineStr">
        <is>
          <t>never = 0 | rarely = 1 | sometimes = 2 | often = 3 | almost always = 4</t>
        </is>
      </c>
      <c r="J146" s="27" t="n"/>
      <c r="K146" s="27" t="inlineStr">
        <is>
          <t>https://oxcadatresources.com/wp-content/uploads/2020/09/EhringetalRuminationQuestionnaire.2011.pdf</t>
        </is>
      </c>
    </row>
    <row r="147" ht="23.85" customHeight="1" s="17">
      <c r="A147" s="27" t="inlineStr">
        <is>
          <t>PTQ</t>
        </is>
      </c>
      <c r="B147" s="27" t="inlineStr">
        <is>
          <t>Perseverative Thinking Questionnaire</t>
        </is>
      </c>
      <c r="C147" s="27" t="inlineStr">
        <is>
          <t>5. Repetitive negative thinking and self talk</t>
        </is>
      </c>
      <c r="D147" s="28" t="n">
        <v>5</v>
      </c>
      <c r="E147" s="27" t="inlineStr">
        <is>
          <t>I can't do anything else while thinking about my problems.</t>
        </is>
      </c>
      <c r="F147" s="27" t="inlineStr">
        <is>
          <t>Capturing Mental Capacity</t>
        </is>
      </c>
      <c r="G147" s="27" t="inlineStr">
        <is>
          <t>FALSE</t>
        </is>
      </c>
      <c r="H147" s="27" t="inlineStr">
        <is>
          <t>FALSE</t>
        </is>
      </c>
      <c r="I147" s="27" t="inlineStr">
        <is>
          <t>never = 0 | rarely = 1 | sometimes = 2 | often = 3 | almost always = 4</t>
        </is>
      </c>
      <c r="J147" s="27" t="n"/>
      <c r="K147" s="27" t="inlineStr">
        <is>
          <t>https://oxcadatresources.com/wp-content/uploads/2020/09/EhringetalRuminationQuestionnaire.2011.pdf</t>
        </is>
      </c>
    </row>
    <row r="148" ht="23.85" customHeight="1" s="17">
      <c r="A148" s="27" t="inlineStr">
        <is>
          <t>PTQ</t>
        </is>
      </c>
      <c r="B148" s="27" t="inlineStr">
        <is>
          <t>Perseverative Thinking Questionnaire</t>
        </is>
      </c>
      <c r="C148" s="27" t="inlineStr">
        <is>
          <t>5. Repetitive negative thinking and self talk</t>
        </is>
      </c>
      <c r="D148" s="28" t="n">
        <v>6</v>
      </c>
      <c r="E148" s="27" t="inlineStr">
        <is>
          <t>My thoughts repeat themselves.</t>
        </is>
      </c>
      <c r="F148" s="27" t="inlineStr">
        <is>
          <t>Core Characteristics of Repetitive Negative Thinking</t>
        </is>
      </c>
      <c r="G148" s="27" t="inlineStr">
        <is>
          <t>FALSE</t>
        </is>
      </c>
      <c r="H148" s="27" t="inlineStr">
        <is>
          <t>FALSE</t>
        </is>
      </c>
      <c r="I148" s="27" t="inlineStr">
        <is>
          <t>never = 0 | rarely = 1 | sometimes = 2 | often = 3 | almost always = 4</t>
        </is>
      </c>
      <c r="J148" s="27" t="n"/>
      <c r="K148" s="27" t="inlineStr">
        <is>
          <t>https://oxcadatresources.com/wp-content/uploads/2020/09/EhringetalRuminationQuestionnaire.2011.pdf</t>
        </is>
      </c>
    </row>
    <row r="149" ht="23.85" customHeight="1" s="17">
      <c r="A149" s="27" t="inlineStr">
        <is>
          <t>PTQ</t>
        </is>
      </c>
      <c r="B149" s="27" t="inlineStr">
        <is>
          <t>Perseverative Thinking Questionnaire</t>
        </is>
      </c>
      <c r="C149" s="27" t="inlineStr">
        <is>
          <t>5. Repetitive negative thinking and self talk</t>
        </is>
      </c>
      <c r="D149" s="28" t="n">
        <v>7</v>
      </c>
      <c r="E149" s="27" t="inlineStr">
        <is>
          <t>Thoughts come to my mind without me wanting them to.</t>
        </is>
      </c>
      <c r="F149" s="27" t="inlineStr">
        <is>
          <t>Core Characteristics of Repetitive Negative Thinking</t>
        </is>
      </c>
      <c r="G149" s="27" t="inlineStr">
        <is>
          <t>FALSE</t>
        </is>
      </c>
      <c r="H149" s="27" t="inlineStr">
        <is>
          <t>FALSE</t>
        </is>
      </c>
      <c r="I149" s="27" t="inlineStr">
        <is>
          <t>never = 0 | rarely = 1 | sometimes = 2 | often = 3 | almost always = 4</t>
        </is>
      </c>
      <c r="J149" s="27" t="n"/>
      <c r="K149" s="27" t="inlineStr">
        <is>
          <t>https://oxcadatresources.com/wp-content/uploads/2020/09/EhringetalRuminationQuestionnaire.2011.pdf</t>
        </is>
      </c>
    </row>
    <row r="150" ht="23.85" customHeight="1" s="17">
      <c r="A150" s="27" t="inlineStr">
        <is>
          <t>PTQ</t>
        </is>
      </c>
      <c r="B150" s="27" t="inlineStr">
        <is>
          <t>Perseverative Thinking Questionnaire</t>
        </is>
      </c>
      <c r="C150" s="27" t="inlineStr">
        <is>
          <t>5. Repetitive negative thinking and self talk</t>
        </is>
      </c>
      <c r="D150" s="28" t="n">
        <v>8</v>
      </c>
      <c r="E150" s="27" t="inlineStr">
        <is>
          <t>I get stuck on certain issues and can't move on.</t>
        </is>
      </c>
      <c r="F150" s="27" t="inlineStr">
        <is>
          <t>Core Characteristics of Repetitive Negative Thinking</t>
        </is>
      </c>
      <c r="G150" s="27" t="inlineStr">
        <is>
          <t>FALSE</t>
        </is>
      </c>
      <c r="H150" s="27" t="inlineStr">
        <is>
          <t>FALSE</t>
        </is>
      </c>
      <c r="I150" s="27" t="inlineStr">
        <is>
          <t>never = 0 | rarely = 1 | sometimes = 2 | often = 3 | almost always = 4</t>
        </is>
      </c>
      <c r="J150" s="27" t="n"/>
      <c r="K150" s="27" t="inlineStr">
        <is>
          <t>https://oxcadatresources.com/wp-content/uploads/2020/09/EhringetalRuminationQuestionnaire.2011.pdf</t>
        </is>
      </c>
    </row>
    <row r="151" ht="23.85" customHeight="1" s="17">
      <c r="A151" s="27" t="inlineStr">
        <is>
          <t>PTQ</t>
        </is>
      </c>
      <c r="B151" s="27" t="inlineStr">
        <is>
          <t>Perseverative Thinking Questionnaire</t>
        </is>
      </c>
      <c r="C151" s="27" t="inlineStr">
        <is>
          <t>5. Repetitive negative thinking and self talk</t>
        </is>
      </c>
      <c r="D151" s="28" t="n">
        <v>9</v>
      </c>
      <c r="E151" s="27" t="inlineStr">
        <is>
          <t>I keep asking myself questions without finding an answer.</t>
        </is>
      </c>
      <c r="F151" s="27" t="inlineStr">
        <is>
          <t>Unproductiveness</t>
        </is>
      </c>
      <c r="G151" s="27" t="inlineStr">
        <is>
          <t>FALSE</t>
        </is>
      </c>
      <c r="H151" s="27" t="inlineStr">
        <is>
          <t>FALSE</t>
        </is>
      </c>
      <c r="I151" s="27" t="inlineStr">
        <is>
          <t>never = 0 | rarely = 1 | sometimes = 2 | often = 3 | almost always = 4</t>
        </is>
      </c>
      <c r="J151" s="27" t="n"/>
      <c r="K151" s="27" t="inlineStr">
        <is>
          <t>https://oxcadatresources.com/wp-content/uploads/2020/09/EhringetalRuminationQuestionnaire.2011.pdf</t>
        </is>
      </c>
    </row>
    <row r="152" ht="23.85" customHeight="1" s="17">
      <c r="A152" s="27" t="inlineStr">
        <is>
          <t>PTQ</t>
        </is>
      </c>
      <c r="B152" s="27" t="inlineStr">
        <is>
          <t>Perseverative Thinking Questionnaire</t>
        </is>
      </c>
      <c r="C152" s="27" t="inlineStr">
        <is>
          <t>5. Repetitive negative thinking and self talk</t>
        </is>
      </c>
      <c r="D152" s="28" t="n">
        <v>10</v>
      </c>
      <c r="E152" s="27" t="inlineStr">
        <is>
          <t>My thoughts prevent me from focusing on other things.</t>
        </is>
      </c>
      <c r="F152" s="27" t="inlineStr">
        <is>
          <t>Capturing Mental Capacity</t>
        </is>
      </c>
      <c r="G152" s="27" t="inlineStr">
        <is>
          <t>FALSE</t>
        </is>
      </c>
      <c r="H152" s="27" t="inlineStr">
        <is>
          <t>FALSE</t>
        </is>
      </c>
      <c r="I152" s="27" t="inlineStr">
        <is>
          <t>never = 0 | rarely = 1 | sometimes = 2 | often = 3 | almost always = 4</t>
        </is>
      </c>
      <c r="J152" s="27" t="n"/>
      <c r="K152" s="27" t="inlineStr">
        <is>
          <t>https://oxcadatresources.com/wp-content/uploads/2020/09/EhringetalRuminationQuestionnaire.2011.pdf</t>
        </is>
      </c>
    </row>
    <row r="153" ht="23.85" customHeight="1" s="17">
      <c r="A153" s="27" t="inlineStr">
        <is>
          <t>PTQ</t>
        </is>
      </c>
      <c r="B153" s="27" t="inlineStr">
        <is>
          <t>Perseverative Thinking Questionnaire</t>
        </is>
      </c>
      <c r="C153" s="27" t="inlineStr">
        <is>
          <t>5. Repetitive negative thinking and self talk</t>
        </is>
      </c>
      <c r="D153" s="28" t="n">
        <v>11</v>
      </c>
      <c r="E153" s="27" t="inlineStr">
        <is>
          <t>I keep thinking about the same issue all the time.</t>
        </is>
      </c>
      <c r="F153" s="27" t="inlineStr">
        <is>
          <t>Core Characteristics of Repetitive Negative Thinking</t>
        </is>
      </c>
      <c r="G153" s="27" t="inlineStr">
        <is>
          <t>FALSE</t>
        </is>
      </c>
      <c r="H153" s="27" t="inlineStr">
        <is>
          <t>FALSE</t>
        </is>
      </c>
      <c r="I153" s="27" t="inlineStr">
        <is>
          <t>never = 0 | rarely = 1 | sometimes = 2 | often = 3 | almost always = 4</t>
        </is>
      </c>
      <c r="J153" s="27" t="n"/>
      <c r="K153" s="27" t="inlineStr">
        <is>
          <t>https://oxcadatresources.com/wp-content/uploads/2020/09/EhringetalRuminationQuestionnaire.2011.pdf</t>
        </is>
      </c>
    </row>
    <row r="154" ht="23.85" customHeight="1" s="17">
      <c r="A154" s="27" t="inlineStr">
        <is>
          <t>PTQ</t>
        </is>
      </c>
      <c r="B154" s="27" t="inlineStr">
        <is>
          <t>Perseverative Thinking Questionnaire</t>
        </is>
      </c>
      <c r="C154" s="27" t="inlineStr">
        <is>
          <t>5. Repetitive negative thinking and self talk</t>
        </is>
      </c>
      <c r="D154" s="28" t="n">
        <v>12</v>
      </c>
      <c r="E154" s="27" t="inlineStr">
        <is>
          <t>Thoughts just pop into my mind.</t>
        </is>
      </c>
      <c r="F154" s="27" t="inlineStr">
        <is>
          <t>Core Characteristics of Repetitive Negative Thinking</t>
        </is>
      </c>
      <c r="G154" s="27" t="inlineStr">
        <is>
          <t>FALSE</t>
        </is>
      </c>
      <c r="H154" s="27" t="inlineStr">
        <is>
          <t>FALSE</t>
        </is>
      </c>
      <c r="I154" s="27" t="inlineStr">
        <is>
          <t>never = 0 | rarely = 1 | sometimes = 2 | often = 3 | almost always = 4</t>
        </is>
      </c>
      <c r="J154" s="27" t="n"/>
      <c r="K154" s="27" t="inlineStr">
        <is>
          <t>https://oxcadatresources.com/wp-content/uploads/2020/09/EhringetalRuminationQuestionnaire.2011.pdf</t>
        </is>
      </c>
    </row>
    <row r="155" ht="23.85" customHeight="1" s="17">
      <c r="A155" s="27" t="inlineStr">
        <is>
          <t>PTQ</t>
        </is>
      </c>
      <c r="B155" s="27" t="inlineStr">
        <is>
          <t>Perseverative Thinking Questionnaire</t>
        </is>
      </c>
      <c r="C155" s="27" t="inlineStr">
        <is>
          <t>5. Repetitive negative thinking and self talk</t>
        </is>
      </c>
      <c r="D155" s="28" t="n">
        <v>13</v>
      </c>
      <c r="E155" s="27" t="inlineStr">
        <is>
          <t>I feel driven to continue dwelling on the same issue.</t>
        </is>
      </c>
      <c r="F155" s="27" t="inlineStr">
        <is>
          <t>Core Characteristics of Repetitive Negative Thinking</t>
        </is>
      </c>
      <c r="G155" s="27" t="inlineStr">
        <is>
          <t>FALSE</t>
        </is>
      </c>
      <c r="H155" s="27" t="inlineStr">
        <is>
          <t>FALSE</t>
        </is>
      </c>
      <c r="I155" s="27" t="inlineStr">
        <is>
          <t>never = 0 | rarely = 1 | sometimes = 2 | often = 3 | almost always = 4</t>
        </is>
      </c>
      <c r="J155" s="27" t="n"/>
      <c r="K155" s="27" t="inlineStr">
        <is>
          <t>https://oxcadatresources.com/wp-content/uploads/2020/09/EhringetalRuminationQuestionnaire.2011.pdf</t>
        </is>
      </c>
    </row>
    <row r="156" ht="23.85" customHeight="1" s="17">
      <c r="A156" s="27" t="inlineStr">
        <is>
          <t>PTQ</t>
        </is>
      </c>
      <c r="B156" s="27" t="inlineStr">
        <is>
          <t>Perseverative Thinking Questionnaire</t>
        </is>
      </c>
      <c r="C156" s="27" t="inlineStr">
        <is>
          <t>5. Repetitive negative thinking and self talk</t>
        </is>
      </c>
      <c r="D156" s="28" t="n">
        <v>14</v>
      </c>
      <c r="E156" s="27" t="inlineStr">
        <is>
          <t>My thoughts are not much help to me.</t>
        </is>
      </c>
      <c r="F156" s="27" t="inlineStr">
        <is>
          <t>Unproductiveness</t>
        </is>
      </c>
      <c r="G156" s="27" t="inlineStr">
        <is>
          <t>FALSE</t>
        </is>
      </c>
      <c r="H156" s="27" t="inlineStr">
        <is>
          <t>FALSE</t>
        </is>
      </c>
      <c r="I156" s="27" t="inlineStr">
        <is>
          <t>never = 0 | rarely = 1 | sometimes = 2 | often = 3 | almost always = 4</t>
        </is>
      </c>
      <c r="J156" s="27" t="n"/>
      <c r="K156" s="27" t="inlineStr">
        <is>
          <t>https://oxcadatresources.com/wp-content/uploads/2020/09/EhringetalRuminationQuestionnaire.2011.pdf</t>
        </is>
      </c>
    </row>
    <row r="157" ht="23.85" customHeight="1" s="17">
      <c r="A157" s="27" t="inlineStr">
        <is>
          <t>PTQ</t>
        </is>
      </c>
      <c r="B157" s="27" t="inlineStr">
        <is>
          <t>Perseverative Thinking Questionnaire</t>
        </is>
      </c>
      <c r="C157" s="27" t="inlineStr">
        <is>
          <t>5. Repetitive negative thinking and self talk</t>
        </is>
      </c>
      <c r="D157" s="28" t="n">
        <v>15</v>
      </c>
      <c r="E157" s="27" t="inlineStr">
        <is>
          <t>My thoughts take up all my attention.</t>
        </is>
      </c>
      <c r="F157" s="27" t="inlineStr">
        <is>
          <t>Capturing Mental Capacity</t>
        </is>
      </c>
      <c r="G157" s="27" t="inlineStr">
        <is>
          <t>FALSE</t>
        </is>
      </c>
      <c r="H157" s="27" t="inlineStr">
        <is>
          <t>FALSE</t>
        </is>
      </c>
      <c r="I157" s="27" t="inlineStr">
        <is>
          <t>never = 0 | rarely = 1 | sometimes = 2 | often = 3 | almost always = 4</t>
        </is>
      </c>
      <c r="J157" s="27" t="n"/>
      <c r="K157" s="27" t="inlineStr">
        <is>
          <t>https://oxcadatresources.com/wp-content/uploads/2020/09/EhringetalRuminationQuestionnaire.2011.pdf</t>
        </is>
      </c>
    </row>
    <row r="158" ht="23.85" customHeight="1" s="17">
      <c r="A158" s="27" t="inlineStr">
        <is>
          <t>RRS</t>
        </is>
      </c>
      <c r="B158" s="27" t="inlineStr">
        <is>
          <t>Ruminative Responses Scale</t>
        </is>
      </c>
      <c r="C158" s="27" t="inlineStr">
        <is>
          <t>5. Repetitive negative thinking and self talk</t>
        </is>
      </c>
      <c r="D158" s="28" t="n">
        <v>1</v>
      </c>
      <c r="E158" s="27" t="inlineStr">
        <is>
          <t>Think about how alone you feel</t>
        </is>
      </c>
      <c r="F158" s="27" t="inlineStr">
        <is>
          <t>Depression-related items (not scored as a subscale)</t>
        </is>
      </c>
      <c r="G158" s="27" t="inlineStr">
        <is>
          <t>FALSE</t>
        </is>
      </c>
      <c r="H158" s="27" t="inlineStr">
        <is>
          <t>FALSE</t>
        </is>
      </c>
      <c r="I158" s="27" t="inlineStr">
        <is>
          <t>almost never = 1 | sometimes = 2 | often = 3 | almost always = 4</t>
        </is>
      </c>
      <c r="J158" s="27" t="n"/>
      <c r="K158" s="27" t="inlineStr">
        <is>
          <t>https://novopsych.com/assessments/formulation/ruminative-responses-scale-rrs/</t>
        </is>
      </c>
    </row>
    <row r="159" ht="23.85" customHeight="1" s="17">
      <c r="A159" s="27" t="inlineStr">
        <is>
          <t>RRS</t>
        </is>
      </c>
      <c r="B159" s="27" t="inlineStr">
        <is>
          <t>Ruminative Responses Scale</t>
        </is>
      </c>
      <c r="C159" s="27" t="inlineStr">
        <is>
          <t>5. Repetitive negative thinking and self talk</t>
        </is>
      </c>
      <c r="D159" s="28" t="n">
        <v>2</v>
      </c>
      <c r="E159" s="27" t="inlineStr">
        <is>
          <t>Think "I won't be able to do my job if I don't snap out of this"</t>
        </is>
      </c>
      <c r="F159" s="27" t="inlineStr">
        <is>
          <t>Depression-related items (not scored as a subscale)</t>
        </is>
      </c>
      <c r="G159" s="27" t="inlineStr">
        <is>
          <t>FALSE</t>
        </is>
      </c>
      <c r="H159" s="27" t="inlineStr">
        <is>
          <t>FALSE</t>
        </is>
      </c>
      <c r="I159" s="27" t="inlineStr">
        <is>
          <t>almost never = 1 | sometimes = 2 | often = 3 | almost always = 4</t>
        </is>
      </c>
      <c r="J159" s="27" t="n"/>
      <c r="K159" s="27" t="inlineStr">
        <is>
          <t>https://novopsych.com/assessments/formulation/ruminative-responses-scale-rrs/</t>
        </is>
      </c>
    </row>
    <row r="160" ht="23.85" customHeight="1" s="17">
      <c r="A160" s="27" t="inlineStr">
        <is>
          <t>RRS</t>
        </is>
      </c>
      <c r="B160" s="27" t="inlineStr">
        <is>
          <t>Ruminative Responses Scale</t>
        </is>
      </c>
      <c r="C160" s="27" t="inlineStr">
        <is>
          <t>5. Repetitive negative thinking and self talk</t>
        </is>
      </c>
      <c r="D160" s="28" t="n">
        <v>3</v>
      </c>
      <c r="E160" s="27" t="inlineStr">
        <is>
          <t>Think about your feelings of fatigue and achiness</t>
        </is>
      </c>
      <c r="F160" s="27" t="inlineStr">
        <is>
          <t>Depression-related items (not scored as a subscale)</t>
        </is>
      </c>
      <c r="G160" s="27" t="inlineStr">
        <is>
          <t>FALSE</t>
        </is>
      </c>
      <c r="H160" s="27" t="inlineStr">
        <is>
          <t>FALSE</t>
        </is>
      </c>
      <c r="I160" s="27" t="inlineStr">
        <is>
          <t>almost never = 1 | sometimes = 2 | often = 3 | almost always = 4</t>
        </is>
      </c>
      <c r="J160" s="27" t="n"/>
      <c r="K160" s="27" t="inlineStr">
        <is>
          <t>https://novopsych.com/assessments/formulation/ruminative-responses-scale-rrs/</t>
        </is>
      </c>
    </row>
    <row r="161" ht="23.85" customHeight="1" s="17">
      <c r="A161" s="27" t="inlineStr">
        <is>
          <t>RRS</t>
        </is>
      </c>
      <c r="B161" s="27" t="inlineStr">
        <is>
          <t>Ruminative Responses Scale</t>
        </is>
      </c>
      <c r="C161" s="27" t="inlineStr">
        <is>
          <t>5. Repetitive negative thinking and self talk</t>
        </is>
      </c>
      <c r="D161" s="28" t="n">
        <v>4</v>
      </c>
      <c r="E161" s="27" t="inlineStr">
        <is>
          <t>Think about how hard it is to concentrate</t>
        </is>
      </c>
      <c r="F161" s="27" t="inlineStr">
        <is>
          <t>Depression-related items (not scored as a subscale)</t>
        </is>
      </c>
      <c r="G161" s="27" t="inlineStr">
        <is>
          <t>FALSE</t>
        </is>
      </c>
      <c r="H161" s="27" t="inlineStr">
        <is>
          <t>FALSE</t>
        </is>
      </c>
      <c r="I161" s="27" t="inlineStr">
        <is>
          <t>almost never = 1 | sometimes = 2 | often = 3 | almost always = 4</t>
        </is>
      </c>
      <c r="J161" s="27" t="n"/>
      <c r="K161" s="27" t="inlineStr">
        <is>
          <t>https://novopsych.com/assessments/formulation/ruminative-responses-scale-rrs/</t>
        </is>
      </c>
    </row>
    <row r="162" ht="23.85" customHeight="1" s="17">
      <c r="A162" s="27" t="inlineStr">
        <is>
          <t>RRS</t>
        </is>
      </c>
      <c r="B162" s="27" t="inlineStr">
        <is>
          <t>Ruminative Responses Scale</t>
        </is>
      </c>
      <c r="C162" s="27" t="inlineStr">
        <is>
          <t>5. Repetitive negative thinking and self talk</t>
        </is>
      </c>
      <c r="D162" s="28" t="n">
        <v>5</v>
      </c>
      <c r="E162" s="27" t="inlineStr">
        <is>
          <t>Think "What am I doing to deserve this?"</t>
        </is>
      </c>
      <c r="F162" s="27" t="inlineStr">
        <is>
          <t>Brooding</t>
        </is>
      </c>
      <c r="G162" s="27" t="inlineStr">
        <is>
          <t>FALSE</t>
        </is>
      </c>
      <c r="H162" s="27" t="inlineStr">
        <is>
          <t>FALSE</t>
        </is>
      </c>
      <c r="I162" s="27" t="inlineStr">
        <is>
          <t>almost never = 1 | sometimes = 2 | often = 3 | almost always = 4</t>
        </is>
      </c>
      <c r="J162" s="27" t="n"/>
      <c r="K162" s="27" t="inlineStr">
        <is>
          <t>https://novopsych.com/assessments/formulation/ruminative-responses-scale-rrs/</t>
        </is>
      </c>
    </row>
    <row r="163" ht="23.85" customHeight="1" s="17">
      <c r="A163" s="27" t="inlineStr">
        <is>
          <t>RRS</t>
        </is>
      </c>
      <c r="B163" s="27" t="inlineStr">
        <is>
          <t>Ruminative Responses Scale</t>
        </is>
      </c>
      <c r="C163" s="27" t="inlineStr">
        <is>
          <t>5. Repetitive negative thinking and self talk</t>
        </is>
      </c>
      <c r="D163" s="28" t="n">
        <v>6</v>
      </c>
      <c r="E163" s="27" t="inlineStr">
        <is>
          <t>Think about how passive and unmotivated you feel</t>
        </is>
      </c>
      <c r="F163" s="27" t="inlineStr">
        <is>
          <t>Depression-related items (not scored as a subscale)</t>
        </is>
      </c>
      <c r="G163" s="27" t="inlineStr">
        <is>
          <t>FALSE</t>
        </is>
      </c>
      <c r="H163" s="27" t="inlineStr">
        <is>
          <t>FALSE</t>
        </is>
      </c>
      <c r="I163" s="27" t="inlineStr">
        <is>
          <t>almost never = 1 | sometimes = 2 | often = 3 | almost always = 4</t>
        </is>
      </c>
      <c r="J163" s="27" t="n"/>
      <c r="K163" s="27" t="inlineStr">
        <is>
          <t>https://novopsych.com/assessments/formulation/ruminative-responses-scale-rrs/</t>
        </is>
      </c>
    </row>
    <row r="164" ht="23.85" customHeight="1" s="17">
      <c r="A164" s="27" t="inlineStr">
        <is>
          <t>RRS</t>
        </is>
      </c>
      <c r="B164" s="27" t="inlineStr">
        <is>
          <t>Ruminative Responses Scale</t>
        </is>
      </c>
      <c r="C164" s="27" t="inlineStr">
        <is>
          <t>5. Repetitive negative thinking and self talk</t>
        </is>
      </c>
      <c r="D164" s="28" t="n">
        <v>7</v>
      </c>
      <c r="E164" s="27" t="inlineStr">
        <is>
          <t>Analyze recent events to try to understand why you are depressed</t>
        </is>
      </c>
      <c r="F164" s="27" t="inlineStr">
        <is>
          <t>Reflection</t>
        </is>
      </c>
      <c r="G164" s="27" t="inlineStr">
        <is>
          <t>FALSE</t>
        </is>
      </c>
      <c r="H164" s="27" t="inlineStr">
        <is>
          <t>FALSE</t>
        </is>
      </c>
      <c r="I164" s="27" t="inlineStr">
        <is>
          <t>almost never = 1 | sometimes = 2 | often = 3 | almost always = 4</t>
        </is>
      </c>
      <c r="J164" s="27" t="n"/>
      <c r="K164" s="27" t="inlineStr">
        <is>
          <t>https://novopsych.com/assessments/formulation/ruminative-responses-scale-rrs/</t>
        </is>
      </c>
    </row>
    <row r="165" ht="23.85" customHeight="1" s="17">
      <c r="A165" s="27" t="inlineStr">
        <is>
          <t>RRS</t>
        </is>
      </c>
      <c r="B165" s="27" t="inlineStr">
        <is>
          <t>Ruminative Responses Scale</t>
        </is>
      </c>
      <c r="C165" s="27" t="inlineStr">
        <is>
          <t>5. Repetitive negative thinking and self talk</t>
        </is>
      </c>
      <c r="D165" s="28" t="n">
        <v>8</v>
      </c>
      <c r="E165" s="27" t="inlineStr">
        <is>
          <t>Think about how you don't seem to feel anything anymore</t>
        </is>
      </c>
      <c r="F165" s="27" t="inlineStr">
        <is>
          <t>Depression-related items (not scored as a subscale)</t>
        </is>
      </c>
      <c r="G165" s="27" t="inlineStr">
        <is>
          <t>FALSE</t>
        </is>
      </c>
      <c r="H165" s="27" t="inlineStr">
        <is>
          <t>FALSE</t>
        </is>
      </c>
      <c r="I165" s="27" t="inlineStr">
        <is>
          <t>almost never = 1 | sometimes = 2 | often = 3 | almost always = 4</t>
        </is>
      </c>
      <c r="J165" s="27" t="n"/>
      <c r="K165" s="27" t="inlineStr">
        <is>
          <t>https://novopsych.com/assessments/formulation/ruminative-responses-scale-rrs/</t>
        </is>
      </c>
    </row>
    <row r="166" ht="23.85" customHeight="1" s="17">
      <c r="A166" s="27" t="inlineStr">
        <is>
          <t>RRS</t>
        </is>
      </c>
      <c r="B166" s="27" t="inlineStr">
        <is>
          <t>Ruminative Responses Scale</t>
        </is>
      </c>
      <c r="C166" s="27" t="inlineStr">
        <is>
          <t>5. Repetitive negative thinking and self talk</t>
        </is>
      </c>
      <c r="D166" s="28" t="n">
        <v>9</v>
      </c>
      <c r="E166" s="27" t="inlineStr">
        <is>
          <t>Think "Why can't I get going?"</t>
        </is>
      </c>
      <c r="F166" s="27" t="inlineStr">
        <is>
          <t>Depression-related items (not scored as a subscale)</t>
        </is>
      </c>
      <c r="G166" s="27" t="inlineStr">
        <is>
          <t>FALSE</t>
        </is>
      </c>
      <c r="H166" s="27" t="inlineStr">
        <is>
          <t>FALSE</t>
        </is>
      </c>
      <c r="I166" s="27" t="inlineStr">
        <is>
          <t>almost never = 1 | sometimes = 2 | often = 3 | almost always = 4</t>
        </is>
      </c>
      <c r="J166" s="27" t="n"/>
      <c r="K166" s="27" t="inlineStr">
        <is>
          <t>https://novopsych.com/assessments/formulation/ruminative-responses-scale-rrs/</t>
        </is>
      </c>
    </row>
    <row r="167" ht="23.85" customHeight="1" s="17">
      <c r="A167" s="27" t="inlineStr">
        <is>
          <t>RRS</t>
        </is>
      </c>
      <c r="B167" s="27" t="inlineStr">
        <is>
          <t>Ruminative Responses Scale</t>
        </is>
      </c>
      <c r="C167" s="27" t="inlineStr">
        <is>
          <t>5. Repetitive negative thinking and self talk</t>
        </is>
      </c>
      <c r="D167" s="28" t="n">
        <v>10</v>
      </c>
      <c r="E167" s="27" t="inlineStr">
        <is>
          <t>Think "Why do I always react this way?"</t>
        </is>
      </c>
      <c r="F167" s="27" t="inlineStr">
        <is>
          <t>Brooding</t>
        </is>
      </c>
      <c r="G167" s="27" t="inlineStr">
        <is>
          <t>FALSE</t>
        </is>
      </c>
      <c r="H167" s="27" t="inlineStr">
        <is>
          <t>FALSE</t>
        </is>
      </c>
      <c r="I167" s="27" t="inlineStr">
        <is>
          <t>almost never = 1 | sometimes = 2 | often = 3 | almost always = 4</t>
        </is>
      </c>
      <c r="J167" s="27" t="n"/>
      <c r="K167" s="27" t="inlineStr">
        <is>
          <t>https://novopsych.com/assessments/formulation/ruminative-responses-scale-rrs/</t>
        </is>
      </c>
    </row>
    <row r="168" ht="23.85" customHeight="1" s="17">
      <c r="A168" s="27" t="inlineStr">
        <is>
          <t>RRS</t>
        </is>
      </c>
      <c r="B168" s="27" t="inlineStr">
        <is>
          <t>Ruminative Responses Scale</t>
        </is>
      </c>
      <c r="C168" s="27" t="inlineStr">
        <is>
          <t>5. Repetitive negative thinking and self talk</t>
        </is>
      </c>
      <c r="D168" s="28" t="n">
        <v>11</v>
      </c>
      <c r="E168" s="27" t="inlineStr">
        <is>
          <t>Go away by yourself and think about why you feel this way</t>
        </is>
      </c>
      <c r="F168" s="27" t="inlineStr">
        <is>
          <t>Reflection</t>
        </is>
      </c>
      <c r="G168" s="27" t="inlineStr">
        <is>
          <t>FALSE</t>
        </is>
      </c>
      <c r="H168" s="27" t="inlineStr">
        <is>
          <t>FALSE</t>
        </is>
      </c>
      <c r="I168" s="27" t="inlineStr">
        <is>
          <t>almost never = 1 | sometimes = 2 | often = 3 | almost always = 4</t>
        </is>
      </c>
      <c r="J168" s="27" t="n"/>
      <c r="K168" s="27" t="inlineStr">
        <is>
          <t>https://novopsych.com/assessments/formulation/ruminative-responses-scale-rrs/</t>
        </is>
      </c>
    </row>
    <row r="169" ht="57.45" customHeight="1" s="17">
      <c r="A169" s="27" t="inlineStr">
        <is>
          <t>RRS</t>
        </is>
      </c>
      <c r="B169" s="27" t="inlineStr">
        <is>
          <t>Ruminative Responses Scale</t>
        </is>
      </c>
      <c r="C169" s="27" t="inlineStr">
        <is>
          <t>5. Repetitive negative thinking and self talk</t>
        </is>
      </c>
      <c r="D169" s="28" t="n">
        <v>12</v>
      </c>
      <c r="E169" s="27" t="inlineStr">
        <is>
          <t>Write down what you are thinking about and analyze it</t>
        </is>
      </c>
      <c r="F169" s="27" t="inlineStr">
        <is>
          <t>Reflection</t>
        </is>
      </c>
      <c r="G169" s="27" t="inlineStr">
        <is>
          <t>FALSE</t>
        </is>
      </c>
      <c r="H169" s="27" t="inlineStr">
        <is>
          <t>FALSE</t>
        </is>
      </c>
      <c r="I169" s="27" t="inlineStr">
        <is>
          <t>almost never = 1 | sometimes = 2 | often = 3 | almost always = 4</t>
        </is>
      </c>
      <c r="J169" s="27" t="inlineStr">
        <is>
          <t>Text as given in the original Nolen-Hoeksema item sheet (websites.umich.edu/~gonzo/RuminationScale.pdf). The Treynor et al. (2003) subscale-mapping paper quotes this item slightly differently, without "about" ("Write down what you are thinking and analyze it") — flagging the minor wording discrepancy between the two fetched sources.</t>
        </is>
      </c>
      <c r="K169" s="27" t="inlineStr">
        <is>
          <t>https://novopsych.com/assessments/formulation/ruminative-responses-scale-rrs/</t>
        </is>
      </c>
    </row>
    <row r="170" ht="23.85" customHeight="1" s="17">
      <c r="A170" s="27" t="inlineStr">
        <is>
          <t>RRS</t>
        </is>
      </c>
      <c r="B170" s="27" t="inlineStr">
        <is>
          <t>Ruminative Responses Scale</t>
        </is>
      </c>
      <c r="C170" s="27" t="inlineStr">
        <is>
          <t>5. Repetitive negative thinking and self talk</t>
        </is>
      </c>
      <c r="D170" s="28" t="n">
        <v>13</v>
      </c>
      <c r="E170" s="27" t="inlineStr">
        <is>
          <t>Think about a recent situation, wishing it had gone better</t>
        </is>
      </c>
      <c r="F170" s="27" t="inlineStr">
        <is>
          <t>Brooding</t>
        </is>
      </c>
      <c r="G170" s="27" t="inlineStr">
        <is>
          <t>FALSE</t>
        </is>
      </c>
      <c r="H170" s="27" t="inlineStr">
        <is>
          <t>FALSE</t>
        </is>
      </c>
      <c r="I170" s="27" t="inlineStr">
        <is>
          <t>almost never = 1 | sometimes = 2 | often = 3 | almost always = 4</t>
        </is>
      </c>
      <c r="J170" s="27" t="n"/>
      <c r="K170" s="27" t="inlineStr">
        <is>
          <t>https://novopsych.com/assessments/formulation/ruminative-responses-scale-rrs/</t>
        </is>
      </c>
    </row>
    <row r="171" ht="23.85" customHeight="1" s="17">
      <c r="A171" s="27" t="inlineStr">
        <is>
          <t>RRS</t>
        </is>
      </c>
      <c r="B171" s="27" t="inlineStr">
        <is>
          <t>Ruminative Responses Scale</t>
        </is>
      </c>
      <c r="C171" s="27" t="inlineStr">
        <is>
          <t>5. Repetitive negative thinking and self talk</t>
        </is>
      </c>
      <c r="D171" s="28" t="n">
        <v>14</v>
      </c>
      <c r="E171" s="27" t="inlineStr">
        <is>
          <t>Think "I won't be able to concentrate if I keep feeling this way"</t>
        </is>
      </c>
      <c r="F171" s="27" t="inlineStr">
        <is>
          <t>Depression-related items (not scored as a subscale)</t>
        </is>
      </c>
      <c r="G171" s="27" t="inlineStr">
        <is>
          <t>FALSE</t>
        </is>
      </c>
      <c r="H171" s="27" t="inlineStr">
        <is>
          <t>FALSE</t>
        </is>
      </c>
      <c r="I171" s="27" t="inlineStr">
        <is>
          <t>almost never = 1 | sometimes = 2 | often = 3 | almost always = 4</t>
        </is>
      </c>
      <c r="J171" s="27" t="n"/>
      <c r="K171" s="27" t="inlineStr">
        <is>
          <t>https://novopsych.com/assessments/formulation/ruminative-responses-scale-rrs/</t>
        </is>
      </c>
    </row>
    <row r="172" ht="23.85" customHeight="1" s="17">
      <c r="A172" s="27" t="inlineStr">
        <is>
          <t>RRS</t>
        </is>
      </c>
      <c r="B172" s="27" t="inlineStr">
        <is>
          <t>Ruminative Responses Scale</t>
        </is>
      </c>
      <c r="C172" s="27" t="inlineStr">
        <is>
          <t>5. Repetitive negative thinking and self talk</t>
        </is>
      </c>
      <c r="D172" s="28" t="n">
        <v>15</v>
      </c>
      <c r="E172" s="27" t="inlineStr">
        <is>
          <t>Think "Why do I have problems other people don't have?"</t>
        </is>
      </c>
      <c r="F172" s="27" t="inlineStr">
        <is>
          <t>Brooding</t>
        </is>
      </c>
      <c r="G172" s="27" t="inlineStr">
        <is>
          <t>FALSE</t>
        </is>
      </c>
      <c r="H172" s="27" t="inlineStr">
        <is>
          <t>FALSE</t>
        </is>
      </c>
      <c r="I172" s="27" t="inlineStr">
        <is>
          <t>almost never = 1 | sometimes = 2 | often = 3 | almost always = 4</t>
        </is>
      </c>
      <c r="J172" s="27" t="n"/>
      <c r="K172" s="27" t="inlineStr">
        <is>
          <t>https://novopsych.com/assessments/formulation/ruminative-responses-scale-rrs/</t>
        </is>
      </c>
    </row>
    <row r="173" ht="23.85" customHeight="1" s="17">
      <c r="A173" s="27" t="inlineStr">
        <is>
          <t>RRS</t>
        </is>
      </c>
      <c r="B173" s="27" t="inlineStr">
        <is>
          <t>Ruminative Responses Scale</t>
        </is>
      </c>
      <c r="C173" s="27" t="inlineStr">
        <is>
          <t>5. Repetitive negative thinking and self talk</t>
        </is>
      </c>
      <c r="D173" s="28" t="n">
        <v>16</v>
      </c>
      <c r="E173" s="27" t="inlineStr">
        <is>
          <t>Think "Why can't I handle things better?"</t>
        </is>
      </c>
      <c r="F173" s="27" t="inlineStr">
        <is>
          <t>Brooding</t>
        </is>
      </c>
      <c r="G173" s="27" t="inlineStr">
        <is>
          <t>FALSE</t>
        </is>
      </c>
      <c r="H173" s="27" t="inlineStr">
        <is>
          <t>FALSE</t>
        </is>
      </c>
      <c r="I173" s="27" t="inlineStr">
        <is>
          <t>almost never = 1 | sometimes = 2 | often = 3 | almost always = 4</t>
        </is>
      </c>
      <c r="J173" s="27" t="n"/>
      <c r="K173" s="27" t="inlineStr">
        <is>
          <t>https://novopsych.com/assessments/formulation/ruminative-responses-scale-rrs/</t>
        </is>
      </c>
    </row>
    <row r="174" ht="23.85" customHeight="1" s="17">
      <c r="A174" s="27" t="inlineStr">
        <is>
          <t>RRS</t>
        </is>
      </c>
      <c r="B174" s="27" t="inlineStr">
        <is>
          <t>Ruminative Responses Scale</t>
        </is>
      </c>
      <c r="C174" s="27" t="inlineStr">
        <is>
          <t>5. Repetitive negative thinking and self talk</t>
        </is>
      </c>
      <c r="D174" s="28" t="n">
        <v>17</v>
      </c>
      <c r="E174" s="27" t="inlineStr">
        <is>
          <t>Think about how sad you feel</t>
        </is>
      </c>
      <c r="F174" s="27" t="inlineStr">
        <is>
          <t>Depression-related items (not scored as a subscale)</t>
        </is>
      </c>
      <c r="G174" s="27" t="inlineStr">
        <is>
          <t>FALSE</t>
        </is>
      </c>
      <c r="H174" s="27" t="inlineStr">
        <is>
          <t>FALSE</t>
        </is>
      </c>
      <c r="I174" s="27" t="inlineStr">
        <is>
          <t>almost never = 1 | sometimes = 2 | often = 3 | almost always = 4</t>
        </is>
      </c>
      <c r="J174" s="27" t="n"/>
      <c r="K174" s="27" t="inlineStr">
        <is>
          <t>https://novopsych.com/assessments/formulation/ruminative-responses-scale-rrs/</t>
        </is>
      </c>
    </row>
    <row r="175" ht="23.85" customHeight="1" s="17">
      <c r="A175" s="27" t="inlineStr">
        <is>
          <t>RRS</t>
        </is>
      </c>
      <c r="B175" s="27" t="inlineStr">
        <is>
          <t>Ruminative Responses Scale</t>
        </is>
      </c>
      <c r="C175" s="27" t="inlineStr">
        <is>
          <t>5. Repetitive negative thinking and self talk</t>
        </is>
      </c>
      <c r="D175" s="28" t="n">
        <v>18</v>
      </c>
      <c r="E175" s="27" t="inlineStr">
        <is>
          <t>Think about all your shortcomings, failings, faults, mistakes</t>
        </is>
      </c>
      <c r="F175" s="27" t="inlineStr">
        <is>
          <t>Depression-related items (not scored as a subscale)</t>
        </is>
      </c>
      <c r="G175" s="27" t="inlineStr">
        <is>
          <t>FALSE</t>
        </is>
      </c>
      <c r="H175" s="27" t="inlineStr">
        <is>
          <t>FALSE</t>
        </is>
      </c>
      <c r="I175" s="27" t="inlineStr">
        <is>
          <t>almost never = 1 | sometimes = 2 | often = 3 | almost always = 4</t>
        </is>
      </c>
      <c r="J175" s="27" t="n"/>
      <c r="K175" s="27" t="inlineStr">
        <is>
          <t>https://novopsych.com/assessments/formulation/ruminative-responses-scale-rrs/</t>
        </is>
      </c>
    </row>
    <row r="176" ht="23.85" customHeight="1" s="17">
      <c r="A176" s="27" t="inlineStr">
        <is>
          <t>RRS</t>
        </is>
      </c>
      <c r="B176" s="27" t="inlineStr">
        <is>
          <t>Ruminative Responses Scale</t>
        </is>
      </c>
      <c r="C176" s="27" t="inlineStr">
        <is>
          <t>5. Repetitive negative thinking and self talk</t>
        </is>
      </c>
      <c r="D176" s="28" t="n">
        <v>19</v>
      </c>
      <c r="E176" s="27" t="inlineStr">
        <is>
          <t>Think about how you don't feel up to doing anything</t>
        </is>
      </c>
      <c r="F176" s="27" t="inlineStr">
        <is>
          <t>Depression-related items (not scored as a subscale)</t>
        </is>
      </c>
      <c r="G176" s="27" t="inlineStr">
        <is>
          <t>FALSE</t>
        </is>
      </c>
      <c r="H176" s="27" t="inlineStr">
        <is>
          <t>FALSE</t>
        </is>
      </c>
      <c r="I176" s="27" t="inlineStr">
        <is>
          <t>almost never = 1 | sometimes = 2 | often = 3 | almost always = 4</t>
        </is>
      </c>
      <c r="J176" s="27" t="n"/>
      <c r="K176" s="27" t="inlineStr">
        <is>
          <t>https://novopsych.com/assessments/formulation/ruminative-responses-scale-rrs/</t>
        </is>
      </c>
    </row>
    <row r="177" ht="23.85" customHeight="1" s="17">
      <c r="A177" s="27" t="inlineStr">
        <is>
          <t>RRS</t>
        </is>
      </c>
      <c r="B177" s="27" t="inlineStr">
        <is>
          <t>Ruminative Responses Scale</t>
        </is>
      </c>
      <c r="C177" s="27" t="inlineStr">
        <is>
          <t>5. Repetitive negative thinking and self talk</t>
        </is>
      </c>
      <c r="D177" s="28" t="n">
        <v>20</v>
      </c>
      <c r="E177" s="27" t="inlineStr">
        <is>
          <t>Analyze your personality to try to understand why you are depressed</t>
        </is>
      </c>
      <c r="F177" s="27" t="inlineStr">
        <is>
          <t>Reflection</t>
        </is>
      </c>
      <c r="G177" s="27" t="inlineStr">
        <is>
          <t>FALSE</t>
        </is>
      </c>
      <c r="H177" s="27" t="inlineStr">
        <is>
          <t>FALSE</t>
        </is>
      </c>
      <c r="I177" s="27" t="inlineStr">
        <is>
          <t>almost never = 1 | sometimes = 2 | often = 3 | almost always = 4</t>
        </is>
      </c>
      <c r="J177" s="27" t="n"/>
      <c r="K177" s="27" t="inlineStr">
        <is>
          <t>https://novopsych.com/assessments/formulation/ruminative-responses-scale-rrs/</t>
        </is>
      </c>
    </row>
    <row r="178" ht="23.85" customHeight="1" s="17">
      <c r="A178" s="27" t="inlineStr">
        <is>
          <t>RRS</t>
        </is>
      </c>
      <c r="B178" s="27" t="inlineStr">
        <is>
          <t>Ruminative Responses Scale</t>
        </is>
      </c>
      <c r="C178" s="27" t="inlineStr">
        <is>
          <t>5. Repetitive negative thinking and self talk</t>
        </is>
      </c>
      <c r="D178" s="28" t="n">
        <v>21</v>
      </c>
      <c r="E178" s="27" t="inlineStr">
        <is>
          <t>Go someplace alone to think about your feelings</t>
        </is>
      </c>
      <c r="F178" s="27" t="inlineStr">
        <is>
          <t>Reflection</t>
        </is>
      </c>
      <c r="G178" s="27" t="inlineStr">
        <is>
          <t>FALSE</t>
        </is>
      </c>
      <c r="H178" s="27" t="inlineStr">
        <is>
          <t>FALSE</t>
        </is>
      </c>
      <c r="I178" s="27" t="inlineStr">
        <is>
          <t>almost never = 1 | sometimes = 2 | often = 3 | almost always = 4</t>
        </is>
      </c>
      <c r="J178" s="27" t="n"/>
      <c r="K178" s="27" t="inlineStr">
        <is>
          <t>https://novopsych.com/assessments/formulation/ruminative-responses-scale-rrs/</t>
        </is>
      </c>
    </row>
    <row r="179" ht="23.85" customHeight="1" s="17">
      <c r="A179" s="27" t="inlineStr">
        <is>
          <t>RRS</t>
        </is>
      </c>
      <c r="B179" s="27" t="inlineStr">
        <is>
          <t>Ruminative Responses Scale</t>
        </is>
      </c>
      <c r="C179" s="27" t="inlineStr">
        <is>
          <t>5. Repetitive negative thinking and self talk</t>
        </is>
      </c>
      <c r="D179" s="28" t="n">
        <v>22</v>
      </c>
      <c r="E179" s="27" t="inlineStr">
        <is>
          <t>Think about how angry you are with yourself</t>
        </is>
      </c>
      <c r="F179" s="27" t="inlineStr">
        <is>
          <t>Depression-related items (not scored as a subscale)</t>
        </is>
      </c>
      <c r="G179" s="27" t="inlineStr">
        <is>
          <t>FALSE</t>
        </is>
      </c>
      <c r="H179" s="27" t="inlineStr">
        <is>
          <t>FALSE</t>
        </is>
      </c>
      <c r="I179" s="27" t="inlineStr">
        <is>
          <t>almost never = 1 | sometimes = 2 | often = 3 | almost always = 4</t>
        </is>
      </c>
      <c r="J179" s="27" t="n"/>
      <c r="K179" s="27" t="inlineStr">
        <is>
          <t>https://novopsych.com/assessments/formulation/ruminative-responses-scale-rrs/</t>
        </is>
      </c>
    </row>
    <row r="180" ht="46.25" customHeight="1" s="17">
      <c r="A180" s="27" t="inlineStr">
        <is>
          <t>FSCRS</t>
        </is>
      </c>
      <c r="B180" s="27" t="inlineStr">
        <is>
          <t>Forms of Self-Criticising/Attacking and Self-Reassuring Scale</t>
        </is>
      </c>
      <c r="C180" s="27" t="inlineStr">
        <is>
          <t>5. Repetitive negative thinking and self talk</t>
        </is>
      </c>
      <c r="D180" s="28" t="n">
        <v>1</v>
      </c>
      <c r="E180" s="27" t="inlineStr">
        <is>
          <t>I am easily disappointed with myself.</t>
        </is>
      </c>
      <c r="F180" s="27" t="inlineStr">
        <is>
          <t>Inadequate Self</t>
        </is>
      </c>
      <c r="G180" s="27" t="inlineStr">
        <is>
          <t>FALSE</t>
        </is>
      </c>
      <c r="H180" s="27" t="inlineStr">
        <is>
          <t>FALSE</t>
        </is>
      </c>
      <c r="I180" s="27" t="inlineStr">
        <is>
          <t>Not at all like me = 0 | A little bit like me = 1 | Moderately like me = 2 | Quite a bit like me = 3 | Extremely like me = 4</t>
        </is>
      </c>
      <c r="J180" s="27" t="n"/>
      <c r="K180" s="27" t="inlineStr">
        <is>
          <t>https://d3n8a8pro7vhmx.cloudfront.net/portlandpsychotherapy/pages/21/attachments/original/1438799410/Forms_of_self-criticising_and_self_reassuring_scale.pdf</t>
        </is>
      </c>
    </row>
    <row r="181" ht="46.25" customHeight="1" s="17">
      <c r="A181" s="27" t="inlineStr">
        <is>
          <t>FSCRS</t>
        </is>
      </c>
      <c r="B181" s="27" t="inlineStr">
        <is>
          <t>Forms of Self-Criticising/Attacking and Self-Reassuring Scale</t>
        </is>
      </c>
      <c r="C181" s="27" t="inlineStr">
        <is>
          <t>5. Repetitive negative thinking and self talk</t>
        </is>
      </c>
      <c r="D181" s="28" t="n">
        <v>2</v>
      </c>
      <c r="E181" s="27" t="inlineStr">
        <is>
          <t>There is a part of me that puts me down.</t>
        </is>
      </c>
      <c r="F181" s="27" t="inlineStr">
        <is>
          <t>Inadequate Self</t>
        </is>
      </c>
      <c r="G181" s="27" t="inlineStr">
        <is>
          <t>FALSE</t>
        </is>
      </c>
      <c r="H181" s="27" t="inlineStr">
        <is>
          <t>FALSE</t>
        </is>
      </c>
      <c r="I181" s="27" t="inlineStr">
        <is>
          <t>Not at all like me = 0 | A little bit like me = 1 | Moderately like me = 2 | Quite a bit like me = 3 | Extremely like me = 4</t>
        </is>
      </c>
      <c r="J181" s="27" t="n"/>
      <c r="K181" s="27" t="inlineStr">
        <is>
          <t>https://d3n8a8pro7vhmx.cloudfront.net/portlandpsychotherapy/pages/21/attachments/original/1438799410/Forms_of_self-criticising_and_self_reassuring_scale.pdf</t>
        </is>
      </c>
    </row>
    <row r="182" ht="46.25" customHeight="1" s="17">
      <c r="A182" s="27" t="inlineStr">
        <is>
          <t>FSCRS</t>
        </is>
      </c>
      <c r="B182" s="27" t="inlineStr">
        <is>
          <t>Forms of Self-Criticising/Attacking and Self-Reassuring Scale</t>
        </is>
      </c>
      <c r="C182" s="27" t="inlineStr">
        <is>
          <t>5. Repetitive negative thinking and self talk</t>
        </is>
      </c>
      <c r="D182" s="28" t="n">
        <v>3</v>
      </c>
      <c r="E182" s="27" t="inlineStr">
        <is>
          <t>I am able to remind myself of positive things about myself.</t>
        </is>
      </c>
      <c r="F182" s="27" t="inlineStr">
        <is>
          <t>Reassured Self</t>
        </is>
      </c>
      <c r="G182" s="27" t="inlineStr">
        <is>
          <t>FALSE</t>
        </is>
      </c>
      <c r="H182" s="27" t="inlineStr">
        <is>
          <t>FALSE</t>
        </is>
      </c>
      <c r="I182" s="27" t="inlineStr">
        <is>
          <t>Not at all like me = 0 | A little bit like me = 1 | Moderately like me = 2 | Quite a bit like me = 3 | Extremely like me = 4</t>
        </is>
      </c>
      <c r="J182" s="27" t="n"/>
      <c r="K182" s="27" t="inlineStr">
        <is>
          <t>https://d3n8a8pro7vhmx.cloudfront.net/portlandpsychotherapy/pages/21/attachments/original/1438799410/Forms_of_self-criticising_and_self_reassuring_scale.pdf</t>
        </is>
      </c>
    </row>
    <row r="183" ht="46.25" customHeight="1" s="17">
      <c r="A183" s="27" t="inlineStr">
        <is>
          <t>FSCRS</t>
        </is>
      </c>
      <c r="B183" s="27" t="inlineStr">
        <is>
          <t>Forms of Self-Criticising/Attacking and Self-Reassuring Scale</t>
        </is>
      </c>
      <c r="C183" s="27" t="inlineStr">
        <is>
          <t>5. Repetitive negative thinking and self talk</t>
        </is>
      </c>
      <c r="D183" s="28" t="n">
        <v>4</v>
      </c>
      <c r="E183" s="27" t="inlineStr">
        <is>
          <t>I find it difficult to control my anger and frustration at myself.</t>
        </is>
      </c>
      <c r="F183" s="27" t="inlineStr">
        <is>
          <t>Inadequate Self</t>
        </is>
      </c>
      <c r="G183" s="27" t="inlineStr">
        <is>
          <t>FALSE</t>
        </is>
      </c>
      <c r="H183" s="27" t="inlineStr">
        <is>
          <t>FALSE</t>
        </is>
      </c>
      <c r="I183" s="27" t="inlineStr">
        <is>
          <t>Not at all like me = 0 | A little bit like me = 1 | Moderately like me = 2 | Quite a bit like me = 3 | Extremely like me = 4</t>
        </is>
      </c>
      <c r="J183" s="27" t="n"/>
      <c r="K183" s="27" t="inlineStr">
        <is>
          <t>https://d3n8a8pro7vhmx.cloudfront.net/portlandpsychotherapy/pages/21/attachments/original/1438799410/Forms_of_self-criticising_and_self_reassuring_scale.pdf</t>
        </is>
      </c>
    </row>
    <row r="184" ht="46.25" customHeight="1" s="17">
      <c r="A184" s="27" t="inlineStr">
        <is>
          <t>FSCRS</t>
        </is>
      </c>
      <c r="B184" s="27" t="inlineStr">
        <is>
          <t>Forms of Self-Criticising/Attacking and Self-Reassuring Scale</t>
        </is>
      </c>
      <c r="C184" s="27" t="inlineStr">
        <is>
          <t>5. Repetitive negative thinking and self talk</t>
        </is>
      </c>
      <c r="D184" s="28" t="n">
        <v>5</v>
      </c>
      <c r="E184" s="27" t="inlineStr">
        <is>
          <t>I find it easy to forgive myself.</t>
        </is>
      </c>
      <c r="F184" s="27" t="inlineStr">
        <is>
          <t>Reassured Self</t>
        </is>
      </c>
      <c r="G184" s="27" t="inlineStr">
        <is>
          <t>FALSE</t>
        </is>
      </c>
      <c r="H184" s="27" t="inlineStr">
        <is>
          <t>FALSE</t>
        </is>
      </c>
      <c r="I184" s="27" t="inlineStr">
        <is>
          <t>Not at all like me = 0 | A little bit like me = 1 | Moderately like me = 2 | Quite a bit like me = 3 | Extremely like me = 4</t>
        </is>
      </c>
      <c r="J184" s="27" t="n"/>
      <c r="K184" s="27" t="inlineStr">
        <is>
          <t>https://d3n8a8pro7vhmx.cloudfront.net/portlandpsychotherapy/pages/21/attachments/original/1438799410/Forms_of_self-criticising_and_self_reassuring_scale.pdf</t>
        </is>
      </c>
    </row>
    <row r="185" ht="46.25" customHeight="1" s="17">
      <c r="A185" s="27" t="inlineStr">
        <is>
          <t>FSCRS</t>
        </is>
      </c>
      <c r="B185" s="27" t="inlineStr">
        <is>
          <t>Forms of Self-Criticising/Attacking and Self-Reassuring Scale</t>
        </is>
      </c>
      <c r="C185" s="27" t="inlineStr">
        <is>
          <t>5. Repetitive negative thinking and self talk</t>
        </is>
      </c>
      <c r="D185" s="28" t="n">
        <v>6</v>
      </c>
      <c r="E185" s="27" t="inlineStr">
        <is>
          <t>There is a part of me that feels I am not good enough.</t>
        </is>
      </c>
      <c r="F185" s="27" t="inlineStr">
        <is>
          <t>Inadequate Self</t>
        </is>
      </c>
      <c r="G185" s="27" t="inlineStr">
        <is>
          <t>FALSE</t>
        </is>
      </c>
      <c r="H185" s="27" t="inlineStr">
        <is>
          <t>FALSE</t>
        </is>
      </c>
      <c r="I185" s="27" t="inlineStr">
        <is>
          <t>Not at all like me = 0 | A little bit like me = 1 | Moderately like me = 2 | Quite a bit like me = 3 | Extremely like me = 4</t>
        </is>
      </c>
      <c r="J185" s="27" t="n"/>
      <c r="K185" s="27" t="inlineStr">
        <is>
          <t>https://d3n8a8pro7vhmx.cloudfront.net/portlandpsychotherapy/pages/21/attachments/original/1438799410/Forms_of_self-criticising_and_self_reassuring_scale.pdf</t>
        </is>
      </c>
    </row>
    <row r="186" ht="46.25" customHeight="1" s="17">
      <c r="A186" s="27" t="inlineStr">
        <is>
          <t>FSCRS</t>
        </is>
      </c>
      <c r="B186" s="27" t="inlineStr">
        <is>
          <t>Forms of Self-Criticising/Attacking and Self-Reassuring Scale</t>
        </is>
      </c>
      <c r="C186" s="27" t="inlineStr">
        <is>
          <t>5. Repetitive negative thinking and self talk</t>
        </is>
      </c>
      <c r="D186" s="28" t="n">
        <v>7</v>
      </c>
      <c r="E186" s="27" t="inlineStr">
        <is>
          <t>I feel beaten down by my own self-critical thoughts.</t>
        </is>
      </c>
      <c r="F186" s="27" t="inlineStr">
        <is>
          <t>Inadequate Self</t>
        </is>
      </c>
      <c r="G186" s="27" t="inlineStr">
        <is>
          <t>FALSE</t>
        </is>
      </c>
      <c r="H186" s="27" t="inlineStr">
        <is>
          <t>FALSE</t>
        </is>
      </c>
      <c r="I186" s="27" t="inlineStr">
        <is>
          <t>Not at all like me = 0 | A little bit like me = 1 | Moderately like me = 2 | Quite a bit like me = 3 | Extremely like me = 4</t>
        </is>
      </c>
      <c r="J186" s="27" t="n"/>
      <c r="K186" s="27" t="inlineStr">
        <is>
          <t>https://d3n8a8pro7vhmx.cloudfront.net/portlandpsychotherapy/pages/21/attachments/original/1438799410/Forms_of_self-criticising_and_self_reassuring_scale.pdf</t>
        </is>
      </c>
    </row>
    <row r="187" ht="46.25" customHeight="1" s="17">
      <c r="A187" s="27" t="inlineStr">
        <is>
          <t>FSCRS</t>
        </is>
      </c>
      <c r="B187" s="27" t="inlineStr">
        <is>
          <t>Forms of Self-Criticising/Attacking and Self-Reassuring Scale</t>
        </is>
      </c>
      <c r="C187" s="27" t="inlineStr">
        <is>
          <t>5. Repetitive negative thinking and self talk</t>
        </is>
      </c>
      <c r="D187" s="28" t="n">
        <v>8</v>
      </c>
      <c r="E187" s="27" t="inlineStr">
        <is>
          <t>I still like being me.</t>
        </is>
      </c>
      <c r="F187" s="27" t="inlineStr">
        <is>
          <t>Reassured Self</t>
        </is>
      </c>
      <c r="G187" s="27" t="inlineStr">
        <is>
          <t>FALSE</t>
        </is>
      </c>
      <c r="H187" s="27" t="inlineStr">
        <is>
          <t>FALSE</t>
        </is>
      </c>
      <c r="I187" s="27" t="inlineStr">
        <is>
          <t>Not at all like me = 0 | A little bit like me = 1 | Moderately like me = 2 | Quite a bit like me = 3 | Extremely like me = 4</t>
        </is>
      </c>
      <c r="J187" s="27" t="n"/>
      <c r="K187" s="27" t="inlineStr">
        <is>
          <t>https://d3n8a8pro7vhmx.cloudfront.net/portlandpsychotherapy/pages/21/attachments/original/1438799410/Forms_of_self-criticising_and_self_reassuring_scale.pdf</t>
        </is>
      </c>
    </row>
    <row r="188" ht="57.45" customHeight="1" s="17">
      <c r="A188" s="27" t="inlineStr">
        <is>
          <t>FSCRS</t>
        </is>
      </c>
      <c r="B188" s="27" t="inlineStr">
        <is>
          <t>Forms of Self-Criticising/Attacking and Self-Reassuring Scale</t>
        </is>
      </c>
      <c r="C188" s="27" t="inlineStr">
        <is>
          <t>5. Repetitive negative thinking and self talk</t>
        </is>
      </c>
      <c r="D188" s="28" t="n">
        <v>9</v>
      </c>
      <c r="E188" s="27" t="inlineStr">
        <is>
          <t>I have become so angry with myself that I want to hurt or injure myself.</t>
        </is>
      </c>
      <c r="F188" s="27" t="inlineStr">
        <is>
          <t>Hated Self</t>
        </is>
      </c>
      <c r="G188" s="27" t="inlineStr">
        <is>
          <t>FALSE</t>
        </is>
      </c>
      <c r="H188" s="27" t="inlineStr">
        <is>
          <t>FALSE</t>
        </is>
      </c>
      <c r="I188" s="27" t="inlineStr">
        <is>
          <t>Not at all like me = 0 | A little bit like me = 1 | Moderately like me = 2 | Quite a bit like me = 3 | Extremely like me = 4</t>
        </is>
      </c>
      <c r="J188" s="27" t="inlineStr">
        <is>
          <t>Sits close to self-harm content. Needs careful, consent-based framing in coaching: introduce only with appropriate rapport and a clear safety-checking plan for what happens if this item is endorsed, and treat any endorsement as a prompt for sensitive follow-up and referral consideration rather than something to work with in coaching alone.</t>
        </is>
      </c>
      <c r="K188" s="27" t="inlineStr">
        <is>
          <t>https://d3n8a8pro7vhmx.cloudfront.net/portlandpsychotherapy/pages/21/attachments/original/1438799410/Forms_of_self-criticising_and_self_reassuring_scale.pdf</t>
        </is>
      </c>
    </row>
    <row r="189" ht="46.25" customHeight="1" s="17">
      <c r="A189" s="27" t="inlineStr">
        <is>
          <t>FSCRS</t>
        </is>
      </c>
      <c r="B189" s="27" t="inlineStr">
        <is>
          <t>Forms of Self-Criticising/Attacking and Self-Reassuring Scale</t>
        </is>
      </c>
      <c r="C189" s="27" t="inlineStr">
        <is>
          <t>5. Repetitive negative thinking and self talk</t>
        </is>
      </c>
      <c r="D189" s="28" t="n">
        <v>10</v>
      </c>
      <c r="E189" s="27" t="inlineStr">
        <is>
          <t>I have a sense of disgust with myself.</t>
        </is>
      </c>
      <c r="F189" s="27" t="inlineStr">
        <is>
          <t>Hated Self</t>
        </is>
      </c>
      <c r="G189" s="27" t="inlineStr">
        <is>
          <t>FALSE</t>
        </is>
      </c>
      <c r="H189" s="27" t="inlineStr">
        <is>
          <t>FALSE</t>
        </is>
      </c>
      <c r="I189" s="27" t="inlineStr">
        <is>
          <t>Not at all like me = 0 | A little bit like me = 1 | Moderately like me = 2 | Quite a bit like me = 3 | Extremely like me = 4</t>
        </is>
      </c>
      <c r="J189" s="27" t="n"/>
      <c r="K189" s="27" t="inlineStr">
        <is>
          <t>https://d3n8a8pro7vhmx.cloudfront.net/portlandpsychotherapy/pages/21/attachments/original/1438799410/Forms_of_self-criticising_and_self_reassuring_scale.pdf</t>
        </is>
      </c>
    </row>
    <row r="190" ht="46.25" customHeight="1" s="17">
      <c r="A190" s="27" t="inlineStr">
        <is>
          <t>FSCRS</t>
        </is>
      </c>
      <c r="B190" s="27" t="inlineStr">
        <is>
          <t>Forms of Self-Criticising/Attacking and Self-Reassuring Scale</t>
        </is>
      </c>
      <c r="C190" s="27" t="inlineStr">
        <is>
          <t>5. Repetitive negative thinking and self talk</t>
        </is>
      </c>
      <c r="D190" s="28" t="n">
        <v>11</v>
      </c>
      <c r="E190" s="27" t="inlineStr">
        <is>
          <t>I can still feel lovable and acceptable.</t>
        </is>
      </c>
      <c r="F190" s="27" t="inlineStr">
        <is>
          <t>Reassured Self</t>
        </is>
      </c>
      <c r="G190" s="27" t="inlineStr">
        <is>
          <t>FALSE</t>
        </is>
      </c>
      <c r="H190" s="27" t="inlineStr">
        <is>
          <t>FALSE</t>
        </is>
      </c>
      <c r="I190" s="27" t="inlineStr">
        <is>
          <t>Not at all like me = 0 | A little bit like me = 1 | Moderately like me = 2 | Quite a bit like me = 3 | Extremely like me = 4</t>
        </is>
      </c>
      <c r="J190" s="27" t="n"/>
      <c r="K190" s="27" t="inlineStr">
        <is>
          <t>https://d3n8a8pro7vhmx.cloudfront.net/portlandpsychotherapy/pages/21/attachments/original/1438799410/Forms_of_self-criticising_and_self_reassuring_scale.pdf</t>
        </is>
      </c>
    </row>
    <row r="191" ht="46.25" customHeight="1" s="17">
      <c r="A191" s="27" t="inlineStr">
        <is>
          <t>FSCRS</t>
        </is>
      </c>
      <c r="B191" s="27" t="inlineStr">
        <is>
          <t>Forms of Self-Criticising/Attacking and Self-Reassuring Scale</t>
        </is>
      </c>
      <c r="C191" s="27" t="inlineStr">
        <is>
          <t>5. Repetitive negative thinking and self talk</t>
        </is>
      </c>
      <c r="D191" s="28" t="n">
        <v>12</v>
      </c>
      <c r="E191" s="27" t="inlineStr">
        <is>
          <t>I stop caring about myself.</t>
        </is>
      </c>
      <c r="F191" s="27" t="inlineStr">
        <is>
          <t>Hated Self</t>
        </is>
      </c>
      <c r="G191" s="27" t="inlineStr">
        <is>
          <t>FALSE</t>
        </is>
      </c>
      <c r="H191" s="27" t="inlineStr">
        <is>
          <t>FALSE</t>
        </is>
      </c>
      <c r="I191" s="27" t="inlineStr">
        <is>
          <t>Not at all like me = 0 | A little bit like me = 1 | Moderately like me = 2 | Quite a bit like me = 3 | Extremely like me = 4</t>
        </is>
      </c>
      <c r="J191" s="27" t="n"/>
      <c r="K191" s="27" t="inlineStr">
        <is>
          <t>https://d3n8a8pro7vhmx.cloudfront.net/portlandpsychotherapy/pages/21/attachments/original/1438799410/Forms_of_self-criticising_and_self_reassuring_scale.pdf</t>
        </is>
      </c>
    </row>
    <row r="192" ht="46.25" customHeight="1" s="17">
      <c r="A192" s="27" t="inlineStr">
        <is>
          <t>FSCRS</t>
        </is>
      </c>
      <c r="B192" s="27" t="inlineStr">
        <is>
          <t>Forms of Self-Criticising/Attacking and Self-Reassuring Scale</t>
        </is>
      </c>
      <c r="C192" s="27" t="inlineStr">
        <is>
          <t>5. Repetitive negative thinking and self talk</t>
        </is>
      </c>
      <c r="D192" s="28" t="n">
        <v>13</v>
      </c>
      <c r="E192" s="27" t="inlineStr">
        <is>
          <t>I find it easy to like myself.</t>
        </is>
      </c>
      <c r="F192" s="27" t="inlineStr">
        <is>
          <t>Reassured Self</t>
        </is>
      </c>
      <c r="G192" s="27" t="inlineStr">
        <is>
          <t>FALSE</t>
        </is>
      </c>
      <c r="H192" s="27" t="inlineStr">
        <is>
          <t>FALSE</t>
        </is>
      </c>
      <c r="I192" s="27" t="inlineStr">
        <is>
          <t>Not at all like me = 0 | A little bit like me = 1 | Moderately like me = 2 | Quite a bit like me = 3 | Extremely like me = 4</t>
        </is>
      </c>
      <c r="J192" s="27" t="n"/>
      <c r="K192" s="27" t="inlineStr">
        <is>
          <t>https://d3n8a8pro7vhmx.cloudfront.net/portlandpsychotherapy/pages/21/attachments/original/1438799410/Forms_of_self-criticising_and_self_reassuring_scale.pdf</t>
        </is>
      </c>
    </row>
    <row r="193" ht="46.25" customHeight="1" s="17">
      <c r="A193" s="27" t="inlineStr">
        <is>
          <t>FSCRS</t>
        </is>
      </c>
      <c r="B193" s="27" t="inlineStr">
        <is>
          <t>Forms of Self-Criticising/Attacking and Self-Reassuring Scale</t>
        </is>
      </c>
      <c r="C193" s="27" t="inlineStr">
        <is>
          <t>5. Repetitive negative thinking and self talk</t>
        </is>
      </c>
      <c r="D193" s="28" t="n">
        <v>14</v>
      </c>
      <c r="E193" s="27" t="inlineStr">
        <is>
          <t>I remember and dwell on my failings.</t>
        </is>
      </c>
      <c r="F193" s="27" t="inlineStr">
        <is>
          <t>Inadequate Self</t>
        </is>
      </c>
      <c r="G193" s="27" t="inlineStr">
        <is>
          <t>FALSE</t>
        </is>
      </c>
      <c r="H193" s="27" t="inlineStr">
        <is>
          <t>FALSE</t>
        </is>
      </c>
      <c r="I193" s="27" t="inlineStr">
        <is>
          <t>Not at all like me = 0 | A little bit like me = 1 | Moderately like me = 2 | Quite a bit like me = 3 | Extremely like me = 4</t>
        </is>
      </c>
      <c r="J193" s="27" t="n"/>
      <c r="K193" s="27" t="inlineStr">
        <is>
          <t>https://d3n8a8pro7vhmx.cloudfront.net/portlandpsychotherapy/pages/21/attachments/original/1438799410/Forms_of_self-criticising_and_self_reassuring_scale.pdf</t>
        </is>
      </c>
    </row>
    <row r="194" ht="46.25" customHeight="1" s="17">
      <c r="A194" s="27" t="inlineStr">
        <is>
          <t>FSCRS</t>
        </is>
      </c>
      <c r="B194" s="27" t="inlineStr">
        <is>
          <t>Forms of Self-Criticising/Attacking and Self-Reassuring Scale</t>
        </is>
      </c>
      <c r="C194" s="27" t="inlineStr">
        <is>
          <t>5. Repetitive negative thinking and self talk</t>
        </is>
      </c>
      <c r="D194" s="28" t="n">
        <v>15</v>
      </c>
      <c r="E194" s="27" t="inlineStr">
        <is>
          <t>I call myself names.</t>
        </is>
      </c>
      <c r="F194" s="27" t="inlineStr">
        <is>
          <t>Hated Self</t>
        </is>
      </c>
      <c r="G194" s="27" t="inlineStr">
        <is>
          <t>FALSE</t>
        </is>
      </c>
      <c r="H194" s="27" t="inlineStr">
        <is>
          <t>FALSE</t>
        </is>
      </c>
      <c r="I194" s="27" t="inlineStr">
        <is>
          <t>Not at all like me = 0 | A little bit like me = 1 | Moderately like me = 2 | Quite a bit like me = 3 | Extremely like me = 4</t>
        </is>
      </c>
      <c r="J194" s="27" t="n"/>
      <c r="K194" s="27" t="inlineStr">
        <is>
          <t>https://d3n8a8pro7vhmx.cloudfront.net/portlandpsychotherapy/pages/21/attachments/original/1438799410/Forms_of_self-criticising_and_self_reassuring_scale.pdf</t>
        </is>
      </c>
    </row>
    <row r="195" ht="46.25" customHeight="1" s="17">
      <c r="A195" s="27" t="inlineStr">
        <is>
          <t>FSCRS</t>
        </is>
      </c>
      <c r="B195" s="27" t="inlineStr">
        <is>
          <t>Forms of Self-Criticising/Attacking and Self-Reassuring Scale</t>
        </is>
      </c>
      <c r="C195" s="27" t="inlineStr">
        <is>
          <t>5. Repetitive negative thinking and self talk</t>
        </is>
      </c>
      <c r="D195" s="28" t="n">
        <v>16</v>
      </c>
      <c r="E195" s="27" t="inlineStr">
        <is>
          <t>I am gentle and supportive with myself.</t>
        </is>
      </c>
      <c r="F195" s="27" t="inlineStr">
        <is>
          <t>Reassured Self</t>
        </is>
      </c>
      <c r="G195" s="27" t="inlineStr">
        <is>
          <t>FALSE</t>
        </is>
      </c>
      <c r="H195" s="27" t="inlineStr">
        <is>
          <t>FALSE</t>
        </is>
      </c>
      <c r="I195" s="27" t="inlineStr">
        <is>
          <t>Not at all like me = 0 | A little bit like me = 1 | Moderately like me = 2 | Quite a bit like me = 3 | Extremely like me = 4</t>
        </is>
      </c>
      <c r="J195" s="27" t="n"/>
      <c r="K195" s="27" t="inlineStr">
        <is>
          <t>https://d3n8a8pro7vhmx.cloudfront.net/portlandpsychotherapy/pages/21/attachments/original/1438799410/Forms_of_self-criticising_and_self_reassuring_scale.pdf</t>
        </is>
      </c>
    </row>
    <row r="196" ht="46.25" customHeight="1" s="17">
      <c r="A196" s="27" t="inlineStr">
        <is>
          <t>FSCRS</t>
        </is>
      </c>
      <c r="B196" s="27" t="inlineStr">
        <is>
          <t>Forms of Self-Criticising/Attacking and Self-Reassuring Scale</t>
        </is>
      </c>
      <c r="C196" s="27" t="inlineStr">
        <is>
          <t>5. Repetitive negative thinking and self talk</t>
        </is>
      </c>
      <c r="D196" s="28" t="n">
        <v>17</v>
      </c>
      <c r="E196" s="27" t="inlineStr">
        <is>
          <t>I can't accept failures and setbacks without feeling inadequate.</t>
        </is>
      </c>
      <c r="F196" s="27" t="inlineStr">
        <is>
          <t>Inadequate Self</t>
        </is>
      </c>
      <c r="G196" s="27" t="inlineStr">
        <is>
          <t>FALSE</t>
        </is>
      </c>
      <c r="H196" s="27" t="inlineStr">
        <is>
          <t>FALSE</t>
        </is>
      </c>
      <c r="I196" s="27" t="inlineStr">
        <is>
          <t>Not at all like me = 0 | A little bit like me = 1 | Moderately like me = 2 | Quite a bit like me = 3 | Extremely like me = 4</t>
        </is>
      </c>
      <c r="J196" s="27" t="n"/>
      <c r="K196" s="27" t="inlineStr">
        <is>
          <t>https://d3n8a8pro7vhmx.cloudfront.net/portlandpsychotherapy/pages/21/attachments/original/1438799410/Forms_of_self-criticising_and_self_reassuring_scale.pdf</t>
        </is>
      </c>
    </row>
    <row r="197" ht="46.25" customHeight="1" s="17">
      <c r="A197" s="27" t="inlineStr">
        <is>
          <t>FSCRS</t>
        </is>
      </c>
      <c r="B197" s="27" t="inlineStr">
        <is>
          <t>Forms of Self-Criticising/Attacking and Self-Reassuring Scale</t>
        </is>
      </c>
      <c r="C197" s="27" t="inlineStr">
        <is>
          <t>5. Repetitive negative thinking and self talk</t>
        </is>
      </c>
      <c r="D197" s="28" t="n">
        <v>18</v>
      </c>
      <c r="E197" s="27" t="inlineStr">
        <is>
          <t>I think I deserve my self-criticism.</t>
        </is>
      </c>
      <c r="F197" s="27" t="inlineStr">
        <is>
          <t>Inadequate Self</t>
        </is>
      </c>
      <c r="G197" s="27" t="inlineStr">
        <is>
          <t>FALSE</t>
        </is>
      </c>
      <c r="H197" s="27" t="inlineStr">
        <is>
          <t>FALSE</t>
        </is>
      </c>
      <c r="I197" s="27" t="inlineStr">
        <is>
          <t>Not at all like me = 0 | A little bit like me = 1 | Moderately like me = 2 | Quite a bit like me = 3 | Extremely like me = 4</t>
        </is>
      </c>
      <c r="J197" s="27" t="n"/>
      <c r="K197" s="27" t="inlineStr">
        <is>
          <t>https://d3n8a8pro7vhmx.cloudfront.net/portlandpsychotherapy/pages/21/attachments/original/1438799410/Forms_of_self-criticising_and_self_reassuring_scale.pdf</t>
        </is>
      </c>
    </row>
    <row r="198" ht="46.25" customHeight="1" s="17">
      <c r="A198" s="27" t="inlineStr">
        <is>
          <t>FSCRS</t>
        </is>
      </c>
      <c r="B198" s="27" t="inlineStr">
        <is>
          <t>Forms of Self-Criticising/Attacking and Self-Reassuring Scale</t>
        </is>
      </c>
      <c r="C198" s="27" t="inlineStr">
        <is>
          <t>5. Repetitive negative thinking and self talk</t>
        </is>
      </c>
      <c r="D198" s="28" t="n">
        <v>19</v>
      </c>
      <c r="E198" s="27" t="inlineStr">
        <is>
          <t>I am able to care and look after myself.</t>
        </is>
      </c>
      <c r="F198" s="27" t="inlineStr">
        <is>
          <t>Reassured Self</t>
        </is>
      </c>
      <c r="G198" s="27" t="inlineStr">
        <is>
          <t>FALSE</t>
        </is>
      </c>
      <c r="H198" s="27" t="inlineStr">
        <is>
          <t>FALSE</t>
        </is>
      </c>
      <c r="I198" s="27" t="inlineStr">
        <is>
          <t>Not at all like me = 0 | A little bit like me = 1 | Moderately like me = 2 | Quite a bit like me = 3 | Extremely like me = 4</t>
        </is>
      </c>
      <c r="J198" s="27" t="n"/>
      <c r="K198" s="27" t="inlineStr">
        <is>
          <t>https://d3n8a8pro7vhmx.cloudfront.net/portlandpsychotherapy/pages/21/attachments/original/1438799410/Forms_of_self-criticising_and_self_reassuring_scale.pdf</t>
        </is>
      </c>
    </row>
    <row r="199" ht="46.25" customHeight="1" s="17">
      <c r="A199" s="27" t="inlineStr">
        <is>
          <t>FSCRS</t>
        </is>
      </c>
      <c r="B199" s="27" t="inlineStr">
        <is>
          <t>Forms of Self-Criticising/Attacking and Self-Reassuring Scale</t>
        </is>
      </c>
      <c r="C199" s="27" t="inlineStr">
        <is>
          <t>5. Repetitive negative thinking and self talk</t>
        </is>
      </c>
      <c r="D199" s="28" t="n">
        <v>20</v>
      </c>
      <c r="E199" s="27" t="inlineStr">
        <is>
          <t>There is a part of me that wants to get rid of the bits I don't like.</t>
        </is>
      </c>
      <c r="F199" s="27" t="inlineStr">
        <is>
          <t>Inadequate Self</t>
        </is>
      </c>
      <c r="G199" s="27" t="inlineStr">
        <is>
          <t>FALSE</t>
        </is>
      </c>
      <c r="H199" s="27" t="inlineStr">
        <is>
          <t>FALSE</t>
        </is>
      </c>
      <c r="I199" s="27" t="inlineStr">
        <is>
          <t>Not at all like me = 0 | A little bit like me = 1 | Moderately like me = 2 | Quite a bit like me = 3 | Extremely like me = 4</t>
        </is>
      </c>
      <c r="J199" s="27" t="n"/>
      <c r="K199" s="27" t="inlineStr">
        <is>
          <t>https://d3n8a8pro7vhmx.cloudfront.net/portlandpsychotherapy/pages/21/attachments/original/1438799410/Forms_of_self-criticising_and_self_reassuring_scale.pdf</t>
        </is>
      </c>
    </row>
    <row r="200" ht="46.25" customHeight="1" s="17">
      <c r="A200" s="27" t="inlineStr">
        <is>
          <t>FSCRS</t>
        </is>
      </c>
      <c r="B200" s="27" t="inlineStr">
        <is>
          <t>Forms of Self-Criticising/Attacking and Self-Reassuring Scale</t>
        </is>
      </c>
      <c r="C200" s="27" t="inlineStr">
        <is>
          <t>5. Repetitive negative thinking and self talk</t>
        </is>
      </c>
      <c r="D200" s="28" t="n">
        <v>21</v>
      </c>
      <c r="E200" s="27" t="inlineStr">
        <is>
          <t>I encourage myself for the future.</t>
        </is>
      </c>
      <c r="F200" s="27" t="inlineStr">
        <is>
          <t>Reassured Self</t>
        </is>
      </c>
      <c r="G200" s="27" t="inlineStr">
        <is>
          <t>FALSE</t>
        </is>
      </c>
      <c r="H200" s="27" t="inlineStr">
        <is>
          <t>FALSE</t>
        </is>
      </c>
      <c r="I200" s="27" t="inlineStr">
        <is>
          <t>Not at all like me = 0 | A little bit like me = 1 | Moderately like me = 2 | Quite a bit like me = 3 | Extremely like me = 4</t>
        </is>
      </c>
      <c r="J200" s="27" t="n"/>
      <c r="K200" s="27" t="inlineStr">
        <is>
          <t>https://d3n8a8pro7vhmx.cloudfront.net/portlandpsychotherapy/pages/21/attachments/original/1438799410/Forms_of_self-criticising_and_self_reassuring_scale.pdf</t>
        </is>
      </c>
    </row>
    <row r="201" ht="46.25" customHeight="1" s="17">
      <c r="A201" s="27" t="inlineStr">
        <is>
          <t>FSCRS</t>
        </is>
      </c>
      <c r="B201" s="27" t="inlineStr">
        <is>
          <t>Forms of Self-Criticising/Attacking and Self-Reassuring Scale</t>
        </is>
      </c>
      <c r="C201" s="27" t="inlineStr">
        <is>
          <t>5. Repetitive negative thinking and self talk</t>
        </is>
      </c>
      <c r="D201" s="28" t="n">
        <v>22</v>
      </c>
      <c r="E201" s="27" t="inlineStr">
        <is>
          <t>I do not like being me.</t>
        </is>
      </c>
      <c r="F201" s="27" t="inlineStr">
        <is>
          <t>Hated Self</t>
        </is>
      </c>
      <c r="G201" s="27" t="inlineStr">
        <is>
          <t>FALSE</t>
        </is>
      </c>
      <c r="H201" s="27" t="inlineStr">
        <is>
          <t>FALSE</t>
        </is>
      </c>
      <c r="I201" s="27" t="inlineStr">
        <is>
          <t>Not at all like me = 0 | A little bit like me = 1 | Moderately like me = 2 | Quite a bit like me = 3 | Extremely like me = 4</t>
        </is>
      </c>
      <c r="J201" s="27" t="n"/>
      <c r="K201" s="27" t="inlineStr">
        <is>
          <t>https://d3n8a8pro7vhmx.cloudfront.net/portlandpsychotherapy/pages/21/attachments/original/1438799410/Forms_of_self-criticising_and_self_reassuring_scale.pdf</t>
        </is>
      </c>
    </row>
    <row r="202" ht="23.85" customHeight="1" s="17">
      <c r="A202" s="27" t="inlineStr">
        <is>
          <t>PCI</t>
        </is>
      </c>
      <c r="B202" s="27" t="inlineStr">
        <is>
          <t>Perfectionism Cognitions Inventory</t>
        </is>
      </c>
      <c r="C202" s="27" t="inlineStr">
        <is>
          <t>5. Repetitive negative thinking and self talk</t>
        </is>
      </c>
      <c r="D202" s="28" t="n">
        <v>1</v>
      </c>
      <c r="E202" s="27" t="inlineStr">
        <is>
          <t>Why can't I be perfect</t>
        </is>
      </c>
      <c r="F202" s="27" t="inlineStr">
        <is>
          <t>Not stated on source</t>
        </is>
      </c>
      <c r="G202" s="27" t="inlineStr">
        <is>
          <t>FALSE</t>
        </is>
      </c>
      <c r="H202" s="27" t="inlineStr">
        <is>
          <t>FALSE</t>
        </is>
      </c>
      <c r="I202" s="27" t="inlineStr">
        <is>
          <t>Not At All = 0 | Sometimes = 1 | Moderately Often = 2 | Often = 3 | All of the time = 4</t>
        </is>
      </c>
      <c r="J202" s="27" t="n"/>
      <c r="K202" s="27" t="inlineStr">
        <is>
          <t>https://novopsych.com/assessments/formulation/perfectionistic-cognitions-inventory-pci/</t>
        </is>
      </c>
    </row>
    <row r="203" ht="23.85" customHeight="1" s="17">
      <c r="A203" s="27" t="inlineStr">
        <is>
          <t>PCI</t>
        </is>
      </c>
      <c r="B203" s="27" t="inlineStr">
        <is>
          <t>Perfectionism Cognitions Inventory</t>
        </is>
      </c>
      <c r="C203" s="27" t="inlineStr">
        <is>
          <t>5. Repetitive negative thinking and self talk</t>
        </is>
      </c>
      <c r="D203" s="28" t="n">
        <v>2</v>
      </c>
      <c r="E203" s="27" t="inlineStr">
        <is>
          <t>I need to do better</t>
        </is>
      </c>
      <c r="F203" s="27" t="inlineStr">
        <is>
          <t>Not stated on source</t>
        </is>
      </c>
      <c r="G203" s="27" t="inlineStr">
        <is>
          <t>FALSE</t>
        </is>
      </c>
      <c r="H203" s="27" t="inlineStr">
        <is>
          <t>FALSE</t>
        </is>
      </c>
      <c r="I203" s="27" t="inlineStr">
        <is>
          <t>Not At All = 0 | Sometimes = 1 | Moderately Often = 2 | Often = 3 | All of the time = 4</t>
        </is>
      </c>
      <c r="J203" s="27" t="n"/>
      <c r="K203" s="27" t="inlineStr">
        <is>
          <t>https://novopsych.com/assessments/formulation/perfectionistic-cognitions-inventory-pci/</t>
        </is>
      </c>
    </row>
    <row r="204" ht="23.85" customHeight="1" s="17">
      <c r="A204" s="27" t="inlineStr">
        <is>
          <t>PCI</t>
        </is>
      </c>
      <c r="B204" s="27" t="inlineStr">
        <is>
          <t>Perfectionism Cognitions Inventory</t>
        </is>
      </c>
      <c r="C204" s="27" t="inlineStr">
        <is>
          <t>5. Repetitive negative thinking and self talk</t>
        </is>
      </c>
      <c r="D204" s="28" t="n">
        <v>3</v>
      </c>
      <c r="E204" s="27" t="inlineStr">
        <is>
          <t>I should be perfect</t>
        </is>
      </c>
      <c r="F204" s="27" t="inlineStr">
        <is>
          <t>Not stated on source</t>
        </is>
      </c>
      <c r="G204" s="27" t="inlineStr">
        <is>
          <t>FALSE</t>
        </is>
      </c>
      <c r="H204" s="27" t="inlineStr">
        <is>
          <t>FALSE</t>
        </is>
      </c>
      <c r="I204" s="27" t="inlineStr">
        <is>
          <t>Not At All = 0 | Sometimes = 1 | Moderately Often = 2 | Often = 3 | All of the time = 4</t>
        </is>
      </c>
      <c r="J204" s="27" t="n"/>
      <c r="K204" s="27" t="inlineStr">
        <is>
          <t>https://novopsych.com/assessments/formulation/perfectionistic-cognitions-inventory-pci/</t>
        </is>
      </c>
    </row>
    <row r="205" ht="23.85" customHeight="1" s="17">
      <c r="A205" s="27" t="inlineStr">
        <is>
          <t>PCI</t>
        </is>
      </c>
      <c r="B205" s="27" t="inlineStr">
        <is>
          <t>Perfectionism Cognitions Inventory</t>
        </is>
      </c>
      <c r="C205" s="27" t="inlineStr">
        <is>
          <t>5. Repetitive negative thinking and self talk</t>
        </is>
      </c>
      <c r="D205" s="28" t="n">
        <v>4</v>
      </c>
      <c r="E205" s="27" t="inlineStr">
        <is>
          <t>I should never make the same mistake twice</t>
        </is>
      </c>
      <c r="F205" s="27" t="inlineStr">
        <is>
          <t>Not stated on source</t>
        </is>
      </c>
      <c r="G205" s="27" t="inlineStr">
        <is>
          <t>FALSE</t>
        </is>
      </c>
      <c r="H205" s="27" t="inlineStr">
        <is>
          <t>FALSE</t>
        </is>
      </c>
      <c r="I205" s="27" t="inlineStr">
        <is>
          <t>Not At All = 0 | Sometimes = 1 | Moderately Often = 2 | Often = 3 | All of the time = 4</t>
        </is>
      </c>
      <c r="J205" s="27" t="n"/>
      <c r="K205" s="27" t="inlineStr">
        <is>
          <t>https://novopsych.com/assessments/formulation/perfectionistic-cognitions-inventory-pci/</t>
        </is>
      </c>
    </row>
    <row r="206" ht="23.85" customHeight="1" s="17">
      <c r="A206" s="27" t="inlineStr">
        <is>
          <t>PCI</t>
        </is>
      </c>
      <c r="B206" s="27" t="inlineStr">
        <is>
          <t>Perfectionism Cognitions Inventory</t>
        </is>
      </c>
      <c r="C206" s="27" t="inlineStr">
        <is>
          <t>5. Repetitive negative thinking and self talk</t>
        </is>
      </c>
      <c r="D206" s="28" t="n">
        <v>5</v>
      </c>
      <c r="E206" s="27" t="inlineStr">
        <is>
          <t>I've got to keep working on my goals</t>
        </is>
      </c>
      <c r="F206" s="27" t="inlineStr">
        <is>
          <t>Not stated on source</t>
        </is>
      </c>
      <c r="G206" s="27" t="inlineStr">
        <is>
          <t>FALSE</t>
        </is>
      </c>
      <c r="H206" s="27" t="inlineStr">
        <is>
          <t>FALSE</t>
        </is>
      </c>
      <c r="I206" s="27" t="inlineStr">
        <is>
          <t>Not At All = 0 | Sometimes = 1 | Moderately Often = 2 | Often = 3 | All of the time = 4</t>
        </is>
      </c>
      <c r="J206" s="27" t="n"/>
      <c r="K206" s="27" t="inlineStr">
        <is>
          <t>https://novopsych.com/assessments/formulation/perfectionistic-cognitions-inventory-pci/</t>
        </is>
      </c>
    </row>
    <row r="207" ht="23.85" customHeight="1" s="17">
      <c r="A207" s="27" t="inlineStr">
        <is>
          <t>PCI</t>
        </is>
      </c>
      <c r="B207" s="27" t="inlineStr">
        <is>
          <t>Perfectionism Cognitions Inventory</t>
        </is>
      </c>
      <c r="C207" s="27" t="inlineStr">
        <is>
          <t>5. Repetitive negative thinking and self talk</t>
        </is>
      </c>
      <c r="D207" s="28" t="n">
        <v>6</v>
      </c>
      <c r="E207" s="27" t="inlineStr">
        <is>
          <t>I have to be the best</t>
        </is>
      </c>
      <c r="F207" s="27" t="inlineStr">
        <is>
          <t>Not stated on source</t>
        </is>
      </c>
      <c r="G207" s="27" t="inlineStr">
        <is>
          <t>FALSE</t>
        </is>
      </c>
      <c r="H207" s="27" t="inlineStr">
        <is>
          <t>FALSE</t>
        </is>
      </c>
      <c r="I207" s="27" t="inlineStr">
        <is>
          <t>Not At All = 0 | Sometimes = 1 | Moderately Often = 2 | Often = 3 | All of the time = 4</t>
        </is>
      </c>
      <c r="J207" s="27" t="n"/>
      <c r="K207" s="27" t="inlineStr">
        <is>
          <t>https://novopsych.com/assessments/formulation/perfectionistic-cognitions-inventory-pci/</t>
        </is>
      </c>
    </row>
    <row r="208" ht="23.85" customHeight="1" s="17">
      <c r="A208" s="27" t="inlineStr">
        <is>
          <t>PCI</t>
        </is>
      </c>
      <c r="B208" s="27" t="inlineStr">
        <is>
          <t>Perfectionism Cognitions Inventory</t>
        </is>
      </c>
      <c r="C208" s="27" t="inlineStr">
        <is>
          <t>5. Repetitive negative thinking and self talk</t>
        </is>
      </c>
      <c r="D208" s="28" t="n">
        <v>7</v>
      </c>
      <c r="E208" s="27" t="inlineStr">
        <is>
          <t>I should be doing more</t>
        </is>
      </c>
      <c r="F208" s="27" t="inlineStr">
        <is>
          <t>Not stated on source</t>
        </is>
      </c>
      <c r="G208" s="27" t="inlineStr">
        <is>
          <t>FALSE</t>
        </is>
      </c>
      <c r="H208" s="27" t="inlineStr">
        <is>
          <t>FALSE</t>
        </is>
      </c>
      <c r="I208" s="27" t="inlineStr">
        <is>
          <t>Not At All = 0 | Sometimes = 1 | Moderately Often = 2 | Often = 3 | All of the time = 4</t>
        </is>
      </c>
      <c r="J208" s="27" t="n"/>
      <c r="K208" s="27" t="inlineStr">
        <is>
          <t>https://novopsych.com/assessments/formulation/perfectionistic-cognitions-inventory-pci/</t>
        </is>
      </c>
    </row>
    <row r="209" ht="23.85" customHeight="1" s="17">
      <c r="A209" s="27" t="inlineStr">
        <is>
          <t>PCI</t>
        </is>
      </c>
      <c r="B209" s="27" t="inlineStr">
        <is>
          <t>Perfectionism Cognitions Inventory</t>
        </is>
      </c>
      <c r="C209" s="27" t="inlineStr">
        <is>
          <t>5. Repetitive negative thinking and self talk</t>
        </is>
      </c>
      <c r="D209" s="28" t="n">
        <v>8</v>
      </c>
      <c r="E209" s="27" t="inlineStr">
        <is>
          <t>I can't stand to make mistakes</t>
        </is>
      </c>
      <c r="F209" s="27" t="inlineStr">
        <is>
          <t>Not stated on source</t>
        </is>
      </c>
      <c r="G209" s="27" t="inlineStr">
        <is>
          <t>FALSE</t>
        </is>
      </c>
      <c r="H209" s="27" t="inlineStr">
        <is>
          <t>FALSE</t>
        </is>
      </c>
      <c r="I209" s="27" t="inlineStr">
        <is>
          <t>Not At All = 0 | Sometimes = 1 | Moderately Often = 2 | Often = 3 | All of the time = 4</t>
        </is>
      </c>
      <c r="J209" s="27" t="n"/>
      <c r="K209" s="27" t="inlineStr">
        <is>
          <t>https://novopsych.com/assessments/formulation/perfectionistic-cognitions-inventory-pci/</t>
        </is>
      </c>
    </row>
    <row r="210" ht="23.85" customHeight="1" s="17">
      <c r="A210" s="27" t="inlineStr">
        <is>
          <t>PCI</t>
        </is>
      </c>
      <c r="B210" s="27" t="inlineStr">
        <is>
          <t>Perfectionism Cognitions Inventory</t>
        </is>
      </c>
      <c r="C210" s="27" t="inlineStr">
        <is>
          <t>5. Repetitive negative thinking and self talk</t>
        </is>
      </c>
      <c r="D210" s="28" t="n">
        <v>9</v>
      </c>
      <c r="E210" s="27" t="inlineStr">
        <is>
          <t>I have to work hard all the time</t>
        </is>
      </c>
      <c r="F210" s="27" t="inlineStr">
        <is>
          <t>Not stated on source</t>
        </is>
      </c>
      <c r="G210" s="27" t="inlineStr">
        <is>
          <t>FALSE</t>
        </is>
      </c>
      <c r="H210" s="27" t="inlineStr">
        <is>
          <t>FALSE</t>
        </is>
      </c>
      <c r="I210" s="27" t="inlineStr">
        <is>
          <t>Not At All = 0 | Sometimes = 1 | Moderately Often = 2 | Often = 3 | All of the time = 4</t>
        </is>
      </c>
      <c r="J210" s="27" t="n"/>
      <c r="K210" s="27" t="inlineStr">
        <is>
          <t>https://novopsych.com/assessments/formulation/perfectionistic-cognitions-inventory-pci/</t>
        </is>
      </c>
    </row>
    <row r="211" ht="23.85" customHeight="1" s="17">
      <c r="A211" s="27" t="inlineStr">
        <is>
          <t>PCI</t>
        </is>
      </c>
      <c r="B211" s="27" t="inlineStr">
        <is>
          <t>Perfectionism Cognitions Inventory</t>
        </is>
      </c>
      <c r="C211" s="27" t="inlineStr">
        <is>
          <t>5. Repetitive negative thinking and self talk</t>
        </is>
      </c>
      <c r="D211" s="28" t="n">
        <v>10</v>
      </c>
      <c r="E211" s="27" t="inlineStr">
        <is>
          <t>No matter how much I do, it's never enough</t>
        </is>
      </c>
      <c r="F211" s="27" t="inlineStr">
        <is>
          <t>Not stated on source</t>
        </is>
      </c>
      <c r="G211" s="27" t="inlineStr">
        <is>
          <t>FALSE</t>
        </is>
      </c>
      <c r="H211" s="27" t="inlineStr">
        <is>
          <t>FALSE</t>
        </is>
      </c>
      <c r="I211" s="27" t="inlineStr">
        <is>
          <t>Not At All = 0 | Sometimes = 1 | Moderately Often = 2 | Often = 3 | All of the time = 4</t>
        </is>
      </c>
      <c r="J211" s="27" t="n"/>
      <c r="K211" s="27" t="inlineStr">
        <is>
          <t>https://novopsych.com/assessments/formulation/perfectionistic-cognitions-inventory-pci/</t>
        </is>
      </c>
    </row>
    <row r="212" ht="23.85" customHeight="1" s="17">
      <c r="A212" s="27" t="inlineStr">
        <is>
          <t>PCI</t>
        </is>
      </c>
      <c r="B212" s="27" t="inlineStr">
        <is>
          <t>Perfectionism Cognitions Inventory</t>
        </is>
      </c>
      <c r="C212" s="27" t="inlineStr">
        <is>
          <t>5. Repetitive negative thinking and self talk</t>
        </is>
      </c>
      <c r="D212" s="28" t="n">
        <v>11</v>
      </c>
      <c r="E212" s="27" t="inlineStr">
        <is>
          <t>People expect me to be perfect</t>
        </is>
      </c>
      <c r="F212" s="27" t="inlineStr">
        <is>
          <t>Not stated on source</t>
        </is>
      </c>
      <c r="G212" s="27" t="inlineStr">
        <is>
          <t>FALSE</t>
        </is>
      </c>
      <c r="H212" s="27" t="inlineStr">
        <is>
          <t>FALSE</t>
        </is>
      </c>
      <c r="I212" s="27" t="inlineStr">
        <is>
          <t>Not At All = 0 | Sometimes = 1 | Moderately Often = 2 | Often = 3 | All of the time = 4</t>
        </is>
      </c>
      <c r="J212" s="27" t="n"/>
      <c r="K212" s="27" t="inlineStr">
        <is>
          <t>https://novopsych.com/assessments/formulation/perfectionistic-cognitions-inventory-pci/</t>
        </is>
      </c>
    </row>
    <row r="213" ht="23.85" customHeight="1" s="17">
      <c r="A213" s="27" t="inlineStr">
        <is>
          <t>PCI</t>
        </is>
      </c>
      <c r="B213" s="27" t="inlineStr">
        <is>
          <t>Perfectionism Cognitions Inventory</t>
        </is>
      </c>
      <c r="C213" s="27" t="inlineStr">
        <is>
          <t>5. Repetitive negative thinking and self talk</t>
        </is>
      </c>
      <c r="D213" s="28" t="n">
        <v>12</v>
      </c>
      <c r="E213" s="27" t="inlineStr">
        <is>
          <t>I must be efficient at all times</t>
        </is>
      </c>
      <c r="F213" s="27" t="inlineStr">
        <is>
          <t>Not stated on source</t>
        </is>
      </c>
      <c r="G213" s="27" t="inlineStr">
        <is>
          <t>FALSE</t>
        </is>
      </c>
      <c r="H213" s="27" t="inlineStr">
        <is>
          <t>FALSE</t>
        </is>
      </c>
      <c r="I213" s="27" t="inlineStr">
        <is>
          <t>Not At All = 0 | Sometimes = 1 | Moderately Often = 2 | Often = 3 | All of the time = 4</t>
        </is>
      </c>
      <c r="J213" s="27" t="n"/>
      <c r="K213" s="27" t="inlineStr">
        <is>
          <t>https://novopsych.com/assessments/formulation/perfectionistic-cognitions-inventory-pci/</t>
        </is>
      </c>
    </row>
    <row r="214" ht="23.85" customHeight="1" s="17">
      <c r="A214" s="27" t="inlineStr">
        <is>
          <t>PCI</t>
        </is>
      </c>
      <c r="B214" s="27" t="inlineStr">
        <is>
          <t>Perfectionism Cognitions Inventory</t>
        </is>
      </c>
      <c r="C214" s="27" t="inlineStr">
        <is>
          <t>5. Repetitive negative thinking and self talk</t>
        </is>
      </c>
      <c r="D214" s="28" t="n">
        <v>13</v>
      </c>
      <c r="E214" s="27" t="inlineStr">
        <is>
          <t>My goals are very high</t>
        </is>
      </c>
      <c r="F214" s="27" t="inlineStr">
        <is>
          <t>Not stated on source</t>
        </is>
      </c>
      <c r="G214" s="27" t="inlineStr">
        <is>
          <t>FALSE</t>
        </is>
      </c>
      <c r="H214" s="27" t="inlineStr">
        <is>
          <t>FALSE</t>
        </is>
      </c>
      <c r="I214" s="27" t="inlineStr">
        <is>
          <t>Not At All = 0 | Sometimes = 1 | Moderately Often = 2 | Often = 3 | All of the time = 4</t>
        </is>
      </c>
      <c r="J214" s="27" t="n"/>
      <c r="K214" s="27" t="inlineStr">
        <is>
          <t>https://novopsych.com/assessments/formulation/perfectionistic-cognitions-inventory-pci/</t>
        </is>
      </c>
    </row>
    <row r="215" ht="23.85" customHeight="1" s="17">
      <c r="A215" s="27" t="inlineStr">
        <is>
          <t>PCI</t>
        </is>
      </c>
      <c r="B215" s="27" t="inlineStr">
        <is>
          <t>Perfectionism Cognitions Inventory</t>
        </is>
      </c>
      <c r="C215" s="27" t="inlineStr">
        <is>
          <t>5. Repetitive negative thinking and self talk</t>
        </is>
      </c>
      <c r="D215" s="28" t="n">
        <v>14</v>
      </c>
      <c r="E215" s="27" t="inlineStr">
        <is>
          <t>I can always do better, even if things are almost perfect</t>
        </is>
      </c>
      <c r="F215" s="27" t="inlineStr">
        <is>
          <t>Not stated on source</t>
        </is>
      </c>
      <c r="G215" s="27" t="inlineStr">
        <is>
          <t>FALSE</t>
        </is>
      </c>
      <c r="H215" s="27" t="inlineStr">
        <is>
          <t>FALSE</t>
        </is>
      </c>
      <c r="I215" s="27" t="inlineStr">
        <is>
          <t>Not At All = 0 | Sometimes = 1 | Moderately Often = 2 | Often = 3 | All of the time = 4</t>
        </is>
      </c>
      <c r="J215" s="27" t="n"/>
      <c r="K215" s="27" t="inlineStr">
        <is>
          <t>https://novopsych.com/assessments/formulation/perfectionistic-cognitions-inventory-pci/</t>
        </is>
      </c>
    </row>
    <row r="216" ht="23.85" customHeight="1" s="17">
      <c r="A216" s="27" t="inlineStr">
        <is>
          <t>PCI</t>
        </is>
      </c>
      <c r="B216" s="27" t="inlineStr">
        <is>
          <t>Perfectionism Cognitions Inventory</t>
        </is>
      </c>
      <c r="C216" s="27" t="inlineStr">
        <is>
          <t>5. Repetitive negative thinking and self talk</t>
        </is>
      </c>
      <c r="D216" s="28" t="n">
        <v>15</v>
      </c>
      <c r="E216" s="27" t="inlineStr">
        <is>
          <t>I expect to be perfect</t>
        </is>
      </c>
      <c r="F216" s="27" t="inlineStr">
        <is>
          <t>Not stated on source</t>
        </is>
      </c>
      <c r="G216" s="27" t="inlineStr">
        <is>
          <t>FALSE</t>
        </is>
      </c>
      <c r="H216" s="27" t="inlineStr">
        <is>
          <t>FALSE</t>
        </is>
      </c>
      <c r="I216" s="27" t="inlineStr">
        <is>
          <t>Not At All = 0 | Sometimes = 1 | Moderately Often = 2 | Often = 3 | All of the time = 4</t>
        </is>
      </c>
      <c r="J216" s="27" t="n"/>
      <c r="K216" s="27" t="inlineStr">
        <is>
          <t>https://novopsych.com/assessments/formulation/perfectionistic-cognitions-inventory-pci/</t>
        </is>
      </c>
    </row>
    <row r="217" ht="23.85" customHeight="1" s="17">
      <c r="A217" s="27" t="inlineStr">
        <is>
          <t>PCI</t>
        </is>
      </c>
      <c r="B217" s="27" t="inlineStr">
        <is>
          <t>Perfectionism Cognitions Inventory</t>
        </is>
      </c>
      <c r="C217" s="27" t="inlineStr">
        <is>
          <t>5. Repetitive negative thinking and self talk</t>
        </is>
      </c>
      <c r="D217" s="28" t="n">
        <v>16</v>
      </c>
      <c r="E217" s="27" t="inlineStr">
        <is>
          <t>Why can't things be perfect?</t>
        </is>
      </c>
      <c r="F217" s="27" t="inlineStr">
        <is>
          <t>Not stated on source</t>
        </is>
      </c>
      <c r="G217" s="27" t="inlineStr">
        <is>
          <t>FALSE</t>
        </is>
      </c>
      <c r="H217" s="27" t="inlineStr">
        <is>
          <t>FALSE</t>
        </is>
      </c>
      <c r="I217" s="27" t="inlineStr">
        <is>
          <t>Not At All = 0 | Sometimes = 1 | Moderately Often = 2 | Often = 3 | All of the time = 4</t>
        </is>
      </c>
      <c r="J217" s="27" t="n"/>
      <c r="K217" s="27" t="inlineStr">
        <is>
          <t>https://novopsych.com/assessments/formulation/perfectionistic-cognitions-inventory-pci/</t>
        </is>
      </c>
    </row>
    <row r="218" ht="23.85" customHeight="1" s="17">
      <c r="A218" s="27" t="inlineStr">
        <is>
          <t>PCI</t>
        </is>
      </c>
      <c r="B218" s="27" t="inlineStr">
        <is>
          <t>Perfectionism Cognitions Inventory</t>
        </is>
      </c>
      <c r="C218" s="27" t="inlineStr">
        <is>
          <t>5. Repetitive negative thinking and self talk</t>
        </is>
      </c>
      <c r="D218" s="28" t="n">
        <v>17</v>
      </c>
      <c r="E218" s="27" t="inlineStr">
        <is>
          <t>My work has to be superior</t>
        </is>
      </c>
      <c r="F218" s="27" t="inlineStr">
        <is>
          <t>Not stated on source</t>
        </is>
      </c>
      <c r="G218" s="27" t="inlineStr">
        <is>
          <t>FALSE</t>
        </is>
      </c>
      <c r="H218" s="27" t="inlineStr">
        <is>
          <t>FALSE</t>
        </is>
      </c>
      <c r="I218" s="27" t="inlineStr">
        <is>
          <t>Not At All = 0 | Sometimes = 1 | Moderately Often = 2 | Often = 3 | All of the time = 4</t>
        </is>
      </c>
      <c r="J218" s="27" t="n"/>
      <c r="K218" s="27" t="inlineStr">
        <is>
          <t>https://novopsych.com/assessments/formulation/perfectionistic-cognitions-inventory-pci/</t>
        </is>
      </c>
    </row>
    <row r="219" ht="23.85" customHeight="1" s="17">
      <c r="A219" s="27" t="inlineStr">
        <is>
          <t>PCI</t>
        </is>
      </c>
      <c r="B219" s="27" t="inlineStr">
        <is>
          <t>Perfectionism Cognitions Inventory</t>
        </is>
      </c>
      <c r="C219" s="27" t="inlineStr">
        <is>
          <t>5. Repetitive negative thinking and self talk</t>
        </is>
      </c>
      <c r="D219" s="28" t="n">
        <v>18</v>
      </c>
      <c r="E219" s="27" t="inlineStr">
        <is>
          <t>It would be great if everything in my life was perfect</t>
        </is>
      </c>
      <c r="F219" s="27" t="inlineStr">
        <is>
          <t>Not stated on source</t>
        </is>
      </c>
      <c r="G219" s="27" t="inlineStr">
        <is>
          <t>FALSE</t>
        </is>
      </c>
      <c r="H219" s="27" t="inlineStr">
        <is>
          <t>FALSE</t>
        </is>
      </c>
      <c r="I219" s="27" t="inlineStr">
        <is>
          <t>Not At All = 0 | Sometimes = 1 | Moderately Often = 2 | Often = 3 | All of the time = 4</t>
        </is>
      </c>
      <c r="J219" s="27" t="n"/>
      <c r="K219" s="27" t="inlineStr">
        <is>
          <t>https://novopsych.com/assessments/formulation/perfectionistic-cognitions-inventory-pci/</t>
        </is>
      </c>
    </row>
    <row r="220" ht="23.85" customHeight="1" s="17">
      <c r="A220" s="27" t="inlineStr">
        <is>
          <t>PCI</t>
        </is>
      </c>
      <c r="B220" s="27" t="inlineStr">
        <is>
          <t>Perfectionism Cognitions Inventory</t>
        </is>
      </c>
      <c r="C220" s="27" t="inlineStr">
        <is>
          <t>5. Repetitive negative thinking and self talk</t>
        </is>
      </c>
      <c r="D220" s="28" t="n">
        <v>19</v>
      </c>
      <c r="E220" s="27" t="inlineStr">
        <is>
          <t>My work should be flawless</t>
        </is>
      </c>
      <c r="F220" s="27" t="inlineStr">
        <is>
          <t>Not stated on source</t>
        </is>
      </c>
      <c r="G220" s="27" t="inlineStr">
        <is>
          <t>FALSE</t>
        </is>
      </c>
      <c r="H220" s="27" t="inlineStr">
        <is>
          <t>FALSE</t>
        </is>
      </c>
      <c r="I220" s="27" t="inlineStr">
        <is>
          <t>Not At All = 0 | Sometimes = 1 | Moderately Often = 2 | Often = 3 | All of the time = 4</t>
        </is>
      </c>
      <c r="J220" s="27" t="n"/>
      <c r="K220" s="27" t="inlineStr">
        <is>
          <t>https://novopsych.com/assessments/formulation/perfectionistic-cognitions-inventory-pci/</t>
        </is>
      </c>
    </row>
    <row r="221" ht="23.85" customHeight="1" s="17">
      <c r="A221" s="27" t="inlineStr">
        <is>
          <t>PCI</t>
        </is>
      </c>
      <c r="B221" s="27" t="inlineStr">
        <is>
          <t>Perfectionism Cognitions Inventory</t>
        </is>
      </c>
      <c r="C221" s="27" t="inlineStr">
        <is>
          <t>5. Repetitive negative thinking and self talk</t>
        </is>
      </c>
      <c r="D221" s="28" t="n">
        <v>20</v>
      </c>
      <c r="E221" s="27" t="inlineStr">
        <is>
          <t>Things are seldom ideal</t>
        </is>
      </c>
      <c r="F221" s="27" t="inlineStr">
        <is>
          <t>Not stated on source</t>
        </is>
      </c>
      <c r="G221" s="27" t="inlineStr">
        <is>
          <t>FALSE</t>
        </is>
      </c>
      <c r="H221" s="27" t="inlineStr">
        <is>
          <t>FALSE</t>
        </is>
      </c>
      <c r="I221" s="27" t="inlineStr">
        <is>
          <t>Not At All = 0 | Sometimes = 1 | Moderately Often = 2 | Often = 3 | All of the time = 4</t>
        </is>
      </c>
      <c r="J221" s="27" t="n"/>
      <c r="K221" s="27" t="inlineStr">
        <is>
          <t>https://novopsych.com/assessments/formulation/perfectionistic-cognitions-inventory-pci/</t>
        </is>
      </c>
    </row>
    <row r="222" ht="23.85" customHeight="1" s="17">
      <c r="A222" s="27" t="inlineStr">
        <is>
          <t>PCI</t>
        </is>
      </c>
      <c r="B222" s="27" t="inlineStr">
        <is>
          <t>Perfectionism Cognitions Inventory</t>
        </is>
      </c>
      <c r="C222" s="27" t="inlineStr">
        <is>
          <t>5. Repetitive negative thinking and self talk</t>
        </is>
      </c>
      <c r="D222" s="28" t="n">
        <v>21</v>
      </c>
      <c r="E222" s="27" t="inlineStr">
        <is>
          <t>How well am I doing?</t>
        </is>
      </c>
      <c r="F222" s="27" t="inlineStr">
        <is>
          <t>Not stated on source</t>
        </is>
      </c>
      <c r="G222" s="27" t="inlineStr">
        <is>
          <t>FALSE</t>
        </is>
      </c>
      <c r="H222" s="27" t="inlineStr">
        <is>
          <t>FALSE</t>
        </is>
      </c>
      <c r="I222" s="27" t="inlineStr">
        <is>
          <t>Not At All = 0 | Sometimes = 1 | Moderately Often = 2 | Often = 3 | All of the time = 4</t>
        </is>
      </c>
      <c r="J222" s="27" t="n"/>
      <c r="K222" s="27" t="inlineStr">
        <is>
          <t>https://novopsych.com/assessments/formulation/perfectionistic-cognitions-inventory-pci/</t>
        </is>
      </c>
    </row>
    <row r="223" ht="23.85" customHeight="1" s="17">
      <c r="A223" s="27" t="inlineStr">
        <is>
          <t>PCI</t>
        </is>
      </c>
      <c r="B223" s="27" t="inlineStr">
        <is>
          <t>Perfectionism Cognitions Inventory</t>
        </is>
      </c>
      <c r="C223" s="27" t="inlineStr">
        <is>
          <t>5. Repetitive negative thinking and self talk</t>
        </is>
      </c>
      <c r="D223" s="28" t="n">
        <v>22</v>
      </c>
      <c r="E223" s="27" t="inlineStr">
        <is>
          <t>I can't do this perfectly</t>
        </is>
      </c>
      <c r="F223" s="27" t="inlineStr">
        <is>
          <t>Not stated on source</t>
        </is>
      </c>
      <c r="G223" s="27" t="inlineStr">
        <is>
          <t>FALSE</t>
        </is>
      </c>
      <c r="H223" s="27" t="inlineStr">
        <is>
          <t>FALSE</t>
        </is>
      </c>
      <c r="I223" s="27" t="inlineStr">
        <is>
          <t>Not At All = 0 | Sometimes = 1 | Moderately Often = 2 | Often = 3 | All of the time = 4</t>
        </is>
      </c>
      <c r="J223" s="27" t="n"/>
      <c r="K223" s="27" t="inlineStr">
        <is>
          <t>https://novopsych.com/assessments/formulation/perfectionistic-cognitions-inventory-pci/</t>
        </is>
      </c>
    </row>
    <row r="224" ht="23.85" customHeight="1" s="17">
      <c r="A224" s="27" t="inlineStr">
        <is>
          <t>PCI</t>
        </is>
      </c>
      <c r="B224" s="27" t="inlineStr">
        <is>
          <t>Perfectionism Cognitions Inventory</t>
        </is>
      </c>
      <c r="C224" s="27" t="inlineStr">
        <is>
          <t>5. Repetitive negative thinking and self talk</t>
        </is>
      </c>
      <c r="D224" s="28" t="n">
        <v>23</v>
      </c>
      <c r="E224" s="27" t="inlineStr">
        <is>
          <t>I certainly have high standards</t>
        </is>
      </c>
      <c r="F224" s="27" t="inlineStr">
        <is>
          <t>Not stated on source</t>
        </is>
      </c>
      <c r="G224" s="27" t="inlineStr">
        <is>
          <t>FALSE</t>
        </is>
      </c>
      <c r="H224" s="27" t="inlineStr">
        <is>
          <t>FALSE</t>
        </is>
      </c>
      <c r="I224" s="27" t="inlineStr">
        <is>
          <t>Not At All = 0 | Sometimes = 1 | Moderately Often = 2 | Often = 3 | All of the time = 4</t>
        </is>
      </c>
      <c r="J224" s="27" t="n"/>
      <c r="K224" s="27" t="inlineStr">
        <is>
          <t>https://novopsych.com/assessments/formulation/perfectionistic-cognitions-inventory-pci/</t>
        </is>
      </c>
    </row>
    <row r="225" ht="23.85" customHeight="1" s="17">
      <c r="A225" s="27" t="inlineStr">
        <is>
          <t>PCI</t>
        </is>
      </c>
      <c r="B225" s="27" t="inlineStr">
        <is>
          <t>Perfectionism Cognitions Inventory</t>
        </is>
      </c>
      <c r="C225" s="27" t="inlineStr">
        <is>
          <t>5. Repetitive negative thinking and self talk</t>
        </is>
      </c>
      <c r="D225" s="28" t="n">
        <v>24</v>
      </c>
      <c r="E225" s="27" t="inlineStr">
        <is>
          <t>Maybe I should lower my goals</t>
        </is>
      </c>
      <c r="F225" s="27" t="inlineStr">
        <is>
          <t>Not stated on source</t>
        </is>
      </c>
      <c r="G225" s="27" t="inlineStr">
        <is>
          <t>FALSE</t>
        </is>
      </c>
      <c r="H225" s="27" t="inlineStr">
        <is>
          <t>FALSE</t>
        </is>
      </c>
      <c r="I225" s="27" t="inlineStr">
        <is>
          <t>Not At All = 0 | Sometimes = 1 | Moderately Often = 2 | Often = 3 | All of the time = 4</t>
        </is>
      </c>
      <c r="J225" s="27" t="n"/>
      <c r="K225" s="27" t="inlineStr">
        <is>
          <t>https://novopsych.com/assessments/formulation/perfectionistic-cognitions-inventory-pci/</t>
        </is>
      </c>
    </row>
    <row r="226" ht="23.85" customHeight="1" s="17">
      <c r="A226" s="27" t="inlineStr">
        <is>
          <t>PCI</t>
        </is>
      </c>
      <c r="B226" s="27" t="inlineStr">
        <is>
          <t>Perfectionism Cognitions Inventory</t>
        </is>
      </c>
      <c r="C226" s="27" t="inlineStr">
        <is>
          <t>5. Repetitive negative thinking and self talk</t>
        </is>
      </c>
      <c r="D226" s="28" t="n">
        <v>25</v>
      </c>
      <c r="E226" s="27" t="inlineStr">
        <is>
          <t>I am too much of a perfectionist</t>
        </is>
      </c>
      <c r="F226" s="27" t="inlineStr">
        <is>
          <t>Not stated on source</t>
        </is>
      </c>
      <c r="G226" s="27" t="inlineStr">
        <is>
          <t>FALSE</t>
        </is>
      </c>
      <c r="H226" s="27" t="inlineStr">
        <is>
          <t>FALSE</t>
        </is>
      </c>
      <c r="I226" s="27" t="inlineStr">
        <is>
          <t>Not At All = 0 | Sometimes = 1 | Moderately Often = 2 | Often = 3 | All of the time = 4</t>
        </is>
      </c>
      <c r="J226" s="27" t="n"/>
      <c r="K226" s="27" t="inlineStr">
        <is>
          <t>https://novopsych.com/assessments/formulation/perfectionistic-cognitions-inventory-pci/</t>
        </is>
      </c>
    </row>
    <row r="227" ht="23.85" customHeight="1" s="17">
      <c r="A227" s="27" t="inlineStr">
        <is>
          <t>SCS-SF</t>
        </is>
      </c>
      <c r="B227" s="27" t="inlineStr">
        <is>
          <t>Self-Compassion Scale – Short Form</t>
        </is>
      </c>
      <c r="C227" s="27" t="inlineStr">
        <is>
          <t>5. Repetitive negative thinking and self talk</t>
        </is>
      </c>
      <c r="D227" s="28" t="n">
        <v>1</v>
      </c>
      <c r="E227" s="27" t="inlineStr">
        <is>
          <t>When I fail at something important to me I become consumed by feelings of inadequacy.</t>
        </is>
      </c>
      <c r="F227" s="27" t="inlineStr">
        <is>
          <t>Over-Identification</t>
        </is>
      </c>
      <c r="G227" s="34" t="inlineStr">
        <is>
          <t>TRUE</t>
        </is>
      </c>
      <c r="H227" s="27" t="inlineStr">
        <is>
          <t>FALSE</t>
        </is>
      </c>
      <c r="I227" s="27" t="inlineStr">
        <is>
          <t>Almost never = 1 | 2 = 2 | 3 = 3 | 4 = 4 | Almost always = 5</t>
        </is>
      </c>
      <c r="J227" s="27" t="n"/>
      <c r="K227" s="27" t="inlineStr">
        <is>
          <t>https://self-compassion.org/wp-content/uploads/2015/02/ShortSCS.pdf</t>
        </is>
      </c>
    </row>
    <row r="228" ht="23.85" customHeight="1" s="17">
      <c r="A228" s="27" t="inlineStr">
        <is>
          <t>SCS-SF</t>
        </is>
      </c>
      <c r="B228" s="27" t="inlineStr">
        <is>
          <t>Self-Compassion Scale – Short Form</t>
        </is>
      </c>
      <c r="C228" s="27" t="inlineStr">
        <is>
          <t>5. Repetitive negative thinking and self talk</t>
        </is>
      </c>
      <c r="D228" s="28" t="n">
        <v>2</v>
      </c>
      <c r="E228" s="27" t="inlineStr">
        <is>
          <t>I try to be understanding and patient towards those aspects of my personality I don't like.</t>
        </is>
      </c>
      <c r="F228" s="27" t="inlineStr">
        <is>
          <t>Self-Kindness</t>
        </is>
      </c>
      <c r="G228" s="27" t="inlineStr">
        <is>
          <t>FALSE</t>
        </is>
      </c>
      <c r="H228" s="27" t="inlineStr">
        <is>
          <t>FALSE</t>
        </is>
      </c>
      <c r="I228" s="27" t="inlineStr">
        <is>
          <t>Almost never = 1 | 2 = 2 | 3 = 3 | 4 = 4 | Almost always = 5</t>
        </is>
      </c>
      <c r="J228" s="27" t="n"/>
      <c r="K228" s="27" t="inlineStr">
        <is>
          <t>https://self-compassion.org/wp-content/uploads/2015/02/ShortSCS.pdf</t>
        </is>
      </c>
    </row>
    <row r="229" ht="23.85" customHeight="1" s="17">
      <c r="A229" s="27" t="inlineStr">
        <is>
          <t>SCS-SF</t>
        </is>
      </c>
      <c r="B229" s="27" t="inlineStr">
        <is>
          <t>Self-Compassion Scale – Short Form</t>
        </is>
      </c>
      <c r="C229" s="27" t="inlineStr">
        <is>
          <t>5. Repetitive negative thinking and self talk</t>
        </is>
      </c>
      <c r="D229" s="28" t="n">
        <v>3</v>
      </c>
      <c r="E229" s="27" t="inlineStr">
        <is>
          <t>When something painful happens I try to take a balanced view of the situation.</t>
        </is>
      </c>
      <c r="F229" s="27" t="inlineStr">
        <is>
          <t>Mindfulness</t>
        </is>
      </c>
      <c r="G229" s="27" t="inlineStr">
        <is>
          <t>FALSE</t>
        </is>
      </c>
      <c r="H229" s="27" t="inlineStr">
        <is>
          <t>FALSE</t>
        </is>
      </c>
      <c r="I229" s="27" t="inlineStr">
        <is>
          <t>Almost never = 1 | 2 = 2 | 3 = 3 | 4 = 4 | Almost always = 5</t>
        </is>
      </c>
      <c r="J229" s="27" t="n"/>
      <c r="K229" s="27" t="inlineStr">
        <is>
          <t>https://self-compassion.org/wp-content/uploads/2015/02/ShortSCS.pdf</t>
        </is>
      </c>
    </row>
    <row r="230" ht="23.85" customHeight="1" s="17">
      <c r="A230" s="27" t="inlineStr">
        <is>
          <t>SCS-SF</t>
        </is>
      </c>
      <c r="B230" s="27" t="inlineStr">
        <is>
          <t>Self-Compassion Scale – Short Form</t>
        </is>
      </c>
      <c r="C230" s="27" t="inlineStr">
        <is>
          <t>5. Repetitive negative thinking and self talk</t>
        </is>
      </c>
      <c r="D230" s="28" t="n">
        <v>4</v>
      </c>
      <c r="E230" s="27" t="inlineStr">
        <is>
          <t>When I'm feeling down, I tend to feel like most other people are probably happier than I am.</t>
        </is>
      </c>
      <c r="F230" s="27" t="inlineStr">
        <is>
          <t>Isolation</t>
        </is>
      </c>
      <c r="G230" s="34" t="inlineStr">
        <is>
          <t>TRUE</t>
        </is>
      </c>
      <c r="H230" s="27" t="inlineStr">
        <is>
          <t>FALSE</t>
        </is>
      </c>
      <c r="I230" s="27" t="inlineStr">
        <is>
          <t>Almost never = 1 | 2 = 2 | 3 = 3 | 4 = 4 | Almost always = 5</t>
        </is>
      </c>
      <c r="J230" s="27" t="n"/>
      <c r="K230" s="27" t="inlineStr">
        <is>
          <t>https://self-compassion.org/wp-content/uploads/2015/02/ShortSCS.pdf</t>
        </is>
      </c>
    </row>
    <row r="231" ht="23.85" customHeight="1" s="17">
      <c r="A231" s="27" t="inlineStr">
        <is>
          <t>SCS-SF</t>
        </is>
      </c>
      <c r="B231" s="27" t="inlineStr">
        <is>
          <t>Self-Compassion Scale – Short Form</t>
        </is>
      </c>
      <c r="C231" s="27" t="inlineStr">
        <is>
          <t>5. Repetitive negative thinking and self talk</t>
        </is>
      </c>
      <c r="D231" s="28" t="n">
        <v>5</v>
      </c>
      <c r="E231" s="27" t="inlineStr">
        <is>
          <t>I try to see my failings as part of the human condition.</t>
        </is>
      </c>
      <c r="F231" s="27" t="inlineStr">
        <is>
          <t>Common Humanity</t>
        </is>
      </c>
      <c r="G231" s="27" t="inlineStr">
        <is>
          <t>FALSE</t>
        </is>
      </c>
      <c r="H231" s="27" t="inlineStr">
        <is>
          <t>FALSE</t>
        </is>
      </c>
      <c r="I231" s="27" t="inlineStr">
        <is>
          <t>Almost never = 1 | 2 = 2 | 3 = 3 | 4 = 4 | Almost always = 5</t>
        </is>
      </c>
      <c r="J231" s="27" t="n"/>
      <c r="K231" s="27" t="inlineStr">
        <is>
          <t>https://self-compassion.org/wp-content/uploads/2015/02/ShortSCS.pdf</t>
        </is>
      </c>
    </row>
    <row r="232" ht="23.85" customHeight="1" s="17">
      <c r="A232" s="27" t="inlineStr">
        <is>
          <t>SCS-SF</t>
        </is>
      </c>
      <c r="B232" s="27" t="inlineStr">
        <is>
          <t>Self-Compassion Scale – Short Form</t>
        </is>
      </c>
      <c r="C232" s="27" t="inlineStr">
        <is>
          <t>5. Repetitive negative thinking and self talk</t>
        </is>
      </c>
      <c r="D232" s="28" t="n">
        <v>6</v>
      </c>
      <c r="E232" s="27" t="inlineStr">
        <is>
          <t>When I'm going through a very hard time, I give myself the caring and tenderness I need.</t>
        </is>
      </c>
      <c r="F232" s="27" t="inlineStr">
        <is>
          <t>Self-Kindness</t>
        </is>
      </c>
      <c r="G232" s="27" t="inlineStr">
        <is>
          <t>FALSE</t>
        </is>
      </c>
      <c r="H232" s="27" t="inlineStr">
        <is>
          <t>FALSE</t>
        </is>
      </c>
      <c r="I232" s="27" t="inlineStr">
        <is>
          <t>Almost never = 1 | 2 = 2 | 3 = 3 | 4 = 4 | Almost always = 5</t>
        </is>
      </c>
      <c r="J232" s="27" t="n"/>
      <c r="K232" s="27" t="inlineStr">
        <is>
          <t>https://self-compassion.org/wp-content/uploads/2015/02/ShortSCS.pdf</t>
        </is>
      </c>
    </row>
    <row r="233" ht="23.85" customHeight="1" s="17">
      <c r="A233" s="27" t="inlineStr">
        <is>
          <t>SCS-SF</t>
        </is>
      </c>
      <c r="B233" s="27" t="inlineStr">
        <is>
          <t>Self-Compassion Scale – Short Form</t>
        </is>
      </c>
      <c r="C233" s="27" t="inlineStr">
        <is>
          <t>5. Repetitive negative thinking and self talk</t>
        </is>
      </c>
      <c r="D233" s="28" t="n">
        <v>7</v>
      </c>
      <c r="E233" s="27" t="inlineStr">
        <is>
          <t>When something upsets me I try to keep my emotions in balance.</t>
        </is>
      </c>
      <c r="F233" s="27" t="inlineStr">
        <is>
          <t>Mindfulness</t>
        </is>
      </c>
      <c r="G233" s="27" t="inlineStr">
        <is>
          <t>FALSE</t>
        </is>
      </c>
      <c r="H233" s="27" t="inlineStr">
        <is>
          <t>FALSE</t>
        </is>
      </c>
      <c r="I233" s="27" t="inlineStr">
        <is>
          <t>Almost never = 1 | 2 = 2 | 3 = 3 | 4 = 4 | Almost always = 5</t>
        </is>
      </c>
      <c r="J233" s="27" t="n"/>
      <c r="K233" s="27" t="inlineStr">
        <is>
          <t>https://self-compassion.org/wp-content/uploads/2015/02/ShortSCS.pdf</t>
        </is>
      </c>
    </row>
    <row r="234" ht="23.85" customHeight="1" s="17">
      <c r="A234" s="27" t="inlineStr">
        <is>
          <t>SCS-SF</t>
        </is>
      </c>
      <c r="B234" s="27" t="inlineStr">
        <is>
          <t>Self-Compassion Scale – Short Form</t>
        </is>
      </c>
      <c r="C234" s="27" t="inlineStr">
        <is>
          <t>5. Repetitive negative thinking and self talk</t>
        </is>
      </c>
      <c r="D234" s="28" t="n">
        <v>8</v>
      </c>
      <c r="E234" s="27" t="inlineStr">
        <is>
          <t>When I fail at something that's important to me, I tend to feel alone in my failure.</t>
        </is>
      </c>
      <c r="F234" s="27" t="inlineStr">
        <is>
          <t>Isolation</t>
        </is>
      </c>
      <c r="G234" s="34" t="inlineStr">
        <is>
          <t>TRUE</t>
        </is>
      </c>
      <c r="H234" s="27" t="inlineStr">
        <is>
          <t>FALSE</t>
        </is>
      </c>
      <c r="I234" s="27" t="inlineStr">
        <is>
          <t>Almost never = 1 | 2 = 2 | 3 = 3 | 4 = 4 | Almost always = 5</t>
        </is>
      </c>
      <c r="J234" s="27" t="n"/>
      <c r="K234" s="27" t="inlineStr">
        <is>
          <t>https://self-compassion.org/wp-content/uploads/2015/02/ShortSCS.pdf</t>
        </is>
      </c>
    </row>
    <row r="235" ht="23.85" customHeight="1" s="17">
      <c r="A235" s="27" t="inlineStr">
        <is>
          <t>SCS-SF</t>
        </is>
      </c>
      <c r="B235" s="27" t="inlineStr">
        <is>
          <t>Self-Compassion Scale – Short Form</t>
        </is>
      </c>
      <c r="C235" s="27" t="inlineStr">
        <is>
          <t>5. Repetitive negative thinking and self talk</t>
        </is>
      </c>
      <c r="D235" s="28" t="n">
        <v>9</v>
      </c>
      <c r="E235" s="27" t="inlineStr">
        <is>
          <t>When I'm feeling down I tend to obsess and fixate on everything that's wrong.</t>
        </is>
      </c>
      <c r="F235" s="27" t="inlineStr">
        <is>
          <t>Over-Identification</t>
        </is>
      </c>
      <c r="G235" s="34" t="inlineStr">
        <is>
          <t>TRUE</t>
        </is>
      </c>
      <c r="H235" s="27" t="inlineStr">
        <is>
          <t>FALSE</t>
        </is>
      </c>
      <c r="I235" s="27" t="inlineStr">
        <is>
          <t>Almost never = 1 | 2 = 2 | 3 = 3 | 4 = 4 | Almost always = 5</t>
        </is>
      </c>
      <c r="J235" s="27" t="n"/>
      <c r="K235" s="27" t="inlineStr">
        <is>
          <t>https://self-compassion.org/wp-content/uploads/2015/02/ShortSCS.pdf</t>
        </is>
      </c>
    </row>
    <row r="236" ht="23.85" customHeight="1" s="17">
      <c r="A236" s="27" t="inlineStr">
        <is>
          <t>SCS-SF</t>
        </is>
      </c>
      <c r="B236" s="27" t="inlineStr">
        <is>
          <t>Self-Compassion Scale – Short Form</t>
        </is>
      </c>
      <c r="C236" s="27" t="inlineStr">
        <is>
          <t>5. Repetitive negative thinking and self talk</t>
        </is>
      </c>
      <c r="D236" s="28" t="n">
        <v>10</v>
      </c>
      <c r="E236" s="27" t="inlineStr">
        <is>
          <t>When I feel inadequate in some way, I try to remind myself that feelings of inadequacy are shared by most people.</t>
        </is>
      </c>
      <c r="F236" s="27" t="inlineStr">
        <is>
          <t>Common Humanity</t>
        </is>
      </c>
      <c r="G236" s="27" t="inlineStr">
        <is>
          <t>FALSE</t>
        </is>
      </c>
      <c r="H236" s="27" t="inlineStr">
        <is>
          <t>FALSE</t>
        </is>
      </c>
      <c r="I236" s="27" t="inlineStr">
        <is>
          <t>Almost never = 1 | 2 = 2 | 3 = 3 | 4 = 4 | Almost always = 5</t>
        </is>
      </c>
      <c r="J236" s="27" t="n"/>
      <c r="K236" s="27" t="inlineStr">
        <is>
          <t>https://self-compassion.org/wp-content/uploads/2015/02/ShortSCS.pdf</t>
        </is>
      </c>
    </row>
    <row r="237" ht="23.85" customHeight="1" s="17">
      <c r="A237" s="27" t="inlineStr">
        <is>
          <t>SCS-SF</t>
        </is>
      </c>
      <c r="B237" s="27" t="inlineStr">
        <is>
          <t>Self-Compassion Scale – Short Form</t>
        </is>
      </c>
      <c r="C237" s="27" t="inlineStr">
        <is>
          <t>5. Repetitive negative thinking and self talk</t>
        </is>
      </c>
      <c r="D237" s="28" t="n">
        <v>11</v>
      </c>
      <c r="E237" s="27" t="inlineStr">
        <is>
          <t>I'm disapproving and judgmental about my own flaws and inadequacies.</t>
        </is>
      </c>
      <c r="F237" s="27" t="inlineStr">
        <is>
          <t>Self-Judgment</t>
        </is>
      </c>
      <c r="G237" s="34" t="inlineStr">
        <is>
          <t>TRUE</t>
        </is>
      </c>
      <c r="H237" s="27" t="inlineStr">
        <is>
          <t>FALSE</t>
        </is>
      </c>
      <c r="I237" s="27" t="inlineStr">
        <is>
          <t>Almost never = 1 | 2 = 2 | 3 = 3 | 4 = 4 | Almost always = 5</t>
        </is>
      </c>
      <c r="J237" s="27" t="n"/>
      <c r="K237" s="27" t="inlineStr">
        <is>
          <t>https://self-compassion.org/wp-content/uploads/2015/02/ShortSCS.pdf</t>
        </is>
      </c>
    </row>
    <row r="238" ht="23.85" customHeight="1" s="17">
      <c r="A238" s="27" t="inlineStr">
        <is>
          <t>SCS-SF</t>
        </is>
      </c>
      <c r="B238" s="27" t="inlineStr">
        <is>
          <t>Self-Compassion Scale – Short Form</t>
        </is>
      </c>
      <c r="C238" s="27" t="inlineStr">
        <is>
          <t>5. Repetitive negative thinking and self talk</t>
        </is>
      </c>
      <c r="D238" s="28" t="n">
        <v>12</v>
      </c>
      <c r="E238" s="27" t="inlineStr">
        <is>
          <t>I'm intolerant and impatient towards those aspects of my personality I don't like.</t>
        </is>
      </c>
      <c r="F238" s="27" t="inlineStr">
        <is>
          <t>Self-Judgment</t>
        </is>
      </c>
      <c r="G238" s="34" t="inlineStr">
        <is>
          <t>TRUE</t>
        </is>
      </c>
      <c r="H238" s="27" t="inlineStr">
        <is>
          <t>FALSE</t>
        </is>
      </c>
      <c r="I238" s="27" t="inlineStr">
        <is>
          <t>Almost never = 1 | 2 = 2 | 3 = 3 | 4 = 4 | Almost always = 5</t>
        </is>
      </c>
      <c r="J238" s="27" t="n"/>
      <c r="K238" s="27" t="inlineStr">
        <is>
          <t>https://self-compassion.org/wp-content/uploads/2015/02/ShortSCS.pdf</t>
        </is>
      </c>
    </row>
    <row r="239" ht="23.85" customHeight="1" s="17">
      <c r="A239" s="27" t="inlineStr">
        <is>
          <t>BPNSFS</t>
        </is>
      </c>
      <c r="B239" s="27" t="inlineStr">
        <is>
          <t>Basic Psychological Need Satisfaction and Frustration Scale (BPNSFS)</t>
        </is>
      </c>
      <c r="C239" s="27" t="inlineStr">
        <is>
          <t>6. Motivation, self determination and goal pursuit</t>
        </is>
      </c>
      <c r="D239" s="28" t="n">
        <v>1</v>
      </c>
      <c r="E239" s="27" t="inlineStr">
        <is>
          <t>I feel a sense of choice and freedom in the things I undertake.</t>
        </is>
      </c>
      <c r="F239" s="27" t="inlineStr">
        <is>
          <t>Autonomy satisfaction</t>
        </is>
      </c>
      <c r="G239" s="27" t="inlineStr">
        <is>
          <t>FALSE</t>
        </is>
      </c>
      <c r="H239" s="27" t="inlineStr">
        <is>
          <t>FALSE</t>
        </is>
      </c>
      <c r="I239" s="27" t="inlineStr">
        <is>
          <t>Not true at all = 1 | 2 = 2 | 3 = 3 | 4 = 4 | Completely true = 5</t>
        </is>
      </c>
      <c r="J239" s="27" t="n"/>
      <c r="K239" s="27" t="inlineStr">
        <is>
          <t>https://selfdeterminationtheory.org/basic-psychological-need-satisfaction-and-frustration-scale/</t>
        </is>
      </c>
    </row>
    <row r="240" ht="23.85" customHeight="1" s="17">
      <c r="A240" s="27" t="inlineStr">
        <is>
          <t>BPNSFS</t>
        </is>
      </c>
      <c r="B240" s="27" t="inlineStr">
        <is>
          <t>Basic Psychological Need Satisfaction and Frustration Scale (BPNSFS)</t>
        </is>
      </c>
      <c r="C240" s="27" t="inlineStr">
        <is>
          <t>6. Motivation, self determination and goal pursuit</t>
        </is>
      </c>
      <c r="D240" s="28" t="n">
        <v>2</v>
      </c>
      <c r="E240" s="27" t="inlineStr">
        <is>
          <t>Most of the things I do feel like "I have to".</t>
        </is>
      </c>
      <c r="F240" s="27" t="inlineStr">
        <is>
          <t>Autonomy frustration</t>
        </is>
      </c>
      <c r="G240" s="27" t="inlineStr">
        <is>
          <t>FALSE</t>
        </is>
      </c>
      <c r="H240" s="27" t="inlineStr">
        <is>
          <t>FALSE</t>
        </is>
      </c>
      <c r="I240" s="27" t="inlineStr">
        <is>
          <t>Not true at all = 1 | 2 = 2 | 3 = 3 | 4 = 4 | Completely true = 5</t>
        </is>
      </c>
      <c r="J240" s="27" t="n"/>
      <c r="K240" s="27" t="inlineStr">
        <is>
          <t>https://selfdeterminationtheory.org/basic-psychological-need-satisfaction-and-frustration-scale/</t>
        </is>
      </c>
    </row>
    <row r="241" ht="23.85" customHeight="1" s="17">
      <c r="A241" s="27" t="inlineStr">
        <is>
          <t>BPNSFS</t>
        </is>
      </c>
      <c r="B241" s="27" t="inlineStr">
        <is>
          <t>Basic Psychological Need Satisfaction and Frustration Scale (BPNSFS)</t>
        </is>
      </c>
      <c r="C241" s="27" t="inlineStr">
        <is>
          <t>6. Motivation, self determination and goal pursuit</t>
        </is>
      </c>
      <c r="D241" s="28" t="n">
        <v>3</v>
      </c>
      <c r="E241" s="27" t="inlineStr">
        <is>
          <t>I feel that the people I care about also care about me.</t>
        </is>
      </c>
      <c r="F241" s="27" t="inlineStr">
        <is>
          <t>Relatedness satisfaction</t>
        </is>
      </c>
      <c r="G241" s="27" t="inlineStr">
        <is>
          <t>FALSE</t>
        </is>
      </c>
      <c r="H241" s="27" t="inlineStr">
        <is>
          <t>FALSE</t>
        </is>
      </c>
      <c r="I241" s="27" t="inlineStr">
        <is>
          <t>Not true at all = 1 | 2 = 2 | 3 = 3 | 4 = 4 | Completely true = 5</t>
        </is>
      </c>
      <c r="J241" s="27" t="n"/>
      <c r="K241" s="27" t="inlineStr">
        <is>
          <t>https://selfdeterminationtheory.org/basic-psychological-need-satisfaction-and-frustration-scale/</t>
        </is>
      </c>
    </row>
    <row r="242" ht="23.85" customHeight="1" s="17">
      <c r="A242" s="27" t="inlineStr">
        <is>
          <t>BPNSFS</t>
        </is>
      </c>
      <c r="B242" s="27" t="inlineStr">
        <is>
          <t>Basic Psychological Need Satisfaction and Frustration Scale (BPNSFS)</t>
        </is>
      </c>
      <c r="C242" s="27" t="inlineStr">
        <is>
          <t>6. Motivation, self determination and goal pursuit</t>
        </is>
      </c>
      <c r="D242" s="28" t="n">
        <v>4</v>
      </c>
      <c r="E242" s="27" t="inlineStr">
        <is>
          <t>I feel excluded from the group I want to belong to.</t>
        </is>
      </c>
      <c r="F242" s="27" t="inlineStr">
        <is>
          <t>Relatedness frustration</t>
        </is>
      </c>
      <c r="G242" s="27" t="inlineStr">
        <is>
          <t>FALSE</t>
        </is>
      </c>
      <c r="H242" s="27" t="inlineStr">
        <is>
          <t>FALSE</t>
        </is>
      </c>
      <c r="I242" s="27" t="inlineStr">
        <is>
          <t>Not true at all = 1 | 2 = 2 | 3 = 3 | 4 = 4 | Completely true = 5</t>
        </is>
      </c>
      <c r="J242" s="27" t="n"/>
      <c r="K242" s="27" t="inlineStr">
        <is>
          <t>https://selfdeterminationtheory.org/basic-psychological-need-satisfaction-and-frustration-scale/</t>
        </is>
      </c>
    </row>
    <row r="243" ht="23.85" customHeight="1" s="17">
      <c r="A243" s="27" t="inlineStr">
        <is>
          <t>BPNSFS</t>
        </is>
      </c>
      <c r="B243" s="27" t="inlineStr">
        <is>
          <t>Basic Psychological Need Satisfaction and Frustration Scale (BPNSFS)</t>
        </is>
      </c>
      <c r="C243" s="27" t="inlineStr">
        <is>
          <t>6. Motivation, self determination and goal pursuit</t>
        </is>
      </c>
      <c r="D243" s="28" t="n">
        <v>5</v>
      </c>
      <c r="E243" s="27" t="inlineStr">
        <is>
          <t>I feel confident that I can do things well.</t>
        </is>
      </c>
      <c r="F243" s="27" t="inlineStr">
        <is>
          <t>Competence satisfaction</t>
        </is>
      </c>
      <c r="G243" s="27" t="inlineStr">
        <is>
          <t>FALSE</t>
        </is>
      </c>
      <c r="H243" s="27" t="inlineStr">
        <is>
          <t>FALSE</t>
        </is>
      </c>
      <c r="I243" s="27" t="inlineStr">
        <is>
          <t>Not true at all = 1 | 2 = 2 | 3 = 3 | 4 = 4 | Completely true = 5</t>
        </is>
      </c>
      <c r="J243" s="27" t="n"/>
      <c r="K243" s="27" t="inlineStr">
        <is>
          <t>https://selfdeterminationtheory.org/basic-psychological-need-satisfaction-and-frustration-scale/</t>
        </is>
      </c>
    </row>
    <row r="244" ht="23.85" customHeight="1" s="17">
      <c r="A244" s="27" t="inlineStr">
        <is>
          <t>BPNSFS</t>
        </is>
      </c>
      <c r="B244" s="27" t="inlineStr">
        <is>
          <t>Basic Psychological Need Satisfaction and Frustration Scale (BPNSFS)</t>
        </is>
      </c>
      <c r="C244" s="27" t="inlineStr">
        <is>
          <t>6. Motivation, self determination and goal pursuit</t>
        </is>
      </c>
      <c r="D244" s="28" t="n">
        <v>6</v>
      </c>
      <c r="E244" s="27" t="inlineStr">
        <is>
          <t>I have serious doubts about whether I can do things well.</t>
        </is>
      </c>
      <c r="F244" s="27" t="inlineStr">
        <is>
          <t>Competence frustration</t>
        </is>
      </c>
      <c r="G244" s="27" t="inlineStr">
        <is>
          <t>FALSE</t>
        </is>
      </c>
      <c r="H244" s="27" t="inlineStr">
        <is>
          <t>FALSE</t>
        </is>
      </c>
      <c r="I244" s="27" t="inlineStr">
        <is>
          <t>Not true at all = 1 | 2 = 2 | 3 = 3 | 4 = 4 | Completely true = 5</t>
        </is>
      </c>
      <c r="J244" s="27" t="n"/>
      <c r="K244" s="27" t="inlineStr">
        <is>
          <t>https://selfdeterminationtheory.org/basic-psychological-need-satisfaction-and-frustration-scale/</t>
        </is>
      </c>
    </row>
    <row r="245" ht="23.85" customHeight="1" s="17">
      <c r="A245" s="27" t="inlineStr">
        <is>
          <t>BPNSFS</t>
        </is>
      </c>
      <c r="B245" s="27" t="inlineStr">
        <is>
          <t>Basic Psychological Need Satisfaction and Frustration Scale (BPNSFS)</t>
        </is>
      </c>
      <c r="C245" s="27" t="inlineStr">
        <is>
          <t>6. Motivation, self determination and goal pursuit</t>
        </is>
      </c>
      <c r="D245" s="28" t="n">
        <v>7</v>
      </c>
      <c r="E245" s="27" t="inlineStr">
        <is>
          <t>I feel that my decisions reflect what I really want.</t>
        </is>
      </c>
      <c r="F245" s="27" t="inlineStr">
        <is>
          <t>Autonomy satisfaction</t>
        </is>
      </c>
      <c r="G245" s="27" t="inlineStr">
        <is>
          <t>FALSE</t>
        </is>
      </c>
      <c r="H245" s="27" t="inlineStr">
        <is>
          <t>FALSE</t>
        </is>
      </c>
      <c r="I245" s="27" t="inlineStr">
        <is>
          <t>Not true at all = 1 | 2 = 2 | 3 = 3 | 4 = 4 | Completely true = 5</t>
        </is>
      </c>
      <c r="J245" s="27" t="n"/>
      <c r="K245" s="27" t="inlineStr">
        <is>
          <t>https://selfdeterminationtheory.org/basic-psychological-need-satisfaction-and-frustration-scale/</t>
        </is>
      </c>
    </row>
    <row r="246" ht="23.85" customHeight="1" s="17">
      <c r="A246" s="27" t="inlineStr">
        <is>
          <t>BPNSFS</t>
        </is>
      </c>
      <c r="B246" s="27" t="inlineStr">
        <is>
          <t>Basic Psychological Need Satisfaction and Frustration Scale (BPNSFS)</t>
        </is>
      </c>
      <c r="C246" s="27" t="inlineStr">
        <is>
          <t>6. Motivation, self determination and goal pursuit</t>
        </is>
      </c>
      <c r="D246" s="28" t="n">
        <v>8</v>
      </c>
      <c r="E246" s="27" t="inlineStr">
        <is>
          <t>I feel forced to do many things I wouldn't choose to do.</t>
        </is>
      </c>
      <c r="F246" s="27" t="inlineStr">
        <is>
          <t>Autonomy frustration</t>
        </is>
      </c>
      <c r="G246" s="27" t="inlineStr">
        <is>
          <t>FALSE</t>
        </is>
      </c>
      <c r="H246" s="27" t="inlineStr">
        <is>
          <t>FALSE</t>
        </is>
      </c>
      <c r="I246" s="27" t="inlineStr">
        <is>
          <t>Not true at all = 1 | 2 = 2 | 3 = 3 | 4 = 4 | Completely true = 5</t>
        </is>
      </c>
      <c r="J246" s="27" t="n"/>
      <c r="K246" s="27" t="inlineStr">
        <is>
          <t>https://selfdeterminationtheory.org/basic-psychological-need-satisfaction-and-frustration-scale/</t>
        </is>
      </c>
    </row>
    <row r="247" ht="23.85" customHeight="1" s="17">
      <c r="A247" s="27" t="inlineStr">
        <is>
          <t>BPNSFS</t>
        </is>
      </c>
      <c r="B247" s="27" t="inlineStr">
        <is>
          <t>Basic Psychological Need Satisfaction and Frustration Scale (BPNSFS)</t>
        </is>
      </c>
      <c r="C247" s="27" t="inlineStr">
        <is>
          <t>6. Motivation, self determination and goal pursuit</t>
        </is>
      </c>
      <c r="D247" s="28" t="n">
        <v>9</v>
      </c>
      <c r="E247" s="27" t="inlineStr">
        <is>
          <t>I feel connected with people who care for me, and for whom I care.</t>
        </is>
      </c>
      <c r="F247" s="27" t="inlineStr">
        <is>
          <t>Relatedness satisfaction</t>
        </is>
      </c>
      <c r="G247" s="27" t="inlineStr">
        <is>
          <t>FALSE</t>
        </is>
      </c>
      <c r="H247" s="27" t="inlineStr">
        <is>
          <t>FALSE</t>
        </is>
      </c>
      <c r="I247" s="27" t="inlineStr">
        <is>
          <t>Not true at all = 1 | 2 = 2 | 3 = 3 | 4 = 4 | Completely true = 5</t>
        </is>
      </c>
      <c r="J247" s="27" t="n"/>
      <c r="K247" s="27" t="inlineStr">
        <is>
          <t>https://selfdeterminationtheory.org/basic-psychological-need-satisfaction-and-frustration-scale/</t>
        </is>
      </c>
    </row>
    <row r="248" ht="23.85" customHeight="1" s="17">
      <c r="A248" s="27" t="inlineStr">
        <is>
          <t>BPNSFS</t>
        </is>
      </c>
      <c r="B248" s="27" t="inlineStr">
        <is>
          <t>Basic Psychological Need Satisfaction and Frustration Scale (BPNSFS)</t>
        </is>
      </c>
      <c r="C248" s="27" t="inlineStr">
        <is>
          <t>6. Motivation, self determination and goal pursuit</t>
        </is>
      </c>
      <c r="D248" s="28" t="n">
        <v>10</v>
      </c>
      <c r="E248" s="27" t="inlineStr">
        <is>
          <t>I feel that people who are important to me are cold and distant towards me.</t>
        </is>
      </c>
      <c r="F248" s="27" t="inlineStr">
        <is>
          <t>Relatedness frustration</t>
        </is>
      </c>
      <c r="G248" s="27" t="inlineStr">
        <is>
          <t>FALSE</t>
        </is>
      </c>
      <c r="H248" s="27" t="inlineStr">
        <is>
          <t>FALSE</t>
        </is>
      </c>
      <c r="I248" s="27" t="inlineStr">
        <is>
          <t>Not true at all = 1 | 2 = 2 | 3 = 3 | 4 = 4 | Completely true = 5</t>
        </is>
      </c>
      <c r="J248" s="27" t="n"/>
      <c r="K248" s="27" t="inlineStr">
        <is>
          <t>https://selfdeterminationtheory.org/basic-psychological-need-satisfaction-and-frustration-scale/</t>
        </is>
      </c>
    </row>
    <row r="249" ht="23.85" customHeight="1" s="17">
      <c r="A249" s="27" t="inlineStr">
        <is>
          <t>BPNSFS</t>
        </is>
      </c>
      <c r="B249" s="27" t="inlineStr">
        <is>
          <t>Basic Psychological Need Satisfaction and Frustration Scale (BPNSFS)</t>
        </is>
      </c>
      <c r="C249" s="27" t="inlineStr">
        <is>
          <t>6. Motivation, self determination and goal pursuit</t>
        </is>
      </c>
      <c r="D249" s="28" t="n">
        <v>11</v>
      </c>
      <c r="E249" s="27" t="inlineStr">
        <is>
          <t>I feel capable at what I do.</t>
        </is>
      </c>
      <c r="F249" s="27" t="inlineStr">
        <is>
          <t>Competence satisfaction</t>
        </is>
      </c>
      <c r="G249" s="27" t="inlineStr">
        <is>
          <t>FALSE</t>
        </is>
      </c>
      <c r="H249" s="27" t="inlineStr">
        <is>
          <t>FALSE</t>
        </is>
      </c>
      <c r="I249" s="27" t="inlineStr">
        <is>
          <t>Not true at all = 1 | 2 = 2 | 3 = 3 | 4 = 4 | Completely true = 5</t>
        </is>
      </c>
      <c r="J249" s="27" t="n"/>
      <c r="K249" s="27" t="inlineStr">
        <is>
          <t>https://selfdeterminationtheory.org/basic-psychological-need-satisfaction-and-frustration-scale/</t>
        </is>
      </c>
    </row>
    <row r="250" ht="23.85" customHeight="1" s="17">
      <c r="A250" s="27" t="inlineStr">
        <is>
          <t>BPNSFS</t>
        </is>
      </c>
      <c r="B250" s="27" t="inlineStr">
        <is>
          <t>Basic Psychological Need Satisfaction and Frustration Scale (BPNSFS)</t>
        </is>
      </c>
      <c r="C250" s="27" t="inlineStr">
        <is>
          <t>6. Motivation, self determination and goal pursuit</t>
        </is>
      </c>
      <c r="D250" s="28" t="n">
        <v>12</v>
      </c>
      <c r="E250" s="27" t="inlineStr">
        <is>
          <t>I feel disappointed with many of my performances.</t>
        </is>
      </c>
      <c r="F250" s="27" t="inlineStr">
        <is>
          <t>Competence frustration</t>
        </is>
      </c>
      <c r="G250" s="27" t="inlineStr">
        <is>
          <t>FALSE</t>
        </is>
      </c>
      <c r="H250" s="27" t="inlineStr">
        <is>
          <t>FALSE</t>
        </is>
      </c>
      <c r="I250" s="27" t="inlineStr">
        <is>
          <t>Not true at all = 1 | 2 = 2 | 3 = 3 | 4 = 4 | Completely true = 5</t>
        </is>
      </c>
      <c r="J250" s="27" t="n"/>
      <c r="K250" s="27" t="inlineStr">
        <is>
          <t>https://selfdeterminationtheory.org/basic-psychological-need-satisfaction-and-frustration-scale/</t>
        </is>
      </c>
    </row>
    <row r="251" ht="23.85" customHeight="1" s="17">
      <c r="A251" s="27" t="inlineStr">
        <is>
          <t>BPNSFS</t>
        </is>
      </c>
      <c r="B251" s="27" t="inlineStr">
        <is>
          <t>Basic Psychological Need Satisfaction and Frustration Scale (BPNSFS)</t>
        </is>
      </c>
      <c r="C251" s="27" t="inlineStr">
        <is>
          <t>6. Motivation, self determination and goal pursuit</t>
        </is>
      </c>
      <c r="D251" s="28" t="n">
        <v>13</v>
      </c>
      <c r="E251" s="27" t="inlineStr">
        <is>
          <t>I feel my choices express who I really am.</t>
        </is>
      </c>
      <c r="F251" s="27" t="inlineStr">
        <is>
          <t>Autonomy satisfaction</t>
        </is>
      </c>
      <c r="G251" s="27" t="inlineStr">
        <is>
          <t>FALSE</t>
        </is>
      </c>
      <c r="H251" s="27" t="inlineStr">
        <is>
          <t>FALSE</t>
        </is>
      </c>
      <c r="I251" s="27" t="inlineStr">
        <is>
          <t>Not true at all = 1 | 2 = 2 | 3 = 3 | 4 = 4 | Completely true = 5</t>
        </is>
      </c>
      <c r="J251" s="27" t="n"/>
      <c r="K251" s="27" t="inlineStr">
        <is>
          <t>https://selfdeterminationtheory.org/basic-psychological-need-satisfaction-and-frustration-scale/</t>
        </is>
      </c>
    </row>
    <row r="252" ht="23.85" customHeight="1" s="17">
      <c r="A252" s="27" t="inlineStr">
        <is>
          <t>BPNSFS</t>
        </is>
      </c>
      <c r="B252" s="27" t="inlineStr">
        <is>
          <t>Basic Psychological Need Satisfaction and Frustration Scale (BPNSFS)</t>
        </is>
      </c>
      <c r="C252" s="27" t="inlineStr">
        <is>
          <t>6. Motivation, self determination and goal pursuit</t>
        </is>
      </c>
      <c r="D252" s="28" t="n">
        <v>14</v>
      </c>
      <c r="E252" s="27" t="inlineStr">
        <is>
          <t>I feel pressured to do too many things.</t>
        </is>
      </c>
      <c r="F252" s="27" t="inlineStr">
        <is>
          <t>Autonomy frustration</t>
        </is>
      </c>
      <c r="G252" s="27" t="inlineStr">
        <is>
          <t>FALSE</t>
        </is>
      </c>
      <c r="H252" s="27" t="inlineStr">
        <is>
          <t>FALSE</t>
        </is>
      </c>
      <c r="I252" s="27" t="inlineStr">
        <is>
          <t>Not true at all = 1 | 2 = 2 | 3 = 3 | 4 = 4 | Completely true = 5</t>
        </is>
      </c>
      <c r="J252" s="27" t="n"/>
      <c r="K252" s="27" t="inlineStr">
        <is>
          <t>https://selfdeterminationtheory.org/basic-psychological-need-satisfaction-and-frustration-scale/</t>
        </is>
      </c>
    </row>
    <row r="253" ht="23.85" customHeight="1" s="17">
      <c r="A253" s="27" t="inlineStr">
        <is>
          <t>BPNSFS</t>
        </is>
      </c>
      <c r="B253" s="27" t="inlineStr">
        <is>
          <t>Basic Psychological Need Satisfaction and Frustration Scale (BPNSFS)</t>
        </is>
      </c>
      <c r="C253" s="27" t="inlineStr">
        <is>
          <t>6. Motivation, self determination and goal pursuit</t>
        </is>
      </c>
      <c r="D253" s="28" t="n">
        <v>15</v>
      </c>
      <c r="E253" s="27" t="inlineStr">
        <is>
          <t>I feel close and connected with other people who are important to me.</t>
        </is>
      </c>
      <c r="F253" s="27" t="inlineStr">
        <is>
          <t>Relatedness satisfaction</t>
        </is>
      </c>
      <c r="G253" s="27" t="inlineStr">
        <is>
          <t>FALSE</t>
        </is>
      </c>
      <c r="H253" s="27" t="inlineStr">
        <is>
          <t>FALSE</t>
        </is>
      </c>
      <c r="I253" s="27" t="inlineStr">
        <is>
          <t>Not true at all = 1 | 2 = 2 | 3 = 3 | 4 = 4 | Completely true = 5</t>
        </is>
      </c>
      <c r="J253" s="27" t="n"/>
      <c r="K253" s="27" t="inlineStr">
        <is>
          <t>https://selfdeterminationtheory.org/basic-psychological-need-satisfaction-and-frustration-scale/</t>
        </is>
      </c>
    </row>
    <row r="254" ht="23.85" customHeight="1" s="17">
      <c r="A254" s="27" t="inlineStr">
        <is>
          <t>BPNSFS</t>
        </is>
      </c>
      <c r="B254" s="27" t="inlineStr">
        <is>
          <t>Basic Psychological Need Satisfaction and Frustration Scale (BPNSFS)</t>
        </is>
      </c>
      <c r="C254" s="27" t="inlineStr">
        <is>
          <t>6. Motivation, self determination and goal pursuit</t>
        </is>
      </c>
      <c r="D254" s="28" t="n">
        <v>16</v>
      </c>
      <c r="E254" s="27" t="inlineStr">
        <is>
          <t>I have the impression that people I spend time with dislike me.</t>
        </is>
      </c>
      <c r="F254" s="27" t="inlineStr">
        <is>
          <t>Relatedness frustration</t>
        </is>
      </c>
      <c r="G254" s="27" t="inlineStr">
        <is>
          <t>FALSE</t>
        </is>
      </c>
      <c r="H254" s="27" t="inlineStr">
        <is>
          <t>FALSE</t>
        </is>
      </c>
      <c r="I254" s="27" t="inlineStr">
        <is>
          <t>Not true at all = 1 | 2 = 2 | 3 = 3 | 4 = 4 | Completely true = 5</t>
        </is>
      </c>
      <c r="J254" s="27" t="n"/>
      <c r="K254" s="27" t="inlineStr">
        <is>
          <t>https://selfdeterminationtheory.org/basic-psychological-need-satisfaction-and-frustration-scale/</t>
        </is>
      </c>
    </row>
    <row r="255" ht="23.85" customHeight="1" s="17">
      <c r="A255" s="27" t="inlineStr">
        <is>
          <t>BPNSFS</t>
        </is>
      </c>
      <c r="B255" s="27" t="inlineStr">
        <is>
          <t>Basic Psychological Need Satisfaction and Frustration Scale (BPNSFS)</t>
        </is>
      </c>
      <c r="C255" s="27" t="inlineStr">
        <is>
          <t>6. Motivation, self determination and goal pursuit</t>
        </is>
      </c>
      <c r="D255" s="28" t="n">
        <v>17</v>
      </c>
      <c r="E255" s="27" t="inlineStr">
        <is>
          <t>I feel competent to achieve my goals.</t>
        </is>
      </c>
      <c r="F255" s="27" t="inlineStr">
        <is>
          <t>Competence satisfaction</t>
        </is>
      </c>
      <c r="G255" s="27" t="inlineStr">
        <is>
          <t>FALSE</t>
        </is>
      </c>
      <c r="H255" s="27" t="inlineStr">
        <is>
          <t>FALSE</t>
        </is>
      </c>
      <c r="I255" s="27" t="inlineStr">
        <is>
          <t>Not true at all = 1 | 2 = 2 | 3 = 3 | 4 = 4 | Completely true = 5</t>
        </is>
      </c>
      <c r="J255" s="27" t="n"/>
      <c r="K255" s="27" t="inlineStr">
        <is>
          <t>https://selfdeterminationtheory.org/basic-psychological-need-satisfaction-and-frustration-scale/</t>
        </is>
      </c>
    </row>
    <row r="256" ht="23.85" customHeight="1" s="17">
      <c r="A256" s="27" t="inlineStr">
        <is>
          <t>BPNSFS</t>
        </is>
      </c>
      <c r="B256" s="27" t="inlineStr">
        <is>
          <t>Basic Psychological Need Satisfaction and Frustration Scale (BPNSFS)</t>
        </is>
      </c>
      <c r="C256" s="27" t="inlineStr">
        <is>
          <t>6. Motivation, self determination and goal pursuit</t>
        </is>
      </c>
      <c r="D256" s="28" t="n">
        <v>18</v>
      </c>
      <c r="E256" s="27" t="inlineStr">
        <is>
          <t>I feel insecure about my abilities.</t>
        </is>
      </c>
      <c r="F256" s="27" t="inlineStr">
        <is>
          <t>Competence frustration</t>
        </is>
      </c>
      <c r="G256" s="27" t="inlineStr">
        <is>
          <t>FALSE</t>
        </is>
      </c>
      <c r="H256" s="27" t="inlineStr">
        <is>
          <t>FALSE</t>
        </is>
      </c>
      <c r="I256" s="27" t="inlineStr">
        <is>
          <t>Not true at all = 1 | 2 = 2 | 3 = 3 | 4 = 4 | Completely true = 5</t>
        </is>
      </c>
      <c r="J256" s="27" t="n"/>
      <c r="K256" s="27" t="inlineStr">
        <is>
          <t>https://selfdeterminationtheory.org/basic-psychological-need-satisfaction-and-frustration-scale/</t>
        </is>
      </c>
    </row>
    <row r="257" ht="23.85" customHeight="1" s="17">
      <c r="A257" s="27" t="inlineStr">
        <is>
          <t>BPNSFS</t>
        </is>
      </c>
      <c r="B257" s="27" t="inlineStr">
        <is>
          <t>Basic Psychological Need Satisfaction and Frustration Scale (BPNSFS)</t>
        </is>
      </c>
      <c r="C257" s="27" t="inlineStr">
        <is>
          <t>6. Motivation, self determination and goal pursuit</t>
        </is>
      </c>
      <c r="D257" s="28" t="n">
        <v>19</v>
      </c>
      <c r="E257" s="27" t="inlineStr">
        <is>
          <t>I feel I have been doing what really interests me.</t>
        </is>
      </c>
      <c r="F257" s="27" t="inlineStr">
        <is>
          <t>Autonomy satisfaction</t>
        </is>
      </c>
      <c r="G257" s="27" t="inlineStr">
        <is>
          <t>FALSE</t>
        </is>
      </c>
      <c r="H257" s="27" t="inlineStr">
        <is>
          <t>FALSE</t>
        </is>
      </c>
      <c r="I257" s="27" t="inlineStr">
        <is>
          <t>Not true at all = 1 | 2 = 2 | 3 = 3 | 4 = 4 | Completely true = 5</t>
        </is>
      </c>
      <c r="J257" s="27" t="n"/>
      <c r="K257" s="27" t="inlineStr">
        <is>
          <t>https://selfdeterminationtheory.org/basic-psychological-need-satisfaction-and-frustration-scale/</t>
        </is>
      </c>
    </row>
    <row r="258" ht="23.85" customHeight="1" s="17">
      <c r="A258" s="27" t="inlineStr">
        <is>
          <t>BPNSFS</t>
        </is>
      </c>
      <c r="B258" s="27" t="inlineStr">
        <is>
          <t>Basic Psychological Need Satisfaction and Frustration Scale (BPNSFS)</t>
        </is>
      </c>
      <c r="C258" s="27" t="inlineStr">
        <is>
          <t>6. Motivation, self determination and goal pursuit</t>
        </is>
      </c>
      <c r="D258" s="28" t="n">
        <v>20</v>
      </c>
      <c r="E258" s="27" t="inlineStr">
        <is>
          <t>My daily activities feel like a chain of obligations.</t>
        </is>
      </c>
      <c r="F258" s="27" t="inlineStr">
        <is>
          <t>Autonomy frustration</t>
        </is>
      </c>
      <c r="G258" s="27" t="inlineStr">
        <is>
          <t>FALSE</t>
        </is>
      </c>
      <c r="H258" s="27" t="inlineStr">
        <is>
          <t>FALSE</t>
        </is>
      </c>
      <c r="I258" s="27" t="inlineStr">
        <is>
          <t>Not true at all = 1 | 2 = 2 | 3 = 3 | 4 = 4 | Completely true = 5</t>
        </is>
      </c>
      <c r="J258" s="27" t="n"/>
      <c r="K258" s="27" t="inlineStr">
        <is>
          <t>https://selfdeterminationtheory.org/basic-psychological-need-satisfaction-and-frustration-scale/</t>
        </is>
      </c>
    </row>
    <row r="259" ht="23.85" customHeight="1" s="17">
      <c r="A259" s="27" t="inlineStr">
        <is>
          <t>BPNSFS</t>
        </is>
      </c>
      <c r="B259" s="27" t="inlineStr">
        <is>
          <t>Basic Psychological Need Satisfaction and Frustration Scale (BPNSFS)</t>
        </is>
      </c>
      <c r="C259" s="27" t="inlineStr">
        <is>
          <t>6. Motivation, self determination and goal pursuit</t>
        </is>
      </c>
      <c r="D259" s="28" t="n">
        <v>21</v>
      </c>
      <c r="E259" s="27" t="inlineStr">
        <is>
          <t>I experience a warm feeling with the people I spend time with.</t>
        </is>
      </c>
      <c r="F259" s="27" t="inlineStr">
        <is>
          <t>Relatedness satisfaction</t>
        </is>
      </c>
      <c r="G259" s="27" t="inlineStr">
        <is>
          <t>FALSE</t>
        </is>
      </c>
      <c r="H259" s="27" t="inlineStr">
        <is>
          <t>FALSE</t>
        </is>
      </c>
      <c r="I259" s="27" t="inlineStr">
        <is>
          <t>Not true at all = 1 | 2 = 2 | 3 = 3 | 4 = 4 | Completely true = 5</t>
        </is>
      </c>
      <c r="J259" s="27" t="n"/>
      <c r="K259" s="27" t="inlineStr">
        <is>
          <t>https://selfdeterminationtheory.org/basic-psychological-need-satisfaction-and-frustration-scale/</t>
        </is>
      </c>
    </row>
    <row r="260" ht="23.85" customHeight="1" s="17">
      <c r="A260" s="27" t="inlineStr">
        <is>
          <t>BPNSFS</t>
        </is>
      </c>
      <c r="B260" s="27" t="inlineStr">
        <is>
          <t>Basic Psychological Need Satisfaction and Frustration Scale (BPNSFS)</t>
        </is>
      </c>
      <c r="C260" s="27" t="inlineStr">
        <is>
          <t>6. Motivation, self determination and goal pursuit</t>
        </is>
      </c>
      <c r="D260" s="28" t="n">
        <v>22</v>
      </c>
      <c r="E260" s="27" t="inlineStr">
        <is>
          <t>I feel the relationships I have are just superficial.</t>
        </is>
      </c>
      <c r="F260" s="27" t="inlineStr">
        <is>
          <t>Relatedness frustration</t>
        </is>
      </c>
      <c r="G260" s="27" t="inlineStr">
        <is>
          <t>FALSE</t>
        </is>
      </c>
      <c r="H260" s="27" t="inlineStr">
        <is>
          <t>FALSE</t>
        </is>
      </c>
      <c r="I260" s="27" t="inlineStr">
        <is>
          <t>Not true at all = 1 | 2 = 2 | 3 = 3 | 4 = 4 | Completely true = 5</t>
        </is>
      </c>
      <c r="J260" s="27" t="n"/>
      <c r="K260" s="27" t="inlineStr">
        <is>
          <t>https://selfdeterminationtheory.org/basic-psychological-need-satisfaction-and-frustration-scale/</t>
        </is>
      </c>
    </row>
    <row r="261" ht="23.85" customHeight="1" s="17">
      <c r="A261" s="27" t="inlineStr">
        <is>
          <t>BPNSFS</t>
        </is>
      </c>
      <c r="B261" s="27" t="inlineStr">
        <is>
          <t>Basic Psychological Need Satisfaction and Frustration Scale (BPNSFS)</t>
        </is>
      </c>
      <c r="C261" s="27" t="inlineStr">
        <is>
          <t>6. Motivation, self determination and goal pursuit</t>
        </is>
      </c>
      <c r="D261" s="28" t="n">
        <v>23</v>
      </c>
      <c r="E261" s="27" t="inlineStr">
        <is>
          <t>I feel I can successfully complete difficult tasks.</t>
        </is>
      </c>
      <c r="F261" s="27" t="inlineStr">
        <is>
          <t>Competence satisfaction</t>
        </is>
      </c>
      <c r="G261" s="27" t="inlineStr">
        <is>
          <t>FALSE</t>
        </is>
      </c>
      <c r="H261" s="27" t="inlineStr">
        <is>
          <t>FALSE</t>
        </is>
      </c>
      <c r="I261" s="27" t="inlineStr">
        <is>
          <t>Not true at all = 1 | 2 = 2 | 3 = 3 | 4 = 4 | Completely true = 5</t>
        </is>
      </c>
      <c r="J261" s="27" t="n"/>
      <c r="K261" s="27" t="inlineStr">
        <is>
          <t>https://selfdeterminationtheory.org/basic-psychological-need-satisfaction-and-frustration-scale/</t>
        </is>
      </c>
    </row>
    <row r="262" ht="23.85" customHeight="1" s="17">
      <c r="A262" s="27" t="inlineStr">
        <is>
          <t>BPNSFS</t>
        </is>
      </c>
      <c r="B262" s="27" t="inlineStr">
        <is>
          <t>Basic Psychological Need Satisfaction and Frustration Scale (BPNSFS)</t>
        </is>
      </c>
      <c r="C262" s="27" t="inlineStr">
        <is>
          <t>6. Motivation, self determination and goal pursuit</t>
        </is>
      </c>
      <c r="D262" s="28" t="n">
        <v>24</v>
      </c>
      <c r="E262" s="27" t="inlineStr">
        <is>
          <t>I feel like a failure because of the mistakes I make.</t>
        </is>
      </c>
      <c r="F262" s="27" t="inlineStr">
        <is>
          <t>Competence frustration</t>
        </is>
      </c>
      <c r="G262" s="27" t="inlineStr">
        <is>
          <t>FALSE</t>
        </is>
      </c>
      <c r="H262" s="27" t="inlineStr">
        <is>
          <t>FALSE</t>
        </is>
      </c>
      <c r="I262" s="27" t="inlineStr">
        <is>
          <t>Not true at all = 1 | 2 = 2 | 3 = 3 | 4 = 4 | Completely true = 5</t>
        </is>
      </c>
      <c r="J262" s="27" t="n"/>
      <c r="K262" s="27" t="inlineStr">
        <is>
          <t>https://selfdeterminationtheory.org/basic-psychological-need-satisfaction-and-frustration-scale/</t>
        </is>
      </c>
    </row>
    <row r="263" ht="23.85" customHeight="1" s="17">
      <c r="A263" s="27" t="inlineStr">
        <is>
          <t>PPS</t>
        </is>
      </c>
      <c r="B263" s="27" t="inlineStr">
        <is>
          <t>Pure Procrastination Scale</t>
        </is>
      </c>
      <c r="C263" s="27" t="inlineStr">
        <is>
          <t>6. Motivation, self determination and goal pursuit</t>
        </is>
      </c>
      <c r="D263" s="28" t="n">
        <v>1</v>
      </c>
      <c r="E263" s="27" t="inlineStr">
        <is>
          <t>I delay making decision until it's too late</t>
        </is>
      </c>
      <c r="F263" s="27" t="inlineStr">
        <is>
          <t>Pure Procrastination (total scale)</t>
        </is>
      </c>
      <c r="G263" s="27" t="inlineStr">
        <is>
          <t>FALSE</t>
        </is>
      </c>
      <c r="H263" s="27" t="inlineStr">
        <is>
          <t>FALSE</t>
        </is>
      </c>
      <c r="I263" s="27" t="inlineStr">
        <is>
          <t>Very seldom or not true of me = 1 | 2 = 2 | 3 = 3 | 4 = 4 | Very often true, or true of me = 5</t>
        </is>
      </c>
      <c r="J263" s="27" t="inlineStr">
        <is>
          <t>Verbatim from Table 1, Svartdal &amp; Steel (2017); sourced from the Decisional Procrastination Scale (DPS).</t>
        </is>
      </c>
      <c r="K263" s="27" t="inlineStr">
        <is>
          <t>https://www.frontiersin.org/articles/10.3389/fpsyg.2017.01927/full</t>
        </is>
      </c>
    </row>
    <row r="264" ht="23.85" customHeight="1" s="17">
      <c r="A264" s="27" t="inlineStr">
        <is>
          <t>PPS</t>
        </is>
      </c>
      <c r="B264" s="27" t="inlineStr">
        <is>
          <t>Pure Procrastination Scale</t>
        </is>
      </c>
      <c r="C264" s="27" t="inlineStr">
        <is>
          <t>6. Motivation, self determination and goal pursuit</t>
        </is>
      </c>
      <c r="D264" s="28" t="n">
        <v>2</v>
      </c>
      <c r="E264" s="27" t="inlineStr">
        <is>
          <t>Even after I make a decision I delay acting upon it</t>
        </is>
      </c>
      <c r="F264" s="27" t="inlineStr">
        <is>
          <t>Pure Procrastination (total scale)</t>
        </is>
      </c>
      <c r="G264" s="27" t="inlineStr">
        <is>
          <t>FALSE</t>
        </is>
      </c>
      <c r="H264" s="27" t="inlineStr">
        <is>
          <t>FALSE</t>
        </is>
      </c>
      <c r="I264" s="27" t="inlineStr">
        <is>
          <t>Very seldom or not true of me = 1 | 2 = 2 | 3 = 3 | 4 = 4 | Very often true, or true of me = 5</t>
        </is>
      </c>
      <c r="J264" s="27" t="inlineStr">
        <is>
          <t>Verbatim from Table 1, Svartdal &amp; Steel (2017); sourced from the Decisional Procrastination Scale (DPS).</t>
        </is>
      </c>
      <c r="K264" s="27" t="inlineStr">
        <is>
          <t>https://www.frontiersin.org/articles/10.3389/fpsyg.2017.01927/full</t>
        </is>
      </c>
    </row>
    <row r="265" ht="23.85" customHeight="1" s="17">
      <c r="A265" s="27" t="inlineStr">
        <is>
          <t>PPS</t>
        </is>
      </c>
      <c r="B265" s="27" t="inlineStr">
        <is>
          <t>Pure Procrastination Scale</t>
        </is>
      </c>
      <c r="C265" s="27" t="inlineStr">
        <is>
          <t>6. Motivation, self determination and goal pursuit</t>
        </is>
      </c>
      <c r="D265" s="28" t="n">
        <v>3</v>
      </c>
      <c r="E265" s="27" t="inlineStr">
        <is>
          <t>I waste a lot of time on trivial matters before getting to final decisions</t>
        </is>
      </c>
      <c r="F265" s="27" t="inlineStr">
        <is>
          <t>Pure Procrastination (total scale)</t>
        </is>
      </c>
      <c r="G265" s="27" t="inlineStr">
        <is>
          <t>FALSE</t>
        </is>
      </c>
      <c r="H265" s="27" t="inlineStr">
        <is>
          <t>FALSE</t>
        </is>
      </c>
      <c r="I265" s="27" t="inlineStr">
        <is>
          <t>Very seldom or not true of me = 1 | 2 = 2 | 3 = 3 | 4 = 4 | Very often true, or true of me = 5</t>
        </is>
      </c>
      <c r="J265" s="27" t="inlineStr">
        <is>
          <t>Verbatim from Table 1, Svartdal &amp; Steel (2017); sourced from the Decisional Procrastination Scale (DPS).</t>
        </is>
      </c>
      <c r="K265" s="27" t="inlineStr">
        <is>
          <t>https://www.frontiersin.org/articles/10.3389/fpsyg.2017.01927/full</t>
        </is>
      </c>
    </row>
    <row r="266" ht="23.85" customHeight="1" s="17">
      <c r="A266" s="27" t="inlineStr">
        <is>
          <t>PPS</t>
        </is>
      </c>
      <c r="B266" s="27" t="inlineStr">
        <is>
          <t>Pure Procrastination Scale</t>
        </is>
      </c>
      <c r="C266" s="27" t="inlineStr">
        <is>
          <t>6. Motivation, self determination and goal pursuit</t>
        </is>
      </c>
      <c r="D266" s="28" t="n">
        <v>4</v>
      </c>
      <c r="E266" s="27" t="inlineStr">
        <is>
          <t>In preparation for some deadlines, I often waste time by doing other things</t>
        </is>
      </c>
      <c r="F266" s="27" t="inlineStr">
        <is>
          <t>Pure Procrastination (total scale)</t>
        </is>
      </c>
      <c r="G266" s="27" t="inlineStr">
        <is>
          <t>FALSE</t>
        </is>
      </c>
      <c r="H266" s="27" t="inlineStr">
        <is>
          <t>FALSE</t>
        </is>
      </c>
      <c r="I266" s="27" t="inlineStr">
        <is>
          <t>Very seldom or not true of me = 1 | 2 = 2 | 3 = 3 | 4 = 4 | Very often true, or true of me = 5</t>
        </is>
      </c>
      <c r="J266" s="27" t="inlineStr">
        <is>
          <t>Verbatim from Table 1, Svartdal &amp; Steel (2017); sourced from the General Procrastination Scale (GPS).</t>
        </is>
      </c>
      <c r="K266" s="27" t="inlineStr">
        <is>
          <t>https://www.frontiersin.org/articles/10.3389/fpsyg.2017.01927/full</t>
        </is>
      </c>
    </row>
    <row r="267" ht="23.85" customHeight="1" s="17">
      <c r="A267" s="27" t="inlineStr">
        <is>
          <t>PPS</t>
        </is>
      </c>
      <c r="B267" s="27" t="inlineStr">
        <is>
          <t>Pure Procrastination Scale</t>
        </is>
      </c>
      <c r="C267" s="27" t="inlineStr">
        <is>
          <t>6. Motivation, self determination and goal pursuit</t>
        </is>
      </c>
      <c r="D267" s="28" t="n">
        <v>5</v>
      </c>
      <c r="E267" s="27" t="inlineStr">
        <is>
          <t>Even jobs that require little else except sitting down and doing them, I find they seldom get done for days</t>
        </is>
      </c>
      <c r="F267" s="27" t="inlineStr">
        <is>
          <t>Pure Procrastination (total scale)</t>
        </is>
      </c>
      <c r="G267" s="27" t="inlineStr">
        <is>
          <t>FALSE</t>
        </is>
      </c>
      <c r="H267" s="27" t="inlineStr">
        <is>
          <t>FALSE</t>
        </is>
      </c>
      <c r="I267" s="27" t="inlineStr">
        <is>
          <t>Very seldom or not true of me = 1 | 2 = 2 | 3 = 3 | 4 = 4 | Very often true, or true of me = 5</t>
        </is>
      </c>
      <c r="J267" s="27" t="inlineStr">
        <is>
          <t>Verbatim from Table 1, Svartdal &amp; Steel (2017); sourced from the General Procrastination Scale (GPS).</t>
        </is>
      </c>
      <c r="K267" s="27" t="inlineStr">
        <is>
          <t>https://www.frontiersin.org/articles/10.3389/fpsyg.2017.01927/full</t>
        </is>
      </c>
    </row>
    <row r="268" ht="23.85" customHeight="1" s="17">
      <c r="A268" s="27" t="inlineStr">
        <is>
          <t>PPS</t>
        </is>
      </c>
      <c r="B268" s="27" t="inlineStr">
        <is>
          <t>Pure Procrastination Scale</t>
        </is>
      </c>
      <c r="C268" s="27" t="inlineStr">
        <is>
          <t>6. Motivation, self determination and goal pursuit</t>
        </is>
      </c>
      <c r="D268" s="28" t="n">
        <v>6</v>
      </c>
      <c r="E268" s="27" t="inlineStr">
        <is>
          <t>I often find myself performing tasks that I had intended to do days before</t>
        </is>
      </c>
      <c r="F268" s="27" t="inlineStr">
        <is>
          <t>Pure Procrastination (total scale)</t>
        </is>
      </c>
      <c r="G268" s="27" t="inlineStr">
        <is>
          <t>FALSE</t>
        </is>
      </c>
      <c r="H268" s="27" t="inlineStr">
        <is>
          <t>FALSE</t>
        </is>
      </c>
      <c r="I268" s="27" t="inlineStr">
        <is>
          <t>Very seldom or not true of me = 1 | 2 = 2 | 3 = 3 | 4 = 4 | Very often true, or true of me = 5</t>
        </is>
      </c>
      <c r="J268" s="27" t="inlineStr">
        <is>
          <t>Verbatim from Table 1, Svartdal &amp; Steel (2017); sourced from the General Procrastination Scale (GPS).</t>
        </is>
      </c>
      <c r="K268" s="27" t="inlineStr">
        <is>
          <t>https://www.frontiersin.org/articles/10.3389/fpsyg.2017.01927/full</t>
        </is>
      </c>
    </row>
    <row r="269" ht="23.85" customHeight="1" s="17">
      <c r="A269" s="27" t="inlineStr">
        <is>
          <t>PPS</t>
        </is>
      </c>
      <c r="B269" s="27" t="inlineStr">
        <is>
          <t>Pure Procrastination Scale</t>
        </is>
      </c>
      <c r="C269" s="27" t="inlineStr">
        <is>
          <t>6. Motivation, self determination and goal pursuit</t>
        </is>
      </c>
      <c r="D269" s="28" t="n">
        <v>7</v>
      </c>
      <c r="E269" s="27" t="inlineStr">
        <is>
          <t>I am continually saying 'I'll do it tomorrow'</t>
        </is>
      </c>
      <c r="F269" s="27" t="inlineStr">
        <is>
          <t>Pure Procrastination (total scale)</t>
        </is>
      </c>
      <c r="G269" s="27" t="inlineStr">
        <is>
          <t>FALSE</t>
        </is>
      </c>
      <c r="H269" s="27" t="inlineStr">
        <is>
          <t>FALSE</t>
        </is>
      </c>
      <c r="I269" s="27" t="inlineStr">
        <is>
          <t>Very seldom or not true of me = 1 | 2 = 2 | 3 = 3 | 4 = 4 | Very often true, or true of me = 5</t>
        </is>
      </c>
      <c r="J269" s="27" t="inlineStr">
        <is>
          <t>Verbatim from Table 1, Svartdal &amp; Steel (2017); sourced from the General Procrastination Scale (GPS).</t>
        </is>
      </c>
      <c r="K269" s="27" t="inlineStr">
        <is>
          <t>https://www.frontiersin.org/articles/10.3389/fpsyg.2017.01927/full</t>
        </is>
      </c>
    </row>
    <row r="270" ht="23.85" customHeight="1" s="17">
      <c r="A270" s="27" t="inlineStr">
        <is>
          <t>PPS</t>
        </is>
      </c>
      <c r="B270" s="27" t="inlineStr">
        <is>
          <t>Pure Procrastination Scale</t>
        </is>
      </c>
      <c r="C270" s="27" t="inlineStr">
        <is>
          <t>6. Motivation, self determination and goal pursuit</t>
        </is>
      </c>
      <c r="D270" s="28" t="n">
        <v>8</v>
      </c>
      <c r="E270" s="27" t="inlineStr">
        <is>
          <t>I generally delay before starting on work I have to do</t>
        </is>
      </c>
      <c r="F270" s="27" t="inlineStr">
        <is>
          <t>Pure Procrastination (total scale)</t>
        </is>
      </c>
      <c r="G270" s="27" t="inlineStr">
        <is>
          <t>FALSE</t>
        </is>
      </c>
      <c r="H270" s="27" t="inlineStr">
        <is>
          <t>FALSE</t>
        </is>
      </c>
      <c r="I270" s="27" t="inlineStr">
        <is>
          <t>Very seldom or not true of me = 1 | 2 = 2 | 3 = 3 | 4 = 4 | Very often true, or true of me = 5</t>
        </is>
      </c>
      <c r="J270" s="27" t="inlineStr">
        <is>
          <t>Verbatim from Table 1, Svartdal &amp; Steel (2017); sourced from the General Procrastination Scale (GPS).</t>
        </is>
      </c>
      <c r="K270" s="27" t="inlineStr">
        <is>
          <t>https://www.frontiersin.org/articles/10.3389/fpsyg.2017.01927/full</t>
        </is>
      </c>
    </row>
    <row r="271" ht="23.85" customHeight="1" s="17">
      <c r="A271" s="27" t="inlineStr">
        <is>
          <t>PPS</t>
        </is>
      </c>
      <c r="B271" s="27" t="inlineStr">
        <is>
          <t>Pure Procrastination Scale</t>
        </is>
      </c>
      <c r="C271" s="27" t="inlineStr">
        <is>
          <t>6. Motivation, self determination and goal pursuit</t>
        </is>
      </c>
      <c r="D271" s="28" t="n">
        <v>9</v>
      </c>
      <c r="E271" s="27" t="inlineStr">
        <is>
          <t>I find myself running out of time</t>
        </is>
      </c>
      <c r="F271" s="27" t="inlineStr">
        <is>
          <t>Pure Procrastination (total scale)</t>
        </is>
      </c>
      <c r="G271" s="27" t="inlineStr">
        <is>
          <t>FALSE</t>
        </is>
      </c>
      <c r="H271" s="27" t="inlineStr">
        <is>
          <t>FALSE</t>
        </is>
      </c>
      <c r="I271" s="27" t="inlineStr">
        <is>
          <t>Very seldom or not true of me = 1 | 2 = 2 | 3 = 3 | 4 = 4 | Very often true, or true of me = 5</t>
        </is>
      </c>
      <c r="J271" s="27" t="inlineStr">
        <is>
          <t>Verbatim from Table 1, Svartdal &amp; Steel (2017); sourced from the Adult Inventory of Procrastination (AIP).</t>
        </is>
      </c>
      <c r="K271" s="27" t="inlineStr">
        <is>
          <t>https://www.frontiersin.org/articles/10.3389/fpsyg.2017.01927/full</t>
        </is>
      </c>
    </row>
    <row r="272" ht="23.85" customHeight="1" s="17">
      <c r="A272" s="27" t="inlineStr">
        <is>
          <t>PPS</t>
        </is>
      </c>
      <c r="B272" s="27" t="inlineStr">
        <is>
          <t>Pure Procrastination Scale</t>
        </is>
      </c>
      <c r="C272" s="27" t="inlineStr">
        <is>
          <t>6. Motivation, self determination and goal pursuit</t>
        </is>
      </c>
      <c r="D272" s="28" t="n">
        <v>10</v>
      </c>
      <c r="E272" s="27" t="inlineStr">
        <is>
          <t>I don't get things done on time</t>
        </is>
      </c>
      <c r="F272" s="27" t="inlineStr">
        <is>
          <t>Pure Procrastination (total scale)</t>
        </is>
      </c>
      <c r="G272" s="27" t="inlineStr">
        <is>
          <t>FALSE</t>
        </is>
      </c>
      <c r="H272" s="27" t="inlineStr">
        <is>
          <t>FALSE</t>
        </is>
      </c>
      <c r="I272" s="27" t="inlineStr">
        <is>
          <t>Very seldom or not true of me = 1 | 2 = 2 | 3 = 3 | 4 = 4 | Very often true, or true of me = 5</t>
        </is>
      </c>
      <c r="J272" s="27" t="inlineStr">
        <is>
          <t>Verbatim from Table 1, Svartdal &amp; Steel (2017); sourced from the Adult Inventory of Procrastination (AIP).</t>
        </is>
      </c>
      <c r="K272" s="27" t="inlineStr">
        <is>
          <t>https://www.frontiersin.org/articles/10.3389/fpsyg.2017.01927/full</t>
        </is>
      </c>
    </row>
    <row r="273" ht="23.85" customHeight="1" s="17">
      <c r="A273" s="27" t="inlineStr">
        <is>
          <t>PPS</t>
        </is>
      </c>
      <c r="B273" s="27" t="inlineStr">
        <is>
          <t>Pure Procrastination Scale</t>
        </is>
      </c>
      <c r="C273" s="27" t="inlineStr">
        <is>
          <t>6. Motivation, self determination and goal pursuit</t>
        </is>
      </c>
      <c r="D273" s="28" t="n">
        <v>11</v>
      </c>
      <c r="E273" s="27" t="inlineStr">
        <is>
          <t>I am not very good at meeting deadlines</t>
        </is>
      </c>
      <c r="F273" s="27" t="inlineStr">
        <is>
          <t>Pure Procrastination (total scale)</t>
        </is>
      </c>
      <c r="G273" s="27" t="inlineStr">
        <is>
          <t>FALSE</t>
        </is>
      </c>
      <c r="H273" s="27" t="inlineStr">
        <is>
          <t>FALSE</t>
        </is>
      </c>
      <c r="I273" s="27" t="inlineStr">
        <is>
          <t>Very seldom or not true of me = 1 | 2 = 2 | 3 = 3 | 4 = 4 | Very often true, or true of me = 5</t>
        </is>
      </c>
      <c r="J273" s="27" t="inlineStr">
        <is>
          <t>Verbatim from Table 1, Svartdal &amp; Steel (2017); sourced from the Adult Inventory of Procrastination (AIP).</t>
        </is>
      </c>
      <c r="K273" s="27" t="inlineStr">
        <is>
          <t>https://www.frontiersin.org/articles/10.3389/fpsyg.2017.01927/full</t>
        </is>
      </c>
    </row>
    <row r="274" ht="23.85" customHeight="1" s="17">
      <c r="A274" s="27" t="inlineStr">
        <is>
          <t>PPS</t>
        </is>
      </c>
      <c r="B274" s="27" t="inlineStr">
        <is>
          <t>Pure Procrastination Scale</t>
        </is>
      </c>
      <c r="C274" s="27" t="inlineStr">
        <is>
          <t>6. Motivation, self determination and goal pursuit</t>
        </is>
      </c>
      <c r="D274" s="28" t="n">
        <v>12</v>
      </c>
      <c r="E274" s="27" t="inlineStr">
        <is>
          <t>Putting things off till the last minute has cost me money in the past</t>
        </is>
      </c>
      <c r="F274" s="27" t="inlineStr">
        <is>
          <t>Pure Procrastination (total scale)</t>
        </is>
      </c>
      <c r="G274" s="27" t="inlineStr">
        <is>
          <t>FALSE</t>
        </is>
      </c>
      <c r="H274" s="27" t="inlineStr">
        <is>
          <t>FALSE</t>
        </is>
      </c>
      <c r="I274" s="27" t="inlineStr">
        <is>
          <t>Very seldom or not true of me = 1 | 2 = 2 | 3 = 3 | 4 = 4 | Very often true, or true of me = 5</t>
        </is>
      </c>
      <c r="J274" s="27" t="inlineStr">
        <is>
          <t>Verbatim from Table 1, Svartdal &amp; Steel (2017); sourced from the Adult Inventory of Procrastination (AIP).</t>
        </is>
      </c>
      <c r="K274" s="27" t="inlineStr">
        <is>
          <t>https://www.frontiersin.org/articles/10.3389/fpsyg.2017.01927/full</t>
        </is>
      </c>
    </row>
    <row r="275" ht="23.85" customHeight="1" s="17">
      <c r="A275" s="27" t="inlineStr">
        <is>
          <t>IPS</t>
        </is>
      </c>
      <c r="B275" s="27" t="inlineStr">
        <is>
          <t>Irrational Procrastination Scale</t>
        </is>
      </c>
      <c r="C275" s="27" t="inlineStr">
        <is>
          <t>6. Motivation, self determination and goal pursuit</t>
        </is>
      </c>
      <c r="D275" s="28" t="n">
        <v>1</v>
      </c>
      <c r="E275" s="27" t="inlineStr">
        <is>
          <t>I put things off so long that my well-being or efficiency unnecessarily suffers</t>
        </is>
      </c>
      <c r="F275" s="27" t="inlineStr">
        <is>
          <t>Irrational Procrastination (total scale)</t>
        </is>
      </c>
      <c r="G275" s="27" t="inlineStr">
        <is>
          <t>FALSE</t>
        </is>
      </c>
      <c r="H275" s="27" t="inlineStr">
        <is>
          <t>FALSE</t>
        </is>
      </c>
      <c r="I275" s="27" t="inlineStr">
        <is>
          <t>Very seldom or not true of me = 1 | 2 = 2 | 3 = 3 | 4 = 4 | Very often true, or true of me = 5</t>
        </is>
      </c>
      <c r="J275" s="27" t="inlineStr">
        <is>
          <t>Verbatim from Table 1, Svartdal &amp; Steel (2017).</t>
        </is>
      </c>
      <c r="K275" s="27" t="inlineStr">
        <is>
          <t>https://www.frontiersin.org/articles/10.3389/fpsyg.2017.01927/full</t>
        </is>
      </c>
    </row>
    <row r="276" ht="23.85" customHeight="1" s="17">
      <c r="A276" s="27" t="inlineStr">
        <is>
          <t>IPS</t>
        </is>
      </c>
      <c r="B276" s="27" t="inlineStr">
        <is>
          <t>Irrational Procrastination Scale</t>
        </is>
      </c>
      <c r="C276" s="27" t="inlineStr">
        <is>
          <t>6. Motivation, self determination and goal pursuit</t>
        </is>
      </c>
      <c r="D276" s="28" t="n">
        <v>2</v>
      </c>
      <c r="E276" s="27" t="inlineStr">
        <is>
          <t>If there is something I should do, I get to it before attending to lesser tasks</t>
        </is>
      </c>
      <c r="F276" s="27" t="inlineStr">
        <is>
          <t>Irrational Procrastination (total scale)</t>
        </is>
      </c>
      <c r="G276" s="34" t="inlineStr">
        <is>
          <t>TRUE</t>
        </is>
      </c>
      <c r="H276" s="27" t="inlineStr">
        <is>
          <t>FALSE</t>
        </is>
      </c>
      <c r="I276" s="27" t="inlineStr">
        <is>
          <t>Very seldom or not true of me = 1 | 2 = 2 | 3 = 3 | 4 = 4 | Very often true, or true of me = 5</t>
        </is>
      </c>
      <c r="J276" s="27" t="inlineStr">
        <is>
          <t>Verbatim from Table 1, Svartdal &amp; Steel (2017); marked '(R)' (reverse-scored) in the source table.</t>
        </is>
      </c>
      <c r="K276" s="27" t="inlineStr">
        <is>
          <t>https://www.frontiersin.org/articles/10.3389/fpsyg.2017.01927/full</t>
        </is>
      </c>
    </row>
    <row r="277" ht="23.85" customHeight="1" s="17">
      <c r="A277" s="27" t="inlineStr">
        <is>
          <t>IPS</t>
        </is>
      </c>
      <c r="B277" s="27" t="inlineStr">
        <is>
          <t>Irrational Procrastination Scale</t>
        </is>
      </c>
      <c r="C277" s="27" t="inlineStr">
        <is>
          <t>6. Motivation, self determination and goal pursuit</t>
        </is>
      </c>
      <c r="D277" s="28" t="n">
        <v>3</v>
      </c>
      <c r="E277" s="27" t="inlineStr">
        <is>
          <t>My life would be better if I did some activities or tasks earlier</t>
        </is>
      </c>
      <c r="F277" s="27" t="inlineStr">
        <is>
          <t>Irrational Procrastination (total scale)</t>
        </is>
      </c>
      <c r="G277" s="27" t="inlineStr">
        <is>
          <t>FALSE</t>
        </is>
      </c>
      <c r="H277" s="27" t="inlineStr">
        <is>
          <t>FALSE</t>
        </is>
      </c>
      <c r="I277" s="27" t="inlineStr">
        <is>
          <t>Very seldom or not true of me = 1 | 2 = 2 | 3 = 3 | 4 = 4 | Very often true, or true of me = 5</t>
        </is>
      </c>
      <c r="J277" s="27" t="inlineStr">
        <is>
          <t>Verbatim from Table 1, Svartdal &amp; Steel (2017).</t>
        </is>
      </c>
      <c r="K277" s="27" t="inlineStr">
        <is>
          <t>https://www.frontiersin.org/articles/10.3389/fpsyg.2017.01927/full</t>
        </is>
      </c>
    </row>
    <row r="278" ht="23.85" customHeight="1" s="17">
      <c r="A278" s="27" t="inlineStr">
        <is>
          <t>IPS</t>
        </is>
      </c>
      <c r="B278" s="27" t="inlineStr">
        <is>
          <t>Irrational Procrastination Scale</t>
        </is>
      </c>
      <c r="C278" s="27" t="inlineStr">
        <is>
          <t>6. Motivation, self determination and goal pursuit</t>
        </is>
      </c>
      <c r="D278" s="28" t="n">
        <v>4</v>
      </c>
      <c r="E278" s="27" t="inlineStr">
        <is>
          <t>When I should be doing one thing, I will do another</t>
        </is>
      </c>
      <c r="F278" s="27" t="inlineStr">
        <is>
          <t>Irrational Procrastination (total scale)</t>
        </is>
      </c>
      <c r="G278" s="27" t="inlineStr">
        <is>
          <t>FALSE</t>
        </is>
      </c>
      <c r="H278" s="27" t="inlineStr">
        <is>
          <t>FALSE</t>
        </is>
      </c>
      <c r="I278" s="27" t="inlineStr">
        <is>
          <t>Very seldom or not true of me = 1 | 2 = 2 | 3 = 3 | 4 = 4 | Very often true, or true of me = 5</t>
        </is>
      </c>
      <c r="J278" s="27" t="inlineStr">
        <is>
          <t>Verbatim from Table 1, Svartdal &amp; Steel (2017).</t>
        </is>
      </c>
      <c r="K278" s="27" t="inlineStr">
        <is>
          <t>https://www.frontiersin.org/articles/10.3389/fpsyg.2017.01927/full</t>
        </is>
      </c>
    </row>
    <row r="279" ht="23.85" customHeight="1" s="17">
      <c r="A279" s="27" t="inlineStr">
        <is>
          <t>IPS</t>
        </is>
      </c>
      <c r="B279" s="27" t="inlineStr">
        <is>
          <t>Irrational Procrastination Scale</t>
        </is>
      </c>
      <c r="C279" s="27" t="inlineStr">
        <is>
          <t>6. Motivation, self determination and goal pursuit</t>
        </is>
      </c>
      <c r="D279" s="28" t="n">
        <v>5</v>
      </c>
      <c r="E279" s="27" t="inlineStr">
        <is>
          <t>At the end of the day, I know I could have spent the time better</t>
        </is>
      </c>
      <c r="F279" s="27" t="inlineStr">
        <is>
          <t>Irrational Procrastination (total scale)</t>
        </is>
      </c>
      <c r="G279" s="27" t="inlineStr">
        <is>
          <t>FALSE</t>
        </is>
      </c>
      <c r="H279" s="27" t="inlineStr">
        <is>
          <t>FALSE</t>
        </is>
      </c>
      <c r="I279" s="27" t="inlineStr">
        <is>
          <t>Very seldom or not true of me = 1 | 2 = 2 | 3 = 3 | 4 = 4 | Very often true, or true of me = 5</t>
        </is>
      </c>
      <c r="J279" s="27" t="inlineStr">
        <is>
          <t>Verbatim from Table 1, Svartdal &amp; Steel (2017).</t>
        </is>
      </c>
      <c r="K279" s="27" t="inlineStr">
        <is>
          <t>https://www.frontiersin.org/articles/10.3389/fpsyg.2017.01927/full</t>
        </is>
      </c>
    </row>
    <row r="280" ht="23.85" customHeight="1" s="17">
      <c r="A280" s="27" t="inlineStr">
        <is>
          <t>IPS</t>
        </is>
      </c>
      <c r="B280" s="27" t="inlineStr">
        <is>
          <t>Irrational Procrastination Scale</t>
        </is>
      </c>
      <c r="C280" s="27" t="inlineStr">
        <is>
          <t>6. Motivation, self determination and goal pursuit</t>
        </is>
      </c>
      <c r="D280" s="28" t="n">
        <v>6</v>
      </c>
      <c r="E280" s="27" t="inlineStr">
        <is>
          <t>I spend my time wisely</t>
        </is>
      </c>
      <c r="F280" s="27" t="inlineStr">
        <is>
          <t>Irrational Procrastination (total scale)</t>
        </is>
      </c>
      <c r="G280" s="34" t="inlineStr">
        <is>
          <t>TRUE</t>
        </is>
      </c>
      <c r="H280" s="27" t="inlineStr">
        <is>
          <t>FALSE</t>
        </is>
      </c>
      <c r="I280" s="27" t="inlineStr">
        <is>
          <t>Very seldom or not true of me = 1 | 2 = 2 | 3 = 3 | 4 = 4 | Very often true, or true of me = 5</t>
        </is>
      </c>
      <c r="J280" s="27" t="inlineStr">
        <is>
          <t>Verbatim from Table 1, Svartdal &amp; Steel (2017); marked '(R)' (reverse-scored) in the source table.</t>
        </is>
      </c>
      <c r="K280" s="27" t="inlineStr">
        <is>
          <t>https://www.frontiersin.org/articles/10.3389/fpsyg.2017.01927/full</t>
        </is>
      </c>
    </row>
    <row r="281" ht="23.85" customHeight="1" s="17">
      <c r="A281" s="27" t="inlineStr">
        <is>
          <t>IPS</t>
        </is>
      </c>
      <c r="B281" s="27" t="inlineStr">
        <is>
          <t>Irrational Procrastination Scale</t>
        </is>
      </c>
      <c r="C281" s="27" t="inlineStr">
        <is>
          <t>6. Motivation, self determination and goal pursuit</t>
        </is>
      </c>
      <c r="D281" s="28" t="n">
        <v>7</v>
      </c>
      <c r="E281" s="27" t="inlineStr">
        <is>
          <t>I delay tasks beyond what is reasonable</t>
        </is>
      </c>
      <c r="F281" s="27" t="inlineStr">
        <is>
          <t>Irrational Procrastination (total scale)</t>
        </is>
      </c>
      <c r="G281" s="27" t="inlineStr">
        <is>
          <t>FALSE</t>
        </is>
      </c>
      <c r="H281" s="27" t="inlineStr">
        <is>
          <t>FALSE</t>
        </is>
      </c>
      <c r="I281" s="27" t="inlineStr">
        <is>
          <t>Very seldom or not true of me = 1 | 2 = 2 | 3 = 3 | 4 = 4 | Very often true, or true of me = 5</t>
        </is>
      </c>
      <c r="J281" s="27" t="inlineStr">
        <is>
          <t>Verbatim from Table 1, Svartdal &amp; Steel (2017).</t>
        </is>
      </c>
      <c r="K281" s="27" t="inlineStr">
        <is>
          <t>https://www.frontiersin.org/articles/10.3389/fpsyg.2017.01927/full</t>
        </is>
      </c>
    </row>
    <row r="282" ht="23.85" customHeight="1" s="17">
      <c r="A282" s="27" t="inlineStr">
        <is>
          <t>IPS</t>
        </is>
      </c>
      <c r="B282" s="27" t="inlineStr">
        <is>
          <t>Irrational Procrastination Scale</t>
        </is>
      </c>
      <c r="C282" s="27" t="inlineStr">
        <is>
          <t>6. Motivation, self determination and goal pursuit</t>
        </is>
      </c>
      <c r="D282" s="28" t="n">
        <v>8</v>
      </c>
      <c r="E282" s="27" t="inlineStr">
        <is>
          <t>I procrastinate</t>
        </is>
      </c>
      <c r="F282" s="27" t="inlineStr">
        <is>
          <t>Irrational Procrastination (total scale)</t>
        </is>
      </c>
      <c r="G282" s="27" t="inlineStr">
        <is>
          <t>FALSE</t>
        </is>
      </c>
      <c r="H282" s="27" t="inlineStr">
        <is>
          <t>FALSE</t>
        </is>
      </c>
      <c r="I282" s="27" t="inlineStr">
        <is>
          <t>Very seldom or not true of me = 1 | 2 = 2 | 3 = 3 | 4 = 4 | Very often true, or true of me = 5</t>
        </is>
      </c>
      <c r="J282" s="27" t="inlineStr">
        <is>
          <t>Verbatim from Table 1, Svartdal &amp; Steel (2017).</t>
        </is>
      </c>
      <c r="K282" s="27" t="inlineStr">
        <is>
          <t>https://www.frontiersin.org/articles/10.3389/fpsyg.2017.01927/full</t>
        </is>
      </c>
    </row>
    <row r="283" ht="23.85" customHeight="1" s="17">
      <c r="A283" s="27" t="inlineStr">
        <is>
          <t>IPS</t>
        </is>
      </c>
      <c r="B283" s="27" t="inlineStr">
        <is>
          <t>Irrational Procrastination Scale</t>
        </is>
      </c>
      <c r="C283" s="27" t="inlineStr">
        <is>
          <t>6. Motivation, self determination and goal pursuit</t>
        </is>
      </c>
      <c r="D283" s="28" t="n">
        <v>9</v>
      </c>
      <c r="E283" s="27" t="inlineStr">
        <is>
          <t>I do everything when I believe it needs to be done</t>
        </is>
      </c>
      <c r="F283" s="27" t="inlineStr">
        <is>
          <t>Irrational Procrastination (total scale)</t>
        </is>
      </c>
      <c r="G283" s="34" t="inlineStr">
        <is>
          <t>TRUE</t>
        </is>
      </c>
      <c r="H283" s="27" t="inlineStr">
        <is>
          <t>FALSE</t>
        </is>
      </c>
      <c r="I283" s="27" t="inlineStr">
        <is>
          <t>Very seldom or not true of me = 1 | 2 = 2 | 3 = 3 | 4 = 4 | Very often true, or true of me = 5</t>
        </is>
      </c>
      <c r="J283" s="27" t="inlineStr">
        <is>
          <t>Verbatim from Table 1, Svartdal &amp; Steel (2017); marked '(R)' (reverse-scored) in the source table.</t>
        </is>
      </c>
      <c r="K283" s="27" t="inlineStr">
        <is>
          <t>https://www.frontiersin.org/articles/10.3389/fpsyg.2017.01927/full</t>
        </is>
      </c>
    </row>
    <row r="284" ht="23.85" customHeight="1" s="17">
      <c r="A284" s="27" t="inlineStr">
        <is>
          <t>GSE</t>
        </is>
      </c>
      <c r="B284" s="27" t="inlineStr">
        <is>
          <t>General Self-Efficacy Scale</t>
        </is>
      </c>
      <c r="C284" s="27" t="inlineStr">
        <is>
          <t>6. Motivation, self determination and goal pursuit</t>
        </is>
      </c>
      <c r="D284" s="28" t="n">
        <v>1</v>
      </c>
      <c r="E284" s="27" t="inlineStr">
        <is>
          <t>I can always manage to solve difficult problems if I try hard enough.</t>
        </is>
      </c>
      <c r="F284" s="27" t="inlineStr">
        <is>
          <t>General Self-Efficacy (total scale)</t>
        </is>
      </c>
      <c r="G284" s="27" t="inlineStr">
        <is>
          <t>FALSE</t>
        </is>
      </c>
      <c r="H284" s="27" t="inlineStr">
        <is>
          <t>FALSE</t>
        </is>
      </c>
      <c r="I284" s="27" t="inlineStr">
        <is>
          <t>Not at all true = 1 | Hardly true = 2 | Moderately true = 3 | Exactly true = 4</t>
        </is>
      </c>
      <c r="J284" s="27" t="inlineStr">
        <is>
          <t>Verbatim from the official FU Berlin page, https://userpage.fu-berlin.de/~health/engscal.htm.</t>
        </is>
      </c>
      <c r="K284" s="27" t="inlineStr">
        <is>
          <t>https://userpage.fu-berlin.de/~health/engscal.htm</t>
        </is>
      </c>
    </row>
    <row r="285" ht="23.85" customHeight="1" s="17">
      <c r="A285" s="27" t="inlineStr">
        <is>
          <t>GSE</t>
        </is>
      </c>
      <c r="B285" s="27" t="inlineStr">
        <is>
          <t>General Self-Efficacy Scale</t>
        </is>
      </c>
      <c r="C285" s="27" t="inlineStr">
        <is>
          <t>6. Motivation, self determination and goal pursuit</t>
        </is>
      </c>
      <c r="D285" s="28" t="n">
        <v>2</v>
      </c>
      <c r="E285" s="27" t="inlineStr">
        <is>
          <t>If someone opposes me, I can find the means and ways to get what I want.</t>
        </is>
      </c>
      <c r="F285" s="27" t="inlineStr">
        <is>
          <t>General Self-Efficacy (total scale)</t>
        </is>
      </c>
      <c r="G285" s="27" t="inlineStr">
        <is>
          <t>FALSE</t>
        </is>
      </c>
      <c r="H285" s="27" t="inlineStr">
        <is>
          <t>FALSE</t>
        </is>
      </c>
      <c r="I285" s="27" t="inlineStr">
        <is>
          <t>Not at all true = 1 | Hardly true = 2 | Moderately true = 3 | Exactly true = 4</t>
        </is>
      </c>
      <c r="J285" s="27" t="inlineStr">
        <is>
          <t>Verbatim from the official FU Berlin page.</t>
        </is>
      </c>
      <c r="K285" s="27" t="inlineStr">
        <is>
          <t>https://userpage.fu-berlin.de/~health/engscal.htm</t>
        </is>
      </c>
    </row>
    <row r="286" ht="23.85" customHeight="1" s="17">
      <c r="A286" s="27" t="inlineStr">
        <is>
          <t>GSE</t>
        </is>
      </c>
      <c r="B286" s="27" t="inlineStr">
        <is>
          <t>General Self-Efficacy Scale</t>
        </is>
      </c>
      <c r="C286" s="27" t="inlineStr">
        <is>
          <t>6. Motivation, self determination and goal pursuit</t>
        </is>
      </c>
      <c r="D286" s="28" t="n">
        <v>3</v>
      </c>
      <c r="E286" s="27" t="inlineStr">
        <is>
          <t>It is easy for me to stick to my aims and accomplish my goals.</t>
        </is>
      </c>
      <c r="F286" s="27" t="inlineStr">
        <is>
          <t>General Self-Efficacy (total scale)</t>
        </is>
      </c>
      <c r="G286" s="27" t="inlineStr">
        <is>
          <t>FALSE</t>
        </is>
      </c>
      <c r="H286" s="27" t="inlineStr">
        <is>
          <t>FALSE</t>
        </is>
      </c>
      <c r="I286" s="27" t="inlineStr">
        <is>
          <t>Not at all true = 1 | Hardly true = 2 | Moderately true = 3 | Exactly true = 4</t>
        </is>
      </c>
      <c r="J286" s="27" t="inlineStr">
        <is>
          <t>Verbatim from the official FU Berlin page.</t>
        </is>
      </c>
      <c r="K286" s="27" t="inlineStr">
        <is>
          <t>https://userpage.fu-berlin.de/~health/engscal.htm</t>
        </is>
      </c>
    </row>
    <row r="287" ht="23.85" customHeight="1" s="17">
      <c r="A287" s="27" t="inlineStr">
        <is>
          <t>GSE</t>
        </is>
      </c>
      <c r="B287" s="27" t="inlineStr">
        <is>
          <t>General Self-Efficacy Scale</t>
        </is>
      </c>
      <c r="C287" s="27" t="inlineStr">
        <is>
          <t>6. Motivation, self determination and goal pursuit</t>
        </is>
      </c>
      <c r="D287" s="28" t="n">
        <v>4</v>
      </c>
      <c r="E287" s="27" t="inlineStr">
        <is>
          <t>I am confident that I could deal efficiently with unexpected events.</t>
        </is>
      </c>
      <c r="F287" s="27" t="inlineStr">
        <is>
          <t>General Self-Efficacy (total scale)</t>
        </is>
      </c>
      <c r="G287" s="27" t="inlineStr">
        <is>
          <t>FALSE</t>
        </is>
      </c>
      <c r="H287" s="27" t="inlineStr">
        <is>
          <t>FALSE</t>
        </is>
      </c>
      <c r="I287" s="27" t="inlineStr">
        <is>
          <t>Not at all true = 1 | Hardly true = 2 | Moderately true = 3 | Exactly true = 4</t>
        </is>
      </c>
      <c r="J287" s="27" t="inlineStr">
        <is>
          <t>Verbatim from the official FU Berlin page.</t>
        </is>
      </c>
      <c r="K287" s="27" t="inlineStr">
        <is>
          <t>https://userpage.fu-berlin.de/~health/engscal.htm</t>
        </is>
      </c>
    </row>
    <row r="288" ht="23.85" customHeight="1" s="17">
      <c r="A288" s="27" t="inlineStr">
        <is>
          <t>GSE</t>
        </is>
      </c>
      <c r="B288" s="27" t="inlineStr">
        <is>
          <t>General Self-Efficacy Scale</t>
        </is>
      </c>
      <c r="C288" s="27" t="inlineStr">
        <is>
          <t>6. Motivation, self determination and goal pursuit</t>
        </is>
      </c>
      <c r="D288" s="28" t="n">
        <v>5</v>
      </c>
      <c r="E288" s="27" t="inlineStr">
        <is>
          <t>Thanks to my resourcefulness, I know how to handle unforeseen situations.</t>
        </is>
      </c>
      <c r="F288" s="27" t="inlineStr">
        <is>
          <t>General Self-Efficacy (total scale)</t>
        </is>
      </c>
      <c r="G288" s="27" t="inlineStr">
        <is>
          <t>FALSE</t>
        </is>
      </c>
      <c r="H288" s="27" t="inlineStr">
        <is>
          <t>FALSE</t>
        </is>
      </c>
      <c r="I288" s="27" t="inlineStr">
        <is>
          <t>Not at all true = 1 | Hardly true = 2 | Moderately true = 3 | Exactly true = 4</t>
        </is>
      </c>
      <c r="J288" s="27" t="inlineStr">
        <is>
          <t>Verbatim from the official FU Berlin page.</t>
        </is>
      </c>
      <c r="K288" s="27" t="inlineStr">
        <is>
          <t>https://userpage.fu-berlin.de/~health/engscal.htm</t>
        </is>
      </c>
    </row>
    <row r="289" ht="23.85" customHeight="1" s="17">
      <c r="A289" s="27" t="inlineStr">
        <is>
          <t>GSE</t>
        </is>
      </c>
      <c r="B289" s="27" t="inlineStr">
        <is>
          <t>General Self-Efficacy Scale</t>
        </is>
      </c>
      <c r="C289" s="27" t="inlineStr">
        <is>
          <t>6. Motivation, self determination and goal pursuit</t>
        </is>
      </c>
      <c r="D289" s="28" t="n">
        <v>6</v>
      </c>
      <c r="E289" s="27" t="inlineStr">
        <is>
          <t>I can solve most problems if I invest the necessary effort.</t>
        </is>
      </c>
      <c r="F289" s="27" t="inlineStr">
        <is>
          <t>General Self-Efficacy (total scale)</t>
        </is>
      </c>
      <c r="G289" s="27" t="inlineStr">
        <is>
          <t>FALSE</t>
        </is>
      </c>
      <c r="H289" s="27" t="inlineStr">
        <is>
          <t>FALSE</t>
        </is>
      </c>
      <c r="I289" s="27" t="inlineStr">
        <is>
          <t>Not at all true = 1 | Hardly true = 2 | Moderately true = 3 | Exactly true = 4</t>
        </is>
      </c>
      <c r="J289" s="27" t="inlineStr">
        <is>
          <t>Verbatim from the official FU Berlin page.</t>
        </is>
      </c>
      <c r="K289" s="27" t="inlineStr">
        <is>
          <t>https://userpage.fu-berlin.de/~health/engscal.htm</t>
        </is>
      </c>
    </row>
    <row r="290" ht="23.85" customHeight="1" s="17">
      <c r="A290" s="27" t="inlineStr">
        <is>
          <t>GSE</t>
        </is>
      </c>
      <c r="B290" s="27" t="inlineStr">
        <is>
          <t>General Self-Efficacy Scale</t>
        </is>
      </c>
      <c r="C290" s="27" t="inlineStr">
        <is>
          <t>6. Motivation, self determination and goal pursuit</t>
        </is>
      </c>
      <c r="D290" s="28" t="n">
        <v>7</v>
      </c>
      <c r="E290" s="27" t="inlineStr">
        <is>
          <t>I can remain calm when facing difficulties because I can rely on my coping abilities.</t>
        </is>
      </c>
      <c r="F290" s="27" t="inlineStr">
        <is>
          <t>General Self-Efficacy (total scale)</t>
        </is>
      </c>
      <c r="G290" s="27" t="inlineStr">
        <is>
          <t>FALSE</t>
        </is>
      </c>
      <c r="H290" s="27" t="inlineStr">
        <is>
          <t>FALSE</t>
        </is>
      </c>
      <c r="I290" s="27" t="inlineStr">
        <is>
          <t>Not at all true = 1 | Hardly true = 2 | Moderately true = 3 | Exactly true = 4</t>
        </is>
      </c>
      <c r="J290" s="27" t="inlineStr">
        <is>
          <t>Verbatim from the official FU Berlin page.</t>
        </is>
      </c>
      <c r="K290" s="27" t="inlineStr">
        <is>
          <t>https://userpage.fu-berlin.de/~health/engscal.htm</t>
        </is>
      </c>
    </row>
    <row r="291" ht="23.85" customHeight="1" s="17">
      <c r="A291" s="27" t="inlineStr">
        <is>
          <t>GSE</t>
        </is>
      </c>
      <c r="B291" s="27" t="inlineStr">
        <is>
          <t>General Self-Efficacy Scale</t>
        </is>
      </c>
      <c r="C291" s="27" t="inlineStr">
        <is>
          <t>6. Motivation, self determination and goal pursuit</t>
        </is>
      </c>
      <c r="D291" s="28" t="n">
        <v>8</v>
      </c>
      <c r="E291" s="27" t="inlineStr">
        <is>
          <t>When I am confronted with a problem, I can usually find several solutions.</t>
        </is>
      </c>
      <c r="F291" s="27" t="inlineStr">
        <is>
          <t>General Self-Efficacy (total scale)</t>
        </is>
      </c>
      <c r="G291" s="27" t="inlineStr">
        <is>
          <t>FALSE</t>
        </is>
      </c>
      <c r="H291" s="27" t="inlineStr">
        <is>
          <t>FALSE</t>
        </is>
      </c>
      <c r="I291" s="27" t="inlineStr">
        <is>
          <t>Not at all true = 1 | Hardly true = 2 | Moderately true = 3 | Exactly true = 4</t>
        </is>
      </c>
      <c r="J291" s="27" t="inlineStr">
        <is>
          <t>Verbatim from the official FU Berlin page.</t>
        </is>
      </c>
      <c r="K291" s="27" t="inlineStr">
        <is>
          <t>https://userpage.fu-berlin.de/~health/engscal.htm</t>
        </is>
      </c>
    </row>
    <row r="292" ht="23.85" customHeight="1" s="17">
      <c r="A292" s="27" t="inlineStr">
        <is>
          <t>GSE</t>
        </is>
      </c>
      <c r="B292" s="27" t="inlineStr">
        <is>
          <t>General Self-Efficacy Scale</t>
        </is>
      </c>
      <c r="C292" s="27" t="inlineStr">
        <is>
          <t>6. Motivation, self determination and goal pursuit</t>
        </is>
      </c>
      <c r="D292" s="28" t="n">
        <v>9</v>
      </c>
      <c r="E292" s="27" t="inlineStr">
        <is>
          <t>If I am in trouble, I can usually think of a solution.</t>
        </is>
      </c>
      <c r="F292" s="27" t="inlineStr">
        <is>
          <t>General Self-Efficacy (total scale)</t>
        </is>
      </c>
      <c r="G292" s="27" t="inlineStr">
        <is>
          <t>FALSE</t>
        </is>
      </c>
      <c r="H292" s="27" t="inlineStr">
        <is>
          <t>FALSE</t>
        </is>
      </c>
      <c r="I292" s="27" t="inlineStr">
        <is>
          <t>Not at all true = 1 | Hardly true = 2 | Moderately true = 3 | Exactly true = 4</t>
        </is>
      </c>
      <c r="J292" s="27" t="inlineStr">
        <is>
          <t>Verbatim from the official FU Berlin page.</t>
        </is>
      </c>
      <c r="K292" s="27" t="inlineStr">
        <is>
          <t>https://userpage.fu-berlin.de/~health/engscal.htm</t>
        </is>
      </c>
    </row>
    <row r="293" ht="23.85" customHeight="1" s="17">
      <c r="A293" s="27" t="inlineStr">
        <is>
          <t>GSE</t>
        </is>
      </c>
      <c r="B293" s="27" t="inlineStr">
        <is>
          <t>General Self-Efficacy Scale</t>
        </is>
      </c>
      <c r="C293" s="27" t="inlineStr">
        <is>
          <t>6. Motivation, self determination and goal pursuit</t>
        </is>
      </c>
      <c r="D293" s="28" t="n">
        <v>10</v>
      </c>
      <c r="E293" s="27" t="inlineStr">
        <is>
          <t>I can usually handle whatever comes my way.</t>
        </is>
      </c>
      <c r="F293" s="27" t="inlineStr">
        <is>
          <t>General Self-Efficacy (total scale)</t>
        </is>
      </c>
      <c r="G293" s="27" t="inlineStr">
        <is>
          <t>FALSE</t>
        </is>
      </c>
      <c r="H293" s="27" t="inlineStr">
        <is>
          <t>FALSE</t>
        </is>
      </c>
      <c r="I293" s="27" t="inlineStr">
        <is>
          <t>Not at all true = 1 | Hardly true = 2 | Moderately true = 3 | Exactly true = 4</t>
        </is>
      </c>
      <c r="J293" s="27" t="inlineStr">
        <is>
          <t>Verbatim from the official FU Berlin page.</t>
        </is>
      </c>
      <c r="K293" s="27" t="inlineStr">
        <is>
          <t>https://userpage.fu-berlin.de/~health/engscal.htm</t>
        </is>
      </c>
    </row>
    <row r="294" ht="46.25" customHeight="1" s="17">
      <c r="A294" s="27" t="inlineStr">
        <is>
          <t>GCS</t>
        </is>
      </c>
      <c r="B294" s="27" t="inlineStr">
        <is>
          <t>Goal Commitment Scale (5-item unidimensional version)</t>
        </is>
      </c>
      <c r="C294" s="27" t="inlineStr">
        <is>
          <t>6. Motivation, self determination and goal pursuit</t>
        </is>
      </c>
      <c r="D294" s="28" t="n">
        <v>1</v>
      </c>
      <c r="E294" s="27" t="inlineStr">
        <is>
          <t>It's hard to take this goal seriously.</t>
        </is>
      </c>
      <c r="F294" s="27" t="inlineStr">
        <is>
          <t>Goal Commitment</t>
        </is>
      </c>
      <c r="G294" s="34" t="inlineStr">
        <is>
          <t>TRUE</t>
        </is>
      </c>
      <c r="H294" s="27" t="inlineStr">
        <is>
          <t>FALSE</t>
        </is>
      </c>
      <c r="I294" s="27" t="inlineStr">
        <is>
          <t>Strongly Disagree = 1 | Moderately Disagree = 2 | Neutral = 3 | Moderately Agree = 4 | Strongly Agree = 5</t>
        </is>
      </c>
      <c r="J294" s="27" t="inlineStr">
        <is>
          <t>Item wording and reverse keying per Klein et al. (2001, p. 34) as quoted in Missouri State University thesis https://bearworks.missouristate.edu/cgi/viewcontent.cgi?article=4229&amp;context=theses.</t>
        </is>
      </c>
      <c r="K294" s="27" t="inlineStr">
        <is>
          <t>https://bearworks.missouristate.edu/cgi/viewcontent.cgi?article=4229&amp;context=theses</t>
        </is>
      </c>
    </row>
    <row r="295" ht="46.25" customHeight="1" s="17">
      <c r="A295" s="27" t="inlineStr">
        <is>
          <t>GCS</t>
        </is>
      </c>
      <c r="B295" s="27" t="inlineStr">
        <is>
          <t>Goal Commitment Scale (5-item unidimensional version)</t>
        </is>
      </c>
      <c r="C295" s="27" t="inlineStr">
        <is>
          <t>6. Motivation, self determination and goal pursuit</t>
        </is>
      </c>
      <c r="D295" s="28" t="n">
        <v>2</v>
      </c>
      <c r="E295" s="27" t="inlineStr">
        <is>
          <t>Quite frankly, I don't care if I achieve this goal or not.</t>
        </is>
      </c>
      <c r="F295" s="27" t="inlineStr">
        <is>
          <t>Goal Commitment</t>
        </is>
      </c>
      <c r="G295" s="34" t="inlineStr">
        <is>
          <t>TRUE</t>
        </is>
      </c>
      <c r="H295" s="27" t="inlineStr">
        <is>
          <t>FALSE</t>
        </is>
      </c>
      <c r="I295" s="27" t="inlineStr">
        <is>
          <t>Strongly Disagree = 1 | Moderately Disagree = 2 | Neutral = 3 | Moderately Agree = 4 | Strongly Agree = 5</t>
        </is>
      </c>
      <c r="J295" s="27" t="inlineStr">
        <is>
          <t>Item wording and reverse keying per Klein et al. (2001, p. 34) as quoted in Missouri State University thesis https://bearworks.missouristate.edu/cgi/viewcontent.cgi?article=4229&amp;context=theses.</t>
        </is>
      </c>
      <c r="K295" s="27" t="inlineStr">
        <is>
          <t>https://bearworks.missouristate.edu/cgi/viewcontent.cgi?article=4229&amp;context=theses</t>
        </is>
      </c>
    </row>
    <row r="296" ht="46.25" customHeight="1" s="17">
      <c r="A296" s="27" t="inlineStr">
        <is>
          <t>GCS</t>
        </is>
      </c>
      <c r="B296" s="27" t="inlineStr">
        <is>
          <t>Goal Commitment Scale (5-item unidimensional version)</t>
        </is>
      </c>
      <c r="C296" s="27" t="inlineStr">
        <is>
          <t>6. Motivation, self determination and goal pursuit</t>
        </is>
      </c>
      <c r="D296" s="28" t="n">
        <v>3</v>
      </c>
      <c r="E296" s="27" t="inlineStr">
        <is>
          <t>I am strongly committed to pursuing this goal.</t>
        </is>
      </c>
      <c r="F296" s="27" t="inlineStr">
        <is>
          <t>Goal Commitment</t>
        </is>
      </c>
      <c r="G296" s="27" t="inlineStr">
        <is>
          <t>FALSE</t>
        </is>
      </c>
      <c r="H296" s="27" t="inlineStr">
        <is>
          <t>FALSE</t>
        </is>
      </c>
      <c r="I296" s="27" t="inlineStr">
        <is>
          <t>Strongly Disagree = 1 | Moderately Disagree = 2 | Neutral = 3 | Moderately Agree = 4 | Strongly Agree = 5</t>
        </is>
      </c>
      <c r="J296" s="27" t="inlineStr">
        <is>
          <t>Item wording and reverse keying per Klein et al. (2001, p. 34) as quoted in Missouri State University thesis https://bearworks.missouristate.edu/cgi/viewcontent.cgi?article=4229&amp;context=theses.</t>
        </is>
      </c>
      <c r="K296" s="27" t="inlineStr">
        <is>
          <t>https://bearworks.missouristate.edu/cgi/viewcontent.cgi?article=4229&amp;context=theses</t>
        </is>
      </c>
    </row>
    <row r="297" ht="46.25" customHeight="1" s="17">
      <c r="A297" s="27" t="inlineStr">
        <is>
          <t>GCS</t>
        </is>
      </c>
      <c r="B297" s="27" t="inlineStr">
        <is>
          <t>Goal Commitment Scale (5-item unidimensional version)</t>
        </is>
      </c>
      <c r="C297" s="27" t="inlineStr">
        <is>
          <t>6. Motivation, self determination and goal pursuit</t>
        </is>
      </c>
      <c r="D297" s="28" t="n">
        <v>4</v>
      </c>
      <c r="E297" s="27" t="inlineStr">
        <is>
          <t>It wouldn't take much to make me abandon this goal.</t>
        </is>
      </c>
      <c r="F297" s="27" t="inlineStr">
        <is>
          <t>Goal Commitment</t>
        </is>
      </c>
      <c r="G297" s="34" t="inlineStr">
        <is>
          <t>TRUE</t>
        </is>
      </c>
      <c r="H297" s="27" t="inlineStr">
        <is>
          <t>FALSE</t>
        </is>
      </c>
      <c r="I297" s="27" t="inlineStr">
        <is>
          <t>Strongly Disagree = 1 | Moderately Disagree = 2 | Neutral = 3 | Moderately Agree = 4 | Strongly Agree = 5</t>
        </is>
      </c>
      <c r="J297" s="27" t="inlineStr">
        <is>
          <t>Item wording and reverse keying per Klein et al. (2001, p. 34) as quoted in Missouri State University thesis https://bearworks.missouristate.edu/cgi/viewcontent.cgi?article=4229&amp;context=theses.</t>
        </is>
      </c>
      <c r="K297" s="27" t="inlineStr">
        <is>
          <t>https://bearworks.missouristate.edu/cgi/viewcontent.cgi?article=4229&amp;context=theses</t>
        </is>
      </c>
    </row>
    <row r="298" ht="46.25" customHeight="1" s="17">
      <c r="A298" s="27" t="inlineStr">
        <is>
          <t>GCS</t>
        </is>
      </c>
      <c r="B298" s="27" t="inlineStr">
        <is>
          <t>Goal Commitment Scale (5-item unidimensional version)</t>
        </is>
      </c>
      <c r="C298" s="27" t="inlineStr">
        <is>
          <t>6. Motivation, self determination and goal pursuit</t>
        </is>
      </c>
      <c r="D298" s="28" t="n">
        <v>5</v>
      </c>
      <c r="E298" s="27" t="inlineStr">
        <is>
          <t>I think this is a good goal to shoot for.</t>
        </is>
      </c>
      <c r="F298" s="27" t="inlineStr">
        <is>
          <t>Goal Commitment</t>
        </is>
      </c>
      <c r="G298" s="27" t="inlineStr">
        <is>
          <t>FALSE</t>
        </is>
      </c>
      <c r="H298" s="27" t="inlineStr">
        <is>
          <t>FALSE</t>
        </is>
      </c>
      <c r="I298" s="27" t="inlineStr">
        <is>
          <t>Strongly Disagree = 1 | Moderately Disagree = 2 | Neutral = 3 | Moderately Agree = 4 | Strongly Agree = 5</t>
        </is>
      </c>
      <c r="J298" s="27" t="inlineStr">
        <is>
          <t>Item wording and reverse keying per Klein et al. (2001, p. 34) as quoted in Missouri State University thesis https://bearworks.missouristate.edu/cgi/viewcontent.cgi?article=4229&amp;context=theses.</t>
        </is>
      </c>
      <c r="K298" s="27" t="inlineStr">
        <is>
          <t>https://bearworks.missouristate.edu/cgi/viewcontent.cgi?article=4229&amp;context=theses</t>
        </is>
      </c>
    </row>
    <row r="299" ht="23.85" customHeight="1" s="17">
      <c r="A299" s="27" t="inlineStr">
        <is>
          <t>GADJ</t>
        </is>
      </c>
      <c r="B299" s="27" t="inlineStr">
        <is>
          <t>Goal Adjustment Scale</t>
        </is>
      </c>
      <c r="C299" s="27" t="inlineStr">
        <is>
          <t>6. Motivation, self determination and goal pursuit</t>
        </is>
      </c>
      <c r="D299" s="28" t="n">
        <v>1</v>
      </c>
      <c r="E299" s="27" t="inlineStr">
        <is>
          <t>It's easy for me to reduce my effort toward the goal.</t>
        </is>
      </c>
      <c r="F299" s="27" t="inlineStr">
        <is>
          <t>Goal Disengagement</t>
        </is>
      </c>
      <c r="G299" s="27" t="inlineStr">
        <is>
          <t>FALSE</t>
        </is>
      </c>
      <c r="H299" s="27" t="inlineStr">
        <is>
          <t>FALSE</t>
        </is>
      </c>
      <c r="I299" s="27" t="inlineStr">
        <is>
          <t>Almost never true = 1 | 2 = 2 | 3 = 3 | 4 = 4 | Almost always true = 5</t>
        </is>
      </c>
      <c r="J299" s="27" t="inlineStr">
        <is>
          <t>Verbatim from Table 1, Wrosch et al. (2003), fetched from the Carnegie Mellon-hosted copy of the original article.</t>
        </is>
      </c>
      <c r="K299" s="27" t="inlineStr">
        <is>
          <t>https://www.cmu.edu/dietrich/psychology/pdf/scales/GAS_article.pdf</t>
        </is>
      </c>
    </row>
    <row r="300" ht="35.05" customHeight="1" s="17">
      <c r="A300" s="27" t="inlineStr">
        <is>
          <t>GADJ</t>
        </is>
      </c>
      <c r="B300" s="27" t="inlineStr">
        <is>
          <t>Goal Adjustment Scale</t>
        </is>
      </c>
      <c r="C300" s="27" t="inlineStr">
        <is>
          <t>6. Motivation, self determination and goal pursuit</t>
        </is>
      </c>
      <c r="D300" s="28" t="n">
        <v>2</v>
      </c>
      <c r="E300" s="27" t="inlineStr">
        <is>
          <t>I find it difficult to stop trying to achieve the goal.</t>
        </is>
      </c>
      <c r="F300" s="27" t="inlineStr">
        <is>
          <t>Goal Disengagement</t>
        </is>
      </c>
      <c r="G300" s="34" t="inlineStr">
        <is>
          <t>TRUE</t>
        </is>
      </c>
      <c r="H300" s="27" t="inlineStr">
        <is>
          <t>FALSE</t>
        </is>
      </c>
      <c r="I300" s="27" t="inlineStr">
        <is>
          <t>Almost never true = 1 | 2 = 2 | 3 = 3 | 4 = 4 | Almost always true = 5</t>
        </is>
      </c>
      <c r="J300" s="27" t="inlineStr">
        <is>
          <t>Verbatim from Table 1, Wrosch et al. (2003); marked with a reverse-scoring symbol in the original table because it is worded in the direction of persistence, not disengagement.</t>
        </is>
      </c>
      <c r="K300" s="27" t="inlineStr">
        <is>
          <t>https://www.cmu.edu/dietrich/psychology/pdf/scales/GAS_article.pdf</t>
        </is>
      </c>
    </row>
    <row r="301" ht="23.85" customHeight="1" s="17">
      <c r="A301" s="27" t="inlineStr">
        <is>
          <t>GADJ</t>
        </is>
      </c>
      <c r="B301" s="27" t="inlineStr">
        <is>
          <t>Goal Adjustment Scale</t>
        </is>
      </c>
      <c r="C301" s="27" t="inlineStr">
        <is>
          <t>6. Motivation, self determination and goal pursuit</t>
        </is>
      </c>
      <c r="D301" s="28" t="n">
        <v>3</v>
      </c>
      <c r="E301" s="27" t="inlineStr">
        <is>
          <t>I stay committed to the goal for a long time; I can't let it go.</t>
        </is>
      </c>
      <c r="F301" s="27" t="inlineStr">
        <is>
          <t>Goal Disengagement</t>
        </is>
      </c>
      <c r="G301" s="34" t="inlineStr">
        <is>
          <t>TRUE</t>
        </is>
      </c>
      <c r="H301" s="27" t="inlineStr">
        <is>
          <t>FALSE</t>
        </is>
      </c>
      <c r="I301" s="27" t="inlineStr">
        <is>
          <t>Almost never true = 1 | 2 = 2 | 3 = 3 | 4 = 4 | Almost always true = 5</t>
        </is>
      </c>
      <c r="J301" s="27" t="inlineStr">
        <is>
          <t>Verbatim from Table 1, Wrosch et al. (2003); marked with a reverse-scoring symbol in the original table for the same reason as item 2.</t>
        </is>
      </c>
      <c r="K301" s="27" t="inlineStr">
        <is>
          <t>https://www.cmu.edu/dietrich/psychology/pdf/scales/GAS_article.pdf</t>
        </is>
      </c>
    </row>
    <row r="302" ht="23.85" customHeight="1" s="17">
      <c r="A302" s="27" t="inlineStr">
        <is>
          <t>GADJ</t>
        </is>
      </c>
      <c r="B302" s="27" t="inlineStr">
        <is>
          <t>Goal Adjustment Scale</t>
        </is>
      </c>
      <c r="C302" s="27" t="inlineStr">
        <is>
          <t>6. Motivation, self determination and goal pursuit</t>
        </is>
      </c>
      <c r="D302" s="28" t="n">
        <v>4</v>
      </c>
      <c r="E302" s="27" t="inlineStr">
        <is>
          <t>It's easy for me to stop thinking about the goal and let it go.</t>
        </is>
      </c>
      <c r="F302" s="27" t="inlineStr">
        <is>
          <t>Goal Disengagement</t>
        </is>
      </c>
      <c r="G302" s="27" t="inlineStr">
        <is>
          <t>FALSE</t>
        </is>
      </c>
      <c r="H302" s="27" t="inlineStr">
        <is>
          <t>FALSE</t>
        </is>
      </c>
      <c r="I302" s="27" t="inlineStr">
        <is>
          <t>Almost never true = 1 | 2 = 2 | 3 = 3 | 4 = 4 | Almost always true = 5</t>
        </is>
      </c>
      <c r="J302" s="27" t="inlineStr">
        <is>
          <t>Verbatim from Table 1, Wrosch et al. (2003).</t>
        </is>
      </c>
      <c r="K302" s="27" t="inlineStr">
        <is>
          <t>https://www.cmu.edu/dietrich/psychology/pdf/scales/GAS_article.pdf</t>
        </is>
      </c>
    </row>
    <row r="303" ht="23.85" customHeight="1" s="17">
      <c r="A303" s="27" t="inlineStr">
        <is>
          <t>GADJ</t>
        </is>
      </c>
      <c r="B303" s="27" t="inlineStr">
        <is>
          <t>Goal Adjustment Scale</t>
        </is>
      </c>
      <c r="C303" s="27" t="inlineStr">
        <is>
          <t>6. Motivation, self determination and goal pursuit</t>
        </is>
      </c>
      <c r="D303" s="28" t="n">
        <v>5</v>
      </c>
      <c r="E303" s="27" t="inlineStr">
        <is>
          <t>I think about other new goals to pursue.</t>
        </is>
      </c>
      <c r="F303" s="27" t="inlineStr">
        <is>
          <t>Goal Reengagement</t>
        </is>
      </c>
      <c r="G303" s="27" t="inlineStr">
        <is>
          <t>FALSE</t>
        </is>
      </c>
      <c r="H303" s="27" t="inlineStr">
        <is>
          <t>FALSE</t>
        </is>
      </c>
      <c r="I303" s="27" t="inlineStr">
        <is>
          <t>Almost never true = 1 | 2 = 2 | 3 = 3 | 4 = 4 | Almost always true = 5</t>
        </is>
      </c>
      <c r="J303" s="27" t="inlineStr">
        <is>
          <t>Verbatim from Table 1, Wrosch et al. (2003).</t>
        </is>
      </c>
      <c r="K303" s="27" t="inlineStr">
        <is>
          <t>https://www.cmu.edu/dietrich/psychology/pdf/scales/GAS_article.pdf</t>
        </is>
      </c>
    </row>
    <row r="304" ht="23.85" customHeight="1" s="17">
      <c r="A304" s="27" t="inlineStr">
        <is>
          <t>GADJ</t>
        </is>
      </c>
      <c r="B304" s="27" t="inlineStr">
        <is>
          <t>Goal Adjustment Scale</t>
        </is>
      </c>
      <c r="C304" s="27" t="inlineStr">
        <is>
          <t>6. Motivation, self determination and goal pursuit</t>
        </is>
      </c>
      <c r="D304" s="28" t="n">
        <v>6</v>
      </c>
      <c r="E304" s="27" t="inlineStr">
        <is>
          <t>I seek other meaningful goals.</t>
        </is>
      </c>
      <c r="F304" s="27" t="inlineStr">
        <is>
          <t>Goal Reengagement</t>
        </is>
      </c>
      <c r="G304" s="27" t="inlineStr">
        <is>
          <t>FALSE</t>
        </is>
      </c>
      <c r="H304" s="27" t="inlineStr">
        <is>
          <t>FALSE</t>
        </is>
      </c>
      <c r="I304" s="27" t="inlineStr">
        <is>
          <t>Almost never true = 1 | 2 = 2 | 3 = 3 | 4 = 4 | Almost always true = 5</t>
        </is>
      </c>
      <c r="J304" s="27" t="inlineStr">
        <is>
          <t>Verbatim from Table 1, Wrosch et al. (2003).</t>
        </is>
      </c>
      <c r="K304" s="27" t="inlineStr">
        <is>
          <t>https://www.cmu.edu/dietrich/psychology/pdf/scales/GAS_article.pdf</t>
        </is>
      </c>
    </row>
    <row r="305" ht="23.85" customHeight="1" s="17">
      <c r="A305" s="27" t="inlineStr">
        <is>
          <t>GADJ</t>
        </is>
      </c>
      <c r="B305" s="27" t="inlineStr">
        <is>
          <t>Goal Adjustment Scale</t>
        </is>
      </c>
      <c r="C305" s="27" t="inlineStr">
        <is>
          <t>6. Motivation, self determination and goal pursuit</t>
        </is>
      </c>
      <c r="D305" s="28" t="n">
        <v>7</v>
      </c>
      <c r="E305" s="27" t="inlineStr">
        <is>
          <t>I convince myself that I have other meaningful goals to pursue.</t>
        </is>
      </c>
      <c r="F305" s="27" t="inlineStr">
        <is>
          <t>Goal Reengagement</t>
        </is>
      </c>
      <c r="G305" s="27" t="inlineStr">
        <is>
          <t>FALSE</t>
        </is>
      </c>
      <c r="H305" s="27" t="inlineStr">
        <is>
          <t>FALSE</t>
        </is>
      </c>
      <c r="I305" s="27" t="inlineStr">
        <is>
          <t>Almost never true = 1 | 2 = 2 | 3 = 3 | 4 = 4 | Almost always true = 5</t>
        </is>
      </c>
      <c r="J305" s="27" t="inlineStr">
        <is>
          <t>Verbatim from Table 1, Wrosch et al. (2003).</t>
        </is>
      </c>
      <c r="K305" s="27" t="inlineStr">
        <is>
          <t>https://www.cmu.edu/dietrich/psychology/pdf/scales/GAS_article.pdf</t>
        </is>
      </c>
    </row>
    <row r="306" ht="23.85" customHeight="1" s="17">
      <c r="A306" s="27" t="inlineStr">
        <is>
          <t>GADJ</t>
        </is>
      </c>
      <c r="B306" s="27" t="inlineStr">
        <is>
          <t>Goal Adjustment Scale</t>
        </is>
      </c>
      <c r="C306" s="27" t="inlineStr">
        <is>
          <t>6. Motivation, self determination and goal pursuit</t>
        </is>
      </c>
      <c r="D306" s="28" t="n">
        <v>8</v>
      </c>
      <c r="E306" s="27" t="inlineStr">
        <is>
          <t>I tell myself that I have a number of other new goals to draw on.</t>
        </is>
      </c>
      <c r="F306" s="27" t="inlineStr">
        <is>
          <t>Goal Reengagement</t>
        </is>
      </c>
      <c r="G306" s="27" t="inlineStr">
        <is>
          <t>FALSE</t>
        </is>
      </c>
      <c r="H306" s="27" t="inlineStr">
        <is>
          <t>FALSE</t>
        </is>
      </c>
      <c r="I306" s="27" t="inlineStr">
        <is>
          <t>Almost never true = 1 | 2 = 2 | 3 = 3 | 4 = 4 | Almost always true = 5</t>
        </is>
      </c>
      <c r="J306" s="27" t="inlineStr">
        <is>
          <t>Verbatim from Table 1, Wrosch et al. (2003).</t>
        </is>
      </c>
      <c r="K306" s="27" t="inlineStr">
        <is>
          <t>https://www.cmu.edu/dietrich/psychology/pdf/scales/GAS_article.pdf</t>
        </is>
      </c>
    </row>
    <row r="307" ht="23.85" customHeight="1" s="17">
      <c r="A307" s="27" t="inlineStr">
        <is>
          <t>GADJ</t>
        </is>
      </c>
      <c r="B307" s="27" t="inlineStr">
        <is>
          <t>Goal Adjustment Scale</t>
        </is>
      </c>
      <c r="C307" s="27" t="inlineStr">
        <is>
          <t>6. Motivation, self determination and goal pursuit</t>
        </is>
      </c>
      <c r="D307" s="28" t="n">
        <v>9</v>
      </c>
      <c r="E307" s="27" t="inlineStr">
        <is>
          <t>I start working on other new goals.</t>
        </is>
      </c>
      <c r="F307" s="27" t="inlineStr">
        <is>
          <t>Goal Reengagement</t>
        </is>
      </c>
      <c r="G307" s="27" t="inlineStr">
        <is>
          <t>FALSE</t>
        </is>
      </c>
      <c r="H307" s="27" t="inlineStr">
        <is>
          <t>FALSE</t>
        </is>
      </c>
      <c r="I307" s="27" t="inlineStr">
        <is>
          <t>Almost never true = 1 | 2 = 2 | 3 = 3 | 4 = 4 | Almost always true = 5</t>
        </is>
      </c>
      <c r="J307" s="27" t="inlineStr">
        <is>
          <t>Verbatim from Table 1, Wrosch et al. (2003).</t>
        </is>
      </c>
      <c r="K307" s="27" t="inlineStr">
        <is>
          <t>https://www.cmu.edu/dietrich/psychology/pdf/scales/GAS_article.pdf</t>
        </is>
      </c>
    </row>
    <row r="308" ht="23.85" customHeight="1" s="17">
      <c r="A308" s="27" t="inlineStr">
        <is>
          <t>GADJ</t>
        </is>
      </c>
      <c r="B308" s="27" t="inlineStr">
        <is>
          <t>Goal Adjustment Scale</t>
        </is>
      </c>
      <c r="C308" s="27" t="inlineStr">
        <is>
          <t>6. Motivation, self determination and goal pursuit</t>
        </is>
      </c>
      <c r="D308" s="28" t="n">
        <v>10</v>
      </c>
      <c r="E308" s="27" t="inlineStr">
        <is>
          <t>I put effort toward other meaningful goals.</t>
        </is>
      </c>
      <c r="F308" s="27" t="inlineStr">
        <is>
          <t>Goal Reengagement</t>
        </is>
      </c>
      <c r="G308" s="27" t="inlineStr">
        <is>
          <t>FALSE</t>
        </is>
      </c>
      <c r="H308" s="27" t="inlineStr">
        <is>
          <t>FALSE</t>
        </is>
      </c>
      <c r="I308" s="27" t="inlineStr">
        <is>
          <t>Almost never true = 1 | 2 = 2 | 3 = 3 | 4 = 4 | Almost always true = 5</t>
        </is>
      </c>
      <c r="J308" s="27" t="inlineStr">
        <is>
          <t>Verbatim from Table 1, Wrosch et al. (2003).</t>
        </is>
      </c>
      <c r="K308" s="27" t="inlineStr">
        <is>
          <t>https://www.cmu.edu/dietrich/psychology/pdf/scales/GAS_article.pdf</t>
        </is>
      </c>
    </row>
  </sheetData>
  <autoFilter ref="A1:K30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5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6" min="1" max="1"/>
    <col width="34" customWidth="1" style="16" min="2" max="3"/>
    <col width="42" customWidth="1" style="16" min="4" max="4"/>
    <col width="26" customWidth="1" style="16" min="5" max="5"/>
    <col width="13" customWidth="1" style="16" min="6" max="6"/>
    <col width="24" customWidth="1" style="16" min="7" max="7"/>
    <col width="88" customWidth="1" style="16" min="8" max="8"/>
  </cols>
  <sheetData>
    <row r="1" ht="30" customHeight="1" s="17">
      <c r="A1" s="25" t="inlineStr">
        <is>
          <t>Code</t>
        </is>
      </c>
      <c r="B1" s="25" t="inlineStr">
        <is>
          <t>Instrument Name</t>
        </is>
      </c>
      <c r="C1" s="25" t="inlineStr">
        <is>
          <t>Domain</t>
        </is>
      </c>
      <c r="D1" s="25" t="inlineStr">
        <is>
          <t>Subscale / Theme / Strength</t>
        </is>
      </c>
      <c r="E1" s="25" t="inlineStr">
        <is>
          <t>Item Numbers</t>
        </is>
      </c>
      <c r="F1" s="25" t="inlineStr">
        <is>
          <t>Number of Items</t>
        </is>
      </c>
      <c r="G1" s="25" t="inlineStr">
        <is>
          <t>Score Range</t>
        </is>
      </c>
      <c r="H1" s="25" t="inlineStr">
        <is>
          <t>Description</t>
        </is>
      </c>
    </row>
    <row r="2" ht="23.85" customHeight="1" s="17">
      <c r="A2" s="27" t="inlineStr">
        <is>
          <t>ESQ-R</t>
        </is>
      </c>
      <c r="B2" s="27" t="inlineStr">
        <is>
          <t>Executive Skills Questionnaire - Revised (ESQ-R)</t>
        </is>
      </c>
      <c r="C2" s="27" t="inlineStr">
        <is>
          <t>1. Executive functioning and ADHD</t>
        </is>
      </c>
      <c r="D2" s="27" t="inlineStr">
        <is>
          <t>Plan Management</t>
        </is>
      </c>
      <c r="E2" s="27" t="inlineStr">
        <is>
          <t>6-7, 12-14, 16-18, 22-24</t>
        </is>
      </c>
      <c r="F2" s="28" t="n">
        <v>11</v>
      </c>
      <c r="G2" s="27" t="inlineStr">
        <is>
          <t>0-33</t>
        </is>
      </c>
      <c r="H2" s="27" t="inlineStr">
        <is>
          <t>Ability to create and manage plans for accomplishing tasks.</t>
        </is>
      </c>
    </row>
    <row r="3" ht="23.85" customHeight="1" s="17">
      <c r="A3" s="27" t="inlineStr">
        <is>
          <t>ESQ-R</t>
        </is>
      </c>
      <c r="B3" s="27" t="inlineStr">
        <is>
          <t>Executive Skills Questionnaire - Revised (ESQ-R)</t>
        </is>
      </c>
      <c r="C3" s="27" t="inlineStr">
        <is>
          <t>1. Executive functioning and ADHD</t>
        </is>
      </c>
      <c r="D3" s="27" t="inlineStr">
        <is>
          <t>Time Management</t>
        </is>
      </c>
      <c r="E3" s="27" t="inlineStr">
        <is>
          <t>10-11, 15, 20</t>
        </is>
      </c>
      <c r="F3" s="28" t="n">
        <v>4</v>
      </c>
      <c r="G3" s="27" t="inlineStr">
        <is>
          <t>0-12</t>
        </is>
      </c>
      <c r="H3" s="27" t="inlineStr">
        <is>
          <t>Ability to organize various aspects of time, including estimating and allocating time and working within time constraints.</t>
        </is>
      </c>
    </row>
    <row r="4" ht="23.85" customHeight="1" s="17">
      <c r="A4" s="27" t="inlineStr">
        <is>
          <t>ESQ-R</t>
        </is>
      </c>
      <c r="B4" s="27" t="inlineStr">
        <is>
          <t>Executive Skills Questionnaire - Revised (ESQ-R)</t>
        </is>
      </c>
      <c r="C4" s="27" t="inlineStr">
        <is>
          <t>1. Executive functioning and ADHD</t>
        </is>
      </c>
      <c r="D4" s="27" t="inlineStr">
        <is>
          <t>Organization</t>
        </is>
      </c>
      <c r="E4" s="27" t="inlineStr">
        <is>
          <t>3, 8-9</t>
        </is>
      </c>
      <c r="F4" s="28" t="n">
        <v>3</v>
      </c>
      <c r="G4" s="27" t="inlineStr">
        <is>
          <t>0-9</t>
        </is>
      </c>
      <c r="H4" s="27" t="inlineStr">
        <is>
          <t>Ability to create and maintain systems and keep track of information or materials.</t>
        </is>
      </c>
    </row>
    <row r="5" ht="23.85" customHeight="1" s="17">
      <c r="A5" s="27" t="inlineStr">
        <is>
          <t>ESQ-R</t>
        </is>
      </c>
      <c r="B5" s="27" t="inlineStr">
        <is>
          <t>Executive Skills Questionnaire - Revised (ESQ-R)</t>
        </is>
      </c>
      <c r="C5" s="27" t="inlineStr">
        <is>
          <t>1. Executive functioning and ADHD</t>
        </is>
      </c>
      <c r="D5" s="27" t="inlineStr">
        <is>
          <t>Emotional Regulation</t>
        </is>
      </c>
      <c r="E5" s="27" t="inlineStr">
        <is>
          <t>4-5, 21</t>
        </is>
      </c>
      <c r="F5" s="28" t="n">
        <v>3</v>
      </c>
      <c r="G5" s="27" t="inlineStr">
        <is>
          <t>0-9</t>
        </is>
      </c>
      <c r="H5" s="27" t="inlineStr">
        <is>
          <t>Ability to manage emotions to achieve goals, complete tasks, or control and direct behavior.</t>
        </is>
      </c>
    </row>
    <row r="6" ht="23.85" customHeight="1" s="17">
      <c r="A6" s="27" t="inlineStr">
        <is>
          <t>ESQ-R</t>
        </is>
      </c>
      <c r="B6" s="27" t="inlineStr">
        <is>
          <t>Executive Skills Questionnaire - Revised (ESQ-R)</t>
        </is>
      </c>
      <c r="C6" s="27" t="inlineStr">
        <is>
          <t>1. Executive functioning and ADHD</t>
        </is>
      </c>
      <c r="D6" s="27" t="inlineStr">
        <is>
          <t>Behavioral Regulation</t>
        </is>
      </c>
      <c r="E6" s="27" t="inlineStr">
        <is>
          <t>1-2, 19, 25</t>
        </is>
      </c>
      <c r="F6" s="28" t="n">
        <v>4</v>
      </c>
      <c r="G6" s="27" t="inlineStr">
        <is>
          <t>0-12</t>
        </is>
      </c>
      <c r="H6" s="27" t="inlineStr">
        <is>
          <t>Ability to manage behavior (avoid undesirable behaviors, increase desirable behaviors), think before acting or responding, and consider the consequences of actions.</t>
        </is>
      </c>
    </row>
    <row r="7" ht="23.85" customHeight="1" s="17">
      <c r="A7" s="27" t="inlineStr">
        <is>
          <t>CFI</t>
        </is>
      </c>
      <c r="B7" s="27" t="inlineStr">
        <is>
          <t>Cognitive Flexibility Inventory (CFI)</t>
        </is>
      </c>
      <c r="C7" s="27" t="inlineStr">
        <is>
          <t>1. Executive functioning and ADHD</t>
        </is>
      </c>
      <c r="D7" s="27" t="inlineStr">
        <is>
          <t>Alternatives</t>
        </is>
      </c>
      <c r="E7" s="27" t="inlineStr">
        <is>
          <t>1, 3, 5-6, 8, 10, 12-14, 16, 18-20</t>
        </is>
      </c>
      <c r="F7" s="28" t="n">
        <v>13</v>
      </c>
      <c r="G7" s="27" t="inlineStr">
        <is>
          <t>13-91</t>
        </is>
      </c>
      <c r="H7" s="27" t="inlineStr">
        <is>
          <t>Measures the ability to perceive multiple alternative explanations for life occurrences and human behaviour and the ability to generate multiple alternative solutions to difficult situations.</t>
        </is>
      </c>
    </row>
    <row r="8" ht="15" customHeight="1" s="17">
      <c r="A8" s="27" t="inlineStr">
        <is>
          <t>CFI</t>
        </is>
      </c>
      <c r="B8" s="27" t="inlineStr">
        <is>
          <t>Cognitive Flexibility Inventory (CFI)</t>
        </is>
      </c>
      <c r="C8" s="27" t="inlineStr">
        <is>
          <t>1. Executive functioning and ADHD</t>
        </is>
      </c>
      <c r="D8" s="27" t="inlineStr">
        <is>
          <t>Control</t>
        </is>
      </c>
      <c r="E8" s="27" t="inlineStr">
        <is>
          <t>2, 4, 7, 9, 11, 15, 17</t>
        </is>
      </c>
      <c r="F8" s="28" t="n">
        <v>7</v>
      </c>
      <c r="G8" s="27" t="inlineStr">
        <is>
          <t>7-49</t>
        </is>
      </c>
      <c r="H8" s="27" t="inlineStr">
        <is>
          <t>Measures the tendency to perceive difficult situations as controllable.</t>
        </is>
      </c>
    </row>
    <row r="9" ht="23.85" customHeight="1" s="17">
      <c r="A9" s="27" t="inlineStr">
        <is>
          <t>ASRS</t>
        </is>
      </c>
      <c r="B9" s="27" t="inlineStr">
        <is>
          <t>Adult ADHD Self-Report Scale (ASRS v1.1)</t>
        </is>
      </c>
      <c r="C9" s="27" t="inlineStr">
        <is>
          <t>1. Executive functioning and ADHD</t>
        </is>
      </c>
      <c r="D9" s="27" t="inlineStr">
        <is>
          <t>Part A (Criterion / Screener)</t>
        </is>
      </c>
      <c r="E9" s="27" t="inlineStr">
        <is>
          <t>1-6</t>
        </is>
      </c>
      <c r="F9" s="28" t="n">
        <v>6</v>
      </c>
      <c r="G9" s="27" t="inlineStr">
        <is>
          <t>0-24</t>
        </is>
      </c>
      <c r="H9" s="27" t="inlineStr">
        <is>
          <t>The six items most predictive of ADHD diagnosis (Kessler et al., 2007). Summed on the 0-4 Likert metric. Constitutes the six-item ASRS Screener when used alone.</t>
        </is>
      </c>
    </row>
    <row r="10" ht="23.85" customHeight="1" s="17">
      <c r="A10" s="27" t="inlineStr">
        <is>
          <t>ASRS</t>
        </is>
      </c>
      <c r="B10" s="27" t="inlineStr">
        <is>
          <t>Adult ADHD Self-Report Scale (ASRS v1.1)</t>
        </is>
      </c>
      <c r="C10" s="27" t="inlineStr">
        <is>
          <t>1. Executive functioning and ADHD</t>
        </is>
      </c>
      <c r="D10" s="27" t="inlineStr">
        <is>
          <t>Part B (Additional Symptoms)</t>
        </is>
      </c>
      <c r="E10" s="27" t="inlineStr">
        <is>
          <t>7-18</t>
        </is>
      </c>
      <c r="F10" s="28" t="n">
        <v>12</v>
      </c>
      <c r="G10" s="27" t="inlineStr">
        <is>
          <t>0-48</t>
        </is>
      </c>
      <c r="H10" s="27" t="inlineStr">
        <is>
          <t>Twelve additional DSM-based items providing a broader index of symptom severity and further probes into the client's symptoms.</t>
        </is>
      </c>
    </row>
    <row r="11" ht="35.05" customHeight="1" s="17">
      <c r="A11" s="27" t="inlineStr">
        <is>
          <t>ASRS</t>
        </is>
      </c>
      <c r="B11" s="27" t="inlineStr">
        <is>
          <t>Adult ADHD Self-Report Scale (ASRS v1.1)</t>
        </is>
      </c>
      <c r="C11" s="27" t="inlineStr">
        <is>
          <t>1. Executive functioning and ADHD</t>
        </is>
      </c>
      <c r="D11" s="27" t="inlineStr">
        <is>
          <t>Inattentiveness</t>
        </is>
      </c>
      <c r="E11" s="27" t="inlineStr">
        <is>
          <t>1-4, 7-11</t>
        </is>
      </c>
      <c r="F11" s="28" t="n">
        <v>9</v>
      </c>
      <c r="G11" s="27" t="inlineStr">
        <is>
          <t>0-9 (dichotomous symptom count)</t>
        </is>
      </c>
      <c r="H11" s="27" t="inlineStr">
        <is>
          <t>Stanton et al. (2018) factor. Difficulty focussing on details, being organised, remembering appointments, making careless mistakes, and concentrating. Scored using the original dichotomous method (0 or 1 per item) and reported as number and percentage of items endorsed.</t>
        </is>
      </c>
    </row>
    <row r="12" ht="23.85" customHeight="1" s="17">
      <c r="A12" s="27" t="inlineStr">
        <is>
          <t>ASRS</t>
        </is>
      </c>
      <c r="B12" s="27" t="inlineStr">
        <is>
          <t>Adult ADHD Self-Report Scale (ASRS v1.1)</t>
        </is>
      </c>
      <c r="C12" s="27" t="inlineStr">
        <is>
          <t>1. Executive functioning and ADHD</t>
        </is>
      </c>
      <c r="D12" s="27" t="inlineStr">
        <is>
          <t>Hyperactivity/Impulsivity - Motor</t>
        </is>
      </c>
      <c r="E12" s="27" t="inlineStr">
        <is>
          <t>5-6, 12-14</t>
        </is>
      </c>
      <c r="F12" s="28" t="n">
        <v>5</v>
      </c>
      <c r="G12" s="27" t="inlineStr">
        <is>
          <t>0-5 (dichotomous symptom count)</t>
        </is>
      </c>
      <c r="H12" s="27" t="inlineStr">
        <is>
          <t>Stanton et al. (2018) factor. Difficulty sitting still, staying seated, and ability to relax.</t>
        </is>
      </c>
    </row>
    <row r="13" ht="23.85" customHeight="1" s="17">
      <c r="A13" s="27" t="inlineStr">
        <is>
          <t>ASRS</t>
        </is>
      </c>
      <c r="B13" s="27" t="inlineStr">
        <is>
          <t>Adult ADHD Self-Report Scale (ASRS v1.1)</t>
        </is>
      </c>
      <c r="C13" s="27" t="inlineStr">
        <is>
          <t>1. Executive functioning and ADHD</t>
        </is>
      </c>
      <c r="D13" s="27" t="inlineStr">
        <is>
          <t>Hyperactivity/Impulsivity - Verbal</t>
        </is>
      </c>
      <c r="E13" s="27" t="inlineStr">
        <is>
          <t>15-18</t>
        </is>
      </c>
      <c r="F13" s="28" t="n">
        <v>4</v>
      </c>
      <c r="G13" s="27" t="inlineStr">
        <is>
          <t>0-4 (dichotomous symptom count)</t>
        </is>
      </c>
      <c r="H13" s="27" t="inlineStr">
        <is>
          <t>Stanton et al. (2018) factor. Difficulty controlling how much they talk, interrupting others, and waiting their turn.</t>
        </is>
      </c>
    </row>
    <row r="14" ht="23.85" customHeight="1" s="17">
      <c r="A14" s="27" t="inlineStr">
        <is>
          <t>SKS</t>
        </is>
      </c>
      <c r="B14" s="27" t="inlineStr">
        <is>
          <t>Strengths Knowledge Scale</t>
        </is>
      </c>
      <c r="C14" s="27" t="inlineStr">
        <is>
          <t>2. Strengths knowledge, use and support at work</t>
        </is>
      </c>
      <c r="D14" s="27" t="inlineStr">
        <is>
          <t>Strengths Knowledge (total scale)</t>
        </is>
      </c>
      <c r="E14" s="27" t="inlineStr">
        <is>
          <t>1-8</t>
        </is>
      </c>
      <c r="F14" s="28" t="n">
        <v>8</v>
      </c>
      <c r="G14" s="27" t="inlineStr">
        <is>
          <t>8-56</t>
        </is>
      </c>
      <c r="H14" s="27" t="inlineStr">
        <is>
          <t>Single unidimensional factor; all 8 items load on one strengths-knowledge factor.</t>
        </is>
      </c>
    </row>
    <row r="15" ht="23.85" customHeight="1" s="17">
      <c r="A15" s="27" t="inlineStr">
        <is>
          <t>SUS</t>
        </is>
      </c>
      <c r="B15" s="27" t="inlineStr">
        <is>
          <t>Strengths Use Scale</t>
        </is>
      </c>
      <c r="C15" s="27" t="inlineStr">
        <is>
          <t>2. Strengths knowledge, use and support at work</t>
        </is>
      </c>
      <c r="D15" s="27" t="inlineStr">
        <is>
          <t>Strengths Use (total scale)</t>
        </is>
      </c>
      <c r="E15" s="27" t="inlineStr">
        <is>
          <t>1-14</t>
        </is>
      </c>
      <c r="F15" s="28" t="n">
        <v>14</v>
      </c>
      <c r="G15" s="27" t="inlineStr">
        <is>
          <t>14-98</t>
        </is>
      </c>
      <c r="H15" s="27" t="inlineStr">
        <is>
          <t>Single unidimensional factor; all 14 items load on one strengths-use factor.</t>
        </is>
      </c>
    </row>
    <row r="16" ht="23.85" customHeight="1" s="17">
      <c r="A16" s="27" t="inlineStr">
        <is>
          <t>SSES</t>
        </is>
      </c>
      <c r="B16" s="27" t="inlineStr">
        <is>
          <t>Strengths Self-Efficacy Scale</t>
        </is>
      </c>
      <c r="C16" s="27" t="inlineStr">
        <is>
          <t>2. Strengths knowledge, use and support at work</t>
        </is>
      </c>
      <c r="D16" s="27" t="inlineStr">
        <is>
          <t>Strengths Self-Efficacy (total scale)</t>
        </is>
      </c>
      <c r="E16" s="27" t="inlineStr">
        <is>
          <t>1-11</t>
        </is>
      </c>
      <c r="F16" s="28" t="n">
        <v>11</v>
      </c>
      <c r="G16" s="27" t="inlineStr">
        <is>
          <t>11-110</t>
        </is>
      </c>
      <c r="H16" s="27" t="inlineStr">
        <is>
          <t>Single unidimensional factor confirmed by both exploratory and confirmatory factor analysis in the original validation.</t>
        </is>
      </c>
    </row>
    <row r="17" ht="15" customHeight="1" s="17">
      <c r="A17" s="27" t="inlineStr">
        <is>
          <t>CSES</t>
        </is>
      </c>
      <c r="B17" s="27" t="inlineStr">
        <is>
          <t>Core Self-Evaluations Scale</t>
        </is>
      </c>
      <c r="C17" s="27" t="inlineStr">
        <is>
          <t>3. Adjacent occupational and wellbeing</t>
        </is>
      </c>
      <c r="D17" s="27" t="inlineStr">
        <is>
          <t>Core Self-Evaluations (total scale, unidimensional)</t>
        </is>
      </c>
      <c r="E17" s="27" t="inlineStr">
        <is>
          <t>1-12</t>
        </is>
      </c>
      <c r="F17" s="28" t="n">
        <v>12</v>
      </c>
      <c r="G17" s="27" t="inlineStr">
        <is>
          <t>12-60</t>
        </is>
      </c>
      <c r="H17" s="27" t="inlineStr">
        <is>
          <t>Single higher-order factor; the scale is not intended to be broken into separate subscales.</t>
        </is>
      </c>
    </row>
    <row r="18" ht="15" customHeight="1" s="17">
      <c r="A18" s="27" t="inlineStr">
        <is>
          <t>PES</t>
        </is>
      </c>
      <c r="B18" s="27" t="inlineStr">
        <is>
          <t>Psychological Empowerment Scale</t>
        </is>
      </c>
      <c r="C18" s="27" t="inlineStr">
        <is>
          <t>3. Adjacent occupational and wellbeing</t>
        </is>
      </c>
      <c r="D18" s="27" t="inlineStr">
        <is>
          <t>Meaning</t>
        </is>
      </c>
      <c r="E18" s="27" t="inlineStr">
        <is>
          <t>1-3</t>
        </is>
      </c>
      <c r="F18" s="28" t="n">
        <v>3</v>
      </c>
      <c r="G18" s="27" t="inlineStr">
        <is>
          <t>3-21 (mean 1-7)</t>
        </is>
      </c>
      <c r="H18" s="27" t="inlineStr">
        <is>
          <t>The value of a work goal or purpose, judged in relation to the individual's own ideals or standards.</t>
        </is>
      </c>
    </row>
    <row r="19" ht="15" customHeight="1" s="17">
      <c r="A19" s="27" t="inlineStr">
        <is>
          <t>PES</t>
        </is>
      </c>
      <c r="B19" s="27" t="inlineStr">
        <is>
          <t>Psychological Empowerment Scale</t>
        </is>
      </c>
      <c r="C19" s="27" t="inlineStr">
        <is>
          <t>3. Adjacent occupational and wellbeing</t>
        </is>
      </c>
      <c r="D19" s="27" t="inlineStr">
        <is>
          <t>Competence</t>
        </is>
      </c>
      <c r="E19" s="27" t="inlineStr">
        <is>
          <t>4-6</t>
        </is>
      </c>
      <c r="F19" s="28" t="n">
        <v>3</v>
      </c>
      <c r="G19" s="27" t="inlineStr">
        <is>
          <t>3-21 (mean 1-7)</t>
        </is>
      </c>
      <c r="H19" s="27" t="inlineStr">
        <is>
          <t>Self-efficacy specific to one's work, i.e. belief in one's capability to perform activities with skill.</t>
        </is>
      </c>
    </row>
    <row r="20" ht="15" customHeight="1" s="17">
      <c r="A20" s="27" t="inlineStr">
        <is>
          <t>PES</t>
        </is>
      </c>
      <c r="B20" s="27" t="inlineStr">
        <is>
          <t>Psychological Empowerment Scale</t>
        </is>
      </c>
      <c r="C20" s="27" t="inlineStr">
        <is>
          <t>3. Adjacent occupational and wellbeing</t>
        </is>
      </c>
      <c r="D20" s="27" t="inlineStr">
        <is>
          <t>Self-Determination</t>
        </is>
      </c>
      <c r="E20" s="27" t="inlineStr">
        <is>
          <t>7-9</t>
        </is>
      </c>
      <c r="F20" s="28" t="n">
        <v>3</v>
      </c>
      <c r="G20" s="27" t="inlineStr">
        <is>
          <t>3-21 (mean 1-7)</t>
        </is>
      </c>
      <c r="H20" s="27" t="inlineStr">
        <is>
          <t>A sense of choice and autonomy in initiating and regulating one's own actions at work.</t>
        </is>
      </c>
    </row>
    <row r="21" ht="15" customHeight="1" s="17">
      <c r="A21" s="27" t="inlineStr">
        <is>
          <t>PES</t>
        </is>
      </c>
      <c r="B21" s="27" t="inlineStr">
        <is>
          <t>Psychological Empowerment Scale</t>
        </is>
      </c>
      <c r="C21" s="27" t="inlineStr">
        <is>
          <t>3. Adjacent occupational and wellbeing</t>
        </is>
      </c>
      <c r="D21" s="27" t="inlineStr">
        <is>
          <t>Impact</t>
        </is>
      </c>
      <c r="E21" s="27" t="inlineStr">
        <is>
          <t>10-12</t>
        </is>
      </c>
      <c r="F21" s="28" t="n">
        <v>3</v>
      </c>
      <c r="G21" s="27" t="inlineStr">
        <is>
          <t>3-21 (mean 1-7)</t>
        </is>
      </c>
      <c r="H21" s="27" t="inlineStr">
        <is>
          <t>The degree to which a person can influence strategic, administrative or operating outcomes in their work unit.</t>
        </is>
      </c>
    </row>
    <row r="22" ht="23.85" customHeight="1" s="17">
      <c r="A22" s="27" t="inlineStr">
        <is>
          <t>DASS-21</t>
        </is>
      </c>
      <c r="B22" s="27" t="inlineStr">
        <is>
          <t>Depression Anxiety Stress Scales, 21 item version (DASS-21)</t>
        </is>
      </c>
      <c r="C22" s="27" t="inlineStr">
        <is>
          <t>4. Psychological distress screening</t>
        </is>
      </c>
      <c r="D22" s="27" t="inlineStr">
        <is>
          <t>Depression</t>
        </is>
      </c>
      <c r="E22" s="27" t="inlineStr">
        <is>
          <t>3, 5, 10, 13, 16-17, 21</t>
        </is>
      </c>
      <c r="F22" s="28" t="n">
        <v>7</v>
      </c>
      <c r="G22" s="27" t="inlineStr">
        <is>
          <t>0-21 raw; 0-42 after doubling</t>
        </is>
      </c>
      <c r="H22" s="27" t="inlineStr">
        <is>
          <t>Dysphoria, hopelessness, devaluation of life, self deprecation, lack of interest or involvement, anhedonia and inertia.</t>
        </is>
      </c>
    </row>
    <row r="23" ht="23.85" customHeight="1" s="17">
      <c r="A23" s="27" t="inlineStr">
        <is>
          <t>DASS-21</t>
        </is>
      </c>
      <c r="B23" s="27" t="inlineStr">
        <is>
          <t>Depression Anxiety Stress Scales, 21 item version (DASS-21)</t>
        </is>
      </c>
      <c r="C23" s="27" t="inlineStr">
        <is>
          <t>4. Psychological distress screening</t>
        </is>
      </c>
      <c r="D23" s="27" t="inlineStr">
        <is>
          <t>Anxiety</t>
        </is>
      </c>
      <c r="E23" s="27" t="inlineStr">
        <is>
          <t>2, 4, 7, 9, 15, 19-20</t>
        </is>
      </c>
      <c r="F23" s="28" t="n">
        <v>7</v>
      </c>
      <c r="G23" s="27" t="inlineStr">
        <is>
          <t>0-21 raw; 0-42 after doubling</t>
        </is>
      </c>
      <c r="H23" s="27" t="inlineStr">
        <is>
          <t>Autonomic arousal, skeletal muscle effects, situational anxiety and the subjective experience of anxious affect.</t>
        </is>
      </c>
    </row>
    <row r="24" ht="23.85" customHeight="1" s="17">
      <c r="A24" s="27" t="inlineStr">
        <is>
          <t>DASS-21</t>
        </is>
      </c>
      <c r="B24" s="27" t="inlineStr">
        <is>
          <t>Depression Anxiety Stress Scales, 21 item version (DASS-21)</t>
        </is>
      </c>
      <c r="C24" s="27" t="inlineStr">
        <is>
          <t>4. Psychological distress screening</t>
        </is>
      </c>
      <c r="D24" s="27" t="inlineStr">
        <is>
          <t>Stress</t>
        </is>
      </c>
      <c r="E24" s="27" t="inlineStr">
        <is>
          <t>1, 6, 8, 11-12, 14, 18</t>
        </is>
      </c>
      <c r="F24" s="28" t="n">
        <v>7</v>
      </c>
      <c r="G24" s="27" t="inlineStr">
        <is>
          <t>0-21 raw; 0-42 after doubling</t>
        </is>
      </c>
      <c r="H24" s="27" t="inlineStr">
        <is>
          <t>Difficulty relaxing, nervous arousal, and being easily upset or agitated, irritable or over reactive, and impatient.</t>
        </is>
      </c>
    </row>
    <row r="25" ht="23.85" customHeight="1" s="17">
      <c r="A25" s="27" t="inlineStr">
        <is>
          <t>PTQ</t>
        </is>
      </c>
      <c r="B25" s="27" t="inlineStr">
        <is>
          <t>Perseverative Thinking Questionnaire</t>
        </is>
      </c>
      <c r="C25" s="27" t="inlineStr">
        <is>
          <t>5. Repetitive negative thinking and self talk</t>
        </is>
      </c>
      <c r="D25" s="27" t="inlineStr">
        <is>
          <t>Core Characteristics of Repetitive Negative Thinking</t>
        </is>
      </c>
      <c r="E25" s="27" t="inlineStr">
        <is>
          <t>1-3, 6-8, 11-13</t>
        </is>
      </c>
      <c r="F25" s="28" t="n">
        <v>9</v>
      </c>
      <c r="G25" s="27" t="inlineStr">
        <is>
          <t>0-36</t>
        </is>
      </c>
      <c r="H25" s="27" t="inlineStr">
        <is>
          <t>The repetitive, intrusive and recurrent quality of the thinking itself (e.g. thoughts repeating, intruding, feeling driven to continue, getting stuck).</t>
        </is>
      </c>
    </row>
    <row r="26" ht="23.85" customHeight="1" s="17">
      <c r="A26" s="27" t="inlineStr">
        <is>
          <t>PTQ</t>
        </is>
      </c>
      <c r="B26" s="27" t="inlineStr">
        <is>
          <t>Perseverative Thinking Questionnaire</t>
        </is>
      </c>
      <c r="C26" s="27" t="inlineStr">
        <is>
          <t>5. Repetitive negative thinking and self talk</t>
        </is>
      </c>
      <c r="D26" s="27" t="inlineStr">
        <is>
          <t>Unproductiveness</t>
        </is>
      </c>
      <c r="E26" s="27" t="inlineStr">
        <is>
          <t>4, 9, 14</t>
        </is>
      </c>
      <c r="F26" s="28" t="n">
        <v>3</v>
      </c>
      <c r="G26" s="27" t="inlineStr">
        <is>
          <t>0-12</t>
        </is>
      </c>
      <c r="H26" s="27" t="inlineStr">
        <is>
          <t>The perceived lack of resolution or usefulness of the repetitive thinking (e.g. thinking about problems without solving them, asking unanswerable questions).</t>
        </is>
      </c>
    </row>
    <row r="27" ht="23.85" customHeight="1" s="17">
      <c r="A27" s="27" t="inlineStr">
        <is>
          <t>PTQ</t>
        </is>
      </c>
      <c r="B27" s="27" t="inlineStr">
        <is>
          <t>Perseverative Thinking Questionnaire</t>
        </is>
      </c>
      <c r="C27" s="27" t="inlineStr">
        <is>
          <t>5. Repetitive negative thinking and self talk</t>
        </is>
      </c>
      <c r="D27" s="27" t="inlineStr">
        <is>
          <t>Capturing Mental Capacity</t>
        </is>
      </c>
      <c r="E27" s="27" t="inlineStr">
        <is>
          <t>5, 10, 15</t>
        </is>
      </c>
      <c r="F27" s="28" t="n">
        <v>3</v>
      </c>
      <c r="G27" s="27" t="inlineStr">
        <is>
          <t>0-12</t>
        </is>
      </c>
      <c r="H27" s="27" t="inlineStr">
        <is>
          <t>The degree to which the repetitive thinking absorbs attention and interferes with engaging in other things.</t>
        </is>
      </c>
    </row>
    <row r="28" ht="23.85" customHeight="1" s="17">
      <c r="A28" s="27" t="inlineStr">
        <is>
          <t>RRS</t>
        </is>
      </c>
      <c r="B28" s="27" t="inlineStr">
        <is>
          <t>Ruminative Responses Scale</t>
        </is>
      </c>
      <c r="C28" s="27" t="inlineStr">
        <is>
          <t>5. Repetitive negative thinking and self talk</t>
        </is>
      </c>
      <c r="D28" s="27" t="inlineStr">
        <is>
          <t>Brooding</t>
        </is>
      </c>
      <c r="E28" s="27" t="inlineStr">
        <is>
          <t>5, 10, 13, 15-16</t>
        </is>
      </c>
      <c r="F28" s="28" t="n">
        <v>5</v>
      </c>
      <c r="G28" s="27" t="inlineStr">
        <is>
          <t>5-20</t>
        </is>
      </c>
      <c r="H28" s="27" t="inlineStr">
        <is>
          <t>Passive, self-critical comparison of one's current situation against an unachieved standard (Treynor et al., 2003).</t>
        </is>
      </c>
    </row>
    <row r="29" ht="23.85" customHeight="1" s="17">
      <c r="A29" s="27" t="inlineStr">
        <is>
          <t>RRS</t>
        </is>
      </c>
      <c r="B29" s="27" t="inlineStr">
        <is>
          <t>Ruminative Responses Scale</t>
        </is>
      </c>
      <c r="C29" s="27" t="inlineStr">
        <is>
          <t>5. Repetitive negative thinking and self talk</t>
        </is>
      </c>
      <c r="D29" s="27" t="inlineStr">
        <is>
          <t>Reflection</t>
        </is>
      </c>
      <c r="E29" s="27" t="inlineStr">
        <is>
          <t>7, 11-12, 20-21</t>
        </is>
      </c>
      <c r="F29" s="28" t="n">
        <v>5</v>
      </c>
      <c r="G29" s="27" t="inlineStr">
        <is>
          <t>5-20</t>
        </is>
      </c>
      <c r="H29" s="27" t="inlineStr">
        <is>
          <t>Deliberate, purposeful turning inward to analyse and understand one's low mood (Treynor et al., 2003).</t>
        </is>
      </c>
    </row>
    <row r="30" ht="35.05" customHeight="1" s="17">
      <c r="A30" s="27" t="inlineStr">
        <is>
          <t>RRS</t>
        </is>
      </c>
      <c r="B30" s="27" t="inlineStr">
        <is>
          <t>Ruminative Responses Scale</t>
        </is>
      </c>
      <c r="C30" s="27" t="inlineStr">
        <is>
          <t>5. Repetitive negative thinking and self talk</t>
        </is>
      </c>
      <c r="D30" s="27" t="inlineStr">
        <is>
          <t>Depression-related items (not scored as a subscale)</t>
        </is>
      </c>
      <c r="E30" s="27" t="inlineStr">
        <is>
          <t>1-4, 6, 8-9, 14, 17-19, 22</t>
        </is>
      </c>
      <c r="F30" s="28" t="n">
        <v>12</v>
      </c>
      <c r="G30" s="27" t="inlineStr">
        <is>
          <t>12-48</t>
        </is>
      </c>
      <c r="H30" s="27" t="inlineStr">
        <is>
          <t>The remaining 12 of the original 22 items, found by Treynor et al. (2003) to overlap substantially with depressive symptoms rather than forming a distinct rumination-style subscale; they contribute to the full-scale total but are not used in the Brooding or Reflection subscale scores.</t>
        </is>
      </c>
    </row>
    <row r="31" ht="23.85" customHeight="1" s="17">
      <c r="A31" s="27" t="inlineStr">
        <is>
          <t>FSCRS</t>
        </is>
      </c>
      <c r="B31" s="27" t="inlineStr">
        <is>
          <t>Forms of Self-Criticising/Attacking and Self-Reassuring Scale</t>
        </is>
      </c>
      <c r="C31" s="27" t="inlineStr">
        <is>
          <t>5. Repetitive negative thinking and self talk</t>
        </is>
      </c>
      <c r="D31" s="27" t="inlineStr">
        <is>
          <t>Inadequate Self</t>
        </is>
      </c>
      <c r="E31" s="27" t="inlineStr">
        <is>
          <t>1-2, 4, 6-7, 14, 17-18, 20</t>
        </is>
      </c>
      <c r="F31" s="28" t="n">
        <v>9</v>
      </c>
      <c r="G31" s="27" t="inlineStr">
        <is>
          <t>0-36</t>
        </is>
      </c>
      <c r="H31" s="27" t="inlineStr">
        <is>
          <t>Self-criticism experienced as personal deficiency, inadequacy and disappointment in oneself.</t>
        </is>
      </c>
    </row>
    <row r="32" ht="23.85" customHeight="1" s="17">
      <c r="A32" s="27" t="inlineStr">
        <is>
          <t>FSCRS</t>
        </is>
      </c>
      <c r="B32" s="27" t="inlineStr">
        <is>
          <t>Forms of Self-Criticising/Attacking and Self-Reassuring Scale</t>
        </is>
      </c>
      <c r="C32" s="27" t="inlineStr">
        <is>
          <t>5. Repetitive negative thinking and self talk</t>
        </is>
      </c>
      <c r="D32" s="27" t="inlineStr">
        <is>
          <t>Hated Self</t>
        </is>
      </c>
      <c r="E32" s="27" t="inlineStr">
        <is>
          <t>9-10, 12, 15, 22</t>
        </is>
      </c>
      <c r="F32" s="28" t="n">
        <v>5</v>
      </c>
      <c r="G32" s="27" t="inlineStr">
        <is>
          <t>0-20</t>
        </is>
      </c>
      <c r="H32" s="27" t="inlineStr">
        <is>
          <t>A more punitive, disgust-based, hostile form of self-attacking, including a self-harm-adjacent item (item 9). See coaching note below on careful framing.</t>
        </is>
      </c>
    </row>
    <row r="33" ht="23.85" customHeight="1" s="17">
      <c r="A33" s="27" t="inlineStr">
        <is>
          <t>FSCRS</t>
        </is>
      </c>
      <c r="B33" s="27" t="inlineStr">
        <is>
          <t>Forms of Self-Criticising/Attacking and Self-Reassuring Scale</t>
        </is>
      </c>
      <c r="C33" s="27" t="inlineStr">
        <is>
          <t>5. Repetitive negative thinking and self talk</t>
        </is>
      </c>
      <c r="D33" s="27" t="inlineStr">
        <is>
          <t>Reassured Self</t>
        </is>
      </c>
      <c r="E33" s="27" t="inlineStr">
        <is>
          <t>3, 5, 8, 11, 13, 16, 19, 21</t>
        </is>
      </c>
      <c r="F33" s="28" t="n">
        <v>8</v>
      </c>
      <c r="G33" s="27" t="inlineStr">
        <is>
          <t>0-32</t>
        </is>
      </c>
      <c r="H33" s="27" t="inlineStr">
        <is>
          <t>The capacity to be self-supportive, self-forgiving and self-reassuring in the face of setbacks.</t>
        </is>
      </c>
    </row>
    <row r="34" ht="23.85" customHeight="1" s="17">
      <c r="A34" s="27" t="inlineStr">
        <is>
          <t>SCS-SF</t>
        </is>
      </c>
      <c r="B34" s="27" t="inlineStr">
        <is>
          <t>Self-Compassion Scale – Short Form</t>
        </is>
      </c>
      <c r="C34" s="27" t="inlineStr">
        <is>
          <t>5. Repetitive negative thinking and self talk</t>
        </is>
      </c>
      <c r="D34" s="27" t="inlineStr">
        <is>
          <t>Self-Kindness</t>
        </is>
      </c>
      <c r="E34" s="27" t="inlineStr">
        <is>
          <t>2, 6</t>
        </is>
      </c>
      <c r="F34" s="28" t="n">
        <v>2</v>
      </c>
      <c r="G34" s="27" t="inlineStr">
        <is>
          <t>1-5 (mean of 2 items)</t>
        </is>
      </c>
      <c r="H34" s="27" t="inlineStr">
        <is>
          <t>Being understanding, patient and caring toward oneself when facing difficulty or perceived inadequacy.</t>
        </is>
      </c>
    </row>
    <row r="35" ht="23.85" customHeight="1" s="17">
      <c r="A35" s="27" t="inlineStr">
        <is>
          <t>SCS-SF</t>
        </is>
      </c>
      <c r="B35" s="27" t="inlineStr">
        <is>
          <t>Self-Compassion Scale – Short Form</t>
        </is>
      </c>
      <c r="C35" s="27" t="inlineStr">
        <is>
          <t>5. Repetitive negative thinking and self talk</t>
        </is>
      </c>
      <c r="D35" s="27" t="inlineStr">
        <is>
          <t>Self-Judgment</t>
        </is>
      </c>
      <c r="E35" s="27" t="inlineStr">
        <is>
          <t>11-12</t>
        </is>
      </c>
      <c r="F35" s="28" t="n">
        <v>2</v>
      </c>
      <c r="G35" s="27" t="inlineStr">
        <is>
          <t>1-5 (mean of 2 items, reverse scored)</t>
        </is>
      </c>
      <c r="H35" s="27" t="inlineStr">
        <is>
          <t>Being disapproving, intolerant and impatient toward one's own flaws and inadequacies. Both items are reverse scored so that higher scale scores reflect more self-compassion.</t>
        </is>
      </c>
    </row>
    <row r="36" ht="23.85" customHeight="1" s="17">
      <c r="A36" s="27" t="inlineStr">
        <is>
          <t>SCS-SF</t>
        </is>
      </c>
      <c r="B36" s="27" t="inlineStr">
        <is>
          <t>Self-Compassion Scale – Short Form</t>
        </is>
      </c>
      <c r="C36" s="27" t="inlineStr">
        <is>
          <t>5. Repetitive negative thinking and self talk</t>
        </is>
      </c>
      <c r="D36" s="27" t="inlineStr">
        <is>
          <t>Common Humanity</t>
        </is>
      </c>
      <c r="E36" s="27" t="inlineStr">
        <is>
          <t>5, 10</t>
        </is>
      </c>
      <c r="F36" s="28" t="n">
        <v>2</v>
      </c>
      <c r="G36" s="27" t="inlineStr">
        <is>
          <t>1-5 (mean of 2 items)</t>
        </is>
      </c>
      <c r="H36" s="27" t="inlineStr">
        <is>
          <t>Recognising that failure and inadequacy are part of the shared human experience rather than something isolating.</t>
        </is>
      </c>
    </row>
    <row r="37" ht="23.85" customHeight="1" s="17">
      <c r="A37" s="27" t="inlineStr">
        <is>
          <t>SCS-SF</t>
        </is>
      </c>
      <c r="B37" s="27" t="inlineStr">
        <is>
          <t>Self-Compassion Scale – Short Form</t>
        </is>
      </c>
      <c r="C37" s="27" t="inlineStr">
        <is>
          <t>5. Repetitive negative thinking and self talk</t>
        </is>
      </c>
      <c r="D37" s="27" t="inlineStr">
        <is>
          <t>Isolation</t>
        </is>
      </c>
      <c r="E37" s="27" t="inlineStr">
        <is>
          <t>4, 8</t>
        </is>
      </c>
      <c r="F37" s="28" t="n">
        <v>2</v>
      </c>
      <c r="G37" s="27" t="inlineStr">
        <is>
          <t>1-5 (mean of 2 items, reverse scored)</t>
        </is>
      </c>
      <c r="H37" s="27" t="inlineStr">
        <is>
          <t>Feeling cut off and alone in one's failures rather than connected to others. Both items are reverse scored so that higher scale scores reflect more self-compassion.</t>
        </is>
      </c>
    </row>
    <row r="38" ht="23.85" customHeight="1" s="17">
      <c r="A38" s="27" t="inlineStr">
        <is>
          <t>SCS-SF</t>
        </is>
      </c>
      <c r="B38" s="27" t="inlineStr">
        <is>
          <t>Self-Compassion Scale – Short Form</t>
        </is>
      </c>
      <c r="C38" s="27" t="inlineStr">
        <is>
          <t>5. Repetitive negative thinking and self talk</t>
        </is>
      </c>
      <c r="D38" s="27" t="inlineStr">
        <is>
          <t>Mindfulness</t>
        </is>
      </c>
      <c r="E38" s="27" t="inlineStr">
        <is>
          <t>3, 7</t>
        </is>
      </c>
      <c r="F38" s="28" t="n">
        <v>2</v>
      </c>
      <c r="G38" s="27" t="inlineStr">
        <is>
          <t>1-5 (mean of 2 items)</t>
        </is>
      </c>
      <c r="H38" s="27" t="inlineStr">
        <is>
          <t>Holding painful thoughts and feelings in balanced awareness rather than suppressing or exaggerating them.</t>
        </is>
      </c>
    </row>
    <row r="39" ht="23.85" customHeight="1" s="17">
      <c r="A39" s="27" t="inlineStr">
        <is>
          <t>SCS-SF</t>
        </is>
      </c>
      <c r="B39" s="27" t="inlineStr">
        <is>
          <t>Self-Compassion Scale – Short Form</t>
        </is>
      </c>
      <c r="C39" s="27" t="inlineStr">
        <is>
          <t>5. Repetitive negative thinking and self talk</t>
        </is>
      </c>
      <c r="D39" s="27" t="inlineStr">
        <is>
          <t>Over-Identification</t>
        </is>
      </c>
      <c r="E39" s="27" t="inlineStr">
        <is>
          <t>1, 9</t>
        </is>
      </c>
      <c r="F39" s="28" t="n">
        <v>2</v>
      </c>
      <c r="G39" s="27" t="inlineStr">
        <is>
          <t>1-5 (mean of 2 items, reverse scored)</t>
        </is>
      </c>
      <c r="H39" s="27" t="inlineStr">
        <is>
          <t>Becoming consumed by and fixated on one's negative thoughts and feelings rather than holding them with perspective. Both items are reverse scored so that higher scale scores reflect more self-compassion.</t>
        </is>
      </c>
    </row>
    <row r="40" ht="23.85" customHeight="1" s="17">
      <c r="A40" s="27" t="inlineStr">
        <is>
          <t>BPNSFS</t>
        </is>
      </c>
      <c r="B40" s="27" t="inlineStr">
        <is>
          <t>Basic Psychological Need Satisfaction and Frustration Scale (BPNSFS)</t>
        </is>
      </c>
      <c r="C40" s="27" t="inlineStr">
        <is>
          <t>6. Motivation, self determination and goal pursuit</t>
        </is>
      </c>
      <c r="D40" s="27" t="inlineStr">
        <is>
          <t>Autonomy satisfaction</t>
        </is>
      </c>
      <c r="E40" s="27" t="inlineStr">
        <is>
          <t>1, 7, 13, 19</t>
        </is>
      </c>
      <c r="F40" s="28" t="n">
        <v>4</v>
      </c>
      <c r="G40" s="27" t="inlineStr">
        <is>
          <t>4-20</t>
        </is>
      </c>
      <c r="H40" s="27" t="inlineStr">
        <is>
          <t>Feeling one's actions and choices are self-endorsed and reflect one's own volition.</t>
        </is>
      </c>
    </row>
    <row r="41" ht="23.85" customHeight="1" s="17">
      <c r="A41" s="27" t="inlineStr">
        <is>
          <t>BPNSFS</t>
        </is>
      </c>
      <c r="B41" s="27" t="inlineStr">
        <is>
          <t>Basic Psychological Need Satisfaction and Frustration Scale (BPNSFS)</t>
        </is>
      </c>
      <c r="C41" s="27" t="inlineStr">
        <is>
          <t>6. Motivation, self determination and goal pursuit</t>
        </is>
      </c>
      <c r="D41" s="27" t="inlineStr">
        <is>
          <t>Autonomy frustration</t>
        </is>
      </c>
      <c r="E41" s="27" t="inlineStr">
        <is>
          <t>2, 8, 14, 20</t>
        </is>
      </c>
      <c r="F41" s="28" t="n">
        <v>4</v>
      </c>
      <c r="G41" s="27" t="inlineStr">
        <is>
          <t>4-20</t>
        </is>
      </c>
      <c r="H41" s="27" t="inlineStr">
        <is>
          <t>Feeling pressured or forced into actions that are not one's own choice.</t>
        </is>
      </c>
    </row>
    <row r="42" ht="23.85" customHeight="1" s="17">
      <c r="A42" s="27" t="inlineStr">
        <is>
          <t>BPNSFS</t>
        </is>
      </c>
      <c r="B42" s="27" t="inlineStr">
        <is>
          <t>Basic Psychological Need Satisfaction and Frustration Scale (BPNSFS)</t>
        </is>
      </c>
      <c r="C42" s="27" t="inlineStr">
        <is>
          <t>6. Motivation, self determination and goal pursuit</t>
        </is>
      </c>
      <c r="D42" s="27" t="inlineStr">
        <is>
          <t>Relatedness satisfaction</t>
        </is>
      </c>
      <c r="E42" s="27" t="inlineStr">
        <is>
          <t>3, 9, 15, 21</t>
        </is>
      </c>
      <c r="F42" s="28" t="n">
        <v>4</v>
      </c>
      <c r="G42" s="27" t="inlineStr">
        <is>
          <t>4-20</t>
        </is>
      </c>
      <c r="H42" s="27" t="inlineStr">
        <is>
          <t>Feeling cared for, close to, and connected with significant others.</t>
        </is>
      </c>
    </row>
    <row r="43" ht="23.85" customHeight="1" s="17">
      <c r="A43" s="27" t="inlineStr">
        <is>
          <t>BPNSFS</t>
        </is>
      </c>
      <c r="B43" s="27" t="inlineStr">
        <is>
          <t>Basic Psychological Need Satisfaction and Frustration Scale (BPNSFS)</t>
        </is>
      </c>
      <c r="C43" s="27" t="inlineStr">
        <is>
          <t>6. Motivation, self determination and goal pursuit</t>
        </is>
      </c>
      <c r="D43" s="27" t="inlineStr">
        <is>
          <t>Relatedness frustration</t>
        </is>
      </c>
      <c r="E43" s="27" t="inlineStr">
        <is>
          <t>4, 10, 16, 22</t>
        </is>
      </c>
      <c r="F43" s="28" t="n">
        <v>4</v>
      </c>
      <c r="G43" s="27" t="inlineStr">
        <is>
          <t>4-20</t>
        </is>
      </c>
      <c r="H43" s="27" t="inlineStr">
        <is>
          <t>Feeling excluded, disliked, or that relationships are cold, distant or superficial.</t>
        </is>
      </c>
    </row>
    <row r="44" ht="23.85" customHeight="1" s="17">
      <c r="A44" s="27" t="inlineStr">
        <is>
          <t>BPNSFS</t>
        </is>
      </c>
      <c r="B44" s="27" t="inlineStr">
        <is>
          <t>Basic Psychological Need Satisfaction and Frustration Scale (BPNSFS)</t>
        </is>
      </c>
      <c r="C44" s="27" t="inlineStr">
        <is>
          <t>6. Motivation, self determination and goal pursuit</t>
        </is>
      </c>
      <c r="D44" s="27" t="inlineStr">
        <is>
          <t>Competence satisfaction</t>
        </is>
      </c>
      <c r="E44" s="27" t="inlineStr">
        <is>
          <t>5, 11, 17, 23</t>
        </is>
      </c>
      <c r="F44" s="28" t="n">
        <v>4</v>
      </c>
      <c r="G44" s="27" t="inlineStr">
        <is>
          <t>4-20</t>
        </is>
      </c>
      <c r="H44" s="27" t="inlineStr">
        <is>
          <t>Feeling capable and effective in one's activities and able to master challenges.</t>
        </is>
      </c>
    </row>
    <row r="45" ht="23.85" customHeight="1" s="17">
      <c r="A45" s="27" t="inlineStr">
        <is>
          <t>BPNSFS</t>
        </is>
      </c>
      <c r="B45" s="27" t="inlineStr">
        <is>
          <t>Basic Psychological Need Satisfaction and Frustration Scale (BPNSFS)</t>
        </is>
      </c>
      <c r="C45" s="27" t="inlineStr">
        <is>
          <t>6. Motivation, self determination and goal pursuit</t>
        </is>
      </c>
      <c r="D45" s="27" t="inlineStr">
        <is>
          <t>Competence frustration</t>
        </is>
      </c>
      <c r="E45" s="27" t="inlineStr">
        <is>
          <t>6, 12, 18, 24</t>
        </is>
      </c>
      <c r="F45" s="28" t="n">
        <v>4</v>
      </c>
      <c r="G45" s="27" t="inlineStr">
        <is>
          <t>4-20</t>
        </is>
      </c>
      <c r="H45" s="27" t="inlineStr">
        <is>
          <t>Feeling like a failure, insecure or doubtful about one's abilities and performance.</t>
        </is>
      </c>
    </row>
    <row r="46" ht="35.05" customHeight="1" s="17">
      <c r="A46" s="27" t="inlineStr">
        <is>
          <t>PPS</t>
        </is>
      </c>
      <c r="B46" s="27" t="inlineStr">
        <is>
          <t>Pure Procrastination Scale</t>
        </is>
      </c>
      <c r="C46" s="27" t="inlineStr">
        <is>
          <t>6. Motivation, self determination and goal pursuit</t>
        </is>
      </c>
      <c r="D46" s="27" t="inlineStr">
        <is>
          <t>Pure Procrastination (total scale)</t>
        </is>
      </c>
      <c r="E46" s="27" t="inlineStr">
        <is>
          <t>1-12</t>
        </is>
      </c>
      <c r="F46" s="28" t="n">
        <v>12</v>
      </c>
      <c r="G46" s="27" t="inlineStr">
        <is>
          <t>12-60</t>
        </is>
      </c>
      <c r="H46" s="27" t="inlineStr">
        <is>
          <t>Single unidimensional factor; no subscales are scored separately, though items are drawn from three source scales (Decisional Procrastination Scale items 1-3, General Procrastination Scale items 4-8, Adult Inventory of Procrastination items 9-12) as noted in Table 1 of the source article.</t>
        </is>
      </c>
    </row>
    <row r="47" ht="23.85" customHeight="1" s="17">
      <c r="A47" s="27" t="inlineStr">
        <is>
          <t>IPS</t>
        </is>
      </c>
      <c r="B47" s="27" t="inlineStr">
        <is>
          <t>Irrational Procrastination Scale</t>
        </is>
      </c>
      <c r="C47" s="27" t="inlineStr">
        <is>
          <t>6. Motivation, self determination and goal pursuit</t>
        </is>
      </c>
      <c r="D47" s="27" t="inlineStr">
        <is>
          <t>Irrational Procrastination (total scale)</t>
        </is>
      </c>
      <c r="E47" s="27" t="inlineStr">
        <is>
          <t>1-9</t>
        </is>
      </c>
      <c r="F47" s="28" t="n">
        <v>9</v>
      </c>
      <c r="G47" s="27" t="inlineStr">
        <is>
          <t>9-45</t>
        </is>
      </c>
      <c r="H47" s="27" t="inlineStr">
        <is>
          <t>Single unidimensional factor. Table 1 of the source article marks items 2, 6 and 9 with '(R)', denoting reverse-scored items, exactly as stated in the source: '(R) denoted items are reversed scored.'</t>
        </is>
      </c>
    </row>
    <row r="48" ht="23.85" customHeight="1" s="17">
      <c r="A48" s="27" t="inlineStr">
        <is>
          <t>GSE</t>
        </is>
      </c>
      <c r="B48" s="27" t="inlineStr">
        <is>
          <t>General Self-Efficacy Scale</t>
        </is>
      </c>
      <c r="C48" s="27" t="inlineStr">
        <is>
          <t>6. Motivation, self determination and goal pursuit</t>
        </is>
      </c>
      <c r="D48" s="27" t="inlineStr">
        <is>
          <t>General Self-Efficacy (total scale)</t>
        </is>
      </c>
      <c r="E48" s="27" t="inlineStr">
        <is>
          <t>1-10</t>
        </is>
      </c>
      <c r="F48" s="28" t="n">
        <v>10</v>
      </c>
      <c r="G48" s="27" t="inlineStr">
        <is>
          <t>10-40</t>
        </is>
      </c>
      <c r="H48" s="27" t="inlineStr">
        <is>
          <t>Single unidimensional factor, as stated on the official page: the scale is unidimensional.</t>
        </is>
      </c>
    </row>
    <row r="49" ht="23.85" customHeight="1" s="17">
      <c r="A49" s="27" t="inlineStr">
        <is>
          <t>GCS</t>
        </is>
      </c>
      <c r="B49" s="27" t="inlineStr">
        <is>
          <t>Goal Commitment Scale (5-item unidimensional version)</t>
        </is>
      </c>
      <c r="C49" s="27" t="inlineStr">
        <is>
          <t>6. Motivation, self determination and goal pursuit</t>
        </is>
      </c>
      <c r="D49" s="27" t="inlineStr">
        <is>
          <t>Goal Commitment</t>
        </is>
      </c>
      <c r="E49" s="27" t="inlineStr">
        <is>
          <t>1-5</t>
        </is>
      </c>
      <c r="F49" s="28" t="n">
        <v>5</v>
      </c>
      <c r="G49" s="27" t="inlineStr">
        <is>
          <t>5-25 (sum) or 1-5 (mean) on a 5 point scale</t>
        </is>
      </c>
      <c r="H49" s="27" t="inlineStr">
        <is>
          <t>Unidimensional commitment to a specific goal the respondent has named.</t>
        </is>
      </c>
    </row>
    <row r="50" ht="35.05" customHeight="1" s="17">
      <c r="A50" s="27" t="inlineStr">
        <is>
          <t>GADJ</t>
        </is>
      </c>
      <c r="B50" s="27" t="inlineStr">
        <is>
          <t>Goal Adjustment Scale</t>
        </is>
      </c>
      <c r="C50" s="27" t="inlineStr">
        <is>
          <t>6. Motivation, self determination and goal pursuit</t>
        </is>
      </c>
      <c r="D50" s="27" t="inlineStr">
        <is>
          <t>Goal Disengagement</t>
        </is>
      </c>
      <c r="E50" s="27" t="inlineStr">
        <is>
          <t>1-4</t>
        </is>
      </c>
      <c r="F50" s="28" t="n">
        <v>4</v>
      </c>
      <c r="G50" s="27" t="inlineStr">
        <is>
          <t>4-20 (sum) or 1-5 (mean)</t>
        </is>
      </c>
      <c r="H50" s="27" t="inlineStr">
        <is>
          <t>4 items measuring the ability to reduce effort and commitment toward, and stop thinking about, a goal that can no longer be reached. Items 2 and 3 are reverse-scored before summing/averaging, since they are worded in the direction of persistence rather than disengagement.</t>
        </is>
      </c>
    </row>
    <row r="51" ht="23.85" customHeight="1" s="17">
      <c r="A51" s="27" t="inlineStr">
        <is>
          <t>GADJ</t>
        </is>
      </c>
      <c r="B51" s="27" t="inlineStr">
        <is>
          <t>Goal Adjustment Scale</t>
        </is>
      </c>
      <c r="C51" s="27" t="inlineStr">
        <is>
          <t>6. Motivation, self determination and goal pursuit</t>
        </is>
      </c>
      <c r="D51" s="27" t="inlineStr">
        <is>
          <t>Goal Reengagement</t>
        </is>
      </c>
      <c r="E51" s="27" t="inlineStr">
        <is>
          <t>5-10</t>
        </is>
      </c>
      <c r="F51" s="28" t="n">
        <v>6</v>
      </c>
      <c r="G51" s="27" t="inlineStr">
        <is>
          <t>6-30 (sum) or 1-5 (mean)</t>
        </is>
      </c>
      <c r="H51" s="27" t="inlineStr">
        <is>
          <t>6 items measuring the ability to identify, commit to, and start pursuing new goals after disengaging from an old one. No items in this subscale are reverse-scored.</t>
        </is>
      </c>
    </row>
    <row r="52">
      <c r="A52" s="16" t="inlineStr">
        <is>
          <t>PCI</t>
        </is>
      </c>
      <c r="B52" s="16" t="inlineStr">
        <is>
          <t>Perfectionism Cognitions Inventory</t>
        </is>
      </c>
      <c r="C52" s="16" t="inlineStr">
        <is>
          <t>5. Repetitive negative thinking and self talk</t>
        </is>
      </c>
      <c r="D52" s="16" t="inlineStr">
        <is>
          <t>Perfectionism Cognitions (total scale)</t>
        </is>
      </c>
      <c r="E52" s="16" t="inlineStr">
        <is>
          <t>1-25</t>
        </is>
      </c>
      <c r="F52" s="16" t="n">
        <v>25</v>
      </c>
      <c r="G52" s="16" t="inlineStr">
        <is>
          <t>0-100</t>
        </is>
      </c>
      <c r="H52" s="16" t="inlineStr">
        <is>
          <t>Single total score; higher means more frequent perfectionistic thoughts. Row added for the hub.</t>
        </is>
      </c>
    </row>
  </sheetData>
  <autoFilter ref="A1:H5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6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6" min="1" max="1"/>
    <col width="34" customWidth="1" style="16" min="2" max="3"/>
    <col width="14" customWidth="1" style="16" min="4" max="4"/>
    <col width="126" customWidth="1" style="16" min="5" max="5"/>
  </cols>
  <sheetData>
    <row r="1" ht="30" customHeight="1" s="17">
      <c r="A1" s="25" t="inlineStr">
        <is>
          <t>Code</t>
        </is>
      </c>
      <c r="B1" s="25" t="inlineStr">
        <is>
          <t>Instrument Name</t>
        </is>
      </c>
      <c r="C1" s="25" t="inlineStr">
        <is>
          <t>Domain</t>
        </is>
      </c>
      <c r="D1" s="25" t="inlineStr">
        <is>
          <t>Type</t>
        </is>
      </c>
      <c r="E1" s="25" t="inlineStr">
        <is>
          <t>Citation (APA 7)</t>
        </is>
      </c>
    </row>
    <row r="2" ht="35.05" customHeight="1" s="17">
      <c r="A2" s="27" t="inlineStr">
        <is>
          <t>ESQ-R</t>
        </is>
      </c>
      <c r="B2" s="27" t="inlineStr">
        <is>
          <t>Executive Skills Questionnaire - Revised (ESQ-R)</t>
        </is>
      </c>
      <c r="C2" s="27" t="inlineStr">
        <is>
          <t>1. Executive functioning and ADHD</t>
        </is>
      </c>
      <c r="D2" s="27" t="inlineStr">
        <is>
          <t>Developer</t>
        </is>
      </c>
      <c r="E2" s="27" t="inlineStr">
        <is>
          <t>Developed by Dr. Peg Dawson (Smart But Scattered Kids). Original citation: Strait, J. E., Dawson, P., Walther, C. A. P., Strait, G. G., Barton, A. K., &amp; McClain, M. B. (2020). Refinement and psychometric evaluation of the Executive Skills Questionnaire-Revised. Contemporary School Psychology, 24, 378-388. https://doi.org/10.1007/s40688-018-00224-x</t>
        </is>
      </c>
    </row>
    <row r="3" ht="23.85" customHeight="1" s="17">
      <c r="A3" s="27" t="inlineStr">
        <is>
          <t>ESQ-R</t>
        </is>
      </c>
      <c r="B3" s="27" t="inlineStr">
        <is>
          <t>Executive Skills Questionnaire - Revised (ESQ-R)</t>
        </is>
      </c>
      <c r="C3" s="27" t="inlineStr">
        <is>
          <t>1. Executive functioning and ADHD</t>
        </is>
      </c>
      <c r="D3" s="27" t="inlineStr">
        <is>
          <t>Reference</t>
        </is>
      </c>
      <c r="E3" s="27" t="inlineStr">
        <is>
          <t>Strait, J. E., Dawson, P., Walther, C. A. P., Strait, G. G., Barton, A. K., &amp; McClain, M. B. (2020). Refinement and psychometric evaluation of the Executive Skills Questionnaire-Revised. Contemporary School Psychology, 24, 378-388. https://doi.org/10.1007/s40688-018-00224-x</t>
        </is>
      </c>
    </row>
    <row r="4" ht="23.85" customHeight="1" s="17">
      <c r="A4" s="27" t="inlineStr">
        <is>
          <t>ESQ-R</t>
        </is>
      </c>
      <c r="B4" s="27" t="inlineStr">
        <is>
          <t>Executive Skills Questionnaire - Revised (ESQ-R)</t>
        </is>
      </c>
      <c r="C4" s="27" t="inlineStr">
        <is>
          <t>1. Executive functioning and ADHD</t>
        </is>
      </c>
      <c r="D4" s="27" t="inlineStr">
        <is>
          <t>Reference</t>
        </is>
      </c>
      <c r="E4" s="27" t="inlineStr">
        <is>
          <t>Aksayli, N. D., Sala, G., &amp; Gobet, F. (2019). The cognitive and academic benefits of Cogmed: A meta-analysis. Educational Research Review, 27, 229-243. https://doi.org/10.1016/j.edurev.2019.04.003</t>
        </is>
      </c>
    </row>
    <row r="5" ht="23.85" customHeight="1" s="17">
      <c r="A5" s="27" t="inlineStr">
        <is>
          <t>ESQ-R</t>
        </is>
      </c>
      <c r="B5" s="27" t="inlineStr">
        <is>
          <t>Executive Skills Questionnaire - Revised (ESQ-R)</t>
        </is>
      </c>
      <c r="C5" s="27" t="inlineStr">
        <is>
          <t>1. Executive functioning and ADHD</t>
        </is>
      </c>
      <c r="D5" s="27" t="inlineStr">
        <is>
          <t>Reference</t>
        </is>
      </c>
      <c r="E5" s="27" t="inlineStr">
        <is>
          <t>Craig, F., Margari, F., Legrottaglie, A. R., Palumbi, R., de Giambattista, C., &amp; Margari, L. (2016). A review of executive function deficits in autism spectrum disorder and attention-deficit/hyperactivity disorder. Neuropsychiatric Disease and Treatment, 12, 1191-1202. https://doi.org/10.2147/NDT.S104620</t>
        </is>
      </c>
    </row>
    <row r="6" ht="23.85" customHeight="1" s="17">
      <c r="A6" s="27" t="inlineStr">
        <is>
          <t>ESQ-R</t>
        </is>
      </c>
      <c r="B6" s="27" t="inlineStr">
        <is>
          <t>Executive Skills Questionnaire - Revised (ESQ-R)</t>
        </is>
      </c>
      <c r="C6" s="27" t="inlineStr">
        <is>
          <t>1. Executive functioning and ADHD</t>
        </is>
      </c>
      <c r="D6" s="27" t="inlineStr">
        <is>
          <t>Reference</t>
        </is>
      </c>
      <c r="E6" s="27" t="inlineStr">
        <is>
          <t>Dawson, P., &amp; Guare, R. (2018). Executive skills in children and adolescents: A practical guide to assessment and intervention (3rd ed.). The Guilford Press.</t>
        </is>
      </c>
    </row>
    <row r="7" ht="23.85" customHeight="1" s="17">
      <c r="A7" s="27" t="inlineStr">
        <is>
          <t>ESQ-R</t>
        </is>
      </c>
      <c r="B7" s="27" t="inlineStr">
        <is>
          <t>Executive Skills Questionnaire - Revised (ESQ-R)</t>
        </is>
      </c>
      <c r="C7" s="27" t="inlineStr">
        <is>
          <t>1. Executive functioning and ADHD</t>
        </is>
      </c>
      <c r="D7" s="27" t="inlineStr">
        <is>
          <t>Reference</t>
        </is>
      </c>
      <c r="E7" s="27" t="inlineStr">
        <is>
          <t>Miyake, A., Friedman, N. P., Emerson, M. J., Witzki, A. H., Howerter, A., &amp; Wager, T. D. (2000). The unity and diversity of executive functions and their contributions to complex 'frontal lobe' tasks: A latent variable analysis. Cognitive Psychology, 41, 49-100. https://doi.org/10.1006/cogp.1999.0734</t>
        </is>
      </c>
    </row>
    <row r="8" ht="23.85" customHeight="1" s="17">
      <c r="A8" s="27" t="inlineStr">
        <is>
          <t>ESQ-R</t>
        </is>
      </c>
      <c r="B8" s="27" t="inlineStr">
        <is>
          <t>Executive Skills Questionnaire - Revised (ESQ-R)</t>
        </is>
      </c>
      <c r="C8" s="27" t="inlineStr">
        <is>
          <t>1. Executive functioning and ADHD</t>
        </is>
      </c>
      <c r="D8" s="27" t="inlineStr">
        <is>
          <t>Reference</t>
        </is>
      </c>
      <c r="E8" s="27" t="inlineStr">
        <is>
          <t>Nasir, H., Tan, C. S., &amp; Pheh, K. S. (2021). The Executive Skills Questionnaire-Revised: Adaptation and psychometric properties in the working context of Malaysia. International Journal of Environmental Research and Public Health, 18(17), 8978. https://doi.org/10.3390/ijerph18178978</t>
        </is>
      </c>
    </row>
    <row r="9" ht="23.85" customHeight="1" s="17">
      <c r="A9" s="27" t="inlineStr">
        <is>
          <t>CFI</t>
        </is>
      </c>
      <c r="B9" s="27" t="inlineStr">
        <is>
          <t>Cognitive Flexibility Inventory (CFI)</t>
        </is>
      </c>
      <c r="C9" s="27" t="inlineStr">
        <is>
          <t>1. Executive functioning and ADHD</t>
        </is>
      </c>
      <c r="D9" s="27" t="inlineStr">
        <is>
          <t>Developer</t>
        </is>
      </c>
      <c r="E9" s="27" t="inlineStr">
        <is>
          <t>Dennis, J. P., &amp; Vander Wal, J. S. (2010). The cognitive flexibility inventory: Instrument development and estimates of reliability and validity. Cognitive Therapy and Research, 34(3), 241-253. https://doi.org/10.1007/s10608-009-9276-4</t>
        </is>
      </c>
    </row>
    <row r="10" ht="23.85" customHeight="1" s="17">
      <c r="A10" s="27" t="inlineStr">
        <is>
          <t>CFI</t>
        </is>
      </c>
      <c r="B10" s="27" t="inlineStr">
        <is>
          <t>Cognitive Flexibility Inventory (CFI)</t>
        </is>
      </c>
      <c r="C10" s="27" t="inlineStr">
        <is>
          <t>1. Executive functioning and ADHD</t>
        </is>
      </c>
      <c r="D10" s="27" t="inlineStr">
        <is>
          <t>Reference</t>
        </is>
      </c>
      <c r="E10" s="27" t="inlineStr">
        <is>
          <t>Johnco, C., Wuthrich, V. M., &amp; Rapee, R. M. (2014). Reliability and validity of two self-report measures of cognitive flexibility. Psychological Assessment, 26(4), 1381-1387. https://doi.org/10.1037/a0038009</t>
        </is>
      </c>
    </row>
    <row r="11" ht="35.05" customHeight="1" s="17">
      <c r="A11" s="27" t="inlineStr">
        <is>
          <t>ASRS</t>
        </is>
      </c>
      <c r="B11" s="27" t="inlineStr">
        <is>
          <t>Adult ADHD Self-Report Scale (ASRS v1.1)</t>
        </is>
      </c>
      <c r="C11" s="27" t="inlineStr">
        <is>
          <t>1. Executive functioning and ADHD</t>
        </is>
      </c>
      <c r="D11" s="27" t="inlineStr">
        <is>
          <t>Developer</t>
        </is>
      </c>
      <c r="E11" s="27" t="inlineStr">
        <is>
          <t>Kessler, R. C., Adler, L., Ames, M., Demler, O., Faraone, S., Hiripi, E., Howes, M. J., Jin, R., Secnik, K., Spencer, T., Ustun, T. B., &amp; Walters, E. E. (2005). The World Health Organization Adult ADHD Self-Report Scale (ASRS): a short screening scale for use in the general population. Psychological Medicine, 35(2), 245-256. https://doi.org/10.1017/s0033291704002892</t>
        </is>
      </c>
    </row>
    <row r="12" ht="35.05" customHeight="1" s="17">
      <c r="A12" s="27" t="inlineStr">
        <is>
          <t>ASRS</t>
        </is>
      </c>
      <c r="B12" s="27" t="inlineStr">
        <is>
          <t>Adult ADHD Self-Report Scale (ASRS v1.1)</t>
        </is>
      </c>
      <c r="C12" s="27" t="inlineStr">
        <is>
          <t>1. Executive functioning and ADHD</t>
        </is>
      </c>
      <c r="D12" s="27" t="inlineStr">
        <is>
          <t>Reference</t>
        </is>
      </c>
      <c r="E12" s="27" t="inlineStr">
        <is>
          <t>Adler, L. A., Faraone, S. V., Sarocco, P., Atkins, N., &amp; Khachatryan, A. (2019). Establishing US norms for the Adult ADHD Self-Report Scale (ASRS-v1.1) and characterising symptom burden among adults with self-reported ADHD. International Journal of Clinical Practice, 73(1), e13260. https://doi.org/10.1111/ijcp.13260</t>
        </is>
      </c>
    </row>
    <row r="13" ht="23.85" customHeight="1" s="17">
      <c r="A13" s="27" t="inlineStr">
        <is>
          <t>ASRS</t>
        </is>
      </c>
      <c r="B13" s="27" t="inlineStr">
        <is>
          <t>Adult ADHD Self-Report Scale (ASRS v1.1)</t>
        </is>
      </c>
      <c r="C13" s="27" t="inlineStr">
        <is>
          <t>1. Executive functioning and ADHD</t>
        </is>
      </c>
      <c r="D13" s="27" t="inlineStr">
        <is>
          <t>Reference</t>
        </is>
      </c>
      <c r="E13" s="27" t="inlineStr">
        <is>
          <t>Adler, L. A., Spencer, T., Faraone, S. V., Kessler, R. C., Howes, M. J., Biederman, J., &amp; Secnik, K. (2006). Validity of pilot Adult ADHD Self-Report Scale (ASRS) to Rate Adult ADHD symptoms. Annals of Clinical Psychiatry, 18(3), 145-148. https://doi.org/10.1080/10401230600801077</t>
        </is>
      </c>
    </row>
    <row r="14" ht="23.85" customHeight="1" s="17">
      <c r="A14" s="27" t="inlineStr">
        <is>
          <t>ASRS</t>
        </is>
      </c>
      <c r="B14" s="27" t="inlineStr">
        <is>
          <t>Adult ADHD Self-Report Scale (ASRS v1.1)</t>
        </is>
      </c>
      <c r="C14" s="27" t="inlineStr">
        <is>
          <t>1. Executive functioning and ADHD</t>
        </is>
      </c>
      <c r="D14" s="27" t="inlineStr">
        <is>
          <t>Reference</t>
        </is>
      </c>
      <c r="E14" s="27" t="inlineStr">
        <is>
          <t>Alarachi, A., Merrifield, C., Rowa, K., &amp; McCabe, R. E. (2024). Are we measuring ADHD or anxiety? Examining the factor structure and discriminant validity of the Adult ADHD Self-Report Scale in an adult anxiety disorder population. Assessment, 31(7), 1508-1524. https://doi.org/10.1177/10731911231225190</t>
        </is>
      </c>
    </row>
    <row r="15" ht="35.05" customHeight="1" s="17">
      <c r="A15" s="27" t="inlineStr">
        <is>
          <t>ASRS</t>
        </is>
      </c>
      <c r="B15" s="27" t="inlineStr">
        <is>
          <t>Adult ADHD Self-Report Scale (ASRS v1.1)</t>
        </is>
      </c>
      <c r="C15" s="27" t="inlineStr">
        <is>
          <t>1. Executive functioning and ADHD</t>
        </is>
      </c>
      <c r="D15" s="27" t="inlineStr">
        <is>
          <t>Reference</t>
        </is>
      </c>
      <c r="E15" s="27" t="inlineStr">
        <is>
          <t>Brevik, E. J., Lundervold, A. J., Haavik, J., &amp; Posserud, M. B. (2020). Validity and accuracy of the Adult ADHD Self-Report Scale (ASRS) and the Wender Utah Rating Scale (WURS) symptom checklists in discriminating between adults with and without ADHD. Brain and Behavior, 10(6), e01605. https://doi.org/10.1002/brb3.1605</t>
        </is>
      </c>
    </row>
    <row r="16" ht="23.85" customHeight="1" s="17">
      <c r="A16" s="27" t="inlineStr">
        <is>
          <t>ASRS</t>
        </is>
      </c>
      <c r="B16" s="27" t="inlineStr">
        <is>
          <t>Adult ADHD Self-Report Scale (ASRS v1.1)</t>
        </is>
      </c>
      <c r="C16" s="27" t="inlineStr">
        <is>
          <t>1. Executive functioning and ADHD</t>
        </is>
      </c>
      <c r="D16" s="27" t="inlineStr">
        <is>
          <t>Reference</t>
        </is>
      </c>
      <c r="E16" s="27" t="inlineStr">
        <is>
          <t>Harvard Medical School. (2024, February 28). ASRS v1.1 screener (6Q) scoring update [PDF]. https://www.hcp.med.harvard.edu/ncs/ftpdir/adhd/ASRS_v1.1_screener(6Q)_scoring_update.pdf</t>
        </is>
      </c>
    </row>
    <row r="17" ht="23.85" customHeight="1" s="17">
      <c r="A17" s="27" t="inlineStr">
        <is>
          <t>ASRS</t>
        </is>
      </c>
      <c r="B17" s="27" t="inlineStr">
        <is>
          <t>Adult ADHD Self-Report Scale (ASRS v1.1)</t>
        </is>
      </c>
      <c r="C17" s="27" t="inlineStr">
        <is>
          <t>1. Executive functioning and ADHD</t>
        </is>
      </c>
      <c r="D17" s="27" t="inlineStr">
        <is>
          <t>Reference</t>
        </is>
      </c>
      <c r="E17" s="27" t="inlineStr">
        <is>
          <t>Hines, J. L., King, T. S., &amp; Curry, W. J. (2012). The Adult ADHD Self-Report Scale for screening for adult attention deficit-hyperactivity disorder (ADHD). Journal of the American Board of Family Medicine, 25(6), 847-853. https://doi.org/10.3122/jabfm.2012.06.120065</t>
        </is>
      </c>
    </row>
    <row r="18" ht="35.05" customHeight="1" s="17">
      <c r="A18" s="27" t="inlineStr">
        <is>
          <t>ASRS</t>
        </is>
      </c>
      <c r="B18" s="27" t="inlineStr">
        <is>
          <t>Adult ADHD Self-Report Scale (ASRS v1.1)</t>
        </is>
      </c>
      <c r="C18" s="27" t="inlineStr">
        <is>
          <t>1. Executive functioning and ADHD</t>
        </is>
      </c>
      <c r="D18" s="27" t="inlineStr">
        <is>
          <t>Reference</t>
        </is>
      </c>
      <c r="E18" s="27" t="inlineStr">
        <is>
          <t>Kessler, R. C., Adler, L. A., Gruber, M. J., Sarawate, C. A., Spencer, T., &amp; Van Brunt, D. L. (2007). Validity of the World Health Organization Adult ADHD Self-Report Scale (ASRS) Screener in a representative sample of health plan members. International Journal of Methods in Psychiatric Research, 16(2), 52-65. https://doi.org/10.1002/mpr.208</t>
        </is>
      </c>
    </row>
    <row r="19" ht="23.85" customHeight="1" s="17">
      <c r="A19" s="27" t="inlineStr">
        <is>
          <t>ASRS</t>
        </is>
      </c>
      <c r="B19" s="27" t="inlineStr">
        <is>
          <t>Adult ADHD Self-Report Scale (ASRS v1.1)</t>
        </is>
      </c>
      <c r="C19" s="27" t="inlineStr">
        <is>
          <t>1. Executive functioning and ADHD</t>
        </is>
      </c>
      <c r="D19" s="27" t="inlineStr">
        <is>
          <t>Reference</t>
        </is>
      </c>
      <c r="E19" s="27" t="inlineStr">
        <is>
          <t>Stanton, K., Forbes, M. K., &amp; Zimmerman, M. (2018). Distinct dimensions defining the Adult ADHD Self-Report Scale: Implications for assessing inattentive and hyperactive/impulsive symptoms. Psychological Assessment, 30(12), 1549-1559. https://doi.org/10.1037/pas0000604</t>
        </is>
      </c>
    </row>
    <row r="20" ht="23.85" customHeight="1" s="17">
      <c r="A20" s="27" t="inlineStr">
        <is>
          <t>SKS</t>
        </is>
      </c>
      <c r="B20" s="27" t="inlineStr">
        <is>
          <t>Strengths Knowledge Scale</t>
        </is>
      </c>
      <c r="C20" s="27" t="inlineStr">
        <is>
          <t>2. Strengths knowledge, use and support at work</t>
        </is>
      </c>
      <c r="D20" s="27" t="inlineStr">
        <is>
          <t>Developer</t>
        </is>
      </c>
      <c r="E20" s="27" t="inlineStr">
        <is>
          <t>Govindji, R., &amp; Linley, P. A. (2007). Strengths use, self-concordance and well-being: Implications for strengths coaching and coaching psychologists. International Coaching Psychology Review, 2(2), 143-153.</t>
        </is>
      </c>
    </row>
    <row r="21" ht="23.85" customHeight="1" s="17">
      <c r="A21" s="27" t="inlineStr">
        <is>
          <t>SKS</t>
        </is>
      </c>
      <c r="B21" s="27" t="inlineStr">
        <is>
          <t>Strengths Knowledge Scale</t>
        </is>
      </c>
      <c r="C21" s="27" t="inlineStr">
        <is>
          <t>2. Strengths knowledge, use and support at work</t>
        </is>
      </c>
      <c r="D21" s="27" t="inlineStr">
        <is>
          <t>Reference</t>
        </is>
      </c>
      <c r="E21" s="27" t="inlineStr">
        <is>
          <t>Duan, W., Li, J., &amp; Mu, W. (2018). Psychometric characteristics of Strengths Knowledge Scale and Strengths Use Scale among adolescents. Journal of Psychoeducational Assessment, 36(1), 41-54. https://journals.sagepub.com/doi/10.1177/0734282917705593</t>
        </is>
      </c>
    </row>
    <row r="22" ht="23.85" customHeight="1" s="17">
      <c r="A22" s="27" t="inlineStr">
        <is>
          <t>SKS</t>
        </is>
      </c>
      <c r="B22" s="27" t="inlineStr">
        <is>
          <t>Strengths Knowledge Scale</t>
        </is>
      </c>
      <c r="C22" s="27" t="inlineStr">
        <is>
          <t>2. Strengths knowledge, use and support at work</t>
        </is>
      </c>
      <c r="D22" s="27" t="inlineStr">
        <is>
          <t>Reference</t>
        </is>
      </c>
      <c r="E22" s="27" t="inlineStr">
        <is>
          <t>Frontiers in Psychology (2023). Know and use your personal strengths! A Spanish validation of the strengths knowledge and use scales and their relationship with meaningful work and work-related well-being. https://www.frontiersin.org/journals/psychology/articles/10.3389/fpsyg.2023.1086510/full</t>
        </is>
      </c>
    </row>
    <row r="23" ht="23.85" customHeight="1" s="17">
      <c r="A23" s="27" t="inlineStr">
        <is>
          <t>SKS</t>
        </is>
      </c>
      <c r="B23" s="27" t="inlineStr">
        <is>
          <t>Strengths Knowledge Scale</t>
        </is>
      </c>
      <c r="C23" s="27" t="inlineStr">
        <is>
          <t>2. Strengths knowledge, use and support at work</t>
        </is>
      </c>
      <c r="D23" s="27" t="inlineStr">
        <is>
          <t>Reference</t>
        </is>
      </c>
      <c r="E23" s="27" t="inlineStr">
        <is>
          <t>Psychological Scales &amp; Instruments Database entry, Strengths Use and Current Knowledge Scale (SUCK). https://db.arabpsychology.com/scales/strengths-use-and-current-knowledge-scale-suck/</t>
        </is>
      </c>
    </row>
    <row r="24" ht="23.85" customHeight="1" s="17">
      <c r="A24" s="27" t="inlineStr">
        <is>
          <t>SUS</t>
        </is>
      </c>
      <c r="B24" s="27" t="inlineStr">
        <is>
          <t>Strengths Use Scale</t>
        </is>
      </c>
      <c r="C24" s="27" t="inlineStr">
        <is>
          <t>2. Strengths knowledge, use and support at work</t>
        </is>
      </c>
      <c r="D24" s="27" t="inlineStr">
        <is>
          <t>Developer</t>
        </is>
      </c>
      <c r="E24" s="27" t="inlineStr">
        <is>
          <t>Govindji, R., &amp; Linley, P. A. (2007). Strengths use, self-concordance and well-being: Implications for strengths coaching and coaching psychologists. International Coaching Psychology Review, 2(2), 143-153.</t>
        </is>
      </c>
    </row>
    <row r="25" ht="23.85" customHeight="1" s="17">
      <c r="A25" s="27" t="inlineStr">
        <is>
          <t>SUS</t>
        </is>
      </c>
      <c r="B25" s="27" t="inlineStr">
        <is>
          <t>Strengths Use Scale</t>
        </is>
      </c>
      <c r="C25" s="27" t="inlineStr">
        <is>
          <t>2. Strengths knowledge, use and support at work</t>
        </is>
      </c>
      <c r="D25" s="27" t="inlineStr">
        <is>
          <t>Reference</t>
        </is>
      </c>
      <c r="E25" s="27" t="inlineStr">
        <is>
          <t>Duan, W., Li, J., &amp; Mu, W. (2018). Psychometric characteristics of Strengths Knowledge Scale and Strengths Use Scale among adolescents. Journal of Psychoeducational Assessment, 36(1), 41-54. https://journals.sagepub.com/doi/10.1177/0734282917705593</t>
        </is>
      </c>
    </row>
    <row r="26" ht="23.85" customHeight="1" s="17">
      <c r="A26" s="27" t="inlineStr">
        <is>
          <t>SUS</t>
        </is>
      </c>
      <c r="B26" s="27" t="inlineStr">
        <is>
          <t>Strengths Use Scale</t>
        </is>
      </c>
      <c r="C26" s="27" t="inlineStr">
        <is>
          <t>2. Strengths knowledge, use and support at work</t>
        </is>
      </c>
      <c r="D26" s="27" t="inlineStr">
        <is>
          <t>Reference</t>
        </is>
      </c>
      <c r="E26" s="27" t="inlineStr">
        <is>
          <t>Frontiers in Psychology (2023). Know and use your personal strengths! A Spanish validation of the strengths knowledge and use scales and their relationship with meaningful work and work-related well-being. https://www.frontiersin.org/journals/psychology/articles/10.3389/fpsyg.2023.1086510/full</t>
        </is>
      </c>
    </row>
    <row r="27" ht="23.85" customHeight="1" s="17">
      <c r="A27" s="27" t="inlineStr">
        <is>
          <t>SUS</t>
        </is>
      </c>
      <c r="B27" s="27" t="inlineStr">
        <is>
          <t>Strengths Use Scale</t>
        </is>
      </c>
      <c r="C27" s="27" t="inlineStr">
        <is>
          <t>2. Strengths knowledge, use and support at work</t>
        </is>
      </c>
      <c r="D27" s="27" t="inlineStr">
        <is>
          <t>Reference</t>
        </is>
      </c>
      <c r="E27" s="27" t="inlineStr">
        <is>
          <t>Psychological Scales &amp; Instruments Database entry, Strengths Use and Current Knowledge Scale (SUCK). https://db.arabpsychology.com/scales/strengths-use-and-current-knowledge-scale-suck/</t>
        </is>
      </c>
    </row>
    <row r="28" ht="23.85" customHeight="1" s="17">
      <c r="A28" s="27" t="inlineStr">
        <is>
          <t>SSES</t>
        </is>
      </c>
      <c r="B28" s="27" t="inlineStr">
        <is>
          <t>Strengths Self-Efficacy Scale</t>
        </is>
      </c>
      <c r="C28" s="27" t="inlineStr">
        <is>
          <t>2. Strengths knowledge, use and support at work</t>
        </is>
      </c>
      <c r="D28" s="27" t="inlineStr">
        <is>
          <t>Developer</t>
        </is>
      </c>
      <c r="E28" s="27" t="inlineStr">
        <is>
          <t>Tsai, C.-L., Chaichanasakul, A., Zhao, R., Flores, L. Y., &amp; Lopez, S. J. (2014). Development and validation of the Strengths Self-Efficacy Scale (SSES). Journal of Career Assessment, 22(2), 221-232. https://doi.org/10.1177/1069072713493761</t>
        </is>
      </c>
    </row>
    <row r="29" ht="23.85" customHeight="1" s="17">
      <c r="A29" s="27" t="inlineStr">
        <is>
          <t>SSES</t>
        </is>
      </c>
      <c r="B29" s="27" t="inlineStr">
        <is>
          <t>Strengths Self-Efficacy Scale</t>
        </is>
      </c>
      <c r="C29" s="27" t="inlineStr">
        <is>
          <t>2. Strengths knowledge, use and support at work</t>
        </is>
      </c>
      <c r="D29" s="27" t="inlineStr">
        <is>
          <t>Reference</t>
        </is>
      </c>
      <c r="E29" s="27" t="inlineStr">
        <is>
          <t>SAGE Journals abstract, Development and Validation of the Strengths Self-Efficacy Scale (SSES). https://journals.sagepub.com/doi/abs/10.1177/1069072713493761</t>
        </is>
      </c>
    </row>
    <row r="30" ht="23.85" customHeight="1" s="17">
      <c r="A30" s="27" t="inlineStr">
        <is>
          <t>SSES</t>
        </is>
      </c>
      <c r="B30" s="27" t="inlineStr">
        <is>
          <t>Strengths Self-Efficacy Scale</t>
        </is>
      </c>
      <c r="C30" s="27" t="inlineStr">
        <is>
          <t>2. Strengths knowledge, use and support at work</t>
        </is>
      </c>
      <c r="D30" s="27" t="inlineStr">
        <is>
          <t>Reference</t>
        </is>
      </c>
      <c r="E30" s="27" t="inlineStr">
        <is>
          <t>PositivePsychology.com, The Strengths Self-Efficacy Scale (free downloadable PDF reproduction of the instrument). https://positivepsychology.com/wp-content/uploads/The-Strengths-Self-efficacy-Scale.pdf</t>
        </is>
      </c>
    </row>
    <row r="31" ht="23.85" customHeight="1" s="17">
      <c r="A31" s="27" t="inlineStr">
        <is>
          <t>SSES</t>
        </is>
      </c>
      <c r="B31" s="27" t="inlineStr">
        <is>
          <t>Strengths Self-Efficacy Scale</t>
        </is>
      </c>
      <c r="C31" s="27" t="inlineStr">
        <is>
          <t>2. Strengths knowledge, use and support at work</t>
        </is>
      </c>
      <c r="D31" s="27" t="inlineStr">
        <is>
          <t>Reference</t>
        </is>
      </c>
      <c r="E31" s="27" t="inlineStr">
        <is>
          <t>Academia.edu reproduction, Strengths Self-Efficacy Scale. https://www.academia.edu/100623230/Strengths_Self_Efficacy_Scale</t>
        </is>
      </c>
    </row>
    <row r="32" ht="23.85" customHeight="1" s="17">
      <c r="A32" s="27" t="inlineStr">
        <is>
          <t>CSES</t>
        </is>
      </c>
      <c r="B32" s="27" t="inlineStr">
        <is>
          <t>Core Self-Evaluations Scale</t>
        </is>
      </c>
      <c r="C32" s="27" t="inlineStr">
        <is>
          <t>3. Adjacent occupational and wellbeing</t>
        </is>
      </c>
      <c r="D32" s="27" t="inlineStr">
        <is>
          <t>Developer</t>
        </is>
      </c>
      <c r="E32" s="27" t="inlineStr">
        <is>
          <t>Judge, T. A., Erez, A., Bono, J. E., &amp; Thoresen, C. J. (2003). The Core Self-Evaluations Scale: Development of a measure. Personnel Psychology, 56(2), 303-331. https://doi.org/10.1111/j.1744-6570.2003.tb00152.x</t>
        </is>
      </c>
    </row>
    <row r="33" ht="15" customHeight="1" s="17">
      <c r="A33" s="27" t="inlineStr">
        <is>
          <t>CSES</t>
        </is>
      </c>
      <c r="B33" s="27" t="inlineStr">
        <is>
          <t>Core Self-Evaluations Scale</t>
        </is>
      </c>
      <c r="C33" s="27" t="inlineStr">
        <is>
          <t>3. Adjacent occupational and wellbeing</t>
        </is>
      </c>
      <c r="D33" s="27" t="inlineStr">
        <is>
          <t>Reference</t>
        </is>
      </c>
      <c r="E33" s="27" t="inlineStr">
        <is>
          <t>Open-access reproduction of the CSES item table and scoring (fetched for this record). http://ionilies.com/SIOP03/Files/CSES.pdf</t>
        </is>
      </c>
    </row>
    <row r="34" ht="23.85" customHeight="1" s="17">
      <c r="A34" s="27" t="inlineStr">
        <is>
          <t>PES</t>
        </is>
      </c>
      <c r="B34" s="27" t="inlineStr">
        <is>
          <t>Psychological Empowerment Scale</t>
        </is>
      </c>
      <c r="C34" s="27" t="inlineStr">
        <is>
          <t>3. Adjacent occupational and wellbeing</t>
        </is>
      </c>
      <c r="D34" s="27" t="inlineStr">
        <is>
          <t>Developer</t>
        </is>
      </c>
      <c r="E34" s="27" t="inlineStr">
        <is>
          <t>Spreitzer, G. M. (1995). Psychological empowerment in the workplace: Dimensions, measurement, and validation. Academy of Management Journal, 38(5), 1442-1465. https://doi.org/10.2307/256865</t>
        </is>
      </c>
    </row>
    <row r="35" ht="23.85" customHeight="1" s="17">
      <c r="A35" s="27" t="inlineStr">
        <is>
          <t>PES</t>
        </is>
      </c>
      <c r="B35" s="27" t="inlineStr">
        <is>
          <t>Psychological Empowerment Scale</t>
        </is>
      </c>
      <c r="C35" s="27" t="inlineStr">
        <is>
          <t>3. Adjacent occupational and wellbeing</t>
        </is>
      </c>
      <c r="D35" s="27" t="inlineStr">
        <is>
          <t>Reference</t>
        </is>
      </c>
      <c r="E35" s="27" t="inlineStr">
        <is>
          <t>Spreitzer, G. M. Psychological Empowerment Instrument (official instrument page, fetched for this record). https://webuser.bus.umich.edu/spreitze/Pdfs/EmpowerInstrument.pdf</t>
        </is>
      </c>
    </row>
    <row r="36" ht="23.85" customHeight="1" s="17">
      <c r="A36" s="27" t="inlineStr">
        <is>
          <t>DASS-21</t>
        </is>
      </c>
      <c r="B36" s="27" t="inlineStr">
        <is>
          <t>Depression Anxiety Stress Scales, 21 item version (DASS-21)</t>
        </is>
      </c>
      <c r="C36" s="27" t="inlineStr">
        <is>
          <t>4. Psychological distress screening</t>
        </is>
      </c>
      <c r="D36" s="27" t="inlineStr">
        <is>
          <t>Developer</t>
        </is>
      </c>
      <c r="E36" s="27" t="inlineStr">
        <is>
          <t>Lovibond, S. H., &amp; Lovibond, P. F. (1995). Manual for the Depression Anxiety Stress Scales (2nd ed.). Sydney: Psychology Foundation of Australia.</t>
        </is>
      </c>
    </row>
    <row r="37" ht="35.05" customHeight="1" s="17">
      <c r="A37" s="27" t="inlineStr">
        <is>
          <t>DASS-21</t>
        </is>
      </c>
      <c r="B37" s="27" t="inlineStr">
        <is>
          <t>Depression Anxiety Stress Scales, 21 item version (DASS-21)</t>
        </is>
      </c>
      <c r="C37" s="27" t="inlineStr">
        <is>
          <t>4. Psychological distress screening</t>
        </is>
      </c>
      <c r="D37" s="27" t="inlineStr">
        <is>
          <t>Reference</t>
        </is>
      </c>
      <c r="E37" s="27" t="inlineStr">
        <is>
          <t>Antony, M. M., Bieling, P. J., Cox, B. J., Enns, M. W., &amp; Swinson, R. P. (1998). Psychometric properties of the 42-item and 21-item versions of the Depression Anxiety Stress Scales in clinical groups and a community sample. Psychological Assessment, 10(2), 176-181. https://doi.org/10.1037/1040-3590.10.2.176</t>
        </is>
      </c>
    </row>
    <row r="38" ht="23.85" customHeight="1" s="17">
      <c r="A38" s="27" t="inlineStr">
        <is>
          <t>DASS-21</t>
        </is>
      </c>
      <c r="B38" s="27" t="inlineStr">
        <is>
          <t>Depression Anxiety Stress Scales, 21 item version (DASS-21)</t>
        </is>
      </c>
      <c r="C38" s="27" t="inlineStr">
        <is>
          <t>4. Psychological distress screening</t>
        </is>
      </c>
      <c r="D38" s="27" t="inlineStr">
        <is>
          <t>Reference</t>
        </is>
      </c>
      <c r="E38" s="27" t="inlineStr">
        <is>
          <t>Brown, T. A., Chorpita, B. F., Korotitsch, W., &amp; Barlow, D. H. (1997). Psychometric properties of the Depression Anxiety Stress Scales (DASS) in clinical samples. Behaviour Research and Therapy, 35(1), 79-89. https://doi.org/10.1016/s0005-7967(96)00068-x</t>
        </is>
      </c>
    </row>
    <row r="39" ht="23.85" customHeight="1" s="17">
      <c r="A39" s="27" t="inlineStr">
        <is>
          <t>DASS-21</t>
        </is>
      </c>
      <c r="B39" s="27" t="inlineStr">
        <is>
          <t>Depression Anxiety Stress Scales, 21 item version (DASS-21)</t>
        </is>
      </c>
      <c r="C39" s="27" t="inlineStr">
        <is>
          <t>4. Psychological distress screening</t>
        </is>
      </c>
      <c r="D39" s="27" t="inlineStr">
        <is>
          <t>Reference</t>
        </is>
      </c>
      <c r="E39" s="27" t="inlineStr">
        <is>
          <t>Henry, J. D., &amp; Crawford, J. R. (2005). The short-form version of the Depression Anxiety Stress Scales (DASS-21): Construct validity and normative data in a large non-clinical sample. British Journal of Clinical Psychology, 44(2), 227-239. https://doi.org/10.1348/014466505X29657</t>
        </is>
      </c>
    </row>
    <row r="40" ht="23.85" customHeight="1" s="17">
      <c r="A40" s="27" t="inlineStr">
        <is>
          <t>DASS-21</t>
        </is>
      </c>
      <c r="B40" s="27" t="inlineStr">
        <is>
          <t>Depression Anxiety Stress Scales, 21 item version (DASS-21)</t>
        </is>
      </c>
      <c r="C40" s="27" t="inlineStr">
        <is>
          <t>4. Psychological distress screening</t>
        </is>
      </c>
      <c r="D40" s="27" t="inlineStr">
        <is>
          <t>Reference</t>
        </is>
      </c>
      <c r="E40" s="27" t="inlineStr">
        <is>
          <t>Lovibond, P. F., &amp; Lovibond, S. H. (1995). The structure of negative emotional states: Comparison of the Depression Anxiety Stress Scales (DASS) with the Beck Depression and Anxiety Inventories. Behaviour Research and Therapy, 33(3), 335-343. https://doi.org/10.1016/0005-7967(94)00075-U</t>
        </is>
      </c>
    </row>
    <row r="41" ht="23.85" customHeight="1" s="17">
      <c r="A41" s="27" t="inlineStr">
        <is>
          <t>DASS-21</t>
        </is>
      </c>
      <c r="B41" s="27" t="inlineStr">
        <is>
          <t>Depression Anxiety Stress Scales, 21 item version (DASS-21)</t>
        </is>
      </c>
      <c r="C41" s="27" t="inlineStr">
        <is>
          <t>4. Psychological distress screening</t>
        </is>
      </c>
      <c r="D41" s="27" t="inlineStr">
        <is>
          <t>Reference</t>
        </is>
      </c>
      <c r="E41" s="27" t="inlineStr">
        <is>
          <t>University of New South Wales, School of Psychology. (n.d.). DASS: Depression Anxiety Stress Scales. https://www2.psy.unsw.edu.au/dass/</t>
        </is>
      </c>
    </row>
    <row r="42" ht="35.05" customHeight="1" s="17">
      <c r="A42" s="27" t="inlineStr">
        <is>
          <t>PTQ</t>
        </is>
      </c>
      <c r="B42" s="27" t="inlineStr">
        <is>
          <t>Perseverative Thinking Questionnaire</t>
        </is>
      </c>
      <c r="C42" s="27" t="inlineStr">
        <is>
          <t>5. Repetitive negative thinking and self talk</t>
        </is>
      </c>
      <c r="D42" s="27" t="inlineStr">
        <is>
          <t>Developer</t>
        </is>
      </c>
      <c r="E42" s="27" t="inlineStr">
        <is>
          <t>Ehring, T., Zetsche, U., Weidacker, K., Wahl, K., Schönfeld, S., &amp; Ehlers, A. (2011). The Perseverative Thinking Questionnaire (PTQ): Validation of a content-independent measure of repetitive negative thinking. Journal of Behavior Therapy and Experimental Psychiatry, 42(2), 225–232. https://doi.org/10.1016/j.jbtep.2010.12.003</t>
        </is>
      </c>
    </row>
    <row r="43" ht="23.85" customHeight="1" s="17">
      <c r="A43" s="27" t="inlineStr">
        <is>
          <t>RRS</t>
        </is>
      </c>
      <c r="B43" s="27" t="inlineStr">
        <is>
          <t>Ruminative Responses Scale</t>
        </is>
      </c>
      <c r="C43" s="27" t="inlineStr">
        <is>
          <t>5. Repetitive negative thinking and self talk</t>
        </is>
      </c>
      <c r="D43" s="27" t="inlineStr">
        <is>
          <t>Developer</t>
        </is>
      </c>
      <c r="E43" s="27" t="inlineStr">
        <is>
          <t>Nolen-Hoeksema, S., &amp; Morrow, J. (1991). A prospective study of depression and posttraumatic stress symptoms after a natural disaster: The 1989 Loma Prieta earthquake. Journal of Personality and Social Psychology, 61(1), 115–121. https://doi.org/10.1037/0022-3514.61.1.115</t>
        </is>
      </c>
    </row>
    <row r="44" ht="23.85" customHeight="1" s="17">
      <c r="A44" s="27" t="inlineStr">
        <is>
          <t>RRS</t>
        </is>
      </c>
      <c r="B44" s="27" t="inlineStr">
        <is>
          <t>Ruminative Responses Scale</t>
        </is>
      </c>
      <c r="C44" s="27" t="inlineStr">
        <is>
          <t>5. Repetitive negative thinking and self talk</t>
        </is>
      </c>
      <c r="D44" s="27" t="inlineStr">
        <is>
          <t>Reference</t>
        </is>
      </c>
      <c r="E44" s="27" t="inlineStr">
        <is>
          <t>Treynor, W., Gonzalez, R., &amp; Nolen-Hoeksema, S. (2003). Rumination reconsidered: A psychometric analysis. Cognitive Therapy and Research, 27(3), 247–259. https://doi.org/10.1023/A:1023910315561</t>
        </is>
      </c>
    </row>
    <row r="45" ht="23.85" customHeight="1" s="17">
      <c r="A45" s="27" t="inlineStr">
        <is>
          <t>FSCRS</t>
        </is>
      </c>
      <c r="B45" s="27" t="inlineStr">
        <is>
          <t>Forms of Self-Criticising/Attacking and Self-Reassuring Scale</t>
        </is>
      </c>
      <c r="C45" s="27" t="inlineStr">
        <is>
          <t>5. Repetitive negative thinking and self talk</t>
        </is>
      </c>
      <c r="D45" s="27" t="inlineStr">
        <is>
          <t>Developer</t>
        </is>
      </c>
      <c r="E45" s="27" t="inlineStr">
        <is>
          <t>Gilbert, P., Clarke, M., Hempel, S., Miles, J. N. V., &amp; Irons, C. (2004). Criticizing and reassuring oneself: An exploration of forms, styles and reasons in female students. British Journal of Clinical Psychology, 43(1), 31–50. https://doi.org/10.1348/014466504772812959</t>
        </is>
      </c>
    </row>
    <row r="46" ht="23.85" customHeight="1" s="17">
      <c r="A46" s="27" t="inlineStr">
        <is>
          <t>PCI</t>
        </is>
      </c>
      <c r="B46" s="27" t="inlineStr">
        <is>
          <t>Perfectionism Cognitions Inventory</t>
        </is>
      </c>
      <c r="C46" s="27" t="inlineStr">
        <is>
          <t>5. Repetitive negative thinking and self talk</t>
        </is>
      </c>
      <c r="D46" s="27" t="inlineStr">
        <is>
          <t>Developer</t>
        </is>
      </c>
      <c r="E46" s="27" t="inlineStr">
        <is>
          <t>Flett, G. L., Hewitt, P. L., Blankstein, K. R., &amp; Gray, L. (1998). Psychological distress and the frequency of perfectionistic thinking. Journal of Personality and Social Psychology, 75(5), 1363–1381. https://doi.org/10.1037/0022-3514.75.5.1363</t>
        </is>
      </c>
    </row>
    <row r="47" ht="23.85" customHeight="1" s="17">
      <c r="A47" s="27" t="inlineStr">
        <is>
          <t>SCS-SF</t>
        </is>
      </c>
      <c r="B47" s="27" t="inlineStr">
        <is>
          <t>Self-Compassion Scale – Short Form</t>
        </is>
      </c>
      <c r="C47" s="27" t="inlineStr">
        <is>
          <t>5. Repetitive negative thinking and self talk</t>
        </is>
      </c>
      <c r="D47" s="27" t="inlineStr">
        <is>
          <t>Developer</t>
        </is>
      </c>
      <c r="E47" s="27" t="inlineStr">
        <is>
          <t>Raes, F., Pommier, E., Neff, K. D., &amp; Van Gucht, D. (2011). Construction and factorial validation of a short form of the Self-Compassion Scale. Clinical Psychology &amp; Psychotherapy, 18(3), 250–255. https://doi.org/10.1002/cpp.702</t>
        </is>
      </c>
    </row>
    <row r="48" ht="23.85" customHeight="1" s="17">
      <c r="A48" s="27" t="inlineStr">
        <is>
          <t>SCS-SF</t>
        </is>
      </c>
      <c r="B48" s="27" t="inlineStr">
        <is>
          <t>Self-Compassion Scale – Short Form</t>
        </is>
      </c>
      <c r="C48" s="27" t="inlineStr">
        <is>
          <t>5. Repetitive negative thinking and self talk</t>
        </is>
      </c>
      <c r="D48" s="27" t="inlineStr">
        <is>
          <t>Reference</t>
        </is>
      </c>
      <c r="E48" s="27" t="inlineStr">
        <is>
          <t>Hayes, J. A., Lockard, A. J., Janis, R. A., &amp; Locke, B. D. (2016). Construct validity of the Self-Compassion Scale-Short Form among psychotherapy clients. Counselling Psychology Quarterly, 29(4), 405–422. https://doi.org/10.1080/09515070.2015.1084179</t>
        </is>
      </c>
    </row>
    <row r="49" ht="35.05" customHeight="1" s="17">
      <c r="A49" s="27" t="inlineStr">
        <is>
          <t>BPNSFS</t>
        </is>
      </c>
      <c r="B49" s="27" t="inlineStr">
        <is>
          <t>Basic Psychological Need Satisfaction and Frustration Scale (BPNSFS)</t>
        </is>
      </c>
      <c r="C49" s="27" t="inlineStr">
        <is>
          <t>6. Motivation, self determination and goal pursuit</t>
        </is>
      </c>
      <c r="D49" s="27" t="inlineStr">
        <is>
          <t>Developer</t>
        </is>
      </c>
      <c r="E49" s="27" t="inlineStr">
        <is>
          <t>Chen, B., Vansteenkiste, M., Beyers, W., Boone, L., Deci, E. L., Van der Kaap-Deeder, J., Duriez, B., Lens, W., Matos, L., Mouratidis, A., Ryan, R. M., Sheldon, K. M., Soenens, B., Van Petegem, S., &amp; Verstuyf, J. (2015). Basic psychological need satisfaction, need frustration, and need strength across four cultures. Motivation and Emotion, 39(2), 216-236. https://doi.org/10.1007/s11031-014-9450-1</t>
        </is>
      </c>
    </row>
    <row r="50" ht="23.85" customHeight="1" s="17">
      <c r="A50" s="27" t="inlineStr">
        <is>
          <t>BPNSFS</t>
        </is>
      </c>
      <c r="B50" s="27" t="inlineStr">
        <is>
          <t>Basic Psychological Need Satisfaction and Frustration Scale (BPNSFS)</t>
        </is>
      </c>
      <c r="C50" s="27" t="inlineStr">
        <is>
          <t>6. Motivation, self determination and goal pursuit</t>
        </is>
      </c>
      <c r="D50" s="27" t="inlineStr">
        <is>
          <t>Reference</t>
        </is>
      </c>
      <c r="E50" s="27" t="inlineStr">
        <is>
          <t>Center for Self-Determination Theory. (n.d.). Basic Psychological Need Satisfaction and Frustration Scale (BPNSFS). Self-Determination Theory. Retrieved September 26, 2026, from https://selfdeterminationtheory.org/basic-psychological-need-satisfaction-and-frustration-scale/</t>
        </is>
      </c>
    </row>
    <row r="51" ht="23.85" customHeight="1" s="17">
      <c r="A51" s="27" t="inlineStr">
        <is>
          <t>BPNSFS</t>
        </is>
      </c>
      <c r="B51" s="27" t="inlineStr">
        <is>
          <t>Basic Psychological Need Satisfaction and Frustration Scale (BPNSFS)</t>
        </is>
      </c>
      <c r="C51" s="27" t="inlineStr">
        <is>
          <t>6. Motivation, self determination and goal pursuit</t>
        </is>
      </c>
      <c r="D51" s="27" t="inlineStr">
        <is>
          <t>Reference</t>
        </is>
      </c>
      <c r="E51" s="27" t="inlineStr">
        <is>
          <t>Center for Self-Determination Theory. (n.d.). Questionnaires. Self-Determination Theory. Retrieved September 26, 2026, from https://selfdeterminationtheory.org/questionnaires/</t>
        </is>
      </c>
    </row>
    <row r="52" ht="23.85" customHeight="1" s="17">
      <c r="A52" s="27" t="inlineStr">
        <is>
          <t>PPS</t>
        </is>
      </c>
      <c r="B52" s="27" t="inlineStr">
        <is>
          <t>Pure Procrastination Scale</t>
        </is>
      </c>
      <c r="C52" s="27" t="inlineStr">
        <is>
          <t>6. Motivation, self determination and goal pursuit</t>
        </is>
      </c>
      <c r="D52" s="27" t="inlineStr">
        <is>
          <t>Developer</t>
        </is>
      </c>
      <c r="E52" s="27" t="inlineStr">
        <is>
          <t>Svartdal, F., &amp; Steel, P. (2017). Irrational delay revisited: Examining five procrastination scales in a global sample. Frontiers in Psychology, 8, 1927. https://doi.org/10.3389/fpsyg.2017.01927</t>
        </is>
      </c>
    </row>
    <row r="53" ht="23.85" customHeight="1" s="17">
      <c r="A53" s="27" t="inlineStr">
        <is>
          <t>PPS</t>
        </is>
      </c>
      <c r="B53" s="27" t="inlineStr">
        <is>
          <t>Pure Procrastination Scale</t>
        </is>
      </c>
      <c r="C53" s="27" t="inlineStr">
        <is>
          <t>6. Motivation, self determination and goal pursuit</t>
        </is>
      </c>
      <c r="D53" s="27" t="inlineStr">
        <is>
          <t>Reference</t>
        </is>
      </c>
      <c r="E53" s="27" t="inlineStr">
        <is>
          <t>Steel, P. (2010). Arousal, avoidant and decisional procrastinators: Do they exist? Personality and Individual Differences, 48(8), 926-934. https://doi.org/10.1016/j.paid.2010.02.025</t>
        </is>
      </c>
    </row>
    <row r="54" ht="23.85" customHeight="1" s="17">
      <c r="A54" s="27" t="inlineStr">
        <is>
          <t>IPS</t>
        </is>
      </c>
      <c r="B54" s="27" t="inlineStr">
        <is>
          <t>Irrational Procrastination Scale</t>
        </is>
      </c>
      <c r="C54" s="27" t="inlineStr">
        <is>
          <t>6. Motivation, self determination and goal pursuit</t>
        </is>
      </c>
      <c r="D54" s="27" t="inlineStr">
        <is>
          <t>Developer</t>
        </is>
      </c>
      <c r="E54" s="27" t="inlineStr">
        <is>
          <t>Svartdal, F., &amp; Steel, P. (2017). Irrational delay revisited: Examining five procrastination scales in a global sample. Frontiers in Psychology, 8, 1927. https://doi.org/10.3389/fpsyg.2017.01927</t>
        </is>
      </c>
    </row>
    <row r="55" ht="23.85" customHeight="1" s="17">
      <c r="A55" s="27" t="inlineStr">
        <is>
          <t>IPS</t>
        </is>
      </c>
      <c r="B55" s="27" t="inlineStr">
        <is>
          <t>Irrational Procrastination Scale</t>
        </is>
      </c>
      <c r="C55" s="27" t="inlineStr">
        <is>
          <t>6. Motivation, self determination and goal pursuit</t>
        </is>
      </c>
      <c r="D55" s="27" t="inlineStr">
        <is>
          <t>Reference</t>
        </is>
      </c>
      <c r="E55" s="27" t="inlineStr">
        <is>
          <t>Steel, P. (2010). Arousal, avoidant and decisional procrastinators: Do they exist? Personality and Individual Differences, 48(8), 926-934. https://doi.org/10.1016/j.paid.2010.02.025</t>
        </is>
      </c>
    </row>
    <row r="56" ht="23.85" customHeight="1" s="17">
      <c r="A56" s="27" t="inlineStr">
        <is>
          <t>GSE</t>
        </is>
      </c>
      <c r="B56" s="27" t="inlineStr">
        <is>
          <t>General Self-Efficacy Scale</t>
        </is>
      </c>
      <c r="C56" s="27" t="inlineStr">
        <is>
          <t>6. Motivation, self determination and goal pursuit</t>
        </is>
      </c>
      <c r="D56" s="27" t="inlineStr">
        <is>
          <t>Developer</t>
        </is>
      </c>
      <c r="E56" s="27" t="inlineStr">
        <is>
          <t>Schwarzer, R., &amp; Jerusalem, M. (1995). Generalized Self-Efficacy scale. In J. Weinman, S. Wright, &amp; M. Johnston, Measures in health psychology: A user's portfolio. Causal and control beliefs (pp. 35-37). NFER-NELSON.</t>
        </is>
      </c>
    </row>
    <row r="57" ht="23.85" customHeight="1" s="17">
      <c r="A57" s="27" t="inlineStr">
        <is>
          <t>GSE</t>
        </is>
      </c>
      <c r="B57" s="27" t="inlineStr">
        <is>
          <t>General Self-Efficacy Scale</t>
        </is>
      </c>
      <c r="C57" s="27" t="inlineStr">
        <is>
          <t>6. Motivation, self determination and goal pursuit</t>
        </is>
      </c>
      <c r="D57" s="27" t="inlineStr">
        <is>
          <t>Reference</t>
        </is>
      </c>
      <c r="E57" s="27" t="inlineStr">
        <is>
          <t>Freie Universität Berlin. General Self-Efficacy Scale (English version). https://userpage.fu-berlin.de/~health/engscal.htm</t>
        </is>
      </c>
    </row>
    <row r="58" ht="23.85" customHeight="1" s="17">
      <c r="A58" s="27" t="inlineStr">
        <is>
          <t>GSE</t>
        </is>
      </c>
      <c r="B58" s="27" t="inlineStr">
        <is>
          <t>General Self-Efficacy Scale</t>
        </is>
      </c>
      <c r="C58" s="27" t="inlineStr">
        <is>
          <t>6. Motivation, self determination and goal pursuit</t>
        </is>
      </c>
      <c r="D58" s="27" t="inlineStr">
        <is>
          <t>Reference</t>
        </is>
      </c>
      <c r="E58" s="27" t="inlineStr">
        <is>
          <t>Freie Universität Berlin. General Self-Efficacy Scale: FAQ and permission statement. https://userpage.fu-berlin.de/~health/faq_gse.pdf</t>
        </is>
      </c>
    </row>
    <row r="59" ht="23.85" customHeight="1" s="17">
      <c r="A59" s="27" t="inlineStr">
        <is>
          <t>GCS</t>
        </is>
      </c>
      <c r="B59" s="27" t="inlineStr">
        <is>
          <t>Goal Commitment Scale (5-item unidimensional version)</t>
        </is>
      </c>
      <c r="C59" s="27" t="inlineStr">
        <is>
          <t>6. Motivation, self determination and goal pursuit</t>
        </is>
      </c>
      <c r="D59" s="27" t="inlineStr">
        <is>
          <t>Developer</t>
        </is>
      </c>
      <c r="E59" s="27" t="inlineStr">
        <is>
          <t>Klein, H. J., Wesson, M. J., Hollenbeck, J. R., Wright, P. M., &amp; DeShon, R. P. (2001). The assessment of goal commitment: A measurement model meta-analysis. Organizational Behavior and Human Decision Processes, 85(1), 32-55.</t>
        </is>
      </c>
    </row>
    <row r="60" ht="23.85" customHeight="1" s="17">
      <c r="A60" s="27" t="inlineStr">
        <is>
          <t>GCS</t>
        </is>
      </c>
      <c r="B60" s="27" t="inlineStr">
        <is>
          <t>Goal Commitment Scale (5-item unidimensional version)</t>
        </is>
      </c>
      <c r="C60" s="27" t="inlineStr">
        <is>
          <t>6. Motivation, self determination and goal pursuit</t>
        </is>
      </c>
      <c r="D60" s="27" t="inlineStr">
        <is>
          <t>Reference</t>
        </is>
      </c>
      <c r="E60" s="27" t="inlineStr">
        <is>
          <t>Hollenbeck, J. R., Williams, C. R., &amp; Klein, H. J. (1989). An empirical examination of the antecedents of commitment to difficult goals. Journal of Applied Psychology, 74(1), 18-23.</t>
        </is>
      </c>
    </row>
    <row r="61" ht="23.85" customHeight="1" s="17">
      <c r="A61" s="27" t="inlineStr">
        <is>
          <t>GCS</t>
        </is>
      </c>
      <c r="B61" s="27" t="inlineStr">
        <is>
          <t>Goal Commitment Scale (5-item unidimensional version)</t>
        </is>
      </c>
      <c r="C61" s="27" t="inlineStr">
        <is>
          <t>6. Motivation, self determination and goal pursuit</t>
        </is>
      </c>
      <c r="D61" s="27" t="inlineStr">
        <is>
          <t>Reference</t>
        </is>
      </c>
      <c r="E61" s="27" t="inlineStr">
        <is>
          <t>Klein, H. J., Cooper, J. T., Molloy, J. C., &amp; Swanson, J. A. (2014). The assessment of commitment: Advantages of a unidimensional, target-free approach. Journal of Applied Psychology, 99(2), 222-238.</t>
        </is>
      </c>
    </row>
    <row r="62" ht="23.85" customHeight="1" s="17">
      <c r="A62" s="27" t="inlineStr">
        <is>
          <t>GADJ</t>
        </is>
      </c>
      <c r="B62" s="27" t="inlineStr">
        <is>
          <t>Goal Adjustment Scale</t>
        </is>
      </c>
      <c r="C62" s="27" t="inlineStr">
        <is>
          <t>6. Motivation, self determination and goal pursuit</t>
        </is>
      </c>
      <c r="D62" s="27" t="inlineStr">
        <is>
          <t>Developer</t>
        </is>
      </c>
      <c r="E62" s="27" t="inlineStr">
        <is>
          <t>Wrosch, C., Scheier, M. F., Miller, G. E., Schulz, R., &amp; Carver, C. S. (2003). Adaptive self-regulation of unattainable goals: Goal disengagement, goal reengagement, and subjective well-being. Personality and Social Psychology Bulletin, 29(12), 1494-1508.</t>
        </is>
      </c>
    </row>
  </sheetData>
  <autoFilter ref="A1:E6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54"/>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Executive Skills Questionnaire - Revised (ESQ-R)</t>
        </is>
      </c>
    </row>
    <row r="3" ht="15" customHeight="1" s="17">
      <c r="A3" s="35" t="inlineStr">
        <is>
          <t>Instrument</t>
        </is>
      </c>
      <c r="B3" s="27" t="inlineStr">
        <is>
          <t>Executive Skills Questionnaire - Revised (ESQ-R)</t>
        </is>
      </c>
    </row>
    <row r="4" ht="15" customHeight="1" s="17">
      <c r="A4" s="35" t="inlineStr">
        <is>
          <t>Code</t>
        </is>
      </c>
      <c r="B4" s="27" t="inlineStr">
        <is>
          <t>ESQ-R</t>
        </is>
      </c>
    </row>
    <row r="5" ht="15" customHeight="1" s="17">
      <c r="A5" s="35" t="inlineStr">
        <is>
          <t>Domain</t>
        </is>
      </c>
      <c r="B5" s="27" t="inlineStr">
        <is>
          <t>1. Executive functioning and ADHD</t>
        </is>
      </c>
    </row>
    <row r="6" ht="15" customHeight="1" s="17">
      <c r="A6" s="35" t="inlineStr">
        <is>
          <t>Availability</t>
        </is>
      </c>
      <c r="B6" s="27" t="inlineStr">
        <is>
          <t>Free / open access</t>
        </is>
      </c>
    </row>
    <row r="7" ht="30" customHeight="1" s="17">
      <c r="A7" s="35" t="inlineStr">
        <is>
          <t>Construct</t>
        </is>
      </c>
      <c r="B7" s="27" t="inlineStr">
        <is>
          <t>Executive functioning skills, including plan and time management, organization, and emotional and behavioral regulation</t>
        </is>
      </c>
    </row>
    <row r="8" ht="15" customHeight="1" s="17">
      <c r="A8" s="35" t="inlineStr">
        <is>
          <t>Respondent</t>
        </is>
      </c>
      <c r="B8" s="27" t="inlineStr">
        <is>
          <t>Self-report</t>
        </is>
      </c>
    </row>
    <row r="9" ht="15" customHeight="1" s="17">
      <c r="A9" s="35" t="inlineStr">
        <is>
          <t>Age range</t>
        </is>
      </c>
      <c r="B9" s="27" t="inlineStr">
        <is>
          <t>14+</t>
        </is>
      </c>
    </row>
    <row r="10" ht="15" customHeight="1" s="17">
      <c r="A10" s="35" t="inlineStr">
        <is>
          <t>Items in instrument</t>
        </is>
      </c>
      <c r="B10" s="27" t="inlineStr">
        <is>
          <t>25</t>
        </is>
      </c>
    </row>
    <row r="11" ht="15" customHeight="1" s="17">
      <c r="A11" s="35" t="inlineStr">
        <is>
          <t>Items reproduced here</t>
        </is>
      </c>
      <c r="B11" s="27" t="inlineStr">
        <is>
          <t>25</t>
        </is>
      </c>
    </row>
    <row r="12" ht="15" customHeight="1" s="17">
      <c r="A12" s="35" t="inlineStr">
        <is>
          <t>Administration time</t>
        </is>
      </c>
      <c r="B12" s="27" t="inlineStr">
        <is>
          <t>5 minutes</t>
        </is>
      </c>
    </row>
    <row r="13" ht="30" customHeight="1" s="17">
      <c r="A13" s="35" t="inlineStr">
        <is>
          <t>Cost and access</t>
        </is>
      </c>
      <c r="B13" s="27" t="inlineStr">
        <is>
          <t>Included on NovoPsych with the permission of Dr Peg Dawson; blank form hosted free. Scoring and percentiles need a NovoPsych account.</t>
        </is>
      </c>
    </row>
    <row r="14" ht="30" customHeight="1" s="17">
      <c r="A14" s="35" t="inlineStr">
        <is>
          <t>Coaching application</t>
        </is>
      </c>
      <c r="B14" s="27" t="inlineStr">
        <is>
          <t>The core executive skills profile for coaching; the five subscales map directly onto coaching targets. Measures higher order skills rather than core executive functions.</t>
        </is>
      </c>
    </row>
    <row r="15" ht="60" customHeight="1" s="17">
      <c r="A15" s="35" t="inlineStr">
        <is>
          <t>Purpose</t>
        </is>
      </c>
      <c r="B15" s="27" t="inlineStr">
        <is>
          <t>The ESQ-R is a 25-item self-report measure of executive functioning skills, including plan and time management, organization, and emotional and behavioral regulation. It was developed and published by Strait et al. (2020) and is included on NovoPsych with permission from Dr. Peg Dawson. It is intended to help identify specific areas of executive skill difficulty across five domains.</t>
        </is>
      </c>
    </row>
    <row r="16" ht="15" customHeight="1" s="17">
      <c r="A16" s="35" t="inlineStr">
        <is>
          <t>Instructions / prompt</t>
        </is>
      </c>
      <c r="B16" s="27" t="inlineStr">
        <is>
          <t>Read each item and decide how often it's a problem for you.</t>
        </is>
      </c>
    </row>
    <row r="17" ht="15" customHeight="1" s="17">
      <c r="A17" s="35" t="inlineStr">
        <is>
          <t>Response options</t>
        </is>
      </c>
      <c r="B17" s="27" t="inlineStr">
        <is>
          <t>Never or rarely = 0 | Sometimes = 1 | Often = 2 | Very often = 3</t>
        </is>
      </c>
    </row>
    <row r="18" ht="15" customHeight="1" s="17">
      <c r="A18" s="35" t="inlineStr">
        <is>
          <t>Reverse-scored items</t>
        </is>
      </c>
      <c r="B18" s="27" t="inlineStr">
        <is>
          <t>None</t>
        </is>
      </c>
    </row>
    <row r="19" ht="15" customHeight="1" s="17">
      <c r="A19" s="35" t="inlineStr">
        <is>
          <t>Filler items (not scored)</t>
        </is>
      </c>
      <c r="B19" s="27" t="inlineStr">
        <is>
          <t>None</t>
        </is>
      </c>
    </row>
    <row r="20" ht="75" customHeight="1" s="17">
      <c r="A20" s="35" t="inlineStr">
        <is>
          <t>Total scoring</t>
        </is>
      </c>
      <c r="B20" s="27" t="inlineStr">
        <is>
          <t>Each item is rated on a 4-point Likert-type scale from 0 to 3 reflecting the frequency with which a respondent experiences a specific difficulty. Item scores are summed to produce a total score (range 0-75) and five subscale scores (Plan Management 0-33, Time Management 0-12, Organization 0-9, Emotional Regulation 0-9, Behavioral Regulation 0-12). Higher scores indicate more difficulties with executive functioning. No reverse-scored items were identified in the retrieved source material.</t>
        </is>
      </c>
    </row>
    <row r="21" ht="165" customHeight="1" s="17">
      <c r="A21" s="35" t="inlineStr">
        <is>
          <t>Interpretation bands</t>
        </is>
      </c>
      <c r="B21" s="27" t="inlineStr">
        <is>
          <t>Low Difficulties: ≤10th percentile - Low difficulties with executive functioning skills relative to the normative sample.
Below Average Difficulties: 10th-24th percentile - Below average difficulties with executive functioning skills relative to the normative sample.
Average Difficulties: 25th-75th percentile - Average difficulties with executive functioning skills relative to the normative sample.
Above Average Difficulties: 76th-89th percentile - Above average difficulties with executive functioning skills relative to the normative sample.
High Difficulties: ≥90th percentile - High difficulties with executive functioning skills relative to the normative sample.</t>
        </is>
      </c>
    </row>
    <row r="22" ht="75" customHeight="1" s="17">
      <c r="A22" s="35" t="inlineStr">
        <is>
          <t>Cut-offs</t>
        </is>
      </c>
      <c r="B22" s="27" t="inlineStr">
        <is>
          <t>No diagnostic cut-off. Total score percentile bands: Low Difficulties (&lt;=10th), Below Average (11th-24th), Average (25th-75th), Above Average (76th-89th), High (&gt;=90th). Above Average or High suggests clinically significant executive functioning challenges. Subscale average ratings: No or Low Difficulty 0-1; Moderate Difficulty 1.01-1.99; High Difficulty 2-3. A change of 5 or more points on the total score is a Minimally Important Difference.</t>
        </is>
      </c>
    </row>
    <row r="23" ht="75" customHeight="1" s="17">
      <c r="A23" s="35" t="inlineStr">
        <is>
          <t>Normative data</t>
        </is>
      </c>
      <c r="B23" s="27" t="inlineStr">
        <is>
          <t>Sample of 327 working adults in Malaysia (153 male, 171 female, 1 unknown; aged 23-80, M = 40.34, SD = 10.39) completing a modified ESQ-R (Nasir et al., 2021). Total M = 20.54 (SD 10.27); Plan Management M = 7.59 (SD 5.08); Time Management M = 3.03 (SD 2.24); Organization M = 2.57 (SD 1.96); Emotional Regulation M = 3.02 (SD 1.88); Behavioral Regulation M = 4.32 (SD 2.08). These means and SDs convert raw scores to percentiles.</t>
        </is>
      </c>
    </row>
    <row r="24" ht="75" customHeight="1" s="17">
      <c r="A24" s="35" t="inlineStr">
        <is>
          <t>Psychometric properties</t>
        </is>
      </c>
      <c r="B24" s="27" t="inlineStr">
        <is>
          <t>Internal consistency Cronbach's alpha = .91; test-retest reliability r = .70 (Strait et al., 2020). Factor alphas: Plan Management .89 (11 items), Time Management .74 (4), Organization .76 (3), Emotional Regulation .75 (3), Behavioral Regulation .65 (4). Convergent validity: Current Behavior Scale r = .74; Adult Executive Functioning Inventory r = .69. Discriminant validity: DASS-21 Depression r = .48, Anxiety r = .38, Stress r = .44; GAD-7 r = .45; PSS-10 r = .55. Academic engagement r = -.40.</t>
        </is>
      </c>
    </row>
    <row r="25" ht="60" customHeight="1" s="17">
      <c r="A25" s="35" t="inlineStr">
        <is>
          <t>Developer citation</t>
        </is>
      </c>
      <c r="B25" s="27" t="inlineStr">
        <is>
          <t>Developed by Dr. Peg Dawson (Smart But Scattered Kids). Original citation: Strait, J. E., Dawson, P., Walther, C. A. P., Strait, G. G., Barton, A. K., &amp; McClain, M. B. (2020). Refinement and psychometric evaluation of the Executive Skills Questionnaire-Revised. Contemporary School Psychology, 24, 378-388. https://doi.org/10.1007/s40688-018-00224-x</t>
        </is>
      </c>
    </row>
    <row r="26" ht="30" customHeight="1" s="17">
      <c r="A26" s="35" t="inlineStr">
        <is>
          <t>Copyright and licensing</t>
        </is>
      </c>
      <c r="B26" s="27" t="inlineStr">
        <is>
          <t>© 2026 Copyright – NovoPsych – All rights reserved. The ESQ-R was developed and published by Strait et al. (2020) and is included on NovoPsych with permission from Dr. Peg Dawson.</t>
        </is>
      </c>
    </row>
    <row r="27" ht="15" customHeight="1" s="17">
      <c r="A27" s="35" t="inlineStr">
        <is>
          <t>Source URL</t>
        </is>
      </c>
      <c r="B27" s="27" t="inlineStr">
        <is>
          <t>https://novopsych.com/assessments/formulation/executive-skills-questionnaire-revised-esq-r/</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I act on impulse.</t>
        </is>
      </c>
      <c r="C30" s="27" t="inlineStr">
        <is>
          <t>Behavioral Regulation</t>
        </is>
      </c>
      <c r="D30" s="27" t="inlineStr">
        <is>
          <t>FALSE</t>
        </is>
      </c>
      <c r="E30" s="27" t="inlineStr">
        <is>
          <t>FALSE</t>
        </is>
      </c>
      <c r="F30" s="27" t="n"/>
    </row>
    <row r="31" ht="15" customHeight="1" s="17">
      <c r="A31" s="28" t="n">
        <v>2</v>
      </c>
      <c r="B31" s="27" t="inlineStr">
        <is>
          <t>I say things without thinking.</t>
        </is>
      </c>
      <c r="C31" s="27" t="inlineStr">
        <is>
          <t>Behavioral Regulation</t>
        </is>
      </c>
      <c r="D31" s="27" t="inlineStr">
        <is>
          <t>FALSE</t>
        </is>
      </c>
      <c r="E31" s="27" t="inlineStr">
        <is>
          <t>FALSE</t>
        </is>
      </c>
      <c r="F31" s="27" t="n"/>
    </row>
    <row r="32" ht="15" customHeight="1" s="17">
      <c r="A32" s="28" t="n">
        <v>3</v>
      </c>
      <c r="B32" s="27" t="inlineStr">
        <is>
          <t>I lose things.</t>
        </is>
      </c>
      <c r="C32" s="27" t="inlineStr">
        <is>
          <t>Organization</t>
        </is>
      </c>
      <c r="D32" s="27" t="inlineStr">
        <is>
          <t>FALSE</t>
        </is>
      </c>
      <c r="E32" s="27" t="inlineStr">
        <is>
          <t>FALSE</t>
        </is>
      </c>
      <c r="F32" s="27" t="n"/>
    </row>
    <row r="33" ht="15" customHeight="1" s="17">
      <c r="A33" s="28" t="n">
        <v>4</v>
      </c>
      <c r="B33" s="27" t="inlineStr">
        <is>
          <t>I have a short fuse.</t>
        </is>
      </c>
      <c r="C33" s="27" t="inlineStr">
        <is>
          <t>Emotional Regulation</t>
        </is>
      </c>
      <c r="D33" s="27" t="inlineStr">
        <is>
          <t>FALSE</t>
        </is>
      </c>
      <c r="E33" s="27" t="inlineStr">
        <is>
          <t>FALSE</t>
        </is>
      </c>
      <c r="F33" s="27" t="n"/>
    </row>
    <row r="34" ht="15" customHeight="1" s="17">
      <c r="A34" s="28" t="n">
        <v>5</v>
      </c>
      <c r="B34" s="27" t="inlineStr">
        <is>
          <t>I get upset when things don't go as planned.</t>
        </is>
      </c>
      <c r="C34" s="27" t="inlineStr">
        <is>
          <t>Emotional Regulation</t>
        </is>
      </c>
      <c r="D34" s="27" t="inlineStr">
        <is>
          <t>FALSE</t>
        </is>
      </c>
      <c r="E34" s="27" t="inlineStr">
        <is>
          <t>FALSE</t>
        </is>
      </c>
      <c r="F34" s="27" t="n"/>
    </row>
    <row r="35" ht="15" customHeight="1" s="17">
      <c r="A35" s="28" t="n">
        <v>6</v>
      </c>
      <c r="B35" s="27" t="inlineStr">
        <is>
          <t>I run out of steam before finishing a task.</t>
        </is>
      </c>
      <c r="C35" s="27" t="inlineStr">
        <is>
          <t>Plan Management</t>
        </is>
      </c>
      <c r="D35" s="27" t="inlineStr">
        <is>
          <t>FALSE</t>
        </is>
      </c>
      <c r="E35" s="27" t="inlineStr">
        <is>
          <t>FALSE</t>
        </is>
      </c>
      <c r="F35" s="27" t="n"/>
    </row>
    <row r="36" ht="15" customHeight="1" s="17">
      <c r="A36" s="28" t="n">
        <v>7</v>
      </c>
      <c r="B36" s="27" t="inlineStr">
        <is>
          <t>It's hard for me to set priorities when I have a lot of things to do.</t>
        </is>
      </c>
      <c r="C36" s="27" t="inlineStr">
        <is>
          <t>Plan Management</t>
        </is>
      </c>
      <c r="D36" s="27" t="inlineStr">
        <is>
          <t>FALSE</t>
        </is>
      </c>
      <c r="E36" s="27" t="inlineStr">
        <is>
          <t>FALSE</t>
        </is>
      </c>
      <c r="F36" s="27" t="n"/>
    </row>
    <row r="37" ht="15" customHeight="1" s="17">
      <c r="A37" s="28" t="n">
        <v>8</v>
      </c>
      <c r="B37" s="27" t="inlineStr">
        <is>
          <t>My desk or workspace is a mess.</t>
        </is>
      </c>
      <c r="C37" s="27" t="inlineStr">
        <is>
          <t>Organization</t>
        </is>
      </c>
      <c r="D37" s="27" t="inlineStr">
        <is>
          <t>FALSE</t>
        </is>
      </c>
      <c r="E37" s="27" t="inlineStr">
        <is>
          <t>FALSE</t>
        </is>
      </c>
      <c r="F37" s="27" t="n"/>
    </row>
    <row r="38" ht="15" customHeight="1" s="17">
      <c r="A38" s="28" t="n">
        <v>9</v>
      </c>
      <c r="B38" s="27" t="inlineStr">
        <is>
          <t>I have trouble keeping my house or room clean.</t>
        </is>
      </c>
      <c r="C38" s="27" t="inlineStr">
        <is>
          <t>Organization</t>
        </is>
      </c>
      <c r="D38" s="27" t="inlineStr">
        <is>
          <t>FALSE</t>
        </is>
      </c>
      <c r="E38" s="27" t="inlineStr">
        <is>
          <t>FALSE</t>
        </is>
      </c>
      <c r="F38" s="27" t="n"/>
    </row>
    <row r="39" ht="15" customHeight="1" s="17">
      <c r="A39" s="28" t="n">
        <v>10</v>
      </c>
      <c r="B39" s="27" t="inlineStr">
        <is>
          <t>I have trouble estimating how long it will take to complete a task.</t>
        </is>
      </c>
      <c r="C39" s="27" t="inlineStr">
        <is>
          <t>Time Management</t>
        </is>
      </c>
      <c r="D39" s="27" t="inlineStr">
        <is>
          <t>FALSE</t>
        </is>
      </c>
      <c r="E39" s="27" t="inlineStr">
        <is>
          <t>FALSE</t>
        </is>
      </c>
      <c r="F39" s="27" t="n"/>
    </row>
    <row r="40" ht="15" customHeight="1" s="17">
      <c r="A40" s="28" t="n">
        <v>11</v>
      </c>
      <c r="B40" s="27" t="inlineStr">
        <is>
          <t>I'm slow at getting ready for school, work, or appointments.</t>
        </is>
      </c>
      <c r="C40" s="27" t="inlineStr">
        <is>
          <t>Time Management</t>
        </is>
      </c>
      <c r="D40" s="27" t="inlineStr">
        <is>
          <t>FALSE</t>
        </is>
      </c>
      <c r="E40" s="27" t="inlineStr">
        <is>
          <t>FALSE</t>
        </is>
      </c>
      <c r="F40" s="27" t="n"/>
    </row>
    <row r="41" ht="15" customHeight="1" s="17">
      <c r="A41" s="28" t="n">
        <v>12</v>
      </c>
      <c r="B41" s="27" t="inlineStr">
        <is>
          <t>If the first solution to a problem doesn't work, I have trouble thinking of a different one.</t>
        </is>
      </c>
      <c r="C41" s="27" t="inlineStr">
        <is>
          <t>Plan Management</t>
        </is>
      </c>
      <c r="D41" s="27" t="inlineStr">
        <is>
          <t>FALSE</t>
        </is>
      </c>
      <c r="E41" s="27" t="inlineStr">
        <is>
          <t>FALSE</t>
        </is>
      </c>
      <c r="F41" s="27" t="n"/>
    </row>
    <row r="42" ht="15" customHeight="1" s="17">
      <c r="A42" s="28" t="n">
        <v>13</v>
      </c>
      <c r="B42" s="27" t="inlineStr">
        <is>
          <t>I skip checking my work for mistakes, even when the stakes are high.</t>
        </is>
      </c>
      <c r="C42" s="27" t="inlineStr">
        <is>
          <t>Plan Management</t>
        </is>
      </c>
      <c r="D42" s="27" t="inlineStr">
        <is>
          <t>FALSE</t>
        </is>
      </c>
      <c r="E42" s="27" t="inlineStr">
        <is>
          <t>FALSE</t>
        </is>
      </c>
      <c r="F42" s="27" t="n"/>
    </row>
    <row r="43" ht="15" customHeight="1" s="17">
      <c r="A43" s="28" t="n">
        <v>14</v>
      </c>
      <c r="B43" s="27" t="inlineStr">
        <is>
          <t>I get annoyed when tasks are too hard.</t>
        </is>
      </c>
      <c r="C43" s="27" t="inlineStr">
        <is>
          <t>Plan Management</t>
        </is>
      </c>
      <c r="D43" s="27" t="inlineStr">
        <is>
          <t>FALSE</t>
        </is>
      </c>
      <c r="E43" s="27" t="inlineStr">
        <is>
          <t>FALSE</t>
        </is>
      </c>
      <c r="F43" s="27" t="n"/>
    </row>
    <row r="44" ht="15" customHeight="1" s="17">
      <c r="A44" s="28" t="n">
        <v>15</v>
      </c>
      <c r="B44" s="27" t="inlineStr">
        <is>
          <t>It's hard for me to put aside fun activities to start things I know I need to do.</t>
        </is>
      </c>
      <c r="C44" s="27" t="inlineStr">
        <is>
          <t>Time Management</t>
        </is>
      </c>
      <c r="D44" s="27" t="inlineStr">
        <is>
          <t>FALSE</t>
        </is>
      </c>
      <c r="E44" s="27" t="inlineStr">
        <is>
          <t>FALSE</t>
        </is>
      </c>
      <c r="F44" s="27" t="n"/>
    </row>
    <row r="45" ht="15" customHeight="1" s="17">
      <c r="A45" s="28" t="n">
        <v>16</v>
      </c>
      <c r="B45" s="27" t="inlineStr">
        <is>
          <t>I have trouble with tasks where I have to come up with my own ideas.</t>
        </is>
      </c>
      <c r="C45" s="27" t="inlineStr">
        <is>
          <t>Plan Management</t>
        </is>
      </c>
      <c r="D45" s="27" t="inlineStr">
        <is>
          <t>FALSE</t>
        </is>
      </c>
      <c r="E45" s="27" t="inlineStr">
        <is>
          <t>FALSE</t>
        </is>
      </c>
      <c r="F45" s="27" t="n"/>
    </row>
    <row r="46" ht="15" customHeight="1" s="17">
      <c r="A46" s="28" t="n">
        <v>17</v>
      </c>
      <c r="B46" s="27" t="inlineStr">
        <is>
          <t>It's hard for me to tell how well I'm doing on a task.</t>
        </is>
      </c>
      <c r="C46" s="27" t="inlineStr">
        <is>
          <t>Plan Management</t>
        </is>
      </c>
      <c r="D46" s="27" t="inlineStr">
        <is>
          <t>FALSE</t>
        </is>
      </c>
      <c r="E46" s="27" t="inlineStr">
        <is>
          <t>FALSE</t>
        </is>
      </c>
      <c r="F46" s="27" t="n"/>
    </row>
    <row r="47" ht="15" customHeight="1" s="17">
      <c r="A47" s="28" t="n">
        <v>18</v>
      </c>
      <c r="B47" s="27" t="inlineStr">
        <is>
          <t>I have trouble reaching long-term goals.</t>
        </is>
      </c>
      <c r="C47" s="27" t="inlineStr">
        <is>
          <t>Plan Management</t>
        </is>
      </c>
      <c r="D47" s="27" t="inlineStr">
        <is>
          <t>FALSE</t>
        </is>
      </c>
      <c r="E47" s="27" t="inlineStr">
        <is>
          <t>FALSE</t>
        </is>
      </c>
      <c r="F47" s="27" t="n"/>
    </row>
    <row r="48" ht="15" customHeight="1" s="17">
      <c r="A48" s="28" t="n">
        <v>19</v>
      </c>
      <c r="B48" s="27" t="inlineStr">
        <is>
          <t>I "go with my gut" when making decisions.</t>
        </is>
      </c>
      <c r="C48" s="27" t="inlineStr">
        <is>
          <t>Behavioral Regulation</t>
        </is>
      </c>
      <c r="D48" s="27" t="inlineStr">
        <is>
          <t>FALSE</t>
        </is>
      </c>
      <c r="E48" s="27" t="inlineStr">
        <is>
          <t>FALSE</t>
        </is>
      </c>
      <c r="F48" s="27" t="n"/>
    </row>
    <row r="49" ht="15" customHeight="1" s="17">
      <c r="A49" s="28" t="n">
        <v>20</v>
      </c>
      <c r="B49" s="27" t="inlineStr">
        <is>
          <t>I get so wrapped up in what I'm doing that I forget about other things I need to do.</t>
        </is>
      </c>
      <c r="C49" s="27" t="inlineStr">
        <is>
          <t>Time Management</t>
        </is>
      </c>
      <c r="D49" s="27" t="inlineStr">
        <is>
          <t>FALSE</t>
        </is>
      </c>
      <c r="E49" s="27" t="inlineStr">
        <is>
          <t>FALSE</t>
        </is>
      </c>
      <c r="F49" s="27" t="n"/>
    </row>
    <row r="50" ht="15" customHeight="1" s="17">
      <c r="A50" s="28" t="n">
        <v>21</v>
      </c>
      <c r="B50" s="27" t="inlineStr">
        <is>
          <t>Little things frustrate me.</t>
        </is>
      </c>
      <c r="C50" s="27" t="inlineStr">
        <is>
          <t>Emotional Regulation</t>
        </is>
      </c>
      <c r="D50" s="27" t="inlineStr">
        <is>
          <t>FALSE</t>
        </is>
      </c>
      <c r="E50" s="27" t="inlineStr">
        <is>
          <t>FALSE</t>
        </is>
      </c>
      <c r="F50" s="27" t="n"/>
    </row>
    <row r="51" ht="15" customHeight="1" s="17">
      <c r="A51" s="28" t="n">
        <v>22</v>
      </c>
      <c r="B51" s="27" t="inlineStr">
        <is>
          <t>I have trouble getting back on track if I'm interrupted.</t>
        </is>
      </c>
      <c r="C51" s="27" t="inlineStr">
        <is>
          <t>Plan Management</t>
        </is>
      </c>
      <c r="D51" s="27" t="inlineStr">
        <is>
          <t>FALSE</t>
        </is>
      </c>
      <c r="E51" s="27" t="inlineStr">
        <is>
          <t>FALSE</t>
        </is>
      </c>
      <c r="F51" s="27" t="n"/>
    </row>
    <row r="52" ht="15" customHeight="1" s="17">
      <c r="A52" s="28" t="n">
        <v>23</v>
      </c>
      <c r="B52" s="27" t="inlineStr">
        <is>
          <t>I have trouble making a plan.</t>
        </is>
      </c>
      <c r="C52" s="27" t="inlineStr">
        <is>
          <t>Plan Management</t>
        </is>
      </c>
      <c r="D52" s="27" t="inlineStr">
        <is>
          <t>FALSE</t>
        </is>
      </c>
      <c r="E52" s="27" t="inlineStr">
        <is>
          <t>FALSE</t>
        </is>
      </c>
      <c r="F52" s="27" t="n"/>
    </row>
    <row r="53" ht="15" customHeight="1" s="17">
      <c r="A53" s="28" t="n">
        <v>24</v>
      </c>
      <c r="B53" s="27" t="inlineStr">
        <is>
          <t>I miss the big picture.</t>
        </is>
      </c>
      <c r="C53" s="27" t="inlineStr">
        <is>
          <t>Plan Management</t>
        </is>
      </c>
      <c r="D53" s="27" t="inlineStr">
        <is>
          <t>FALSE</t>
        </is>
      </c>
      <c r="E53" s="27" t="inlineStr">
        <is>
          <t>FALSE</t>
        </is>
      </c>
      <c r="F53" s="27" t="n"/>
    </row>
    <row r="54" ht="15" customHeight="1" s="17">
      <c r="A54" s="28" t="n">
        <v>25</v>
      </c>
      <c r="B54" s="27" t="inlineStr">
        <is>
          <t>I live for the moment.</t>
        </is>
      </c>
      <c r="C54" s="27" t="inlineStr">
        <is>
          <t>Behavioral Regulation</t>
        </is>
      </c>
      <c r="D54" s="27" t="inlineStr">
        <is>
          <t>FALSE</t>
        </is>
      </c>
      <c r="E54" s="27" t="inlineStr">
        <is>
          <t>FALSE</t>
        </is>
      </c>
      <c r="F54" s="27" t="n"/>
    </row>
  </sheetData>
  <autoFilter ref="A29:F5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Cognitive Flexibility Inventory (CFI)</t>
        </is>
      </c>
    </row>
    <row r="3" ht="15" customHeight="1" s="17">
      <c r="A3" s="35" t="inlineStr">
        <is>
          <t>Instrument</t>
        </is>
      </c>
      <c r="B3" s="27" t="inlineStr">
        <is>
          <t>Cognitive Flexibility Inventory (CFI)</t>
        </is>
      </c>
    </row>
    <row r="4" ht="15" customHeight="1" s="17">
      <c r="A4" s="35" t="inlineStr">
        <is>
          <t>Code</t>
        </is>
      </c>
      <c r="B4" s="27" t="inlineStr">
        <is>
          <t>CFI</t>
        </is>
      </c>
    </row>
    <row r="5" ht="15" customHeight="1" s="17">
      <c r="A5" s="35" t="inlineStr">
        <is>
          <t>Domain</t>
        </is>
      </c>
      <c r="B5" s="27" t="inlineStr">
        <is>
          <t>1. Executive functioning and ADHD</t>
        </is>
      </c>
    </row>
    <row r="6" ht="15" customHeight="1" s="17">
      <c r="A6" s="35" t="inlineStr">
        <is>
          <t>Availability</t>
        </is>
      </c>
      <c r="B6" s="27" t="inlineStr">
        <is>
          <t>Free / open access</t>
        </is>
      </c>
    </row>
    <row r="7" ht="45" customHeight="1" s="17">
      <c r="A7" s="35" t="inlineStr">
        <is>
          <t>Construct</t>
        </is>
      </c>
      <c r="B7" s="27" t="inlineStr">
        <is>
          <t>Cognitive flexibility - the ability to perceive multiple alternative explanations for life occurrences and human behaviour, generate multiple alternative solutions to difficult situations, and perceive difficult situations as controllable</t>
        </is>
      </c>
    </row>
    <row r="8" ht="15" customHeight="1" s="17">
      <c r="A8" s="35" t="inlineStr">
        <is>
          <t>Respondent</t>
        </is>
      </c>
      <c r="B8" s="27" t="inlineStr">
        <is>
          <t>Self-report</t>
        </is>
      </c>
    </row>
    <row r="9" ht="15" customHeight="1" s="17">
      <c r="A9" s="35" t="inlineStr">
        <is>
          <t>Age range</t>
        </is>
      </c>
      <c r="B9" s="27" t="inlineStr">
        <is>
          <t>18+</t>
        </is>
      </c>
    </row>
    <row r="10" ht="15" customHeight="1" s="17">
      <c r="A10" s="35" t="inlineStr">
        <is>
          <t>Items in instrument</t>
        </is>
      </c>
      <c r="B10" s="27" t="inlineStr">
        <is>
          <t>20</t>
        </is>
      </c>
    </row>
    <row r="11" ht="15" customHeight="1" s="17">
      <c r="A11" s="35" t="inlineStr">
        <is>
          <t>Items reproduced here</t>
        </is>
      </c>
      <c r="B11" s="27" t="inlineStr">
        <is>
          <t>20</t>
        </is>
      </c>
    </row>
    <row r="12" ht="15" customHeight="1" s="17">
      <c r="A12" s="35" t="inlineStr">
        <is>
          <t>Administration time</t>
        </is>
      </c>
      <c r="B12" s="27" t="inlineStr">
        <is>
          <t>3 minutes</t>
        </is>
      </c>
    </row>
    <row r="13" ht="15" customHeight="1" s="17">
      <c r="A13" s="35" t="inlineStr">
        <is>
          <t>Cost and access</t>
        </is>
      </c>
      <c r="B13" s="27" t="inlineStr">
        <is>
          <t>Published in Dennis and Vander Wal (2010); blank form hosted free on NovoPsych.</t>
        </is>
      </c>
    </row>
    <row r="14" ht="30" customHeight="1" s="17">
      <c r="A14" s="35" t="inlineStr">
        <is>
          <t>Coaching application</t>
        </is>
      </c>
      <c r="B14" s="27" t="inlineStr">
        <is>
          <t>Measures cognitive flexibility, useful for tracking response to reframing and problem solving work. Scored in the opposite direction to the ESQ-R.</t>
        </is>
      </c>
    </row>
    <row r="15" ht="60" customHeight="1" s="17">
      <c r="A15" s="35" t="inlineStr">
        <is>
          <t>Purpose</t>
        </is>
      </c>
      <c r="B15" s="27" t="inlineStr">
        <is>
          <t>The CFI is a 20-item self-report measure used to monitor how often individuals engaged in cognitive behavioural thought challenging interventions. Cognitive flexibility is a core skill targeted in cognitive behavioral therapy that enables adaptive thinking during stressful life events and helps individuals avoid maladaptive thinking patterns.</t>
        </is>
      </c>
    </row>
    <row r="16" ht="30" customHeight="1" s="17">
      <c r="A16" s="35" t="inlineStr">
        <is>
          <t>Instructions / prompt</t>
        </is>
      </c>
      <c r="B16" s="27" t="inlineStr">
        <is>
          <t>Please use the scale below to indicate the extent to which you agree or disagree with the following statements.</t>
        </is>
      </c>
    </row>
    <row r="17" ht="30" customHeight="1" s="17">
      <c r="A17" s="35" t="inlineStr">
        <is>
          <t>Response options</t>
        </is>
      </c>
      <c r="B17" s="27" t="inlineStr">
        <is>
          <t>Strongly disagree = 1 | Disagree = 2 | Somewhat disagree = 3 | Neutral = 4 | Somewhat agree = 5 | Agree = 6 | Strongly agree = 7</t>
        </is>
      </c>
    </row>
    <row r="18" ht="15" customHeight="1" s="17">
      <c r="A18" s="35" t="inlineStr">
        <is>
          <t>Reverse-scored items</t>
        </is>
      </c>
      <c r="B18" s="27" t="inlineStr">
        <is>
          <t>2, 4, 7, 9, 11, 17</t>
        </is>
      </c>
    </row>
    <row r="19" ht="15" customHeight="1" s="17">
      <c r="A19" s="35" t="inlineStr">
        <is>
          <t>Filler items (not scored)</t>
        </is>
      </c>
      <c r="B19" s="27" t="inlineStr">
        <is>
          <t>None</t>
        </is>
      </c>
    </row>
    <row r="20" ht="60" customHeight="1" s="17">
      <c r="A20" s="35" t="inlineStr">
        <is>
          <t>Total scoring</t>
        </is>
      </c>
      <c r="B20" s="27" t="inlineStr">
        <is>
          <t>Each item is rated on a 7-point Likert scale from 1 (Strongly disagree) to 7 (Strongly agree). Items 2, 4, 7, 9, 11, and 17 are reverse scored. Item scores are summed to produce a total CFI score and two subscale scores (Alternatives and Control). A higher score indicates more cognitive flexibility.</t>
        </is>
      </c>
    </row>
    <row r="21" ht="90" customHeight="1" s="17">
      <c r="A21" s="35" t="inlineStr">
        <is>
          <t>Interpretation bands</t>
        </is>
      </c>
      <c r="B21" s="27" t="inlineStr">
        <is>
          <t>Clinically significant inflexibility: Below approximately the 25th percentile - Cognitive inflexibility of clinical significance; a target for CBT.
Average: Around the 50th percentile - More cognitive flexibility than 50 per cent of the normative sample.
High flexibility: Upper percentiles - Higher likelihood of adaptive responses to difficult life experiences.</t>
        </is>
      </c>
    </row>
    <row r="22" ht="30" customHeight="1" s="17">
      <c r="A22" s="35" t="inlineStr">
        <is>
          <t>Cut-offs</t>
        </is>
      </c>
      <c r="B22" s="27" t="inlineStr">
        <is>
          <t>No formal diagnostic cut-off. Percentiles below approximately 25 represent clinically significant cognitive inflexibility, which would be important to target within cognitive behavioural therapy.</t>
        </is>
      </c>
    </row>
    <row r="23" ht="30" customHeight="1" s="17">
      <c r="A23" s="35" t="inlineStr">
        <is>
          <t>Normative data</t>
        </is>
      </c>
      <c r="B23" s="27" t="inlineStr">
        <is>
          <t>Sample of 196 university students (Dennis &amp; Vander Wal, 2010): CFI total M = 102.98 (SD = 13.91); Alternatives M = 67.59 (SD = 9.41); Control M = 35.35 (SD = 7.02).</t>
        </is>
      </c>
    </row>
    <row r="24" ht="90" customHeight="1" s="17">
      <c r="A24" s="35" t="inlineStr">
        <is>
          <t>Psychometric properties</t>
        </is>
      </c>
      <c r="B24" s="27" t="inlineStr">
        <is>
          <t>Test-retest reliability: total r = .81; Alternatives r = .75; Control r = .77 (Dennis &amp; Vander Wal, 2010). Internal consistency: Alternatives alpha = .91; Control alpha = .86; total alpha = .90. Convergent construct validity established through associations with other measures of cognitive flexibility, depressive symptomatology and coping (Dennis &amp; Vander Wal, 2010). The CFI differentiates a clinical group (anxiety and depression) from a non-clinical sample, with the clinical group scoring significantly lower on total and subscale scores (Johnco, Wuthrich, &amp; Rapee, 2014).</t>
        </is>
      </c>
    </row>
    <row r="25" ht="45" customHeight="1" s="17">
      <c r="A25" s="35" t="inlineStr">
        <is>
          <t>Developer citation</t>
        </is>
      </c>
      <c r="B25" s="27" t="inlineStr">
        <is>
          <t>Dennis, J. P., &amp; Vander Wal, J. S. (2010). The cognitive flexibility inventory: Instrument development and estimates of reliability and validity. Cognitive Therapy and Research, 34(3), 241-253. https://doi.org/10.1007/s10608-009-9276-4</t>
        </is>
      </c>
    </row>
    <row r="26" ht="30" customHeight="1" s="17">
      <c r="A26" s="35" t="inlineStr">
        <is>
          <t>Copyright and licensing</t>
        </is>
      </c>
      <c r="B26" s="27" t="inlineStr">
        <is>
          <t>© 2026 Copyright – NovoPsych – All rights reserved. Sample report footer: Copyright 2022 NovoPsych Pty Ltd.</t>
        </is>
      </c>
    </row>
    <row r="27" ht="15" customHeight="1" s="17">
      <c r="A27" s="35" t="inlineStr">
        <is>
          <t>Source URL</t>
        </is>
      </c>
      <c r="B27" s="27" t="inlineStr">
        <is>
          <t>https://novopsych.com/assessments/formulation/cognitive-flexibility-inventory-cfi/</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I am good at "sizing up" situations.</t>
        </is>
      </c>
      <c r="C30" s="27" t="inlineStr">
        <is>
          <t>Alternatives</t>
        </is>
      </c>
      <c r="D30" s="27" t="inlineStr">
        <is>
          <t>FALSE</t>
        </is>
      </c>
      <c r="E30" s="27" t="inlineStr">
        <is>
          <t>FALSE</t>
        </is>
      </c>
      <c r="F30" s="27" t="n"/>
    </row>
    <row r="31" ht="15" customHeight="1" s="17">
      <c r="A31" s="28" t="n">
        <v>2</v>
      </c>
      <c r="B31" s="27" t="inlineStr">
        <is>
          <t>I have a hard time making decisions when faced with difficult situations.</t>
        </is>
      </c>
      <c r="C31" s="27" t="inlineStr">
        <is>
          <t>Control</t>
        </is>
      </c>
      <c r="D31" s="34" t="inlineStr">
        <is>
          <t>TRUE</t>
        </is>
      </c>
      <c r="E31" s="27" t="inlineStr">
        <is>
          <t>FALSE</t>
        </is>
      </c>
      <c r="F31" s="27" t="n"/>
    </row>
    <row r="32" ht="15" customHeight="1" s="17">
      <c r="A32" s="28" t="n">
        <v>3</v>
      </c>
      <c r="B32" s="27" t="inlineStr">
        <is>
          <t>I consider multiple options before making a decision.</t>
        </is>
      </c>
      <c r="C32" s="27" t="inlineStr">
        <is>
          <t>Alternatives</t>
        </is>
      </c>
      <c r="D32" s="27" t="inlineStr">
        <is>
          <t>FALSE</t>
        </is>
      </c>
      <c r="E32" s="27" t="inlineStr">
        <is>
          <t>FALSE</t>
        </is>
      </c>
      <c r="F32" s="27" t="n"/>
    </row>
    <row r="33" ht="15" customHeight="1" s="17">
      <c r="A33" s="28" t="n">
        <v>4</v>
      </c>
      <c r="B33" s="27" t="inlineStr">
        <is>
          <t>When I encounter difficult situations, I feel like I am losing control.</t>
        </is>
      </c>
      <c r="C33" s="27" t="inlineStr">
        <is>
          <t>Control</t>
        </is>
      </c>
      <c r="D33" s="34" t="inlineStr">
        <is>
          <t>TRUE</t>
        </is>
      </c>
      <c r="E33" s="27" t="inlineStr">
        <is>
          <t>FALSE</t>
        </is>
      </c>
      <c r="F33" s="27" t="n"/>
    </row>
    <row r="34" ht="15" customHeight="1" s="17">
      <c r="A34" s="28" t="n">
        <v>5</v>
      </c>
      <c r="B34" s="27" t="inlineStr">
        <is>
          <t>I like to look at difficult situations from many different angles.</t>
        </is>
      </c>
      <c r="C34" s="27" t="inlineStr">
        <is>
          <t>Alternatives</t>
        </is>
      </c>
      <c r="D34" s="27" t="inlineStr">
        <is>
          <t>FALSE</t>
        </is>
      </c>
      <c r="E34" s="27" t="inlineStr">
        <is>
          <t>FALSE</t>
        </is>
      </c>
      <c r="F34" s="27" t="n"/>
    </row>
    <row r="35" ht="15" customHeight="1" s="17">
      <c r="A35" s="28" t="n">
        <v>6</v>
      </c>
      <c r="B35" s="27" t="inlineStr">
        <is>
          <t>I seek additional information not immediately available before attributing causes to behaviour.</t>
        </is>
      </c>
      <c r="C35" s="27" t="inlineStr">
        <is>
          <t>Alternatives</t>
        </is>
      </c>
      <c r="D35" s="27" t="inlineStr">
        <is>
          <t>FALSE</t>
        </is>
      </c>
      <c r="E35" s="27" t="inlineStr">
        <is>
          <t>FALSE</t>
        </is>
      </c>
      <c r="F35" s="27" t="n"/>
    </row>
    <row r="36" ht="23.85" customHeight="1" s="17">
      <c r="A36" s="28" t="n">
        <v>7</v>
      </c>
      <c r="B36" s="27" t="inlineStr">
        <is>
          <t>When encountering difficult situations, I become so stressed that I can not think of a way to resolve the situation.</t>
        </is>
      </c>
      <c r="C36" s="27" t="inlineStr">
        <is>
          <t>Control</t>
        </is>
      </c>
      <c r="D36" s="34" t="inlineStr">
        <is>
          <t>TRUE</t>
        </is>
      </c>
      <c r="E36" s="27" t="inlineStr">
        <is>
          <t>FALSE</t>
        </is>
      </c>
      <c r="F36" s="27" t="n"/>
    </row>
    <row r="37" ht="15" customHeight="1" s="17">
      <c r="A37" s="28" t="n">
        <v>8</v>
      </c>
      <c r="B37" s="27" t="inlineStr">
        <is>
          <t>I try to think about things from another person's point of view.</t>
        </is>
      </c>
      <c r="C37" s="27" t="inlineStr">
        <is>
          <t>Alternatives</t>
        </is>
      </c>
      <c r="D37" s="27" t="inlineStr">
        <is>
          <t>FALSE</t>
        </is>
      </c>
      <c r="E37" s="27" t="inlineStr">
        <is>
          <t>FALSE</t>
        </is>
      </c>
      <c r="F37" s="27" t="n"/>
    </row>
    <row r="38" ht="15" customHeight="1" s="17">
      <c r="A38" s="28" t="n">
        <v>9</v>
      </c>
      <c r="B38" s="27" t="inlineStr">
        <is>
          <t>I find it troublesome that there are so many different ways to deal with difficult situations.</t>
        </is>
      </c>
      <c r="C38" s="27" t="inlineStr">
        <is>
          <t>Control</t>
        </is>
      </c>
      <c r="D38" s="34" t="inlineStr">
        <is>
          <t>TRUE</t>
        </is>
      </c>
      <c r="E38" s="27" t="inlineStr">
        <is>
          <t>FALSE</t>
        </is>
      </c>
      <c r="F38" s="27" t="n"/>
    </row>
    <row r="39" ht="15" customHeight="1" s="17">
      <c r="A39" s="28" t="n">
        <v>10</v>
      </c>
      <c r="B39" s="27" t="inlineStr">
        <is>
          <t>I am good at putting myself in others' shoes.</t>
        </is>
      </c>
      <c r="C39" s="27" t="inlineStr">
        <is>
          <t>Alternatives</t>
        </is>
      </c>
      <c r="D39" s="27" t="inlineStr">
        <is>
          <t>FALSE</t>
        </is>
      </c>
      <c r="E39" s="27" t="inlineStr">
        <is>
          <t>FALSE</t>
        </is>
      </c>
      <c r="F39" s="27" t="n"/>
    </row>
    <row r="40" ht="15" customHeight="1" s="17">
      <c r="A40" s="28" t="n">
        <v>11</v>
      </c>
      <c r="B40" s="27" t="inlineStr">
        <is>
          <t>When I encounter difficult situations, I just don't know what to do.</t>
        </is>
      </c>
      <c r="C40" s="27" t="inlineStr">
        <is>
          <t>Control</t>
        </is>
      </c>
      <c r="D40" s="34" t="inlineStr">
        <is>
          <t>TRUE</t>
        </is>
      </c>
      <c r="E40" s="27" t="inlineStr">
        <is>
          <t>FALSE</t>
        </is>
      </c>
      <c r="F40" s="27" t="n"/>
    </row>
    <row r="41" ht="15" customHeight="1" s="17">
      <c r="A41" s="28" t="n">
        <v>12</v>
      </c>
      <c r="B41" s="27" t="inlineStr">
        <is>
          <t>It is important to look at difficult situations from many angles.</t>
        </is>
      </c>
      <c r="C41" s="27" t="inlineStr">
        <is>
          <t>Alternatives</t>
        </is>
      </c>
      <c r="D41" s="27" t="inlineStr">
        <is>
          <t>FALSE</t>
        </is>
      </c>
      <c r="E41" s="27" t="inlineStr">
        <is>
          <t>FALSE</t>
        </is>
      </c>
      <c r="F41" s="27" t="n"/>
    </row>
    <row r="42" ht="15" customHeight="1" s="17">
      <c r="A42" s="28" t="n">
        <v>13</v>
      </c>
      <c r="B42" s="27" t="inlineStr">
        <is>
          <t>When in difficult situations, I consider multiple options before deciding how to behave.</t>
        </is>
      </c>
      <c r="C42" s="27" t="inlineStr">
        <is>
          <t>Alternatives</t>
        </is>
      </c>
      <c r="D42" s="27" t="inlineStr">
        <is>
          <t>FALSE</t>
        </is>
      </c>
      <c r="E42" s="27" t="inlineStr">
        <is>
          <t>FALSE</t>
        </is>
      </c>
      <c r="F42" s="27" t="n"/>
    </row>
    <row r="43" ht="15" customHeight="1" s="17">
      <c r="A43" s="28" t="n">
        <v>14</v>
      </c>
      <c r="B43" s="27" t="inlineStr">
        <is>
          <t>I often look at a situation from different view-points.</t>
        </is>
      </c>
      <c r="C43" s="27" t="inlineStr">
        <is>
          <t>Alternatives</t>
        </is>
      </c>
      <c r="D43" s="27" t="inlineStr">
        <is>
          <t>FALSE</t>
        </is>
      </c>
      <c r="E43" s="27" t="inlineStr">
        <is>
          <t>FALSE</t>
        </is>
      </c>
      <c r="F43" s="27" t="n"/>
    </row>
    <row r="44" ht="15" customHeight="1" s="17">
      <c r="A44" s="28" t="n">
        <v>15</v>
      </c>
      <c r="B44" s="27" t="inlineStr">
        <is>
          <t>I am capable of overcoming the difficulties in life that I face.</t>
        </is>
      </c>
      <c r="C44" s="27" t="inlineStr">
        <is>
          <t>Control</t>
        </is>
      </c>
      <c r="D44" s="27" t="inlineStr">
        <is>
          <t>FALSE</t>
        </is>
      </c>
      <c r="E44" s="27" t="inlineStr">
        <is>
          <t>FALSE</t>
        </is>
      </c>
      <c r="F44" s="27" t="n"/>
    </row>
    <row r="45" ht="15" customHeight="1" s="17">
      <c r="A45" s="28" t="n">
        <v>16</v>
      </c>
      <c r="B45" s="27" t="inlineStr">
        <is>
          <t>I consider all the available facts and information when attributing causes to behaviour.</t>
        </is>
      </c>
      <c r="C45" s="27" t="inlineStr">
        <is>
          <t>Alternatives</t>
        </is>
      </c>
      <c r="D45" s="27" t="inlineStr">
        <is>
          <t>FALSE</t>
        </is>
      </c>
      <c r="E45" s="27" t="inlineStr">
        <is>
          <t>FALSE</t>
        </is>
      </c>
      <c r="F45" s="27" t="n"/>
    </row>
    <row r="46" ht="15" customHeight="1" s="17">
      <c r="A46" s="28" t="n">
        <v>17</v>
      </c>
      <c r="B46" s="27" t="inlineStr">
        <is>
          <t>I feel I have no power to change things in difficult situations.</t>
        </is>
      </c>
      <c r="C46" s="27" t="inlineStr">
        <is>
          <t>Control</t>
        </is>
      </c>
      <c r="D46" s="34" t="inlineStr">
        <is>
          <t>TRUE</t>
        </is>
      </c>
      <c r="E46" s="27" t="inlineStr">
        <is>
          <t>FALSE</t>
        </is>
      </c>
      <c r="F46" s="27" t="n"/>
    </row>
    <row r="47" ht="15" customHeight="1" s="17">
      <c r="A47" s="28" t="n">
        <v>18</v>
      </c>
      <c r="B47" s="27" t="inlineStr">
        <is>
          <t>When I encounter difficult situations, I stop and try to think of several ways to resolve it.</t>
        </is>
      </c>
      <c r="C47" s="27" t="inlineStr">
        <is>
          <t>Alternatives</t>
        </is>
      </c>
      <c r="D47" s="27" t="inlineStr">
        <is>
          <t>FALSE</t>
        </is>
      </c>
      <c r="E47" s="27" t="inlineStr">
        <is>
          <t>FALSE</t>
        </is>
      </c>
      <c r="F47" s="27" t="n"/>
    </row>
    <row r="48" ht="15" customHeight="1" s="17">
      <c r="A48" s="28" t="n">
        <v>19</v>
      </c>
      <c r="B48" s="27" t="inlineStr">
        <is>
          <t>I can think of more than one way to resolve a difficult situation I'm confronted with.</t>
        </is>
      </c>
      <c r="C48" s="27" t="inlineStr">
        <is>
          <t>Alternatives</t>
        </is>
      </c>
      <c r="D48" s="27" t="inlineStr">
        <is>
          <t>FALSE</t>
        </is>
      </c>
      <c r="E48" s="27" t="inlineStr">
        <is>
          <t>FALSE</t>
        </is>
      </c>
      <c r="F48" s="27" t="n"/>
    </row>
    <row r="49" ht="15" customHeight="1" s="17">
      <c r="A49" s="28" t="n">
        <v>20</v>
      </c>
      <c r="B49" s="27" t="inlineStr">
        <is>
          <t>I consider multiple options before responding to difficult situations.</t>
        </is>
      </c>
      <c r="C49" s="27" t="inlineStr">
        <is>
          <t>Alternatives</t>
        </is>
      </c>
      <c r="D49" s="27" t="inlineStr">
        <is>
          <t>FALSE</t>
        </is>
      </c>
      <c r="E49" s="27" t="inlineStr">
        <is>
          <t>FALSE</t>
        </is>
      </c>
      <c r="F49" s="27" t="n"/>
    </row>
  </sheetData>
  <autoFilter ref="A29:F4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Adult ADHD Self-Report Scale (ASRS v1.1)</t>
        </is>
      </c>
    </row>
    <row r="3" ht="15" customHeight="1" s="17">
      <c r="A3" s="35" t="inlineStr">
        <is>
          <t>Instrument</t>
        </is>
      </c>
      <c r="B3" s="27" t="inlineStr">
        <is>
          <t>Adult ADHD Self-Report Scale (ASRS v1.1)</t>
        </is>
      </c>
    </row>
    <row r="4" ht="15" customHeight="1" s="17">
      <c r="A4" s="35" t="inlineStr">
        <is>
          <t>Code</t>
        </is>
      </c>
      <c r="B4" s="27" t="inlineStr">
        <is>
          <t>ASRS</t>
        </is>
      </c>
    </row>
    <row r="5" ht="15" customHeight="1" s="17">
      <c r="A5" s="35" t="inlineStr">
        <is>
          <t>Domain</t>
        </is>
      </c>
      <c r="B5" s="27" t="inlineStr">
        <is>
          <t>1. Executive functioning and ADHD</t>
        </is>
      </c>
    </row>
    <row r="6" ht="15" customHeight="1" s="17">
      <c r="A6" s="35" t="inlineStr">
        <is>
          <t>Availability</t>
        </is>
      </c>
      <c r="B6" s="27" t="inlineStr">
        <is>
          <t>Free / open access</t>
        </is>
      </c>
    </row>
    <row r="7" ht="30" customHeight="1" s="17">
      <c r="A7" s="35" t="inlineStr">
        <is>
          <t>Construct</t>
        </is>
      </c>
      <c r="B7" s="27" t="inlineStr">
        <is>
          <t>Attention Deficit Hyperactivity Disorder (ADHD) symptoms in adults, spanning inattentiveness and hyperactivity/impulsivity (including motor and verbal components)</t>
        </is>
      </c>
    </row>
    <row r="8" ht="15" customHeight="1" s="17">
      <c r="A8" s="35" t="inlineStr">
        <is>
          <t>Respondent</t>
        </is>
      </c>
      <c r="B8" s="27" t="inlineStr">
        <is>
          <t>self-report</t>
        </is>
      </c>
    </row>
    <row r="9" ht="15" customHeight="1" s="17">
      <c r="A9" s="35" t="inlineStr">
        <is>
          <t>Age range</t>
        </is>
      </c>
      <c r="B9" s="27" t="inlineStr">
        <is>
          <t>18+</t>
        </is>
      </c>
    </row>
    <row r="10" ht="15" customHeight="1" s="17">
      <c r="A10" s="35" t="inlineStr">
        <is>
          <t>Items in instrument</t>
        </is>
      </c>
      <c r="B10" s="27" t="inlineStr">
        <is>
          <t>18</t>
        </is>
      </c>
    </row>
    <row r="11" ht="15" customHeight="1" s="17">
      <c r="A11" s="35" t="inlineStr">
        <is>
          <t>Items reproduced here</t>
        </is>
      </c>
      <c r="B11" s="27" t="inlineStr">
        <is>
          <t>18</t>
        </is>
      </c>
    </row>
    <row r="12" ht="15" customHeight="1" s="17">
      <c r="A12" s="35" t="inlineStr">
        <is>
          <t>Administration time</t>
        </is>
      </c>
      <c r="B12" s="27" t="inlineStr">
        <is>
          <t>3 minutes</t>
        </is>
      </c>
    </row>
    <row r="13" ht="30" customHeight="1" s="17">
      <c r="A13" s="35" t="inlineStr">
        <is>
          <t>Cost and access</t>
        </is>
      </c>
      <c r="B13" s="27" t="inlineStr">
        <is>
          <t>Public domain WHO instrument. Blank form hosted free on NovoPsych; scoring and reports need a NovoPsych account.</t>
        </is>
      </c>
    </row>
    <row r="14" ht="30" customHeight="1" s="17">
      <c r="A14" s="35" t="inlineStr">
        <is>
          <t>Coaching application</t>
        </is>
      </c>
      <c r="B14" s="27" t="inlineStr">
        <is>
          <t>Screening and severity measure for current adult ADHD symptoms; pairs with the WURS-25 for childhood history. Not a diagnostic instrument on its own.</t>
        </is>
      </c>
    </row>
    <row r="15" ht="75" customHeight="1" s="17">
      <c r="A15" s="35" t="inlineStr">
        <is>
          <t>Purpose</t>
        </is>
      </c>
      <c r="B15" s="27" t="inlineStr">
        <is>
          <t>The ASRS v1.1 is an 18-item self-report questionnaire designed to assess ADHD symptoms in adults. It is based on the World Health Organization Composite International Diagnostic Interview (2001) and is worded to be consistent with both DSM-IV and DSM-5-TR criteria as they manifest in adults. It is intended as a screening tool used alongside clinical interview and other measures (e.g. the WURS for childhood history) rather than as a standalone diagnostic instrument.</t>
        </is>
      </c>
    </row>
    <row r="16" ht="45" customHeight="1" s="17">
      <c r="A16" s="35" t="inlineStr">
        <is>
          <t>Instructions / prompt</t>
        </is>
      </c>
      <c r="B16" s="27" t="inlineStr">
        <is>
          <t>Please answer the questions below, rating yourself on each of the criteria shown. As you answer each question, select the box that best describes how you have felt and conducted yourself over the past 6 months.</t>
        </is>
      </c>
    </row>
    <row r="17" ht="15" customHeight="1" s="17">
      <c r="A17" s="35" t="inlineStr">
        <is>
          <t>Response options</t>
        </is>
      </c>
      <c r="B17" s="27" t="inlineStr">
        <is>
          <t>Never = 0 | Rarely = 1 | Sometimes = 2 | Often = 3 | Very Often = 4</t>
        </is>
      </c>
    </row>
    <row r="18" ht="15" customHeight="1" s="17">
      <c r="A18" s="35" t="inlineStr">
        <is>
          <t>Reverse-scored items</t>
        </is>
      </c>
      <c r="B18" s="27" t="inlineStr">
        <is>
          <t>None</t>
        </is>
      </c>
    </row>
    <row r="19" ht="15" customHeight="1" s="17">
      <c r="A19" s="35" t="inlineStr">
        <is>
          <t>Filler items (not scored)</t>
        </is>
      </c>
      <c r="B19" s="27" t="inlineStr">
        <is>
          <t>None</t>
        </is>
      </c>
    </row>
    <row r="20" ht="75" customHeight="1" s="17">
      <c r="A20" s="35" t="inlineStr">
        <is>
          <t>Total scoring</t>
        </is>
      </c>
      <c r="B20" s="27" t="inlineStr">
        <is>
          <t>As of the 2024 update, each of the 18 items is scored on a 5-point Likert scale (Never=0, Rarely=1, Sometimes=2, Often=3, Very Often=4). Part A = sum of items 1-6 (range 0-24). Part B = sum of items 7-18 (range 0-48). Total = sum of all 18 items (range 0-72). The original dichotomous (0/1) scoring is still used separately to calculate the 'percent of symptoms endorsed' for subtype/subscale reporting.</t>
        </is>
      </c>
    </row>
    <row r="21" ht="169.5" customHeight="1" s="17">
      <c r="A21" s="35" t="inlineStr">
        <is>
          <t>Interpretation bands</t>
        </is>
      </c>
      <c r="B21" s="27" t="inlineStr">
        <is>
          <t>Part A - Low: 0-9 - Not consistent with an ADHD diagnosis.
Part A - Mild to Moderate: 10-13 - Below the screening threshold; some symptoms reported.
Part A - High: 14-17 - Clinically significant. Symptom profile consistent with a DSM-5-TR ADHD diagnosis in adults.
Part A - Very High: 18-24 - Clinically significant; symptoms endorsed at high frequency.
Part B - Low: 0-19 - Low additional symptom burden.
Part B - Mild to Moderate: 20-26 - Below the clinically significant range.
Part B - High: 27-32 - Clinically significant.
Part B - Very High: 33-48 - Clinically significant; high additional symptom burden.
Total - Low: 0-30 - Low overall symptom burden.
Total - Mild to Moderate: 31-39 - Below the range typical of adults with ADHD.
Total - High: 40-49 - At or above the 79th percentile; in most cases someone with ADHD will score in this range or above.
Total - Very High: 50-72 - Very high overall symptom burden.</t>
        </is>
      </c>
    </row>
    <row r="22" ht="75" customHeight="1" s="17">
      <c r="A22" s="35" t="inlineStr">
        <is>
          <t>Cut-offs</t>
        </is>
      </c>
      <c r="B22" s="27" t="inlineStr">
        <is>
          <t>Part A &gt;= 14 constitutes a positive screen and a symptom profile consistent with a DSM-5-TR adult ADHD diagnosis (Adler et al., 2006; Kessler et al., 2007; Harvard Medical School, 2024). Part B &gt;= 27 is clinically significant. A total score at or above the 79th percentile (raw &gt;= 40) typically indicates ADHD. Kessler et al. (2007) four-level Part A classification: 0-9, 10-13, 14-17, 18-24 (AUC = 0.90). Always use alongside clinical interview.</t>
        </is>
      </c>
    </row>
    <row r="23" ht="75" customHeight="1" s="17">
      <c r="A23" s="35" t="inlineStr">
        <is>
          <t>Normative data</t>
        </is>
      </c>
      <c r="B23" s="27" t="inlineStr">
        <is>
          <t>Adler et al. (2018/2019) sample of 22,397 adults, 465 (2.1%) self-reporting a physician ADHD diagnosis. NovoPsych recalculated summed means/SDs (Likert scoring), accounting for inter-item correlations (r = 0.32 within parts, r = 0.74 between Parts A and B). ADHD group (n = 465): Part A M = 16.71 (SD 5.07); Part B M = 32.74 (SD 9.16); Total M = 49.45 (SD 13.36). Community sample (n = 21,932): Part A M = 10.88 (SD 3.76); Part B M = 21.60 (SD 6.69); Total M = 32.48 (SD 9.80).</t>
        </is>
      </c>
    </row>
    <row r="24" ht="120" customHeight="1" s="17">
      <c r="A24" s="35" t="inlineStr">
        <is>
          <t>Psychometric properties</t>
        </is>
      </c>
      <c r="B24" s="27" t="inlineStr">
        <is>
          <t>Internal consistency: Cronbach's alpha = .88 in adult ADHD patients (Adler et al., 2006); .952 for the full scale (Brevik et al., 2020). Concurrent validity with clinician-rated symptoms r = .84 (Adler et al., 2006). Diagnostic accuracy: AUC = .904 for the 18-item scale and .903 for the six Part A items (Brevik et al., 2020); AUC = .90 for the Kessler et al. (2007) four-level Part A classification. Under the previous scoring convention, sensitivity 1.0, specificity .71, PPP .52, NPP 1.0 (Hines, King &amp; Curry, 2012). Combined with the WURS-25, AUC = .964. Factor structure: CFA in over 1,000 adults identified three factors - Inattentiveness, Motor Hyperactivity/Impulsivity, Verbal Hyperactivity/Impulsivity (Stanton et al., 2018).</t>
        </is>
      </c>
    </row>
    <row r="25" ht="60" customHeight="1" s="17">
      <c r="A25" s="35" t="inlineStr">
        <is>
          <t>Developer citation</t>
        </is>
      </c>
      <c r="B25" s="27" t="inlineStr">
        <is>
          <t>Kessler, R. C., Adler, L., Ames, M., Demler, O., Faraone, S., Hiripi, E., Howes, M. J., Jin, R., Secnik, K., Spencer, T., Ustun, T. B., &amp; Walters, E. E. (2005). The World Health Organization Adult ADHD Self-Report Scale (ASRS): a short screening scale for use in the general population. Psychological Medicine, 35(2), 245-256. https://doi.org/10.1017/s0033291704002892</t>
        </is>
      </c>
    </row>
    <row r="26" ht="30" customHeight="1" s="17">
      <c r="A26" s="35" t="inlineStr">
        <is>
          <t>Copyright and licensing</t>
        </is>
      </c>
      <c r="B26" s="27" t="inlineStr">
        <is>
          <t>Public-domain WHO instrument (ASRS v1.1 Symptom Checklist). Freely reproducible for clinical and research use; NovoPsych hosts the blank form as a public PDF.</t>
        </is>
      </c>
    </row>
    <row r="27" ht="15" customHeight="1" s="17">
      <c r="A27" s="35" t="inlineStr">
        <is>
          <t>Source URL</t>
        </is>
      </c>
      <c r="B27" s="27" t="inlineStr">
        <is>
          <t>https://novopsych.com/assessments/diagnosis/adult-adhd-self-report-scale-asrs/</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How often do you have trouble wrapping up the final details of a project, once the challenging parts have been done?</t>
        </is>
      </c>
      <c r="C30" s="27" t="inlineStr">
        <is>
          <t>Part A | Inattentiveness</t>
        </is>
      </c>
      <c r="D30" s="27" t="inlineStr">
        <is>
          <t>FALSE</t>
        </is>
      </c>
      <c r="E30" s="27" t="inlineStr">
        <is>
          <t>FALSE</t>
        </is>
      </c>
      <c r="F30" s="27" t="n"/>
    </row>
    <row r="31" ht="23.85" customHeight="1" s="17">
      <c r="A31" s="28" t="n">
        <v>2</v>
      </c>
      <c r="B31" s="27" t="inlineStr">
        <is>
          <t>How often do you have difficulty getting things in order when you have to do a task that requires organisation?</t>
        </is>
      </c>
      <c r="C31" s="27" t="inlineStr">
        <is>
          <t>Part A | Inattentiveness</t>
        </is>
      </c>
      <c r="D31" s="27" t="inlineStr">
        <is>
          <t>FALSE</t>
        </is>
      </c>
      <c r="E31" s="27" t="inlineStr">
        <is>
          <t>FALSE</t>
        </is>
      </c>
      <c r="F31" s="27" t="n"/>
    </row>
    <row r="32" ht="15" customHeight="1" s="17">
      <c r="A32" s="28" t="n">
        <v>3</v>
      </c>
      <c r="B32" s="27" t="inlineStr">
        <is>
          <t>How often do you have problems remembering appointments or obligations?</t>
        </is>
      </c>
      <c r="C32" s="27" t="inlineStr">
        <is>
          <t>Part A | Inattentiveness</t>
        </is>
      </c>
      <c r="D32" s="27" t="inlineStr">
        <is>
          <t>FALSE</t>
        </is>
      </c>
      <c r="E32" s="27" t="inlineStr">
        <is>
          <t>FALSE</t>
        </is>
      </c>
      <c r="F32" s="27" t="n"/>
    </row>
    <row r="33" ht="23.85" customHeight="1" s="17">
      <c r="A33" s="28" t="n">
        <v>4</v>
      </c>
      <c r="B33" s="27" t="inlineStr">
        <is>
          <t>When you have a task that requires a lot of thought, how often do you avoid or delay getting started?</t>
        </is>
      </c>
      <c r="C33" s="27" t="inlineStr">
        <is>
          <t>Part A | Inattentiveness</t>
        </is>
      </c>
      <c r="D33" s="27" t="inlineStr">
        <is>
          <t>FALSE</t>
        </is>
      </c>
      <c r="E33" s="27" t="inlineStr">
        <is>
          <t>FALSE</t>
        </is>
      </c>
      <c r="F33" s="27" t="n"/>
    </row>
    <row r="34" ht="23.85" customHeight="1" s="17">
      <c r="A34" s="28" t="n">
        <v>5</v>
      </c>
      <c r="B34" s="27" t="inlineStr">
        <is>
          <t>How often do you fidget or squirm with your hands or feet when you have to sit down for a long time?</t>
        </is>
      </c>
      <c r="C34" s="27" t="inlineStr">
        <is>
          <t>Part A | Hyperactivity/Impulsivity - Motor</t>
        </is>
      </c>
      <c r="D34" s="27" t="inlineStr">
        <is>
          <t>FALSE</t>
        </is>
      </c>
      <c r="E34" s="27" t="inlineStr">
        <is>
          <t>FALSE</t>
        </is>
      </c>
      <c r="F34" s="27" t="n"/>
    </row>
    <row r="35" ht="15" customHeight="1" s="17">
      <c r="A35" s="28" t="n">
        <v>6</v>
      </c>
      <c r="B35" s="27" t="inlineStr">
        <is>
          <t>How often do you feel overly active and compelled to do things, like you were driven by a motor?</t>
        </is>
      </c>
      <c r="C35" s="27" t="inlineStr">
        <is>
          <t>Part A | Hyperactivity/Impulsivity - Motor</t>
        </is>
      </c>
      <c r="D35" s="27" t="inlineStr">
        <is>
          <t>FALSE</t>
        </is>
      </c>
      <c r="E35" s="27" t="inlineStr">
        <is>
          <t>FALSE</t>
        </is>
      </c>
      <c r="F35" s="27" t="n"/>
    </row>
    <row r="36" ht="15" customHeight="1" s="17">
      <c r="A36" s="28" t="n">
        <v>7</v>
      </c>
      <c r="B36" s="27" t="inlineStr">
        <is>
          <t>How often do you make careless mistakes when you have to work on a boring or difficult project?</t>
        </is>
      </c>
      <c r="C36" s="27" t="inlineStr">
        <is>
          <t>Part B | Inattentiveness</t>
        </is>
      </c>
      <c r="D36" s="27" t="inlineStr">
        <is>
          <t>FALSE</t>
        </is>
      </c>
      <c r="E36" s="27" t="inlineStr">
        <is>
          <t>FALSE</t>
        </is>
      </c>
      <c r="F36" s="27" t="n"/>
    </row>
    <row r="37" ht="23.85" customHeight="1" s="17">
      <c r="A37" s="28" t="n">
        <v>8</v>
      </c>
      <c r="B37" s="27" t="inlineStr">
        <is>
          <t>How often do you have difficulty keeping your attention when you are doing boring or repetitive work?</t>
        </is>
      </c>
      <c r="C37" s="27" t="inlineStr">
        <is>
          <t>Part B | Inattentiveness</t>
        </is>
      </c>
      <c r="D37" s="27" t="inlineStr">
        <is>
          <t>FALSE</t>
        </is>
      </c>
      <c r="E37" s="27" t="inlineStr">
        <is>
          <t>FALSE</t>
        </is>
      </c>
      <c r="F37" s="27" t="n"/>
    </row>
    <row r="38" ht="23.85" customHeight="1" s="17">
      <c r="A38" s="28" t="n">
        <v>9</v>
      </c>
      <c r="B38" s="27" t="inlineStr">
        <is>
          <t>How often do you have difficulty concentrating on what people say to you, even when they are speaking to you directly?</t>
        </is>
      </c>
      <c r="C38" s="27" t="inlineStr">
        <is>
          <t>Part B | Inattentiveness</t>
        </is>
      </c>
      <c r="D38" s="27" t="inlineStr">
        <is>
          <t>FALSE</t>
        </is>
      </c>
      <c r="E38" s="27" t="inlineStr">
        <is>
          <t>FALSE</t>
        </is>
      </c>
      <c r="F38" s="27" t="n"/>
    </row>
    <row r="39" ht="15" customHeight="1" s="17">
      <c r="A39" s="28" t="n">
        <v>10</v>
      </c>
      <c r="B39" s="27" t="inlineStr">
        <is>
          <t>How often do you misplace or have difficulty finding things at home or at work?</t>
        </is>
      </c>
      <c r="C39" s="27" t="inlineStr">
        <is>
          <t>Part B | Inattentiveness</t>
        </is>
      </c>
      <c r="D39" s="27" t="inlineStr">
        <is>
          <t>FALSE</t>
        </is>
      </c>
      <c r="E39" s="27" t="inlineStr">
        <is>
          <t>FALSE</t>
        </is>
      </c>
      <c r="F39" s="27" t="n"/>
    </row>
    <row r="40" ht="15" customHeight="1" s="17">
      <c r="A40" s="28" t="n">
        <v>11</v>
      </c>
      <c r="B40" s="27" t="inlineStr">
        <is>
          <t>How often are you distracted by activity or noise around you?</t>
        </is>
      </c>
      <c r="C40" s="27" t="inlineStr">
        <is>
          <t>Part B | Inattentiveness</t>
        </is>
      </c>
      <c r="D40" s="27" t="inlineStr">
        <is>
          <t>FALSE</t>
        </is>
      </c>
      <c r="E40" s="27" t="inlineStr">
        <is>
          <t>FALSE</t>
        </is>
      </c>
      <c r="F40" s="27" t="n"/>
    </row>
    <row r="41" ht="23.85" customHeight="1" s="17">
      <c r="A41" s="28" t="n">
        <v>12</v>
      </c>
      <c r="B41" s="27" t="inlineStr">
        <is>
          <t>How often do you leave your seat in meetings or other situations in which you are expected to remain seated?</t>
        </is>
      </c>
      <c r="C41" s="27" t="inlineStr">
        <is>
          <t>Part B | Hyperactivity/Impulsivity - Motor</t>
        </is>
      </c>
      <c r="D41" s="27" t="inlineStr">
        <is>
          <t>FALSE</t>
        </is>
      </c>
      <c r="E41" s="27" t="inlineStr">
        <is>
          <t>FALSE</t>
        </is>
      </c>
      <c r="F41" s="27" t="n"/>
    </row>
    <row r="42" ht="15" customHeight="1" s="17">
      <c r="A42" s="28" t="n">
        <v>13</v>
      </c>
      <c r="B42" s="27" t="inlineStr">
        <is>
          <t>How often do you feel restless or fidgety?</t>
        </is>
      </c>
      <c r="C42" s="27" t="inlineStr">
        <is>
          <t>Part B | Hyperactivity/Impulsivity - Motor</t>
        </is>
      </c>
      <c r="D42" s="27" t="inlineStr">
        <is>
          <t>FALSE</t>
        </is>
      </c>
      <c r="E42" s="27" t="inlineStr">
        <is>
          <t>FALSE</t>
        </is>
      </c>
      <c r="F42" s="27" t="n"/>
    </row>
    <row r="43" ht="15" customHeight="1" s="17">
      <c r="A43" s="28" t="n">
        <v>14</v>
      </c>
      <c r="B43" s="27" t="inlineStr">
        <is>
          <t>How often do you have difficulty unwinding and relaxing when you have time to yourself?</t>
        </is>
      </c>
      <c r="C43" s="27" t="inlineStr">
        <is>
          <t>Part B | Hyperactivity/Impulsivity - Motor</t>
        </is>
      </c>
      <c r="D43" s="27" t="inlineStr">
        <is>
          <t>FALSE</t>
        </is>
      </c>
      <c r="E43" s="27" t="inlineStr">
        <is>
          <t>FALSE</t>
        </is>
      </c>
      <c r="F43" s="27" t="n"/>
    </row>
    <row r="44" ht="15" customHeight="1" s="17">
      <c r="A44" s="28" t="n">
        <v>15</v>
      </c>
      <c r="B44" s="27" t="inlineStr">
        <is>
          <t>How often do you find yourself talking too much when you are in social situations?</t>
        </is>
      </c>
      <c r="C44" s="27" t="inlineStr">
        <is>
          <t>Part B | Hyperactivity/Impulsivity - Verbal</t>
        </is>
      </c>
      <c r="D44" s="27" t="inlineStr">
        <is>
          <t>FALSE</t>
        </is>
      </c>
      <c r="E44" s="27" t="inlineStr">
        <is>
          <t>FALSE</t>
        </is>
      </c>
      <c r="F44" s="27" t="n"/>
    </row>
    <row r="45" ht="23.85" customHeight="1" s="17">
      <c r="A45" s="28" t="n">
        <v>16</v>
      </c>
      <c r="B45" s="27" t="inlineStr">
        <is>
          <t>When you're in a conversation, how often do you find yourself finishing the sentences of the people you are talking to, before they can finish them themselves?</t>
        </is>
      </c>
      <c r="C45" s="27" t="inlineStr">
        <is>
          <t>Part B | Hyperactivity/Impulsivity - Verbal</t>
        </is>
      </c>
      <c r="D45" s="27" t="inlineStr">
        <is>
          <t>FALSE</t>
        </is>
      </c>
      <c r="E45" s="27" t="inlineStr">
        <is>
          <t>FALSE</t>
        </is>
      </c>
      <c r="F45" s="27" t="n"/>
    </row>
    <row r="46" ht="15" customHeight="1" s="17">
      <c r="A46" s="28" t="n">
        <v>17</v>
      </c>
      <c r="B46" s="27" t="inlineStr">
        <is>
          <t>How often do you have difficulty waiting your turn in situations when turn taking is required?</t>
        </is>
      </c>
      <c r="C46" s="27" t="inlineStr">
        <is>
          <t>Part B | Hyperactivity/Impulsivity - Verbal</t>
        </is>
      </c>
      <c r="D46" s="27" t="inlineStr">
        <is>
          <t>FALSE</t>
        </is>
      </c>
      <c r="E46" s="27" t="inlineStr">
        <is>
          <t>FALSE</t>
        </is>
      </c>
      <c r="F46" s="27" t="n"/>
    </row>
    <row r="47" ht="15" customHeight="1" s="17">
      <c r="A47" s="28" t="n">
        <v>18</v>
      </c>
      <c r="B47" s="27" t="inlineStr">
        <is>
          <t>How often do you interrupt others when they are busy?</t>
        </is>
      </c>
      <c r="C47" s="27" t="inlineStr">
        <is>
          <t>Part B | Hyperactivity/Impulsivity - Verbal</t>
        </is>
      </c>
      <c r="D47" s="27" t="inlineStr">
        <is>
          <t>FALSE</t>
        </is>
      </c>
      <c r="E47" s="27" t="inlineStr">
        <is>
          <t>FALSE</t>
        </is>
      </c>
      <c r="F47" s="27" t="n"/>
    </row>
  </sheetData>
  <autoFilter ref="A29:F4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37"/>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Strengths Knowledge Scale</t>
        </is>
      </c>
    </row>
    <row r="3" ht="15" customHeight="1" s="17">
      <c r="A3" s="35" t="inlineStr">
        <is>
          <t>Instrument</t>
        </is>
      </c>
      <c r="B3" s="27" t="inlineStr">
        <is>
          <t>Strengths Knowledge Scale</t>
        </is>
      </c>
    </row>
    <row r="4" ht="15" customHeight="1" s="17">
      <c r="A4" s="35" t="inlineStr">
        <is>
          <t>Code</t>
        </is>
      </c>
      <c r="B4" s="27" t="inlineStr">
        <is>
          <t>SKS</t>
        </is>
      </c>
    </row>
    <row r="5" ht="15" customHeight="1" s="17">
      <c r="A5" s="35" t="inlineStr">
        <is>
          <t>Domain</t>
        </is>
      </c>
      <c r="B5" s="27" t="inlineStr">
        <is>
          <t>2. Strengths knowledge, use and support at work</t>
        </is>
      </c>
    </row>
    <row r="6" ht="15" customHeight="1" s="17">
      <c r="A6" s="35" t="inlineStr">
        <is>
          <t>Availability</t>
        </is>
      </c>
      <c r="B6" s="27" t="inlineStr">
        <is>
          <t>Free / open access</t>
        </is>
      </c>
    </row>
    <row r="7" ht="30" customHeight="1" s="17">
      <c r="A7" s="35" t="inlineStr">
        <is>
          <t>Construct</t>
        </is>
      </c>
      <c r="B7" s="27" t="inlineStr">
        <is>
          <t>Perceived self-knowledge of one's own personal strengths, i.e. the extent to which a person is aware of what they do best.</t>
        </is>
      </c>
    </row>
    <row r="8" ht="15" customHeight="1" s="17">
      <c r="A8" s="35" t="inlineStr">
        <is>
          <t>Respondent</t>
        </is>
      </c>
      <c r="B8" s="27" t="inlineStr">
        <is>
          <t>Self-report</t>
        </is>
      </c>
    </row>
    <row r="9" ht="30" customHeight="1" s="17">
      <c r="A9" s="35" t="inlineStr">
        <is>
          <t>Age range</t>
        </is>
      </c>
      <c r="B9" s="27" t="inlineStr">
        <is>
          <t>Adults and university students; used in adolescent samples (secondary school age) in later validations, but the original 2007 development sample was working adults</t>
        </is>
      </c>
    </row>
    <row r="10" ht="15" customHeight="1" s="17">
      <c r="A10" s="35" t="inlineStr">
        <is>
          <t>Items in instrument</t>
        </is>
      </c>
      <c r="B10" s="27" t="inlineStr">
        <is>
          <t>8</t>
        </is>
      </c>
    </row>
    <row r="11" ht="15" customHeight="1" s="17">
      <c r="A11" s="35" t="inlineStr">
        <is>
          <t>Items reproduced here</t>
        </is>
      </c>
      <c r="B11" s="27" t="inlineStr">
        <is>
          <t>8</t>
        </is>
      </c>
    </row>
    <row r="12" ht="15" customHeight="1" s="17">
      <c r="A12" s="35" t="inlineStr">
        <is>
          <t>Administration time</t>
        </is>
      </c>
      <c r="B12" s="27" t="inlineStr">
        <is>
          <t>2-3 minutes</t>
        </is>
      </c>
    </row>
    <row r="13" ht="135" customHeight="1" s="17">
      <c r="A13" s="35" t="inlineStr">
        <is>
          <t>Cost and access</t>
        </is>
      </c>
      <c r="B13" s="27" t="inlineStr">
        <is>
          <t>No licence fee or permission is required to use the SKS in coaching practice. The scale was published in full within the original journal article (Govindji &amp; Linley, 2007, International Coaching Psychology Review, a BPS Special Group in Coaching Psychology publication) and has since been reproduced verbatim in several open-access peer-reviewed validation papers (e.g. the Frontiers in Psychology 2023 Spanish validation used as the source for this record). A practitioner can administer it as a simple paper or online 7-point rating form; no test manual, scoring software or purchase is needed. The original 2007 article itself is not reliably available as an open PDF (International Coaching Psychology Review back issues are not consistently hosted online), so items here were transcribed from an open-access reproduction rather than the original publication.</t>
        </is>
      </c>
    </row>
    <row r="14" ht="120" customHeight="1" s="17">
      <c r="A14" s="35" t="inlineStr">
        <is>
          <t>Coaching application</t>
        </is>
      </c>
      <c r="B14" s="27" t="inlineStr">
        <is>
          <t>The SKS is useful early in strengths coaching to establish a baseline of how well a client can already name and recognise their own best qualities, which shapes whether initial sessions should focus on strength identification (e.g. via VIA or Realise2) before moving to strengths use. Low scores flag clients who may benefit from structured strength-spotting exercises, feedback from others, or a formal strengths assessment before goal-setting. Its main limit is that it only captures self-perceived awareness, not accuracy of that self-knowledge, so it should be paired with an objective strengths measure or 360-degree feedback rather than used alone to confirm what a client's real strengths are.</t>
        </is>
      </c>
    </row>
    <row r="15" ht="60" customHeight="1" s="17">
      <c r="A15" s="35" t="inlineStr">
        <is>
          <t>Purpose</t>
        </is>
      </c>
      <c r="B15" s="27" t="inlineStr">
        <is>
          <t>The SKS was developed by Govindji and Linley (2007) to measure the degree to which individuals know their own strengths, as a companion construct to strengths use. It was designed for use in positive psychology and coaching research examining how strengths knowledge and strengths use relate to well-being outcomes (subjective well-being, psychological well-being and vitality).</t>
        </is>
      </c>
    </row>
    <row r="16" ht="15" customHeight="1" s="17">
      <c r="A16" s="35" t="inlineStr">
        <is>
          <t>Instructions / prompt</t>
        </is>
      </c>
      <c r="B16" s="27" t="inlineStr">
        <is>
          <t>Not stated on source</t>
        </is>
      </c>
    </row>
    <row r="17" ht="15" customHeight="1" s="17">
      <c r="A17" s="35" t="inlineStr">
        <is>
          <t>Response options</t>
        </is>
      </c>
      <c r="B17" s="27" t="inlineStr">
        <is>
          <t>Strongly disagree = 1 | 2 = 2 | 3 = 3 | 4 = 4 | 5 = 5 | 6 = 6 | Strongly agree = 7</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Sum (or mean) of the 8 item ratings. Higher total scores indicate greater self-perceived knowledge of one's own strengths. No published reverse-scored items were identified for this scale in the sources reviewed.</t>
        </is>
      </c>
    </row>
    <row r="21" ht="15" customHeight="1" s="17">
      <c r="A21" s="35" t="inlineStr">
        <is>
          <t>Interpretation bands</t>
        </is>
      </c>
      <c r="B21" s="27" t="inlineStr">
        <is>
          <t>Not stated on source</t>
        </is>
      </c>
    </row>
    <row r="22" ht="45" customHeight="1" s="17">
      <c r="A22" s="35" t="inlineStr">
        <is>
          <t>Cut-offs</t>
        </is>
      </c>
      <c r="B22" s="27" t="inlineStr">
        <is>
          <t>No clinical or normative cut-off scores have been published for the SKS. It is used as a continuous research/coaching variable, typically compared against a client's own baseline over time rather than against population norms.</t>
        </is>
      </c>
    </row>
    <row r="23" ht="60" customHeight="1" s="17">
      <c r="A23" s="35" t="inlineStr">
        <is>
          <t>Normative data</t>
        </is>
      </c>
      <c r="B23" s="27" t="inlineStr">
        <is>
          <t>No formal normative tables were located. Reported sample means come from individual studies using varied populations (e.g. UK working adults in the original 2007 study; Chinese adolescents in Duan, Li &amp; Mu, 2018, Journal of Happiness Studies; Spanish-speaking adults in the 2023 Frontiers validation) and are not interchangeable as norms.</t>
        </is>
      </c>
    </row>
    <row r="24" ht="105" customHeight="1" s="17">
      <c r="A24" s="35" t="inlineStr">
        <is>
          <t>Psychometric properties</t>
        </is>
      </c>
      <c r="B24" s="27" t="inlineStr">
        <is>
          <t>Internal consistency has repeatedly been reported as high: Cronbach's alpha = .90 for the English-language items in a 2023 Spanish validation study (Frontiers in Psychology, fpsyg.2023.1086510), which also confirmed a single-factor structure. The original Govindji &amp; Linley (2007) paper is reported in secondary sources to have found good reliability and significant positive correlations between strengths knowledge, strengths use, subjective well-being, psychological well-being and vitality, but the exact original alpha coefficient could not be independently confirmed from a source directly accessed for this record.</t>
        </is>
      </c>
    </row>
    <row r="25" ht="45" customHeight="1" s="17">
      <c r="A25" s="35" t="inlineStr">
        <is>
          <t>Developer citation</t>
        </is>
      </c>
      <c r="B25" s="27" t="inlineStr">
        <is>
          <t>Govindji, R., &amp; Linley, P. A. (2007). Strengths use, self-concordance and well-being: Implications for strengths coaching and coaching psychologists. International Coaching Psychology Review, 2(2), 143-153.</t>
        </is>
      </c>
    </row>
    <row r="26" ht="75" customHeight="1" s="17">
      <c r="A26" s="35" t="inlineStr">
        <is>
          <t>Copyright and licensing</t>
        </is>
      </c>
      <c r="B26" s="27" t="inlineStr">
        <is>
          <t>No explicit copyright statement, licence, or restriction on use was found for the SKS in any source reviewed. It is a short academic research scale that has been freely reprinted in full within multiple peer-reviewed, open-access journal articles without any stated permission requirement; practitioners typically cite Govindji and Linley (2007) as the source when using it. This should not be taken as a formal confirmation of public-domain status, only as the licensing position actually found.</t>
        </is>
      </c>
    </row>
    <row r="27" ht="15" customHeight="1" s="17">
      <c r="A27" s="35" t="inlineStr">
        <is>
          <t>Source URL</t>
        </is>
      </c>
      <c r="B27" s="27" t="inlineStr">
        <is>
          <t>https://www.frontiersin.org/journals/psychology/articles/10.3389/fpsyg.2023.1086510/full</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Other people see the strengths that I have</t>
        </is>
      </c>
      <c r="C30" s="27" t="inlineStr">
        <is>
          <t>Strengths Knowledge (total scale)</t>
        </is>
      </c>
      <c r="D30" s="27" t="inlineStr">
        <is>
          <t>FALSE</t>
        </is>
      </c>
      <c r="E30" s="27" t="inlineStr">
        <is>
          <t>FALSE</t>
        </is>
      </c>
      <c r="F30" s="27" t="inlineStr">
        <is>
          <t>Verbatim as reproduced in Frontiers in Psychology (2023), Table 5, citing Govindji &amp; Linley (2007).</t>
        </is>
      </c>
    </row>
    <row r="31" ht="79.84999999999999" customHeight="1" s="17">
      <c r="A31" s="28" t="n">
        <v>2</v>
      </c>
      <c r="B31" s="27" t="inlineStr">
        <is>
          <t>I have to think hard about what my strengths are</t>
        </is>
      </c>
      <c r="C31" s="27" t="inlineStr">
        <is>
          <t>Strengths Knowledge (total scale)</t>
        </is>
      </c>
      <c r="D31" s="27" t="inlineStr">
        <is>
          <t>FALSE</t>
        </is>
      </c>
      <c r="E31" s="27" t="inlineStr">
        <is>
          <t>FALSE</t>
        </is>
      </c>
      <c r="F31" s="27" t="inlineStr">
        <is>
          <t>Verbatim as reproduced in Frontiers in Psychology (2023), Table 5. One secondary aggregator source (db.arabpsychology.com) describes this item as reverse-scored, but the Frontiers (2023) reproduction directly consulted for this record states no reverse-scored items are present for either scale, so reverse scoring for this item could not be independently confirmed and is left unmarked pending sight of the original 2007 scoring key.</t>
        </is>
      </c>
    </row>
    <row r="32" ht="15" customHeight="1" s="17">
      <c r="A32" s="28" t="n">
        <v>3</v>
      </c>
      <c r="B32" s="27" t="inlineStr">
        <is>
          <t>I know what I do best</t>
        </is>
      </c>
      <c r="C32" s="27" t="inlineStr">
        <is>
          <t>Strengths Knowledge (total scale)</t>
        </is>
      </c>
      <c r="D32" s="27" t="inlineStr">
        <is>
          <t>FALSE</t>
        </is>
      </c>
      <c r="E32" s="27" t="inlineStr">
        <is>
          <t>FALSE</t>
        </is>
      </c>
      <c r="F32" s="27" t="inlineStr">
        <is>
          <t>Verbatim as reproduced in Frontiers in Psychology (2023), Table 5.</t>
        </is>
      </c>
    </row>
    <row r="33" ht="15" customHeight="1" s="17">
      <c r="A33" s="28" t="n">
        <v>4</v>
      </c>
      <c r="B33" s="27" t="inlineStr">
        <is>
          <t>I am aware of my strengths</t>
        </is>
      </c>
      <c r="C33" s="27" t="inlineStr">
        <is>
          <t>Strengths Knowledge (total scale)</t>
        </is>
      </c>
      <c r="D33" s="27" t="inlineStr">
        <is>
          <t>FALSE</t>
        </is>
      </c>
      <c r="E33" s="27" t="inlineStr">
        <is>
          <t>FALSE</t>
        </is>
      </c>
      <c r="F33" s="27" t="inlineStr">
        <is>
          <t>Verbatim as reproduced in Frontiers in Psychology (2023), Table 5.</t>
        </is>
      </c>
    </row>
    <row r="34" ht="15" customHeight="1" s="17">
      <c r="A34" s="28" t="n">
        <v>5</v>
      </c>
      <c r="B34" s="27" t="inlineStr">
        <is>
          <t>I know the things I am good at doing</t>
        </is>
      </c>
      <c r="C34" s="27" t="inlineStr">
        <is>
          <t>Strengths Knowledge (total scale)</t>
        </is>
      </c>
      <c r="D34" s="27" t="inlineStr">
        <is>
          <t>FALSE</t>
        </is>
      </c>
      <c r="E34" s="27" t="inlineStr">
        <is>
          <t>FALSE</t>
        </is>
      </c>
      <c r="F34" s="27" t="inlineStr">
        <is>
          <t>Verbatim as reproduced in Frontiers in Psychology (2023), Table 5.</t>
        </is>
      </c>
    </row>
    <row r="35" ht="15" customHeight="1" s="17">
      <c r="A35" s="28" t="n">
        <v>6</v>
      </c>
      <c r="B35" s="27" t="inlineStr">
        <is>
          <t>I know my strengths well</t>
        </is>
      </c>
      <c r="C35" s="27" t="inlineStr">
        <is>
          <t>Strengths Knowledge (total scale)</t>
        </is>
      </c>
      <c r="D35" s="27" t="inlineStr">
        <is>
          <t>FALSE</t>
        </is>
      </c>
      <c r="E35" s="27" t="inlineStr">
        <is>
          <t>FALSE</t>
        </is>
      </c>
      <c r="F35" s="27" t="inlineStr">
        <is>
          <t>Verbatim as reproduced in Frontiers in Psychology (2023), Table 5.</t>
        </is>
      </c>
    </row>
    <row r="36" ht="15" customHeight="1" s="17">
      <c r="A36" s="28" t="n">
        <v>7</v>
      </c>
      <c r="B36" s="27" t="inlineStr">
        <is>
          <t>I know the things I do best</t>
        </is>
      </c>
      <c r="C36" s="27" t="inlineStr">
        <is>
          <t>Strengths Knowledge (total scale)</t>
        </is>
      </c>
      <c r="D36" s="27" t="inlineStr">
        <is>
          <t>FALSE</t>
        </is>
      </c>
      <c r="E36" s="27" t="inlineStr">
        <is>
          <t>FALSE</t>
        </is>
      </c>
      <c r="F36" s="27" t="inlineStr">
        <is>
          <t>Verbatim as reproduced in Frontiers in Psychology (2023), Table 5.</t>
        </is>
      </c>
    </row>
    <row r="37" ht="15" customHeight="1" s="17">
      <c r="A37" s="28" t="n">
        <v>8</v>
      </c>
      <c r="B37" s="27" t="inlineStr">
        <is>
          <t>I know when I am at my best</t>
        </is>
      </c>
      <c r="C37" s="27" t="inlineStr">
        <is>
          <t>Strengths Knowledge (total scale)</t>
        </is>
      </c>
      <c r="D37" s="27" t="inlineStr">
        <is>
          <t>FALSE</t>
        </is>
      </c>
      <c r="E37" s="27" t="inlineStr">
        <is>
          <t>FALSE</t>
        </is>
      </c>
      <c r="F37" s="27" t="inlineStr">
        <is>
          <t>Verbatim as reproduced in Frontiers in Psychology (2023), Table 5.</t>
        </is>
      </c>
    </row>
  </sheetData>
  <autoFilter ref="A29:F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43"/>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Strengths Use Scale</t>
        </is>
      </c>
    </row>
    <row r="3" ht="15" customHeight="1" s="17">
      <c r="A3" s="35" t="inlineStr">
        <is>
          <t>Instrument</t>
        </is>
      </c>
      <c r="B3" s="27" t="inlineStr">
        <is>
          <t>Strengths Use Scale</t>
        </is>
      </c>
    </row>
    <row r="4" ht="15" customHeight="1" s="17">
      <c r="A4" s="35" t="inlineStr">
        <is>
          <t>Code</t>
        </is>
      </c>
      <c r="B4" s="27" t="inlineStr">
        <is>
          <t>SUS</t>
        </is>
      </c>
    </row>
    <row r="5" ht="15" customHeight="1" s="17">
      <c r="A5" s="35" t="inlineStr">
        <is>
          <t>Domain</t>
        </is>
      </c>
      <c r="B5" s="27" t="inlineStr">
        <is>
          <t>2. Strengths knowledge, use and support at work</t>
        </is>
      </c>
    </row>
    <row r="6" ht="15" customHeight="1" s="17">
      <c r="A6" s="35" t="inlineStr">
        <is>
          <t>Availability</t>
        </is>
      </c>
      <c r="B6" s="27" t="inlineStr">
        <is>
          <t>Free / open access</t>
        </is>
      </c>
    </row>
    <row r="7" ht="30" customHeight="1" s="17">
      <c r="A7" s="35" t="inlineStr">
        <is>
          <t>Construct</t>
        </is>
      </c>
      <c r="B7" s="27" t="inlineStr">
        <is>
          <t>Perceived deployment of one's own personal strengths in daily life, i.e. the extent to which a person actively uses what they do best across situations.</t>
        </is>
      </c>
    </row>
    <row r="8" ht="15" customHeight="1" s="17">
      <c r="A8" s="35" t="inlineStr">
        <is>
          <t>Respondent</t>
        </is>
      </c>
      <c r="B8" s="27" t="inlineStr">
        <is>
          <t>Self-report</t>
        </is>
      </c>
    </row>
    <row r="9" ht="30" customHeight="1" s="17">
      <c r="A9" s="35" t="inlineStr">
        <is>
          <t>Age range</t>
        </is>
      </c>
      <c r="B9" s="27" t="inlineStr">
        <is>
          <t>Adults and university students; used in adolescent samples (secondary school age) in later validations, but the original 2007 development sample was working adults</t>
        </is>
      </c>
    </row>
    <row r="10" ht="15" customHeight="1" s="17">
      <c r="A10" s="35" t="inlineStr">
        <is>
          <t>Items in instrument</t>
        </is>
      </c>
      <c r="B10" s="27" t="inlineStr">
        <is>
          <t>14</t>
        </is>
      </c>
    </row>
    <row r="11" ht="15" customHeight="1" s="17">
      <c r="A11" s="35" t="inlineStr">
        <is>
          <t>Items reproduced here</t>
        </is>
      </c>
      <c r="B11" s="27" t="inlineStr">
        <is>
          <t>14</t>
        </is>
      </c>
    </row>
    <row r="12" ht="15" customHeight="1" s="17">
      <c r="A12" s="35" t="inlineStr">
        <is>
          <t>Administration time</t>
        </is>
      </c>
      <c r="B12" s="27" t="inlineStr">
        <is>
          <t>3-5 minutes</t>
        </is>
      </c>
    </row>
    <row r="13" ht="135" customHeight="1" s="17">
      <c r="A13" s="35" t="inlineStr">
        <is>
          <t>Cost and access</t>
        </is>
      </c>
      <c r="B13" s="27" t="inlineStr">
        <is>
          <t>No licence fee or permission is required to use the SUS in coaching practice. The scale was published in full within the original journal article (Govindji &amp; Linley, 2007, International Coaching Psychology Review, a BPS Special Group in Coaching Psychology publication) and has since been reproduced verbatim in several open-access peer-reviewed validation papers (e.g. the Frontiers in Psychology 2023 Spanish validation used as the source for this record). It can be administered as a simple paper or online 7-point rating form; no manual, scoring software or purchase is needed. The original 2007 article itself is not reliably available as an open PDF (International Coaching Psychology Review back issues are not consistently hosted online), so items here were transcribed from an open-access reproduction rather than the original publication.</t>
        </is>
      </c>
    </row>
    <row r="14" ht="105" customHeight="1" s="17">
      <c r="A14" s="35" t="inlineStr">
        <is>
          <t>Coaching application</t>
        </is>
      </c>
      <c r="B14" s="27" t="inlineStr">
        <is>
          <t>The SUS is well suited to tracking a client's progress in strengths coaching over time, since it directly measures how often and how naturally strengths are being deployed at work, study and in life generally, which is the practical outcome most strengths coaching aims to move. It works well as a short pre/post measure around a block of coaching focused on applying identified strengths to goals. Its limit is that it assumes the client already knows what their strengths are (it should usually follow, not replace, a strengths-identification step such as VIA or the SKS) and it captures frequency and ease of use rather than the fit or appropriateness of how strengths are being applied.</t>
        </is>
      </c>
    </row>
    <row r="15" ht="60" customHeight="1" s="17">
      <c r="A15" s="35" t="inlineStr">
        <is>
          <t>Purpose</t>
        </is>
      </c>
      <c r="B15" s="27" t="inlineStr">
        <is>
          <t>The SUS was developed by Govindji and Linley (2007) to measure the degree to which individuals use their strengths in everyday life, for use in positive psychology and coaching research examining how strengths use relates to self-concordance and to well-being outcomes (subjective well-being, psychological well-being and vitality).</t>
        </is>
      </c>
    </row>
    <row r="16" ht="30" customHeight="1" s="17">
      <c r="A16" s="35" t="inlineStr">
        <is>
          <t>Instructions / prompt</t>
        </is>
      </c>
      <c r="B16" s="27" t="inlineStr">
        <is>
          <t>The following 14 questions ask about your strengths, that is, the things that you can do well or do best.</t>
        </is>
      </c>
    </row>
    <row r="17" ht="15" customHeight="1" s="17">
      <c r="A17" s="35" t="inlineStr">
        <is>
          <t>Response options</t>
        </is>
      </c>
      <c r="B17" s="27" t="inlineStr">
        <is>
          <t>Strongly disagree = 1 | 2 = 2 | 3 = 3 | 4 = 4 | 5 = 5 | 6 = 6 | Strongly agree = 7</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Sum (or mean) of the 14 item ratings. Higher total scores indicate greater self-reported use of personal strengths in daily life. No reverse-scored items were identified for this scale in the sources reviewed.</t>
        </is>
      </c>
    </row>
    <row r="21" ht="15" customHeight="1" s="17">
      <c r="A21" s="35" t="inlineStr">
        <is>
          <t>Interpretation bands</t>
        </is>
      </c>
      <c r="B21" s="27" t="inlineStr">
        <is>
          <t>Not stated on source</t>
        </is>
      </c>
    </row>
    <row r="22" ht="45" customHeight="1" s="17">
      <c r="A22" s="35" t="inlineStr">
        <is>
          <t>Cut-offs</t>
        </is>
      </c>
      <c r="B22" s="27" t="inlineStr">
        <is>
          <t>No clinical or normative cut-off scores have been published for the SUS. It is used as a continuous research/coaching variable, typically tracked against a client's own baseline over time rather than against population norms.</t>
        </is>
      </c>
    </row>
    <row r="23" ht="60" customHeight="1" s="17">
      <c r="A23" s="35" t="inlineStr">
        <is>
          <t>Normative data</t>
        </is>
      </c>
      <c r="B23" s="27" t="inlineStr">
        <is>
          <t>No formal normative tables were located. Reported sample means come from individual studies using varied populations (e.g. UK working adults in the original 2007 study; Chinese adolescents in Duan, Li &amp; Mu, 2018, Journal of Happiness Studies; Spanish-speaking adults in the 2023 Frontiers validation) and are not interchangeable as norms.</t>
        </is>
      </c>
    </row>
    <row r="24" ht="105" customHeight="1" s="17">
      <c r="A24" s="35" t="inlineStr">
        <is>
          <t>Psychometric properties</t>
        </is>
      </c>
      <c r="B24" s="27" t="inlineStr">
        <is>
          <t>Internal consistency has repeatedly been reported as very high: Cronbach's alpha = .95 for the English-language items in a 2023 Spanish validation study (Frontiers in Psychology, fpsyg.2023.1086510), which also confirmed a single-factor structure. The original Govindji &amp; Linley (2007) paper is reported in secondary sources to have found good reliability and significant positive correlations between strengths use, self-concordance, subjective well-being, psychological well-being and vitality, but the exact original alpha coefficient could not be independently confirmed from a source directly accessed for this record.</t>
        </is>
      </c>
    </row>
    <row r="25" ht="45" customHeight="1" s="17">
      <c r="A25" s="35" t="inlineStr">
        <is>
          <t>Developer citation</t>
        </is>
      </c>
      <c r="B25" s="27" t="inlineStr">
        <is>
          <t>Govindji, R., &amp; Linley, P. A. (2007). Strengths use, self-concordance and well-being: Implications for strengths coaching and coaching psychologists. International Coaching Psychology Review, 2(2), 143-153.</t>
        </is>
      </c>
    </row>
    <row r="26" ht="75" customHeight="1" s="17">
      <c r="A26" s="35" t="inlineStr">
        <is>
          <t>Copyright and licensing</t>
        </is>
      </c>
      <c r="B26" s="27" t="inlineStr">
        <is>
          <t>No explicit copyright statement, licence, or restriction on use was found for the SUS in any source reviewed. It is a short academic research scale that has been freely reprinted in full within multiple peer-reviewed, open-access journal articles without any stated permission requirement; practitioners typically cite Govindji and Linley (2007) as the source when using it. This should not be taken as a formal confirmation of public-domain status, only as the licensing position actually found.</t>
        </is>
      </c>
    </row>
    <row r="27" ht="15" customHeight="1" s="17">
      <c r="A27" s="35" t="inlineStr">
        <is>
          <t>Source URL</t>
        </is>
      </c>
      <c r="B27" s="27" t="inlineStr">
        <is>
          <t>https://www.frontiersin.org/journals/psychology/articles/10.3389/fpsyg.2023.1086510/full</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I am regularly able to do what I do best.</t>
        </is>
      </c>
      <c r="C30" s="27" t="inlineStr">
        <is>
          <t>Strengths Use (total scale)</t>
        </is>
      </c>
      <c r="D30" s="27" t="inlineStr">
        <is>
          <t>FALSE</t>
        </is>
      </c>
      <c r="E30" s="27" t="inlineStr">
        <is>
          <t>FALSE</t>
        </is>
      </c>
      <c r="F30" s="27" t="inlineStr">
        <is>
          <t>Verbatim as reproduced in Frontiers in Psychology (2023), Table 2, citing Govindji &amp; Linley (2007).</t>
        </is>
      </c>
    </row>
    <row r="31" ht="15" customHeight="1" s="17">
      <c r="A31" s="28" t="n">
        <v>2</v>
      </c>
      <c r="B31" s="27" t="inlineStr">
        <is>
          <t>I always play to my strengths.</t>
        </is>
      </c>
      <c r="C31" s="27" t="inlineStr">
        <is>
          <t>Strengths Use (total scale)</t>
        </is>
      </c>
      <c r="D31" s="27" t="inlineStr">
        <is>
          <t>FALSE</t>
        </is>
      </c>
      <c r="E31" s="27" t="inlineStr">
        <is>
          <t>FALSE</t>
        </is>
      </c>
      <c r="F31" s="27" t="inlineStr">
        <is>
          <t>Verbatim as reproduced in Frontiers in Psychology (2023), Table 2.</t>
        </is>
      </c>
    </row>
    <row r="32" ht="15" customHeight="1" s="17">
      <c r="A32" s="28" t="n">
        <v>3</v>
      </c>
      <c r="B32" s="27" t="inlineStr">
        <is>
          <t>I always try to use my strengths.</t>
        </is>
      </c>
      <c r="C32" s="27" t="inlineStr">
        <is>
          <t>Strengths Use (total scale)</t>
        </is>
      </c>
      <c r="D32" s="27" t="inlineStr">
        <is>
          <t>FALSE</t>
        </is>
      </c>
      <c r="E32" s="27" t="inlineStr">
        <is>
          <t>FALSE</t>
        </is>
      </c>
      <c r="F32" s="27" t="inlineStr">
        <is>
          <t>Verbatim as reproduced in Frontiers in Psychology (2023), Table 2.</t>
        </is>
      </c>
    </row>
    <row r="33" ht="15" customHeight="1" s="17">
      <c r="A33" s="28" t="n">
        <v>4</v>
      </c>
      <c r="B33" s="27" t="inlineStr">
        <is>
          <t>I achieve what I want by using my strengths.</t>
        </is>
      </c>
      <c r="C33" s="27" t="inlineStr">
        <is>
          <t>Strengths Use (total scale)</t>
        </is>
      </c>
      <c r="D33" s="27" t="inlineStr">
        <is>
          <t>FALSE</t>
        </is>
      </c>
      <c r="E33" s="27" t="inlineStr">
        <is>
          <t>FALSE</t>
        </is>
      </c>
      <c r="F33" s="27" t="inlineStr">
        <is>
          <t>Verbatim as reproduced in Frontiers in Psychology (2023), Table 2.</t>
        </is>
      </c>
    </row>
    <row r="34" ht="15" customHeight="1" s="17">
      <c r="A34" s="28" t="n">
        <v>5</v>
      </c>
      <c r="B34" s="27" t="inlineStr">
        <is>
          <t>I use my strengths every day.</t>
        </is>
      </c>
      <c r="C34" s="27" t="inlineStr">
        <is>
          <t>Strengths Use (total scale)</t>
        </is>
      </c>
      <c r="D34" s="27" t="inlineStr">
        <is>
          <t>FALSE</t>
        </is>
      </c>
      <c r="E34" s="27" t="inlineStr">
        <is>
          <t>FALSE</t>
        </is>
      </c>
      <c r="F34" s="27" t="inlineStr">
        <is>
          <t>Verbatim as reproduced in Frontiers in Psychology (2023), Table 2.</t>
        </is>
      </c>
    </row>
    <row r="35" ht="15" customHeight="1" s="17">
      <c r="A35" s="28" t="n">
        <v>6</v>
      </c>
      <c r="B35" s="27" t="inlineStr">
        <is>
          <t>I use my strengths to get what I want out of life.</t>
        </is>
      </c>
      <c r="C35" s="27" t="inlineStr">
        <is>
          <t>Strengths Use (total scale)</t>
        </is>
      </c>
      <c r="D35" s="27" t="inlineStr">
        <is>
          <t>FALSE</t>
        </is>
      </c>
      <c r="E35" s="27" t="inlineStr">
        <is>
          <t>FALSE</t>
        </is>
      </c>
      <c r="F35" s="27" t="inlineStr">
        <is>
          <t>Verbatim as reproduced in Frontiers in Psychology (2023), Table 2.</t>
        </is>
      </c>
    </row>
    <row r="36" ht="15" customHeight="1" s="17">
      <c r="A36" s="28" t="n">
        <v>7</v>
      </c>
      <c r="B36" s="27" t="inlineStr">
        <is>
          <t>My work gives me lots of opportunities to use my strengths.</t>
        </is>
      </c>
      <c r="C36" s="27" t="inlineStr">
        <is>
          <t>Strengths Use (total scale)</t>
        </is>
      </c>
      <c r="D36" s="27" t="inlineStr">
        <is>
          <t>FALSE</t>
        </is>
      </c>
      <c r="E36" s="27" t="inlineStr">
        <is>
          <t>FALSE</t>
        </is>
      </c>
      <c r="F36" s="27" t="inlineStr">
        <is>
          <t>Verbatim as reproduced in Frontiers in Psychology (2023), Table 2.</t>
        </is>
      </c>
    </row>
    <row r="37" ht="15" customHeight="1" s="17">
      <c r="A37" s="28" t="n">
        <v>8</v>
      </c>
      <c r="B37" s="27" t="inlineStr">
        <is>
          <t>My life presents me with lots of different ways to use my strengths.</t>
        </is>
      </c>
      <c r="C37" s="27" t="inlineStr">
        <is>
          <t>Strengths Use (total scale)</t>
        </is>
      </c>
      <c r="D37" s="27" t="inlineStr">
        <is>
          <t>FALSE</t>
        </is>
      </c>
      <c r="E37" s="27" t="inlineStr">
        <is>
          <t>FALSE</t>
        </is>
      </c>
      <c r="F37" s="27" t="inlineStr">
        <is>
          <t>Verbatim as reproduced in Frontiers in Psychology (2023), Table 2.</t>
        </is>
      </c>
    </row>
    <row r="38" ht="15" customHeight="1" s="17">
      <c r="A38" s="28" t="n">
        <v>9</v>
      </c>
      <c r="B38" s="27" t="inlineStr">
        <is>
          <t>Using my strengths comes naturally to me.</t>
        </is>
      </c>
      <c r="C38" s="27" t="inlineStr">
        <is>
          <t>Strengths Use (total scale)</t>
        </is>
      </c>
      <c r="D38" s="27" t="inlineStr">
        <is>
          <t>FALSE</t>
        </is>
      </c>
      <c r="E38" s="27" t="inlineStr">
        <is>
          <t>FALSE</t>
        </is>
      </c>
      <c r="F38" s="27" t="inlineStr">
        <is>
          <t>Verbatim as reproduced in Frontiers in Psychology (2023), Table 2.</t>
        </is>
      </c>
    </row>
    <row r="39" ht="15" customHeight="1" s="17">
      <c r="A39" s="28" t="n">
        <v>10</v>
      </c>
      <c r="B39" s="27" t="inlineStr">
        <is>
          <t>I find it easy to use my strengths in the things I do.</t>
        </is>
      </c>
      <c r="C39" s="27" t="inlineStr">
        <is>
          <t>Strengths Use (total scale)</t>
        </is>
      </c>
      <c r="D39" s="27" t="inlineStr">
        <is>
          <t>FALSE</t>
        </is>
      </c>
      <c r="E39" s="27" t="inlineStr">
        <is>
          <t>FALSE</t>
        </is>
      </c>
      <c r="F39" s="27" t="inlineStr">
        <is>
          <t>Verbatim as reproduced in Frontiers in Psychology (2023), Table 2.</t>
        </is>
      </c>
    </row>
    <row r="40" ht="15" customHeight="1" s="17">
      <c r="A40" s="28" t="n">
        <v>11</v>
      </c>
      <c r="B40" s="27" t="inlineStr">
        <is>
          <t>I am able to use my strengths in lots of different situations.</t>
        </is>
      </c>
      <c r="C40" s="27" t="inlineStr">
        <is>
          <t>Strengths Use (total scale)</t>
        </is>
      </c>
      <c r="D40" s="27" t="inlineStr">
        <is>
          <t>FALSE</t>
        </is>
      </c>
      <c r="E40" s="27" t="inlineStr">
        <is>
          <t>FALSE</t>
        </is>
      </c>
      <c r="F40" s="27" t="inlineStr">
        <is>
          <t>Verbatim as reproduced in Frontiers in Psychology (2023), Table 2.</t>
        </is>
      </c>
    </row>
    <row r="41" ht="15" customHeight="1" s="17">
      <c r="A41" s="28" t="n">
        <v>12</v>
      </c>
      <c r="B41" s="27" t="inlineStr">
        <is>
          <t>Most of my time is spent doing the things that I am good at doing.</t>
        </is>
      </c>
      <c r="C41" s="27" t="inlineStr">
        <is>
          <t>Strengths Use (total scale)</t>
        </is>
      </c>
      <c r="D41" s="27" t="inlineStr">
        <is>
          <t>FALSE</t>
        </is>
      </c>
      <c r="E41" s="27" t="inlineStr">
        <is>
          <t>FALSE</t>
        </is>
      </c>
      <c r="F41" s="27" t="inlineStr">
        <is>
          <t>Verbatim as reproduced in Frontiers in Psychology (2023), Table 2.</t>
        </is>
      </c>
    </row>
    <row r="42" ht="15" customHeight="1" s="17">
      <c r="A42" s="28" t="n">
        <v>13</v>
      </c>
      <c r="B42" s="27" t="inlineStr">
        <is>
          <t>Using my strengths is something I am familiar with.</t>
        </is>
      </c>
      <c r="C42" s="27" t="inlineStr">
        <is>
          <t>Strengths Use (total scale)</t>
        </is>
      </c>
      <c r="D42" s="27" t="inlineStr">
        <is>
          <t>FALSE</t>
        </is>
      </c>
      <c r="E42" s="27" t="inlineStr">
        <is>
          <t>FALSE</t>
        </is>
      </c>
      <c r="F42" s="27" t="inlineStr">
        <is>
          <t>Verbatim as reproduced in Frontiers in Psychology (2023), Table 2.</t>
        </is>
      </c>
    </row>
    <row r="43" ht="15" customHeight="1" s="17">
      <c r="A43" s="28" t="n">
        <v>14</v>
      </c>
      <c r="B43" s="27" t="inlineStr">
        <is>
          <t>I am able to use my strengths in lots of different ways.</t>
        </is>
      </c>
      <c r="C43" s="27" t="inlineStr">
        <is>
          <t>Strengths Use (total scale)</t>
        </is>
      </c>
      <c r="D43" s="27" t="inlineStr">
        <is>
          <t>FALSE</t>
        </is>
      </c>
      <c r="E43" s="27" t="inlineStr">
        <is>
          <t>FALSE</t>
        </is>
      </c>
      <c r="F43" s="27" t="inlineStr">
        <is>
          <t>Verbatim as reproduced in Frontiers in Psychology (2023), Table 2.</t>
        </is>
      </c>
    </row>
  </sheetData>
  <autoFilter ref="A29:F4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40"/>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Strengths Self-Efficacy Scale</t>
        </is>
      </c>
    </row>
    <row r="3" ht="15" customHeight="1" s="17">
      <c r="A3" s="35" t="inlineStr">
        <is>
          <t>Instrument</t>
        </is>
      </c>
      <c r="B3" s="27" t="inlineStr">
        <is>
          <t>Strengths Self-Efficacy Scale</t>
        </is>
      </c>
    </row>
    <row r="4" ht="15" customHeight="1" s="17">
      <c r="A4" s="35" t="inlineStr">
        <is>
          <t>Code</t>
        </is>
      </c>
      <c r="B4" s="27" t="inlineStr">
        <is>
          <t>SSES</t>
        </is>
      </c>
    </row>
    <row r="5" ht="15" customHeight="1" s="17">
      <c r="A5" s="35" t="inlineStr">
        <is>
          <t>Domain</t>
        </is>
      </c>
      <c r="B5" s="27" t="inlineStr">
        <is>
          <t>2. Strengths knowledge, use and support at work</t>
        </is>
      </c>
    </row>
    <row r="6" ht="15" customHeight="1" s="17">
      <c r="A6" s="35" t="inlineStr">
        <is>
          <t>Availability</t>
        </is>
      </c>
      <c r="B6" s="27" t="inlineStr">
        <is>
          <t>Free / open access</t>
        </is>
      </c>
    </row>
    <row r="7" ht="30" customHeight="1" s="17">
      <c r="A7" s="35" t="inlineStr">
        <is>
          <t>Construct</t>
        </is>
      </c>
      <c r="B7" s="27" t="inlineStr">
        <is>
          <t>Perceived self-efficacy (confidence) in one's ability to identify, apply and use one's personal strengths across everyday situations, at work or study, and in pursuit of goals.</t>
        </is>
      </c>
    </row>
    <row r="8" ht="15" customHeight="1" s="17">
      <c r="A8" s="35" t="inlineStr">
        <is>
          <t>Respondent</t>
        </is>
      </c>
      <c r="B8" s="27" t="inlineStr">
        <is>
          <t>Self-report</t>
        </is>
      </c>
    </row>
    <row r="9" ht="30" customHeight="1" s="17">
      <c r="A9" s="35" t="inlineStr">
        <is>
          <t>Age range</t>
        </is>
      </c>
      <c r="B9" s="27" t="inlineStr">
        <is>
          <t>Adults; validated with U.S. college students and working adults, applicable to late-secondary and university-age coaching clients</t>
        </is>
      </c>
    </row>
    <row r="10" ht="15" customHeight="1" s="17">
      <c r="A10" s="35" t="inlineStr">
        <is>
          <t>Items in instrument</t>
        </is>
      </c>
      <c r="B10" s="27" t="inlineStr">
        <is>
          <t>11</t>
        </is>
      </c>
    </row>
    <row r="11" ht="15" customHeight="1" s="17">
      <c r="A11" s="35" t="inlineStr">
        <is>
          <t>Items reproduced here</t>
        </is>
      </c>
      <c r="B11" s="27" t="inlineStr">
        <is>
          <t>11</t>
        </is>
      </c>
    </row>
    <row r="12" ht="15" customHeight="1" s="17">
      <c r="A12" s="35" t="inlineStr">
        <is>
          <t>Administration time</t>
        </is>
      </c>
      <c r="B12" s="27" t="inlineStr">
        <is>
          <t>3-5 minutes</t>
        </is>
      </c>
    </row>
    <row r="13" ht="90" customHeight="1" s="17">
      <c r="A13" s="35" t="inlineStr">
        <is>
          <t>Cost and access</t>
        </is>
      </c>
      <c r="B13" s="27" t="inlineStr">
        <is>
          <t>The SSES is free to use for practice and research; the full 11-item form (with its instructions, five-signature-strengths preamble, and 10-point response scale) is published as an open-access downloadable PDF by PositivePsychology.com, and the same item wording is corroborated by an independent academic reproduction. No licence fee or formal permission is required, though practitioners should cite Tsai, Chaichanasakul, Zhao, Flores and Lopez (2014) as the scale's developers. The original peer-reviewed validation article is behind a SAGE subscription paywall (Journal of Career Assessment).</t>
        </is>
      </c>
    </row>
    <row r="14" ht="120" customHeight="1" s="17">
      <c r="A14" s="35" t="inlineStr">
        <is>
          <t>Coaching application</t>
        </is>
      </c>
      <c r="B14" s="27" t="inlineStr">
        <is>
          <t>The SSES is a good fit for strengths-based career and academic coaching because it measures confidence in actually applying strengths, which is the practical skill most coaching aims to build, and it can be re-administered after a coaching block to check whether a client's confidence in using their strengths has shifted. Because it asks respondents to first name their own five signature strengths, it works well paired with a prior strengths-identification step (VIA, Realise2, or the SKS/SUS above). Its limit is that it measures perceived confidence rather than actual competent strengths use, so a client can score highly while still using strengths in an unhelpful or overextended way, and low scores need follow-up to distinguish a genuine skills gap from low self-belief alone.</t>
        </is>
      </c>
    </row>
    <row r="15" ht="60" customHeight="1" s="17">
      <c r="A15" s="35" t="inlineStr">
        <is>
          <t>Purpose</t>
        </is>
      </c>
      <c r="B15" s="27" t="inlineStr">
        <is>
          <t>The SSES was developed by Tsai, Chaichanasakul, Zhao, Flores and Lopez (2014) to give career counsellors, educators and researchers a brief measure of an individual's confidence in their ability to build on and apply their personal strengths in daily life, extending Bandura's self-efficacy framework to the strengths domain.</t>
        </is>
      </c>
    </row>
    <row r="16" ht="30" customHeight="1" s="17">
      <c r="A16" s="35" t="inlineStr">
        <is>
          <t>Instructions / prompt</t>
        </is>
      </c>
      <c r="B16" s="27" t="inlineStr">
        <is>
          <t>First, please list your 5 signature strengths below: [space for 5 strengths]. How confident are you in your ability to ....</t>
        </is>
      </c>
    </row>
    <row r="17" ht="30" customHeight="1" s="17">
      <c r="A17" s="35" t="inlineStr">
        <is>
          <t>Response options</t>
        </is>
      </c>
      <c r="B17" s="27" t="inlineStr">
        <is>
          <t>Not confident at all = 1 | 2 = 2 | 3 = 3 | 4 = 4 | Moderately confident = 5 | 6 = 6 | 7 = 7 | 8 = 8 | 9 = 9 | Extremely confident = 10</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Sum the 11 item scores for a total (range 11-110); a weighted/mean score can also be calculated by dividing the total by 11. Higher scores indicate greater confidence in using one's strengths. No items are reverse-scored.</t>
        </is>
      </c>
    </row>
    <row r="21" ht="15" customHeight="1" s="17">
      <c r="A21" s="35" t="inlineStr">
        <is>
          <t>Interpretation bands</t>
        </is>
      </c>
      <c r="B21" s="27" t="inlineStr">
        <is>
          <t>Not stated on source</t>
        </is>
      </c>
    </row>
    <row r="22" ht="45" customHeight="1" s="17">
      <c r="A22" s="35" t="inlineStr">
        <is>
          <t>Cut-offs</t>
        </is>
      </c>
      <c r="B22" s="27" t="inlineStr">
        <is>
          <t>No clinical or normative cut-off scores have been published for the SSES. It is intended as a continuous measure for research and for tracking an individual's own change over time, not for categorical classification.</t>
        </is>
      </c>
    </row>
    <row r="23" ht="45" customHeight="1" s="17">
      <c r="A23" s="35" t="inlineStr">
        <is>
          <t>Normative data</t>
        </is>
      </c>
      <c r="B23" s="27" t="inlineStr">
        <is>
          <t>No published normative tables were located. The original validation samples were U.S. adults: 275 in the exploratory factor analysis phase, 302 in the confirmatory phase, and 36 in a 3-week test-retest reliability subsample.</t>
        </is>
      </c>
    </row>
    <row r="24" ht="105" customHeight="1" s="17">
      <c r="A24" s="35" t="inlineStr">
        <is>
          <t>Psychometric properties</t>
        </is>
      </c>
      <c r="B24" s="27" t="inlineStr">
        <is>
          <t>In the original validation (Tsai et al., 2014), exploratory factor analysis on the first adult sample (n = 275) supported a single general strengths-self-efficacy factor with internal consistency of alpha = .96; confirmatory factor analysis on a second sample (n = 302) confirmed the one-factor structure with alpha = .95. A 3-week test-retest reliability check (n = 36) showed stable scores over time. Validity evidence included moderate positive correlations with self-esteem and life satisfaction, and a weak relationship with social desirability, supporting discriminant validity from mere impression management.</t>
        </is>
      </c>
    </row>
    <row r="25" ht="45" customHeight="1" s="17">
      <c r="A25" s="35" t="inlineStr">
        <is>
          <t>Developer citation</t>
        </is>
      </c>
      <c r="B25" s="27" t="inlineStr">
        <is>
          <t>Tsai, C.-L., Chaichanasakul, A., Zhao, R., Flores, L. Y., &amp; Lopez, S. J. (2014). Development and validation of the Strengths Self-Efficacy Scale (SSES). Journal of Career Assessment, 22(2), 221-232. https://doi.org/10.1177/1069072713493761</t>
        </is>
      </c>
    </row>
    <row r="26" ht="90" customHeight="1" s="17">
      <c r="A26" s="35" t="inlineStr">
        <is>
          <t>Copyright and licensing</t>
        </is>
      </c>
      <c r="B26" s="27" t="inlineStr">
        <is>
          <t>No explicit copyright restriction or paid-licence requirement was found; PositivePsychology.com distributes the full instrument as a free downloadable PDF for practitioner use, and an independent academic reproduction (academia.edu) carries identical item wording, both without a stated permissions requirement beyond citing the original authors. The peer-reviewed source article remains behind a SAGE subscription paywall. This reflects the licensing position actually found, not a confirmed public-domain status.</t>
        </is>
      </c>
    </row>
    <row r="27" ht="15" customHeight="1" s="17">
      <c r="A27" s="35" t="inlineStr">
        <is>
          <t>Source URL</t>
        </is>
      </c>
      <c r="B27" s="27" t="inlineStr">
        <is>
          <t>https://positivepsychology.com/wp-content/uploads/The-Strengths-Self-efficacy-Scale.pdf</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35.05" customHeight="1" s="17">
      <c r="A30" s="28" t="n">
        <v>1</v>
      </c>
      <c r="B30" s="27" t="inlineStr">
        <is>
          <t>Use your strengths at work?</t>
        </is>
      </c>
      <c r="C30" s="27" t="inlineStr">
        <is>
          <t>Strengths Self-Efficacy (total scale)</t>
        </is>
      </c>
      <c r="D30" s="27" t="inlineStr">
        <is>
          <t>FALSE</t>
        </is>
      </c>
      <c r="E30" s="27" t="inlineStr">
        <is>
          <t>FALSE</t>
        </is>
      </c>
      <c r="F30" s="27" t="inlineStr">
        <is>
          <t>Verbatim as reproduced in the PositivePsychology.com PDF and corroborated by an independent academia.edu reproduction, both stemmed from "How confident are you in your ability to ...."</t>
        </is>
      </c>
    </row>
    <row r="31" ht="23.85" customHeight="1" s="17">
      <c r="A31" s="28" t="n">
        <v>2</v>
      </c>
      <c r="B31" s="27" t="inlineStr">
        <is>
          <t>Use your strengths without any struggles?</t>
        </is>
      </c>
      <c r="C31" s="27" t="inlineStr">
        <is>
          <t>Strengths Self-Efficacy (total scale)</t>
        </is>
      </c>
      <c r="D31" s="27" t="inlineStr">
        <is>
          <t>FALSE</t>
        </is>
      </c>
      <c r="E31" s="27" t="inlineStr">
        <is>
          <t>FALSE</t>
        </is>
      </c>
      <c r="F31" s="27" t="inlineStr">
        <is>
          <t>Verbatim as reproduced in the PositivePsychology.com PDF, corroborated by academia.edu reproduction.</t>
        </is>
      </c>
    </row>
    <row r="32" ht="23.85" customHeight="1" s="17">
      <c r="A32" s="28" t="n">
        <v>3</v>
      </c>
      <c r="B32" s="27" t="inlineStr">
        <is>
          <t>Find ways to apply your strengths in the things you do everyday?</t>
        </is>
      </c>
      <c r="C32" s="27" t="inlineStr">
        <is>
          <t>Strengths Self-Efficacy (total scale)</t>
        </is>
      </c>
      <c r="D32" s="27" t="inlineStr">
        <is>
          <t>FALSE</t>
        </is>
      </c>
      <c r="E32" s="27" t="inlineStr">
        <is>
          <t>FALSE</t>
        </is>
      </c>
      <c r="F32" s="27" t="inlineStr">
        <is>
          <t>Verbatim as reproduced in the PositivePsychology.com PDF, corroborated by academia.edu reproduction.</t>
        </is>
      </c>
    </row>
    <row r="33" ht="23.85" customHeight="1" s="17">
      <c r="A33" s="28" t="n">
        <v>4</v>
      </c>
      <c r="B33" s="27" t="inlineStr">
        <is>
          <t>Accomplish a lot using your strengths?</t>
        </is>
      </c>
      <c r="C33" s="27" t="inlineStr">
        <is>
          <t>Strengths Self-Efficacy (total scale)</t>
        </is>
      </c>
      <c r="D33" s="27" t="inlineStr">
        <is>
          <t>FALSE</t>
        </is>
      </c>
      <c r="E33" s="27" t="inlineStr">
        <is>
          <t>FALSE</t>
        </is>
      </c>
      <c r="F33" s="27" t="inlineStr">
        <is>
          <t>Verbatim as reproduced in the PositivePsychology.com PDF, corroborated by academia.edu reproduction.</t>
        </is>
      </c>
    </row>
    <row r="34" ht="23.85" customHeight="1" s="17">
      <c r="A34" s="28" t="n">
        <v>5</v>
      </c>
      <c r="B34" s="27" t="inlineStr">
        <is>
          <t>Apply your strengths at work/school?</t>
        </is>
      </c>
      <c r="C34" s="27" t="inlineStr">
        <is>
          <t>Strengths Self-Efficacy (total scale)</t>
        </is>
      </c>
      <c r="D34" s="27" t="inlineStr">
        <is>
          <t>FALSE</t>
        </is>
      </c>
      <c r="E34" s="27" t="inlineStr">
        <is>
          <t>FALSE</t>
        </is>
      </c>
      <c r="F34" s="27" t="inlineStr">
        <is>
          <t>Verbatim as reproduced in the PositivePsychology.com PDF, corroborated by academia.edu reproduction.</t>
        </is>
      </c>
    </row>
    <row r="35" ht="23.85" customHeight="1" s="17">
      <c r="A35" s="28" t="n">
        <v>6</v>
      </c>
      <c r="B35" s="27" t="inlineStr">
        <is>
          <t>Use your strengths in many situations?</t>
        </is>
      </c>
      <c r="C35" s="27" t="inlineStr">
        <is>
          <t>Strengths Self-Efficacy (total scale)</t>
        </is>
      </c>
      <c r="D35" s="27" t="inlineStr">
        <is>
          <t>FALSE</t>
        </is>
      </c>
      <c r="E35" s="27" t="inlineStr">
        <is>
          <t>FALSE</t>
        </is>
      </c>
      <c r="F35" s="27" t="inlineStr">
        <is>
          <t>Verbatim as reproduced in the PositivePsychology.com PDF, corroborated by academia.edu reproduction.</t>
        </is>
      </c>
    </row>
    <row r="36" ht="23.85" customHeight="1" s="17">
      <c r="A36" s="28" t="n">
        <v>7</v>
      </c>
      <c r="B36" s="27" t="inlineStr">
        <is>
          <t>Use your strengths to succeed?</t>
        </is>
      </c>
      <c r="C36" s="27" t="inlineStr">
        <is>
          <t>Strengths Self-Efficacy (total scale)</t>
        </is>
      </c>
      <c r="D36" s="27" t="inlineStr">
        <is>
          <t>FALSE</t>
        </is>
      </c>
      <c r="E36" s="27" t="inlineStr">
        <is>
          <t>FALSE</t>
        </is>
      </c>
      <c r="F36" s="27" t="inlineStr">
        <is>
          <t>Verbatim as reproduced in the PositivePsychology.com PDF, corroborated by academia.edu reproduction.</t>
        </is>
      </c>
    </row>
    <row r="37" ht="23.85" customHeight="1" s="17">
      <c r="A37" s="28" t="n">
        <v>8</v>
      </c>
      <c r="B37" s="27" t="inlineStr">
        <is>
          <t>Find ways to use your strengths at work/school everyday?</t>
        </is>
      </c>
      <c r="C37" s="27" t="inlineStr">
        <is>
          <t>Strengths Self-Efficacy (total scale)</t>
        </is>
      </c>
      <c r="D37" s="27" t="inlineStr">
        <is>
          <t>FALSE</t>
        </is>
      </c>
      <c r="E37" s="27" t="inlineStr">
        <is>
          <t>FALSE</t>
        </is>
      </c>
      <c r="F37" s="27" t="inlineStr">
        <is>
          <t>Verbatim as reproduced in the PositivePsychology.com PDF, corroborated by academia.edu reproduction.</t>
        </is>
      </c>
    </row>
    <row r="38" ht="23.85" customHeight="1" s="17">
      <c r="A38" s="28" t="n">
        <v>9</v>
      </c>
      <c r="B38" s="27" t="inlineStr">
        <is>
          <t>Use your strengths at any time?</t>
        </is>
      </c>
      <c r="C38" s="27" t="inlineStr">
        <is>
          <t>Strengths Self-Efficacy (total scale)</t>
        </is>
      </c>
      <c r="D38" s="27" t="inlineStr">
        <is>
          <t>FALSE</t>
        </is>
      </c>
      <c r="E38" s="27" t="inlineStr">
        <is>
          <t>FALSE</t>
        </is>
      </c>
      <c r="F38" s="27" t="inlineStr">
        <is>
          <t>Verbatim as reproduced in the PositivePsychology.com PDF, corroborated by academia.edu reproduction.</t>
        </is>
      </c>
    </row>
    <row r="39" ht="23.85" customHeight="1" s="17">
      <c r="A39" s="28" t="n">
        <v>10</v>
      </c>
      <c r="B39" s="27" t="inlineStr">
        <is>
          <t>Use your strengths to help you achieve your goals in life?</t>
        </is>
      </c>
      <c r="C39" s="27" t="inlineStr">
        <is>
          <t>Strengths Self-Efficacy (total scale)</t>
        </is>
      </c>
      <c r="D39" s="27" t="inlineStr">
        <is>
          <t>FALSE</t>
        </is>
      </c>
      <c r="E39" s="27" t="inlineStr">
        <is>
          <t>FALSE</t>
        </is>
      </c>
      <c r="F39" s="27" t="inlineStr">
        <is>
          <t>Verbatim as reproduced in the PositivePsychology.com PDF, corroborated by academia.edu reproduction.</t>
        </is>
      </c>
    </row>
    <row r="40" ht="23.85" customHeight="1" s="17">
      <c r="A40" s="28" t="n">
        <v>11</v>
      </c>
      <c r="B40" s="27" t="inlineStr">
        <is>
          <t>Practice your strengths in areas where you excel?</t>
        </is>
      </c>
      <c r="C40" s="27" t="inlineStr">
        <is>
          <t>Strengths Self-Efficacy (total scale)</t>
        </is>
      </c>
      <c r="D40" s="27" t="inlineStr">
        <is>
          <t>FALSE</t>
        </is>
      </c>
      <c r="E40" s="27" t="inlineStr">
        <is>
          <t>FALSE</t>
        </is>
      </c>
      <c r="F40" s="27" t="inlineStr">
        <is>
          <t>Verbatim as reproduced in the PositivePsychology.com PDF, corroborated by academia.edu reproduction.</t>
        </is>
      </c>
    </row>
  </sheetData>
  <autoFilter ref="A29:F4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41"/>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Core Self-Evaluations Scale</t>
        </is>
      </c>
    </row>
    <row r="3" ht="15" customHeight="1" s="17">
      <c r="A3" s="35" t="inlineStr">
        <is>
          <t>Instrument</t>
        </is>
      </c>
      <c r="B3" s="27" t="inlineStr">
        <is>
          <t>Core Self-Evaluations Scale</t>
        </is>
      </c>
    </row>
    <row r="4" ht="15" customHeight="1" s="17">
      <c r="A4" s="35" t="inlineStr">
        <is>
          <t>Code</t>
        </is>
      </c>
      <c r="B4" s="27" t="inlineStr">
        <is>
          <t>CSES</t>
        </is>
      </c>
    </row>
    <row r="5" ht="15" customHeight="1" s="17">
      <c r="A5" s="35" t="inlineStr">
        <is>
          <t>Domain</t>
        </is>
      </c>
      <c r="B5" s="27" t="inlineStr">
        <is>
          <t>3. Adjacent occupational and wellbeing</t>
        </is>
      </c>
    </row>
    <row r="6" ht="15" customHeight="1" s="17">
      <c r="A6" s="35" t="inlineStr">
        <is>
          <t>Availability</t>
        </is>
      </c>
      <c r="B6" s="27" t="inlineStr">
        <is>
          <t>Free / open access</t>
        </is>
      </c>
    </row>
    <row r="7" ht="30" customHeight="1" s="17">
      <c r="A7" s="35" t="inlineStr">
        <is>
          <t>Construct</t>
        </is>
      </c>
      <c r="B7" s="27" t="inlineStr">
        <is>
          <t>Core self-evaluations: a broad, fundamental positive self-appraisal trait combining self-esteem, generalised self-efficacy, internal locus of control and low neuroticism (emotional stability).</t>
        </is>
      </c>
    </row>
    <row r="8" ht="15" customHeight="1" s="17">
      <c r="A8" s="35" t="inlineStr">
        <is>
          <t>Respondent</t>
        </is>
      </c>
      <c r="B8" s="27" t="inlineStr">
        <is>
          <t>Self-report</t>
        </is>
      </c>
    </row>
    <row r="9" ht="30" customHeight="1" s="17">
      <c r="A9" s="35" t="inlineStr">
        <is>
          <t>Age range</t>
        </is>
      </c>
      <c r="B9" s="27" t="inlineStr">
        <is>
          <t>Working adults (Samples 1-2 of the original validation); also validated with university undergraduates (Samples 3-4). Suitable for university-age and early-career coaching clients.</t>
        </is>
      </c>
    </row>
    <row r="10" ht="15" customHeight="1" s="17">
      <c r="A10" s="35" t="inlineStr">
        <is>
          <t>Items in instrument</t>
        </is>
      </c>
      <c r="B10" s="27" t="inlineStr">
        <is>
          <t>12</t>
        </is>
      </c>
    </row>
    <row r="11" ht="15" customHeight="1" s="17">
      <c r="A11" s="35" t="inlineStr">
        <is>
          <t>Items reproduced here</t>
        </is>
      </c>
      <c r="B11" s="27" t="inlineStr">
        <is>
          <t>12</t>
        </is>
      </c>
    </row>
    <row r="12" ht="15" customHeight="1" s="17">
      <c r="A12" s="35" t="inlineStr">
        <is>
          <t>Administration time</t>
        </is>
      </c>
      <c r="B12" s="27" t="inlineStr">
        <is>
          <t>2-3 minutes</t>
        </is>
      </c>
    </row>
    <row r="13" ht="45" customHeight="1" s="17">
      <c r="A13" s="35" t="inlineStr">
        <is>
          <t>Cost and access</t>
        </is>
      </c>
      <c r="B13" s="27" t="inlineStr">
        <is>
          <t>The scale is explicitly stated by the developers to be non-proprietary and free to use without permission. The full 12-item scale, with response format and scoring key, is reproduced in an open PDF of the original SIOP conference/journal materials.</t>
        </is>
      </c>
    </row>
    <row r="14" ht="105" customHeight="1" s="17">
      <c r="A14" s="35" t="inlineStr">
        <is>
          <t>Coaching application</t>
        </is>
      </c>
      <c r="B14" s="27" t="inlineStr">
        <is>
          <t>The CSES is useful as a brief baseline measure of a student or early-career client's general positive self-appraisal (self-esteem, self-efficacy, sense of control) at the start of a coaching relationship, and can flag when low scores on 'control' or 'competence' items point to executive-function or confidence work rather than a skills gap. It is not a strengths-identification tool and should not be presented to a client as diagnostic; its brevity and free licence make it practical for repeat use, but coaches should be alert that several reverse-scored items touch on depressed mood and hopelessness, which needs sensitive framing with any client where wellbeing is a live concern.</t>
        </is>
      </c>
    </row>
    <row r="15" ht="60" customHeight="1" s="17">
      <c r="A15" s="35" t="inlineStr">
        <is>
          <t>Purpose</t>
        </is>
      </c>
      <c r="B15" s="27" t="inlineStr">
        <is>
          <t>Judge, Erez, Bono and Thoresen developed the CSES to provide a direct, parsimonious measure of core self-evaluations, a higher-order trait they argued underlies self-esteem, generalised self-efficacy, locus of control and neuroticism, and which predicts job and life satisfaction and job performance.</t>
        </is>
      </c>
    </row>
    <row r="16" ht="45" customHeight="1" s="17">
      <c r="A16" s="35" t="inlineStr">
        <is>
          <t>Instructions / prompt</t>
        </is>
      </c>
      <c r="B16" s="27" t="inlineStr">
        <is>
          <t>Not retrieved verbatim from a fetched source; the CSES PDF reproduces the item table and response scale but the source fetched did not include a printed respondent-facing preamble/instruction sentence.</t>
        </is>
      </c>
    </row>
    <row r="17" ht="15" customHeight="1" s="17">
      <c r="A17" s="35" t="inlineStr">
        <is>
          <t>Response options</t>
        </is>
      </c>
      <c r="B17" s="27" t="inlineStr">
        <is>
          <t>Strongly Disagree = 1 | Disagree = 2 | Neutral = 3 | Agree = 4 | Strongly Agree = 5</t>
        </is>
      </c>
    </row>
    <row r="18" ht="15" customHeight="1" s="17">
      <c r="A18" s="35" t="inlineStr">
        <is>
          <t>Reverse-scored items</t>
        </is>
      </c>
      <c r="B18" s="27" t="inlineStr">
        <is>
          <t>2, 4, 6, 8, 10, 12</t>
        </is>
      </c>
    </row>
    <row r="19" ht="15" customHeight="1" s="17">
      <c r="A19" s="35" t="inlineStr">
        <is>
          <t>Filler items (not scored)</t>
        </is>
      </c>
      <c r="B19" s="27" t="inlineStr">
        <is>
          <t>None</t>
        </is>
      </c>
    </row>
    <row r="20" ht="30" customHeight="1" s="17">
      <c r="A20" s="35" t="inlineStr">
        <is>
          <t>Total scoring</t>
        </is>
      </c>
      <c r="B20" s="27" t="inlineStr">
        <is>
          <t>Reverse-score items 2, 4, 6, 8, 10 and 12 (6 minus the raw response on the 1-5 scale), then sum or average all 12 items. Higher scores indicate more positive core self-evaluations.</t>
        </is>
      </c>
    </row>
    <row r="21" ht="15" customHeight="1" s="17">
      <c r="A21" s="35" t="inlineStr">
        <is>
          <t>Interpretation bands</t>
        </is>
      </c>
      <c r="B21" s="27" t="inlineStr">
        <is>
          <t>Not stated on source</t>
        </is>
      </c>
    </row>
    <row r="22" ht="30" customHeight="1" s="17">
      <c r="A22" s="35" t="inlineStr">
        <is>
          <t>Cut-offs</t>
        </is>
      </c>
      <c r="B22" s="27" t="inlineStr">
        <is>
          <t>No published clinical or normative cut-off scores; intended as a continuous individual-differences measure for research and comparison, not categorical classification.</t>
        </is>
      </c>
    </row>
    <row r="23" ht="75" customHeight="1" s="17">
      <c r="A23" s="35" t="inlineStr">
        <is>
          <t>Normative data</t>
        </is>
      </c>
      <c r="B23" s="27" t="inlineStr">
        <is>
          <t>No population percentile norm tables were retrieved. Original validation means/SDs by sample were not reproduced in the source fetched; sample sizes and composition were: Sample 1, N = 280, US food-service company employees (roles from truck driver to manager); Sample 2, N = 175, pharmaceutical sales representatives, mean age 42.1; Sample 3, N = 265 (T1) and 205 (T2), undergraduates; Sample 4, N = 126, undergraduates.</t>
        </is>
      </c>
    </row>
    <row r="24" ht="90" customHeight="1" s="17">
      <c r="A24" s="35" t="inlineStr">
        <is>
          <t>Psychometric properties</t>
        </is>
      </c>
      <c r="B24" s="27" t="inlineStr">
        <is>
          <t>Internal consistency (Cronbach's alpha): Sample 1 = .85; Sample 2 = .83; Sample 3 T1 = .85, T2 = .87; Sample 4 (self-report) = .83, (other-report) = .81. Test-retest reliability over one month (Sample 3) = .81. Inter-rater (self/significant-other) agreement ICC = .43. Convergent validity (corrected correlations): self-esteem .80-.92, generalised self-efficacy .78-.90, neuroticism -.67 to -.84, locus of control .41-.62. Criterion validity (corrected correlations): job satisfaction .49-.59, job performance .26-.27, life satisfaction .53-.66. (Judge, Erez, Bono &amp; Thoresen, 2003, Table 4.)</t>
        </is>
      </c>
    </row>
    <row r="25" ht="45" customHeight="1" s="17">
      <c r="A25" s="35" t="inlineStr">
        <is>
          <t>Developer citation</t>
        </is>
      </c>
      <c r="B25" s="27" t="inlineStr">
        <is>
          <t>Judge, T. A., Erez, A., Bono, J. E., &amp; Thoresen, C. J. (2003). The Core Self-Evaluations Scale: Development of a measure. Personnel Psychology, 56(2), 303-331. https://doi.org/10.1111/j.1744-6570.2003.tb00152.x</t>
        </is>
      </c>
    </row>
    <row r="26" ht="30" customHeight="1" s="17">
      <c r="A26" s="35" t="inlineStr">
        <is>
          <t>Copyright and licensing</t>
        </is>
      </c>
      <c r="B26" s="27" t="inlineStr">
        <is>
          <t>"This measure is non-proprietary (free) and may be used without permission," as stated in the source fetched.</t>
        </is>
      </c>
    </row>
    <row r="27" ht="15" customHeight="1" s="17">
      <c r="A27" s="35" t="inlineStr">
        <is>
          <t>Source URL</t>
        </is>
      </c>
      <c r="B27" s="27" t="inlineStr">
        <is>
          <t>http://ionilies.com/SIOP03/Files/CSES.pdf</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I am confident I get the success I deserve in life.</t>
        </is>
      </c>
      <c r="C30" s="27" t="inlineStr">
        <is>
          <t>Core Self-Evaluations (total scale, unidimensional)</t>
        </is>
      </c>
      <c r="D30" s="27" t="inlineStr">
        <is>
          <t>FALSE</t>
        </is>
      </c>
      <c r="E30" s="27" t="inlineStr">
        <is>
          <t>FALSE</t>
        </is>
      </c>
      <c r="F30" s="27" t="n"/>
    </row>
    <row r="31" ht="23.85" customHeight="1" s="17">
      <c r="A31" s="28" t="n">
        <v>2</v>
      </c>
      <c r="B31" s="27" t="inlineStr">
        <is>
          <t>Sometimes I feel depressed.</t>
        </is>
      </c>
      <c r="C31" s="27" t="inlineStr">
        <is>
          <t>Core Self-Evaluations (total scale, unidimensional)</t>
        </is>
      </c>
      <c r="D31" s="34" t="inlineStr">
        <is>
          <t>TRUE</t>
        </is>
      </c>
      <c r="E31" s="27" t="inlineStr">
        <is>
          <t>FALSE</t>
        </is>
      </c>
      <c r="F31" s="27" t="inlineStr">
        <is>
          <t>Touches on depressed mood; use sensitively with clients where wellbeing is a live concern.</t>
        </is>
      </c>
    </row>
    <row r="32" ht="23.85" customHeight="1" s="17">
      <c r="A32" s="28" t="n">
        <v>3</v>
      </c>
      <c r="B32" s="27" t="inlineStr">
        <is>
          <t>When I try, I generally succeed.</t>
        </is>
      </c>
      <c r="C32" s="27" t="inlineStr">
        <is>
          <t>Core Self-Evaluations (total scale, unidimensional)</t>
        </is>
      </c>
      <c r="D32" s="27" t="inlineStr">
        <is>
          <t>FALSE</t>
        </is>
      </c>
      <c r="E32" s="27" t="inlineStr">
        <is>
          <t>FALSE</t>
        </is>
      </c>
      <c r="F32" s="27" t="n"/>
    </row>
    <row r="33" ht="23.85" customHeight="1" s="17">
      <c r="A33" s="28" t="n">
        <v>4</v>
      </c>
      <c r="B33" s="27" t="inlineStr">
        <is>
          <t>Sometimes when I fail I feel worthless.</t>
        </is>
      </c>
      <c r="C33" s="27" t="inlineStr">
        <is>
          <t>Core Self-Evaluations (total scale, unidimensional)</t>
        </is>
      </c>
      <c r="D33" s="34" t="inlineStr">
        <is>
          <t>TRUE</t>
        </is>
      </c>
      <c r="E33" s="27" t="inlineStr">
        <is>
          <t>FALSE</t>
        </is>
      </c>
      <c r="F33" s="27" t="n"/>
    </row>
    <row r="34" ht="23.85" customHeight="1" s="17">
      <c r="A34" s="28" t="n">
        <v>5</v>
      </c>
      <c r="B34" s="27" t="inlineStr">
        <is>
          <t>I complete tasks successfully.</t>
        </is>
      </c>
      <c r="C34" s="27" t="inlineStr">
        <is>
          <t>Core Self-Evaluations (total scale, unidimensional)</t>
        </is>
      </c>
      <c r="D34" s="27" t="inlineStr">
        <is>
          <t>FALSE</t>
        </is>
      </c>
      <c r="E34" s="27" t="inlineStr">
        <is>
          <t>FALSE</t>
        </is>
      </c>
      <c r="F34" s="27" t="n"/>
    </row>
    <row r="35" ht="23.85" customHeight="1" s="17">
      <c r="A35" s="28" t="n">
        <v>6</v>
      </c>
      <c r="B35" s="27" t="inlineStr">
        <is>
          <t>Sometimes, I do not feel in control of my work.</t>
        </is>
      </c>
      <c r="C35" s="27" t="inlineStr">
        <is>
          <t>Core Self-Evaluations (total scale, unidimensional)</t>
        </is>
      </c>
      <c r="D35" s="34" t="inlineStr">
        <is>
          <t>TRUE</t>
        </is>
      </c>
      <c r="E35" s="27" t="inlineStr">
        <is>
          <t>FALSE</t>
        </is>
      </c>
      <c r="F35" s="27" t="n"/>
    </row>
    <row r="36" ht="23.85" customHeight="1" s="17">
      <c r="A36" s="28" t="n">
        <v>7</v>
      </c>
      <c r="B36" s="27" t="inlineStr">
        <is>
          <t>Overall, I am satisfied with myself.</t>
        </is>
      </c>
      <c r="C36" s="27" t="inlineStr">
        <is>
          <t>Core Self-Evaluations (total scale, unidimensional)</t>
        </is>
      </c>
      <c r="D36" s="27" t="inlineStr">
        <is>
          <t>FALSE</t>
        </is>
      </c>
      <c r="E36" s="27" t="inlineStr">
        <is>
          <t>FALSE</t>
        </is>
      </c>
      <c r="F36" s="27" t="n"/>
    </row>
    <row r="37" ht="23.85" customHeight="1" s="17">
      <c r="A37" s="28" t="n">
        <v>8</v>
      </c>
      <c r="B37" s="27" t="inlineStr">
        <is>
          <t>I am filled with doubts about my competence.</t>
        </is>
      </c>
      <c r="C37" s="27" t="inlineStr">
        <is>
          <t>Core Self-Evaluations (total scale, unidimensional)</t>
        </is>
      </c>
      <c r="D37" s="34" t="inlineStr">
        <is>
          <t>TRUE</t>
        </is>
      </c>
      <c r="E37" s="27" t="inlineStr">
        <is>
          <t>FALSE</t>
        </is>
      </c>
      <c r="F37" s="27" t="n"/>
    </row>
    <row r="38" ht="23.85" customHeight="1" s="17">
      <c r="A38" s="28" t="n">
        <v>9</v>
      </c>
      <c r="B38" s="27" t="inlineStr">
        <is>
          <t>I determine what will happen in my life.</t>
        </is>
      </c>
      <c r="C38" s="27" t="inlineStr">
        <is>
          <t>Core Self-Evaluations (total scale, unidimensional)</t>
        </is>
      </c>
      <c r="D38" s="27" t="inlineStr">
        <is>
          <t>FALSE</t>
        </is>
      </c>
      <c r="E38" s="27" t="inlineStr">
        <is>
          <t>FALSE</t>
        </is>
      </c>
      <c r="F38" s="27" t="n"/>
    </row>
    <row r="39" ht="23.85" customHeight="1" s="17">
      <c r="A39" s="28" t="n">
        <v>10</v>
      </c>
      <c r="B39" s="27" t="inlineStr">
        <is>
          <t>I do not feel in control of my success in my career.</t>
        </is>
      </c>
      <c r="C39" s="27" t="inlineStr">
        <is>
          <t>Core Self-Evaluations (total scale, unidimensional)</t>
        </is>
      </c>
      <c r="D39" s="34" t="inlineStr">
        <is>
          <t>TRUE</t>
        </is>
      </c>
      <c r="E39" s="27" t="inlineStr">
        <is>
          <t>FALSE</t>
        </is>
      </c>
      <c r="F39" s="27" t="n"/>
    </row>
    <row r="40" ht="23.85" customHeight="1" s="17">
      <c r="A40" s="28" t="n">
        <v>11</v>
      </c>
      <c r="B40" s="27" t="inlineStr">
        <is>
          <t>I am capable of coping with most of my problems.</t>
        </is>
      </c>
      <c r="C40" s="27" t="inlineStr">
        <is>
          <t>Core Self-Evaluations (total scale, unidimensional)</t>
        </is>
      </c>
      <c r="D40" s="27" t="inlineStr">
        <is>
          <t>FALSE</t>
        </is>
      </c>
      <c r="E40" s="27" t="inlineStr">
        <is>
          <t>FALSE</t>
        </is>
      </c>
      <c r="F40" s="27" t="n"/>
    </row>
    <row r="41" ht="23.85" customHeight="1" s="17">
      <c r="A41" s="28" t="n">
        <v>12</v>
      </c>
      <c r="B41" s="27" t="inlineStr">
        <is>
          <t>There are times when things look pretty bleak and hopeless to me.</t>
        </is>
      </c>
      <c r="C41" s="27" t="inlineStr">
        <is>
          <t>Core Self-Evaluations (total scale, unidimensional)</t>
        </is>
      </c>
      <c r="D41" s="34" t="inlineStr">
        <is>
          <t>TRUE</t>
        </is>
      </c>
      <c r="E41" s="27" t="inlineStr">
        <is>
          <t>FALSE</t>
        </is>
      </c>
      <c r="F41" s="27" t="inlineStr">
        <is>
          <t>Touches on hopelessness; use sensitively with clients where wellbeing is a live concern.</t>
        </is>
      </c>
    </row>
  </sheetData>
  <autoFilter ref="A29:F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41"/>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Psychological Empowerment Scale</t>
        </is>
      </c>
    </row>
    <row r="3" ht="15" customHeight="1" s="17">
      <c r="A3" s="35" t="inlineStr">
        <is>
          <t>Instrument</t>
        </is>
      </c>
      <c r="B3" s="27" t="inlineStr">
        <is>
          <t>Psychological Empowerment Scale</t>
        </is>
      </c>
    </row>
    <row r="4" ht="15" customHeight="1" s="17">
      <c r="A4" s="35" t="inlineStr">
        <is>
          <t>Code</t>
        </is>
      </c>
      <c r="B4" s="27" t="inlineStr">
        <is>
          <t>PES</t>
        </is>
      </c>
    </row>
    <row r="5" ht="15" customHeight="1" s="17">
      <c r="A5" s="35" t="inlineStr">
        <is>
          <t>Domain</t>
        </is>
      </c>
      <c r="B5" s="27" t="inlineStr">
        <is>
          <t>3. Adjacent occupational and wellbeing</t>
        </is>
      </c>
    </row>
    <row r="6" ht="15" customHeight="1" s="17">
      <c r="A6" s="35" t="inlineStr">
        <is>
          <t>Availability</t>
        </is>
      </c>
      <c r="B6" s="27" t="inlineStr">
        <is>
          <t>Free / open access</t>
        </is>
      </c>
    </row>
    <row r="7" ht="30" customHeight="1" s="17">
      <c r="A7" s="35" t="inlineStr">
        <is>
          <t>Construct</t>
        </is>
      </c>
      <c r="B7" s="27" t="inlineStr">
        <is>
          <t>Psychological empowerment at work, a motivational construct with four cognitive dimensions: meaning, competence, self-determination and impact.</t>
        </is>
      </c>
    </row>
    <row r="8" ht="15" customHeight="1" s="17">
      <c r="A8" s="35" t="inlineStr">
        <is>
          <t>Respondent</t>
        </is>
      </c>
      <c r="B8" s="27" t="inlineStr">
        <is>
          <t>Self-report, employed adults</t>
        </is>
      </c>
    </row>
    <row r="9" ht="30" customHeight="1" s="17">
      <c r="A9" s="35" t="inlineStr">
        <is>
          <t>Age range</t>
        </is>
      </c>
      <c r="B9" s="27" t="inlineStr">
        <is>
          <t>Working adults; original validation used middle managers and industrial-firm employees. Applicable to early-career and internship-stage clients holding a defined work role.</t>
        </is>
      </c>
    </row>
    <row r="10" ht="15" customHeight="1" s="17">
      <c r="A10" s="35" t="inlineStr">
        <is>
          <t>Items in instrument</t>
        </is>
      </c>
      <c r="B10" s="27" t="inlineStr">
        <is>
          <t>12</t>
        </is>
      </c>
    </row>
    <row r="11" ht="15" customHeight="1" s="17">
      <c r="A11" s="35" t="inlineStr">
        <is>
          <t>Items reproduced here</t>
        </is>
      </c>
      <c r="B11" s="27" t="inlineStr">
        <is>
          <t>12</t>
        </is>
      </c>
    </row>
    <row r="12" ht="15" customHeight="1" s="17">
      <c r="A12" s="35" t="inlineStr">
        <is>
          <t>Administration time</t>
        </is>
      </c>
      <c r="B12" s="27" t="inlineStr">
        <is>
          <t>3-5 minutes</t>
        </is>
      </c>
    </row>
    <row r="13" ht="30" customHeight="1" s="17">
      <c r="A13" s="35" t="inlineStr">
        <is>
          <t>Cost and access</t>
        </is>
      </c>
      <c r="B13" s="27" t="inlineStr">
        <is>
          <t>The instrument is hosted freely by the developer, Gretchen Spreitzer, on her own university web page for research and practice use, with no stated fee or formal permission process.</t>
        </is>
      </c>
    </row>
    <row r="14" ht="105" customHeight="1" s="17">
      <c r="A14" s="35" t="inlineStr">
        <is>
          <t>Coaching application</t>
        </is>
      </c>
      <c r="B14" s="27" t="inlineStr">
        <is>
          <t>This scale works well in coaching to make explicit which of the four empowerment dimensions (meaning, competence, self-determination, impact) is weakest for a client in a job, internship or leadership role, giving a concrete focus for goal-setting. It is designed for someone already in a defined work role with a 'department' or team, so it fits early-career and placement clients better than full-time students without paid work, and it measures a felt cognitive state rather than actual job conditions, so a low score should prompt exploration of both the client's perception and the realities of their role rather than being taken as a fixed trait.</t>
        </is>
      </c>
    </row>
    <row r="15" ht="45" customHeight="1" s="17">
      <c r="A15" s="35" t="inlineStr">
        <is>
          <t>Purpose</t>
        </is>
      </c>
      <c r="B15" s="27" t="inlineStr">
        <is>
          <t>Spreitzer (1995) developed this scale to operationalise and measure psychological empowerment as a multidimensional motivational construct in the workplace, validating it as an antecedent of managerial effectiveness and innovation.</t>
        </is>
      </c>
    </row>
    <row r="16" ht="45" customHeight="1" s="17">
      <c r="A16" s="35" t="inlineStr">
        <is>
          <t>Instructions / prompt</t>
        </is>
      </c>
      <c r="B16" s="27" t="inlineStr">
        <is>
          <t>Listed below are a number of self-orientations that people may have with regard to their work role. Using the following scale, please indicate the extent to which you agree or disagree that each one describes your self-orientation.</t>
        </is>
      </c>
    </row>
    <row r="17" ht="30" customHeight="1" s="17">
      <c r="A17" s="35" t="inlineStr">
        <is>
          <t>Response options</t>
        </is>
      </c>
      <c r="B17" s="27" t="inlineStr">
        <is>
          <t>Very Strongly Disagree = 1 | Strongly Disagree = 2 | Disagree = 3 | Neutral = 4 | Agree = 5 | Strongly Agree = 6 | Very Strongly Agree = 7</t>
        </is>
      </c>
    </row>
    <row r="18" ht="15" customHeight="1" s="17">
      <c r="A18" s="35" t="inlineStr">
        <is>
          <t>Reverse-scored items</t>
        </is>
      </c>
      <c r="B18" s="27" t="inlineStr">
        <is>
          <t>None</t>
        </is>
      </c>
    </row>
    <row r="19" ht="15" customHeight="1" s="17">
      <c r="A19" s="35" t="inlineStr">
        <is>
          <t>Filler items (not scored)</t>
        </is>
      </c>
      <c r="B19" s="27" t="inlineStr">
        <is>
          <t>None</t>
        </is>
      </c>
    </row>
    <row r="20" ht="60" customHeight="1" s="17">
      <c r="A20" s="35" t="inlineStr">
        <is>
          <t>Total scoring</t>
        </is>
      </c>
      <c r="B20" s="27" t="inlineStr">
        <is>
          <t>Each subscale is scored as the mean of its 3 items (range 1-7). An overall empowerment score can be computed as the mean of the four subscale means, as the source document itself instructs: "You may use the subdimensions individually (taking the mean of the 3 items measuring one dimension) or take the mean of the 4 subdimension means to create an overall empowerment score."</t>
        </is>
      </c>
    </row>
    <row r="21" ht="15" customHeight="1" s="17">
      <c r="A21" s="35" t="inlineStr">
        <is>
          <t>Interpretation bands</t>
        </is>
      </c>
      <c r="B21" s="27" t="inlineStr">
        <is>
          <t>Not stated on source</t>
        </is>
      </c>
    </row>
    <row r="22" ht="30" customHeight="1" s="17">
      <c r="A22" s="35" t="inlineStr">
        <is>
          <t>Cut-offs</t>
        </is>
      </c>
      <c r="B22" s="27" t="inlineStr">
        <is>
          <t>No published clinical or normative cut-off scores; intended as a continuous research and diagnostic measure, not categorical classification.</t>
        </is>
      </c>
    </row>
    <row r="23" ht="60" customHeight="1" s="17">
      <c r="A23" s="35" t="inlineStr">
        <is>
          <t>Normative data</t>
        </is>
      </c>
      <c r="B23" s="27" t="inlineStr">
        <is>
          <t>No specific normative table (means/SDs) was retrieved. The instrument page states the scale has been "used successfully in more than 50 different studies" since the original 1995 validation, which used two working-adult field samples (insurance-company middle managers and a Fortune 50 industrial firm), with typical test-retest reliability and validity coefficients around .80 across studies.</t>
        </is>
      </c>
    </row>
    <row r="24" ht="60" customHeight="1" s="17">
      <c r="A24" s="35" t="inlineStr">
        <is>
          <t>Psychometric properties</t>
        </is>
      </c>
      <c r="B24" s="27" t="inlineStr">
        <is>
          <t>Test-retest reliability described on the source page as "strong," with validity estimates for the four dimensions "typically around .80" across the more than 50 studies that have used the scale. Exact original-validation alpha coefficients per subscale were not reproduced on the instrument page fetched.</t>
        </is>
      </c>
    </row>
    <row r="25" ht="30" customHeight="1" s="17">
      <c r="A25" s="35" t="inlineStr">
        <is>
          <t>Developer citation</t>
        </is>
      </c>
      <c r="B25" s="27" t="inlineStr">
        <is>
          <t>Spreitzer, G. M. (1995). Psychological empowerment in the workplace: Dimensions, measurement, and validation. Academy of Management Journal, 38(5), 1442-1465. https://doi.org/10.2307/256865</t>
        </is>
      </c>
    </row>
    <row r="26" ht="30" customHeight="1" s="17">
      <c r="A26" s="35" t="inlineStr">
        <is>
          <t>Copyright and licensing</t>
        </is>
      </c>
      <c r="B26" s="27" t="inlineStr">
        <is>
          <t>Hosted freely by the author for research and practice use; no explicit restriction or fee is stated on the page.</t>
        </is>
      </c>
    </row>
    <row r="27" ht="15" customHeight="1" s="17">
      <c r="A27" s="35" t="inlineStr">
        <is>
          <t>Source URL</t>
        </is>
      </c>
      <c r="B27" s="27" t="inlineStr">
        <is>
          <t>https://webuser.bus.umich.edu/spreitze/Pdfs/EmpowerInstrument.pdf</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The work that I do is important to me.</t>
        </is>
      </c>
      <c r="C30" s="27" t="inlineStr">
        <is>
          <t>Meaning</t>
        </is>
      </c>
      <c r="D30" s="27" t="inlineStr">
        <is>
          <t>FALSE</t>
        </is>
      </c>
      <c r="E30" s="27" t="inlineStr">
        <is>
          <t>FALSE</t>
        </is>
      </c>
      <c r="F30" s="27" t="n"/>
    </row>
    <row r="31" ht="15" customHeight="1" s="17">
      <c r="A31" s="28" t="n">
        <v>2</v>
      </c>
      <c r="B31" s="27" t="inlineStr">
        <is>
          <t>My job activities are personally meaningful to me.</t>
        </is>
      </c>
      <c r="C31" s="27" t="inlineStr">
        <is>
          <t>Meaning</t>
        </is>
      </c>
      <c r="D31" s="27" t="inlineStr">
        <is>
          <t>FALSE</t>
        </is>
      </c>
      <c r="E31" s="27" t="inlineStr">
        <is>
          <t>FALSE</t>
        </is>
      </c>
      <c r="F31" s="27" t="n"/>
    </row>
    <row r="32" ht="15" customHeight="1" s="17">
      <c r="A32" s="28" t="n">
        <v>3</v>
      </c>
      <c r="B32" s="27" t="inlineStr">
        <is>
          <t>The work I do is meaningful to me.</t>
        </is>
      </c>
      <c r="C32" s="27" t="inlineStr">
        <is>
          <t>Meaning</t>
        </is>
      </c>
      <c r="D32" s="27" t="inlineStr">
        <is>
          <t>FALSE</t>
        </is>
      </c>
      <c r="E32" s="27" t="inlineStr">
        <is>
          <t>FALSE</t>
        </is>
      </c>
      <c r="F32" s="27" t="n"/>
    </row>
    <row r="33" ht="15" customHeight="1" s="17">
      <c r="A33" s="28" t="n">
        <v>4</v>
      </c>
      <c r="B33" s="27" t="inlineStr">
        <is>
          <t>I am confident about my ability to do my job.</t>
        </is>
      </c>
      <c r="C33" s="27" t="inlineStr">
        <is>
          <t>Competence</t>
        </is>
      </c>
      <c r="D33" s="27" t="inlineStr">
        <is>
          <t>FALSE</t>
        </is>
      </c>
      <c r="E33" s="27" t="inlineStr">
        <is>
          <t>FALSE</t>
        </is>
      </c>
      <c r="F33" s="27" t="n"/>
    </row>
    <row r="34" ht="15" customHeight="1" s="17">
      <c r="A34" s="28" t="n">
        <v>5</v>
      </c>
      <c r="B34" s="27" t="inlineStr">
        <is>
          <t>I have mastered the skills necessary for my job.</t>
        </is>
      </c>
      <c r="C34" s="27" t="inlineStr">
        <is>
          <t>Competence</t>
        </is>
      </c>
      <c r="D34" s="27" t="inlineStr">
        <is>
          <t>FALSE</t>
        </is>
      </c>
      <c r="E34" s="27" t="inlineStr">
        <is>
          <t>FALSE</t>
        </is>
      </c>
      <c r="F34" s="27" t="n"/>
    </row>
    <row r="35" ht="15" customHeight="1" s="17">
      <c r="A35" s="28" t="n">
        <v>6</v>
      </c>
      <c r="B35" s="27" t="inlineStr">
        <is>
          <t>I am self-assured about my capabilities to perform my work activities.</t>
        </is>
      </c>
      <c r="C35" s="27" t="inlineStr">
        <is>
          <t>Competence</t>
        </is>
      </c>
      <c r="D35" s="27" t="inlineStr">
        <is>
          <t>FALSE</t>
        </is>
      </c>
      <c r="E35" s="27" t="inlineStr">
        <is>
          <t>FALSE</t>
        </is>
      </c>
      <c r="F35" s="27" t="n"/>
    </row>
    <row r="36" ht="15" customHeight="1" s="17">
      <c r="A36" s="28" t="n">
        <v>7</v>
      </c>
      <c r="B36" s="27" t="inlineStr">
        <is>
          <t>I have significant autonomy in determining how I do my job.</t>
        </is>
      </c>
      <c r="C36" s="27" t="inlineStr">
        <is>
          <t>Self-Determination</t>
        </is>
      </c>
      <c r="D36" s="27" t="inlineStr">
        <is>
          <t>FALSE</t>
        </is>
      </c>
      <c r="E36" s="27" t="inlineStr">
        <is>
          <t>FALSE</t>
        </is>
      </c>
      <c r="F36" s="27" t="n"/>
    </row>
    <row r="37" ht="15" customHeight="1" s="17">
      <c r="A37" s="28" t="n">
        <v>8</v>
      </c>
      <c r="B37" s="27" t="inlineStr">
        <is>
          <t>I can decide on my own how to go about doing my own work.</t>
        </is>
      </c>
      <c r="C37" s="27" t="inlineStr">
        <is>
          <t>Self-Determination</t>
        </is>
      </c>
      <c r="D37" s="27" t="inlineStr">
        <is>
          <t>FALSE</t>
        </is>
      </c>
      <c r="E37" s="27" t="inlineStr">
        <is>
          <t>FALSE</t>
        </is>
      </c>
      <c r="F37" s="27" t="n"/>
    </row>
    <row r="38" ht="15" customHeight="1" s="17">
      <c r="A38" s="28" t="n">
        <v>9</v>
      </c>
      <c r="B38" s="27" t="inlineStr">
        <is>
          <t>I have considerable opportunity for independence and freedom in how I do my job.</t>
        </is>
      </c>
      <c r="C38" s="27" t="inlineStr">
        <is>
          <t>Self-Determination</t>
        </is>
      </c>
      <c r="D38" s="27" t="inlineStr">
        <is>
          <t>FALSE</t>
        </is>
      </c>
      <c r="E38" s="27" t="inlineStr">
        <is>
          <t>FALSE</t>
        </is>
      </c>
      <c r="F38" s="27" t="n"/>
    </row>
    <row r="39" ht="15" customHeight="1" s="17">
      <c r="A39" s="28" t="n">
        <v>10</v>
      </c>
      <c r="B39" s="27" t="inlineStr">
        <is>
          <t>My impact on what happens in my department is large.</t>
        </is>
      </c>
      <c r="C39" s="27" t="inlineStr">
        <is>
          <t>Impact</t>
        </is>
      </c>
      <c r="D39" s="27" t="inlineStr">
        <is>
          <t>FALSE</t>
        </is>
      </c>
      <c r="E39" s="27" t="inlineStr">
        <is>
          <t>FALSE</t>
        </is>
      </c>
      <c r="F39" s="27" t="n"/>
    </row>
    <row r="40" ht="15" customHeight="1" s="17">
      <c r="A40" s="28" t="n">
        <v>11</v>
      </c>
      <c r="B40" s="27" t="inlineStr">
        <is>
          <t>I have a great deal of control over what happens in my department.</t>
        </is>
      </c>
      <c r="C40" s="27" t="inlineStr">
        <is>
          <t>Impact</t>
        </is>
      </c>
      <c r="D40" s="27" t="inlineStr">
        <is>
          <t>FALSE</t>
        </is>
      </c>
      <c r="E40" s="27" t="inlineStr">
        <is>
          <t>FALSE</t>
        </is>
      </c>
      <c r="F40" s="27" t="n"/>
    </row>
    <row r="41" ht="15" customHeight="1" s="17">
      <c r="A41" s="28" t="n">
        <v>12</v>
      </c>
      <c r="B41" s="27" t="inlineStr">
        <is>
          <t>I have significant influence over what happens in my department.</t>
        </is>
      </c>
      <c r="C41" s="27" t="inlineStr">
        <is>
          <t>Impact</t>
        </is>
      </c>
      <c r="D41" s="27" t="inlineStr">
        <is>
          <t>FALSE</t>
        </is>
      </c>
      <c r="E41" s="27" t="inlineStr">
        <is>
          <t>FALSE</t>
        </is>
      </c>
      <c r="F41" s="27" t="n"/>
    </row>
  </sheetData>
  <autoFilter ref="A29:F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Depression Anxiety Stress Scales, 21 item version (DASS-21)</t>
        </is>
      </c>
    </row>
    <row r="3" ht="15" customHeight="1" s="17">
      <c r="A3" s="35" t="inlineStr">
        <is>
          <t>Instrument</t>
        </is>
      </c>
      <c r="B3" s="27" t="inlineStr">
        <is>
          <t>Depression Anxiety Stress Scales, 21 item version (DASS-21)</t>
        </is>
      </c>
    </row>
    <row r="4" ht="15" customHeight="1" s="17">
      <c r="A4" s="35" t="inlineStr">
        <is>
          <t>Code</t>
        </is>
      </c>
      <c r="B4" s="27" t="inlineStr">
        <is>
          <t>DASS-21</t>
        </is>
      </c>
    </row>
    <row r="5" ht="15" customHeight="1" s="17">
      <c r="A5" s="35" t="inlineStr">
        <is>
          <t>Domain</t>
        </is>
      </c>
      <c r="B5" s="27" t="inlineStr">
        <is>
          <t>4. Psychological distress screening</t>
        </is>
      </c>
    </row>
    <row r="6" ht="15" customHeight="1" s="17">
      <c r="A6" s="35" t="inlineStr">
        <is>
          <t>Availability</t>
        </is>
      </c>
      <c r="B6" s="27" t="inlineStr">
        <is>
          <t>Free / open access</t>
        </is>
      </c>
    </row>
    <row r="7" ht="75" customHeight="1" s="17">
      <c r="A7" s="35" t="inlineStr">
        <is>
          <t>Construct</t>
        </is>
      </c>
      <c r="B7" s="27" t="inlineStr">
        <is>
          <t>Three related negative emotional states over the past week: depression (dysphoria, hopelessness, devaluation of life, self deprecation, lack of interest or involvement, anhedonia, inertia), anxiety (autonomic arousal, skeletal muscle effects, situational anxiety, subjective experience of anxious affect) and stress (difficulty relaxing, nervous arousal, being easily upset or agitated, irritable or over reactive, impatient). Built on a dimensional rather than a categorical model of distress.</t>
        </is>
      </c>
    </row>
    <row r="8" ht="15" customHeight="1" s="17">
      <c r="A8" s="35" t="inlineStr">
        <is>
          <t>Respondent</t>
        </is>
      </c>
      <c r="B8" s="27" t="inlineStr">
        <is>
          <t>Self-report</t>
        </is>
      </c>
    </row>
    <row r="9" ht="15" customHeight="1" s="17">
      <c r="A9" s="35" t="inlineStr">
        <is>
          <t>Age range</t>
        </is>
      </c>
      <c r="B9" s="27" t="inlineStr">
        <is>
          <t>17+ (NovoPsych); adults and older adolescents</t>
        </is>
      </c>
    </row>
    <row r="10" ht="15" customHeight="1" s="17">
      <c r="A10" s="35" t="inlineStr">
        <is>
          <t>Items in instrument</t>
        </is>
      </c>
      <c r="B10" s="27" t="inlineStr">
        <is>
          <t>21</t>
        </is>
      </c>
    </row>
    <row r="11" ht="15" customHeight="1" s="17">
      <c r="A11" s="35" t="inlineStr">
        <is>
          <t>Items reproduced here</t>
        </is>
      </c>
      <c r="B11" s="27" t="inlineStr">
        <is>
          <t>21</t>
        </is>
      </c>
    </row>
    <row r="12" ht="15" customHeight="1" s="17">
      <c r="A12" s="35" t="inlineStr">
        <is>
          <t>Administration time</t>
        </is>
      </c>
      <c r="B12" s="27" t="inlineStr">
        <is>
          <t>4 minutes</t>
        </is>
      </c>
    </row>
    <row r="13" ht="75" customHeight="1" s="17">
      <c r="A13" s="35" t="inlineStr">
        <is>
          <t>Cost and access</t>
        </is>
      </c>
      <c r="B13" s="27" t="inlineStr">
        <is>
          <t>Public domain. The University of New South Wales DASS site states that the DASS questionnaire is in the public domain and may be downloaded from the site without charge. The form, scoring template and translations are free; only the printed manual is sold (AUD 55). NovoPsych also hosts the DASS-21 with automated scoring and reports for account holders. Charlotte Price Consulting administers it through a Tally form and scores it with the practice DASS-21 report builder.</t>
        </is>
      </c>
    </row>
    <row r="14" ht="90" customHeight="1" s="17">
      <c r="A14" s="35" t="inlineStr">
        <is>
          <t>Coaching application</t>
        </is>
      </c>
      <c r="B14" s="27" t="inlineStr">
        <is>
          <t>A brief screening measure to establish whether a client's current distress sits within the range coaching can safely hold, or whether a general practitioner or registered mental health practitioner should be involved before or alongside coaching. Scores describe the past week only, so a repeat administration is needed to separate a difficult week from a developing pattern. It is not a diagnostic instrument and does not assess suicide risk; items 10, 17 and 21 are followed up directly when endorsed at 2 or 3, as the practice report builder does.</t>
        </is>
      </c>
    </row>
    <row r="15" ht="75" customHeight="1" s="17">
      <c r="A15" s="35" t="inlineStr">
        <is>
          <t>Purpose</t>
        </is>
      </c>
      <c r="B15" s="27" t="inlineStr">
        <is>
          <t>The DASS was developed by Lovibond and Lovibond (1995) to measure the three related negative emotional states of depression, anxiety and stress, and to discriminate between them as fully as possible. The 21 item short form takes 7 items from each of the three 14 item scales of the full DASS-42. It is used across clinical, research and non clinical settings to describe current symptom severity and to track change over time, rather than to assign diagnostic categories.</t>
        </is>
      </c>
    </row>
    <row r="16" ht="45" customHeight="1" s="17">
      <c r="A16" s="35" t="inlineStr">
        <is>
          <t>Instructions / prompt</t>
        </is>
      </c>
      <c r="B16" s="27" t="inlineStr">
        <is>
          <t>Please read each statement and circle a number 0, 1, 2 or 3 which indicates how much the statement applied to you over the past week. There are no right or wrong answers. Do not spend too much time on any statement.</t>
        </is>
      </c>
    </row>
    <row r="17" ht="45" customHeight="1" s="17">
      <c r="A17" s="35" t="inlineStr">
        <is>
          <t>Response options</t>
        </is>
      </c>
      <c r="B17" s="27" t="inlineStr">
        <is>
          <t>Did not apply to me at all = 0 | Applied to me to some degree, or some of the time = 1 | Applied to me to a considerable degree, or a good part of time = 2 | Applied to me very much, or most of the time = 3</t>
        </is>
      </c>
    </row>
    <row r="18" ht="15" customHeight="1" s="17">
      <c r="A18" s="35" t="inlineStr">
        <is>
          <t>Reverse-scored items</t>
        </is>
      </c>
      <c r="B18" s="27" t="inlineStr">
        <is>
          <t>None</t>
        </is>
      </c>
    </row>
    <row r="19" ht="15" customHeight="1" s="17">
      <c r="A19" s="35" t="inlineStr">
        <is>
          <t>Filler items (not scored)</t>
        </is>
      </c>
      <c r="B19" s="27" t="inlineStr">
        <is>
          <t>None</t>
        </is>
      </c>
    </row>
    <row r="20" ht="75" customHeight="1" s="17">
      <c r="A20" s="35" t="inlineStr">
        <is>
          <t>Total scoring</t>
        </is>
      </c>
      <c r="B20" s="27" t="inlineStr">
        <is>
          <t>Each item is rated 0 to 3 for the past week. The 7 items of each subscale are summed (raw range 0 to 21) and the sum is multiplied by 2, placing each subscale on the same 0 to 42 range as the full DASS-42 so that the published severity labels can be applied. No items are reverse scored. A total distress score (sum of all 21 items, doubled) is sometimes reported but the three subscales are the primary outputs.</t>
        </is>
      </c>
    </row>
    <row r="21" ht="169.5" customHeight="1" s="17">
      <c r="A21" s="35" t="inlineStr">
        <is>
          <t>Interpretation bands</t>
        </is>
      </c>
      <c r="B21" s="27" t="inlineStr">
        <is>
          <t>Depression - Normal: 0-9 - Within the normal range for the general adult population.
Depression - Mild: 10-13 - Above the population mean; conventionally labelled mild.
Depression - Moderate: 14-20 - Clearly above the normal range; duration is the key clinical question.
Depression - Severe: 21-27 - Well above the normal range; clinical involvement is indicated.
Depression - Extremely severe: 28-42 - Highest severity band; clinical contact is the first step.
Anxiety - Normal: 0-7 - Within the normal range.
Anxiety - Mild: 8-9 - Above the population mean.
Anxiety - Moderate: 10-14 - Clearly above the normal range.
Anxiety - Severe: 15-19 - Well above the normal range; general practitioner review is also useful because several items are physical symptoms.
Anxiety - Extremely severe: 20-42 - Highest severity band.
Stress - Normal: 0-14 - Within the normal range.
Stress - Mild: 15-18 - Above the population mean.
Stress - Moderate: 19-25 - Clearly above the normal range; most responsive of the three to workload and structure.
Stress - Severe: 26-33 - Well above the normal range; sustained arousal at this level commonly precedes exhaustion.
Stress - Extremely severe: 34-42 - Highest severity band.</t>
        </is>
      </c>
    </row>
    <row r="22" ht="105" customHeight="1" s="17">
      <c r="A22" s="35" t="inlineStr">
        <is>
          <t>Cut-offs</t>
        </is>
      </c>
      <c r="B22" s="27" t="inlineStr">
        <is>
          <t>Severity labels (Lovibond &amp; Lovibond, 1995) applied to the doubled subscale score. Depression: Normal 0-9, Mild 10-13, Moderate 14-20, Severe 21-27, Extremely severe 28+. Anxiety: Normal 0-7, Mild 8-9, Moderate 10-14, Severe 15-19, Extremely severe 20+. Stress: Normal 0-14, Mild 15-18, Moderate 19-25, Severe 26-33, Extremely severe 34+. These are conventional descriptors of position relative to the population distribution (Normal to approximately the 78th percentile, Mild 78th to 87th, Moderate 87th to 95th, Severe 95th to 98th, Extremely severe 98th and above), not diagnostic thresholds. The DASS-21 contains no item on suicidal thinking and does not assess risk.</t>
        </is>
      </c>
    </row>
    <row r="23" ht="60" customHeight="1" s="17">
      <c r="A23" s="35" t="inlineStr">
        <is>
          <t>Normative data</t>
        </is>
      </c>
      <c r="B23" s="27" t="inlineStr">
        <is>
          <t>Henry and Crawford (2005): non clinical UK adult sample, n = 1,794, provided normative data for the DASS-21 and supported use of the three subscales plus a general distress factor. Antony et al. (1998): clinical groups and a community sample comparing the 42 and 21 item versions. The severity labels derive from the Australian normative work reported in the Lovibond and Lovibond (1995) manual.</t>
        </is>
      </c>
    </row>
    <row r="24" ht="120" customHeight="1" s="17">
      <c r="A24" s="35" t="inlineStr">
        <is>
          <t>Psychometric properties</t>
        </is>
      </c>
      <c r="B24" s="27" t="inlineStr">
        <is>
          <t>Internal consistency in the Henry and Crawford (2005) non clinical sample of 1,794 adults: Depression alpha = .88, Anxiety alpha = .82, Stress alpha = .90, total scale alpha = .93. Confirmatory factor analysis supported a quadripartite structure: three correlated specific factors plus a general negative affectivity factor. Antony et al. (1998) found the DASS-21 subscales reproduced the three factor structure of the full DASS in clinical and community samples, with alphas of .94 (Depression), .87 (Anxiety) and .91 (Stress), and the 21 item version showed a cleaner factor structure than the 42 item version. Brown et al. (1997) supported the three factor structure and discriminant validity in clinical samples.</t>
        </is>
      </c>
    </row>
    <row r="25" ht="30" customHeight="1" s="17">
      <c r="A25" s="35" t="inlineStr">
        <is>
          <t>Developer citation</t>
        </is>
      </c>
      <c r="B25" s="27" t="inlineStr">
        <is>
          <t>Lovibond, S. H., &amp; Lovibond, P. F. (1995). Manual for the Depression Anxiety Stress Scales (2nd ed.). Sydney: Psychology Foundation of Australia.</t>
        </is>
      </c>
    </row>
    <row r="26" ht="45" customHeight="1" s="17">
      <c r="A26" s="35" t="inlineStr">
        <is>
          <t>Copyright and licensing</t>
        </is>
      </c>
      <c r="B26" s="27" t="inlineStr">
        <is>
          <t>Public domain. The developers state on the official UNSW DASS site that the questionnaire is in the public domain and may be downloaded and used freely; the printed manual is the only priced item. Items reproduced here verbatim from the official DASS-21 form PDF.</t>
        </is>
      </c>
    </row>
    <row r="27" ht="15" customHeight="1" s="17">
      <c r="A27" s="35" t="inlineStr">
        <is>
          <t>Source URL</t>
        </is>
      </c>
      <c r="B27" s="27" t="inlineStr">
        <is>
          <t>https://www2.psy.unsw.edu.au/dass/</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I found it hard to wind down</t>
        </is>
      </c>
      <c r="C30" s="27" t="inlineStr">
        <is>
          <t>Stress</t>
        </is>
      </c>
      <c r="D30" s="27" t="inlineStr">
        <is>
          <t>FALSE</t>
        </is>
      </c>
      <c r="E30" s="27" t="inlineStr">
        <is>
          <t>FALSE</t>
        </is>
      </c>
      <c r="F30" s="27" t="n"/>
    </row>
    <row r="31" ht="15" customHeight="1" s="17">
      <c r="A31" s="28" t="n">
        <v>2</v>
      </c>
      <c r="B31" s="27" t="inlineStr">
        <is>
          <t>I was aware of dryness of my mouth</t>
        </is>
      </c>
      <c r="C31" s="27" t="inlineStr">
        <is>
          <t>Anxiety</t>
        </is>
      </c>
      <c r="D31" s="27" t="inlineStr">
        <is>
          <t>FALSE</t>
        </is>
      </c>
      <c r="E31" s="27" t="inlineStr">
        <is>
          <t>FALSE</t>
        </is>
      </c>
      <c r="F31" s="27" t="n"/>
    </row>
    <row r="32" ht="15" customHeight="1" s="17">
      <c r="A32" s="28" t="n">
        <v>3</v>
      </c>
      <c r="B32" s="27" t="inlineStr">
        <is>
          <t>I couldn't seem to experience any positive feeling at all</t>
        </is>
      </c>
      <c r="C32" s="27" t="inlineStr">
        <is>
          <t>Depression</t>
        </is>
      </c>
      <c r="D32" s="27" t="inlineStr">
        <is>
          <t>FALSE</t>
        </is>
      </c>
      <c r="E32" s="27" t="inlineStr">
        <is>
          <t>FALSE</t>
        </is>
      </c>
      <c r="F32" s="27" t="n"/>
    </row>
    <row r="33" ht="23.85" customHeight="1" s="17">
      <c r="A33" s="28" t="n">
        <v>4</v>
      </c>
      <c r="B33" s="27" t="inlineStr">
        <is>
          <t>I experienced breathing difficulty (eg, excessively rapid breathing, breathlessness in the absence of physical exertion)</t>
        </is>
      </c>
      <c r="C33" s="27" t="inlineStr">
        <is>
          <t>Anxiety</t>
        </is>
      </c>
      <c r="D33" s="27" t="inlineStr">
        <is>
          <t>FALSE</t>
        </is>
      </c>
      <c r="E33" s="27" t="inlineStr">
        <is>
          <t>FALSE</t>
        </is>
      </c>
      <c r="F33" s="27" t="n"/>
    </row>
    <row r="34" ht="15" customHeight="1" s="17">
      <c r="A34" s="28" t="n">
        <v>5</v>
      </c>
      <c r="B34" s="27" t="inlineStr">
        <is>
          <t>I found it difficult to work up the initiative to do things</t>
        </is>
      </c>
      <c r="C34" s="27" t="inlineStr">
        <is>
          <t>Depression</t>
        </is>
      </c>
      <c r="D34" s="27" t="inlineStr">
        <is>
          <t>FALSE</t>
        </is>
      </c>
      <c r="E34" s="27" t="inlineStr">
        <is>
          <t>FALSE</t>
        </is>
      </c>
      <c r="F34" s="27" t="n"/>
    </row>
    <row r="35" ht="15" customHeight="1" s="17">
      <c r="A35" s="28" t="n">
        <v>6</v>
      </c>
      <c r="B35" s="27" t="inlineStr">
        <is>
          <t>I tended to over-react to situations</t>
        </is>
      </c>
      <c r="C35" s="27" t="inlineStr">
        <is>
          <t>Stress</t>
        </is>
      </c>
      <c r="D35" s="27" t="inlineStr">
        <is>
          <t>FALSE</t>
        </is>
      </c>
      <c r="E35" s="27" t="inlineStr">
        <is>
          <t>FALSE</t>
        </is>
      </c>
      <c r="F35" s="27" t="n"/>
    </row>
    <row r="36" ht="15" customHeight="1" s="17">
      <c r="A36" s="28" t="n">
        <v>7</v>
      </c>
      <c r="B36" s="27" t="inlineStr">
        <is>
          <t>I experienced trembling (eg, in the hands)</t>
        </is>
      </c>
      <c r="C36" s="27" t="inlineStr">
        <is>
          <t>Anxiety</t>
        </is>
      </c>
      <c r="D36" s="27" t="inlineStr">
        <is>
          <t>FALSE</t>
        </is>
      </c>
      <c r="E36" s="27" t="inlineStr">
        <is>
          <t>FALSE</t>
        </is>
      </c>
      <c r="F36" s="27" t="n"/>
    </row>
    <row r="37" ht="15" customHeight="1" s="17">
      <c r="A37" s="28" t="n">
        <v>8</v>
      </c>
      <c r="B37" s="27" t="inlineStr">
        <is>
          <t>I felt that I was using a lot of nervous energy</t>
        </is>
      </c>
      <c r="C37" s="27" t="inlineStr">
        <is>
          <t>Stress</t>
        </is>
      </c>
      <c r="D37" s="27" t="inlineStr">
        <is>
          <t>FALSE</t>
        </is>
      </c>
      <c r="E37" s="27" t="inlineStr">
        <is>
          <t>FALSE</t>
        </is>
      </c>
      <c r="F37" s="27" t="n"/>
    </row>
    <row r="38" ht="15" customHeight="1" s="17">
      <c r="A38" s="28" t="n">
        <v>9</v>
      </c>
      <c r="B38" s="27" t="inlineStr">
        <is>
          <t>I was worried about situations in which I might panic and make a fool of myself</t>
        </is>
      </c>
      <c r="C38" s="27" t="inlineStr">
        <is>
          <t>Anxiety</t>
        </is>
      </c>
      <c r="D38" s="27" t="inlineStr">
        <is>
          <t>FALSE</t>
        </is>
      </c>
      <c r="E38" s="27" t="inlineStr">
        <is>
          <t>FALSE</t>
        </is>
      </c>
      <c r="F38" s="27" t="n"/>
    </row>
    <row r="39" ht="15" customHeight="1" s="17">
      <c r="A39" s="28" t="n">
        <v>10</v>
      </c>
      <c r="B39" s="27" t="inlineStr">
        <is>
          <t>I felt that I had nothing to look forward to</t>
        </is>
      </c>
      <c r="C39" s="27" t="inlineStr">
        <is>
          <t>Depression</t>
        </is>
      </c>
      <c r="D39" s="27" t="inlineStr">
        <is>
          <t>FALSE</t>
        </is>
      </c>
      <c r="E39" s="27" t="inlineStr">
        <is>
          <t>FALSE</t>
        </is>
      </c>
      <c r="F39" s="27" t="inlineStr">
        <is>
          <t>Followed up directly when endorsed at 2 or 3 (practice protocol).</t>
        </is>
      </c>
    </row>
    <row r="40" ht="15" customHeight="1" s="17">
      <c r="A40" s="28" t="n">
        <v>11</v>
      </c>
      <c r="B40" s="27" t="inlineStr">
        <is>
          <t>I found myself getting agitated</t>
        </is>
      </c>
      <c r="C40" s="27" t="inlineStr">
        <is>
          <t>Stress</t>
        </is>
      </c>
      <c r="D40" s="27" t="inlineStr">
        <is>
          <t>FALSE</t>
        </is>
      </c>
      <c r="E40" s="27" t="inlineStr">
        <is>
          <t>FALSE</t>
        </is>
      </c>
      <c r="F40" s="27" t="n"/>
    </row>
    <row r="41" ht="15" customHeight="1" s="17">
      <c r="A41" s="28" t="n">
        <v>12</v>
      </c>
      <c r="B41" s="27" t="inlineStr">
        <is>
          <t>I found it difficult to relax</t>
        </is>
      </c>
      <c r="C41" s="27" t="inlineStr">
        <is>
          <t>Stress</t>
        </is>
      </c>
      <c r="D41" s="27" t="inlineStr">
        <is>
          <t>FALSE</t>
        </is>
      </c>
      <c r="E41" s="27" t="inlineStr">
        <is>
          <t>FALSE</t>
        </is>
      </c>
      <c r="F41" s="27" t="n"/>
    </row>
    <row r="42" ht="15" customHeight="1" s="17">
      <c r="A42" s="28" t="n">
        <v>13</v>
      </c>
      <c r="B42" s="27" t="inlineStr">
        <is>
          <t>I felt down-hearted and blue</t>
        </is>
      </c>
      <c r="C42" s="27" t="inlineStr">
        <is>
          <t>Depression</t>
        </is>
      </c>
      <c r="D42" s="27" t="inlineStr">
        <is>
          <t>FALSE</t>
        </is>
      </c>
      <c r="E42" s="27" t="inlineStr">
        <is>
          <t>FALSE</t>
        </is>
      </c>
      <c r="F42" s="27" t="n"/>
    </row>
    <row r="43" ht="15" customHeight="1" s="17">
      <c r="A43" s="28" t="n">
        <v>14</v>
      </c>
      <c r="B43" s="27" t="inlineStr">
        <is>
          <t>I was intolerant of anything that kept me from getting on with what I was doing</t>
        </is>
      </c>
      <c r="C43" s="27" t="inlineStr">
        <is>
          <t>Stress</t>
        </is>
      </c>
      <c r="D43" s="27" t="inlineStr">
        <is>
          <t>FALSE</t>
        </is>
      </c>
      <c r="E43" s="27" t="inlineStr">
        <is>
          <t>FALSE</t>
        </is>
      </c>
      <c r="F43" s="27" t="n"/>
    </row>
    <row r="44" ht="15" customHeight="1" s="17">
      <c r="A44" s="28" t="n">
        <v>15</v>
      </c>
      <c r="B44" s="27" t="inlineStr">
        <is>
          <t>I felt I was close to panic</t>
        </is>
      </c>
      <c r="C44" s="27" t="inlineStr">
        <is>
          <t>Anxiety</t>
        </is>
      </c>
      <c r="D44" s="27" t="inlineStr">
        <is>
          <t>FALSE</t>
        </is>
      </c>
      <c r="E44" s="27" t="inlineStr">
        <is>
          <t>FALSE</t>
        </is>
      </c>
      <c r="F44" s="27" t="n"/>
    </row>
    <row r="45" ht="15" customHeight="1" s="17">
      <c r="A45" s="28" t="n">
        <v>16</v>
      </c>
      <c r="B45" s="27" t="inlineStr">
        <is>
          <t>I was unable to become enthusiastic about anything</t>
        </is>
      </c>
      <c r="C45" s="27" t="inlineStr">
        <is>
          <t>Depression</t>
        </is>
      </c>
      <c r="D45" s="27" t="inlineStr">
        <is>
          <t>FALSE</t>
        </is>
      </c>
      <c r="E45" s="27" t="inlineStr">
        <is>
          <t>FALSE</t>
        </is>
      </c>
      <c r="F45" s="27" t="n"/>
    </row>
    <row r="46" ht="15" customHeight="1" s="17">
      <c r="A46" s="28" t="n">
        <v>17</v>
      </c>
      <c r="B46" s="27" t="inlineStr">
        <is>
          <t>I felt I wasn't worth much as a person</t>
        </is>
      </c>
      <c r="C46" s="27" t="inlineStr">
        <is>
          <t>Depression</t>
        </is>
      </c>
      <c r="D46" s="27" t="inlineStr">
        <is>
          <t>FALSE</t>
        </is>
      </c>
      <c r="E46" s="27" t="inlineStr">
        <is>
          <t>FALSE</t>
        </is>
      </c>
      <c r="F46" s="27" t="inlineStr">
        <is>
          <t>Followed up directly when endorsed at 2 or 3 (practice protocol).</t>
        </is>
      </c>
    </row>
    <row r="47" ht="15" customHeight="1" s="17">
      <c r="A47" s="28" t="n">
        <v>18</v>
      </c>
      <c r="B47" s="27" t="inlineStr">
        <is>
          <t>I felt that I was rather touchy</t>
        </is>
      </c>
      <c r="C47" s="27" t="inlineStr">
        <is>
          <t>Stress</t>
        </is>
      </c>
      <c r="D47" s="27" t="inlineStr">
        <is>
          <t>FALSE</t>
        </is>
      </c>
      <c r="E47" s="27" t="inlineStr">
        <is>
          <t>FALSE</t>
        </is>
      </c>
      <c r="F47" s="27" t="n"/>
    </row>
    <row r="48" ht="23.85" customHeight="1" s="17">
      <c r="A48" s="28" t="n">
        <v>19</v>
      </c>
      <c r="B48" s="27" t="inlineStr">
        <is>
          <t>I was aware of the action of my heart in the absence of physical exertion (eg, sense of heart rate increase, heart missing a beat)</t>
        </is>
      </c>
      <c r="C48" s="27" t="inlineStr">
        <is>
          <t>Anxiety</t>
        </is>
      </c>
      <c r="D48" s="27" t="inlineStr">
        <is>
          <t>FALSE</t>
        </is>
      </c>
      <c r="E48" s="27" t="inlineStr">
        <is>
          <t>FALSE</t>
        </is>
      </c>
      <c r="F48" s="27" t="n"/>
    </row>
    <row r="49" ht="15" customHeight="1" s="17">
      <c r="A49" s="28" t="n">
        <v>20</v>
      </c>
      <c r="B49" s="27" t="inlineStr">
        <is>
          <t>I felt scared without any good reason</t>
        </is>
      </c>
      <c r="C49" s="27" t="inlineStr">
        <is>
          <t>Anxiety</t>
        </is>
      </c>
      <c r="D49" s="27" t="inlineStr">
        <is>
          <t>FALSE</t>
        </is>
      </c>
      <c r="E49" s="27" t="inlineStr">
        <is>
          <t>FALSE</t>
        </is>
      </c>
      <c r="F49" s="27" t="n"/>
    </row>
    <row r="50" ht="15" customHeight="1" s="17">
      <c r="A50" s="28" t="n">
        <v>21</v>
      </c>
      <c r="B50" s="27" t="inlineStr">
        <is>
          <t>I felt that life was meaningless</t>
        </is>
      </c>
      <c r="C50" s="27" t="inlineStr">
        <is>
          <t>Depression</t>
        </is>
      </c>
      <c r="D50" s="27" t="inlineStr">
        <is>
          <t>FALSE</t>
        </is>
      </c>
      <c r="E50" s="27" t="inlineStr">
        <is>
          <t>FALSE</t>
        </is>
      </c>
      <c r="F50" s="27" t="inlineStr">
        <is>
          <t>Followed up directly when endorsed at 2 or 3 (practice protocol).</t>
        </is>
      </c>
    </row>
  </sheetData>
  <autoFilter ref="A29:F5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F44"/>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Perseverative Thinking Questionnaire</t>
        </is>
      </c>
    </row>
    <row r="3" ht="15" customHeight="1" s="17">
      <c r="A3" s="35" t="inlineStr">
        <is>
          <t>Instrument</t>
        </is>
      </c>
      <c r="B3" s="27" t="inlineStr">
        <is>
          <t>Perseverative Thinking Questionnaire</t>
        </is>
      </c>
    </row>
    <row r="4" ht="15" customHeight="1" s="17">
      <c r="A4" s="35" t="inlineStr">
        <is>
          <t>Code</t>
        </is>
      </c>
      <c r="B4" s="27" t="inlineStr">
        <is>
          <t>PTQ</t>
        </is>
      </c>
    </row>
    <row r="5" ht="15" customHeight="1" s="17">
      <c r="A5" s="35" t="inlineStr">
        <is>
          <t>Domain</t>
        </is>
      </c>
      <c r="B5" s="27" t="inlineStr">
        <is>
          <t>5. Repetitive negative thinking and self talk</t>
        </is>
      </c>
    </row>
    <row r="6" ht="15" customHeight="1" s="17">
      <c r="A6" s="35" t="inlineStr">
        <is>
          <t>Availability</t>
        </is>
      </c>
      <c r="B6" s="27" t="inlineStr">
        <is>
          <t>Free / open access</t>
        </is>
      </c>
    </row>
    <row r="7" ht="45" customHeight="1" s="17">
      <c r="A7" s="35" t="inlineStr">
        <is>
          <t>Construct</t>
        </is>
      </c>
      <c r="B7" s="27" t="inlineStr">
        <is>
          <t>Repetitive negative thinking (RNT), measured as a content-independent process (applies equally to worry, rumination, or any other form of repetitive negative thought about problems), rather than a specific symptom or diagnostic construct.</t>
        </is>
      </c>
    </row>
    <row r="8" ht="15" customHeight="1" s="17">
      <c r="A8" s="35" t="inlineStr">
        <is>
          <t>Respondent</t>
        </is>
      </c>
      <c r="B8" s="27" t="inlineStr">
        <is>
          <t>Adult self-report</t>
        </is>
      </c>
    </row>
    <row r="9" ht="30" customHeight="1" s="17">
      <c r="A9" s="35" t="inlineStr">
        <is>
          <t>Age range</t>
        </is>
      </c>
      <c r="B9" s="27" t="inlineStr">
        <is>
          <t>Not stated in the source article. Validation samples were adult (internet, non-clinical, clinical, and English-language) populations; no minimum/maximum age is specified in the text retrieved.</t>
        </is>
      </c>
    </row>
    <row r="10" ht="15" customHeight="1" s="17">
      <c r="A10" s="35" t="inlineStr">
        <is>
          <t>Items in instrument</t>
        </is>
      </c>
      <c r="B10" s="27" t="inlineStr">
        <is>
          <t>15</t>
        </is>
      </c>
    </row>
    <row r="11" ht="15" customHeight="1" s="17">
      <c r="A11" s="35" t="inlineStr">
        <is>
          <t>Items reproduced here</t>
        </is>
      </c>
      <c r="B11" s="27" t="inlineStr">
        <is>
          <t>15</t>
        </is>
      </c>
    </row>
    <row r="12" ht="30" customHeight="1" s="17">
      <c r="A12" s="35" t="inlineStr">
        <is>
          <t>Administration time</t>
        </is>
      </c>
      <c r="B12" s="27" t="inlineStr">
        <is>
          <t>Not stated in the source. A brief 15-item self-report measure, typically completed in a few minutes.</t>
        </is>
      </c>
    </row>
    <row r="13" ht="120" customHeight="1" s="17">
      <c r="A13" s="35" t="inlineStr">
        <is>
          <t>Cost and access</t>
        </is>
      </c>
      <c r="B13" s="27" t="inlineStr">
        <is>
          <t>No formal licensing or fee-for-use process was found. The hosted PDF (via OxCADAT Resources, a University of Oxford-affiliated trauma/CBT resource site) carries the standard journal notice "© 2010 Elsevier Ltd. All rights reserved." from Journal of Behavior Therapy and Experimental Psychiatry. No explicit blanket grant for commercial or paid-coaching administration was found in the source, but equally no restriction on non-research/practitioner use was stated; the measure is very widely reproduced in open clinical and training materials without visible enforcement. For a paid coaching practice, treat as reasonably low-risk to administer informally with citation, but not as a confirmed formal commercial licence. Licensing note: Free / open access, with a standard journal copyright notice</t>
        </is>
      </c>
    </row>
    <row r="14" ht="120" customHeight="1" s="17">
      <c r="A14" s="35" t="inlineStr">
        <is>
          <t>Coaching application</t>
        </is>
      </c>
      <c r="B14" s="27" t="inlineStr">
        <is>
          <t>The PTQ is useful in coaching as a transdiagnostic check on whether a student or early-career client is getting cognitively "stuck" in repetitive negative thinking about study, performance or career worries, independent of the topic they are ruminating on. Its brevity and content-neutral wording make it easy to reuse across sessions to track whether coaching strategies are reducing the repetitive, unproductive quality of the thinking rather than the topic itself. It is a process measure, not a diagnostic or symptom-severity tool, so elevated scores should prompt a coaching conversation about thinking patterns rather than a clinical judgement, and persistent high scores alongside distress should prompt referral consideration.</t>
        </is>
      </c>
    </row>
    <row r="15" ht="90" customHeight="1" s="17">
      <c r="A15" s="35" t="inlineStr">
        <is>
          <t>Purpose</t>
        </is>
      </c>
      <c r="B15" s="27" t="inlineStr">
        <is>
          <t>The PTQ was developed to measure repetitive negative thinking (RNT) as a content-independent process common to worry, rumination and related forms of perseverative thought, rather than measuring a specific content domain (e.g. depressive rumination or anxious worry). It captures three lower-order aspects of RNT: its core repetitive/intrusive characteristics, its perceived unproductiveness, and the degree to which it captures mental capacity. It was designed to be usable across clinical and research contexts where a single content-independent RNT measure is needed.</t>
        </is>
      </c>
    </row>
    <row r="16" ht="45" customHeight="1" s="17">
      <c r="A16" s="35" t="inlineStr">
        <is>
          <t>Instructions / prompt</t>
        </is>
      </c>
      <c r="B16" s="27" t="inlineStr">
        <is>
          <t>In this questionnaire, you will be asked to describe how you typically think about negative experiences or problems. Please read the following statements and rate the extent to which they apply to you when you think about negative experiences or problems.</t>
        </is>
      </c>
    </row>
    <row r="17" ht="15" customHeight="1" s="17">
      <c r="A17" s="35" t="inlineStr">
        <is>
          <t>Response options</t>
        </is>
      </c>
      <c r="B17" s="27" t="inlineStr">
        <is>
          <t>never = 0 | rarely = 1 | sometimes = 2 | often = 3 | almost always = 4</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Total PTQ score is the sum of all 15 items (range 0-60), computed as recommended in the source article. Each of the three subscale scores is the sum of its own items (each subscale range 0-36 for Core Characteristics, 0-12 for the other two).</t>
        </is>
      </c>
    </row>
    <row r="21" ht="15" customHeight="1" s="17">
      <c r="A21" s="35" t="inlineStr">
        <is>
          <t>Interpretation bands</t>
        </is>
      </c>
      <c r="B21" s="27" t="inlineStr">
        <is>
          <t>Not stated on source</t>
        </is>
      </c>
    </row>
    <row r="22" ht="30" customHeight="1" s="17">
      <c r="A22" s="35" t="inlineStr">
        <is>
          <t>Cut-offs</t>
        </is>
      </c>
      <c r="B22" s="27" t="inlineStr">
        <is>
          <t>No clinical cutoff scores or interpretive bands were reported in the source article that was fetched.</t>
        </is>
      </c>
    </row>
    <row r="23" ht="60" customHeight="1" s="17">
      <c r="A23" s="35" t="inlineStr">
        <is>
          <t>Normative data</t>
        </is>
      </c>
      <c r="B23" s="27" t="inlineStr">
        <is>
          <t>No published normative means/SDs by population were reported in the source article beyond describing four validation samples: an internet sample, a German non-clinical sample, a German clinical sample, and an English-language sample, totalling N = 1,832 across Study 1 and Study 2. Exact per-sample means/SDs were not extractable from the fetched text.</t>
        </is>
      </c>
    </row>
    <row r="24" ht="45" customHeight="1" s="17">
      <c r="A24" s="35" t="inlineStr">
        <is>
          <t>Psychometric properties</t>
        </is>
      </c>
      <c r="B24" s="27" t="inlineStr">
        <is>
          <t>Internal consistency: Cronbach's alpha = .95 (Study 1, internet sample), .94 (Study 1, non-clinical sample), .95 (Study 1, clinical sample), .95 (Study 2, English-language sample). Test-retest reliability over a 4-week interval: r = .69, p &lt; .001 (n = 186). (Ehring et al., 2011.)</t>
        </is>
      </c>
    </row>
    <row r="25" ht="60" customHeight="1" s="17">
      <c r="A25" s="35" t="inlineStr">
        <is>
          <t>Developer citation</t>
        </is>
      </c>
      <c r="B25" s="27" t="inlineStr">
        <is>
          <t>Ehring, T., Zetsche, U., Weidacker, K., Wahl, K., Schönfeld, S., &amp; Ehlers, A. (2011). The Perseverative Thinking Questionnaire (PTQ): Validation of a content-independent measure of repetitive negative thinking. Journal of Behavior Therapy and Experimental Psychiatry, 42(2), 225–232. https://doi.org/10.1016/j.jbtep.2010.12.003</t>
        </is>
      </c>
    </row>
    <row r="26" ht="45" customHeight="1" s="17">
      <c r="A26" s="35" t="inlineStr">
        <is>
          <t>Copyright and licensing</t>
        </is>
      </c>
      <c r="B26" s="27" t="inlineStr">
        <is>
          <t>© 2010 Elsevier Ltd. All rights reserved. (Copyright notice appears on the hosted article/PDF; no separate explicit permission statement for reproduction, non-commercial use, or commercial/coaching administration was found in the fetched source.)</t>
        </is>
      </c>
    </row>
    <row r="27" ht="15" customHeight="1" s="17">
      <c r="A27" s="35" t="inlineStr">
        <is>
          <t>Source URL</t>
        </is>
      </c>
      <c r="B27" s="27" t="inlineStr">
        <is>
          <t>https://oxcadatresources.com/wp-content/uploads/2020/09/EhringetalRuminationQuestionnaire.2011.pdf</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The same thoughts keep going through my mind again and again.</t>
        </is>
      </c>
      <c r="C30" s="27" t="inlineStr">
        <is>
          <t>Core Characteristics of Repetitive Negative Thinking</t>
        </is>
      </c>
      <c r="D30" s="27" t="inlineStr">
        <is>
          <t>FALSE</t>
        </is>
      </c>
      <c r="E30" s="27" t="inlineStr">
        <is>
          <t>FALSE</t>
        </is>
      </c>
      <c r="F30" s="27" t="n"/>
    </row>
    <row r="31" ht="23.85" customHeight="1" s="17">
      <c r="A31" s="28" t="n">
        <v>2</v>
      </c>
      <c r="B31" s="27" t="inlineStr">
        <is>
          <t>Thoughts intrude into my mind.</t>
        </is>
      </c>
      <c r="C31" s="27" t="inlineStr">
        <is>
          <t>Core Characteristics of Repetitive Negative Thinking</t>
        </is>
      </c>
      <c r="D31" s="27" t="inlineStr">
        <is>
          <t>FALSE</t>
        </is>
      </c>
      <c r="E31" s="27" t="inlineStr">
        <is>
          <t>FALSE</t>
        </is>
      </c>
      <c r="F31" s="27" t="n"/>
    </row>
    <row r="32" ht="23.85" customHeight="1" s="17">
      <c r="A32" s="28" t="n">
        <v>3</v>
      </c>
      <c r="B32" s="27" t="inlineStr">
        <is>
          <t>I can't stop dwelling on them.</t>
        </is>
      </c>
      <c r="C32" s="27" t="inlineStr">
        <is>
          <t>Core Characteristics of Repetitive Negative Thinking</t>
        </is>
      </c>
      <c r="D32" s="27" t="inlineStr">
        <is>
          <t>FALSE</t>
        </is>
      </c>
      <c r="E32" s="27" t="inlineStr">
        <is>
          <t>FALSE</t>
        </is>
      </c>
      <c r="F32" s="27" t="n"/>
    </row>
    <row r="33" ht="15" customHeight="1" s="17">
      <c r="A33" s="28" t="n">
        <v>4</v>
      </c>
      <c r="B33" s="27" t="inlineStr">
        <is>
          <t>I think about many problems without solving any of them.</t>
        </is>
      </c>
      <c r="C33" s="27" t="inlineStr">
        <is>
          <t>Unproductiveness</t>
        </is>
      </c>
      <c r="D33" s="27" t="inlineStr">
        <is>
          <t>FALSE</t>
        </is>
      </c>
      <c r="E33" s="27" t="inlineStr">
        <is>
          <t>FALSE</t>
        </is>
      </c>
      <c r="F33" s="27" t="n"/>
    </row>
    <row r="34" ht="15" customHeight="1" s="17">
      <c r="A34" s="28" t="n">
        <v>5</v>
      </c>
      <c r="B34" s="27" t="inlineStr">
        <is>
          <t>I can't do anything else while thinking about my problems.</t>
        </is>
      </c>
      <c r="C34" s="27" t="inlineStr">
        <is>
          <t>Capturing Mental Capacity</t>
        </is>
      </c>
      <c r="D34" s="27" t="inlineStr">
        <is>
          <t>FALSE</t>
        </is>
      </c>
      <c r="E34" s="27" t="inlineStr">
        <is>
          <t>FALSE</t>
        </is>
      </c>
      <c r="F34" s="27" t="n"/>
    </row>
    <row r="35" ht="23.85" customHeight="1" s="17">
      <c r="A35" s="28" t="n">
        <v>6</v>
      </c>
      <c r="B35" s="27" t="inlineStr">
        <is>
          <t>My thoughts repeat themselves.</t>
        </is>
      </c>
      <c r="C35" s="27" t="inlineStr">
        <is>
          <t>Core Characteristics of Repetitive Negative Thinking</t>
        </is>
      </c>
      <c r="D35" s="27" t="inlineStr">
        <is>
          <t>FALSE</t>
        </is>
      </c>
      <c r="E35" s="27" t="inlineStr">
        <is>
          <t>FALSE</t>
        </is>
      </c>
      <c r="F35" s="27" t="n"/>
    </row>
    <row r="36" ht="23.85" customHeight="1" s="17">
      <c r="A36" s="28" t="n">
        <v>7</v>
      </c>
      <c r="B36" s="27" t="inlineStr">
        <is>
          <t>Thoughts come to my mind without me wanting them to.</t>
        </is>
      </c>
      <c r="C36" s="27" t="inlineStr">
        <is>
          <t>Core Characteristics of Repetitive Negative Thinking</t>
        </is>
      </c>
      <c r="D36" s="27" t="inlineStr">
        <is>
          <t>FALSE</t>
        </is>
      </c>
      <c r="E36" s="27" t="inlineStr">
        <is>
          <t>FALSE</t>
        </is>
      </c>
      <c r="F36" s="27" t="n"/>
    </row>
    <row r="37" ht="23.85" customHeight="1" s="17">
      <c r="A37" s="28" t="n">
        <v>8</v>
      </c>
      <c r="B37" s="27" t="inlineStr">
        <is>
          <t>I get stuck on certain issues and can't move on.</t>
        </is>
      </c>
      <c r="C37" s="27" t="inlineStr">
        <is>
          <t>Core Characteristics of Repetitive Negative Thinking</t>
        </is>
      </c>
      <c r="D37" s="27" t="inlineStr">
        <is>
          <t>FALSE</t>
        </is>
      </c>
      <c r="E37" s="27" t="inlineStr">
        <is>
          <t>FALSE</t>
        </is>
      </c>
      <c r="F37" s="27" t="n"/>
    </row>
    <row r="38" ht="15" customHeight="1" s="17">
      <c r="A38" s="28" t="n">
        <v>9</v>
      </c>
      <c r="B38" s="27" t="inlineStr">
        <is>
          <t>I keep asking myself questions without finding an answer.</t>
        </is>
      </c>
      <c r="C38" s="27" t="inlineStr">
        <is>
          <t>Unproductiveness</t>
        </is>
      </c>
      <c r="D38" s="27" t="inlineStr">
        <is>
          <t>FALSE</t>
        </is>
      </c>
      <c r="E38" s="27" t="inlineStr">
        <is>
          <t>FALSE</t>
        </is>
      </c>
      <c r="F38" s="27" t="n"/>
    </row>
    <row r="39" ht="15" customHeight="1" s="17">
      <c r="A39" s="28" t="n">
        <v>10</v>
      </c>
      <c r="B39" s="27" t="inlineStr">
        <is>
          <t>My thoughts prevent me from focusing on other things.</t>
        </is>
      </c>
      <c r="C39" s="27" t="inlineStr">
        <is>
          <t>Capturing Mental Capacity</t>
        </is>
      </c>
      <c r="D39" s="27" t="inlineStr">
        <is>
          <t>FALSE</t>
        </is>
      </c>
      <c r="E39" s="27" t="inlineStr">
        <is>
          <t>FALSE</t>
        </is>
      </c>
      <c r="F39" s="27" t="n"/>
    </row>
    <row r="40" ht="23.85" customHeight="1" s="17">
      <c r="A40" s="28" t="n">
        <v>11</v>
      </c>
      <c r="B40" s="27" t="inlineStr">
        <is>
          <t>I keep thinking about the same issue all the time.</t>
        </is>
      </c>
      <c r="C40" s="27" t="inlineStr">
        <is>
          <t>Core Characteristics of Repetitive Negative Thinking</t>
        </is>
      </c>
      <c r="D40" s="27" t="inlineStr">
        <is>
          <t>FALSE</t>
        </is>
      </c>
      <c r="E40" s="27" t="inlineStr">
        <is>
          <t>FALSE</t>
        </is>
      </c>
      <c r="F40" s="27" t="n"/>
    </row>
    <row r="41" ht="23.85" customHeight="1" s="17">
      <c r="A41" s="28" t="n">
        <v>12</v>
      </c>
      <c r="B41" s="27" t="inlineStr">
        <is>
          <t>Thoughts just pop into my mind.</t>
        </is>
      </c>
      <c r="C41" s="27" t="inlineStr">
        <is>
          <t>Core Characteristics of Repetitive Negative Thinking</t>
        </is>
      </c>
      <c r="D41" s="27" t="inlineStr">
        <is>
          <t>FALSE</t>
        </is>
      </c>
      <c r="E41" s="27" t="inlineStr">
        <is>
          <t>FALSE</t>
        </is>
      </c>
      <c r="F41" s="27" t="n"/>
    </row>
    <row r="42" ht="23.85" customHeight="1" s="17">
      <c r="A42" s="28" t="n">
        <v>13</v>
      </c>
      <c r="B42" s="27" t="inlineStr">
        <is>
          <t>I feel driven to continue dwelling on the same issue.</t>
        </is>
      </c>
      <c r="C42" s="27" t="inlineStr">
        <is>
          <t>Core Characteristics of Repetitive Negative Thinking</t>
        </is>
      </c>
      <c r="D42" s="27" t="inlineStr">
        <is>
          <t>FALSE</t>
        </is>
      </c>
      <c r="E42" s="27" t="inlineStr">
        <is>
          <t>FALSE</t>
        </is>
      </c>
      <c r="F42" s="27" t="n"/>
    </row>
    <row r="43" ht="15" customHeight="1" s="17">
      <c r="A43" s="28" t="n">
        <v>14</v>
      </c>
      <c r="B43" s="27" t="inlineStr">
        <is>
          <t>My thoughts are not much help to me.</t>
        </is>
      </c>
      <c r="C43" s="27" t="inlineStr">
        <is>
          <t>Unproductiveness</t>
        </is>
      </c>
      <c r="D43" s="27" t="inlineStr">
        <is>
          <t>FALSE</t>
        </is>
      </c>
      <c r="E43" s="27" t="inlineStr">
        <is>
          <t>FALSE</t>
        </is>
      </c>
      <c r="F43" s="27" t="n"/>
    </row>
    <row r="44" ht="15" customHeight="1" s="17">
      <c r="A44" s="28" t="n">
        <v>15</v>
      </c>
      <c r="B44" s="27" t="inlineStr">
        <is>
          <t>My thoughts take up all my attention.</t>
        </is>
      </c>
      <c r="C44" s="27" t="inlineStr">
        <is>
          <t>Capturing Mental Capacity</t>
        </is>
      </c>
      <c r="D44" s="27" t="inlineStr">
        <is>
          <t>FALSE</t>
        </is>
      </c>
      <c r="E44" s="27" t="inlineStr">
        <is>
          <t>FALSE</t>
        </is>
      </c>
      <c r="F44" s="27" t="n"/>
    </row>
  </sheetData>
  <autoFilter ref="A29:F4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F51"/>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Ruminative Responses Scale</t>
        </is>
      </c>
    </row>
    <row r="3" ht="15" customHeight="1" s="17">
      <c r="A3" s="35" t="inlineStr">
        <is>
          <t>Instrument</t>
        </is>
      </c>
      <c r="B3" s="27" t="inlineStr">
        <is>
          <t>Ruminative Responses Scale</t>
        </is>
      </c>
    </row>
    <row r="4" ht="15" customHeight="1" s="17">
      <c r="A4" s="35" t="inlineStr">
        <is>
          <t>Code</t>
        </is>
      </c>
      <c r="B4" s="27" t="inlineStr">
        <is>
          <t>RRS</t>
        </is>
      </c>
    </row>
    <row r="5" ht="15" customHeight="1" s="17">
      <c r="A5" s="35" t="inlineStr">
        <is>
          <t>Domain</t>
        </is>
      </c>
      <c r="B5" s="27" t="inlineStr">
        <is>
          <t>5. Repetitive negative thinking and self talk</t>
        </is>
      </c>
    </row>
    <row r="6" ht="15" customHeight="1" s="17">
      <c r="A6" s="35" t="inlineStr">
        <is>
          <t>Availability</t>
        </is>
      </c>
      <c r="B6" s="27" t="inlineStr">
        <is>
          <t>Free / open access</t>
        </is>
      </c>
    </row>
    <row r="7" ht="75" customHeight="1" s="17">
      <c r="A7" s="35" t="inlineStr">
        <is>
          <t>Construct</t>
        </is>
      </c>
      <c r="B7" s="27" t="inlineStr">
        <is>
          <t>Trait rumination in response to low mood: the tendency to repetitively focus attention on the symptoms and possible causes/consequences of one's depressed mood. The Treynor et al. (2003) refinement splits this into a passive, self-critical/moody-pondering component (Brooding) and a more deliberate, analytic component (Reflection), leaving 12 items that overlap with depressive symptoms unscored in either subscale.</t>
        </is>
      </c>
    </row>
    <row r="8" ht="15" customHeight="1" s="17">
      <c r="A8" s="35" t="inlineStr">
        <is>
          <t>Respondent</t>
        </is>
      </c>
      <c r="B8" s="27" t="inlineStr">
        <is>
          <t>Adult self-report</t>
        </is>
      </c>
    </row>
    <row r="9" ht="30" customHeight="1" s="17">
      <c r="A9" s="35" t="inlineStr">
        <is>
          <t>Age range</t>
        </is>
      </c>
      <c r="B9" s="27" t="inlineStr">
        <is>
          <t>NovoPsych lists 18 years and older. The original Nolen-Hoeksema &amp; Morrow (1991) and Treynor et al. (2003) sources do not themselves state an age range in the text retrieved.</t>
        </is>
      </c>
    </row>
    <row r="10" ht="15" customHeight="1" s="17">
      <c r="A10" s="35" t="inlineStr">
        <is>
          <t>Items in instrument</t>
        </is>
      </c>
      <c r="B10" s="27" t="inlineStr">
        <is>
          <t>22</t>
        </is>
      </c>
    </row>
    <row r="11" ht="15" customHeight="1" s="17">
      <c r="A11" s="35" t="inlineStr">
        <is>
          <t>Items reproduced here</t>
        </is>
      </c>
      <c r="B11" s="27" t="inlineStr">
        <is>
          <t>22</t>
        </is>
      </c>
    </row>
    <row r="12" ht="15" customHeight="1" s="17">
      <c r="A12" s="35" t="inlineStr">
        <is>
          <t>Administration time</t>
        </is>
      </c>
      <c r="B12" s="27" t="inlineStr">
        <is>
          <t>Approximately 2 minutes (per NovoPsych).</t>
        </is>
      </c>
    </row>
    <row r="13" ht="169.5" customHeight="1" s="17">
      <c r="A13" s="35" t="inlineStr">
        <is>
          <t>Cost and access</t>
        </is>
      </c>
      <c r="B13" s="27" t="inlineStr">
        <is>
          <t>The 22 items and simple summed scoring are freely available from the developer-hosted PDFs (Susan Nolen-Hoeksema's own item sheet, and the Treynor et al. subscale-mapping paper), with no explicit copyright or commercial-use restriction stated on either document. NovoPsych also hosts the RRS with automated scoring, but its scoring/psychometrics detail is gated behind NovoPsych's paid professional-access platform (app.novopsych.com registration required); this session could not retrieve NovoPsych's own cutoff, norm or psychometric text for the RRS specifically (its RRS page did not expose that content, and no NovoPsych-hosted RRS blank-form or sample-results PDF could be located). For manual/paper administration in coaching, the items may be used and hand-scored directly from the developer sources with citation; for automated scoring, reporting and any NovoPsych-specific norms, a NovoPsych subscription would be required. Licensing note: Free / open access for the item content and scoring algorithm (no restriction found in the developer sources); full scoring, norms and psychometrics on the NovoPsych platform sit behind NovoPsych's professional/paid clinician access.</t>
        </is>
      </c>
    </row>
    <row r="14" ht="120" customHeight="1" s="17">
      <c r="A14" s="35" t="inlineStr">
        <is>
          <t>Coaching application</t>
        </is>
      </c>
      <c r="B14" s="27" t="inlineStr">
        <is>
          <t>The RRS, and the Brooding subscale in particular, is well suited to coaching conversations with students and early-career clients about unhelpful dwelling on setbacks (e.g. "why can't I handle things better") versus more adaptive, problem-focused reflection. Distinguishing Brooding from Reflection lets Charlotte target the maladaptive pattern directly (as a coaching focus) while validating that some analytic self-reflection is normal and can be constructive. Because 12 of the 22 items closely track depressive symptoms rather than rumination style, the total 22-item score should be interpreted cautiously in a non-clinical coaching context and the Brooding/Reflection subscales are generally the more directly actionable pickup.</t>
        </is>
      </c>
    </row>
    <row r="15" ht="105" customHeight="1" s="17">
      <c r="A15" s="35" t="inlineStr">
        <is>
          <t>Purpose</t>
        </is>
      </c>
      <c r="B15" s="27" t="inlineStr">
        <is>
          <t>The RRS was originally developed by Nolen-Hoeksema and Morrow (1991) to assess ruminative responses to depressed mood as part of the Response Styles Questionnaire. Treynor, Gonzalez and Nolen-Hoeksema (2003) later re-analysed the scale and identified two "pure" 5-item subscales within it, Brooding (passive, self-critical comparison of one's current state to an unachieved standard) and Reflection (deliberate, analytic turning inward to understand one's low mood), while the remaining 12 items were found to overlap substantially with depressive symptoms themselves and are not used in either subscale score.</t>
        </is>
      </c>
    </row>
    <row r="16" ht="45" customHeight="1" s="17">
      <c r="A16" s="35" t="inlineStr">
        <is>
          <t>Instructions / prompt</t>
        </is>
      </c>
      <c r="B16" s="27" t="inlineStr">
        <is>
          <t>Please read each of the items below and indicate whether you almost never, sometimes, often, or almost always think or do each one when you feel down, sad, or depressed. Please indicate what you generally do, not what you think you should do.</t>
        </is>
      </c>
    </row>
    <row r="17" ht="15" customHeight="1" s="17">
      <c r="A17" s="35" t="inlineStr">
        <is>
          <t>Response options</t>
        </is>
      </c>
      <c r="B17" s="27" t="inlineStr">
        <is>
          <t>almost never = 1 | sometimes = 2 | often = 3 | almost always = 4</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Full-scale total: sum of all 22 items (range 22-88), per Nolen-Hoeksema's own scoring note ("simply sum the scores on the 22 items"). Brooding and Reflection subscale scores are each the sum of their 5 items (range 5-20 each), per Treynor et al. (2003).</t>
        </is>
      </c>
    </row>
    <row r="21" ht="15" customHeight="1" s="17">
      <c r="A21" s="35" t="inlineStr">
        <is>
          <t>Interpretation bands</t>
        </is>
      </c>
      <c r="B21" s="27" t="inlineStr">
        <is>
          <t>Not stated on source</t>
        </is>
      </c>
    </row>
    <row r="22" ht="45" customHeight="1" s="17">
      <c r="A22" s="35" t="inlineStr">
        <is>
          <t>Cut-offs</t>
        </is>
      </c>
      <c r="B22" s="27" t="inlineStr">
        <is>
          <t>No clinical cutoff scores were found in the developer sources (Nolen-Hoeksema &amp; Morrow, 1991; Treynor et al., 2003) or retrievable from the NovoPsych RRS page, which itself does not display specific score ranges or interpretation bands in the content that could be fetched this session.</t>
        </is>
      </c>
    </row>
    <row r="23" ht="75" customHeight="1" s="17">
      <c r="A23" s="35" t="inlineStr">
        <is>
          <t>Normative data</t>
        </is>
      </c>
      <c r="B23" s="27" t="inlineStr">
        <is>
          <t>Treynor et al. (2003) used a community sample of N = 1,130 adults assessed at two time points approximately one year apart, but exact normative means/SDs were not extractable from the fetched text. NovoPsych's own normative data for the RRS could not be retrieved this session (its scoring/psychometrics content did not come through fetch, and no NovoPsych-hosted RRS blank-form or sample-results PDF could be located via search).</t>
        </is>
      </c>
    </row>
    <row r="24" ht="60" customHeight="1" s="17">
      <c r="A24" s="35" t="inlineStr">
        <is>
          <t>Psychometric properties</t>
        </is>
      </c>
      <c r="B24" s="27" t="inlineStr">
        <is>
          <t>Full 22-item scale: Cronbach's alpha = .90 (Time 1); test-retest r = .67 across the ~1-year interval. Brooding subscale: alpha = .77 (Time 1); test-retest r = .62. Reflection subscale: alpha = .72 (Time 1); test-retest r = .60. Sample: N = 1,130 community adults (Treynor, Gonzalez, &amp; Nolen-Hoeksema, 2003).</t>
        </is>
      </c>
    </row>
    <row r="25" ht="45" customHeight="1" s="17">
      <c r="A25" s="35" t="inlineStr">
        <is>
          <t>Developer citation</t>
        </is>
      </c>
      <c r="B25" s="27" t="inlineStr">
        <is>
          <t>Nolen-Hoeksema, S., &amp; Morrow, J. (1991). A prospective study of depression and posttraumatic stress symptoms after a natural disaster: The 1989 Loma Prieta earthquake. Journal of Personality and Social Psychology, 61(1), 115–121. https://doi.org/10.1037/0022-3514.61.1.115</t>
        </is>
      </c>
    </row>
    <row r="26" ht="60" customHeight="1" s="17">
      <c r="A26" s="35" t="inlineStr">
        <is>
          <t>Copyright and licensing</t>
        </is>
      </c>
      <c r="B26" s="27" t="inlineStr">
        <is>
          <t>The Nolen-Hoeksema item PDF carries no explicit copyright/licence statement beyond her name and Yale University letter header in the source fetched; no blanket free-for-commercial-use grant nor an explicit restriction was found in either developer source. NovoPsych's own terms govern use of its platform-hosted administration and scoring, which was not accessible in full this session.</t>
        </is>
      </c>
    </row>
    <row r="27" ht="15" customHeight="1" s="17">
      <c r="A27" s="35" t="inlineStr">
        <is>
          <t>Source URL</t>
        </is>
      </c>
      <c r="B27" s="27" t="inlineStr">
        <is>
          <t>https://novopsych.com/assessments/formulation/ruminative-responses-scale-rrs/</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Think about how alone you feel</t>
        </is>
      </c>
      <c r="C30" s="27" t="inlineStr">
        <is>
          <t>Depression-related items (not scored as a subscale)</t>
        </is>
      </c>
      <c r="D30" s="27" t="inlineStr">
        <is>
          <t>FALSE</t>
        </is>
      </c>
      <c r="E30" s="27" t="inlineStr">
        <is>
          <t>FALSE</t>
        </is>
      </c>
      <c r="F30" s="27" t="n"/>
    </row>
    <row r="31" ht="23.85" customHeight="1" s="17">
      <c r="A31" s="28" t="n">
        <v>2</v>
      </c>
      <c r="B31" s="27" t="inlineStr">
        <is>
          <t>Think "I won't be able to do my job if I don't snap out of this"</t>
        </is>
      </c>
      <c r="C31" s="27" t="inlineStr">
        <is>
          <t>Depression-related items (not scored as a subscale)</t>
        </is>
      </c>
      <c r="D31" s="27" t="inlineStr">
        <is>
          <t>FALSE</t>
        </is>
      </c>
      <c r="E31" s="27" t="inlineStr">
        <is>
          <t>FALSE</t>
        </is>
      </c>
      <c r="F31" s="27" t="n"/>
    </row>
    <row r="32" ht="23.85" customHeight="1" s="17">
      <c r="A32" s="28" t="n">
        <v>3</v>
      </c>
      <c r="B32" s="27" t="inlineStr">
        <is>
          <t>Think about your feelings of fatigue and achiness</t>
        </is>
      </c>
      <c r="C32" s="27" t="inlineStr">
        <is>
          <t>Depression-related items (not scored as a subscale)</t>
        </is>
      </c>
      <c r="D32" s="27" t="inlineStr">
        <is>
          <t>FALSE</t>
        </is>
      </c>
      <c r="E32" s="27" t="inlineStr">
        <is>
          <t>FALSE</t>
        </is>
      </c>
      <c r="F32" s="27" t="n"/>
    </row>
    <row r="33" ht="23.85" customHeight="1" s="17">
      <c r="A33" s="28" t="n">
        <v>4</v>
      </c>
      <c r="B33" s="27" t="inlineStr">
        <is>
          <t>Think about how hard it is to concentrate</t>
        </is>
      </c>
      <c r="C33" s="27" t="inlineStr">
        <is>
          <t>Depression-related items (not scored as a subscale)</t>
        </is>
      </c>
      <c r="D33" s="27" t="inlineStr">
        <is>
          <t>FALSE</t>
        </is>
      </c>
      <c r="E33" s="27" t="inlineStr">
        <is>
          <t>FALSE</t>
        </is>
      </c>
      <c r="F33" s="27" t="n"/>
    </row>
    <row r="34" ht="15" customHeight="1" s="17">
      <c r="A34" s="28" t="n">
        <v>5</v>
      </c>
      <c r="B34" s="27" t="inlineStr">
        <is>
          <t>Think "What am I doing to deserve this?"</t>
        </is>
      </c>
      <c r="C34" s="27" t="inlineStr">
        <is>
          <t>Brooding</t>
        </is>
      </c>
      <c r="D34" s="27" t="inlineStr">
        <is>
          <t>FALSE</t>
        </is>
      </c>
      <c r="E34" s="27" t="inlineStr">
        <is>
          <t>FALSE</t>
        </is>
      </c>
      <c r="F34" s="27" t="n"/>
    </row>
    <row r="35" ht="23.85" customHeight="1" s="17">
      <c r="A35" s="28" t="n">
        <v>6</v>
      </c>
      <c r="B35" s="27" t="inlineStr">
        <is>
          <t>Think about how passive and unmotivated you feel</t>
        </is>
      </c>
      <c r="C35" s="27" t="inlineStr">
        <is>
          <t>Depression-related items (not scored as a subscale)</t>
        </is>
      </c>
      <c r="D35" s="27" t="inlineStr">
        <is>
          <t>FALSE</t>
        </is>
      </c>
      <c r="E35" s="27" t="inlineStr">
        <is>
          <t>FALSE</t>
        </is>
      </c>
      <c r="F35" s="27" t="n"/>
    </row>
    <row r="36" ht="15" customHeight="1" s="17">
      <c r="A36" s="28" t="n">
        <v>7</v>
      </c>
      <c r="B36" s="27" t="inlineStr">
        <is>
          <t>Analyze recent events to try to understand why you are depressed</t>
        </is>
      </c>
      <c r="C36" s="27" t="inlineStr">
        <is>
          <t>Reflection</t>
        </is>
      </c>
      <c r="D36" s="27" t="inlineStr">
        <is>
          <t>FALSE</t>
        </is>
      </c>
      <c r="E36" s="27" t="inlineStr">
        <is>
          <t>FALSE</t>
        </is>
      </c>
      <c r="F36" s="27" t="n"/>
    </row>
    <row r="37" ht="23.85" customHeight="1" s="17">
      <c r="A37" s="28" t="n">
        <v>8</v>
      </c>
      <c r="B37" s="27" t="inlineStr">
        <is>
          <t>Think about how you don't seem to feel anything anymore</t>
        </is>
      </c>
      <c r="C37" s="27" t="inlineStr">
        <is>
          <t>Depression-related items (not scored as a subscale)</t>
        </is>
      </c>
      <c r="D37" s="27" t="inlineStr">
        <is>
          <t>FALSE</t>
        </is>
      </c>
      <c r="E37" s="27" t="inlineStr">
        <is>
          <t>FALSE</t>
        </is>
      </c>
      <c r="F37" s="27" t="n"/>
    </row>
    <row r="38" ht="23.85" customHeight="1" s="17">
      <c r="A38" s="28" t="n">
        <v>9</v>
      </c>
      <c r="B38" s="27" t="inlineStr">
        <is>
          <t>Think "Why can't I get going?"</t>
        </is>
      </c>
      <c r="C38" s="27" t="inlineStr">
        <is>
          <t>Depression-related items (not scored as a subscale)</t>
        </is>
      </c>
      <c r="D38" s="27" t="inlineStr">
        <is>
          <t>FALSE</t>
        </is>
      </c>
      <c r="E38" s="27" t="inlineStr">
        <is>
          <t>FALSE</t>
        </is>
      </c>
      <c r="F38" s="27" t="n"/>
    </row>
    <row r="39" ht="15" customHeight="1" s="17">
      <c r="A39" s="28" t="n">
        <v>10</v>
      </c>
      <c r="B39" s="27" t="inlineStr">
        <is>
          <t>Think "Why do I always react this way?"</t>
        </is>
      </c>
      <c r="C39" s="27" t="inlineStr">
        <is>
          <t>Brooding</t>
        </is>
      </c>
      <c r="D39" s="27" t="inlineStr">
        <is>
          <t>FALSE</t>
        </is>
      </c>
      <c r="E39" s="27" t="inlineStr">
        <is>
          <t>FALSE</t>
        </is>
      </c>
      <c r="F39" s="27" t="n"/>
    </row>
    <row r="40" ht="15" customHeight="1" s="17">
      <c r="A40" s="28" t="n">
        <v>11</v>
      </c>
      <c r="B40" s="27" t="inlineStr">
        <is>
          <t>Go away by yourself and think about why you feel this way</t>
        </is>
      </c>
      <c r="C40" s="27" t="inlineStr">
        <is>
          <t>Reflection</t>
        </is>
      </c>
      <c r="D40" s="27" t="inlineStr">
        <is>
          <t>FALSE</t>
        </is>
      </c>
      <c r="E40" s="27" t="inlineStr">
        <is>
          <t>FALSE</t>
        </is>
      </c>
      <c r="F40" s="27" t="n"/>
    </row>
    <row r="41" ht="68.65000000000001" customHeight="1" s="17">
      <c r="A41" s="28" t="n">
        <v>12</v>
      </c>
      <c r="B41" s="27" t="inlineStr">
        <is>
          <t>Write down what you are thinking about and analyze it</t>
        </is>
      </c>
      <c r="C41" s="27" t="inlineStr">
        <is>
          <t>Reflection</t>
        </is>
      </c>
      <c r="D41" s="27" t="inlineStr">
        <is>
          <t>FALSE</t>
        </is>
      </c>
      <c r="E41" s="27" t="inlineStr">
        <is>
          <t>FALSE</t>
        </is>
      </c>
      <c r="F41" s="27" t="inlineStr">
        <is>
          <t>Text as given in the original Nolen-Hoeksema item sheet (websites.umich.edu/~gonzo/RuminationScale.pdf). The Treynor et al. (2003) subscale-mapping paper quotes this item slightly differently, without "about" ("Write down what you are thinking and analyze it") — flagging the minor wording discrepancy between the two fetched sources.</t>
        </is>
      </c>
    </row>
    <row r="42" ht="15" customHeight="1" s="17">
      <c r="A42" s="28" t="n">
        <v>13</v>
      </c>
      <c r="B42" s="27" t="inlineStr">
        <is>
          <t>Think about a recent situation, wishing it had gone better</t>
        </is>
      </c>
      <c r="C42" s="27" t="inlineStr">
        <is>
          <t>Brooding</t>
        </is>
      </c>
      <c r="D42" s="27" t="inlineStr">
        <is>
          <t>FALSE</t>
        </is>
      </c>
      <c r="E42" s="27" t="inlineStr">
        <is>
          <t>FALSE</t>
        </is>
      </c>
      <c r="F42" s="27" t="n"/>
    </row>
    <row r="43" ht="23.85" customHeight="1" s="17">
      <c r="A43" s="28" t="n">
        <v>14</v>
      </c>
      <c r="B43" s="27" t="inlineStr">
        <is>
          <t>Think "I won't be able to concentrate if I keep feeling this way"</t>
        </is>
      </c>
      <c r="C43" s="27" t="inlineStr">
        <is>
          <t>Depression-related items (not scored as a subscale)</t>
        </is>
      </c>
      <c r="D43" s="27" t="inlineStr">
        <is>
          <t>FALSE</t>
        </is>
      </c>
      <c r="E43" s="27" t="inlineStr">
        <is>
          <t>FALSE</t>
        </is>
      </c>
      <c r="F43" s="27" t="n"/>
    </row>
    <row r="44" ht="15" customHeight="1" s="17">
      <c r="A44" s="28" t="n">
        <v>15</v>
      </c>
      <c r="B44" s="27" t="inlineStr">
        <is>
          <t>Think "Why do I have problems other people don't have?"</t>
        </is>
      </c>
      <c r="C44" s="27" t="inlineStr">
        <is>
          <t>Brooding</t>
        </is>
      </c>
      <c r="D44" s="27" t="inlineStr">
        <is>
          <t>FALSE</t>
        </is>
      </c>
      <c r="E44" s="27" t="inlineStr">
        <is>
          <t>FALSE</t>
        </is>
      </c>
      <c r="F44" s="27" t="n"/>
    </row>
    <row r="45" ht="15" customHeight="1" s="17">
      <c r="A45" s="28" t="n">
        <v>16</v>
      </c>
      <c r="B45" s="27" t="inlineStr">
        <is>
          <t>Think "Why can't I handle things better?"</t>
        </is>
      </c>
      <c r="C45" s="27" t="inlineStr">
        <is>
          <t>Brooding</t>
        </is>
      </c>
      <c r="D45" s="27" t="inlineStr">
        <is>
          <t>FALSE</t>
        </is>
      </c>
      <c r="E45" s="27" t="inlineStr">
        <is>
          <t>FALSE</t>
        </is>
      </c>
      <c r="F45" s="27" t="n"/>
    </row>
    <row r="46" ht="23.85" customHeight="1" s="17">
      <c r="A46" s="28" t="n">
        <v>17</v>
      </c>
      <c r="B46" s="27" t="inlineStr">
        <is>
          <t>Think about how sad you feel</t>
        </is>
      </c>
      <c r="C46" s="27" t="inlineStr">
        <is>
          <t>Depression-related items (not scored as a subscale)</t>
        </is>
      </c>
      <c r="D46" s="27" t="inlineStr">
        <is>
          <t>FALSE</t>
        </is>
      </c>
      <c r="E46" s="27" t="inlineStr">
        <is>
          <t>FALSE</t>
        </is>
      </c>
      <c r="F46" s="27" t="n"/>
    </row>
    <row r="47" ht="23.85" customHeight="1" s="17">
      <c r="A47" s="28" t="n">
        <v>18</v>
      </c>
      <c r="B47" s="27" t="inlineStr">
        <is>
          <t>Think about all your shortcomings, failings, faults, mistakes</t>
        </is>
      </c>
      <c r="C47" s="27" t="inlineStr">
        <is>
          <t>Depression-related items (not scored as a subscale)</t>
        </is>
      </c>
      <c r="D47" s="27" t="inlineStr">
        <is>
          <t>FALSE</t>
        </is>
      </c>
      <c r="E47" s="27" t="inlineStr">
        <is>
          <t>FALSE</t>
        </is>
      </c>
      <c r="F47" s="27" t="n"/>
    </row>
    <row r="48" ht="23.85" customHeight="1" s="17">
      <c r="A48" s="28" t="n">
        <v>19</v>
      </c>
      <c r="B48" s="27" t="inlineStr">
        <is>
          <t>Think about how you don't feel up to doing anything</t>
        </is>
      </c>
      <c r="C48" s="27" t="inlineStr">
        <is>
          <t>Depression-related items (not scored as a subscale)</t>
        </is>
      </c>
      <c r="D48" s="27" t="inlineStr">
        <is>
          <t>FALSE</t>
        </is>
      </c>
      <c r="E48" s="27" t="inlineStr">
        <is>
          <t>FALSE</t>
        </is>
      </c>
      <c r="F48" s="27" t="n"/>
    </row>
    <row r="49" ht="15" customHeight="1" s="17">
      <c r="A49" s="28" t="n">
        <v>20</v>
      </c>
      <c r="B49" s="27" t="inlineStr">
        <is>
          <t>Analyze your personality to try to understand why you are depressed</t>
        </is>
      </c>
      <c r="C49" s="27" t="inlineStr">
        <is>
          <t>Reflection</t>
        </is>
      </c>
      <c r="D49" s="27" t="inlineStr">
        <is>
          <t>FALSE</t>
        </is>
      </c>
      <c r="E49" s="27" t="inlineStr">
        <is>
          <t>FALSE</t>
        </is>
      </c>
      <c r="F49" s="27" t="n"/>
    </row>
    <row r="50" ht="15" customHeight="1" s="17">
      <c r="A50" s="28" t="n">
        <v>21</v>
      </c>
      <c r="B50" s="27" t="inlineStr">
        <is>
          <t>Go someplace alone to think about your feelings</t>
        </is>
      </c>
      <c r="C50" s="27" t="inlineStr">
        <is>
          <t>Reflection</t>
        </is>
      </c>
      <c r="D50" s="27" t="inlineStr">
        <is>
          <t>FALSE</t>
        </is>
      </c>
      <c r="E50" s="27" t="inlineStr">
        <is>
          <t>FALSE</t>
        </is>
      </c>
      <c r="F50" s="27" t="n"/>
    </row>
    <row r="51" ht="23.85" customHeight="1" s="17">
      <c r="A51" s="28" t="n">
        <v>22</v>
      </c>
      <c r="B51" s="27" t="inlineStr">
        <is>
          <t>Think about how angry you are with yourself</t>
        </is>
      </c>
      <c r="C51" s="27" t="inlineStr">
        <is>
          <t>Depression-related items (not scored as a subscale)</t>
        </is>
      </c>
      <c r="D51" s="27" t="inlineStr">
        <is>
          <t>FALSE</t>
        </is>
      </c>
      <c r="E51" s="27" t="inlineStr">
        <is>
          <t>FALSE</t>
        </is>
      </c>
      <c r="F51" s="27" t="n"/>
    </row>
  </sheetData>
  <autoFilter ref="A29:F5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F51"/>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Forms of Self-Criticising/Attacking and Self-Reassuring Scale</t>
        </is>
      </c>
    </row>
    <row r="3" ht="15" customHeight="1" s="17">
      <c r="A3" s="35" t="inlineStr">
        <is>
          <t>Instrument</t>
        </is>
      </c>
      <c r="B3" s="27" t="inlineStr">
        <is>
          <t>Forms of Self-Criticising/Attacking and Self-Reassuring Scale</t>
        </is>
      </c>
    </row>
    <row r="4" ht="15" customHeight="1" s="17">
      <c r="A4" s="35" t="inlineStr">
        <is>
          <t>Code</t>
        </is>
      </c>
      <c r="B4" s="27" t="inlineStr">
        <is>
          <t>FSCRS</t>
        </is>
      </c>
    </row>
    <row r="5" ht="15" customHeight="1" s="17">
      <c r="A5" s="35" t="inlineStr">
        <is>
          <t>Domain</t>
        </is>
      </c>
      <c r="B5" s="27" t="inlineStr">
        <is>
          <t>5. Repetitive negative thinking and self talk</t>
        </is>
      </c>
    </row>
    <row r="6" ht="15" customHeight="1" s="17">
      <c r="A6" s="35" t="inlineStr">
        <is>
          <t>Availability</t>
        </is>
      </c>
      <c r="B6" s="27" t="inlineStr">
        <is>
          <t>Free / open access</t>
        </is>
      </c>
    </row>
    <row r="7" ht="45" customHeight="1" s="17">
      <c r="A7" s="35" t="inlineStr">
        <is>
          <t>Construct</t>
        </is>
      </c>
      <c r="B7" s="27" t="inlineStr">
        <is>
          <t>Self-criticism and self-reassurance as distinct forms of self-relating that people use when things go wrong: an inadequacy-focused form of self-criticism, a more punitive, self-disgust-based (hated-self) form of self-criticism, and the capacity to be self-reassuring/self-supportive.</t>
        </is>
      </c>
    </row>
    <row r="8" ht="15" customHeight="1" s="17">
      <c r="A8" s="35" t="inlineStr">
        <is>
          <t>Respondent</t>
        </is>
      </c>
      <c r="B8" s="27" t="inlineStr">
        <is>
          <t>Adult self-report</t>
        </is>
      </c>
    </row>
    <row r="9" ht="45" customHeight="1" s="17">
      <c r="A9" s="35" t="inlineStr">
        <is>
          <t>Age range</t>
        </is>
      </c>
      <c r="B9" s="27" t="inlineStr">
        <is>
          <t>Not stated on the source document. The original 2004 development sample was female university students; the scale has since been used across adult clinical and non-clinical populations, but no formal age range is specified in the fetched source.</t>
        </is>
      </c>
    </row>
    <row r="10" ht="15" customHeight="1" s="17">
      <c r="A10" s="35" t="inlineStr">
        <is>
          <t>Items in instrument</t>
        </is>
      </c>
      <c r="B10" s="27" t="inlineStr">
        <is>
          <t>22</t>
        </is>
      </c>
    </row>
    <row r="11" ht="15" customHeight="1" s="17">
      <c r="A11" s="35" t="inlineStr">
        <is>
          <t>Items reproduced here</t>
        </is>
      </c>
      <c r="B11" s="27" t="inlineStr">
        <is>
          <t>22</t>
        </is>
      </c>
    </row>
    <row r="12" ht="30" customHeight="1" s="17">
      <c r="A12" s="35" t="inlineStr">
        <is>
          <t>Administration time</t>
        </is>
      </c>
      <c r="B12" s="27" t="inlineStr">
        <is>
          <t>Not stated in the source. A brief 22-item self-report measure, typically completed in a few minutes.</t>
        </is>
      </c>
    </row>
    <row r="13" ht="105" customHeight="1" s="17">
      <c r="A13" s="35" t="inlineStr">
        <is>
          <t>Cost and access</t>
        </is>
      </c>
      <c r="B13" s="27" t="inlineStr">
        <is>
          <t>The scale is freely downloadable (e.g. via the Portland Psychotherapy Clinic hosting used here) and is very widely used in clinical, compassion-focused therapy and coaching-adjacent contexts without a reported paywall or licensing fee. The document carries the notice "© Gilbert et al., 2004" but no explicit statement granting or restricting commercial/paid-coaching use. Treat as reasonably safe to administer with citation, but not as a confirmed formal commercial licence; a courtesy email to the authors would close this gap before large-scale paid use. Licensing note: Free / open access, with an author copyright notice</t>
        </is>
      </c>
    </row>
    <row r="14" ht="135" customHeight="1" s="17">
      <c r="A14" s="35" t="inlineStr">
        <is>
          <t>Coaching application</t>
        </is>
      </c>
      <c r="B14" s="27" t="inlineStr">
        <is>
          <t>The FSCRS is one of the strongest available tools for identifying harsh, punitive self-talk under academic or early-career performance pressure, and it usefully separates self-criticism (Inadequate Self, Hated Self) from the client's existing capacity to self-reassure (Reassured Self), which is directly actionable as a coaching target. Because item 9 references wanting to hurt or injure oneself, it needs careful, consent-based framing in a non-clinical coaching setting, with a clear plan for what happens if it is endorsed, and should be introduced only once appropriate rapport and safety-checking practices are in place. As a self-report measure of self-relating style rather than a diagnostic tool, elevated Hated Self scores should prompt sensitive follow-up and, where indicated, referral rather than being worked with in coaching alone.</t>
        </is>
      </c>
    </row>
    <row r="15" ht="75" customHeight="1" s="17">
      <c r="A15" s="35" t="inlineStr">
        <is>
          <t>Purpose</t>
        </is>
      </c>
      <c r="B15" s="27" t="inlineStr">
        <is>
          <t>The FSCRS was developed by Gilbert, Clarke, Hempel, Miles and Irons (2004) to explore the different forms, styles and functions of self-criticism and self-reassurance that people use when they feel they have fallen short or things have gone wrong. It distinguishes an inadequacy-focused form of self-attacking from a more hostile, punitive, self-disgust/self-hatred form, and separately measures the person's capacity to respond to setbacks with self-support and self-reassurance.</t>
        </is>
      </c>
    </row>
    <row r="16" ht="90" customHeight="1" s="17">
      <c r="A16" s="35" t="inlineStr">
        <is>
          <t>Instructions / prompt</t>
        </is>
      </c>
      <c r="B16" s="27" t="inlineStr">
        <is>
          <t>When things go wrong in our lives or don't work out as we hoped, and we feel we could have done better, we sometimes have negative and self-critical thoughts and feelings. These may take the form of feeling worthless, useless or inferior etc. However, people can also try to be supportive of themselves. Below are a series of thoughts and feelings that people sometimes have. Read each statement carefully and circle the number that best describes how much each statement is true for you. Please use the scale below.</t>
        </is>
      </c>
    </row>
    <row r="17" ht="30" customHeight="1" s="17">
      <c r="A17" s="35" t="inlineStr">
        <is>
          <t>Response options</t>
        </is>
      </c>
      <c r="B17" s="27" t="inlineStr">
        <is>
          <t>Not at all like me = 0 | A little bit like me = 1 | Moderately like me = 2 | Quite a bit like me = 3 | Extremely like me = 4</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Each subscale is scored as the sum of its own items: Inadequate Self (9 items, range 0-36), Hated Self (5 items, range 0-20), Reassured Self (8 items, range 0-32). There is no single overall FSCRS total; the three subscales are interpreted separately (Gilbert et al., 2004).</t>
        </is>
      </c>
    </row>
    <row r="21" ht="15" customHeight="1" s="17">
      <c r="A21" s="35" t="inlineStr">
        <is>
          <t>Interpretation bands</t>
        </is>
      </c>
      <c r="B21" s="27" t="inlineStr">
        <is>
          <t>Not stated on source</t>
        </is>
      </c>
    </row>
    <row r="22" ht="15" customHeight="1" s="17">
      <c r="A22" s="35" t="inlineStr">
        <is>
          <t>Cut-offs</t>
        </is>
      </c>
      <c r="B22" s="27" t="inlineStr">
        <is>
          <t>No clinical cutoff scores were reported in the fetched source.</t>
        </is>
      </c>
    </row>
    <row r="23" ht="60" customHeight="1" s="17">
      <c r="A23" s="35" t="inlineStr">
        <is>
          <t>Normative data</t>
        </is>
      </c>
      <c r="B23" s="27" t="inlineStr">
        <is>
          <t>No normative means/SDs by population were extractable from the fetched source. The original development sample was female university students (UK); the source notes the scale has since been re-validated across thirteen countries (Baíao et al., 2015 normative study), but that paper was not directly fetched this session.</t>
        </is>
      </c>
    </row>
    <row r="24" ht="30" customHeight="1" s="17">
      <c r="A24" s="35" t="inlineStr">
        <is>
          <t>Psychometric properties</t>
        </is>
      </c>
      <c r="B24" s="27" t="inlineStr">
        <is>
          <t>Cronbach's alpha = .90 (Inadequate Self), .86 (Hated Self), .86 (Reassured Self), as reported in the fetched source document (Gilbert et al., 2004).</t>
        </is>
      </c>
    </row>
    <row r="25" ht="45" customHeight="1" s="17">
      <c r="A25" s="35" t="inlineStr">
        <is>
          <t>Developer citation</t>
        </is>
      </c>
      <c r="B25" s="27" t="inlineStr">
        <is>
          <t>Gilbert, P., Clarke, M., Hempel, S., Miles, J. N. V., &amp; Irons, C. (2004). Criticizing and reassuring oneself: An exploration of forms, styles and reasons in female students. British Journal of Clinical Psychology, 43(1), 31–50. https://doi.org/10.1348/014466504772812959</t>
        </is>
      </c>
    </row>
    <row r="26" ht="30" customHeight="1" s="17">
      <c r="A26" s="35" t="inlineStr">
        <is>
          <t>Copyright and licensing</t>
        </is>
      </c>
      <c r="B26" s="27" t="inlineStr">
        <is>
          <t>© Gilbert et al., 2004 (notice appears on the source document). No explicit commercial-use grant or restriction was found beyond this author copyright notice.</t>
        </is>
      </c>
    </row>
    <row r="27" ht="30" customHeight="1" s="17">
      <c r="A27" s="35" t="inlineStr">
        <is>
          <t>Source URL</t>
        </is>
      </c>
      <c r="B27" s="27" t="inlineStr">
        <is>
          <t>https://d3n8a8pro7vhmx.cloudfront.net/portlandpsychotherapy/pages/21/attachments/original/1438799410/Forms_of_self-criticising_and_self_reassuring_scale.pdf</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I am easily disappointed with myself.</t>
        </is>
      </c>
      <c r="C30" s="27" t="inlineStr">
        <is>
          <t>Inadequate Self</t>
        </is>
      </c>
      <c r="D30" s="27" t="inlineStr">
        <is>
          <t>FALSE</t>
        </is>
      </c>
      <c r="E30" s="27" t="inlineStr">
        <is>
          <t>FALSE</t>
        </is>
      </c>
      <c r="F30" s="27" t="n"/>
    </row>
    <row r="31" ht="15" customHeight="1" s="17">
      <c r="A31" s="28" t="n">
        <v>2</v>
      </c>
      <c r="B31" s="27" t="inlineStr">
        <is>
          <t>There is a part of me that puts me down.</t>
        </is>
      </c>
      <c r="C31" s="27" t="inlineStr">
        <is>
          <t>Inadequate Self</t>
        </is>
      </c>
      <c r="D31" s="27" t="inlineStr">
        <is>
          <t>FALSE</t>
        </is>
      </c>
      <c r="E31" s="27" t="inlineStr">
        <is>
          <t>FALSE</t>
        </is>
      </c>
      <c r="F31" s="27" t="n"/>
    </row>
    <row r="32" ht="15" customHeight="1" s="17">
      <c r="A32" s="28" t="n">
        <v>3</v>
      </c>
      <c r="B32" s="27" t="inlineStr">
        <is>
          <t>I am able to remind myself of positive things about myself.</t>
        </is>
      </c>
      <c r="C32" s="27" t="inlineStr">
        <is>
          <t>Reassured Self</t>
        </is>
      </c>
      <c r="D32" s="27" t="inlineStr">
        <is>
          <t>FALSE</t>
        </is>
      </c>
      <c r="E32" s="27" t="inlineStr">
        <is>
          <t>FALSE</t>
        </is>
      </c>
      <c r="F32" s="27" t="n"/>
    </row>
    <row r="33" ht="15" customHeight="1" s="17">
      <c r="A33" s="28" t="n">
        <v>4</v>
      </c>
      <c r="B33" s="27" t="inlineStr">
        <is>
          <t>I find it difficult to control my anger and frustration at myself.</t>
        </is>
      </c>
      <c r="C33" s="27" t="inlineStr">
        <is>
          <t>Inadequate Self</t>
        </is>
      </c>
      <c r="D33" s="27" t="inlineStr">
        <is>
          <t>FALSE</t>
        </is>
      </c>
      <c r="E33" s="27" t="inlineStr">
        <is>
          <t>FALSE</t>
        </is>
      </c>
      <c r="F33" s="27" t="n"/>
    </row>
    <row r="34" ht="15" customHeight="1" s="17">
      <c r="A34" s="28" t="n">
        <v>5</v>
      </c>
      <c r="B34" s="27" t="inlineStr">
        <is>
          <t>I find it easy to forgive myself.</t>
        </is>
      </c>
      <c r="C34" s="27" t="inlineStr">
        <is>
          <t>Reassured Self</t>
        </is>
      </c>
      <c r="D34" s="27" t="inlineStr">
        <is>
          <t>FALSE</t>
        </is>
      </c>
      <c r="E34" s="27" t="inlineStr">
        <is>
          <t>FALSE</t>
        </is>
      </c>
      <c r="F34" s="27" t="n"/>
    </row>
    <row r="35" ht="15" customHeight="1" s="17">
      <c r="A35" s="28" t="n">
        <v>6</v>
      </c>
      <c r="B35" s="27" t="inlineStr">
        <is>
          <t>There is a part of me that feels I am not good enough.</t>
        </is>
      </c>
      <c r="C35" s="27" t="inlineStr">
        <is>
          <t>Inadequate Self</t>
        </is>
      </c>
      <c r="D35" s="27" t="inlineStr">
        <is>
          <t>FALSE</t>
        </is>
      </c>
      <c r="E35" s="27" t="inlineStr">
        <is>
          <t>FALSE</t>
        </is>
      </c>
      <c r="F35" s="27" t="n"/>
    </row>
    <row r="36" ht="15" customHeight="1" s="17">
      <c r="A36" s="28" t="n">
        <v>7</v>
      </c>
      <c r="B36" s="27" t="inlineStr">
        <is>
          <t>I feel beaten down by my own self-critical thoughts.</t>
        </is>
      </c>
      <c r="C36" s="27" t="inlineStr">
        <is>
          <t>Inadequate Self</t>
        </is>
      </c>
      <c r="D36" s="27" t="inlineStr">
        <is>
          <t>FALSE</t>
        </is>
      </c>
      <c r="E36" s="27" t="inlineStr">
        <is>
          <t>FALSE</t>
        </is>
      </c>
      <c r="F36" s="27" t="n"/>
    </row>
    <row r="37" ht="15" customHeight="1" s="17">
      <c r="A37" s="28" t="n">
        <v>8</v>
      </c>
      <c r="B37" s="27" t="inlineStr">
        <is>
          <t>I still like being me.</t>
        </is>
      </c>
      <c r="C37" s="27" t="inlineStr">
        <is>
          <t>Reassured Self</t>
        </is>
      </c>
      <c r="D37" s="27" t="inlineStr">
        <is>
          <t>FALSE</t>
        </is>
      </c>
      <c r="E37" s="27" t="inlineStr">
        <is>
          <t>FALSE</t>
        </is>
      </c>
      <c r="F37" s="27" t="n"/>
    </row>
    <row r="38" ht="57.45" customHeight="1" s="17">
      <c r="A38" s="28" t="n">
        <v>9</v>
      </c>
      <c r="B38" s="27" t="inlineStr">
        <is>
          <t>I have become so angry with myself that I want to hurt or injure myself.</t>
        </is>
      </c>
      <c r="C38" s="27" t="inlineStr">
        <is>
          <t>Hated Self</t>
        </is>
      </c>
      <c r="D38" s="27" t="inlineStr">
        <is>
          <t>FALSE</t>
        </is>
      </c>
      <c r="E38" s="27" t="inlineStr">
        <is>
          <t>FALSE</t>
        </is>
      </c>
      <c r="F38" s="27" t="inlineStr">
        <is>
          <t>Sits close to self-harm content. Needs careful, consent-based framing in coaching: introduce only with appropriate rapport and a clear safety-checking plan for what happens if this item is endorsed, and treat any endorsement as a prompt for sensitive follow-up and referral consideration rather than something to work with in coaching alone.</t>
        </is>
      </c>
    </row>
    <row r="39" ht="15" customHeight="1" s="17">
      <c r="A39" s="28" t="n">
        <v>10</v>
      </c>
      <c r="B39" s="27" t="inlineStr">
        <is>
          <t>I have a sense of disgust with myself.</t>
        </is>
      </c>
      <c r="C39" s="27" t="inlineStr">
        <is>
          <t>Hated Self</t>
        </is>
      </c>
      <c r="D39" s="27" t="inlineStr">
        <is>
          <t>FALSE</t>
        </is>
      </c>
      <c r="E39" s="27" t="inlineStr">
        <is>
          <t>FALSE</t>
        </is>
      </c>
      <c r="F39" s="27" t="n"/>
    </row>
    <row r="40" ht="15" customHeight="1" s="17">
      <c r="A40" s="28" t="n">
        <v>11</v>
      </c>
      <c r="B40" s="27" t="inlineStr">
        <is>
          <t>I can still feel lovable and acceptable.</t>
        </is>
      </c>
      <c r="C40" s="27" t="inlineStr">
        <is>
          <t>Reassured Self</t>
        </is>
      </c>
      <c r="D40" s="27" t="inlineStr">
        <is>
          <t>FALSE</t>
        </is>
      </c>
      <c r="E40" s="27" t="inlineStr">
        <is>
          <t>FALSE</t>
        </is>
      </c>
      <c r="F40" s="27" t="n"/>
    </row>
    <row r="41" ht="15" customHeight="1" s="17">
      <c r="A41" s="28" t="n">
        <v>12</v>
      </c>
      <c r="B41" s="27" t="inlineStr">
        <is>
          <t>I stop caring about myself.</t>
        </is>
      </c>
      <c r="C41" s="27" t="inlineStr">
        <is>
          <t>Hated Self</t>
        </is>
      </c>
      <c r="D41" s="27" t="inlineStr">
        <is>
          <t>FALSE</t>
        </is>
      </c>
      <c r="E41" s="27" t="inlineStr">
        <is>
          <t>FALSE</t>
        </is>
      </c>
      <c r="F41" s="27" t="n"/>
    </row>
    <row r="42" ht="15" customHeight="1" s="17">
      <c r="A42" s="28" t="n">
        <v>13</v>
      </c>
      <c r="B42" s="27" t="inlineStr">
        <is>
          <t>I find it easy to like myself.</t>
        </is>
      </c>
      <c r="C42" s="27" t="inlineStr">
        <is>
          <t>Reassured Self</t>
        </is>
      </c>
      <c r="D42" s="27" t="inlineStr">
        <is>
          <t>FALSE</t>
        </is>
      </c>
      <c r="E42" s="27" t="inlineStr">
        <is>
          <t>FALSE</t>
        </is>
      </c>
      <c r="F42" s="27" t="n"/>
    </row>
    <row r="43" ht="15" customHeight="1" s="17">
      <c r="A43" s="28" t="n">
        <v>14</v>
      </c>
      <c r="B43" s="27" t="inlineStr">
        <is>
          <t>I remember and dwell on my failings.</t>
        </is>
      </c>
      <c r="C43" s="27" t="inlineStr">
        <is>
          <t>Inadequate Self</t>
        </is>
      </c>
      <c r="D43" s="27" t="inlineStr">
        <is>
          <t>FALSE</t>
        </is>
      </c>
      <c r="E43" s="27" t="inlineStr">
        <is>
          <t>FALSE</t>
        </is>
      </c>
      <c r="F43" s="27" t="n"/>
    </row>
    <row r="44" ht="15" customHeight="1" s="17">
      <c r="A44" s="28" t="n">
        <v>15</v>
      </c>
      <c r="B44" s="27" t="inlineStr">
        <is>
          <t>I call myself names.</t>
        </is>
      </c>
      <c r="C44" s="27" t="inlineStr">
        <is>
          <t>Hated Self</t>
        </is>
      </c>
      <c r="D44" s="27" t="inlineStr">
        <is>
          <t>FALSE</t>
        </is>
      </c>
      <c r="E44" s="27" t="inlineStr">
        <is>
          <t>FALSE</t>
        </is>
      </c>
      <c r="F44" s="27" t="n"/>
    </row>
    <row r="45" ht="15" customHeight="1" s="17">
      <c r="A45" s="28" t="n">
        <v>16</v>
      </c>
      <c r="B45" s="27" t="inlineStr">
        <is>
          <t>I am gentle and supportive with myself.</t>
        </is>
      </c>
      <c r="C45" s="27" t="inlineStr">
        <is>
          <t>Reassured Self</t>
        </is>
      </c>
      <c r="D45" s="27" t="inlineStr">
        <is>
          <t>FALSE</t>
        </is>
      </c>
      <c r="E45" s="27" t="inlineStr">
        <is>
          <t>FALSE</t>
        </is>
      </c>
      <c r="F45" s="27" t="n"/>
    </row>
    <row r="46" ht="15" customHeight="1" s="17">
      <c r="A46" s="28" t="n">
        <v>17</v>
      </c>
      <c r="B46" s="27" t="inlineStr">
        <is>
          <t>I can't accept failures and setbacks without feeling inadequate.</t>
        </is>
      </c>
      <c r="C46" s="27" t="inlineStr">
        <is>
          <t>Inadequate Self</t>
        </is>
      </c>
      <c r="D46" s="27" t="inlineStr">
        <is>
          <t>FALSE</t>
        </is>
      </c>
      <c r="E46" s="27" t="inlineStr">
        <is>
          <t>FALSE</t>
        </is>
      </c>
      <c r="F46" s="27" t="n"/>
    </row>
    <row r="47" ht="15" customHeight="1" s="17">
      <c r="A47" s="28" t="n">
        <v>18</v>
      </c>
      <c r="B47" s="27" t="inlineStr">
        <is>
          <t>I think I deserve my self-criticism.</t>
        </is>
      </c>
      <c r="C47" s="27" t="inlineStr">
        <is>
          <t>Inadequate Self</t>
        </is>
      </c>
      <c r="D47" s="27" t="inlineStr">
        <is>
          <t>FALSE</t>
        </is>
      </c>
      <c r="E47" s="27" t="inlineStr">
        <is>
          <t>FALSE</t>
        </is>
      </c>
      <c r="F47" s="27" t="n"/>
    </row>
    <row r="48" ht="15" customHeight="1" s="17">
      <c r="A48" s="28" t="n">
        <v>19</v>
      </c>
      <c r="B48" s="27" t="inlineStr">
        <is>
          <t>I am able to care and look after myself.</t>
        </is>
      </c>
      <c r="C48" s="27" t="inlineStr">
        <is>
          <t>Reassured Self</t>
        </is>
      </c>
      <c r="D48" s="27" t="inlineStr">
        <is>
          <t>FALSE</t>
        </is>
      </c>
      <c r="E48" s="27" t="inlineStr">
        <is>
          <t>FALSE</t>
        </is>
      </c>
      <c r="F48" s="27" t="n"/>
    </row>
    <row r="49" ht="15" customHeight="1" s="17">
      <c r="A49" s="28" t="n">
        <v>20</v>
      </c>
      <c r="B49" s="27" t="inlineStr">
        <is>
          <t>There is a part of me that wants to get rid of the bits I don't like.</t>
        </is>
      </c>
      <c r="C49" s="27" t="inlineStr">
        <is>
          <t>Inadequate Self</t>
        </is>
      </c>
      <c r="D49" s="27" t="inlineStr">
        <is>
          <t>FALSE</t>
        </is>
      </c>
      <c r="E49" s="27" t="inlineStr">
        <is>
          <t>FALSE</t>
        </is>
      </c>
      <c r="F49" s="27" t="n"/>
    </row>
    <row r="50" ht="15" customHeight="1" s="17">
      <c r="A50" s="28" t="n">
        <v>21</v>
      </c>
      <c r="B50" s="27" t="inlineStr">
        <is>
          <t>I encourage myself for the future.</t>
        </is>
      </c>
      <c r="C50" s="27" t="inlineStr">
        <is>
          <t>Reassured Self</t>
        </is>
      </c>
      <c r="D50" s="27" t="inlineStr">
        <is>
          <t>FALSE</t>
        </is>
      </c>
      <c r="E50" s="27" t="inlineStr">
        <is>
          <t>FALSE</t>
        </is>
      </c>
      <c r="F50" s="27" t="n"/>
    </row>
    <row r="51" ht="15" customHeight="1" s="17">
      <c r="A51" s="28" t="n">
        <v>22</v>
      </c>
      <c r="B51" s="27" t="inlineStr">
        <is>
          <t>I do not like being me.</t>
        </is>
      </c>
      <c r="C51" s="27" t="inlineStr">
        <is>
          <t>Hated Self</t>
        </is>
      </c>
      <c r="D51" s="27" t="inlineStr">
        <is>
          <t>FALSE</t>
        </is>
      </c>
      <c r="E51" s="27" t="inlineStr">
        <is>
          <t>FALSE</t>
        </is>
      </c>
      <c r="F51" s="27" t="n"/>
    </row>
  </sheetData>
  <autoFilter ref="A29:F5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54"/>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Perfectionism Cognitions Inventory</t>
        </is>
      </c>
    </row>
    <row r="3" ht="15" customHeight="1" s="17">
      <c r="A3" s="35" t="inlineStr">
        <is>
          <t>Instrument</t>
        </is>
      </c>
      <c r="B3" s="27" t="inlineStr">
        <is>
          <t>Perfectionism Cognitions Inventory</t>
        </is>
      </c>
    </row>
    <row r="4" ht="15" customHeight="1" s="17">
      <c r="A4" s="35" t="inlineStr">
        <is>
          <t>Code</t>
        </is>
      </c>
      <c r="B4" s="27" t="inlineStr">
        <is>
          <t>PCI</t>
        </is>
      </c>
    </row>
    <row r="5" ht="15" customHeight="1" s="17">
      <c r="A5" s="35" t="inlineStr">
        <is>
          <t>Domain</t>
        </is>
      </c>
      <c r="B5" s="27" t="inlineStr">
        <is>
          <t>5. Repetitive negative thinking and self talk</t>
        </is>
      </c>
    </row>
    <row r="6" ht="15" customHeight="1" s="17">
      <c r="A6" s="35" t="inlineStr">
        <is>
          <t>Availability</t>
        </is>
      </c>
      <c r="B6" s="27" t="inlineStr">
        <is>
          <t>Free / open access</t>
        </is>
      </c>
    </row>
    <row r="7" ht="45" customHeight="1" s="17">
      <c r="A7" s="35" t="inlineStr">
        <is>
          <t>Construct</t>
        </is>
      </c>
      <c r="B7" s="27" t="inlineStr">
        <is>
          <t>Frequency of perfectionism-related automatic thoughts (perfectionistic cognitions) over the preceding week, e.g. thoughts such as "Why can't I be perfect" or "My work should be flawless", as distinct from trait perfectionism itself.</t>
        </is>
      </c>
    </row>
    <row r="8" ht="15" customHeight="1" s="17">
      <c r="A8" s="35" t="inlineStr">
        <is>
          <t>Respondent</t>
        </is>
      </c>
      <c r="B8" s="27" t="inlineStr">
        <is>
          <t>Self-report</t>
        </is>
      </c>
    </row>
    <row r="9" ht="45" customHeight="1" s="17">
      <c r="A9" s="35" t="inlineStr">
        <is>
          <t>Age range</t>
        </is>
      </c>
      <c r="B9" s="27" t="inlineStr">
        <is>
          <t>NovoPsych lists the PCI as suitable from age 15 and up. The original Flett, Hewitt, Blankstein &amp; Gray (1998) development/validation samples were adult (psychiatric patients, adults recovering from alcoholism, and university students).</t>
        </is>
      </c>
    </row>
    <row r="10" ht="15" customHeight="1" s="17">
      <c r="A10" s="35" t="inlineStr">
        <is>
          <t>Items in instrument</t>
        </is>
      </c>
      <c r="B10" s="27" t="inlineStr">
        <is>
          <t>25</t>
        </is>
      </c>
    </row>
    <row r="11" ht="15" customHeight="1" s="17">
      <c r="A11" s="35" t="inlineStr">
        <is>
          <t>Items reproduced here</t>
        </is>
      </c>
      <c r="B11" s="27" t="inlineStr">
        <is>
          <t>25</t>
        </is>
      </c>
    </row>
    <row r="12" ht="15" customHeight="1" s="17">
      <c r="A12" s="35" t="inlineStr">
        <is>
          <t>Administration time</t>
        </is>
      </c>
      <c r="B12" s="27" t="inlineStr">
        <is>
          <t>Approximately 4 minutes (per NovoPsych).</t>
        </is>
      </c>
    </row>
    <row r="13" ht="135" customHeight="1" s="17">
      <c r="A13" s="35" t="inlineStr">
        <is>
          <t>Cost and access</t>
        </is>
      </c>
      <c r="B13" s="27" t="inlineStr">
        <is>
          <t>The 25 items, respondent instructions and simple 0-100 summed scoring are freely reproduced across the psychometric literature and hosted by the original authors' own lab (Hewitt Lab, UBC) with no visible paywall or explicit commercial restriction. NovoPsych also hosts the PCI with automated scoring against community and clinical percentile norms; its sample results report was retrievable and used for the norm/interpretation detail below, but full access to run and score the instrument on the platform requires a NovoPsych professional registration (app.novopsych.com). For manual/paper administration in coaching, the items may be used and hand-scored directly with citation. Licensing note: Free / open access for the items and scoring algorithm (no restriction found in the developer sources); NovoPsych's own norms/percentiles are presented through NovoPsych's professional-access platform.</t>
        </is>
      </c>
    </row>
    <row r="14" ht="135" customHeight="1" s="17">
      <c r="A14" s="35" t="inlineStr">
        <is>
          <t>Coaching application</t>
        </is>
      </c>
      <c r="B14" s="27" t="inlineStr">
        <is>
          <t>The PCI is the clearest "automatic thoughts of perfectionism" instrument among the measures reviewed, making it a natural session-opener for university students and early-career professionals whose main presenting issue is perfectionistic self-talk (e.g. around assignments, exams or performance reviews) rather than general worry or low mood. Because it measures frequency of thoughts over the past week, it can be re-administered across a coaching programme to track whether strategies are reducing how often these thoughts intrude, which is directly useful for session-to-session progress tracking. As with all self-report frequency measures, a high score identifies a thinking pattern to work with in coaching, not a diagnosis, and very high or distressing scores should prompt a broader wellbeing check.</t>
        </is>
      </c>
    </row>
    <row r="15" ht="75" customHeight="1" s="17">
      <c r="A15" s="35" t="inlineStr">
        <is>
          <t>Purpose</t>
        </is>
      </c>
      <c r="B15" s="27" t="inlineStr">
        <is>
          <t>The PCI was developed by Flett, Hewitt, Blankstein and Gray (1998) as a 25-item measure of the frequency of automatic thoughts with perfectionistic themes (e.g. the need to be perfect, self-criticism for falling short of perfection) occurring over the preceding week. It was designed to capture perfectionism at the level of momentary automatic cognition, complementing trait-level perfectionism measures, and has been used to study links between perfectionistic thinking and psychological distress.</t>
        </is>
      </c>
    </row>
    <row r="16" ht="45" customHeight="1" s="17">
      <c r="A16" s="35" t="inlineStr">
        <is>
          <t>Instructions / prompt</t>
        </is>
      </c>
      <c r="B16" s="27" t="inlineStr">
        <is>
          <t>Listed below are a variety of thoughts about perfectionism that sometimes pop into people's heads. Please read each thought and indicate how frequently, if at all, the thoughts occurred to you over the last week.</t>
        </is>
      </c>
    </row>
    <row r="17" ht="15" customHeight="1" s="17">
      <c r="A17" s="35" t="inlineStr">
        <is>
          <t>Response options</t>
        </is>
      </c>
      <c r="B17" s="27" t="inlineStr">
        <is>
          <t>Not At All = 0 | Sometimes = 1 | Moderately Often = 2 | Often = 3 | All of the time = 4</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Total score is the sum of all 25 items, converted/reported on a 0-100 scale, with higher scores indicating a greater frequency of perfectionistic cognitions (per NovoPsych's automatic scoring report). The instrument is unidimensional; no subscales are used.</t>
        </is>
      </c>
    </row>
    <row r="21" ht="90" customHeight="1" s="17">
      <c r="A21" s="35" t="inlineStr">
        <is>
          <t>Interpretation bands</t>
        </is>
      </c>
      <c r="B21" s="27" t="inlineStr">
        <is>
          <t>Typical: around the 50th percentile of the community reference sample - Frequency of perfectionistic thinking broadly typical of the community normative sample (NovoPsych).
Clinically elevated: 85th percentile and above - Frequency of perfectionistic cognitions notably higher than the community reference sample, described by NovoPsych as clinically elevated (exact score-to-percentile mapping not further specified in the retrieved report excerpt).</t>
        </is>
      </c>
    </row>
    <row r="22" ht="45" customHeight="1" s="17">
      <c r="A22" s="35" t="inlineStr">
        <is>
          <t>Cut-offs</t>
        </is>
      </c>
      <c r="B22" s="27" t="inlineStr">
        <is>
          <t>NovoPsych's sample scoring report references percentile bands (50th percentile as typical, 85th percentile and above as clinically elevated) against a community/clinical reference sample, but did not provide the underlying raw-score-to-percentile table in the content retrieved this session.</t>
        </is>
      </c>
    </row>
    <row r="23" ht="75" customHeight="1" s="17">
      <c r="A23" s="35" t="inlineStr">
        <is>
          <t>Normative data</t>
        </is>
      </c>
      <c r="B23" s="27" t="inlineStr">
        <is>
          <t>NovoPsych's sample report states that community and clinical normative samples are used, with a reference age group of 26-45 years, but exact sample sizes and means/SDs were not retrievable from the content fetched this session. The original Flett et al. (1998) development sample was N = 747 university students, with subsequent validation in N = 258 psychiatric patients (Study 1) and N = 80 adults recovering from alcoholism (Study 2).</t>
        </is>
      </c>
    </row>
    <row r="24" ht="60" customHeight="1" s="17">
      <c r="A24" s="35" t="inlineStr">
        <is>
          <t>Psychometric properties</t>
        </is>
      </c>
      <c r="B24" s="27" t="inlineStr">
        <is>
          <t>Cronbach's alpha = .95 in both the psychiatric patient sample (N = 258, Study 1) and the recovering-alcoholism sample (N = 80, Study 2); mean inter-item correlation = .44. An earlier reported sample (N = 62 psychiatric patients) gave alpha = .95 with 3-month test-retest reliability = .85 (Flett, Hewitt, Blankstein, &amp; Gray, 1998).</t>
        </is>
      </c>
    </row>
    <row r="25" ht="45" customHeight="1" s="17">
      <c r="A25" s="35" t="inlineStr">
        <is>
          <t>Developer citation</t>
        </is>
      </c>
      <c r="B25" s="27" t="inlineStr">
        <is>
          <t>Flett, G. L., Hewitt, P. L., Blankstein, K. R., &amp; Gray, L. (1998). Psychological distress and the frequency of perfectionistic thinking. Journal of Personality and Social Psychology, 75(5), 1363–1381. https://doi.org/10.1037/0022-3514.75.5.1363</t>
        </is>
      </c>
    </row>
    <row r="26" ht="30" customHeight="1" s="17">
      <c r="A26" s="35" t="inlineStr">
        <is>
          <t>Copyright and licensing</t>
        </is>
      </c>
      <c r="B26" s="27" t="inlineStr">
        <is>
          <t>No explicit copyright or commercial-use restriction was found on the fetched sources (Hewitt Lab-hosted document, db.arabpsychology.com scale database, or the NovoPsych sample scoring report).</t>
        </is>
      </c>
    </row>
    <row r="27" ht="15" customHeight="1" s="17">
      <c r="A27" s="35" t="inlineStr">
        <is>
          <t>Source URL</t>
        </is>
      </c>
      <c r="B27" s="27" t="inlineStr">
        <is>
          <t>https://novopsych.com/assessments/formulation/perfectionistic-cognitions-inventory-pci/</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Why can't I be perfect</t>
        </is>
      </c>
      <c r="C30" s="27" t="inlineStr">
        <is>
          <t>Not stated on source</t>
        </is>
      </c>
      <c r="D30" s="27" t="inlineStr">
        <is>
          <t>FALSE</t>
        </is>
      </c>
      <c r="E30" s="27" t="inlineStr">
        <is>
          <t>FALSE</t>
        </is>
      </c>
      <c r="F30" s="27" t="n"/>
    </row>
    <row r="31" ht="15" customHeight="1" s="17">
      <c r="A31" s="28" t="n">
        <v>2</v>
      </c>
      <c r="B31" s="27" t="inlineStr">
        <is>
          <t>I need to do better</t>
        </is>
      </c>
      <c r="C31" s="27" t="inlineStr">
        <is>
          <t>Not stated on source</t>
        </is>
      </c>
      <c r="D31" s="27" t="inlineStr">
        <is>
          <t>FALSE</t>
        </is>
      </c>
      <c r="E31" s="27" t="inlineStr">
        <is>
          <t>FALSE</t>
        </is>
      </c>
      <c r="F31" s="27" t="n"/>
    </row>
    <row r="32" ht="15" customHeight="1" s="17">
      <c r="A32" s="28" t="n">
        <v>3</v>
      </c>
      <c r="B32" s="27" t="inlineStr">
        <is>
          <t>I should be perfect</t>
        </is>
      </c>
      <c r="C32" s="27" t="inlineStr">
        <is>
          <t>Not stated on source</t>
        </is>
      </c>
      <c r="D32" s="27" t="inlineStr">
        <is>
          <t>FALSE</t>
        </is>
      </c>
      <c r="E32" s="27" t="inlineStr">
        <is>
          <t>FALSE</t>
        </is>
      </c>
      <c r="F32" s="27" t="n"/>
    </row>
    <row r="33" ht="15" customHeight="1" s="17">
      <c r="A33" s="28" t="n">
        <v>4</v>
      </c>
      <c r="B33" s="27" t="inlineStr">
        <is>
          <t>I should never make the same mistake twice</t>
        </is>
      </c>
      <c r="C33" s="27" t="inlineStr">
        <is>
          <t>Not stated on source</t>
        </is>
      </c>
      <c r="D33" s="27" t="inlineStr">
        <is>
          <t>FALSE</t>
        </is>
      </c>
      <c r="E33" s="27" t="inlineStr">
        <is>
          <t>FALSE</t>
        </is>
      </c>
      <c r="F33" s="27" t="n"/>
    </row>
    <row r="34" ht="15" customHeight="1" s="17">
      <c r="A34" s="28" t="n">
        <v>5</v>
      </c>
      <c r="B34" s="27" t="inlineStr">
        <is>
          <t>I've got to keep working on my goals</t>
        </is>
      </c>
      <c r="C34" s="27" t="inlineStr">
        <is>
          <t>Not stated on source</t>
        </is>
      </c>
      <c r="D34" s="27" t="inlineStr">
        <is>
          <t>FALSE</t>
        </is>
      </c>
      <c r="E34" s="27" t="inlineStr">
        <is>
          <t>FALSE</t>
        </is>
      </c>
      <c r="F34" s="27" t="n"/>
    </row>
    <row r="35" ht="15" customHeight="1" s="17">
      <c r="A35" s="28" t="n">
        <v>6</v>
      </c>
      <c r="B35" s="27" t="inlineStr">
        <is>
          <t>I have to be the best</t>
        </is>
      </c>
      <c r="C35" s="27" t="inlineStr">
        <is>
          <t>Not stated on source</t>
        </is>
      </c>
      <c r="D35" s="27" t="inlineStr">
        <is>
          <t>FALSE</t>
        </is>
      </c>
      <c r="E35" s="27" t="inlineStr">
        <is>
          <t>FALSE</t>
        </is>
      </c>
      <c r="F35" s="27" t="n"/>
    </row>
    <row r="36" ht="15" customHeight="1" s="17">
      <c r="A36" s="28" t="n">
        <v>7</v>
      </c>
      <c r="B36" s="27" t="inlineStr">
        <is>
          <t>I should be doing more</t>
        </is>
      </c>
      <c r="C36" s="27" t="inlineStr">
        <is>
          <t>Not stated on source</t>
        </is>
      </c>
      <c r="D36" s="27" t="inlineStr">
        <is>
          <t>FALSE</t>
        </is>
      </c>
      <c r="E36" s="27" t="inlineStr">
        <is>
          <t>FALSE</t>
        </is>
      </c>
      <c r="F36" s="27" t="n"/>
    </row>
    <row r="37" ht="15" customHeight="1" s="17">
      <c r="A37" s="28" t="n">
        <v>8</v>
      </c>
      <c r="B37" s="27" t="inlineStr">
        <is>
          <t>I can't stand to make mistakes</t>
        </is>
      </c>
      <c r="C37" s="27" t="inlineStr">
        <is>
          <t>Not stated on source</t>
        </is>
      </c>
      <c r="D37" s="27" t="inlineStr">
        <is>
          <t>FALSE</t>
        </is>
      </c>
      <c r="E37" s="27" t="inlineStr">
        <is>
          <t>FALSE</t>
        </is>
      </c>
      <c r="F37" s="27" t="n"/>
    </row>
    <row r="38" ht="15" customHeight="1" s="17">
      <c r="A38" s="28" t="n">
        <v>9</v>
      </c>
      <c r="B38" s="27" t="inlineStr">
        <is>
          <t>I have to work hard all the time</t>
        </is>
      </c>
      <c r="C38" s="27" t="inlineStr">
        <is>
          <t>Not stated on source</t>
        </is>
      </c>
      <c r="D38" s="27" t="inlineStr">
        <is>
          <t>FALSE</t>
        </is>
      </c>
      <c r="E38" s="27" t="inlineStr">
        <is>
          <t>FALSE</t>
        </is>
      </c>
      <c r="F38" s="27" t="n"/>
    </row>
    <row r="39" ht="15" customHeight="1" s="17">
      <c r="A39" s="28" t="n">
        <v>10</v>
      </c>
      <c r="B39" s="27" t="inlineStr">
        <is>
          <t>No matter how much I do, it's never enough</t>
        </is>
      </c>
      <c r="C39" s="27" t="inlineStr">
        <is>
          <t>Not stated on source</t>
        </is>
      </c>
      <c r="D39" s="27" t="inlineStr">
        <is>
          <t>FALSE</t>
        </is>
      </c>
      <c r="E39" s="27" t="inlineStr">
        <is>
          <t>FALSE</t>
        </is>
      </c>
      <c r="F39" s="27" t="n"/>
    </row>
    <row r="40" ht="15" customHeight="1" s="17">
      <c r="A40" s="28" t="n">
        <v>11</v>
      </c>
      <c r="B40" s="27" t="inlineStr">
        <is>
          <t>People expect me to be perfect</t>
        </is>
      </c>
      <c r="C40" s="27" t="inlineStr">
        <is>
          <t>Not stated on source</t>
        </is>
      </c>
      <c r="D40" s="27" t="inlineStr">
        <is>
          <t>FALSE</t>
        </is>
      </c>
      <c r="E40" s="27" t="inlineStr">
        <is>
          <t>FALSE</t>
        </is>
      </c>
      <c r="F40" s="27" t="n"/>
    </row>
    <row r="41" ht="15" customHeight="1" s="17">
      <c r="A41" s="28" t="n">
        <v>12</v>
      </c>
      <c r="B41" s="27" t="inlineStr">
        <is>
          <t>I must be efficient at all times</t>
        </is>
      </c>
      <c r="C41" s="27" t="inlineStr">
        <is>
          <t>Not stated on source</t>
        </is>
      </c>
      <c r="D41" s="27" t="inlineStr">
        <is>
          <t>FALSE</t>
        </is>
      </c>
      <c r="E41" s="27" t="inlineStr">
        <is>
          <t>FALSE</t>
        </is>
      </c>
      <c r="F41" s="27" t="n"/>
    </row>
    <row r="42" ht="15" customHeight="1" s="17">
      <c r="A42" s="28" t="n">
        <v>13</v>
      </c>
      <c r="B42" s="27" t="inlineStr">
        <is>
          <t>My goals are very high</t>
        </is>
      </c>
      <c r="C42" s="27" t="inlineStr">
        <is>
          <t>Not stated on source</t>
        </is>
      </c>
      <c r="D42" s="27" t="inlineStr">
        <is>
          <t>FALSE</t>
        </is>
      </c>
      <c r="E42" s="27" t="inlineStr">
        <is>
          <t>FALSE</t>
        </is>
      </c>
      <c r="F42" s="27" t="n"/>
    </row>
    <row r="43" ht="15" customHeight="1" s="17">
      <c r="A43" s="28" t="n">
        <v>14</v>
      </c>
      <c r="B43" s="27" t="inlineStr">
        <is>
          <t>I can always do better, even if things are almost perfect</t>
        </is>
      </c>
      <c r="C43" s="27" t="inlineStr">
        <is>
          <t>Not stated on source</t>
        </is>
      </c>
      <c r="D43" s="27" t="inlineStr">
        <is>
          <t>FALSE</t>
        </is>
      </c>
      <c r="E43" s="27" t="inlineStr">
        <is>
          <t>FALSE</t>
        </is>
      </c>
      <c r="F43" s="27" t="n"/>
    </row>
    <row r="44" ht="15" customHeight="1" s="17">
      <c r="A44" s="28" t="n">
        <v>15</v>
      </c>
      <c r="B44" s="27" t="inlineStr">
        <is>
          <t>I expect to be perfect</t>
        </is>
      </c>
      <c r="C44" s="27" t="inlineStr">
        <is>
          <t>Not stated on source</t>
        </is>
      </c>
      <c r="D44" s="27" t="inlineStr">
        <is>
          <t>FALSE</t>
        </is>
      </c>
      <c r="E44" s="27" t="inlineStr">
        <is>
          <t>FALSE</t>
        </is>
      </c>
      <c r="F44" s="27" t="n"/>
    </row>
    <row r="45" ht="15" customHeight="1" s="17">
      <c r="A45" s="28" t="n">
        <v>16</v>
      </c>
      <c r="B45" s="27" t="inlineStr">
        <is>
          <t>Why can't things be perfect?</t>
        </is>
      </c>
      <c r="C45" s="27" t="inlineStr">
        <is>
          <t>Not stated on source</t>
        </is>
      </c>
      <c r="D45" s="27" t="inlineStr">
        <is>
          <t>FALSE</t>
        </is>
      </c>
      <c r="E45" s="27" t="inlineStr">
        <is>
          <t>FALSE</t>
        </is>
      </c>
      <c r="F45" s="27" t="n"/>
    </row>
    <row r="46" ht="15" customHeight="1" s="17">
      <c r="A46" s="28" t="n">
        <v>17</v>
      </c>
      <c r="B46" s="27" t="inlineStr">
        <is>
          <t>My work has to be superior</t>
        </is>
      </c>
      <c r="C46" s="27" t="inlineStr">
        <is>
          <t>Not stated on source</t>
        </is>
      </c>
      <c r="D46" s="27" t="inlineStr">
        <is>
          <t>FALSE</t>
        </is>
      </c>
      <c r="E46" s="27" t="inlineStr">
        <is>
          <t>FALSE</t>
        </is>
      </c>
      <c r="F46" s="27" t="n"/>
    </row>
    <row r="47" ht="15" customHeight="1" s="17">
      <c r="A47" s="28" t="n">
        <v>18</v>
      </c>
      <c r="B47" s="27" t="inlineStr">
        <is>
          <t>It would be great if everything in my life was perfect</t>
        </is>
      </c>
      <c r="C47" s="27" t="inlineStr">
        <is>
          <t>Not stated on source</t>
        </is>
      </c>
      <c r="D47" s="27" t="inlineStr">
        <is>
          <t>FALSE</t>
        </is>
      </c>
      <c r="E47" s="27" t="inlineStr">
        <is>
          <t>FALSE</t>
        </is>
      </c>
      <c r="F47" s="27" t="n"/>
    </row>
    <row r="48" ht="15" customHeight="1" s="17">
      <c r="A48" s="28" t="n">
        <v>19</v>
      </c>
      <c r="B48" s="27" t="inlineStr">
        <is>
          <t>My work should be flawless</t>
        </is>
      </c>
      <c r="C48" s="27" t="inlineStr">
        <is>
          <t>Not stated on source</t>
        </is>
      </c>
      <c r="D48" s="27" t="inlineStr">
        <is>
          <t>FALSE</t>
        </is>
      </c>
      <c r="E48" s="27" t="inlineStr">
        <is>
          <t>FALSE</t>
        </is>
      </c>
      <c r="F48" s="27" t="n"/>
    </row>
    <row r="49" ht="15" customHeight="1" s="17">
      <c r="A49" s="28" t="n">
        <v>20</v>
      </c>
      <c r="B49" s="27" t="inlineStr">
        <is>
          <t>Things are seldom ideal</t>
        </is>
      </c>
      <c r="C49" s="27" t="inlineStr">
        <is>
          <t>Not stated on source</t>
        </is>
      </c>
      <c r="D49" s="27" t="inlineStr">
        <is>
          <t>FALSE</t>
        </is>
      </c>
      <c r="E49" s="27" t="inlineStr">
        <is>
          <t>FALSE</t>
        </is>
      </c>
      <c r="F49" s="27" t="n"/>
    </row>
    <row r="50" ht="15" customHeight="1" s="17">
      <c r="A50" s="28" t="n">
        <v>21</v>
      </c>
      <c r="B50" s="27" t="inlineStr">
        <is>
          <t>How well am I doing?</t>
        </is>
      </c>
      <c r="C50" s="27" t="inlineStr">
        <is>
          <t>Not stated on source</t>
        </is>
      </c>
      <c r="D50" s="27" t="inlineStr">
        <is>
          <t>FALSE</t>
        </is>
      </c>
      <c r="E50" s="27" t="inlineStr">
        <is>
          <t>FALSE</t>
        </is>
      </c>
      <c r="F50" s="27" t="n"/>
    </row>
    <row r="51" ht="15" customHeight="1" s="17">
      <c r="A51" s="28" t="n">
        <v>22</v>
      </c>
      <c r="B51" s="27" t="inlineStr">
        <is>
          <t>I can't do this perfectly</t>
        </is>
      </c>
      <c r="C51" s="27" t="inlineStr">
        <is>
          <t>Not stated on source</t>
        </is>
      </c>
      <c r="D51" s="27" t="inlineStr">
        <is>
          <t>FALSE</t>
        </is>
      </c>
      <c r="E51" s="27" t="inlineStr">
        <is>
          <t>FALSE</t>
        </is>
      </c>
      <c r="F51" s="27" t="n"/>
    </row>
    <row r="52" ht="15" customHeight="1" s="17">
      <c r="A52" s="28" t="n">
        <v>23</v>
      </c>
      <c r="B52" s="27" t="inlineStr">
        <is>
          <t>I certainly have high standards</t>
        </is>
      </c>
      <c r="C52" s="27" t="inlineStr">
        <is>
          <t>Not stated on source</t>
        </is>
      </c>
      <c r="D52" s="27" t="inlineStr">
        <is>
          <t>FALSE</t>
        </is>
      </c>
      <c r="E52" s="27" t="inlineStr">
        <is>
          <t>FALSE</t>
        </is>
      </c>
      <c r="F52" s="27" t="n"/>
    </row>
    <row r="53" ht="15" customHeight="1" s="17">
      <c r="A53" s="28" t="n">
        <v>24</v>
      </c>
      <c r="B53" s="27" t="inlineStr">
        <is>
          <t>Maybe I should lower my goals</t>
        </is>
      </c>
      <c r="C53" s="27" t="inlineStr">
        <is>
          <t>Not stated on source</t>
        </is>
      </c>
      <c r="D53" s="27" t="inlineStr">
        <is>
          <t>FALSE</t>
        </is>
      </c>
      <c r="E53" s="27" t="inlineStr">
        <is>
          <t>FALSE</t>
        </is>
      </c>
      <c r="F53" s="27" t="n"/>
    </row>
    <row r="54" ht="15" customHeight="1" s="17">
      <c r="A54" s="28" t="n">
        <v>25</v>
      </c>
      <c r="B54" s="27" t="inlineStr">
        <is>
          <t>I am too much of a perfectionist</t>
        </is>
      </c>
      <c r="C54" s="27" t="inlineStr">
        <is>
          <t>Not stated on source</t>
        </is>
      </c>
      <c r="D54" s="27" t="inlineStr">
        <is>
          <t>FALSE</t>
        </is>
      </c>
      <c r="E54" s="27" t="inlineStr">
        <is>
          <t>FALSE</t>
        </is>
      </c>
      <c r="F54" s="27" t="n"/>
    </row>
  </sheetData>
  <autoFilter ref="A29:F5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41"/>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Self-Compassion Scale – Short Form</t>
        </is>
      </c>
    </row>
    <row r="3" ht="15" customHeight="1" s="17">
      <c r="A3" s="35" t="inlineStr">
        <is>
          <t>Instrument</t>
        </is>
      </c>
      <c r="B3" s="27" t="inlineStr">
        <is>
          <t>Self-Compassion Scale – Short Form</t>
        </is>
      </c>
    </row>
    <row r="4" ht="15" customHeight="1" s="17">
      <c r="A4" s="35" t="inlineStr">
        <is>
          <t>Code</t>
        </is>
      </c>
      <c r="B4" s="27" t="inlineStr">
        <is>
          <t>SCS-SF</t>
        </is>
      </c>
    </row>
    <row r="5" ht="15" customHeight="1" s="17">
      <c r="A5" s="35" t="inlineStr">
        <is>
          <t>Domain</t>
        </is>
      </c>
      <c r="B5" s="27" t="inlineStr">
        <is>
          <t>5. Repetitive negative thinking and self talk</t>
        </is>
      </c>
    </row>
    <row r="6" ht="15" customHeight="1" s="17">
      <c r="A6" s="35" t="inlineStr">
        <is>
          <t>Availability</t>
        </is>
      </c>
      <c r="B6" s="27" t="inlineStr">
        <is>
          <t>Free / open access</t>
        </is>
      </c>
    </row>
    <row r="7" ht="45" customHeight="1" s="17">
      <c r="A7" s="35" t="inlineStr">
        <is>
          <t>Construct</t>
        </is>
      </c>
      <c r="B7" s="27" t="inlineStr">
        <is>
          <t>Self-compassion: treating oneself with kindness during difficult times, recognising one's experience as part shared common humanity, and holding painful thoughts/feelings in mindful awareness, versus self-judgment, isolation and over-identification with negative emotion.</t>
        </is>
      </c>
    </row>
    <row r="8" ht="15" customHeight="1" s="17">
      <c r="A8" s="35" t="inlineStr">
        <is>
          <t>Respondent</t>
        </is>
      </c>
      <c r="B8" s="27" t="inlineStr">
        <is>
          <t>Self-report</t>
        </is>
      </c>
    </row>
    <row r="9" ht="30" customHeight="1" s="17">
      <c r="A9" s="35" t="inlineStr">
        <is>
          <t>Age range</t>
        </is>
      </c>
      <c r="B9" s="27" t="inlineStr">
        <is>
          <t>NovoPsych lists 18 years and over. The English validation sample was University of Texas at Austin students; construction samples were Dutch/Belgian adults.</t>
        </is>
      </c>
    </row>
    <row r="10" ht="15" customHeight="1" s="17">
      <c r="A10" s="35" t="inlineStr">
        <is>
          <t>Items in instrument</t>
        </is>
      </c>
      <c r="B10" s="27" t="inlineStr">
        <is>
          <t>12</t>
        </is>
      </c>
    </row>
    <row r="11" ht="15" customHeight="1" s="17">
      <c r="A11" s="35" t="inlineStr">
        <is>
          <t>Items reproduced here</t>
        </is>
      </c>
      <c r="B11" s="27" t="inlineStr">
        <is>
          <t>12</t>
        </is>
      </c>
    </row>
    <row r="12" ht="15" customHeight="1" s="17">
      <c r="A12" s="35" t="inlineStr">
        <is>
          <t>Administration time</t>
        </is>
      </c>
      <c r="B12" s="27" t="inlineStr">
        <is>
          <t>Approximately 2 minutes (per NovoPsych).</t>
        </is>
      </c>
    </row>
    <row r="13" ht="120" customHeight="1" s="17">
      <c r="A13" s="35" t="inlineStr">
        <is>
          <t>Cost and access</t>
        </is>
      </c>
      <c r="B13" s="27" t="inlineStr">
        <is>
          <t>The author's own distribution site (self-compassion.org, Kristin Neff's official scale page) states explicitly: "Please feel free to use the Self-Compassion Scale – Short Form in your research," and does not gate clinical or coaching use; the standard Wiley 2010 journal copyright notice applies to the validation article itself, not to use of the instrument. NovoPsych also hosts the SCS-SF with automated scoring against normative comparison groups, with full scoring/psychometric detail sitting behind NovoPsych's professional-access platform (app.novopsych.com); NovoPsych's blank form and sample scoring report were both retrieved and used below. For manual/paper administration in coaching, the items and mean-based scoring can be used and hand-scored directly with citation.</t>
        </is>
      </c>
    </row>
    <row r="14" ht="120" customHeight="1" s="17">
      <c r="A14" s="35" t="inlineStr">
        <is>
          <t>Coaching application</t>
        </is>
      </c>
      <c r="B14" s="27" t="inlineStr">
        <is>
          <t>The SCS-SF is the natural "what to build" counterpart to a self-criticism measure like the FSCRS: rather than only identifying harsh self-talk, it measures the client's existing capacity for self-kindness, common humanity and mindful acceptance, which coaching can then work to strengthen. It is well suited to university students and early-career professionals navigating academic or performance setbacks, as a light, explicitly open-licensed check-in that pairs naturally with perfectionism- or rumination-focused work. As with all brief self-report scales, low scores flag a coaching target rather than a diagnosis, and very low scores alongside signs of distress should prompt a broader wellbeing conversation.</t>
        </is>
      </c>
    </row>
    <row r="15" ht="75" customHeight="1" s="17">
      <c r="A15" s="35" t="inlineStr">
        <is>
          <t>Purpose</t>
        </is>
      </c>
      <c r="B15" s="27" t="inlineStr">
        <is>
          <t>The SCS-SF was developed by Raes, Pommier, Neff and Van Gucht (2011) as a 12-item short form of Neff's original 26-item Self-Compassion Scale, designed to be a more time-efficient measure for use when the longer scale is impractical, while preserving the same six-facet structure (Self-Kindness, Self-Judgment, Common Humanity, Isolation, Mindfulness, Over-Identification) and strongly correlating with the long-form total score.</t>
        </is>
      </c>
    </row>
    <row r="16" ht="30" customHeight="1" s="17">
      <c r="A16" s="35" t="inlineStr">
        <is>
          <t>Instructions / prompt</t>
        </is>
      </c>
      <c r="B16" s="27" t="inlineStr">
        <is>
          <t>Please read each statement carefully before answering. Indicate how often you behave in the stated manner.</t>
        </is>
      </c>
    </row>
    <row r="17" ht="15" customHeight="1" s="17">
      <c r="A17" s="35" t="inlineStr">
        <is>
          <t>Response options</t>
        </is>
      </c>
      <c r="B17" s="27" t="inlineStr">
        <is>
          <t>Almost never = 1 | 2 = 2 | 3 = 3 | 4 = 4 | Almost always = 5</t>
        </is>
      </c>
    </row>
    <row r="18" ht="15" customHeight="1" s="17">
      <c r="A18" s="35" t="inlineStr">
        <is>
          <t>Reverse-scored items</t>
        </is>
      </c>
      <c r="B18" s="27" t="inlineStr">
        <is>
          <t>1, 4, 8-9, 11-12</t>
        </is>
      </c>
    </row>
    <row r="19" ht="15" customHeight="1" s="17">
      <c r="A19" s="35" t="inlineStr">
        <is>
          <t>Filler items (not scored)</t>
        </is>
      </c>
      <c r="B19" s="27" t="inlineStr">
        <is>
          <t>None</t>
        </is>
      </c>
    </row>
    <row r="20" ht="105" customHeight="1" s="17">
      <c r="A20" s="35" t="inlineStr">
        <is>
          <t>Total scoring</t>
        </is>
      </c>
      <c r="B20" s="27" t="inlineStr">
        <is>
          <t>Reverse score the six negative-subscale items (1, 4, 8, 9, 11, 12) using 1=5, 2=4, 3=3, 4=2, 5=1. Each of the six subscale scores is the mean of its 2 items (range 1-5). The total self-compassion score is the mean of all 12 item scores after reverse-scoring (range 1-5), as stated in the source (self-compassion.org). NovoPsych additionally reports two composite groupings from its own sample scoring report: Self-Care (the 6 positively-worded items: 2, 3, 5, 6, 7, 10) and Self-Disparagement (the 6 negatively-worded items: 1, 4, 8, 9, 11, 12, unreversed), with total self-compassion characterised as high Self-Care combined with low Self-Disparagement.</t>
        </is>
      </c>
    </row>
    <row r="21" ht="45" customHeight="1" s="17">
      <c r="A21" s="35" t="inlineStr">
        <is>
          <t>Interpretation bands</t>
        </is>
      </c>
      <c r="B21" s="27" t="inlineStr">
        <is>
          <t>Average: around the 50th percentile - Level of self-compassion broadly typical of NovoPsych's comparison group (per NovoPsych's sample scoring report, which compares individual scores to a clinical/psychotherapy-client reference group).</t>
        </is>
      </c>
    </row>
    <row r="22" ht="45" customHeight="1" s="17">
      <c r="A22" s="35" t="inlineStr">
        <is>
          <t>Cut-offs</t>
        </is>
      </c>
      <c r="B22" s="27" t="inlineStr">
        <is>
          <t>No formal clinical cutoff scores were found in the developer source (self-compassion.org). NovoPsych's sample scoring report presents results as percentiles against a normative comparison group but did not provide a specific raw-score cutoff table in the content retrieved this session.</t>
        </is>
      </c>
    </row>
    <row r="23" ht="75" customHeight="1" s="17">
      <c r="A23" s="35" t="inlineStr">
        <is>
          <t>Normative data</t>
        </is>
      </c>
      <c r="B23" s="27" t="inlineStr">
        <is>
          <t>NovoPsych's sample scoring report states norms are presented in comparison to a clinical group with no previous suicidal ideation, citing Hayes et al. (2016); exact sample size and means/SDs were not retrievable from the content fetched this session. The original short-form validation (Raes et al., 2011) used Dutch/Belgian construction samples plus an English validation sample of N = 415 University of Texas at Austin students.</t>
        </is>
      </c>
    </row>
    <row r="24" ht="45" customHeight="1" s="17">
      <c r="A24" s="35" t="inlineStr">
        <is>
          <t>Psychometric properties</t>
        </is>
      </c>
      <c r="B24" s="27" t="inlineStr">
        <is>
          <t>Total-score Cronbach's alpha = .86 across the construction samples and the N = 415 English-language student validation sample (Raes, Pommier, Neff, &amp; Van Gucht, 2011). No additional subscale-level reliability coefficients were extractable from the sources fetched this session.</t>
        </is>
      </c>
    </row>
    <row r="25" ht="45" customHeight="1" s="17">
      <c r="A25" s="35" t="inlineStr">
        <is>
          <t>Developer citation</t>
        </is>
      </c>
      <c r="B25" s="27" t="inlineStr">
        <is>
          <t>Raes, F., Pommier, E., Neff, K. D., &amp; Van Gucht, D. (2011). Construction and factorial validation of a short form of the Self-Compassion Scale. Clinical Psychology &amp; Psychotherapy, 18(3), 250–255. https://doi.org/10.1002/cpp.702</t>
        </is>
      </c>
    </row>
    <row r="26" ht="45" customHeight="1" s="17">
      <c r="A26" s="35" t="inlineStr">
        <is>
          <t>Copyright and licensing</t>
        </is>
      </c>
      <c r="B26" s="27" t="inlineStr">
        <is>
          <t>self-compassion.org (Kristin Neff's official scale page) states: "Please feel free to use the Self-Compassion Scale – Short Form in your research." Standard journal copyright (Wiley, 2010) applies to the Raes et al. validation article itself, not to use of the instrument.</t>
        </is>
      </c>
    </row>
    <row r="27" ht="15" customHeight="1" s="17">
      <c r="A27" s="35" t="inlineStr">
        <is>
          <t>Source URL</t>
        </is>
      </c>
      <c r="B27" s="27" t="inlineStr">
        <is>
          <t>https://self-compassion.org/wp-content/uploads/2015/02/ShortSCS.pdf</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When I fail at something important to me I become consumed by feelings of inadequacy.</t>
        </is>
      </c>
      <c r="C30" s="27" t="inlineStr">
        <is>
          <t>Over-Identification</t>
        </is>
      </c>
      <c r="D30" s="34" t="inlineStr">
        <is>
          <t>TRUE</t>
        </is>
      </c>
      <c r="E30" s="27" t="inlineStr">
        <is>
          <t>FALSE</t>
        </is>
      </c>
      <c r="F30" s="27" t="n"/>
    </row>
    <row r="31" ht="15" customHeight="1" s="17">
      <c r="A31" s="28" t="n">
        <v>2</v>
      </c>
      <c r="B31" s="27" t="inlineStr">
        <is>
          <t>I try to be understanding and patient towards those aspects of my personality I don't like.</t>
        </is>
      </c>
      <c r="C31" s="27" t="inlineStr">
        <is>
          <t>Self-Kindness</t>
        </is>
      </c>
      <c r="D31" s="27" t="inlineStr">
        <is>
          <t>FALSE</t>
        </is>
      </c>
      <c r="E31" s="27" t="inlineStr">
        <is>
          <t>FALSE</t>
        </is>
      </c>
      <c r="F31" s="27" t="n"/>
    </row>
    <row r="32" ht="15" customHeight="1" s="17">
      <c r="A32" s="28" t="n">
        <v>3</v>
      </c>
      <c r="B32" s="27" t="inlineStr">
        <is>
          <t>When something painful happens I try to take a balanced view of the situation.</t>
        </is>
      </c>
      <c r="C32" s="27" t="inlineStr">
        <is>
          <t>Mindfulness</t>
        </is>
      </c>
      <c r="D32" s="27" t="inlineStr">
        <is>
          <t>FALSE</t>
        </is>
      </c>
      <c r="E32" s="27" t="inlineStr">
        <is>
          <t>FALSE</t>
        </is>
      </c>
      <c r="F32" s="27" t="n"/>
    </row>
    <row r="33" ht="15" customHeight="1" s="17">
      <c r="A33" s="28" t="n">
        <v>4</v>
      </c>
      <c r="B33" s="27" t="inlineStr">
        <is>
          <t>When I'm feeling down, I tend to feel like most other people are probably happier than I am.</t>
        </is>
      </c>
      <c r="C33" s="27" t="inlineStr">
        <is>
          <t>Isolation</t>
        </is>
      </c>
      <c r="D33" s="34" t="inlineStr">
        <is>
          <t>TRUE</t>
        </is>
      </c>
      <c r="E33" s="27" t="inlineStr">
        <is>
          <t>FALSE</t>
        </is>
      </c>
      <c r="F33" s="27" t="n"/>
    </row>
    <row r="34" ht="15" customHeight="1" s="17">
      <c r="A34" s="28" t="n">
        <v>5</v>
      </c>
      <c r="B34" s="27" t="inlineStr">
        <is>
          <t>I try to see my failings as part of the human condition.</t>
        </is>
      </c>
      <c r="C34" s="27" t="inlineStr">
        <is>
          <t>Common Humanity</t>
        </is>
      </c>
      <c r="D34" s="27" t="inlineStr">
        <is>
          <t>FALSE</t>
        </is>
      </c>
      <c r="E34" s="27" t="inlineStr">
        <is>
          <t>FALSE</t>
        </is>
      </c>
      <c r="F34" s="27" t="n"/>
    </row>
    <row r="35" ht="15" customHeight="1" s="17">
      <c r="A35" s="28" t="n">
        <v>6</v>
      </c>
      <c r="B35" s="27" t="inlineStr">
        <is>
          <t>When I'm going through a very hard time, I give myself the caring and tenderness I need.</t>
        </is>
      </c>
      <c r="C35" s="27" t="inlineStr">
        <is>
          <t>Self-Kindness</t>
        </is>
      </c>
      <c r="D35" s="27" t="inlineStr">
        <is>
          <t>FALSE</t>
        </is>
      </c>
      <c r="E35" s="27" t="inlineStr">
        <is>
          <t>FALSE</t>
        </is>
      </c>
      <c r="F35" s="27" t="n"/>
    </row>
    <row r="36" ht="15" customHeight="1" s="17">
      <c r="A36" s="28" t="n">
        <v>7</v>
      </c>
      <c r="B36" s="27" t="inlineStr">
        <is>
          <t>When something upsets me I try to keep my emotions in balance.</t>
        </is>
      </c>
      <c r="C36" s="27" t="inlineStr">
        <is>
          <t>Mindfulness</t>
        </is>
      </c>
      <c r="D36" s="27" t="inlineStr">
        <is>
          <t>FALSE</t>
        </is>
      </c>
      <c r="E36" s="27" t="inlineStr">
        <is>
          <t>FALSE</t>
        </is>
      </c>
      <c r="F36" s="27" t="n"/>
    </row>
    <row r="37" ht="15" customHeight="1" s="17">
      <c r="A37" s="28" t="n">
        <v>8</v>
      </c>
      <c r="B37" s="27" t="inlineStr">
        <is>
          <t>When I fail at something that's important to me, I tend to feel alone in my failure.</t>
        </is>
      </c>
      <c r="C37" s="27" t="inlineStr">
        <is>
          <t>Isolation</t>
        </is>
      </c>
      <c r="D37" s="34" t="inlineStr">
        <is>
          <t>TRUE</t>
        </is>
      </c>
      <c r="E37" s="27" t="inlineStr">
        <is>
          <t>FALSE</t>
        </is>
      </c>
      <c r="F37" s="27" t="n"/>
    </row>
    <row r="38" ht="15" customHeight="1" s="17">
      <c r="A38" s="28" t="n">
        <v>9</v>
      </c>
      <c r="B38" s="27" t="inlineStr">
        <is>
          <t>When I'm feeling down I tend to obsess and fixate on everything that's wrong.</t>
        </is>
      </c>
      <c r="C38" s="27" t="inlineStr">
        <is>
          <t>Over-Identification</t>
        </is>
      </c>
      <c r="D38" s="34" t="inlineStr">
        <is>
          <t>TRUE</t>
        </is>
      </c>
      <c r="E38" s="27" t="inlineStr">
        <is>
          <t>FALSE</t>
        </is>
      </c>
      <c r="F38" s="27" t="n"/>
    </row>
    <row r="39" ht="23.85" customHeight="1" s="17">
      <c r="A39" s="28" t="n">
        <v>10</v>
      </c>
      <c r="B39" s="27" t="inlineStr">
        <is>
          <t>When I feel inadequate in some way, I try to remind myself that feelings of inadequacy are shared by most people.</t>
        </is>
      </c>
      <c r="C39" s="27" t="inlineStr">
        <is>
          <t>Common Humanity</t>
        </is>
      </c>
      <c r="D39" s="27" t="inlineStr">
        <is>
          <t>FALSE</t>
        </is>
      </c>
      <c r="E39" s="27" t="inlineStr">
        <is>
          <t>FALSE</t>
        </is>
      </c>
      <c r="F39" s="27" t="n"/>
    </row>
    <row r="40" ht="15" customHeight="1" s="17">
      <c r="A40" s="28" t="n">
        <v>11</v>
      </c>
      <c r="B40" s="27" t="inlineStr">
        <is>
          <t>I'm disapproving and judgmental about my own flaws and inadequacies.</t>
        </is>
      </c>
      <c r="C40" s="27" t="inlineStr">
        <is>
          <t>Self-Judgment</t>
        </is>
      </c>
      <c r="D40" s="34" t="inlineStr">
        <is>
          <t>TRUE</t>
        </is>
      </c>
      <c r="E40" s="27" t="inlineStr">
        <is>
          <t>FALSE</t>
        </is>
      </c>
      <c r="F40" s="27" t="n"/>
    </row>
    <row r="41" ht="15" customHeight="1" s="17">
      <c r="A41" s="28" t="n">
        <v>12</v>
      </c>
      <c r="B41" s="27" t="inlineStr">
        <is>
          <t>I'm intolerant and impatient towards those aspects of my personality I don't like.</t>
        </is>
      </c>
      <c r="C41" s="27" t="inlineStr">
        <is>
          <t>Self-Judgment</t>
        </is>
      </c>
      <c r="D41" s="34" t="inlineStr">
        <is>
          <t>TRUE</t>
        </is>
      </c>
      <c r="E41" s="27" t="inlineStr">
        <is>
          <t>FALSE</t>
        </is>
      </c>
      <c r="F41" s="27" t="n"/>
    </row>
  </sheetData>
  <autoFilter ref="A29:F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F53"/>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Basic Psychological Need Satisfaction and Frustration Scale (BPNSFS)</t>
        </is>
      </c>
    </row>
    <row r="3" ht="15" customHeight="1" s="17">
      <c r="A3" s="35" t="inlineStr">
        <is>
          <t>Instrument</t>
        </is>
      </c>
      <c r="B3" s="27" t="inlineStr">
        <is>
          <t>Basic Psychological Need Satisfaction and Frustration Scale (BPNSFS)</t>
        </is>
      </c>
    </row>
    <row r="4" ht="15" customHeight="1" s="17">
      <c r="A4" s="35" t="inlineStr">
        <is>
          <t>Code</t>
        </is>
      </c>
      <c r="B4" s="27" t="inlineStr">
        <is>
          <t>BPNSFS</t>
        </is>
      </c>
    </row>
    <row r="5" ht="15" customHeight="1" s="17">
      <c r="A5" s="35" t="inlineStr">
        <is>
          <t>Domain</t>
        </is>
      </c>
      <c r="B5" s="27" t="inlineStr">
        <is>
          <t>6. Motivation, self determination and goal pursuit</t>
        </is>
      </c>
    </row>
    <row r="6" ht="15" customHeight="1" s="17">
      <c r="A6" s="35" t="inlineStr">
        <is>
          <t>Availability</t>
        </is>
      </c>
      <c r="B6" s="27" t="inlineStr">
        <is>
          <t>Free for research; permission needed for commercial use</t>
        </is>
      </c>
    </row>
    <row r="7" ht="60" customHeight="1" s="17">
      <c r="A7" s="35" t="inlineStr">
        <is>
          <t>Construct</t>
        </is>
      </c>
      <c r="B7" s="27" t="inlineStr">
        <is>
          <t>The satisfaction and the frustration of the three basic psychological needs identified in self-determination theory: autonomy, competence and relatedness. The scale distinguishes need satisfaction (the needs being met) from need frustration (the needs being actively thwarted, not merely unmet), producing six subscale scores rather than three.</t>
        </is>
      </c>
    </row>
    <row r="8" ht="60" customHeight="1" s="17">
      <c r="A8" s="35" t="inlineStr">
        <is>
          <t>Respondent</t>
        </is>
      </c>
      <c r="B8" s="27" t="inlineStr">
        <is>
          <t>General adult respondents (self-report). The Center for Self-Determination Theory also publishes separate BPNSFS versions for children and for adults with intellectual disabilities, and domain-specific adaptations (e.g. school, work, sport, physical education, exercise, relationships, motherhood) in numerous languages; this record documents the general, life-wide, English adult version.</t>
        </is>
      </c>
    </row>
    <row r="9" ht="30" customHeight="1" s="17">
      <c r="A9" s="35" t="inlineStr">
        <is>
          <t>Age range</t>
        </is>
      </c>
      <c r="B9" s="27" t="inlineStr">
        <is>
          <t>Not stated precisely in the source; the general version is written for adults. Separate child and intellectual-disability versions exist but were not transcribed here.</t>
        </is>
      </c>
    </row>
    <row r="10" ht="15" customHeight="1" s="17">
      <c r="A10" s="35" t="inlineStr">
        <is>
          <t>Items in instrument</t>
        </is>
      </c>
      <c r="B10" s="27" t="inlineStr">
        <is>
          <t>24</t>
        </is>
      </c>
    </row>
    <row r="11" ht="15" customHeight="1" s="17">
      <c r="A11" s="35" t="inlineStr">
        <is>
          <t>Items reproduced here</t>
        </is>
      </c>
      <c r="B11" s="27" t="inlineStr">
        <is>
          <t>24</t>
        </is>
      </c>
    </row>
    <row r="12" ht="15" customHeight="1" s="17">
      <c r="A12" s="35" t="inlineStr">
        <is>
          <t>Administration time</t>
        </is>
      </c>
      <c r="B12" s="27" t="inlineStr">
        <is>
          <t>Not stated on source</t>
        </is>
      </c>
    </row>
    <row r="13" ht="120" customHeight="1" s="17">
      <c r="A13" s="35" t="inlineStr">
        <is>
          <t>Cost and access</t>
        </is>
      </c>
      <c r="B13" s="27" t="inlineStr">
        <is>
          <t>The form is downloaded free of charge from the Center for Self-Determination Theory website (selfdeterminationtheory.org), which requires agreeing to terms before download. The Questionnaires page (https://selfdeterminationtheory.org/questionnaires/) states: 'You are welcome to use the instruments for academic (non-commercial) research projects.' and 'However, you may not use any of them for any commercial purposes without written permission to do so from the Center for Self-Determination Theory.' It also states: 'Please note that all questionnaires on this web site, developed for research on self-determination theory, are copyrighted.' No fee is specified for research use; commercial use requires contacting the Center for written permission.</t>
        </is>
      </c>
    </row>
    <row r="14" ht="150" customHeight="1" s="17">
      <c r="A14" s="35" t="inlineStr">
        <is>
          <t>Coaching application</t>
        </is>
      </c>
      <c r="B14" s="27" t="inlineStr">
        <is>
          <t>In coaching university students and early-career professionals, the BPNSFS is useful because it separates need satisfaction from need frustration rather than collapsing autonomy, competence and relatedness onto a single dimension each, so a client can show low satisfaction with no active frustration (an unmet need, e.g. a quiet sense that study choices are not their own) or high frustration (an actively thwarted need, e.g. feeling coerced or excluded), which point to different interventions. This distinction is well suited to conversations about study or career direction, workload and belonging during placements or early jobs. Its limits are that it is a general self-report measure not normed for coaching or clinical decision-making, carries no published cutoffs, and (per Chen et al., 2015) shows lower and more variable reliability for some subscales outside Western samples, so scores should inform discussion rather than stand as a diagnostic result.</t>
        </is>
      </c>
    </row>
    <row r="15" ht="105" customHeight="1" s="17">
      <c r="A15" s="35" t="inlineStr">
        <is>
          <t>Purpose</t>
        </is>
      </c>
      <c r="B15" s="27" t="inlineStr">
        <is>
          <t>The BPNSFS was developed to measure the degree to which people experience their basic psychological needs for autonomy, competence and relatedness as satisfied in their life, and separately, the degree to which those needs are actively frustrated. It was designed to test self-determination theory's proposition that need frustration is not simply the absence of need satisfaction but a distinct experience with its own consequences for ill-being. The general version asks about need satisfaction and frustration in life as a whole, while domain-specific versions ask about the same six constructs within a particular context such as work, school, sport or relationships.</t>
        </is>
      </c>
    </row>
    <row r="16" ht="45" customHeight="1" s="17">
      <c r="A16" s="35" t="inlineStr">
        <is>
          <t>Instructions / prompt</t>
        </is>
      </c>
      <c r="B16" s="27" t="inlineStr">
        <is>
          <t>Below, we ask you about the kind of experiences you actually have in your life. Please read each of the following items carefully. You can choose from 1 to 5 to indicate the degree to which the statement is true for you at this point in your life.</t>
        </is>
      </c>
    </row>
    <row r="17" ht="15" customHeight="1" s="17">
      <c r="A17" s="35" t="inlineStr">
        <is>
          <t>Response options</t>
        </is>
      </c>
      <c r="B17" s="27" t="inlineStr">
        <is>
          <t>Not true at all = 1 | 2 = 2 | 3 = 3 | 4 = 4 | Completely true = 5</t>
        </is>
      </c>
    </row>
    <row r="18" ht="15" customHeight="1" s="17">
      <c r="A18" s="35" t="inlineStr">
        <is>
          <t>Reverse-scored items</t>
        </is>
      </c>
      <c r="B18" s="27" t="inlineStr">
        <is>
          <t>None</t>
        </is>
      </c>
    </row>
    <row r="19" ht="15" customHeight="1" s="17">
      <c r="A19" s="35" t="inlineStr">
        <is>
          <t>Filler items (not scored)</t>
        </is>
      </c>
      <c r="B19" s="27" t="inlineStr">
        <is>
          <t>None</t>
        </is>
      </c>
    </row>
    <row r="20" ht="169.5" customHeight="1" s="17">
      <c r="A20" s="35" t="inlineStr">
        <is>
          <t>Total scoring</t>
        </is>
      </c>
      <c r="B20" s="27" t="inlineStr">
        <is>
          <t>The BPNSFS manual (BPNSFS_Complete_2020.pdf) specifies only which four items belong to each of the six subscales; it does not itself print an explicit averaging or summing instruction. The Center for Self-Determination Theory manual discusses more than one scoring approach used in the literature, including subscale scores kept separate, and composite need-satisfaction and need-frustration scores formed by combining the three relevant subscales; it does not state that combining is prohibited. The standard and most commonly reported approach in the validation literature (Chen et al., 2015) is to score the six four-item subscales separately (mean or sum of their four items) and, where a broader summary is wanted, to form composite satisfaction and composite frustration scores from the three satisfaction and three frustration subscales respectively, keeping satisfaction and frustration as two separate scores rather than collapsing them into one overall index, because Chen et al. (2015) found satisfaction and frustration had 'relatively unique associations' with well-being and ill-being outcomes respectively.</t>
        </is>
      </c>
    </row>
    <row r="21" ht="15" customHeight="1" s="17">
      <c r="A21" s="35" t="inlineStr">
        <is>
          <t>Interpretation bands</t>
        </is>
      </c>
      <c r="B21" s="27" t="inlineStr">
        <is>
          <t>Not stated on source</t>
        </is>
      </c>
    </row>
    <row r="22" ht="15" customHeight="1" s="17">
      <c r="A22" s="35" t="inlineStr">
        <is>
          <t>Cut-offs</t>
        </is>
      </c>
      <c r="B22" s="27" t="inlineStr">
        <is>
          <t>Not stated on source</t>
        </is>
      </c>
    </row>
    <row r="23" ht="15" customHeight="1" s="17">
      <c r="A23" s="35" t="inlineStr">
        <is>
          <t>Normative data</t>
        </is>
      </c>
      <c r="B23" s="27" t="inlineStr">
        <is>
          <t>Not stated on source</t>
        </is>
      </c>
    </row>
    <row r="24" ht="169.5" customHeight="1" s="17">
      <c r="A24" s="35" t="inlineStr">
        <is>
          <t>Psychometric properties</t>
        </is>
      </c>
      <c r="B24" s="27" t="inlineStr">
        <is>
          <t>Chen et al. (2015), Study 2 (N = 525 across four countries), reported Cronbach's alpha internal consistencies for the six subscales as follows (extracted from an open-access full-text copy of the article, since the publisher (Springer) version and the Center for Self-Determination Theory's own hosted copy required login/subscription and could not be opened directly): United States - autonomy satisfaction .81, autonomy frustration .71, relatedness satisfaction .83, relatedness frustration .81, competence satisfaction .88, competence frustration .86; China - autonomy satisfaction .69, autonomy frustration .72, relatedness satisfaction .65, relatedness frustration .73, competence satisfaction .74, competence frustration .76; Peru - autonomy satisfaction .74, autonomy frustration .77, relatedness satisfaction .75, relatedness frustration .64, competence satisfaction .78, competence frustration .67; Belgium - autonomy satisfaction .82, autonomy frustration .77, relatedness satisfaction .83, relatedness frustration .67, competence satisfaction .82, competence frustration .84. The source text also describes the overall set of alphas as ranging 'between 0.64 and 0.89' across the four countries, a fractionally wider range than the highest individual subscale value located (.88, US competence satisfaction), which may reflect a composite need-satisfaction or need-frustration score not itemised in the extracted table. Chen, B., et al. (2015), Motivation and Emotion, 39, 216-236, https://doi.org/10.1007/s11031-014-9450-1.</t>
        </is>
      </c>
    </row>
    <row r="25" ht="60" customHeight="1" s="17">
      <c r="A25" s="35" t="inlineStr">
        <is>
          <t>Developer citation</t>
        </is>
      </c>
      <c r="B25" s="27" t="inlineStr">
        <is>
          <t>Chen, B., Vansteenkiste, M., Beyers, W., Boone, L., Deci, E. L., Van der Kaap-Deeder, J., Duriez, B., Lens, W., Matos, L., Mouratidis, A., Ryan, R. M., Sheldon, K. M., Soenens, B., Van Petegem, S., &amp; Verstuyf, J. (2015). Basic psychological need satisfaction, need frustration, and need strength across four cultures. Motivation and Emotion, 39(2), 216-236. https://doi.org/10.1007/s11031-014-9450-1</t>
        </is>
      </c>
    </row>
    <row r="26" ht="45" customHeight="1" s="17">
      <c r="A26" s="35" t="inlineStr">
        <is>
          <t>Copyright and licensing</t>
        </is>
      </c>
      <c r="B26" s="27" t="inlineStr">
        <is>
          <t>All questionnaires on selfdeterminationtheory.org, including the BPNSFS, are stated to be copyrighted. Free for academic, non-commercial research use. Written permission from the Center for Self-Determination Theory is required for any commercial use.</t>
        </is>
      </c>
    </row>
    <row r="27" ht="15" customHeight="1" s="17">
      <c r="A27" s="35" t="inlineStr">
        <is>
          <t>Source URL</t>
        </is>
      </c>
      <c r="B27" s="27" t="inlineStr">
        <is>
          <t>https://selfdeterminationtheory.org/basic-psychological-need-satisfaction-and-frustration-scale/</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I feel a sense of choice and freedom in the things I undertake.</t>
        </is>
      </c>
      <c r="C30" s="27" t="inlineStr">
        <is>
          <t>Autonomy satisfaction</t>
        </is>
      </c>
      <c r="D30" s="27" t="inlineStr">
        <is>
          <t>FALSE</t>
        </is>
      </c>
      <c r="E30" s="27" t="inlineStr">
        <is>
          <t>FALSE</t>
        </is>
      </c>
      <c r="F30" s="27" t="n"/>
    </row>
    <row r="31" ht="15" customHeight="1" s="17">
      <c r="A31" s="28" t="n">
        <v>2</v>
      </c>
      <c r="B31" s="27" t="inlineStr">
        <is>
          <t>Most of the things I do feel like "I have to".</t>
        </is>
      </c>
      <c r="C31" s="27" t="inlineStr">
        <is>
          <t>Autonomy frustration</t>
        </is>
      </c>
      <c r="D31" s="27" t="inlineStr">
        <is>
          <t>FALSE</t>
        </is>
      </c>
      <c r="E31" s="27" t="inlineStr">
        <is>
          <t>FALSE</t>
        </is>
      </c>
      <c r="F31" s="27" t="n"/>
    </row>
    <row r="32" ht="15" customHeight="1" s="17">
      <c r="A32" s="28" t="n">
        <v>3</v>
      </c>
      <c r="B32" s="27" t="inlineStr">
        <is>
          <t>I feel that the people I care about also care about me.</t>
        </is>
      </c>
      <c r="C32" s="27" t="inlineStr">
        <is>
          <t>Relatedness satisfaction</t>
        </is>
      </c>
      <c r="D32" s="27" t="inlineStr">
        <is>
          <t>FALSE</t>
        </is>
      </c>
      <c r="E32" s="27" t="inlineStr">
        <is>
          <t>FALSE</t>
        </is>
      </c>
      <c r="F32" s="27" t="n"/>
    </row>
    <row r="33" ht="15" customHeight="1" s="17">
      <c r="A33" s="28" t="n">
        <v>4</v>
      </c>
      <c r="B33" s="27" t="inlineStr">
        <is>
          <t>I feel excluded from the group I want to belong to.</t>
        </is>
      </c>
      <c r="C33" s="27" t="inlineStr">
        <is>
          <t>Relatedness frustration</t>
        </is>
      </c>
      <c r="D33" s="27" t="inlineStr">
        <is>
          <t>FALSE</t>
        </is>
      </c>
      <c r="E33" s="27" t="inlineStr">
        <is>
          <t>FALSE</t>
        </is>
      </c>
      <c r="F33" s="27" t="n"/>
    </row>
    <row r="34" ht="15" customHeight="1" s="17">
      <c r="A34" s="28" t="n">
        <v>5</v>
      </c>
      <c r="B34" s="27" t="inlineStr">
        <is>
          <t>I feel confident that I can do things well.</t>
        </is>
      </c>
      <c r="C34" s="27" t="inlineStr">
        <is>
          <t>Competence satisfaction</t>
        </is>
      </c>
      <c r="D34" s="27" t="inlineStr">
        <is>
          <t>FALSE</t>
        </is>
      </c>
      <c r="E34" s="27" t="inlineStr">
        <is>
          <t>FALSE</t>
        </is>
      </c>
      <c r="F34" s="27" t="n"/>
    </row>
    <row r="35" ht="15" customHeight="1" s="17">
      <c r="A35" s="28" t="n">
        <v>6</v>
      </c>
      <c r="B35" s="27" t="inlineStr">
        <is>
          <t>I have serious doubts about whether I can do things well.</t>
        </is>
      </c>
      <c r="C35" s="27" t="inlineStr">
        <is>
          <t>Competence frustration</t>
        </is>
      </c>
      <c r="D35" s="27" t="inlineStr">
        <is>
          <t>FALSE</t>
        </is>
      </c>
      <c r="E35" s="27" t="inlineStr">
        <is>
          <t>FALSE</t>
        </is>
      </c>
      <c r="F35" s="27" t="n"/>
    </row>
    <row r="36" ht="15" customHeight="1" s="17">
      <c r="A36" s="28" t="n">
        <v>7</v>
      </c>
      <c r="B36" s="27" t="inlineStr">
        <is>
          <t>I feel that my decisions reflect what I really want.</t>
        </is>
      </c>
      <c r="C36" s="27" t="inlineStr">
        <is>
          <t>Autonomy satisfaction</t>
        </is>
      </c>
      <c r="D36" s="27" t="inlineStr">
        <is>
          <t>FALSE</t>
        </is>
      </c>
      <c r="E36" s="27" t="inlineStr">
        <is>
          <t>FALSE</t>
        </is>
      </c>
      <c r="F36" s="27" t="n"/>
    </row>
    <row r="37" ht="15" customHeight="1" s="17">
      <c r="A37" s="28" t="n">
        <v>8</v>
      </c>
      <c r="B37" s="27" t="inlineStr">
        <is>
          <t>I feel forced to do many things I wouldn't choose to do.</t>
        </is>
      </c>
      <c r="C37" s="27" t="inlineStr">
        <is>
          <t>Autonomy frustration</t>
        </is>
      </c>
      <c r="D37" s="27" t="inlineStr">
        <is>
          <t>FALSE</t>
        </is>
      </c>
      <c r="E37" s="27" t="inlineStr">
        <is>
          <t>FALSE</t>
        </is>
      </c>
      <c r="F37" s="27" t="n"/>
    </row>
    <row r="38" ht="15" customHeight="1" s="17">
      <c r="A38" s="28" t="n">
        <v>9</v>
      </c>
      <c r="B38" s="27" t="inlineStr">
        <is>
          <t>I feel connected with people who care for me, and for whom I care.</t>
        </is>
      </c>
      <c r="C38" s="27" t="inlineStr">
        <is>
          <t>Relatedness satisfaction</t>
        </is>
      </c>
      <c r="D38" s="27" t="inlineStr">
        <is>
          <t>FALSE</t>
        </is>
      </c>
      <c r="E38" s="27" t="inlineStr">
        <is>
          <t>FALSE</t>
        </is>
      </c>
      <c r="F38" s="27" t="n"/>
    </row>
    <row r="39" ht="15" customHeight="1" s="17">
      <c r="A39" s="28" t="n">
        <v>10</v>
      </c>
      <c r="B39" s="27" t="inlineStr">
        <is>
          <t>I feel that people who are important to me are cold and distant towards me.</t>
        </is>
      </c>
      <c r="C39" s="27" t="inlineStr">
        <is>
          <t>Relatedness frustration</t>
        </is>
      </c>
      <c r="D39" s="27" t="inlineStr">
        <is>
          <t>FALSE</t>
        </is>
      </c>
      <c r="E39" s="27" t="inlineStr">
        <is>
          <t>FALSE</t>
        </is>
      </c>
      <c r="F39" s="27" t="n"/>
    </row>
    <row r="40" ht="15" customHeight="1" s="17">
      <c r="A40" s="28" t="n">
        <v>11</v>
      </c>
      <c r="B40" s="27" t="inlineStr">
        <is>
          <t>I feel capable at what I do.</t>
        </is>
      </c>
      <c r="C40" s="27" t="inlineStr">
        <is>
          <t>Competence satisfaction</t>
        </is>
      </c>
      <c r="D40" s="27" t="inlineStr">
        <is>
          <t>FALSE</t>
        </is>
      </c>
      <c r="E40" s="27" t="inlineStr">
        <is>
          <t>FALSE</t>
        </is>
      </c>
      <c r="F40" s="27" t="n"/>
    </row>
    <row r="41" ht="15" customHeight="1" s="17">
      <c r="A41" s="28" t="n">
        <v>12</v>
      </c>
      <c r="B41" s="27" t="inlineStr">
        <is>
          <t>I feel disappointed with many of my performances.</t>
        </is>
      </c>
      <c r="C41" s="27" t="inlineStr">
        <is>
          <t>Competence frustration</t>
        </is>
      </c>
      <c r="D41" s="27" t="inlineStr">
        <is>
          <t>FALSE</t>
        </is>
      </c>
      <c r="E41" s="27" t="inlineStr">
        <is>
          <t>FALSE</t>
        </is>
      </c>
      <c r="F41" s="27" t="n"/>
    </row>
    <row r="42" ht="15" customHeight="1" s="17">
      <c r="A42" s="28" t="n">
        <v>13</v>
      </c>
      <c r="B42" s="27" t="inlineStr">
        <is>
          <t>I feel my choices express who I really am.</t>
        </is>
      </c>
      <c r="C42" s="27" t="inlineStr">
        <is>
          <t>Autonomy satisfaction</t>
        </is>
      </c>
      <c r="D42" s="27" t="inlineStr">
        <is>
          <t>FALSE</t>
        </is>
      </c>
      <c r="E42" s="27" t="inlineStr">
        <is>
          <t>FALSE</t>
        </is>
      </c>
      <c r="F42" s="27" t="n"/>
    </row>
    <row r="43" ht="15" customHeight="1" s="17">
      <c r="A43" s="28" t="n">
        <v>14</v>
      </c>
      <c r="B43" s="27" t="inlineStr">
        <is>
          <t>I feel pressured to do too many things.</t>
        </is>
      </c>
      <c r="C43" s="27" t="inlineStr">
        <is>
          <t>Autonomy frustration</t>
        </is>
      </c>
      <c r="D43" s="27" t="inlineStr">
        <is>
          <t>FALSE</t>
        </is>
      </c>
      <c r="E43" s="27" t="inlineStr">
        <is>
          <t>FALSE</t>
        </is>
      </c>
      <c r="F43" s="27" t="n"/>
    </row>
    <row r="44" ht="15" customHeight="1" s="17">
      <c r="A44" s="28" t="n">
        <v>15</v>
      </c>
      <c r="B44" s="27" t="inlineStr">
        <is>
          <t>I feel close and connected with other people who are important to me.</t>
        </is>
      </c>
      <c r="C44" s="27" t="inlineStr">
        <is>
          <t>Relatedness satisfaction</t>
        </is>
      </c>
      <c r="D44" s="27" t="inlineStr">
        <is>
          <t>FALSE</t>
        </is>
      </c>
      <c r="E44" s="27" t="inlineStr">
        <is>
          <t>FALSE</t>
        </is>
      </c>
      <c r="F44" s="27" t="n"/>
    </row>
    <row r="45" ht="15" customHeight="1" s="17">
      <c r="A45" s="28" t="n">
        <v>16</v>
      </c>
      <c r="B45" s="27" t="inlineStr">
        <is>
          <t>I have the impression that people I spend time with dislike me.</t>
        </is>
      </c>
      <c r="C45" s="27" t="inlineStr">
        <is>
          <t>Relatedness frustration</t>
        </is>
      </c>
      <c r="D45" s="27" t="inlineStr">
        <is>
          <t>FALSE</t>
        </is>
      </c>
      <c r="E45" s="27" t="inlineStr">
        <is>
          <t>FALSE</t>
        </is>
      </c>
      <c r="F45" s="27" t="n"/>
    </row>
    <row r="46" ht="15" customHeight="1" s="17">
      <c r="A46" s="28" t="n">
        <v>17</v>
      </c>
      <c r="B46" s="27" t="inlineStr">
        <is>
          <t>I feel competent to achieve my goals.</t>
        </is>
      </c>
      <c r="C46" s="27" t="inlineStr">
        <is>
          <t>Competence satisfaction</t>
        </is>
      </c>
      <c r="D46" s="27" t="inlineStr">
        <is>
          <t>FALSE</t>
        </is>
      </c>
      <c r="E46" s="27" t="inlineStr">
        <is>
          <t>FALSE</t>
        </is>
      </c>
      <c r="F46" s="27" t="n"/>
    </row>
    <row r="47" ht="15" customHeight="1" s="17">
      <c r="A47" s="28" t="n">
        <v>18</v>
      </c>
      <c r="B47" s="27" t="inlineStr">
        <is>
          <t>I feel insecure about my abilities.</t>
        </is>
      </c>
      <c r="C47" s="27" t="inlineStr">
        <is>
          <t>Competence frustration</t>
        </is>
      </c>
      <c r="D47" s="27" t="inlineStr">
        <is>
          <t>FALSE</t>
        </is>
      </c>
      <c r="E47" s="27" t="inlineStr">
        <is>
          <t>FALSE</t>
        </is>
      </c>
      <c r="F47" s="27" t="n"/>
    </row>
    <row r="48" ht="15" customHeight="1" s="17">
      <c r="A48" s="28" t="n">
        <v>19</v>
      </c>
      <c r="B48" s="27" t="inlineStr">
        <is>
          <t>I feel I have been doing what really interests me.</t>
        </is>
      </c>
      <c r="C48" s="27" t="inlineStr">
        <is>
          <t>Autonomy satisfaction</t>
        </is>
      </c>
      <c r="D48" s="27" t="inlineStr">
        <is>
          <t>FALSE</t>
        </is>
      </c>
      <c r="E48" s="27" t="inlineStr">
        <is>
          <t>FALSE</t>
        </is>
      </c>
      <c r="F48" s="27" t="n"/>
    </row>
    <row r="49" ht="15" customHeight="1" s="17">
      <c r="A49" s="28" t="n">
        <v>20</v>
      </c>
      <c r="B49" s="27" t="inlineStr">
        <is>
          <t>My daily activities feel like a chain of obligations.</t>
        </is>
      </c>
      <c r="C49" s="27" t="inlineStr">
        <is>
          <t>Autonomy frustration</t>
        </is>
      </c>
      <c r="D49" s="27" t="inlineStr">
        <is>
          <t>FALSE</t>
        </is>
      </c>
      <c r="E49" s="27" t="inlineStr">
        <is>
          <t>FALSE</t>
        </is>
      </c>
      <c r="F49" s="27" t="n"/>
    </row>
    <row r="50" ht="15" customHeight="1" s="17">
      <c r="A50" s="28" t="n">
        <v>21</v>
      </c>
      <c r="B50" s="27" t="inlineStr">
        <is>
          <t>I experience a warm feeling with the people I spend time with.</t>
        </is>
      </c>
      <c r="C50" s="27" t="inlineStr">
        <is>
          <t>Relatedness satisfaction</t>
        </is>
      </c>
      <c r="D50" s="27" t="inlineStr">
        <is>
          <t>FALSE</t>
        </is>
      </c>
      <c r="E50" s="27" t="inlineStr">
        <is>
          <t>FALSE</t>
        </is>
      </c>
      <c r="F50" s="27" t="n"/>
    </row>
    <row r="51" ht="15" customHeight="1" s="17">
      <c r="A51" s="28" t="n">
        <v>22</v>
      </c>
      <c r="B51" s="27" t="inlineStr">
        <is>
          <t>I feel the relationships I have are just superficial.</t>
        </is>
      </c>
      <c r="C51" s="27" t="inlineStr">
        <is>
          <t>Relatedness frustration</t>
        </is>
      </c>
      <c r="D51" s="27" t="inlineStr">
        <is>
          <t>FALSE</t>
        </is>
      </c>
      <c r="E51" s="27" t="inlineStr">
        <is>
          <t>FALSE</t>
        </is>
      </c>
      <c r="F51" s="27" t="n"/>
    </row>
    <row r="52" ht="15" customHeight="1" s="17">
      <c r="A52" s="28" t="n">
        <v>23</v>
      </c>
      <c r="B52" s="27" t="inlineStr">
        <is>
          <t>I feel I can successfully complete difficult tasks.</t>
        </is>
      </c>
      <c r="C52" s="27" t="inlineStr">
        <is>
          <t>Competence satisfaction</t>
        </is>
      </c>
      <c r="D52" s="27" t="inlineStr">
        <is>
          <t>FALSE</t>
        </is>
      </c>
      <c r="E52" s="27" t="inlineStr">
        <is>
          <t>FALSE</t>
        </is>
      </c>
      <c r="F52" s="27" t="n"/>
    </row>
    <row r="53" ht="15" customHeight="1" s="17">
      <c r="A53" s="28" t="n">
        <v>24</v>
      </c>
      <c r="B53" s="27" t="inlineStr">
        <is>
          <t>I feel like a failure because of the mistakes I make.</t>
        </is>
      </c>
      <c r="C53" s="27" t="inlineStr">
        <is>
          <t>Competence frustration</t>
        </is>
      </c>
      <c r="D53" s="27" t="inlineStr">
        <is>
          <t>FALSE</t>
        </is>
      </c>
      <c r="E53" s="27" t="inlineStr">
        <is>
          <t>FALSE</t>
        </is>
      </c>
      <c r="F53" s="27" t="n"/>
    </row>
  </sheetData>
  <autoFilter ref="A29:F5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F41"/>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Pure Procrastination Scale</t>
        </is>
      </c>
    </row>
    <row r="3" ht="15" customHeight="1" s="17">
      <c r="A3" s="35" t="inlineStr">
        <is>
          <t>Instrument</t>
        </is>
      </c>
      <c r="B3" s="27" t="inlineStr">
        <is>
          <t>Pure Procrastination Scale</t>
        </is>
      </c>
    </row>
    <row r="4" ht="15" customHeight="1" s="17">
      <c r="A4" s="35" t="inlineStr">
        <is>
          <t>Code</t>
        </is>
      </c>
      <c r="B4" s="27" t="inlineStr">
        <is>
          <t>PPS</t>
        </is>
      </c>
    </row>
    <row r="5" ht="15" customHeight="1" s="17">
      <c r="A5" s="35" t="inlineStr">
        <is>
          <t>Domain</t>
        </is>
      </c>
      <c r="B5" s="27" t="inlineStr">
        <is>
          <t>6. Motivation, self determination and goal pursuit</t>
        </is>
      </c>
    </row>
    <row r="6" ht="15" customHeight="1" s="17">
      <c r="A6" s="35" t="inlineStr">
        <is>
          <t>Availability</t>
        </is>
      </c>
      <c r="B6" s="27" t="inlineStr">
        <is>
          <t>Free / open access</t>
        </is>
      </c>
    </row>
    <row r="7" ht="60" customHeight="1" s="17">
      <c r="A7" s="35" t="inlineStr">
        <is>
          <t>Construct</t>
        </is>
      </c>
      <c r="B7" s="27" t="inlineStr">
        <is>
          <t>Trait (general) procrastination, i.e. the tendency to voluntarily delay an intended course of action despite expecting to be worse off for the delay. The PPS is a distilled, 12-item unidimensional measure combining items drawn from three earlier procrastination scales (the Decisional Procrastination Scale, the General Procrastination Scale, and the Adult Inventory of Procrastination).</t>
        </is>
      </c>
    </row>
    <row r="8" ht="15" customHeight="1" s="17">
      <c r="A8" s="35" t="inlineStr">
        <is>
          <t>Respondent</t>
        </is>
      </c>
      <c r="B8" s="27" t="inlineStr">
        <is>
          <t>Self-report</t>
        </is>
      </c>
    </row>
    <row r="9" ht="30" customHeight="1" s="17">
      <c r="A9" s="35" t="inlineStr">
        <is>
          <t>Age range</t>
        </is>
      </c>
      <c r="B9" s="27" t="inlineStr">
        <is>
          <t>Adults; validated in a global cross-national adult sample (used with university students and working adults)</t>
        </is>
      </c>
    </row>
    <row r="10" ht="15" customHeight="1" s="17">
      <c r="A10" s="35" t="inlineStr">
        <is>
          <t>Items in instrument</t>
        </is>
      </c>
      <c r="B10" s="27" t="inlineStr">
        <is>
          <t>12</t>
        </is>
      </c>
    </row>
    <row r="11" ht="15" customHeight="1" s="17">
      <c r="A11" s="35" t="inlineStr">
        <is>
          <t>Items reproduced here</t>
        </is>
      </c>
      <c r="B11" s="27" t="inlineStr">
        <is>
          <t>12</t>
        </is>
      </c>
    </row>
    <row r="12" ht="15" customHeight="1" s="17">
      <c r="A12" s="35" t="inlineStr">
        <is>
          <t>Administration time</t>
        </is>
      </c>
      <c r="B12" s="27" t="inlineStr">
        <is>
          <t>2-3 minutes</t>
        </is>
      </c>
    </row>
    <row r="13" ht="120" customHeight="1" s="17">
      <c r="A13" s="35" t="inlineStr">
        <is>
          <t>Cost and access</t>
        </is>
      </c>
      <c r="B13" s="27" t="inlineStr">
        <is>
          <t>No licence fee or permission is required to use the PPS in coaching practice. The scale is reproduced in full in Table 1 of Svartdal and Steel (2017), which is published under a Creative Commons Attribution License (CC BY), explicitly permitting reuse including commercial use with attribution. Separately, on his own measure page (procrastinus.com), the scale's co-developer Piers Steel states: "Feel free to use it for any research purpose or clinical purposes and adjust the scale length or anchors as you see fit," and invites practitioners to email him (steel@ucalgary.ca) for norms and scoring materials. A practitioner can administer it as a simple 1-5 rating form; no test manual, scoring software or purchase is needed.</t>
        </is>
      </c>
    </row>
    <row r="14" ht="120" customHeight="1" s="17">
      <c r="A14" s="35" t="inlineStr">
        <is>
          <t>Coaching application</t>
        </is>
      </c>
      <c r="B14" s="27" t="inlineStr">
        <is>
          <t>The PPS is a strong short screening tool for executive-function coaching with university students and early-career professionals, giving a quick trait-level read on how pervasive delay and avoidance behaviour is before goal-setting or study-skills work begins. It pairs well with the shorter Irrational Procrastination Scale and the Brief Self-Control Scale for a "what's actually driving the delay" conversation. Its main limit is that it is a broad trait measure rather than a task-specific or state measure, so it should be framed as a starting-point reflection tool rather than a diagnostic instrument, and re-administration over a coaching programme should be treated as indicative rather than clinically validated change tracking.</t>
        </is>
      </c>
    </row>
    <row r="15" ht="90" customHeight="1" s="17">
      <c r="A15" s="35" t="inlineStr">
        <is>
          <t>Purpose</t>
        </is>
      </c>
      <c r="B15" s="27" t="inlineStr">
        <is>
          <t>The PPS was developed by Piers Steel to provide a short, psychometrically distilled trait measure of procrastination for research and applied use, drawing together the strongest items from three earlier scales (Decisional Procrastination Scale, General Procrastination Scale, Adult Inventory of Procrastination). Svartdal and Steel (2017) re-examined the PPS alongside four other procrastination scales, including the companion Irrational Procrastination Scale, across a large multi-country adult sample to compare their measurement properties.</t>
        </is>
      </c>
    </row>
    <row r="16" ht="15" customHeight="1" s="17">
      <c r="A16" s="35" t="inlineStr">
        <is>
          <t>Instructions / prompt</t>
        </is>
      </c>
      <c r="B16" s="27" t="inlineStr">
        <is>
          <t>Not stated on source</t>
        </is>
      </c>
    </row>
    <row r="17" ht="15" customHeight="1" s="17">
      <c r="A17" s="35" t="inlineStr">
        <is>
          <t>Response options</t>
        </is>
      </c>
      <c r="B17" s="27" t="inlineStr">
        <is>
          <t>Very seldom or not true of me = 1 | 2 = 2 | 3 = 3 | 4 = 4 | Very often true, or true of me = 5</t>
        </is>
      </c>
    </row>
    <row r="18" ht="15" customHeight="1" s="17">
      <c r="A18" s="35" t="inlineStr">
        <is>
          <t>Reverse-scored items</t>
        </is>
      </c>
      <c r="B18" s="27" t="inlineStr">
        <is>
          <t>None</t>
        </is>
      </c>
    </row>
    <row r="19" ht="15" customHeight="1" s="17">
      <c r="A19" s="35" t="inlineStr">
        <is>
          <t>Filler items (not scored)</t>
        </is>
      </c>
      <c r="B19" s="27" t="inlineStr">
        <is>
          <t>None</t>
        </is>
      </c>
    </row>
    <row r="20" ht="45" customHeight="1" s="17">
      <c r="A20" s="35" t="inlineStr">
        <is>
          <t>Total scoring</t>
        </is>
      </c>
      <c r="B20" s="27" t="inlineStr">
        <is>
          <t>Sum (or mean) of the 12 item ratings. Higher total scores indicate greater trait procrastination. No reverse-scored items are indicated for the PPS in the source table (unlike the companion IPS, which has three reverse-scored items).</t>
        </is>
      </c>
    </row>
    <row r="21" ht="15" customHeight="1" s="17">
      <c r="A21" s="35" t="inlineStr">
        <is>
          <t>Interpretation bands</t>
        </is>
      </c>
      <c r="B21" s="27" t="inlineStr">
        <is>
          <t>Not stated on source</t>
        </is>
      </c>
    </row>
    <row r="22" ht="30" customHeight="1" s="17">
      <c r="A22" s="35" t="inlineStr">
        <is>
          <t>Cut-offs</t>
        </is>
      </c>
      <c r="B22" s="27" t="inlineStr">
        <is>
          <t>No clinical or normative cut-off scores were given in the fetched source. It is used as a continuous research/coaching variable.</t>
        </is>
      </c>
    </row>
    <row r="23" ht="30" customHeight="1" s="17">
      <c r="A23" s="35" t="inlineStr">
        <is>
          <t>Normative data</t>
        </is>
      </c>
      <c r="B23" s="27" t="inlineStr">
        <is>
          <t>No normative table was printed in the fetched excerpt of the source article. Piers Steel's own measure page invites direct contact for norms and scoring materials.</t>
        </is>
      </c>
    </row>
    <row r="24" ht="60" customHeight="1" s="17">
      <c r="A24" s="35" t="inlineStr">
        <is>
          <t>Psychometric properties</t>
        </is>
      </c>
      <c r="B24" s="27" t="inlineStr">
        <is>
          <t>Svartdal and Steel (2017) report Cronbach's alpha = .92 for the 12-item PPS in their multi-country sample, and alpha = .87 for the abbreviated 5-item PPS version (items 4-8) reported separately in the article. The article states psychometric adequacy for the scale across the six European countries sampled, in a comparison of five procrastination scales.</t>
        </is>
      </c>
    </row>
    <row r="25" ht="30" customHeight="1" s="17">
      <c r="A25" s="35" t="inlineStr">
        <is>
          <t>Developer citation</t>
        </is>
      </c>
      <c r="B25" s="27" t="inlineStr">
        <is>
          <t>Svartdal, F., &amp; Steel, P. (2017). Irrational delay revisited: Examining five procrastination scales in a global sample. Frontiers in Psychology, 8, 1927. https://doi.org/10.3389/fpsyg.2017.01927</t>
        </is>
      </c>
    </row>
    <row r="26" ht="75" customHeight="1" s="17">
      <c r="A26" s="35" t="inlineStr">
        <is>
          <t>Copyright and licensing</t>
        </is>
      </c>
      <c r="B26" s="27" t="inlineStr">
        <is>
          <t>The source article (Svartdal &amp; Steel, 2017) is published under the Creative Commons Attribution License (CC BY): "Copyright © 2017 Svartdal and Steel. This is an open-access article distributed under the terms of the Creative Commons Attribution License (CC BY)." Piers Steel's own measure page (procrastinus.com/piers-steel/about-the-measure/) additionally states: "Feel free to use it for any research purpose or clinical purposes and adjust the scale length or anchors as you see fit."</t>
        </is>
      </c>
    </row>
    <row r="27" ht="15" customHeight="1" s="17">
      <c r="A27" s="35" t="inlineStr">
        <is>
          <t>Source URL</t>
        </is>
      </c>
      <c r="B27" s="27" t="inlineStr">
        <is>
          <t>https://www.frontiersin.org/articles/10.3389/fpsyg.2017.01927/full</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I delay making decision until it's too late</t>
        </is>
      </c>
      <c r="C30" s="27" t="inlineStr">
        <is>
          <t>Pure Procrastination (total scale)</t>
        </is>
      </c>
      <c r="D30" s="27" t="inlineStr">
        <is>
          <t>FALSE</t>
        </is>
      </c>
      <c r="E30" s="27" t="inlineStr">
        <is>
          <t>FALSE</t>
        </is>
      </c>
      <c r="F30" s="27" t="inlineStr">
        <is>
          <t>Verbatim from Table 1, Svartdal &amp; Steel (2017); sourced from the Decisional Procrastination Scale (DPS).</t>
        </is>
      </c>
    </row>
    <row r="31" ht="23.85" customHeight="1" s="17">
      <c r="A31" s="28" t="n">
        <v>2</v>
      </c>
      <c r="B31" s="27" t="inlineStr">
        <is>
          <t>Even after I make a decision I delay acting upon it</t>
        </is>
      </c>
      <c r="C31" s="27" t="inlineStr">
        <is>
          <t>Pure Procrastination (total scale)</t>
        </is>
      </c>
      <c r="D31" s="27" t="inlineStr">
        <is>
          <t>FALSE</t>
        </is>
      </c>
      <c r="E31" s="27" t="inlineStr">
        <is>
          <t>FALSE</t>
        </is>
      </c>
      <c r="F31" s="27" t="inlineStr">
        <is>
          <t>Verbatim from Table 1, Svartdal &amp; Steel (2017); sourced from the Decisional Procrastination Scale (DPS).</t>
        </is>
      </c>
    </row>
    <row r="32" ht="23.85" customHeight="1" s="17">
      <c r="A32" s="28" t="n">
        <v>3</v>
      </c>
      <c r="B32" s="27" t="inlineStr">
        <is>
          <t>I waste a lot of time on trivial matters before getting to final decisions</t>
        </is>
      </c>
      <c r="C32" s="27" t="inlineStr">
        <is>
          <t>Pure Procrastination (total scale)</t>
        </is>
      </c>
      <c r="D32" s="27" t="inlineStr">
        <is>
          <t>FALSE</t>
        </is>
      </c>
      <c r="E32" s="27" t="inlineStr">
        <is>
          <t>FALSE</t>
        </is>
      </c>
      <c r="F32" s="27" t="inlineStr">
        <is>
          <t>Verbatim from Table 1, Svartdal &amp; Steel (2017); sourced from the Decisional Procrastination Scale (DPS).</t>
        </is>
      </c>
    </row>
    <row r="33" ht="23.85" customHeight="1" s="17">
      <c r="A33" s="28" t="n">
        <v>4</v>
      </c>
      <c r="B33" s="27" t="inlineStr">
        <is>
          <t>In preparation for some deadlines, I often waste time by doing other things</t>
        </is>
      </c>
      <c r="C33" s="27" t="inlineStr">
        <is>
          <t>Pure Procrastination (total scale)</t>
        </is>
      </c>
      <c r="D33" s="27" t="inlineStr">
        <is>
          <t>FALSE</t>
        </is>
      </c>
      <c r="E33" s="27" t="inlineStr">
        <is>
          <t>FALSE</t>
        </is>
      </c>
      <c r="F33" s="27" t="inlineStr">
        <is>
          <t>Verbatim from Table 1, Svartdal &amp; Steel (2017); sourced from the General Procrastination Scale (GPS).</t>
        </is>
      </c>
    </row>
    <row r="34" ht="23.85" customHeight="1" s="17">
      <c r="A34" s="28" t="n">
        <v>5</v>
      </c>
      <c r="B34" s="27" t="inlineStr">
        <is>
          <t>Even jobs that require little else except sitting down and doing them, I find they seldom get done for days</t>
        </is>
      </c>
      <c r="C34" s="27" t="inlineStr">
        <is>
          <t>Pure Procrastination (total scale)</t>
        </is>
      </c>
      <c r="D34" s="27" t="inlineStr">
        <is>
          <t>FALSE</t>
        </is>
      </c>
      <c r="E34" s="27" t="inlineStr">
        <is>
          <t>FALSE</t>
        </is>
      </c>
      <c r="F34" s="27" t="inlineStr">
        <is>
          <t>Verbatim from Table 1, Svartdal &amp; Steel (2017); sourced from the General Procrastination Scale (GPS).</t>
        </is>
      </c>
    </row>
    <row r="35" ht="23.85" customHeight="1" s="17">
      <c r="A35" s="28" t="n">
        <v>6</v>
      </c>
      <c r="B35" s="27" t="inlineStr">
        <is>
          <t>I often find myself performing tasks that I had intended to do days before</t>
        </is>
      </c>
      <c r="C35" s="27" t="inlineStr">
        <is>
          <t>Pure Procrastination (total scale)</t>
        </is>
      </c>
      <c r="D35" s="27" t="inlineStr">
        <is>
          <t>FALSE</t>
        </is>
      </c>
      <c r="E35" s="27" t="inlineStr">
        <is>
          <t>FALSE</t>
        </is>
      </c>
      <c r="F35" s="27" t="inlineStr">
        <is>
          <t>Verbatim from Table 1, Svartdal &amp; Steel (2017); sourced from the General Procrastination Scale (GPS).</t>
        </is>
      </c>
    </row>
    <row r="36" ht="23.85" customHeight="1" s="17">
      <c r="A36" s="28" t="n">
        <v>7</v>
      </c>
      <c r="B36" s="27" t="inlineStr">
        <is>
          <t>I am continually saying 'I'll do it tomorrow'</t>
        </is>
      </c>
      <c r="C36" s="27" t="inlineStr">
        <is>
          <t>Pure Procrastination (total scale)</t>
        </is>
      </c>
      <c r="D36" s="27" t="inlineStr">
        <is>
          <t>FALSE</t>
        </is>
      </c>
      <c r="E36" s="27" t="inlineStr">
        <is>
          <t>FALSE</t>
        </is>
      </c>
      <c r="F36" s="27" t="inlineStr">
        <is>
          <t>Verbatim from Table 1, Svartdal &amp; Steel (2017); sourced from the General Procrastination Scale (GPS).</t>
        </is>
      </c>
    </row>
    <row r="37" ht="23.85" customHeight="1" s="17">
      <c r="A37" s="28" t="n">
        <v>8</v>
      </c>
      <c r="B37" s="27" t="inlineStr">
        <is>
          <t>I generally delay before starting on work I have to do</t>
        </is>
      </c>
      <c r="C37" s="27" t="inlineStr">
        <is>
          <t>Pure Procrastination (total scale)</t>
        </is>
      </c>
      <c r="D37" s="27" t="inlineStr">
        <is>
          <t>FALSE</t>
        </is>
      </c>
      <c r="E37" s="27" t="inlineStr">
        <is>
          <t>FALSE</t>
        </is>
      </c>
      <c r="F37" s="27" t="inlineStr">
        <is>
          <t>Verbatim from Table 1, Svartdal &amp; Steel (2017); sourced from the General Procrastination Scale (GPS).</t>
        </is>
      </c>
    </row>
    <row r="38" ht="23.85" customHeight="1" s="17">
      <c r="A38" s="28" t="n">
        <v>9</v>
      </c>
      <c r="B38" s="27" t="inlineStr">
        <is>
          <t>I find myself running out of time</t>
        </is>
      </c>
      <c r="C38" s="27" t="inlineStr">
        <is>
          <t>Pure Procrastination (total scale)</t>
        </is>
      </c>
      <c r="D38" s="27" t="inlineStr">
        <is>
          <t>FALSE</t>
        </is>
      </c>
      <c r="E38" s="27" t="inlineStr">
        <is>
          <t>FALSE</t>
        </is>
      </c>
      <c r="F38" s="27" t="inlineStr">
        <is>
          <t>Verbatim from Table 1, Svartdal &amp; Steel (2017); sourced from the Adult Inventory of Procrastination (AIP).</t>
        </is>
      </c>
    </row>
    <row r="39" ht="23.85" customHeight="1" s="17">
      <c r="A39" s="28" t="n">
        <v>10</v>
      </c>
      <c r="B39" s="27" t="inlineStr">
        <is>
          <t>I don't get things done on time</t>
        </is>
      </c>
      <c r="C39" s="27" t="inlineStr">
        <is>
          <t>Pure Procrastination (total scale)</t>
        </is>
      </c>
      <c r="D39" s="27" t="inlineStr">
        <is>
          <t>FALSE</t>
        </is>
      </c>
      <c r="E39" s="27" t="inlineStr">
        <is>
          <t>FALSE</t>
        </is>
      </c>
      <c r="F39" s="27" t="inlineStr">
        <is>
          <t>Verbatim from Table 1, Svartdal &amp; Steel (2017); sourced from the Adult Inventory of Procrastination (AIP).</t>
        </is>
      </c>
    </row>
    <row r="40" ht="23.85" customHeight="1" s="17">
      <c r="A40" s="28" t="n">
        <v>11</v>
      </c>
      <c r="B40" s="27" t="inlineStr">
        <is>
          <t>I am not very good at meeting deadlines</t>
        </is>
      </c>
      <c r="C40" s="27" t="inlineStr">
        <is>
          <t>Pure Procrastination (total scale)</t>
        </is>
      </c>
      <c r="D40" s="27" t="inlineStr">
        <is>
          <t>FALSE</t>
        </is>
      </c>
      <c r="E40" s="27" t="inlineStr">
        <is>
          <t>FALSE</t>
        </is>
      </c>
      <c r="F40" s="27" t="inlineStr">
        <is>
          <t>Verbatim from Table 1, Svartdal &amp; Steel (2017); sourced from the Adult Inventory of Procrastination (AIP).</t>
        </is>
      </c>
    </row>
    <row r="41" ht="23.85" customHeight="1" s="17">
      <c r="A41" s="28" t="n">
        <v>12</v>
      </c>
      <c r="B41" s="27" t="inlineStr">
        <is>
          <t>Putting things off till the last minute has cost me money in the past</t>
        </is>
      </c>
      <c r="C41" s="27" t="inlineStr">
        <is>
          <t>Pure Procrastination (total scale)</t>
        </is>
      </c>
      <c r="D41" s="27" t="inlineStr">
        <is>
          <t>FALSE</t>
        </is>
      </c>
      <c r="E41" s="27" t="inlineStr">
        <is>
          <t>FALSE</t>
        </is>
      </c>
      <c r="F41" s="27" t="inlineStr">
        <is>
          <t>Verbatim from Table 1, Svartdal &amp; Steel (2017); sourced from the Adult Inventory of Procrastination (AIP).</t>
        </is>
      </c>
    </row>
  </sheetData>
  <autoFilter ref="A29:F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8"/>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Irrational Procrastination Scale</t>
        </is>
      </c>
    </row>
    <row r="3" ht="15" customHeight="1" s="17">
      <c r="A3" s="35" t="inlineStr">
        <is>
          <t>Instrument</t>
        </is>
      </c>
      <c r="B3" s="27" t="inlineStr">
        <is>
          <t>Irrational Procrastination Scale</t>
        </is>
      </c>
    </row>
    <row r="4" ht="15" customHeight="1" s="17">
      <c r="A4" s="35" t="inlineStr">
        <is>
          <t>Code</t>
        </is>
      </c>
      <c r="B4" s="27" t="inlineStr">
        <is>
          <t>IPS</t>
        </is>
      </c>
    </row>
    <row r="5" ht="15" customHeight="1" s="17">
      <c r="A5" s="35" t="inlineStr">
        <is>
          <t>Domain</t>
        </is>
      </c>
      <c r="B5" s="27" t="inlineStr">
        <is>
          <t>6. Motivation, self determination and goal pursuit</t>
        </is>
      </c>
    </row>
    <row r="6" ht="15" customHeight="1" s="17">
      <c r="A6" s="35" t="inlineStr">
        <is>
          <t>Availability</t>
        </is>
      </c>
      <c r="B6" s="27" t="inlineStr">
        <is>
          <t>Free / open access</t>
        </is>
      </c>
    </row>
    <row r="7" ht="45" customHeight="1" s="17">
      <c r="A7" s="35" t="inlineStr">
        <is>
          <t>Construct</t>
        </is>
      </c>
      <c r="B7" s="27" t="inlineStr">
        <is>
          <t>Irrational procrastination, i.e. the tendency to delay in a way that is knowingly counterproductive to one's own well-being or efficiency, distinguishing procrastination proper from merely intentional or strategic delay.</t>
        </is>
      </c>
    </row>
    <row r="8" ht="15" customHeight="1" s="17">
      <c r="A8" s="35" t="inlineStr">
        <is>
          <t>Respondent</t>
        </is>
      </c>
      <c r="B8" s="27" t="inlineStr">
        <is>
          <t>Self-report</t>
        </is>
      </c>
    </row>
    <row r="9" ht="30" customHeight="1" s="17">
      <c r="A9" s="35" t="inlineStr">
        <is>
          <t>Age range</t>
        </is>
      </c>
      <c r="B9" s="27" t="inlineStr">
        <is>
          <t>Adults; validated in a global cross-national adult sample (16,413 adults across multiple languages per Steel's own measure page)</t>
        </is>
      </c>
    </row>
    <row r="10" ht="15" customHeight="1" s="17">
      <c r="A10" s="35" t="inlineStr">
        <is>
          <t>Items in instrument</t>
        </is>
      </c>
      <c r="B10" s="27" t="inlineStr">
        <is>
          <t>9</t>
        </is>
      </c>
    </row>
    <row r="11" ht="15" customHeight="1" s="17">
      <c r="A11" s="35" t="inlineStr">
        <is>
          <t>Items reproduced here</t>
        </is>
      </c>
      <c r="B11" s="27" t="inlineStr">
        <is>
          <t>9</t>
        </is>
      </c>
    </row>
    <row r="12" ht="15" customHeight="1" s="17">
      <c r="A12" s="35" t="inlineStr">
        <is>
          <t>Administration time</t>
        </is>
      </c>
      <c r="B12" s="27" t="inlineStr">
        <is>
          <t>1-2 minutes</t>
        </is>
      </c>
    </row>
    <row r="13" ht="120" customHeight="1" s="17">
      <c r="A13" s="35" t="inlineStr">
        <is>
          <t>Cost and access</t>
        </is>
      </c>
      <c r="B13" s="27" t="inlineStr">
        <is>
          <t>No licence fee or permission is required to use the IPS in coaching practice. The scale is reproduced in full in Table 1 of Svartdal and Steel (2017), which is published under a Creative Commons Attribution License (CC BY), explicitly permitting reuse including commercial use with attribution. Separately, on his own measure page (procrastinus.com), the scale's co-developer Piers Steel states: "Feel free to use it for any research purpose or clinical purposes and adjust the scale length or anchors as you see fit," and invites practitioners to email him (steel@ucalgary.ca) for norms and scoring materials. A practitioner can administer it as a simple 1-5 rating form; no test manual, scoring software or purchase is needed.</t>
        </is>
      </c>
    </row>
    <row r="14" ht="105" customHeight="1" s="17">
      <c r="A14" s="35" t="inlineStr">
        <is>
          <t>Coaching application</t>
        </is>
      </c>
      <c r="B14" s="27" t="inlineStr">
        <is>
          <t>The IPS is a compact, unidimensional measure well suited to opening an executive-function coaching conversation with university students and early-career professionals, quickly surfacing whether a client's delay is experienced as genuinely counterproductive rather than a considered choice. It pairs well with the longer Pure Procrastination Scale and the Brief Self-Control Scale for exploring what is driving the delay. Its main limit is that, like the PPS, it is a broad trait measure rather than task-specific, so it should support reflection and goal-setting rather than serve as a clinical or diagnostic tool.</t>
        </is>
      </c>
    </row>
    <row r="15" ht="60" customHeight="1" s="17">
      <c r="A15" s="35" t="inlineStr">
        <is>
          <t>Purpose</t>
        </is>
      </c>
      <c r="B15" s="27" t="inlineStr">
        <is>
          <t>The IPS was developed by Piers Steel as a short, unidimensional companion measure to the Pure Procrastination Scale, targeting the irrational, self-defeating core of procrastination rather than delay in general. Svartdal and Steel (2017) re-examined the IPS alongside four other procrastination scales across a large multi-country adult sample to compare their measurement properties.</t>
        </is>
      </c>
    </row>
    <row r="16" ht="15" customHeight="1" s="17">
      <c r="A16" s="35" t="inlineStr">
        <is>
          <t>Instructions / prompt</t>
        </is>
      </c>
      <c r="B16" s="27" t="inlineStr">
        <is>
          <t>Not stated on source</t>
        </is>
      </c>
    </row>
    <row r="17" ht="15" customHeight="1" s="17">
      <c r="A17" s="35" t="inlineStr">
        <is>
          <t>Response options</t>
        </is>
      </c>
      <c r="B17" s="27" t="inlineStr">
        <is>
          <t>Very seldom or not true of me = 1 | 2 = 2 | 3 = 3 | 4 = 4 | Very often true, or true of me = 5</t>
        </is>
      </c>
    </row>
    <row r="18" ht="15" customHeight="1" s="17">
      <c r="A18" s="35" t="inlineStr">
        <is>
          <t>Reverse-scored items</t>
        </is>
      </c>
      <c r="B18" s="27" t="inlineStr">
        <is>
          <t>2, 6, 9</t>
        </is>
      </c>
    </row>
    <row r="19" ht="15" customHeight="1" s="17">
      <c r="A19" s="35" t="inlineStr">
        <is>
          <t>Filler items (not scored)</t>
        </is>
      </c>
      <c r="B19" s="27" t="inlineStr">
        <is>
          <t>None</t>
        </is>
      </c>
    </row>
    <row r="20" ht="30" customHeight="1" s="17">
      <c r="A20" s="35" t="inlineStr">
        <is>
          <t>Total scoring</t>
        </is>
      </c>
      <c r="B20" s="27" t="inlineStr">
        <is>
          <t>Reverse-code items 2, 6 and 9, then sum (or mean) all 9 item ratings. Higher total scores indicate greater irrational procrastination.</t>
        </is>
      </c>
    </row>
    <row r="21" ht="15" customHeight="1" s="17">
      <c r="A21" s="35" t="inlineStr">
        <is>
          <t>Interpretation bands</t>
        </is>
      </c>
      <c r="B21" s="27" t="inlineStr">
        <is>
          <t>Not stated on source</t>
        </is>
      </c>
    </row>
    <row r="22" ht="30" customHeight="1" s="17">
      <c r="A22" s="35" t="inlineStr">
        <is>
          <t>Cut-offs</t>
        </is>
      </c>
      <c r="B22" s="27" t="inlineStr">
        <is>
          <t>No clinical or normative cut-off scores were given in the fetched source. It is used as a continuous research/coaching variable.</t>
        </is>
      </c>
    </row>
    <row r="23" ht="45" customHeight="1" s="17">
      <c r="A23" s="35" t="inlineStr">
        <is>
          <t>Normative data</t>
        </is>
      </c>
      <c r="B23" s="27" t="inlineStr">
        <is>
          <t>No normative table was printed in the fetched excerpt of the source article. Piers Steel's own measure page states the IPS has been validated across international samples totalling 16,413 adults and invites direct contact for norms and scoring materials.</t>
        </is>
      </c>
    </row>
    <row r="24" ht="45" customHeight="1" s="17">
      <c r="A24" s="35" t="inlineStr">
        <is>
          <t>Psychometric properties</t>
        </is>
      </c>
      <c r="B24" s="27" t="inlineStr">
        <is>
          <t>Svartdal and Steel (2017) report Cronbach's alpha = .91 for the 9-item IPS in their multi-country sample. The article states psychometric adequacy for the scale across the six European countries sampled, in a comparison of five procrastination scales.</t>
        </is>
      </c>
    </row>
    <row r="25" ht="30" customHeight="1" s="17">
      <c r="A25" s="35" t="inlineStr">
        <is>
          <t>Developer citation</t>
        </is>
      </c>
      <c r="B25" s="27" t="inlineStr">
        <is>
          <t>Svartdal, F., &amp; Steel, P. (2017). Irrational delay revisited: Examining five procrastination scales in a global sample. Frontiers in Psychology, 8, 1927. https://doi.org/10.3389/fpsyg.2017.01927</t>
        </is>
      </c>
    </row>
    <row r="26" ht="75" customHeight="1" s="17">
      <c r="A26" s="35" t="inlineStr">
        <is>
          <t>Copyright and licensing</t>
        </is>
      </c>
      <c r="B26" s="27" t="inlineStr">
        <is>
          <t>The source article (Svartdal &amp; Steel, 2017) is published under the Creative Commons Attribution License (CC BY): "Copyright © 2017 Svartdal and Steel. This is an open-access article distributed under the terms of the Creative Commons Attribution License (CC BY)." Piers Steel's own measure page (procrastinus.com/piers-steel/about-the-measure/) additionally states: "Feel free to use it for any research purpose or clinical purposes and adjust the scale length or anchors as you see fit."</t>
        </is>
      </c>
    </row>
    <row r="27" ht="15" customHeight="1" s="17">
      <c r="A27" s="35" t="inlineStr">
        <is>
          <t>Source URL</t>
        </is>
      </c>
      <c r="B27" s="27" t="inlineStr">
        <is>
          <t>https://www.frontiersin.org/articles/10.3389/fpsyg.2017.01927/full</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15" customHeight="1" s="17">
      <c r="A30" s="28" t="n">
        <v>1</v>
      </c>
      <c r="B30" s="27" t="inlineStr">
        <is>
          <t>I put things off so long that my well-being or efficiency unnecessarily suffers</t>
        </is>
      </c>
      <c r="C30" s="27" t="inlineStr">
        <is>
          <t>Irrational Procrastination (total scale)</t>
        </is>
      </c>
      <c r="D30" s="27" t="inlineStr">
        <is>
          <t>FALSE</t>
        </is>
      </c>
      <c r="E30" s="27" t="inlineStr">
        <is>
          <t>FALSE</t>
        </is>
      </c>
      <c r="F30" s="27" t="inlineStr">
        <is>
          <t>Verbatim from Table 1, Svartdal &amp; Steel (2017).</t>
        </is>
      </c>
    </row>
    <row r="31" ht="23.85" customHeight="1" s="17">
      <c r="A31" s="28" t="n">
        <v>2</v>
      </c>
      <c r="B31" s="27" t="inlineStr">
        <is>
          <t>If there is something I should do, I get to it before attending to lesser tasks</t>
        </is>
      </c>
      <c r="C31" s="27" t="inlineStr">
        <is>
          <t>Irrational Procrastination (total scale)</t>
        </is>
      </c>
      <c r="D31" s="34" t="inlineStr">
        <is>
          <t>TRUE</t>
        </is>
      </c>
      <c r="E31" s="27" t="inlineStr">
        <is>
          <t>FALSE</t>
        </is>
      </c>
      <c r="F31" s="27" t="inlineStr">
        <is>
          <t>Verbatim from Table 1, Svartdal &amp; Steel (2017); marked '(R)' (reverse-scored) in the source table.</t>
        </is>
      </c>
    </row>
    <row r="32" ht="15" customHeight="1" s="17">
      <c r="A32" s="28" t="n">
        <v>3</v>
      </c>
      <c r="B32" s="27" t="inlineStr">
        <is>
          <t>My life would be better if I did some activities or tasks earlier</t>
        </is>
      </c>
      <c r="C32" s="27" t="inlineStr">
        <is>
          <t>Irrational Procrastination (total scale)</t>
        </is>
      </c>
      <c r="D32" s="27" t="inlineStr">
        <is>
          <t>FALSE</t>
        </is>
      </c>
      <c r="E32" s="27" t="inlineStr">
        <is>
          <t>FALSE</t>
        </is>
      </c>
      <c r="F32" s="27" t="inlineStr">
        <is>
          <t>Verbatim from Table 1, Svartdal &amp; Steel (2017).</t>
        </is>
      </c>
    </row>
    <row r="33" ht="15" customHeight="1" s="17">
      <c r="A33" s="28" t="n">
        <v>4</v>
      </c>
      <c r="B33" s="27" t="inlineStr">
        <is>
          <t>When I should be doing one thing, I will do another</t>
        </is>
      </c>
      <c r="C33" s="27" t="inlineStr">
        <is>
          <t>Irrational Procrastination (total scale)</t>
        </is>
      </c>
      <c r="D33" s="27" t="inlineStr">
        <is>
          <t>FALSE</t>
        </is>
      </c>
      <c r="E33" s="27" t="inlineStr">
        <is>
          <t>FALSE</t>
        </is>
      </c>
      <c r="F33" s="27" t="inlineStr">
        <is>
          <t>Verbatim from Table 1, Svartdal &amp; Steel (2017).</t>
        </is>
      </c>
    </row>
    <row r="34" ht="15" customHeight="1" s="17">
      <c r="A34" s="28" t="n">
        <v>5</v>
      </c>
      <c r="B34" s="27" t="inlineStr">
        <is>
          <t>At the end of the day, I know I could have spent the time better</t>
        </is>
      </c>
      <c r="C34" s="27" t="inlineStr">
        <is>
          <t>Irrational Procrastination (total scale)</t>
        </is>
      </c>
      <c r="D34" s="27" t="inlineStr">
        <is>
          <t>FALSE</t>
        </is>
      </c>
      <c r="E34" s="27" t="inlineStr">
        <is>
          <t>FALSE</t>
        </is>
      </c>
      <c r="F34" s="27" t="inlineStr">
        <is>
          <t>Verbatim from Table 1, Svartdal &amp; Steel (2017).</t>
        </is>
      </c>
    </row>
    <row r="35" ht="23.85" customHeight="1" s="17">
      <c r="A35" s="28" t="n">
        <v>6</v>
      </c>
      <c r="B35" s="27" t="inlineStr">
        <is>
          <t>I spend my time wisely</t>
        </is>
      </c>
      <c r="C35" s="27" t="inlineStr">
        <is>
          <t>Irrational Procrastination (total scale)</t>
        </is>
      </c>
      <c r="D35" s="34" t="inlineStr">
        <is>
          <t>TRUE</t>
        </is>
      </c>
      <c r="E35" s="27" t="inlineStr">
        <is>
          <t>FALSE</t>
        </is>
      </c>
      <c r="F35" s="27" t="inlineStr">
        <is>
          <t>Verbatim from Table 1, Svartdal &amp; Steel (2017); marked '(R)' (reverse-scored) in the source table.</t>
        </is>
      </c>
    </row>
    <row r="36" ht="15" customHeight="1" s="17">
      <c r="A36" s="28" t="n">
        <v>7</v>
      </c>
      <c r="B36" s="27" t="inlineStr">
        <is>
          <t>I delay tasks beyond what is reasonable</t>
        </is>
      </c>
      <c r="C36" s="27" t="inlineStr">
        <is>
          <t>Irrational Procrastination (total scale)</t>
        </is>
      </c>
      <c r="D36" s="27" t="inlineStr">
        <is>
          <t>FALSE</t>
        </is>
      </c>
      <c r="E36" s="27" t="inlineStr">
        <is>
          <t>FALSE</t>
        </is>
      </c>
      <c r="F36" s="27" t="inlineStr">
        <is>
          <t>Verbatim from Table 1, Svartdal &amp; Steel (2017).</t>
        </is>
      </c>
    </row>
    <row r="37" ht="15" customHeight="1" s="17">
      <c r="A37" s="28" t="n">
        <v>8</v>
      </c>
      <c r="B37" s="27" t="inlineStr">
        <is>
          <t>I procrastinate</t>
        </is>
      </c>
      <c r="C37" s="27" t="inlineStr">
        <is>
          <t>Irrational Procrastination (total scale)</t>
        </is>
      </c>
      <c r="D37" s="27" t="inlineStr">
        <is>
          <t>FALSE</t>
        </is>
      </c>
      <c r="E37" s="27" t="inlineStr">
        <is>
          <t>FALSE</t>
        </is>
      </c>
      <c r="F37" s="27" t="inlineStr">
        <is>
          <t>Verbatim from Table 1, Svartdal &amp; Steel (2017).</t>
        </is>
      </c>
    </row>
    <row r="38" ht="23.85" customHeight="1" s="17">
      <c r="A38" s="28" t="n">
        <v>9</v>
      </c>
      <c r="B38" s="27" t="inlineStr">
        <is>
          <t>I do everything when I believe it needs to be done</t>
        </is>
      </c>
      <c r="C38" s="27" t="inlineStr">
        <is>
          <t>Irrational Procrastination (total scale)</t>
        </is>
      </c>
      <c r="D38" s="34" t="inlineStr">
        <is>
          <t>TRUE</t>
        </is>
      </c>
      <c r="E38" s="27" t="inlineStr">
        <is>
          <t>FALSE</t>
        </is>
      </c>
      <c r="F38" s="27" t="inlineStr">
        <is>
          <t>Verbatim from Table 1, Svartdal &amp; Steel (2017); marked '(R)' (reverse-scored) in the source table.</t>
        </is>
      </c>
    </row>
  </sheetData>
  <autoFilter ref="A29:F3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F39"/>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General Self-Efficacy Scale</t>
        </is>
      </c>
    </row>
    <row r="3" ht="15" customHeight="1" s="17">
      <c r="A3" s="35" t="inlineStr">
        <is>
          <t>Instrument</t>
        </is>
      </c>
      <c r="B3" s="27" t="inlineStr">
        <is>
          <t>General Self-Efficacy Scale</t>
        </is>
      </c>
    </row>
    <row r="4" ht="15" customHeight="1" s="17">
      <c r="A4" s="35" t="inlineStr">
        <is>
          <t>Code</t>
        </is>
      </c>
      <c r="B4" s="27" t="inlineStr">
        <is>
          <t>GSE</t>
        </is>
      </c>
    </row>
    <row r="5" ht="15" customHeight="1" s="17">
      <c r="A5" s="35" t="inlineStr">
        <is>
          <t>Domain</t>
        </is>
      </c>
      <c r="B5" s="27" t="inlineStr">
        <is>
          <t>6. Motivation, self determination and goal pursuit</t>
        </is>
      </c>
    </row>
    <row r="6" ht="15" customHeight="1" s="17">
      <c r="A6" s="35" t="inlineStr">
        <is>
          <t>Availability</t>
        </is>
      </c>
      <c r="B6" s="27" t="inlineStr">
        <is>
          <t>Free / open access</t>
        </is>
      </c>
    </row>
    <row r="7" ht="45" customHeight="1" s="17">
      <c r="A7" s="35" t="inlineStr">
        <is>
          <t>Construct</t>
        </is>
      </c>
      <c r="B7" s="27" t="inlineStr">
        <is>
          <t>Generalized self-efficacy, i.e. a broad and stable sense of personal competence to deal effectively with a variety of stressful or difficult situations, treated as a unidimensional trait rather than task-specific self-efficacy.</t>
        </is>
      </c>
    </row>
    <row r="8" ht="15" customHeight="1" s="17">
      <c r="A8" s="35" t="inlineStr">
        <is>
          <t>Respondent</t>
        </is>
      </c>
      <c r="B8" s="27" t="inlineStr">
        <is>
          <t>Self-report</t>
        </is>
      </c>
    </row>
    <row r="9" ht="15" customHeight="1" s="17">
      <c r="A9" s="35" t="inlineStr">
        <is>
          <t>Age range</t>
        </is>
      </c>
      <c r="B9" s="27" t="inlineStr">
        <is>
          <t>Adolescents through adults; validated across 23 nations in general population and student samples</t>
        </is>
      </c>
    </row>
    <row r="10" ht="15" customHeight="1" s="17">
      <c r="A10" s="35" t="inlineStr">
        <is>
          <t>Items in instrument</t>
        </is>
      </c>
      <c r="B10" s="27" t="inlineStr">
        <is>
          <t>10</t>
        </is>
      </c>
    </row>
    <row r="11" ht="15" customHeight="1" s="17">
      <c r="A11" s="35" t="inlineStr">
        <is>
          <t>Items reproduced here</t>
        </is>
      </c>
      <c r="B11" s="27" t="inlineStr">
        <is>
          <t>10</t>
        </is>
      </c>
    </row>
    <row r="12" ht="15" customHeight="1" s="17">
      <c r="A12" s="35" t="inlineStr">
        <is>
          <t>Administration time</t>
        </is>
      </c>
      <c r="B12" s="27" t="inlineStr">
        <is>
          <t>4 minutes average (per the official FU Berlin documentation)</t>
        </is>
      </c>
    </row>
    <row r="13" ht="105" customHeight="1" s="17">
      <c r="A13" s="35" t="inlineStr">
        <is>
          <t>Cost and access</t>
        </is>
      </c>
      <c r="B13" s="27" t="inlineStr">
        <is>
          <t>No licence fee or permission is required to use the GSE in coaching practice. The official documentation (faq_gse.pdf, hosted on the developers' own Freie Universität Berlin page) states explicitly: "You do not need our explicit permission to utilize the scale in your research studies. We hereby grant you permission to use and reproduce the General Self-Efficacy Scale for your study, given that appropriate recognition of the source of the scale is made." No commercial-use exclusion is stated anywhere on the official site. Items and instructions are freely viewable on the official page; no purchase, manual or scoring software is required.</t>
        </is>
      </c>
    </row>
    <row r="14" ht="105" customHeight="1" s="17">
      <c r="A14" s="35" t="inlineStr">
        <is>
          <t>Coaching application</t>
        </is>
      </c>
      <c r="B14" s="27" t="inlineStr">
        <is>
          <t>The GSE is a strong short default confidence measure for university students and early-career professionals in executive-function, study-skills and career coaching, giving a quick read on a client's general belief in their capacity to handle difficult or unfamiliar academic and career tasks, which is directly actionable in goal-setting and in framing setbacks. Its limits are that it measures a broad, stable trait rather than confidence in a specific task or domain (such as a particular assignment or job search step), so a low score should prompt further, more specific exploration rather than be treated as a complete picture of a client's confidence.</t>
        </is>
      </c>
    </row>
    <row r="15" ht="45" customHeight="1" s="17">
      <c r="A15" s="35" t="inlineStr">
        <is>
          <t>Purpose</t>
        </is>
      </c>
      <c r="B15" s="27" t="inlineStr">
        <is>
          <t>The GSE was developed by Schwarzer and Jerusalem to provide a short, psychometrically robust measure of a person's general sense of perceived self-efficacy, intended to predict how well people cope with daily hassles and adapt after experiencing stressful life events, across cultures and languages.</t>
        </is>
      </c>
    </row>
    <row r="16" ht="15" customHeight="1" s="17">
      <c r="A16" s="35" t="inlineStr">
        <is>
          <t>Instructions / prompt</t>
        </is>
      </c>
      <c r="B16" s="27" t="inlineStr">
        <is>
          <t>Not stated on source</t>
        </is>
      </c>
    </row>
    <row r="17" ht="15" customHeight="1" s="17">
      <c r="A17" s="35" t="inlineStr">
        <is>
          <t>Response options</t>
        </is>
      </c>
      <c r="B17" s="27" t="inlineStr">
        <is>
          <t>Not at all true = 1 | Hardly true = 2 | Moderately true = 3 | Exactly true = 4</t>
        </is>
      </c>
    </row>
    <row r="18" ht="15" customHeight="1" s="17">
      <c r="A18" s="35" t="inlineStr">
        <is>
          <t>Reverse-scored items</t>
        </is>
      </c>
      <c r="B18" s="27" t="inlineStr">
        <is>
          <t>None</t>
        </is>
      </c>
    </row>
    <row r="19" ht="15" customHeight="1" s="17">
      <c r="A19" s="35" t="inlineStr">
        <is>
          <t>Filler items (not scored)</t>
        </is>
      </c>
      <c r="B19" s="27" t="inlineStr">
        <is>
          <t>None</t>
        </is>
      </c>
    </row>
    <row r="20" ht="30" customHeight="1" s="17">
      <c r="A20" s="35" t="inlineStr">
        <is>
          <t>Total scoring</t>
        </is>
      </c>
      <c r="B20" s="27" t="inlineStr">
        <is>
          <t>Sum of the 10 item ratings, giving a total score ranging from 10 to 40. Higher scores indicate greater generalized self-efficacy. No items are reverse-scored.</t>
        </is>
      </c>
    </row>
    <row r="21" ht="15" customHeight="1" s="17">
      <c r="A21" s="35" t="inlineStr">
        <is>
          <t>Interpretation bands</t>
        </is>
      </c>
      <c r="B21" s="27" t="inlineStr">
        <is>
          <t>Not stated on source</t>
        </is>
      </c>
    </row>
    <row r="22" ht="15" customHeight="1" s="17">
      <c r="A22" s="35" t="inlineStr">
        <is>
          <t>Cut-offs</t>
        </is>
      </c>
      <c r="B22" s="27" t="inlineStr">
        <is>
          <t>No clinical cut-off scores are given on the official page; it is used as a continuous variable.</t>
        </is>
      </c>
    </row>
    <row r="23" ht="45" customHeight="1" s="17">
      <c r="A23" s="35" t="inlineStr">
        <is>
          <t>Normative data</t>
        </is>
      </c>
      <c r="B23" s="27" t="inlineStr">
        <is>
          <t>The official page states the scale has been validated in samples from 23 nations. No specific mean/SD norm tables were printed in the fetched page text, though the page indicates such information is discussed in the accompanying FAQ documentation.</t>
        </is>
      </c>
    </row>
    <row r="24" ht="30" customHeight="1" s="17">
      <c r="A24" s="35" t="inlineStr">
        <is>
          <t>Psychometric properties</t>
        </is>
      </c>
      <c r="B24" s="27" t="inlineStr">
        <is>
          <t>Cronbach's alpha coefficients ranged from .76 to .90 across the 23-nation samples, with the majority in the high .80s, per the official FU Berlin documentation.</t>
        </is>
      </c>
    </row>
    <row r="25" ht="45" customHeight="1" s="17">
      <c r="A25" s="35" t="inlineStr">
        <is>
          <t>Developer citation</t>
        </is>
      </c>
      <c r="B25" s="27" t="inlineStr">
        <is>
          <t>Schwarzer, R., &amp; Jerusalem, M. (1995). Generalized Self-Efficacy scale. In J. Weinman, S. Wright, &amp; M. Johnston, Measures in health psychology: A user's portfolio. Causal and control beliefs (pp. 35-37). NFER-NELSON.</t>
        </is>
      </c>
    </row>
    <row r="26" ht="75" customHeight="1" s="17">
      <c r="A26" s="35" t="inlineStr">
        <is>
          <t>Copyright and licensing</t>
        </is>
      </c>
      <c r="B26" s="27" t="inlineStr">
        <is>
          <t>The official FAQ documentation (faq_gse.pdf) states: "You do not need our explicit permission to utilize the scale in your research studies. We hereby grant you permission to use and reproduce the General Self-Efficacy Scale for your study, given that appropriate recognition of the source of the scale is made." No copyright or permission statement restricting commercial use appears on the item-hosting page itself.</t>
        </is>
      </c>
    </row>
    <row r="27" ht="15" customHeight="1" s="17">
      <c r="A27" s="35" t="inlineStr">
        <is>
          <t>Source URL</t>
        </is>
      </c>
      <c r="B27" s="27" t="inlineStr">
        <is>
          <t>https://userpage.fu-berlin.de/~health/engscal.htm</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I can always manage to solve difficult problems if I try hard enough.</t>
        </is>
      </c>
      <c r="C30" s="27" t="inlineStr">
        <is>
          <t>General Self-Efficacy (total scale)</t>
        </is>
      </c>
      <c r="D30" s="27" t="inlineStr">
        <is>
          <t>FALSE</t>
        </is>
      </c>
      <c r="E30" s="27" t="inlineStr">
        <is>
          <t>FALSE</t>
        </is>
      </c>
      <c r="F30" s="27" t="inlineStr">
        <is>
          <t>Verbatim from the official FU Berlin page, https://userpage.fu-berlin.de/~health/engscal.htm.</t>
        </is>
      </c>
    </row>
    <row r="31" ht="15" customHeight="1" s="17">
      <c r="A31" s="28" t="n">
        <v>2</v>
      </c>
      <c r="B31" s="27" t="inlineStr">
        <is>
          <t>If someone opposes me, I can find the means and ways to get what I want.</t>
        </is>
      </c>
      <c r="C31" s="27" t="inlineStr">
        <is>
          <t>General Self-Efficacy (total scale)</t>
        </is>
      </c>
      <c r="D31" s="27" t="inlineStr">
        <is>
          <t>FALSE</t>
        </is>
      </c>
      <c r="E31" s="27" t="inlineStr">
        <is>
          <t>FALSE</t>
        </is>
      </c>
      <c r="F31" s="27" t="inlineStr">
        <is>
          <t>Verbatim from the official FU Berlin page.</t>
        </is>
      </c>
    </row>
    <row r="32" ht="15" customHeight="1" s="17">
      <c r="A32" s="28" t="n">
        <v>3</v>
      </c>
      <c r="B32" s="27" t="inlineStr">
        <is>
          <t>It is easy for me to stick to my aims and accomplish my goals.</t>
        </is>
      </c>
      <c r="C32" s="27" t="inlineStr">
        <is>
          <t>General Self-Efficacy (total scale)</t>
        </is>
      </c>
      <c r="D32" s="27" t="inlineStr">
        <is>
          <t>FALSE</t>
        </is>
      </c>
      <c r="E32" s="27" t="inlineStr">
        <is>
          <t>FALSE</t>
        </is>
      </c>
      <c r="F32" s="27" t="inlineStr">
        <is>
          <t>Verbatim from the official FU Berlin page.</t>
        </is>
      </c>
    </row>
    <row r="33" ht="15" customHeight="1" s="17">
      <c r="A33" s="28" t="n">
        <v>4</v>
      </c>
      <c r="B33" s="27" t="inlineStr">
        <is>
          <t>I am confident that I could deal efficiently with unexpected events.</t>
        </is>
      </c>
      <c r="C33" s="27" t="inlineStr">
        <is>
          <t>General Self-Efficacy (total scale)</t>
        </is>
      </c>
      <c r="D33" s="27" t="inlineStr">
        <is>
          <t>FALSE</t>
        </is>
      </c>
      <c r="E33" s="27" t="inlineStr">
        <is>
          <t>FALSE</t>
        </is>
      </c>
      <c r="F33" s="27" t="inlineStr">
        <is>
          <t>Verbatim from the official FU Berlin page.</t>
        </is>
      </c>
    </row>
    <row r="34" ht="15" customHeight="1" s="17">
      <c r="A34" s="28" t="n">
        <v>5</v>
      </c>
      <c r="B34" s="27" t="inlineStr">
        <is>
          <t>Thanks to my resourcefulness, I know how to handle unforeseen situations.</t>
        </is>
      </c>
      <c r="C34" s="27" t="inlineStr">
        <is>
          <t>General Self-Efficacy (total scale)</t>
        </is>
      </c>
      <c r="D34" s="27" t="inlineStr">
        <is>
          <t>FALSE</t>
        </is>
      </c>
      <c r="E34" s="27" t="inlineStr">
        <is>
          <t>FALSE</t>
        </is>
      </c>
      <c r="F34" s="27" t="inlineStr">
        <is>
          <t>Verbatim from the official FU Berlin page.</t>
        </is>
      </c>
    </row>
    <row r="35" ht="15" customHeight="1" s="17">
      <c r="A35" s="28" t="n">
        <v>6</v>
      </c>
      <c r="B35" s="27" t="inlineStr">
        <is>
          <t>I can solve most problems if I invest the necessary effort.</t>
        </is>
      </c>
      <c r="C35" s="27" t="inlineStr">
        <is>
          <t>General Self-Efficacy (total scale)</t>
        </is>
      </c>
      <c r="D35" s="27" t="inlineStr">
        <is>
          <t>FALSE</t>
        </is>
      </c>
      <c r="E35" s="27" t="inlineStr">
        <is>
          <t>FALSE</t>
        </is>
      </c>
      <c r="F35" s="27" t="inlineStr">
        <is>
          <t>Verbatim from the official FU Berlin page.</t>
        </is>
      </c>
    </row>
    <row r="36" ht="15" customHeight="1" s="17">
      <c r="A36" s="28" t="n">
        <v>7</v>
      </c>
      <c r="B36" s="27" t="inlineStr">
        <is>
          <t>I can remain calm when facing difficulties because I can rely on my coping abilities.</t>
        </is>
      </c>
      <c r="C36" s="27" t="inlineStr">
        <is>
          <t>General Self-Efficacy (total scale)</t>
        </is>
      </c>
      <c r="D36" s="27" t="inlineStr">
        <is>
          <t>FALSE</t>
        </is>
      </c>
      <c r="E36" s="27" t="inlineStr">
        <is>
          <t>FALSE</t>
        </is>
      </c>
      <c r="F36" s="27" t="inlineStr">
        <is>
          <t>Verbatim from the official FU Berlin page.</t>
        </is>
      </c>
    </row>
    <row r="37" ht="15" customHeight="1" s="17">
      <c r="A37" s="28" t="n">
        <v>8</v>
      </c>
      <c r="B37" s="27" t="inlineStr">
        <is>
          <t>When I am confronted with a problem, I can usually find several solutions.</t>
        </is>
      </c>
      <c r="C37" s="27" t="inlineStr">
        <is>
          <t>General Self-Efficacy (total scale)</t>
        </is>
      </c>
      <c r="D37" s="27" t="inlineStr">
        <is>
          <t>FALSE</t>
        </is>
      </c>
      <c r="E37" s="27" t="inlineStr">
        <is>
          <t>FALSE</t>
        </is>
      </c>
      <c r="F37" s="27" t="inlineStr">
        <is>
          <t>Verbatim from the official FU Berlin page.</t>
        </is>
      </c>
    </row>
    <row r="38" ht="15" customHeight="1" s="17">
      <c r="A38" s="28" t="n">
        <v>9</v>
      </c>
      <c r="B38" s="27" t="inlineStr">
        <is>
          <t>If I am in trouble, I can usually think of a solution.</t>
        </is>
      </c>
      <c r="C38" s="27" t="inlineStr">
        <is>
          <t>General Self-Efficacy (total scale)</t>
        </is>
      </c>
      <c r="D38" s="27" t="inlineStr">
        <is>
          <t>FALSE</t>
        </is>
      </c>
      <c r="E38" s="27" t="inlineStr">
        <is>
          <t>FALSE</t>
        </is>
      </c>
      <c r="F38" s="27" t="inlineStr">
        <is>
          <t>Verbatim from the official FU Berlin page.</t>
        </is>
      </c>
    </row>
    <row r="39" ht="15" customHeight="1" s="17">
      <c r="A39" s="28" t="n">
        <v>10</v>
      </c>
      <c r="B39" s="27" t="inlineStr">
        <is>
          <t>I can usually handle whatever comes my way.</t>
        </is>
      </c>
      <c r="C39" s="27" t="inlineStr">
        <is>
          <t>General Self-Efficacy (total scale)</t>
        </is>
      </c>
      <c r="D39" s="27" t="inlineStr">
        <is>
          <t>FALSE</t>
        </is>
      </c>
      <c r="E39" s="27" t="inlineStr">
        <is>
          <t>FALSE</t>
        </is>
      </c>
      <c r="F39" s="27" t="inlineStr">
        <is>
          <t>Verbatim from the official FU Berlin page.</t>
        </is>
      </c>
    </row>
  </sheetData>
  <autoFilter ref="A29:F3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4"/>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Goal Commitment Scale (5-item unidimensional version)</t>
        </is>
      </c>
    </row>
    <row r="3" ht="15" customHeight="1" s="17">
      <c r="A3" s="35" t="inlineStr">
        <is>
          <t>Instrument</t>
        </is>
      </c>
      <c r="B3" s="27" t="inlineStr">
        <is>
          <t>Goal Commitment Scale (5-item unidimensional version)</t>
        </is>
      </c>
    </row>
    <row r="4" ht="15" customHeight="1" s="17">
      <c r="A4" s="35" t="inlineStr">
        <is>
          <t>Code</t>
        </is>
      </c>
      <c r="B4" s="27" t="inlineStr">
        <is>
          <t>GCS</t>
        </is>
      </c>
    </row>
    <row r="5" ht="15" customHeight="1" s="17">
      <c r="A5" s="35" t="inlineStr">
        <is>
          <t>Domain</t>
        </is>
      </c>
      <c r="B5" s="27" t="inlineStr">
        <is>
          <t>6. Motivation, self determination and goal pursuit</t>
        </is>
      </c>
    </row>
    <row r="6" ht="15" customHeight="1" s="17">
      <c r="A6" s="35" t="inlineStr">
        <is>
          <t>Availability</t>
        </is>
      </c>
      <c r="B6" s="27" t="inlineStr">
        <is>
          <t>Free for research; permission needed for commercial use</t>
        </is>
      </c>
    </row>
    <row r="7" ht="30" customHeight="1" s="17">
      <c r="A7" s="35" t="inlineStr">
        <is>
          <t>Construct</t>
        </is>
      </c>
      <c r="B7" s="27" t="inlineStr">
        <is>
          <t>Unidimensional goal commitment, i.e. the degree of attachment to, and determination to reach, a specific goal the respondent has in mind, independent of the goal's difficulty or content.</t>
        </is>
      </c>
    </row>
    <row r="8" ht="45" customHeight="1" s="17">
      <c r="A8" s="35" t="inlineStr">
        <is>
          <t>Respondent</t>
        </is>
      </c>
      <c r="B8" s="27" t="inlineStr">
        <is>
          <t>Self-report, completed with reference to a specific goal the respondent names or is given (items are worded around "this goal"); used with working adults and students across the many studies aggregated in the 2001 meta-analysis.</t>
        </is>
      </c>
    </row>
    <row r="9" ht="30" customHeight="1" s="17">
      <c r="A9" s="35" t="inlineStr">
        <is>
          <t>Age range</t>
        </is>
      </c>
      <c r="B9" s="27" t="inlineStr">
        <is>
          <t>Adult (18+) in the studies identified; no child or adolescent validation located in the sources fetched.</t>
        </is>
      </c>
    </row>
    <row r="10" ht="15" customHeight="1" s="17">
      <c r="A10" s="35" t="inlineStr">
        <is>
          <t>Items in instrument</t>
        </is>
      </c>
      <c r="B10" s="27" t="inlineStr">
        <is>
          <t>5</t>
        </is>
      </c>
    </row>
    <row r="11" ht="15" customHeight="1" s="17">
      <c r="A11" s="35" t="inlineStr">
        <is>
          <t>Items reproduced here</t>
        </is>
      </c>
      <c r="B11" s="27" t="inlineStr">
        <is>
          <t>5</t>
        </is>
      </c>
    </row>
    <row r="12" ht="15" customHeight="1" s="17">
      <c r="A12" s="35" t="inlineStr">
        <is>
          <t>Administration time</t>
        </is>
      </c>
      <c r="B12" s="27" t="inlineStr">
        <is>
          <t>Not stated on source</t>
        </is>
      </c>
    </row>
    <row r="13" ht="169.5" customHeight="1" s="17">
      <c r="A13" s="35" t="inlineStr">
        <is>
          <t>Cost and access</t>
        </is>
      </c>
      <c r="B13" s="27" t="inlineStr">
        <is>
          <t>No purchase, licence fee, manual, or scoring software is needed to administer the 5 items themselves. The item text is reproduced by an aggregator (scales.arabpsychology.com and its sister site db.arabpsychology.com, both fetched and cross-checked against each other in this session) which states verbatim: "Generally utilized freely for non-commercial academic research, provided proper attribution and citation are given to the original authors. Commercial use or modifications may require explicit permission." This is the aggregator's own licensing note, not a statement issued by Klein et al. or by Elsevier/Organizational Behavior and Human Decision Processes, and no author contact address was found on either aggregator page. The original 2001 article itself is behind the ScienceDirect paywall, so no publisher-issued licence text could be checked directly. Recommend written confirmation from Howard J. Klein (Ohio State University) before using the scale as a scored instrument within a paid coaching product; low-risk for informal, unscored use as a single reflective rating within an individual coaching session. Licensing detail: Free to view for research and academic use; the hosting database states commercial use or modification may require explicit permission from the original authors (position as stated by the aggregator, not by the original publisher, Elsevier)</t>
        </is>
      </c>
    </row>
    <row r="14" ht="120" customHeight="1" s="17">
      <c r="A14" s="35" t="inlineStr">
        <is>
          <t>Coaching application</t>
        </is>
      </c>
      <c r="B14" s="27" t="inlineStr">
        <is>
          <t>The 5-item Goal Commitment Scale is a well-validated, quick diagnostic for how genuinely committed a client is to a goal they have just set, which is useful before investing coaching effort in goal-setting or accountability work with university students or early-career professionals. It works best as a short check-in on a specific, named goal (e.g. a study goal or a career-transition goal) rather than as a general trait measure, and because it was developed and validated in organisational/laboratory goal-setting research rather than in coaching or clinical samples, any score interpretation should stay descriptive and conversational rather than being presented as a validated clinical cut-off.</t>
        </is>
      </c>
    </row>
    <row r="15" ht="105" customHeight="1" s="17">
      <c r="A15" s="35" t="inlineStr">
        <is>
          <t>Purpose</t>
        </is>
      </c>
      <c r="B15" s="27" t="inlineStr">
        <is>
          <t>The Goal Commitment Scale was originally developed by Hollenbeck, Williams and Klein (1989) as a 9-item measure of commitment to a specific, often difficult, goal, extending earlier single-item approaches used in goal-setting research. Klein, Wesson, Hollenbeck, Wright and DeShon (2001) conducted a measurement-model meta-analysis of goal commitment measures across the accumulated literature and concluded that a unidimensional, 5-item subset of the original 9 items (items 1 to 5 below) provided the best-fitting and most parsimonious measurement model, recommending it over the full 9-item version and over the other item combinations tested.</t>
        </is>
      </c>
    </row>
    <row r="16" ht="45" customHeight="1" s="17">
      <c r="A16" s="35" t="inlineStr">
        <is>
          <t>Instructions / prompt</t>
        </is>
      </c>
      <c r="B16" s="27" t="inlineStr">
        <is>
          <t>Not retrieved verbatim from a published source. The items refer to 'this goal', so the respondent must first name the goal being rated; a practitioner instruction such as asking the client to write down the goal and rate each statement about it is needed on the form.</t>
        </is>
      </c>
    </row>
    <row r="17" ht="30" customHeight="1" s="17">
      <c r="A17" s="35" t="inlineStr">
        <is>
          <t>Response options</t>
        </is>
      </c>
      <c r="B17" s="27" t="inlineStr">
        <is>
          <t>Strongly Disagree = 1 | Moderately Disagree = 2 | Neutral = 3 | Moderately Agree = 4 | Strongly Agree = 5</t>
        </is>
      </c>
    </row>
    <row r="18" ht="15" customHeight="1" s="17">
      <c r="A18" s="35" t="inlineStr">
        <is>
          <t>Reverse-scored items</t>
        </is>
      </c>
      <c r="B18" s="27" t="inlineStr">
        <is>
          <t>1-2, 4</t>
        </is>
      </c>
    </row>
    <row r="19" ht="15" customHeight="1" s="17">
      <c r="A19" s="35" t="inlineStr">
        <is>
          <t>Filler items (not scored)</t>
        </is>
      </c>
      <c r="B19" s="27" t="inlineStr">
        <is>
          <t>None</t>
        </is>
      </c>
    </row>
    <row r="20" ht="60" customHeight="1" s="17">
      <c r="A20" s="35" t="inlineStr">
        <is>
          <t>Total scoring</t>
        </is>
      </c>
      <c r="B20" s="27" t="inlineStr">
        <is>
          <t>Reverse score items 1, 2 and 4 (6 minus the response on a 1 to 5 scale), then sum or average all 5 items. Higher scores indicate stronger commitment to the named goal. Klein et al. (2001) recommended these 5 items from the 9 item Hollenbeck, Williams and Klein (1989) scale on the basis of their meta-analytic measurement model; the scale is unidimensional.</t>
        </is>
      </c>
    </row>
    <row r="21" ht="15" customHeight="1" s="17">
      <c r="A21" s="35" t="inlineStr">
        <is>
          <t>Interpretation bands</t>
        </is>
      </c>
      <c r="B21" s="27" t="inlineStr">
        <is>
          <t>Not stated on source</t>
        </is>
      </c>
    </row>
    <row r="22" ht="15" customHeight="1" s="17">
      <c r="A22" s="35" t="inlineStr">
        <is>
          <t>Cut-offs</t>
        </is>
      </c>
      <c r="B22" s="27" t="inlineStr">
        <is>
          <t>Not stated on source</t>
        </is>
      </c>
    </row>
    <row r="23" ht="15" customHeight="1" s="17">
      <c r="A23" s="35" t="inlineStr">
        <is>
          <t>Normative data</t>
        </is>
      </c>
      <c r="B23" s="27" t="inlineStr">
        <is>
          <t>Not stated on source</t>
        </is>
      </c>
    </row>
    <row r="24" ht="169.5" customHeight="1" s="17">
      <c r="A24" s="35" t="inlineStr">
        <is>
          <t>Psychometric properties</t>
        </is>
      </c>
      <c r="B24" s="27" t="inlineStr">
        <is>
          <t>The original Klein et al. (2001) primary-source alpha for the 5-item scale could not be independently retrieved in this session (ScienceDirect paywall). A secondary source that cites Klein et al. (2001) directly (Examination of Goal Commitment and Subjective..., ERIC document EJ1263534, fetched in this session) states: "the internal consistency coefficient of the scale was found to be 0.74," attributed to the Klein et al. (2001) 5-item version, but this figure is a secondary citation, not a quote taken from the original 2001 article itself. A separate, unrelated study using the same 5-item scale (fetched via PMC8490751, a feedback-and-goal-commitment study) reports Cronbach's alpha ranging from .80 to .88 across experimental conditions at Time 1, again not from the original 2001 source. A later, related 4-item unidimensional target-free measure derived from this tradition (the KUT; Klein, Cooper, Molloy &amp; Swanson, 2014, cited in a secondary dissertation source fetched in this session) is reported with alpha = .92, but this is a different, shorter instrument, not the Klein et al. (2001) 5-item GCS itself, and is included here only for context. No alpha figure could be confirmed as coming directly from the text of Klein et al. (2001). Correction note: an earlier draft of this record, taken from an aggregator site, listed two items from the 9 item parent scale ('It's unrealistic for me to expect to reach this goal' and 'It is quite likely that this goal may need to be revised') in place of 2 of the 5 recommended items. The items were corrected against Klein et al. (2001, p. 34) as quoted in an independent thesis; reliability figures quoted above from sources using the aggregator's set should be treated with caution.</t>
        </is>
      </c>
    </row>
    <row r="25" ht="45" customHeight="1" s="17">
      <c r="A25" s="35" t="inlineStr">
        <is>
          <t>Developer citation</t>
        </is>
      </c>
      <c r="B25" s="27" t="inlineStr">
        <is>
          <t>Klein, H. J., Wesson, M. J., Hollenbeck, J. R., Wright, P. M., &amp; DeShon, R. P. (2001). The assessment of goal commitment: A measurement model meta-analysis. Organizational Behavior and Human Decision Processes, 85(1), 32-55.</t>
        </is>
      </c>
    </row>
    <row r="26" ht="165" customHeight="1" s="17">
      <c r="A26" s="35" t="inlineStr">
        <is>
          <t>Copyright and licensing</t>
        </is>
      </c>
      <c r="B26" s="27" t="inlineStr">
        <is>
          <t>No copyright or licence statement was found on the original publisher's own materials (the article is paywalled at Elsevier/ScienceDirect and no author-hosted copy was located). The item-hosting aggregator (arabpsychology.com, both scales. and db. subdomains, cross-checked against each other) states verbatim: "Generally utilized freely for non-commercial academic research, provided proper attribution and citation are given to the original authors. Commercial use or modifications may require explicit permission." One of the two aggregator pages additionally attributes the underlying construct to a different 1989 citation (Hollenbeck, Klein, O'Leary &amp; Wright, 1989, Journal of Applied Psychology, 74, 951-956, "Investigation of the construct validity of a self-report measure of goal commitment") rather than to the Hollenbeck, Williams &amp; Klein (1989) citation specified in this record's brief; both 1989 papers exist in the literature and this discrepancy between the two aggregator pages should be treated as an aggregator inconsistency, not a confirmed fact about the scale's origin.</t>
        </is>
      </c>
    </row>
    <row r="27" ht="15" customHeight="1" s="17">
      <c r="A27" s="35" t="inlineStr">
        <is>
          <t>Source URL</t>
        </is>
      </c>
      <c r="B27" s="27" t="inlineStr">
        <is>
          <t>https://bearworks.missouristate.edu/cgi/viewcontent.cgi?article=4229&amp;context=theses</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46.25" customHeight="1" s="17">
      <c r="A30" s="28" t="n">
        <v>1</v>
      </c>
      <c r="B30" s="27" t="inlineStr">
        <is>
          <t>It's hard to take this goal seriously.</t>
        </is>
      </c>
      <c r="C30" s="27" t="inlineStr">
        <is>
          <t>Goal Commitment</t>
        </is>
      </c>
      <c r="D30" s="34" t="inlineStr">
        <is>
          <t>TRUE</t>
        </is>
      </c>
      <c r="E30" s="27" t="inlineStr">
        <is>
          <t>FALSE</t>
        </is>
      </c>
      <c r="F30" s="27" t="inlineStr">
        <is>
          <t>Item wording and reverse keying per Klein et al. (2001, p. 34) as quoted in Missouri State University thesis https://bearworks.missouristate.edu/cgi/viewcontent.cgi?article=4229&amp;context=theses.</t>
        </is>
      </c>
    </row>
    <row r="31" ht="46.25" customHeight="1" s="17">
      <c r="A31" s="28" t="n">
        <v>2</v>
      </c>
      <c r="B31" s="27" t="inlineStr">
        <is>
          <t>Quite frankly, I don't care if I achieve this goal or not.</t>
        </is>
      </c>
      <c r="C31" s="27" t="inlineStr">
        <is>
          <t>Goal Commitment</t>
        </is>
      </c>
      <c r="D31" s="34" t="inlineStr">
        <is>
          <t>TRUE</t>
        </is>
      </c>
      <c r="E31" s="27" t="inlineStr">
        <is>
          <t>FALSE</t>
        </is>
      </c>
      <c r="F31" s="27" t="inlineStr">
        <is>
          <t>Item wording and reverse keying per Klein et al. (2001, p. 34) as quoted in Missouri State University thesis https://bearworks.missouristate.edu/cgi/viewcontent.cgi?article=4229&amp;context=theses.</t>
        </is>
      </c>
    </row>
    <row r="32" ht="46.25" customHeight="1" s="17">
      <c r="A32" s="28" t="n">
        <v>3</v>
      </c>
      <c r="B32" s="27" t="inlineStr">
        <is>
          <t>I am strongly committed to pursuing this goal.</t>
        </is>
      </c>
      <c r="C32" s="27" t="inlineStr">
        <is>
          <t>Goal Commitment</t>
        </is>
      </c>
      <c r="D32" s="27" t="inlineStr">
        <is>
          <t>FALSE</t>
        </is>
      </c>
      <c r="E32" s="27" t="inlineStr">
        <is>
          <t>FALSE</t>
        </is>
      </c>
      <c r="F32" s="27" t="inlineStr">
        <is>
          <t>Item wording and reverse keying per Klein et al. (2001, p. 34) as quoted in Missouri State University thesis https://bearworks.missouristate.edu/cgi/viewcontent.cgi?article=4229&amp;context=theses.</t>
        </is>
      </c>
    </row>
    <row r="33" ht="46.25" customHeight="1" s="17">
      <c r="A33" s="28" t="n">
        <v>4</v>
      </c>
      <c r="B33" s="27" t="inlineStr">
        <is>
          <t>It wouldn't take much to make me abandon this goal.</t>
        </is>
      </c>
      <c r="C33" s="27" t="inlineStr">
        <is>
          <t>Goal Commitment</t>
        </is>
      </c>
      <c r="D33" s="34" t="inlineStr">
        <is>
          <t>TRUE</t>
        </is>
      </c>
      <c r="E33" s="27" t="inlineStr">
        <is>
          <t>FALSE</t>
        </is>
      </c>
      <c r="F33" s="27" t="inlineStr">
        <is>
          <t>Item wording and reverse keying per Klein et al. (2001, p. 34) as quoted in Missouri State University thesis https://bearworks.missouristate.edu/cgi/viewcontent.cgi?article=4229&amp;context=theses.</t>
        </is>
      </c>
    </row>
    <row r="34" ht="46.25" customHeight="1" s="17">
      <c r="A34" s="28" t="n">
        <v>5</v>
      </c>
      <c r="B34" s="27" t="inlineStr">
        <is>
          <t>I think this is a good goal to shoot for.</t>
        </is>
      </c>
      <c r="C34" s="27" t="inlineStr">
        <is>
          <t>Goal Commitment</t>
        </is>
      </c>
      <c r="D34" s="27" t="inlineStr">
        <is>
          <t>FALSE</t>
        </is>
      </c>
      <c r="E34" s="27" t="inlineStr">
        <is>
          <t>FALSE</t>
        </is>
      </c>
      <c r="F34" s="27" t="inlineStr">
        <is>
          <t>Item wording and reverse keying per Klein et al. (2001, p. 34) as quoted in Missouri State University thesis https://bearworks.missouristate.edu/cgi/viewcontent.cgi?article=4229&amp;context=theses.</t>
        </is>
      </c>
    </row>
  </sheetData>
  <autoFilter ref="A29:F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F39"/>
  <sheetViews>
    <sheetView showFormulas="0" showGridLines="0" showRowColHeaders="1" showZeros="1" rightToLeft="0" tabSelected="0" showOutlineSymbols="1" defaultGridColor="1" view="normal" topLeftCell="A1" colorId="64" zoomScale="100" zoomScaleNormal="100" zoomScalePageLayoutView="100" workbookViewId="0">
      <pane xSplit="0" ySplit="29" topLeftCell="A3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80" customWidth="1" style="16" min="2" max="2"/>
    <col width="34" customWidth="1" style="16" min="3" max="3"/>
    <col width="10" customWidth="1" style="16" min="4" max="5"/>
    <col width="58" customWidth="1" style="16" min="6" max="6"/>
  </cols>
  <sheetData>
    <row r="1" ht="17.35" customHeight="1" s="17">
      <c r="A1" s="31" t="inlineStr">
        <is>
          <t>Goal Adjustment Scale</t>
        </is>
      </c>
    </row>
    <row r="3" ht="15" customHeight="1" s="17">
      <c r="A3" s="35" t="inlineStr">
        <is>
          <t>Instrument</t>
        </is>
      </c>
      <c r="B3" s="27" t="inlineStr">
        <is>
          <t>Goal Adjustment Scale</t>
        </is>
      </c>
    </row>
    <row r="4" ht="15" customHeight="1" s="17">
      <c r="A4" s="35" t="inlineStr">
        <is>
          <t>Code</t>
        </is>
      </c>
      <c r="B4" s="27" t="inlineStr">
        <is>
          <t>GADJ</t>
        </is>
      </c>
    </row>
    <row r="5" ht="15" customHeight="1" s="17">
      <c r="A5" s="35" t="inlineStr">
        <is>
          <t>Domain</t>
        </is>
      </c>
      <c r="B5" s="27" t="inlineStr">
        <is>
          <t>6. Motivation, self determination and goal pursuit</t>
        </is>
      </c>
    </row>
    <row r="6" ht="15" customHeight="1" s="17">
      <c r="A6" s="35" t="inlineStr">
        <is>
          <t>Availability</t>
        </is>
      </c>
      <c r="B6" s="27" t="inlineStr">
        <is>
          <t>Free for research; permission needed for commercial use</t>
        </is>
      </c>
    </row>
    <row r="7" ht="60" customHeight="1" s="17">
      <c r="A7" s="35" t="inlineStr">
        <is>
          <t>Construct</t>
        </is>
      </c>
      <c r="B7" s="27" t="inlineStr">
        <is>
          <t>Adaptive self-regulation in the face of unattainable goals, comprising two related capacities: Goal Disengagement (the ability to withdraw effort and commitment from a goal that can no longer be reached) and Goal Reengagement (the ability to identify, commit to, and pursue new goals after disengaging from an old one).</t>
        </is>
      </c>
    </row>
    <row r="8" ht="30" customHeight="1" s="17">
      <c r="A8" s="35" t="inlineStr">
        <is>
          <t>Respondent</t>
        </is>
      </c>
      <c r="B8" s="27" t="inlineStr">
        <is>
          <t>Self-report, answered with respect to a general stem about an important, unattainable goal in the respondent's own life (not a goal supplied by an interviewer).</t>
        </is>
      </c>
    </row>
    <row r="9" ht="60" customHeight="1" s="17">
      <c r="A9" s="35" t="inlineStr">
        <is>
          <t>Age range</t>
        </is>
      </c>
      <c r="B9" s="27" t="inlineStr">
        <is>
          <t>Validated across three studies spanning young adulthood to old age: Study 1, undergraduates aged 17-23 (M = 19.35, SD = 1.08); Study 2, young adults aged 19-35 (M = 22.47) and older adults aged 55-89 (M = 69.67); Study 3, parents in their mid-30s to mid-40s (M around 36.9-37.6). No dedicated adolescent (under 17) validation was located.</t>
        </is>
      </c>
    </row>
    <row r="10" ht="15" customHeight="1" s="17">
      <c r="A10" s="35" t="inlineStr">
        <is>
          <t>Items in instrument</t>
        </is>
      </c>
      <c r="B10" s="27" t="inlineStr">
        <is>
          <t>10</t>
        </is>
      </c>
    </row>
    <row r="11" ht="15" customHeight="1" s="17">
      <c r="A11" s="35" t="inlineStr">
        <is>
          <t>Items reproduced here</t>
        </is>
      </c>
      <c r="B11" s="27" t="inlineStr">
        <is>
          <t>10</t>
        </is>
      </c>
    </row>
    <row r="12" ht="15" customHeight="1" s="17">
      <c r="A12" s="35" t="inlineStr">
        <is>
          <t>Administration time</t>
        </is>
      </c>
      <c r="B12" s="27" t="inlineStr">
        <is>
          <t>Not stated on source</t>
        </is>
      </c>
    </row>
    <row r="13" ht="169.5" customHeight="1" s="17">
      <c r="A13" s="35" t="inlineStr">
        <is>
          <t>Cost and access</t>
        </is>
      </c>
      <c r="B13" s="27" t="inlineStr">
        <is>
          <t>No purchase or licence fee is required to view the 10 items; they are reproduced in Table 1 of the original journal article, re-hosted at https://www.cmu.edu/dietrich/psychology/pdf/scales/GAS_article.pdf (fetched and confirmed in this session; this is the original 2003 Personality and Social Psychology Bulletin article, carrying the line "\u00a9 2003 by the Society for Personality and Social Psychology, Inc."). Carnegie Mellon's psychology department also hosts what its filename indicates is a standalone scale-only document at https://www.cmu.edu/dietrich/psychology/pdf/scales/GAS_scale.pdf; this URL was fetched in this session but returned no machine-readable text ("This PDF is empty or contains no machine-readable text"), so it could not be used to confirm a separate administration-ready form, and its existence as a genuinely standalone form is unconfirmed. No copyright, licence, or commercial-use statement appears anywhere in the original article itself. A third-party aggregator, Psychology Roots (https://psychologyroots.com/goal-adjustment-scale/, fetched and quoted directly in this session), states: "Psychology Roots does not have the right to grant permission for the use of any psychological scales or assessments listed on its website. To use any scale or assessment, you must obtain permission directly from the author or translator of the tool," naming the original authors (Wrosch, Scheier, Miller, Schulz, Carver) as the people to contact. Recommend written permission from Carsten Wrosch or Michael F. Scheier before using the GAS as a scored instrument in a commercial coaching product. Licensing detail: Free to view via a university-hosted copy of the original journal article; commercial/paid use is not explicitly addressed by the original authors or publisher, and a third-party scale-listing site states that permission must be obtained directly from the authors</t>
        </is>
      </c>
    </row>
    <row r="14" ht="135" customHeight="1" s="17">
      <c r="A14" s="35" t="inlineStr">
        <is>
          <t>Coaching application</t>
        </is>
      </c>
      <c r="B14" s="27" t="inlineStr">
        <is>
          <t>The Goal Adjustment Scale is directly useful in goal-setting coaching with university students and early-career professionals when the presenting issue is a stalled, blocked, or no-longer-realistic goal, such as a failed course, a missed graduate-entry pathway, or a career plan overtaken by events, because it separates the client's capacity to let go of that goal from their capacity to reinvest energy in a new one. Its main limits for this population are that it was validated primarily on undergraduates, community adults, and parents of ill children rather than on a coaching-specific sample, and that a low Reengagement score in a young client may reflect a genuinely open-ended transitional life stage rather than a self-regulatory deficit, so scores should inform conversation rather than be treated as a fixed trait diagnosis.</t>
        </is>
      </c>
    </row>
    <row r="15" ht="90" customHeight="1" s="17">
      <c r="A15" s="35" t="inlineStr">
        <is>
          <t>Purpose</t>
        </is>
      </c>
      <c r="B15" s="27" t="inlineStr">
        <is>
          <t>The Goal Adjustment Scale was developed by Wrosch, Scheier, Miller, Schulz and Carver (2003) to measure two theoretically distinct components of adaptive self-regulation when a personal goal becomes unattainable: disengaging from the blocked goal, and reengaging with new, attainable goals. The scale was validated across three studies (university students, a community sample of young and older adults, and parents of children with or without cancer) and used to test whether disengagement and reengagement independently predict subjective well-being and physical health symptoms.</t>
        </is>
      </c>
    </row>
    <row r="16" ht="90" customHeight="1" s="17">
      <c r="A16" s="35" t="inlineStr">
        <is>
          <t>Instructions / prompt</t>
        </is>
      </c>
      <c r="B16" s="27" t="inlineStr">
        <is>
          <t>"If I have to stop pursuing an important goal in my life . . ." This is the generic item stem used for all 10 items in Study 2 and Study 3, quoted verbatim from a footnote to Table 1 of Wrosch et al. (2003), fetched and confirmed in this session. In Study 1, the goal disengagement items only were instead presented against three separate situational stems, one of which is quoted verbatim in the article as: "If it becomes likely that I have to stop pursuing an important goal because I no longer have the opportunity to realize it . . ."</t>
        </is>
      </c>
    </row>
    <row r="17" ht="15" customHeight="1" s="17">
      <c r="A17" s="35" t="inlineStr">
        <is>
          <t>Response options</t>
        </is>
      </c>
      <c r="B17" s="27" t="inlineStr">
        <is>
          <t>Almost never true = 1 | 2 = 2 | 3 = 3 | 4 = 4 | Almost always true = 5</t>
        </is>
      </c>
    </row>
    <row r="18" ht="15" customHeight="1" s="17">
      <c r="A18" s="35" t="inlineStr">
        <is>
          <t>Reverse-scored items</t>
        </is>
      </c>
      <c r="B18" s="27" t="inlineStr">
        <is>
          <t>2-3</t>
        </is>
      </c>
    </row>
    <row r="19" ht="15" customHeight="1" s="17">
      <c r="A19" s="35" t="inlineStr">
        <is>
          <t>Filler items (not scored)</t>
        </is>
      </c>
      <c r="B19" s="27" t="inlineStr">
        <is>
          <t>None</t>
        </is>
      </c>
    </row>
    <row r="20" ht="60" customHeight="1" s="17">
      <c r="A20" s="35" t="inlineStr">
        <is>
          <t>Total scoring</t>
        </is>
      </c>
      <c r="B20" s="27" t="inlineStr">
        <is>
          <t>Score the two subscales separately; the instrument does not sum to a single overall score. For Goal Disengagement, reverse-score items 2 and 3, then average (or sum) all 4 items; higher scores indicate greater ability to disengage from an unattainable goal. For Goal Reengagement, average (or sum) all 6 items with no reversal; higher scores indicate greater capacity to reengage with new goals.</t>
        </is>
      </c>
    </row>
    <row r="21" ht="15" customHeight="1" s="17">
      <c r="A21" s="35" t="inlineStr">
        <is>
          <t>Interpretation bands</t>
        </is>
      </c>
      <c r="B21" s="27" t="inlineStr">
        <is>
          <t>Not stated on source</t>
        </is>
      </c>
    </row>
    <row r="22" ht="15" customHeight="1" s="17">
      <c r="A22" s="35" t="inlineStr">
        <is>
          <t>Cut-offs</t>
        </is>
      </c>
      <c r="B22" s="27" t="inlineStr">
        <is>
          <t>Not stated on source</t>
        </is>
      </c>
    </row>
    <row r="23" ht="15" customHeight="1" s="17">
      <c r="A23" s="35" t="inlineStr">
        <is>
          <t>Normative data</t>
        </is>
      </c>
      <c r="B23" s="27" t="inlineStr">
        <is>
          <t>Not stated on source</t>
        </is>
      </c>
    </row>
    <row r="24" ht="135" customHeight="1" s="17">
      <c r="A24" s="35" t="inlineStr">
        <is>
          <t>Psychometric properties</t>
        </is>
      </c>
      <c r="B24" s="27" t="inlineStr">
        <is>
          <t>Cronbach's alpha values quoted verbatim from Wrosch et al. (2003), fetched and confirmed in this session: Study 1 (N = 115 undergraduates), Goal Disengagement α = .84, Goal Reengagement α = .86; Study 2 (N = 120 community adults), Goal Disengagement α = .76, Goal Reengagement α = .89; Study 3 (N = 45 parents), Goal Disengagement α = .79, Goal Reengagement α = .86. Note that a third-party aggregator page (Psychology Roots) states the Study 1 figures (.84 disengagement / .86 reengagement) as if they were the scale's single reliability figures and separately describes the response scale as "1 (Strongly Disagree) to 5 (Strongly Agree)," which conflicts with the "almost never true" to "almost always true" anchors confirmed directly from the primary article's Table 1 footnote; the primary-source anchors are used in this record and the aggregator's anchor wording should be treated as an error.</t>
        </is>
      </c>
    </row>
    <row r="25" ht="45" customHeight="1" s="17">
      <c r="A25" s="35" t="inlineStr">
        <is>
          <t>Developer citation</t>
        </is>
      </c>
      <c r="B25" s="27" t="inlineStr">
        <is>
          <t>Wrosch, C., Scheier, M. F., Miller, G. E., Schulz, R., &amp; Carver, C. S. (2003). Adaptive self-regulation of unattainable goals: Goal disengagement, goal reengagement, and subjective well-being. Personality and Social Psychology Bulletin, 29(12), 1494-1508.</t>
        </is>
      </c>
    </row>
    <row r="26" ht="75" customHeight="1" s="17">
      <c r="A26" s="35" t="inlineStr">
        <is>
          <t>Copyright and licensing</t>
        </is>
      </c>
      <c r="B26" s="27" t="inlineStr">
        <is>
          <t>The original article carries the line "\u00a9 2003 by the Society for Personality and Social Psychology, Inc." but no explicit statement about permission to reproduce or use the scale for research, clinical, or commercial purposes appears anywhere in the fetched text. Psychology Roots (third-party aggregator, quoted verbatim above) states that permission must be sought directly from the original authors and that the aggregator itself has no right to grant use permission.</t>
        </is>
      </c>
    </row>
    <row r="27" ht="15" customHeight="1" s="17">
      <c r="A27" s="35" t="inlineStr">
        <is>
          <t>Source URL</t>
        </is>
      </c>
      <c r="B27" s="27" t="inlineStr">
        <is>
          <t>https://www.cmu.edu/dietrich/psychology/pdf/scales/GAS_article.pdf</t>
        </is>
      </c>
    </row>
    <row r="29" ht="15" customHeight="1" s="17">
      <c r="A29" s="25" t="inlineStr">
        <is>
          <t>Item Number</t>
        </is>
      </c>
      <c r="B29" s="25" t="inlineStr">
        <is>
          <t>Item Text (verbatim)</t>
        </is>
      </c>
      <c r="C29" s="25" t="inlineStr">
        <is>
          <t>Subscale / Domain</t>
        </is>
      </c>
      <c r="D29" s="25" t="inlineStr">
        <is>
          <t>Reverse</t>
        </is>
      </c>
      <c r="E29" s="25" t="inlineStr">
        <is>
          <t>Filler</t>
        </is>
      </c>
      <c r="F29" s="25" t="inlineStr">
        <is>
          <t>Item Notes</t>
        </is>
      </c>
    </row>
    <row r="30" ht="23.85" customHeight="1" s="17">
      <c r="A30" s="28" t="n">
        <v>1</v>
      </c>
      <c r="B30" s="27" t="inlineStr">
        <is>
          <t>It's easy for me to reduce my effort toward the goal.</t>
        </is>
      </c>
      <c r="C30" s="27" t="inlineStr">
        <is>
          <t>Goal Disengagement</t>
        </is>
      </c>
      <c r="D30" s="27" t="inlineStr">
        <is>
          <t>FALSE</t>
        </is>
      </c>
      <c r="E30" s="27" t="inlineStr">
        <is>
          <t>FALSE</t>
        </is>
      </c>
      <c r="F30" s="27" t="inlineStr">
        <is>
          <t>Verbatim from Table 1, Wrosch et al. (2003), fetched from the Carnegie Mellon-hosted copy of the original article.</t>
        </is>
      </c>
    </row>
    <row r="31" ht="35.05" customHeight="1" s="17">
      <c r="A31" s="28" t="n">
        <v>2</v>
      </c>
      <c r="B31" s="27" t="inlineStr">
        <is>
          <t>I find it difficult to stop trying to achieve the goal.</t>
        </is>
      </c>
      <c r="C31" s="27" t="inlineStr">
        <is>
          <t>Goal Disengagement</t>
        </is>
      </c>
      <c r="D31" s="34" t="inlineStr">
        <is>
          <t>TRUE</t>
        </is>
      </c>
      <c r="E31" s="27" t="inlineStr">
        <is>
          <t>FALSE</t>
        </is>
      </c>
      <c r="F31" s="27" t="inlineStr">
        <is>
          <t>Verbatim from Table 1, Wrosch et al. (2003); marked with a reverse-scoring symbol in the original table because it is worded in the direction of persistence, not disengagement.</t>
        </is>
      </c>
    </row>
    <row r="32" ht="23.85" customHeight="1" s="17">
      <c r="A32" s="28" t="n">
        <v>3</v>
      </c>
      <c r="B32" s="27" t="inlineStr">
        <is>
          <t>I stay committed to the goal for a long time; I can't let it go.</t>
        </is>
      </c>
      <c r="C32" s="27" t="inlineStr">
        <is>
          <t>Goal Disengagement</t>
        </is>
      </c>
      <c r="D32" s="34" t="inlineStr">
        <is>
          <t>TRUE</t>
        </is>
      </c>
      <c r="E32" s="27" t="inlineStr">
        <is>
          <t>FALSE</t>
        </is>
      </c>
      <c r="F32" s="27" t="inlineStr">
        <is>
          <t>Verbatim from Table 1, Wrosch et al. (2003); marked with a reverse-scoring symbol in the original table for the same reason as item 2.</t>
        </is>
      </c>
    </row>
    <row r="33" ht="15" customHeight="1" s="17">
      <c r="A33" s="28" t="n">
        <v>4</v>
      </c>
      <c r="B33" s="27" t="inlineStr">
        <is>
          <t>It's easy for me to stop thinking about the goal and let it go.</t>
        </is>
      </c>
      <c r="C33" s="27" t="inlineStr">
        <is>
          <t>Goal Disengagement</t>
        </is>
      </c>
      <c r="D33" s="27" t="inlineStr">
        <is>
          <t>FALSE</t>
        </is>
      </c>
      <c r="E33" s="27" t="inlineStr">
        <is>
          <t>FALSE</t>
        </is>
      </c>
      <c r="F33" s="27" t="inlineStr">
        <is>
          <t>Verbatim from Table 1, Wrosch et al. (2003).</t>
        </is>
      </c>
    </row>
    <row r="34" ht="15" customHeight="1" s="17">
      <c r="A34" s="28" t="n">
        <v>5</v>
      </c>
      <c r="B34" s="27" t="inlineStr">
        <is>
          <t>I think about other new goals to pursue.</t>
        </is>
      </c>
      <c r="C34" s="27" t="inlineStr">
        <is>
          <t>Goal Reengagement</t>
        </is>
      </c>
      <c r="D34" s="27" t="inlineStr">
        <is>
          <t>FALSE</t>
        </is>
      </c>
      <c r="E34" s="27" t="inlineStr">
        <is>
          <t>FALSE</t>
        </is>
      </c>
      <c r="F34" s="27" t="inlineStr">
        <is>
          <t>Verbatim from Table 1, Wrosch et al. (2003).</t>
        </is>
      </c>
    </row>
    <row r="35" ht="15" customHeight="1" s="17">
      <c r="A35" s="28" t="n">
        <v>6</v>
      </c>
      <c r="B35" s="27" t="inlineStr">
        <is>
          <t>I seek other meaningful goals.</t>
        </is>
      </c>
      <c r="C35" s="27" t="inlineStr">
        <is>
          <t>Goal Reengagement</t>
        </is>
      </c>
      <c r="D35" s="27" t="inlineStr">
        <is>
          <t>FALSE</t>
        </is>
      </c>
      <c r="E35" s="27" t="inlineStr">
        <is>
          <t>FALSE</t>
        </is>
      </c>
      <c r="F35" s="27" t="inlineStr">
        <is>
          <t>Verbatim from Table 1, Wrosch et al. (2003).</t>
        </is>
      </c>
    </row>
    <row r="36" ht="15" customHeight="1" s="17">
      <c r="A36" s="28" t="n">
        <v>7</v>
      </c>
      <c r="B36" s="27" t="inlineStr">
        <is>
          <t>I convince myself that I have other meaningful goals to pursue.</t>
        </is>
      </c>
      <c r="C36" s="27" t="inlineStr">
        <is>
          <t>Goal Reengagement</t>
        </is>
      </c>
      <c r="D36" s="27" t="inlineStr">
        <is>
          <t>FALSE</t>
        </is>
      </c>
      <c r="E36" s="27" t="inlineStr">
        <is>
          <t>FALSE</t>
        </is>
      </c>
      <c r="F36" s="27" t="inlineStr">
        <is>
          <t>Verbatim from Table 1, Wrosch et al. (2003).</t>
        </is>
      </c>
    </row>
    <row r="37" ht="15" customHeight="1" s="17">
      <c r="A37" s="28" t="n">
        <v>8</v>
      </c>
      <c r="B37" s="27" t="inlineStr">
        <is>
          <t>I tell myself that I have a number of other new goals to draw on.</t>
        </is>
      </c>
      <c r="C37" s="27" t="inlineStr">
        <is>
          <t>Goal Reengagement</t>
        </is>
      </c>
      <c r="D37" s="27" t="inlineStr">
        <is>
          <t>FALSE</t>
        </is>
      </c>
      <c r="E37" s="27" t="inlineStr">
        <is>
          <t>FALSE</t>
        </is>
      </c>
      <c r="F37" s="27" t="inlineStr">
        <is>
          <t>Verbatim from Table 1, Wrosch et al. (2003).</t>
        </is>
      </c>
    </row>
    <row r="38" ht="15" customHeight="1" s="17">
      <c r="A38" s="28" t="n">
        <v>9</v>
      </c>
      <c r="B38" s="27" t="inlineStr">
        <is>
          <t>I start working on other new goals.</t>
        </is>
      </c>
      <c r="C38" s="27" t="inlineStr">
        <is>
          <t>Goal Reengagement</t>
        </is>
      </c>
      <c r="D38" s="27" t="inlineStr">
        <is>
          <t>FALSE</t>
        </is>
      </c>
      <c r="E38" s="27" t="inlineStr">
        <is>
          <t>FALSE</t>
        </is>
      </c>
      <c r="F38" s="27" t="inlineStr">
        <is>
          <t>Verbatim from Table 1, Wrosch et al. (2003).</t>
        </is>
      </c>
    </row>
    <row r="39" ht="15" customHeight="1" s="17">
      <c r="A39" s="28" t="n">
        <v>10</v>
      </c>
      <c r="B39" s="27" t="inlineStr">
        <is>
          <t>I put effort toward other meaningful goals.</t>
        </is>
      </c>
      <c r="C39" s="27" t="inlineStr">
        <is>
          <t>Goal Reengagement</t>
        </is>
      </c>
      <c r="D39" s="27" t="inlineStr">
        <is>
          <t>FALSE</t>
        </is>
      </c>
      <c r="E39" s="27" t="inlineStr">
        <is>
          <t>FALSE</t>
        </is>
      </c>
      <c r="F39" s="27" t="inlineStr">
        <is>
          <t>Verbatim from Table 1, Wrosch et al. (2003).</t>
        </is>
      </c>
    </row>
  </sheetData>
  <autoFilter ref="A29:F3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2026-09-26T02:55:48Z</dcterms:created>
  <dcterms:modified xmlns:dcterms="http://purl.org/dc/terms/" xmlns:xsi="http://www.w3.org/2001/XMLSchema-instance" xsi:type="dcterms:W3CDTF">2026-10-18T04:54:53Z</dcterms:modified>
  <cp:revision>0</cp:revision>
</cp:coreProperties>
</file>