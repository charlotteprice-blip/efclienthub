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Hub Library" sheetId="2" state="visible" r:id="rId2"/>
    <sheet xmlns:r="http://schemas.openxmlformats.org/officeDocument/2006/relationships" name="Hub Subscales" sheetId="3" state="visible" r:id="rId3"/>
    <sheet xmlns:r="http://schemas.openxmlformats.org/officeDocument/2006/relationships" name="NovoPsych Catalogue" sheetId="4" state="visible" r:id="rId4"/>
    <sheet xmlns:r="http://schemas.openxmlformats.org/officeDocument/2006/relationships" name="Other open instruments" sheetId="5" state="visible" r:id="rId5"/>
    <sheet xmlns:r="http://schemas.openxmlformats.org/officeDocument/2006/relationships" name="Batteries" sheetId="6" state="visible" r:id="rId6"/>
    <sheet xmlns:r="http://schemas.openxmlformats.org/officeDocument/2006/relationships" name="Tally Prompt" sheetId="7" state="visible" r:id="rId7"/>
    <sheet xmlns:r="http://schemas.openxmlformats.org/officeDocument/2006/relationships" name="Instrument Summary" sheetId="8" state="visible" r:id="rId8"/>
    <sheet xmlns:r="http://schemas.openxmlformats.org/officeDocument/2006/relationships" name="Master Item List" sheetId="9" state="visible" r:id="rId9"/>
    <sheet xmlns:r="http://schemas.openxmlformats.org/officeDocument/2006/relationships" name="Structure and Subscales" sheetId="10" state="visible" r:id="rId10"/>
    <sheet xmlns:r="http://schemas.openxmlformats.org/officeDocument/2006/relationships" name="References" sheetId="11" state="visible" r:id="rId11"/>
    <sheet xmlns:r="http://schemas.openxmlformats.org/officeDocument/2006/relationships" name="ESQ-R" sheetId="12" state="visible" r:id="rId12"/>
    <sheet xmlns:r="http://schemas.openxmlformats.org/officeDocument/2006/relationships" name="CFI" sheetId="13" state="visible" r:id="rId13"/>
    <sheet xmlns:r="http://schemas.openxmlformats.org/officeDocument/2006/relationships" name="ASRS" sheetId="14" state="visible" r:id="rId14"/>
    <sheet xmlns:r="http://schemas.openxmlformats.org/officeDocument/2006/relationships" name="SKS" sheetId="15" state="visible" r:id="rId15"/>
    <sheet xmlns:r="http://schemas.openxmlformats.org/officeDocument/2006/relationships" name="SUS" sheetId="16" state="visible" r:id="rId16"/>
    <sheet xmlns:r="http://schemas.openxmlformats.org/officeDocument/2006/relationships" name="SSES" sheetId="17" state="visible" r:id="rId17"/>
    <sheet xmlns:r="http://schemas.openxmlformats.org/officeDocument/2006/relationships" name="CSES" sheetId="18" state="visible" r:id="rId18"/>
    <sheet xmlns:r="http://schemas.openxmlformats.org/officeDocument/2006/relationships" name="PES Empowerment" sheetId="19" state="visible" r:id="rId19"/>
    <sheet xmlns:r="http://schemas.openxmlformats.org/officeDocument/2006/relationships" name="DASS-21" sheetId="20" state="visible" r:id="rId20"/>
    <sheet xmlns:r="http://schemas.openxmlformats.org/officeDocument/2006/relationships" name="PTQ" sheetId="21" state="visible" r:id="rId21"/>
    <sheet xmlns:r="http://schemas.openxmlformats.org/officeDocument/2006/relationships" name="RRS" sheetId="22" state="visible" r:id="rId22"/>
    <sheet xmlns:r="http://schemas.openxmlformats.org/officeDocument/2006/relationships" name="FSCRS" sheetId="23" state="visible" r:id="rId23"/>
    <sheet xmlns:r="http://schemas.openxmlformats.org/officeDocument/2006/relationships" name="PCI" sheetId="24" state="visible" r:id="rId24"/>
    <sheet xmlns:r="http://schemas.openxmlformats.org/officeDocument/2006/relationships" name="SCS-SF" sheetId="25" state="visible" r:id="rId25"/>
    <sheet xmlns:r="http://schemas.openxmlformats.org/officeDocument/2006/relationships" name="BPNSFS" sheetId="26" state="visible" r:id="rId26"/>
    <sheet xmlns:r="http://schemas.openxmlformats.org/officeDocument/2006/relationships" name="PPS" sheetId="27" state="visible" r:id="rId27"/>
    <sheet xmlns:r="http://schemas.openxmlformats.org/officeDocument/2006/relationships" name="IPS" sheetId="28" state="visible" r:id="rId28"/>
    <sheet xmlns:r="http://schemas.openxmlformats.org/officeDocument/2006/relationships" name="GSE" sheetId="29" state="visible" r:id="rId29"/>
    <sheet xmlns:r="http://schemas.openxmlformats.org/officeDocument/2006/relationships" name="GCS Goal Commitment" sheetId="30" state="visible" r:id="rId30"/>
    <sheet xmlns:r="http://schemas.openxmlformats.org/officeDocument/2006/relationships" name="GADJ Goal Adjustment" sheetId="31" state="visible" r:id="rId31"/>
  </sheets>
  <definedNames>
    <definedName name="_xlnm._FilterDatabase" localSheetId="1" hidden="1">'Hub Library'!$A$1:$L$21</definedName>
    <definedName name="_xlnm._FilterDatabase" localSheetId="2" hidden="1">'Hub Subscales'!$A$1:$M$52</definedName>
    <definedName name="_xlnm._FilterDatabase" localSheetId="3" hidden="1">'NovoPsych Catalogue'!$A$1:$T$151</definedName>
    <definedName name="_xlnm._FilterDatabase" localSheetId="4" hidden="1">'Other open instruments'!$A$1:$X$154</definedName>
    <definedName name="_xlnm._FilterDatabase" localSheetId="5" hidden="1">'Batteries'!$A$1:$I$12</definedName>
    <definedName name="_xlnm._FilterDatabase" localSheetId="7" hidden="1">'Instrument Summary'!$A$1:$Z$21</definedName>
    <definedName name="_xlnm._FilterDatabase" localSheetId="8" hidden="1">'Master Item List'!$A$1:$K$308</definedName>
    <definedName name="_xlnm._FilterDatabase" localSheetId="9" hidden="1">'Structure and Subscales'!$A$1:$H$51</definedName>
    <definedName name="_xlnm._FilterDatabase" localSheetId="10" hidden="1">'References'!$A$1:$E$62</definedName>
    <definedName name="_xlnm._FilterDatabase" localSheetId="11" hidden="1">'ESQ-R'!$A$29:$F$54</definedName>
    <definedName name="_xlnm._FilterDatabase" localSheetId="12" hidden="1">'CFI'!$A$29:$F$49</definedName>
    <definedName name="_xlnm._FilterDatabase" localSheetId="13" hidden="1">'ASRS'!$A$29:$F$47</definedName>
    <definedName name="_xlnm._FilterDatabase" localSheetId="14" hidden="1">'SKS'!$A$29:$F$37</definedName>
    <definedName name="_xlnm._FilterDatabase" localSheetId="15" hidden="1">'SUS'!$A$29:$F$43</definedName>
    <definedName name="_xlnm._FilterDatabase" localSheetId="16" hidden="1">'SSES'!$A$29:$F$40</definedName>
    <definedName name="_xlnm._FilterDatabase" localSheetId="17" hidden="1">'CSES'!$A$29:$F$41</definedName>
    <definedName name="_xlnm._FilterDatabase" localSheetId="18" hidden="1">'PES Empowerment'!$A$29:$F$41</definedName>
    <definedName name="_xlnm._FilterDatabase" localSheetId="19" hidden="1">'DASS-21'!$A$29:$F$50</definedName>
    <definedName name="_xlnm._FilterDatabase" localSheetId="20" hidden="1">'PTQ'!$A$29:$F$44</definedName>
    <definedName name="_xlnm._FilterDatabase" localSheetId="21" hidden="1">'RRS'!$A$29:$F$51</definedName>
    <definedName name="_xlnm._FilterDatabase" localSheetId="22" hidden="1">'FSCRS'!$A$29:$F$51</definedName>
    <definedName name="_xlnm._FilterDatabase" localSheetId="23" hidden="1">'PCI'!$A$29:$F$54</definedName>
    <definedName name="_xlnm._FilterDatabase" localSheetId="24" hidden="1">'SCS-SF'!$A$29:$F$41</definedName>
    <definedName name="_xlnm._FilterDatabase" localSheetId="25" hidden="1">'BPNSFS'!$A$29:$F$53</definedName>
    <definedName name="_xlnm._FilterDatabase" localSheetId="26" hidden="1">'PPS'!$A$29:$F$41</definedName>
    <definedName name="_xlnm._FilterDatabase" localSheetId="27" hidden="1">'IPS'!$A$29:$F$38</definedName>
    <definedName name="_xlnm._FilterDatabase" localSheetId="28" hidden="1">'GSE'!$A$29:$F$39</definedName>
    <definedName name="_xlnm._FilterDatabase" localSheetId="29" hidden="1">'GCS Goal Commitment'!$A$29:$F$34</definedName>
    <definedName name="_xlnm._FilterDatabase" localSheetId="30" hidden="1">'GADJ Goal Adjustment'!$A$29:$F$39</definedName>
  </definedNames>
  <calcPr calcId="124519" fullCalcOnLoad="1" refMode="A1" iterate="0" iterateCount="100" iterateDelta="0.0001"/>
</workbook>
</file>

<file path=xl/styles.xml><?xml version="1.0" encoding="utf-8"?>
<styleSheet xmlns="http://schemas.openxmlformats.org/spreadsheetml/2006/main">
  <numFmts count="0"/>
  <fonts count="14">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0"/>
    </font>
    <font>
      <name val="Arial"/>
      <charset val="1"/>
      <family val="0"/>
      <b val="1"/>
      <sz val="10"/>
    </font>
    <font>
      <name val="Arial"/>
      <charset val="1"/>
      <family val="0"/>
      <b val="1"/>
      <color rgb="FF1F3864"/>
      <sz val="11"/>
    </font>
    <font>
      <name val="Arial"/>
      <charset val="1"/>
      <family val="0"/>
      <b val="1"/>
      <color rgb="FFFFFFFF"/>
      <sz val="10"/>
    </font>
    <font>
      <name val="Arial"/>
      <charset val="1"/>
      <family val="0"/>
      <i val="1"/>
      <color rgb="FF808080"/>
      <sz val="10"/>
    </font>
    <font>
      <name val="Arial"/>
      <charset val="1"/>
      <family val="0"/>
      <b val="1"/>
      <color rgb="FFB25E00"/>
      <sz val="10"/>
    </font>
    <font>
      <name val="Arial"/>
      <charset val="1"/>
      <family val="0"/>
      <b val="1"/>
      <color rgb="FFC00000"/>
      <sz val="10"/>
    </font>
    <font>
      <b val="1"/>
    </font>
    <font>
      <b val="1"/>
      <color rgb="00FFFFFF"/>
    </font>
  </fonts>
  <fills count="6">
    <fill>
      <patternFill/>
    </fill>
    <fill>
      <patternFill patternType="gray125"/>
    </fill>
    <fill>
      <patternFill patternType="solid">
        <fgColor rgb="FF1F3864"/>
        <bgColor rgb="FF333333"/>
      </patternFill>
    </fill>
    <fill>
      <patternFill patternType="solid">
        <fgColor rgb="FFF2F2F2"/>
        <bgColor rgb="FFFFFFFF"/>
      </patternFill>
    </fill>
    <fill>
      <patternFill patternType="solid">
        <fgColor rgb="FFD9E2F3"/>
        <bgColor rgb="FFF2F2F2"/>
      </patternFill>
    </fill>
    <fill>
      <patternFill patternType="solid">
        <fgColor rgb="002E406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6">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general" vertical="center" wrapText="1"/>
    </xf>
    <xf numFmtId="0" fontId="6" fillId="0" borderId="1" applyAlignment="1" pivotButton="0" quotePrefix="0" xfId="0">
      <alignment horizontal="general" vertical="top" wrapText="1"/>
    </xf>
    <xf numFmtId="0" fontId="5" fillId="0" borderId="1" applyAlignment="1" pivotButton="0" quotePrefix="0" xfId="0">
      <alignment horizontal="general" vertical="top" wrapText="1"/>
    </xf>
    <xf numFmtId="0" fontId="5" fillId="0" borderId="1" applyAlignment="1" pivotButton="0" quotePrefix="0" xfId="0">
      <alignment horizontal="center" vertical="top"/>
    </xf>
    <xf numFmtId="0" fontId="9" fillId="0" borderId="1" applyAlignment="1" pivotButton="0" quotePrefix="0" xfId="0">
      <alignment horizontal="general" vertical="top" wrapText="1"/>
    </xf>
    <xf numFmtId="0" fontId="7" fillId="0" borderId="0" applyAlignment="1" pivotButton="0" quotePrefix="0" xfId="0">
      <alignment horizontal="general" vertical="bottom"/>
    </xf>
    <xf numFmtId="0" fontId="4" fillId="0" borderId="0" applyAlignment="1" pivotButton="0" quotePrefix="0" xfId="0">
      <alignment horizontal="general" vertical="bottom"/>
    </xf>
    <xf numFmtId="0" fontId="5"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6" fillId="4"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12" fillId="0" borderId="0" pivotButton="0" quotePrefix="0" xfId="0"/>
    <xf numFmtId="0" fontId="13" fillId="5" borderId="0" applyAlignment="1" pivotButton="0" quotePrefix="0" xfId="0">
      <alignment vertical="top" wrapText="1"/>
    </xf>
    <xf numFmtId="0" fontId="0" fillId="0" borderId="0" applyAlignment="1" pivotButton="0" quotePrefix="0" xfId="0">
      <alignment vertical="top" wrapText="1"/>
    </xf>
    <xf numFmtId="0" fontId="8" fillId="2" borderId="1" applyAlignment="1" pivotButton="0" quotePrefix="0" xfId="0">
      <alignment horizontal="general" vertical="center" wrapText="1"/>
    </xf>
    <xf numFmtId="0" fontId="6" fillId="0" borderId="1" applyAlignment="1" pivotButton="0" quotePrefix="0" xfId="0">
      <alignment horizontal="general" vertical="top" wrapText="1"/>
    </xf>
    <xf numFmtId="0" fontId="5" fillId="0" borderId="1" applyAlignment="1" pivotButton="0" quotePrefix="0" xfId="0">
      <alignment horizontal="general" vertical="top" wrapText="1"/>
    </xf>
    <xf numFmtId="0" fontId="5" fillId="0" borderId="1" applyAlignment="1" pivotButton="0" quotePrefix="0" xfId="0">
      <alignment horizontal="center" vertical="top"/>
    </xf>
    <xf numFmtId="0" fontId="9" fillId="0" borderId="1" applyAlignment="1" pivotButton="0" quotePrefix="0" xfId="0">
      <alignment horizontal="general" vertical="top" wrapText="1"/>
    </xf>
    <xf numFmtId="0" fontId="7" fillId="0" borderId="0" applyAlignment="1" pivotButton="0" quotePrefix="0" xfId="0">
      <alignment horizontal="general" vertical="bottom"/>
    </xf>
    <xf numFmtId="0" fontId="4" fillId="0" borderId="0" applyAlignment="1" pivotButton="0" quotePrefix="0" xfId="0">
      <alignment horizontal="general" vertical="bottom"/>
    </xf>
    <xf numFmtId="0" fontId="5"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6" fillId="4"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B25E00"/>
          <bgColor rgb="FF000000"/>
        </patternFill>
      </fill>
    </dxf>
    <dxf>
      <fill>
        <patternFill patternType="solid">
          <fgColor rgb="FFC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B25E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4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6" min="1" max="1"/>
    <col width="120" customWidth="1" style="16" min="2" max="2"/>
  </cols>
  <sheetData>
    <row r="1" ht="32.8" customHeight="1" s="17">
      <c r="A1" s="18" t="inlineStr">
        <is>
          <t>EF Client Hub Codebook</t>
        </is>
      </c>
      <c r="B1" s="19" t="n"/>
    </row>
    <row r="2" ht="15" customHeight="1" s="17">
      <c r="A2" s="20" t="inlineStr">
        <is>
          <t>Compiled for</t>
        </is>
      </c>
      <c r="B2" s="19" t="inlineStr">
        <is>
          <t>Executive Frame Client Hub (clients.executiveframe.co.nz), from the Charlotte Price Consulting Psychometric Codebook</t>
        </is>
      </c>
    </row>
    <row r="3" ht="15" customHeight="1" s="17">
      <c r="A3" s="20" t="inlineStr">
        <is>
          <t>Compiled</t>
        </is>
      </c>
      <c r="B3" s="19" t="inlineStr">
        <is>
          <t>18 October 2026 (duplicated from the CPC codebook compiled 26 September 2026)</t>
        </is>
      </c>
    </row>
    <row r="4" ht="15" customHeight="1" s="17">
      <c r="A4" s="20" t="inlineStr">
        <is>
          <t>Scope</t>
        </is>
      </c>
      <c r="B4" s="19" t="inlineStr">
        <is>
          <t>The working set of 20 instruments selected for practice use, across 6 domains. 307 items are reproduced verbatim.</t>
        </is>
      </c>
    </row>
    <row r="5" ht="23.85" customHeight="1" s="17">
      <c r="A5" s="20" t="inlineStr">
        <is>
          <t>Sources</t>
        </is>
      </c>
      <c r="B5" s="19" t="inlineStr">
        <is>
          <t>NovoPsych assessment pages and blank form PDFs, the official University of New South Wales DASS site, instrument developers, and original validation papers or authoritative open reproductions. Every record carries its source URL.</t>
        </is>
      </c>
    </row>
    <row r="6" ht="15" customHeight="1" s="17">
      <c r="A6" s="20" t="n"/>
      <c r="B6" s="19" t="n"/>
    </row>
    <row r="7" ht="15" customHeight="1" s="17">
      <c r="A7" s="21" t="inlineStr">
        <is>
          <t>Domains</t>
        </is>
      </c>
      <c r="B7" s="19" t="n"/>
    </row>
    <row r="8" ht="23.85" customHeight="1" s="17">
      <c r="A8" s="20" t="inlineStr">
        <is>
          <t>1. Executive functioning and ADHD</t>
        </is>
      </c>
      <c r="B8" s="19" t="inlineStr">
        <is>
          <t>ESQ-R, CFI and ASRS. The ESQ-R is the executive skills core of both executive function batteries and the ASRS adds current adult ADHD symptom screening. The CFI measures cognitive flexibility and is now used in the Perfectionism battery rather than the executive function batteries.</t>
        </is>
      </c>
    </row>
    <row r="9" ht="23.85" customHeight="1" s="17">
      <c r="A9" s="20" t="inlineStr">
        <is>
          <t>2. Strengths knowledge, use and support at work</t>
        </is>
      </c>
      <c r="B9" s="19" t="inlineStr">
        <is>
          <t>SKS, SUS and SSES: whether a client knows their strengths, uses them, and is confident applying them. These are the measures that show change across a coaching engagement.</t>
        </is>
      </c>
    </row>
    <row r="10" ht="23.85" customHeight="1" s="17">
      <c r="A10" s="20" t="inlineStr">
        <is>
          <t>3. Adjacent occupational and wellbeing</t>
        </is>
      </c>
      <c r="B10" s="19" t="inlineStr">
        <is>
          <t>Core Self Evaluations Scale and Psychological Empowerment Scale: general positive self appraisal and felt empowerment in a work role.</t>
        </is>
      </c>
    </row>
    <row r="11" ht="23.85" customHeight="1" s="17">
      <c r="A11" s="20" t="inlineStr">
        <is>
          <t>4. Psychological distress screening</t>
        </is>
      </c>
      <c r="B11" s="19" t="inlineStr">
        <is>
          <t>DASS-21: depression, anxiety and stress over the past week. A screening measure used to establish whether coaching can safely proceed and whether clinical input is needed.</t>
        </is>
      </c>
    </row>
    <row r="12" ht="23.85" customHeight="1" s="17">
      <c r="A12" s="20" t="inlineStr">
        <is>
          <t>5. Repetitive negative thinking and self talk</t>
        </is>
      </c>
      <c r="B12" s="19" t="inlineStr">
        <is>
          <t>PTQ and RRS measure the process of repetitive negative thinking rather than the resulting mood, which the DASS-21 captures. FSCRS and PCI measure self critical and perfectionistic self talk, and the SCS-SF measures the self compassionate counterpart that coaching aims to build.</t>
        </is>
      </c>
    </row>
    <row r="13" ht="35.05" customHeight="1" s="17">
      <c r="A13" s="20" t="inlineStr">
        <is>
          <t>6. Motivation, self determination and goal pursuit</t>
        </is>
      </c>
      <c r="B13" s="19" t="inlineStr">
        <is>
          <t>Basic Psychological Need Satisfaction and Frustration Scale, Pure and Irrational Procrastination Scales, General Self-Efficacy Scale, Goal Commitment Scale and Goal Adjustment Scale. The last 2 are specific to goals: commitment to a goal the client names, and the capacity to let go of unattainable goals and take up new ones.</t>
        </is>
      </c>
    </row>
    <row r="14" ht="15" customHeight="1" s="17">
      <c r="A14" s="20" t="n"/>
      <c r="B14" s="19" t="n"/>
    </row>
    <row r="15" ht="15" customHeight="1" s="17">
      <c r="A15" s="20" t="inlineStr">
        <is>
          <t>Sheet</t>
        </is>
      </c>
      <c r="B15" s="19" t="inlineStr">
        <is>
          <t>Contents</t>
        </is>
      </c>
    </row>
    <row r="16" ht="23.85" customHeight="1" s="17">
      <c r="A16" s="16" t="inlineStr">
        <is>
          <t>Hub Library</t>
        </is>
      </c>
      <c r="B16" s="16" t="inlineStr">
        <is>
          <t>One row per instrument as it appears in the Client Hub: the id and client facing name, whether it is included, its licence status for the hub (only cleared instruments can be assigned to clients), whether clients see strengths and areas of focus, item flags for Sarah, and the instructions shown on screen. Edit this sheet, then run npm run codebook to rebuild the hub library files.</t>
        </is>
      </c>
    </row>
    <row r="17" ht="23.85" customHeight="1" s="17">
      <c r="A17" s="16" t="inlineStr">
        <is>
          <t>Hub Subscales</t>
        </is>
      </c>
      <c r="B17" s="16" t="inlineStr">
        <is>
          <t>One row per subscale as the hub scores it: client facing label, scoring direction, method, optional band thresholds (blank means thirds of the response range), the strength and focus wording clients see once released, and the Learning Hub topic each area of focus links to. All wording is draft for Sarah to approve.</t>
        </is>
      </c>
    </row>
    <row r="18" ht="23.85" customHeight="1" s="17">
      <c r="A18" s="16" t="inlineStr">
        <is>
          <t>NovoPsych Catalogue</t>
        </is>
      </c>
      <c r="B18" s="16" t="inlineStr">
        <is>
          <t>All 150 assessments listed on novopsych.com on 18 October 2026, metadata only: name, code, NovoPsych categories, construct, items, respondent, age range, time, subscales and citation, with the copyright text as it appeared and a suggested hub relevance. NovoPsych loads scoring and licensing panels in the browser, so those columns are mostly "not stated" and the licence must be confirmed on the page or with the authors before an instrument is added. No item text was copied. Filter with the column headers.</t>
        </is>
      </c>
    </row>
    <row r="19" ht="23.85" customHeight="1" s="17">
      <c r="A19" t="inlineStr">
        <is>
          <t>Other open instruments</t>
        </is>
      </c>
      <c r="B19" t="inlineStr">
        <is>
          <t>153 free or open licence adult self report instruments found beyond NovoPsych on 18 October 2026, in 5 searches: executive functioning and time, work and motivation, wellbeing and self talk, the open repositories (APA DSM-5 measures, PROMIS, PhenX, IPIP and others), and clinical practice in New Zealand. Each row carries the licence statement as found with its URL, whether an open access item list exists, NZ use where known, a hub suggestion, and a caution where digital use may need its own licence. Metadata only; no item text. Filter with the column headers.</t>
        </is>
      </c>
    </row>
    <row r="20" ht="15" customHeight="1" s="17">
      <c r="A20" s="20" t="inlineStr">
        <is>
          <t>Batteries</t>
        </is>
      </c>
      <c r="B20" s="19" t="inlineStr">
        <is>
          <t>The 11 assessment forms used in practice, each a combination of instruments: which instruments each contains, total items, the matching report skill, what it assesses and its scoring cautions. Below it, a map showing which batteries use each instrument.</t>
        </is>
      </c>
    </row>
    <row r="21" ht="15" customHeight="1" s="17">
      <c r="A21" s="20" t="inlineStr">
        <is>
          <t>Tally Prompt</t>
        </is>
      </c>
      <c r="B21" s="19" t="inlineStr">
        <is>
          <t>The prompt used to convert an existing Tally assessment form to a different battery, with instructions on which codebook fields to paste in and a checklist for testing the finished form.</t>
        </is>
      </c>
    </row>
    <row r="22" ht="15" customHeight="1" s="17">
      <c r="A22" s="20" t="inlineStr">
        <is>
          <t>Instrument Summary</t>
        </is>
      </c>
      <c r="B22" s="19" t="inlineStr">
        <is>
          <t>One row per instrument with domain, availability, item counts, construct, respondent, cost and access, coaching application, instructions, response options, scoring, interpretation, cut-offs, norms, psychometrics, developer citation, copyright and source.</t>
        </is>
      </c>
    </row>
    <row r="23" ht="15" customHeight="1" s="17">
      <c r="A23" s="20" t="inlineStr">
        <is>
          <t>Master Item List</t>
        </is>
      </c>
      <c r="B23" s="19" t="inlineStr">
        <is>
          <t>One row per item across all 20 instruments. Verbatim wording, subscale, reverse and filler flags, response options and notes. Filter on Domain or Code.</t>
        </is>
      </c>
    </row>
    <row r="24" ht="15" customHeight="1" s="17">
      <c r="A24" s="20" t="inlineStr">
        <is>
          <t>Structure and Subscales</t>
        </is>
      </c>
      <c r="B24" s="19" t="inlineStr">
        <is>
          <t>One row per subscale.</t>
        </is>
      </c>
    </row>
    <row r="25" ht="23.85" customHeight="1" s="17">
      <c r="A25" s="20" t="inlineStr">
        <is>
          <t>References</t>
        </is>
      </c>
      <c r="B25" s="19" t="inlineStr">
        <is>
          <t>Developer citations and reference lists in APA 7 format.</t>
        </is>
      </c>
    </row>
    <row r="26" ht="15" customHeight="1" s="17">
      <c r="A26" s="20" t="inlineStr">
        <is>
          <t>Individual instrument tabs</t>
        </is>
      </c>
      <c r="B26" s="19" t="inlineStr">
        <is>
          <t>One tab per instrument with its metadata block above its own item table.</t>
        </is>
      </c>
    </row>
    <row r="27" ht="15" customHeight="1" s="17">
      <c r="A27" s="20" t="n"/>
      <c r="B27" s="19" t="n"/>
    </row>
    <row r="28" ht="15" customHeight="1" s="17">
      <c r="A28" s="22" t="inlineStr">
        <is>
          <t>Hub conventions</t>
        </is>
      </c>
    </row>
    <row r="29" ht="15" customHeight="1" s="17">
      <c r="A29" s="16" t="inlineStr">
        <is>
          <t>Licence status</t>
        </is>
      </c>
      <c r="B29" s="16" t="inlineStr">
        <is>
          <t>cleared: can be assigned to clients. review: in the library file but not uploadable until the licence is confirmed. permission: written permission needed before use. excluded: left out of the hub. The hub refuses to assign anything that is not cleared.</t>
        </is>
      </c>
    </row>
    <row r="30" ht="15" customHeight="1" s="17">
      <c r="A30" s="16" t="inlineStr">
        <is>
          <t>Scoring direction</t>
        </is>
      </c>
      <c r="B30" s="16" t="inlineStr">
        <is>
          <t>difficulty: a higher score means more difficulty, so low scores are strengths and high scores are areas of focus. positive: the reverse. none: scored for Sarah only, never summarised to the client. Reverse scored items are reversed as min plus max minus the answer, so 1 to 7 scales reverse correctly.</t>
        </is>
      </c>
    </row>
    <row r="31" ht="23.85" customHeight="1" s="17">
      <c r="A31" s="21" t="inlineStr">
        <is>
          <t>Conventions</t>
        </is>
      </c>
      <c r="B31" s="19" t="n"/>
    </row>
    <row r="32" ht="23.85" customHeight="1" s="17">
      <c r="A32" s="20" t="inlineStr">
        <is>
          <t>Verbatim wording</t>
        </is>
      </c>
      <c r="B32" s="19" t="inlineStr">
        <is>
          <t>Item text is transcribed word for word from the source named against each instrument. Nothing has been paraphrased or reconstructed. Where an item could not be retrieved the cell says so.</t>
        </is>
      </c>
    </row>
    <row r="33" ht="23.85" customHeight="1" s="17">
      <c r="A33" s="20" t="inlineStr">
        <is>
          <t>Not stated on source</t>
        </is>
      </c>
      <c r="B33" s="19" t="inlineStr">
        <is>
          <t>The field is not published in the sources consulted.</t>
        </is>
      </c>
    </row>
    <row r="34" ht="35.05" customHeight="1" s="17">
      <c r="A34" s="20" t="inlineStr">
        <is>
          <t>Reverse and filler</t>
        </is>
      </c>
      <c r="B34" s="19" t="inlineStr">
        <is>
          <t>TRUE in the reverse column means the item is reversed before summing. TRUE in the filler column means the item is not scored at all.</t>
        </is>
      </c>
    </row>
    <row r="35" ht="23.85" customHeight="1" s="17">
      <c r="A35" s="20" t="inlineStr">
        <is>
          <t>Spelling</t>
        </is>
      </c>
      <c r="B35" s="19" t="inlineStr">
        <is>
          <t>Item wording is reproduced exactly as published, including United States spelling. Surrounding commentary uses UK spelling.</t>
        </is>
      </c>
    </row>
    <row r="36" ht="35.05" customHeight="1" s="17">
      <c r="A36" s="20" t="n"/>
      <c r="B36" s="19" t="n"/>
    </row>
    <row r="37" ht="23.85" customHeight="1" s="17">
      <c r="A37" s="21" t="inlineStr">
        <is>
          <t>Cautions and known gaps</t>
        </is>
      </c>
      <c r="B37" s="19" t="n"/>
    </row>
    <row r="38" ht="23.85" customHeight="1" s="17">
      <c r="A38" s="20" t="n"/>
      <c r="B38" s="19" t="inlineStr">
        <is>
          <t>ESQ-R and CFI are scored in opposite directions: higher ESQ-R means more executive difficulty, higher CFI means more flexibility. The ESQ-R norms are 327 Malaysian working adults; the CFI norms are 196 university students.</t>
        </is>
      </c>
    </row>
    <row r="39" ht="23.85" customHeight="1" s="17">
      <c r="A39" s="20" t="n"/>
      <c r="B39" s="19" t="inlineStr">
        <is>
          <t>ASRS Part A of 14 or more is a positive screen, not a diagnosis. Gallup style caution applies: always pair with clinical interview, and with the WURS-25 where childhood history is needed.</t>
        </is>
      </c>
    </row>
    <row r="40" ht="35.05" customHeight="1" s="17">
      <c r="A40" s="20" t="n"/>
      <c r="B40" s="19" t="inlineStr">
        <is>
          <t>SKS and SUS items are taken from an open access peer reviewed reproduction (Frontiers in Psychology, 2023). CAPP asserts copyright over the scales and one later reuse redacted them, so they are viewable and freely reprinted rather than formally public domain.</t>
        </is>
      </c>
    </row>
    <row r="41" ht="35.05" customHeight="1" s="17">
      <c r="A41" s="20" t="n"/>
      <c r="B41" s="19" t="inlineStr">
        <is>
          <t>DASS-21 is a screening measure only. It describes the past week, contains no item on suicidal thinking and does not assess risk. Items 10, 17 and 21 are followed up directly when endorsed at 2 or 3, as the practice report builder does. Severity labels are population position descriptors, not diagnostic thresholds.</t>
        </is>
      </c>
    </row>
    <row r="42" ht="68.65000000000001" customHeight="1" s="17">
      <c r="A42" s="20" t="n"/>
      <c r="B42" s="19" t="inlineStr">
        <is>
          <t>No normative percentile tables exist for the SKS, SUS, SSES, CSES or PES. They are continuous measures best read against a client’s own baseline across repeated administration.</t>
        </is>
      </c>
    </row>
    <row r="43">
      <c r="A43" s="20" t="n"/>
      <c r="B43" s="19" t="inlineStr">
        <is>
          <t>RRS: only the 5 item Brooding and 5 item Reflection subscales are recommended for coaching use. The remaining 12 items overlap with depressive symptom content and are retained for completeness only. NovoPsych hosts the RRS, but its scoring and norm text could not be retrieved, so interpretation here rests on Treynor, Gonzalez and Nolen-Hoeksema (2003).</t>
        </is>
      </c>
    </row>
    <row r="44">
      <c r="A44" s="20" t="n"/>
      <c r="B44" s="19" t="inlineStr">
        <is>
          <t>FSCRS item 9 sits close to self harm content. Frame it with care, and treat endorsement as a prompt for a conversation rather than a score. The FSCRS carries an author copyright notice with no commercial grant or restriction stated; a short email to the authors settles its use in paid practice.</t>
        </is>
      </c>
    </row>
    <row r="45">
      <c r="A45" s="20" t="n"/>
      <c r="B45" s="19" t="inlineStr">
        <is>
          <t>SCS-SF: items 1, 4, 8, 9, 11 and 12 are reverse scored. Higher total scores mean greater self compassion, so the direction runs opposite to the FSCRS, PCI, PTQ and RRS, where higher means more difficulty.</t>
        </is>
      </c>
    </row>
    <row r="46">
      <c r="A46" s="20" t="n"/>
      <c r="B46" s="19" t="inlineStr">
        <is>
          <t>IPS items 2, 6 and 9 are reverse scored. The PPS has no reversed items. Both are free for research and clinical purposes per the author, with items from a CC BY article.</t>
        </is>
      </c>
    </row>
    <row r="47">
      <c r="A47" s="20" t="n"/>
      <c r="B47" s="19" t="inlineStr">
        <is>
          <t>GCS: the 5 items refer to a goal the client names, so the form must ask for that goal first; no verbatim published instructions were located. Items 1, 2 and 4 are reverse scored. Commercial use may need permission from Howard Klein. The items were corrected against Klein et al. (2001) after an aggregator site listed 2 items from the older 9 item scale.</t>
        </is>
      </c>
    </row>
    <row r="48">
      <c r="A48" s="20" t="n"/>
      <c r="B48" s="19" t="inlineStr">
        <is>
          <t>GADJ (Goal Adjustment Scale, coded GADJ to avoid confusion with Goal Attainment Scaling): 4 disengagement and 6 reengagement items, scored separately; items 2 and 3 are reverse scored. The published article carries no licence statement, and permission should be sought from Carsten Wrosch before paid use.</t>
        </is>
      </c>
    </row>
    <row r="49">
      <c r="A49" s="20" t="n"/>
      <c r="B49" s="19" t="inlineStr">
        <is>
          <t>BPNSFS: copyrighted by the Center for Self-Determination Theory. Academic use is free, but the Center’s terms state it may not be used for any commercial purpose without written permission, and paid coaching counts as commercial. Request a commercial licence through the Center before using it with clients. The 6 subscales of 4 items each are scored separately; satisfaction and frustration are distinct constructs with different links to wellbeing and ill being, so read them as a profile rather than combining them. No items are reverse scored. Reliability figures come from an open academia.edu copy of Chen et al. (2015) and should be checked against the journal version before quoting. It replaces the older 21 item Basic Psychological Need Satisfaction in General Scale, which fitted poorly.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L21"/>
  <sheetViews>
    <sheetView workbookViewId="0">
      <pane ySplit="1" topLeftCell="A2" activePane="bottomLeft" state="frozen"/>
      <selection pane="bottomLeft" activeCell="A1" sqref="A1"/>
    </sheetView>
  </sheetViews>
  <sheetFormatPr baseColWidth="8" defaultRowHeight="15"/>
  <cols>
    <col width="10" customWidth="1" style="17" min="1" max="1"/>
    <col width="10" customWidth="1" style="17" min="2" max="2"/>
    <col width="30" customWidth="1" style="17" min="3" max="3"/>
    <col width="40" customWidth="1" style="17" min="4" max="4"/>
    <col width="14" customWidth="1" style="17" min="5" max="5"/>
    <col width="18" customWidth="1" style="17" min="6" max="6"/>
    <col width="60" customWidth="1" style="17" min="7" max="7"/>
    <col width="16" customWidth="1" style="17" min="8" max="8"/>
    <col width="20" customWidth="1" style="17" min="9" max="9"/>
    <col width="60" customWidth="1" style="17" min="10" max="10"/>
    <col width="8" customWidth="1" style="17" min="11" max="11"/>
    <col width="30" customWidth="1" style="17" min="12" max="12"/>
  </cols>
  <sheetData>
    <row r="1">
      <c r="A1" s="23" t="inlineStr">
        <is>
          <t>Code</t>
        </is>
      </c>
      <c r="B1" s="23" t="inlineStr">
        <is>
          <t>Hub id</t>
        </is>
      </c>
      <c r="C1" s="23" t="inlineStr">
        <is>
          <t>Name shown to clients</t>
        </is>
      </c>
      <c r="D1" s="23" t="inlineStr">
        <is>
          <t>Full instrument name</t>
        </is>
      </c>
      <c r="E1" s="23" t="inlineStr">
        <is>
          <t>Include in hub (Yes / No / Decide)</t>
        </is>
      </c>
      <c r="F1" s="23" t="inlineStr">
        <is>
          <t>Hub licence status (cleared / review / permission / excluded)</t>
        </is>
      </c>
      <c r="G1" s="23" t="inlineStr">
        <is>
          <t>Licence note</t>
        </is>
      </c>
      <c r="H1" s="23" t="inlineStr">
        <is>
          <t>Client sees strengths and focus (Yes / No)</t>
        </is>
      </c>
      <c r="I1" s="23" t="inlineStr">
        <is>
          <t>Flag items for Sarah (item numbers at threshold)</t>
        </is>
      </c>
      <c r="J1" s="23" t="inlineStr">
        <is>
          <t>Instructions shown to the client</t>
        </is>
      </c>
      <c r="K1" s="23" t="inlineStr">
        <is>
          <t>Minutes</t>
        </is>
      </c>
      <c r="L1" s="23" t="inlineStr">
        <is>
          <t>Notes</t>
        </is>
      </c>
    </row>
    <row r="2">
      <c r="A2" s="24" t="inlineStr">
        <is>
          <t>ESQ-R</t>
        </is>
      </c>
      <c r="B2" s="24" t="inlineStr">
        <is>
          <t>esq-r</t>
        </is>
      </c>
      <c r="C2" s="24" t="inlineStr">
        <is>
          <t>Everyday executive skills</t>
        </is>
      </c>
      <c r="D2" s="24" t="inlineStr">
        <is>
          <t>Executive Skills Questionnaire - Revised (ESQ-R)</t>
        </is>
      </c>
      <c r="E2" s="24" t="inlineStr">
        <is>
          <t>Yes</t>
        </is>
      </c>
      <c r="F2" s="24" t="inlineStr">
        <is>
          <t>review</t>
        </is>
      </c>
      <c r="G2" s="24" t="inlineStr">
        <is>
          <t>Strait et al. (2020) scale, free to use; NovoPsych page carries a NovoPsych copyright notice. Confirm with Dr Peg Dawson or the authors before clearing.</t>
        </is>
      </c>
      <c r="H2" s="24" t="inlineStr">
        <is>
          <t>Yes</t>
        </is>
      </c>
      <c r="I2" s="24" t="inlineStr"/>
      <c r="J2" s="24" t="inlineStr">
        <is>
          <t>Read each item and decide how often it's a problem for you.</t>
        </is>
      </c>
      <c r="K2" s="24" t="n">
        <v>5</v>
      </c>
      <c r="L2" s="24" t="inlineStr"/>
    </row>
    <row r="3">
      <c r="A3" s="24" t="inlineStr">
        <is>
          <t>CFI</t>
        </is>
      </c>
      <c r="B3" s="24" t="inlineStr">
        <is>
          <t>cfi</t>
        </is>
      </c>
      <c r="C3" s="24" t="inlineStr">
        <is>
          <t>Thinking flexibly</t>
        </is>
      </c>
      <c r="D3" s="24" t="inlineStr">
        <is>
          <t>Cognitive Flexibility Inventory (CFI)</t>
        </is>
      </c>
      <c r="E3" s="24" t="inlineStr">
        <is>
          <t>Yes</t>
        </is>
      </c>
      <c r="F3" s="24" t="inlineStr">
        <is>
          <t>review</t>
        </is>
      </c>
      <c r="G3" s="24" t="inlineStr">
        <is>
          <t>Dennis and Vander Wal (2010); NovoPsych reproduction carries a NovoPsych copyright notice. Confirm author permission before clearing.</t>
        </is>
      </c>
      <c r="H3" s="24" t="inlineStr">
        <is>
          <t>Yes</t>
        </is>
      </c>
      <c r="I3" s="24" t="inlineStr"/>
      <c r="J3" s="24" t="inlineStr">
        <is>
          <t>Please use the scale below to indicate the extent to which you agree or disagree with the following statements.</t>
        </is>
      </c>
      <c r="K3" s="24" t="n">
        <v>4</v>
      </c>
      <c r="L3" s="24" t="inlineStr"/>
    </row>
    <row r="4">
      <c r="A4" s="24" t="inlineStr">
        <is>
          <t>ASRS</t>
        </is>
      </c>
      <c r="B4" s="24" t="inlineStr">
        <is>
          <t>asrs</t>
        </is>
      </c>
      <c r="C4" s="24" t="inlineStr">
        <is>
          <t>Attention and activity</t>
        </is>
      </c>
      <c r="D4" s="24" t="inlineStr">
        <is>
          <t>Adult ADHD Self-Report Scale (ASRS v1.1)</t>
        </is>
      </c>
      <c r="E4" s="24" t="inlineStr">
        <is>
          <t>Yes</t>
        </is>
      </c>
      <c r="F4" s="24" t="inlineStr">
        <is>
          <t>cleared</t>
        </is>
      </c>
      <c r="G4" s="24" t="inlineStr">
        <is>
          <t>Public domain WHO instrument, freely reproducible for clinical use.</t>
        </is>
      </c>
      <c r="H4" s="24" t="inlineStr">
        <is>
          <t>No</t>
        </is>
      </c>
      <c r="I4" s="24" t="inlineStr"/>
      <c r="J4" s="24" t="inlineStr">
        <is>
          <t>Please answer the questions below, rating yourself on each of the criteria shown. As you answer each question, select the box that best describes how you have felt and conducted yourself over the past 6 months.</t>
        </is>
      </c>
      <c r="K4" s="24" t="n">
        <v>4</v>
      </c>
      <c r="L4" s="24" t="inlineStr"/>
    </row>
    <row r="5">
      <c r="A5" s="24" t="inlineStr">
        <is>
          <t>SKS</t>
        </is>
      </c>
      <c r="B5" s="24" t="inlineStr">
        <is>
          <t>sks</t>
        </is>
      </c>
      <c r="C5" s="24" t="inlineStr">
        <is>
          <t>Knowing your strengths</t>
        </is>
      </c>
      <c r="D5" s="24" t="inlineStr">
        <is>
          <t>Strengths Knowledge Scale</t>
        </is>
      </c>
      <c r="E5" s="24" t="inlineStr">
        <is>
          <t>Yes</t>
        </is>
      </c>
      <c r="F5" s="24" t="inlineStr">
        <is>
          <t>review</t>
        </is>
      </c>
      <c r="G5" s="24" t="inlineStr">
        <is>
          <t>No explicit licence found; CAPP asserts copyright over the scales. Confirm before clearing.</t>
        </is>
      </c>
      <c r="H5" s="24" t="inlineStr">
        <is>
          <t>Yes</t>
        </is>
      </c>
      <c r="I5" s="24" t="inlineStr"/>
      <c r="J5" s="24" t="inlineStr">
        <is>
          <t>Not stated on source</t>
        </is>
      </c>
      <c r="K5" s="24" t="n">
        <v>2</v>
      </c>
      <c r="L5" s="24" t="inlineStr"/>
    </row>
    <row r="6">
      <c r="A6" s="24" t="inlineStr">
        <is>
          <t>SUS</t>
        </is>
      </c>
      <c r="B6" s="24" t="inlineStr">
        <is>
          <t>sus</t>
        </is>
      </c>
      <c r="C6" s="24" t="inlineStr">
        <is>
          <t>Using your strengths</t>
        </is>
      </c>
      <c r="D6" s="24" t="inlineStr">
        <is>
          <t>Strengths Use Scale</t>
        </is>
      </c>
      <c r="E6" s="24" t="inlineStr">
        <is>
          <t>Yes</t>
        </is>
      </c>
      <c r="F6" s="24" t="inlineStr">
        <is>
          <t>review</t>
        </is>
      </c>
      <c r="G6" s="24" t="inlineStr">
        <is>
          <t>No explicit licence found; CAPP asserts copyright over the scales. Confirm before clearing.</t>
        </is>
      </c>
      <c r="H6" s="24" t="inlineStr">
        <is>
          <t>Yes</t>
        </is>
      </c>
      <c r="I6" s="24" t="inlineStr"/>
      <c r="J6" s="24" t="inlineStr">
        <is>
          <t>The following 14 questions ask about your strengths, that is, the things that you can do well or do best.</t>
        </is>
      </c>
      <c r="K6" s="24" t="n">
        <v>3</v>
      </c>
      <c r="L6" s="24" t="inlineStr"/>
    </row>
    <row r="7">
      <c r="A7" s="24" t="inlineStr">
        <is>
          <t>SSES</t>
        </is>
      </c>
      <c r="B7" s="24" t="inlineStr">
        <is>
          <t>sses</t>
        </is>
      </c>
      <c r="C7" s="24" t="inlineStr">
        <is>
          <t>Confidence in your strengths</t>
        </is>
      </c>
      <c r="D7" s="24" t="inlineStr">
        <is>
          <t>Strengths Self-Efficacy Scale</t>
        </is>
      </c>
      <c r="E7" s="24" t="inlineStr">
        <is>
          <t>Yes</t>
        </is>
      </c>
      <c r="F7" s="24" t="inlineStr">
        <is>
          <t>review</t>
        </is>
      </c>
      <c r="G7" s="24" t="inlineStr">
        <is>
          <t>Distributed free for practitioner use by PositivePsychology.com; no explicit licence from the authors. Confirm before clearing.</t>
        </is>
      </c>
      <c r="H7" s="24" t="inlineStr">
        <is>
          <t>Yes</t>
        </is>
      </c>
      <c r="I7" s="24" t="inlineStr"/>
      <c r="J7" s="24" t="inlineStr">
        <is>
          <t>First, please list your 5 signature strengths below: [space for 5 strengths]. How confident are you in your ability to ....</t>
        </is>
      </c>
      <c r="K7" s="24" t="n">
        <v>3</v>
      </c>
      <c r="L7" s="24" t="inlineStr"/>
    </row>
    <row r="8">
      <c r="A8" s="24" t="inlineStr">
        <is>
          <t>CSES</t>
        </is>
      </c>
      <c r="B8" s="24" t="inlineStr">
        <is>
          <t>cses</t>
        </is>
      </c>
      <c r="C8" s="24" t="inlineStr">
        <is>
          <t>How you see yourself</t>
        </is>
      </c>
      <c r="D8" s="24" t="inlineStr">
        <is>
          <t>Core Self-Evaluations Scale</t>
        </is>
      </c>
      <c r="E8" s="24" t="inlineStr">
        <is>
          <t>Yes</t>
        </is>
      </c>
      <c r="F8" s="24" t="inlineStr">
        <is>
          <t>cleared</t>
        </is>
      </c>
      <c r="G8" s="24" t="inlineStr">
        <is>
          <t>Stated non proprietary and free to use without permission.</t>
        </is>
      </c>
      <c r="H8" s="24" t="inlineStr">
        <is>
          <t>Yes</t>
        </is>
      </c>
      <c r="I8" s="24" t="inlineStr"/>
      <c r="J8" s="24" t="inlineStr">
        <is>
          <t>Not retrieved verbatim from a fetched source; the CSES PDF reproduces the item table and response scale but the source fetched did not include a printed respondent-facing preamble/instruction sentence.</t>
        </is>
      </c>
      <c r="K8" s="24" t="n">
        <v>3</v>
      </c>
      <c r="L8" s="24" t="inlineStr"/>
    </row>
    <row r="9">
      <c r="A9" s="24" t="inlineStr">
        <is>
          <t>PES</t>
        </is>
      </c>
      <c r="B9" s="24" t="inlineStr">
        <is>
          <t>pes</t>
        </is>
      </c>
      <c r="C9" s="24" t="inlineStr">
        <is>
          <t>Feeling empowered at work</t>
        </is>
      </c>
      <c r="D9" s="24" t="inlineStr">
        <is>
          <t>Psychological Empowerment Scale</t>
        </is>
      </c>
      <c r="E9" s="24" t="inlineStr">
        <is>
          <t>Yes</t>
        </is>
      </c>
      <c r="F9" s="24" t="inlineStr">
        <is>
          <t>cleared</t>
        </is>
      </c>
      <c r="G9" s="24" t="inlineStr">
        <is>
          <t>Hosted freely by the author for research and practice use.</t>
        </is>
      </c>
      <c r="H9" s="24" t="inlineStr">
        <is>
          <t>Yes</t>
        </is>
      </c>
      <c r="I9" s="24" t="inlineStr"/>
      <c r="J9" s="24" t="inlineStr">
        <is>
          <t>Listed below are a number of self-orientations that people may have with regard to their work role. Using the following scale, please indicate the extent to which you agree or disagree that each one describes your self-orientation.</t>
        </is>
      </c>
      <c r="K9" s="24" t="n">
        <v>3</v>
      </c>
      <c r="L9" s="24" t="inlineStr"/>
    </row>
    <row r="10">
      <c r="A10" s="24" t="inlineStr">
        <is>
          <t>DASS-21</t>
        </is>
      </c>
      <c r="B10" s="24" t="inlineStr">
        <is>
          <t>dass-21</t>
        </is>
      </c>
      <c r="C10" s="24" t="inlineStr">
        <is>
          <t>How you have been feeling this week</t>
        </is>
      </c>
      <c r="D10" s="24" t="inlineStr">
        <is>
          <t>Depression Anxiety Stress Scales, 21 item version (DASS-21)</t>
        </is>
      </c>
      <c r="E10" s="24" t="inlineStr">
        <is>
          <t>Yes</t>
        </is>
      </c>
      <c r="F10" s="24" t="inlineStr">
        <is>
          <t>cleared</t>
        </is>
      </c>
      <c r="G10" s="24" t="inlineStr">
        <is>
          <t>Public domain per the official UNSW DASS site.</t>
        </is>
      </c>
      <c r="H10" s="24" t="inlineStr">
        <is>
          <t>No</t>
        </is>
      </c>
      <c r="I10" s="24" t="inlineStr">
        <is>
          <t>10,17,21 at 2</t>
        </is>
      </c>
      <c r="J10" s="24" t="inlineStr">
        <is>
          <t>Please read each statement and choose the answer that shows how much the statement applied to you over the past week. There are no right or wrong answers. Do not spend too much time on any statement.</t>
        </is>
      </c>
      <c r="K10" s="24" t="n">
        <v>4</v>
      </c>
      <c r="L10" s="24" t="inlineStr">
        <is>
          <t>Instructions reworded for the screen ("choose the answer" in place of "circle a number"); otherwise verbatim.</t>
        </is>
      </c>
    </row>
    <row r="11">
      <c r="A11" s="24" t="inlineStr">
        <is>
          <t>PTQ</t>
        </is>
      </c>
      <c r="B11" s="24" t="inlineStr">
        <is>
          <t>ptq</t>
        </is>
      </c>
      <c r="C11" s="24" t="inlineStr">
        <is>
          <t>Repetitive thinking</t>
        </is>
      </c>
      <c r="D11" s="24" t="inlineStr">
        <is>
          <t>Perseverative Thinking Questionnaire</t>
        </is>
      </c>
      <c r="E11" s="24" t="inlineStr">
        <is>
          <t>Yes</t>
        </is>
      </c>
      <c r="F11" s="24" t="inlineStr">
        <is>
          <t>review</t>
        </is>
      </c>
      <c r="G11" s="24" t="inlineStr">
        <is>
          <t>Elsevier copyright on the article; no permission statement for practice use found. Confirm before clearing.</t>
        </is>
      </c>
      <c r="H11" s="24" t="inlineStr">
        <is>
          <t>Yes</t>
        </is>
      </c>
      <c r="I11" s="24" t="inlineStr"/>
      <c r="J11" s="24" t="inlineStr">
        <is>
          <t>In this questionnaire, you will be asked to describe how you typically think about negative experiences or problems. Please read the following statements and rate the extent to which they apply to you when you think about negative experiences or problems.</t>
        </is>
      </c>
      <c r="K11" s="24" t="n">
        <v>4</v>
      </c>
      <c r="L11" s="24" t="inlineStr"/>
    </row>
    <row r="12">
      <c r="A12" s="24" t="inlineStr">
        <is>
          <t>RRS</t>
        </is>
      </c>
      <c r="B12" s="24" t="inlineStr">
        <is>
          <t>rrs</t>
        </is>
      </c>
      <c r="C12" s="24" t="inlineStr">
        <is>
          <t>Responding to low mood</t>
        </is>
      </c>
      <c r="D12" s="24" t="inlineStr">
        <is>
          <t>Ruminative Responses Scale</t>
        </is>
      </c>
      <c r="E12" s="24" t="inlineStr">
        <is>
          <t>Yes</t>
        </is>
      </c>
      <c r="F12" s="24" t="inlineStr">
        <is>
          <t>review</t>
        </is>
      </c>
      <c r="G12" s="24" t="inlineStr">
        <is>
          <t>No explicit licence statement found. Confirm before clearing. Only Brooding and Reflection are scored.</t>
        </is>
      </c>
      <c r="H12" s="24" t="inlineStr">
        <is>
          <t>Yes</t>
        </is>
      </c>
      <c r="I12" s="24" t="inlineStr"/>
      <c r="J12" s="24" t="inlineStr">
        <is>
          <t>Please read each of the items below and indicate whether you almost never, sometimes, often, or almost always think or do each one when you feel down, sad, or depressed. Please indicate what you generally do, not what you think you should do.</t>
        </is>
      </c>
      <c r="K12" s="24" t="n">
        <v>5</v>
      </c>
      <c r="L12" s="24" t="inlineStr"/>
    </row>
    <row r="13">
      <c r="A13" s="24" t="inlineStr">
        <is>
          <t>FSCRS</t>
        </is>
      </c>
      <c r="B13" s="24" t="inlineStr">
        <is>
          <t>fscrs</t>
        </is>
      </c>
      <c r="C13" s="24" t="inlineStr">
        <is>
          <t>How you talk to yourself</t>
        </is>
      </c>
      <c r="D13" s="24" t="inlineStr">
        <is>
          <t>Forms of Self-Criticising/Attacking and Self-Reassuring Scale</t>
        </is>
      </c>
      <c r="E13" s="24" t="inlineStr">
        <is>
          <t>Yes</t>
        </is>
      </c>
      <c r="F13" s="24" t="inlineStr">
        <is>
          <t>review</t>
        </is>
      </c>
      <c r="G13" s="24" t="inlineStr">
        <is>
          <t>Author copyright notice (Gilbert et al., 2004); no explicit practice use grant found. Confirm before clearing.</t>
        </is>
      </c>
      <c r="H13" s="24" t="inlineStr">
        <is>
          <t>Yes</t>
        </is>
      </c>
      <c r="I13" s="24" t="inlineStr">
        <is>
          <t>9 at 1</t>
        </is>
      </c>
      <c r="J13" s="24" t="inlineStr">
        <is>
          <t>When things go wrong in our lives or don't work out as we hoped, and we feel we could have done better, we sometimes have negative and self-critical thoughts and feelings. These may take the form of feeling worthless, useless or inferior etc. However, people can also try to be supportive of themselves. Below are a series of thoughts and feelings that people sometimes have. Read each statement carefully and choose the answer that best describes how much each statement is true for you.</t>
        </is>
      </c>
      <c r="K13" s="24" t="n">
        <v>5</v>
      </c>
      <c r="L13" s="24" t="inlineStr">
        <is>
          <t>Instructions reworded for the screen ("choose the answer"); otherwise verbatim.</t>
        </is>
      </c>
    </row>
    <row r="14">
      <c r="A14" s="24" t="inlineStr">
        <is>
          <t>PCI</t>
        </is>
      </c>
      <c r="B14" s="24" t="inlineStr">
        <is>
          <t>pci</t>
        </is>
      </c>
      <c r="C14" s="24" t="inlineStr">
        <is>
          <t>Perfectionistic thoughts</t>
        </is>
      </c>
      <c r="D14" s="24" t="inlineStr">
        <is>
          <t>Perfectionism Cognitions Inventory</t>
        </is>
      </c>
      <c r="E14" s="24" t="inlineStr">
        <is>
          <t>Yes</t>
        </is>
      </c>
      <c r="F14" s="24" t="inlineStr">
        <is>
          <t>review</t>
        </is>
      </c>
      <c r="G14" s="24" t="inlineStr">
        <is>
          <t>No explicit restriction found; Hewitt Lab hosts the document. Confirm before clearing.</t>
        </is>
      </c>
      <c r="H14" s="24" t="inlineStr">
        <is>
          <t>Yes</t>
        </is>
      </c>
      <c r="I14" s="24" t="inlineStr"/>
      <c r="J14" s="24" t="inlineStr">
        <is>
          <t>Listed below are a variety of thoughts about perfectionism that sometimes pop into people's heads. Please read each thought and indicate how frequently, if at all, the thoughts occurred to you over the last week.</t>
        </is>
      </c>
      <c r="K14" s="24" t="n">
        <v>5</v>
      </c>
      <c r="L14" s="24" t="inlineStr"/>
    </row>
    <row r="15">
      <c r="A15" s="24" t="inlineStr">
        <is>
          <t>SCS-SF</t>
        </is>
      </c>
      <c r="B15" s="24" t="inlineStr">
        <is>
          <t>scs-sf</t>
        </is>
      </c>
      <c r="C15" s="24" t="inlineStr">
        <is>
          <t>Self compassion</t>
        </is>
      </c>
      <c r="D15" s="24" t="inlineStr">
        <is>
          <t>Self-Compassion Scale – Short Form</t>
        </is>
      </c>
      <c r="E15" s="24" t="inlineStr">
        <is>
          <t>Yes</t>
        </is>
      </c>
      <c r="F15" s="24" t="inlineStr">
        <is>
          <t>review</t>
        </is>
      </c>
      <c r="G15" s="24" t="inlineStr">
        <is>
          <t>Author permits research use; practice use not addressed. Confirm with Dr Kristin Neff before clearing.</t>
        </is>
      </c>
      <c r="H15" s="24" t="inlineStr">
        <is>
          <t>Yes</t>
        </is>
      </c>
      <c r="I15" s="24" t="inlineStr"/>
      <c r="J15" s="24" t="inlineStr">
        <is>
          <t>Please read each statement carefully before answering. Indicate how often you behave in the stated manner.</t>
        </is>
      </c>
      <c r="K15" s="24" t="n">
        <v>3</v>
      </c>
      <c r="L15" s="24" t="inlineStr"/>
    </row>
    <row r="16">
      <c r="A16" s="24" t="inlineStr">
        <is>
          <t>BPNSFS</t>
        </is>
      </c>
      <c r="B16" s="24" t="inlineStr">
        <is>
          <t>bpnsfs</t>
        </is>
      </c>
      <c r="C16" s="24" t="inlineStr">
        <is>
          <t>What you need to feel at your best</t>
        </is>
      </c>
      <c r="D16" s="24" t="inlineStr">
        <is>
          <t>Basic Psychological Need Satisfaction and Frustration Scale (BPNSFS)</t>
        </is>
      </c>
      <c r="E16" s="24" t="inlineStr">
        <is>
          <t>Decide</t>
        </is>
      </c>
      <c r="F16" s="24" t="inlineStr">
        <is>
          <t>permission</t>
        </is>
      </c>
      <c r="G16" s="24" t="inlineStr">
        <is>
          <t>Copyright Center for Self-Determination Theory; written permission required for commercial use.</t>
        </is>
      </c>
      <c r="H16" s="24" t="inlineStr">
        <is>
          <t>Yes</t>
        </is>
      </c>
      <c r="I16" s="24" t="inlineStr"/>
      <c r="J16" s="24" t="inlineStr">
        <is>
          <t>Below, we ask you about the kind of experiences you actually have in your life. Please read each of the following items carefully. You can choose from 1 to 5 to indicate the degree to which the statement is true for you at this point in your life.</t>
        </is>
      </c>
      <c r="K16" s="24" t="n">
        <v>5</v>
      </c>
      <c r="L16" s="24" t="inlineStr"/>
    </row>
    <row r="17">
      <c r="A17" s="24" t="inlineStr">
        <is>
          <t>PPS</t>
        </is>
      </c>
      <c r="B17" s="24" t="inlineStr">
        <is>
          <t>pps</t>
        </is>
      </c>
      <c r="C17" s="24" t="inlineStr">
        <is>
          <t>Putting things off</t>
        </is>
      </c>
      <c r="D17" s="24" t="inlineStr">
        <is>
          <t>Pure Procrastination Scale</t>
        </is>
      </c>
      <c r="E17" s="24" t="inlineStr">
        <is>
          <t>Yes</t>
        </is>
      </c>
      <c r="F17" s="24" t="inlineStr">
        <is>
          <t>cleared</t>
        </is>
      </c>
      <c r="G17" s="24" t="inlineStr">
        <is>
          <t>Items published under CC BY (Svartdal and Steel, 2017).</t>
        </is>
      </c>
      <c r="H17" s="24" t="inlineStr">
        <is>
          <t>Yes</t>
        </is>
      </c>
      <c r="I17" s="24" t="inlineStr"/>
      <c r="J17" s="24" t="inlineStr">
        <is>
          <t>Not stated on source</t>
        </is>
      </c>
      <c r="K17" s="24" t="n">
        <v>3</v>
      </c>
      <c r="L17" s="24" t="inlineStr"/>
    </row>
    <row r="18">
      <c r="A18" s="24" t="inlineStr">
        <is>
          <t>IPS</t>
        </is>
      </c>
      <c r="B18" s="24" t="inlineStr">
        <is>
          <t>ips</t>
        </is>
      </c>
      <c r="C18" s="24" t="inlineStr">
        <is>
          <t>Delaying despite good intentions</t>
        </is>
      </c>
      <c r="D18" s="24" t="inlineStr">
        <is>
          <t>Irrational Procrastination Scale</t>
        </is>
      </c>
      <c r="E18" s="24" t="inlineStr">
        <is>
          <t>Yes</t>
        </is>
      </c>
      <c r="F18" s="24" t="inlineStr">
        <is>
          <t>cleared</t>
        </is>
      </c>
      <c r="G18" s="24" t="inlineStr">
        <is>
          <t>Items published under CC BY (Svartdal and Steel, 2017).</t>
        </is>
      </c>
      <c r="H18" s="24" t="inlineStr">
        <is>
          <t>Yes</t>
        </is>
      </c>
      <c r="I18" s="24" t="inlineStr"/>
      <c r="J18" s="24" t="inlineStr">
        <is>
          <t>Not stated on source</t>
        </is>
      </c>
      <c r="K18" s="24" t="n">
        <v>2</v>
      </c>
      <c r="L18" s="24" t="inlineStr"/>
    </row>
    <row r="19">
      <c r="A19" s="24" t="inlineStr">
        <is>
          <t>GSE</t>
        </is>
      </c>
      <c r="B19" s="24" t="inlineStr">
        <is>
          <t>gse</t>
        </is>
      </c>
      <c r="C19" s="24" t="inlineStr">
        <is>
          <t>Confidence in handling challenges</t>
        </is>
      </c>
      <c r="D19" s="24" t="inlineStr">
        <is>
          <t>General Self-Efficacy Scale</t>
        </is>
      </c>
      <c r="E19" s="24" t="inlineStr">
        <is>
          <t>Yes</t>
        </is>
      </c>
      <c r="F19" s="24" t="inlineStr">
        <is>
          <t>cleared</t>
        </is>
      </c>
      <c r="G19" s="24" t="inlineStr">
        <is>
          <t>Authors grant permission to use and reproduce.</t>
        </is>
      </c>
      <c r="H19" s="24" t="inlineStr">
        <is>
          <t>Yes</t>
        </is>
      </c>
      <c r="I19" s="24" t="inlineStr"/>
      <c r="J19" s="24" t="inlineStr">
        <is>
          <t>Not stated on source</t>
        </is>
      </c>
      <c r="K19" s="24" t="n">
        <v>2</v>
      </c>
      <c r="L19" s="24" t="inlineStr"/>
    </row>
    <row r="20">
      <c r="A20" s="24" t="inlineStr">
        <is>
          <t>GCS</t>
        </is>
      </c>
      <c r="B20" s="24" t="inlineStr">
        <is>
          <t>gcs</t>
        </is>
      </c>
      <c r="C20" s="24" t="inlineStr">
        <is>
          <t>Commitment to your goal</t>
        </is>
      </c>
      <c r="D20" s="24" t="inlineStr">
        <is>
          <t>Goal Commitment Scale (5-item unidimensional version)</t>
        </is>
      </c>
      <c r="E20" s="24" t="inlineStr">
        <is>
          <t>Decide</t>
        </is>
      </c>
      <c r="F20" s="24" t="inlineStr">
        <is>
          <t>permission</t>
        </is>
      </c>
      <c r="G20" s="24" t="inlineStr">
        <is>
          <t>No licence statement found; paywalled Elsevier article. Confirm before clearing. The form must ask the client to name a goal first.</t>
        </is>
      </c>
      <c r="H20" s="24" t="inlineStr">
        <is>
          <t>Yes</t>
        </is>
      </c>
      <c r="I20" s="24" t="inlineStr"/>
      <c r="J20" s="24" t="inlineStr">
        <is>
          <t>Think of the main goal you are working on with Sarah. Answer each statement about that goal.</t>
        </is>
      </c>
      <c r="K20" s="24" t="n">
        <v>2</v>
      </c>
      <c r="L20" s="24" t="inlineStr">
        <is>
          <t>No verbatim published instructions exist. Draft wording for Sarah; the hub does not yet ask the client to type the goal.</t>
        </is>
      </c>
    </row>
    <row r="21">
      <c r="A21" s="24" t="inlineStr">
        <is>
          <t>GADJ</t>
        </is>
      </c>
      <c r="B21" s="24" t="inlineStr">
        <is>
          <t>gadj</t>
        </is>
      </c>
      <c r="C21" s="24" t="inlineStr">
        <is>
          <t>Adjusting your goals</t>
        </is>
      </c>
      <c r="D21" s="24" t="inlineStr">
        <is>
          <t>Goal Adjustment Scale</t>
        </is>
      </c>
      <c r="E21" s="24" t="inlineStr">
        <is>
          <t>Decide</t>
        </is>
      </c>
      <c r="F21" s="24" t="inlineStr">
        <is>
          <t>permission</t>
        </is>
      </c>
      <c r="G21" s="24" t="inlineStr">
        <is>
          <t>Society for Personality and Social Psychology copyright; no permission statement found. Confirm before clearing.</t>
        </is>
      </c>
      <c r="H21" s="24" t="inlineStr">
        <is>
          <t>Yes</t>
        </is>
      </c>
      <c r="I21" s="24" t="inlineStr"/>
      <c r="J21" s="24" t="inlineStr">
        <is>
          <t>"If I have to stop pursuing an important goal in my life . . ." This is the generic item stem used for all 10 items in Study 2 and Study 3, quoted verbatim from a footnote to Table 1 of Wrosch et al. (2003), fetched and confirmed in this session. In Study 1, the goal disengagement items only were instead presented against three separate situational stems, one of which is quoted verbatim in the article as: "If it becomes likely that I have to stop pursuing an important goal because I no longer have the opportunity to realize it . . ."</t>
        </is>
      </c>
      <c r="K21" s="24" t="n">
        <v>3</v>
      </c>
      <c r="L21" s="24" t="inlineStr"/>
    </row>
  </sheetData>
  <autoFilter ref="A1:L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2"/>
  <sheetViews>
    <sheetView workbookViewId="0">
      <pane ySplit="1" topLeftCell="A2" activePane="bottomLeft" state="frozen"/>
      <selection pane="bottomLeft" activeCell="A1" sqref="A1"/>
    </sheetView>
  </sheetViews>
  <sheetFormatPr baseColWidth="8" defaultRowHeight="15"/>
  <cols>
    <col width="10" customWidth="1" style="17" min="1" max="1"/>
    <col width="34" customWidth="1" style="17" min="2" max="2"/>
    <col width="18" customWidth="1" style="17" min="3" max="3"/>
    <col width="28" customWidth="1" style="17" min="4" max="4"/>
    <col width="16" customWidth="1" style="17" min="5" max="5"/>
    <col width="10" customWidth="1" style="17" min="6" max="6"/>
    <col width="12" customWidth="1" style="17" min="7" max="7"/>
    <col width="12" customWidth="1" style="17" min="8" max="8"/>
    <col width="50" customWidth="1" style="17" min="9" max="9"/>
    <col width="50" customWidth="1" style="17" min="10" max="10"/>
    <col width="24" customWidth="1" style="17" min="11" max="11"/>
    <col width="44" customWidth="1" style="17" min="12" max="12"/>
    <col width="40" customWidth="1" style="17" min="13" max="13"/>
  </cols>
  <sheetData>
    <row r="1">
      <c r="A1" s="23" t="inlineStr">
        <is>
          <t>Code</t>
        </is>
      </c>
      <c r="B1" s="23" t="inlineStr">
        <is>
          <t>Codebook subscale</t>
        </is>
      </c>
      <c r="C1" s="23" t="inlineStr">
        <is>
          <t>Hub subscale id</t>
        </is>
      </c>
      <c r="D1" s="23" t="inlineStr">
        <is>
          <t>Label shown to clients</t>
        </is>
      </c>
      <c r="E1" s="23" t="inlineStr">
        <is>
          <t>Scoring direction (difficulty / positive / none)</t>
        </is>
      </c>
      <c r="F1" s="23" t="inlineStr">
        <is>
          <t>Method (mean / sum)</t>
        </is>
      </c>
      <c r="G1" s="23" t="inlineStr">
        <is>
          <t>Lower band up to (blank = third of range)</t>
        </is>
      </c>
      <c r="H1" s="23" t="inlineStr">
        <is>
          <t>Upper band up to (blank = two thirds of range)</t>
        </is>
      </c>
      <c r="I1" s="23" t="inlineStr">
        <is>
          <t>Strength wording (client sees)</t>
        </is>
      </c>
      <c r="J1" s="23" t="inlineStr">
        <is>
          <t>Focus wording (client sees)</t>
        </is>
      </c>
      <c r="K1" s="23" t="inlineStr">
        <is>
          <t>Learning Hub topic</t>
        </is>
      </c>
      <c r="L1" s="23" t="inlineStr">
        <is>
          <t>Topic URL</t>
        </is>
      </c>
      <c r="M1" s="23" t="inlineStr">
        <is>
          <t>Notes</t>
        </is>
      </c>
    </row>
    <row r="2">
      <c r="A2" s="24" t="inlineStr">
        <is>
          <t>ESQ-R</t>
        </is>
      </c>
      <c r="B2" s="24" t="inlineStr">
        <is>
          <t>Plan Management</t>
        </is>
      </c>
      <c r="C2" s="24" t="inlineStr">
        <is>
          <t>plan</t>
        </is>
      </c>
      <c r="D2" s="24" t="inlineStr">
        <is>
          <t>Planning and managing tasks</t>
        </is>
      </c>
      <c r="E2" s="24" t="inlineStr">
        <is>
          <t>difficulty</t>
        </is>
      </c>
      <c r="F2" s="24" t="inlineStr">
        <is>
          <t>mean</t>
        </is>
      </c>
      <c r="G2" s="24" t="inlineStr"/>
      <c r="H2" s="24" t="inlineStr"/>
      <c r="I2" s="24" t="inlineStr">
        <is>
          <t>You described planning and managing tasks as something that mostly goes smoothly for you.</t>
        </is>
      </c>
      <c r="J2" s="24" t="inlineStr">
        <is>
          <t>Planning and keeping track of tasks came up often in your answers.</t>
        </is>
      </c>
      <c r="K2" s="24" t="inlineStr">
        <is>
          <t>Planning and prioritising</t>
        </is>
      </c>
      <c r="L2" s="24" t="inlineStr">
        <is>
          <t>https://app.executiveframe.co.nz/hub/planning</t>
        </is>
      </c>
      <c r="M2" s="24" t="inlineStr"/>
    </row>
    <row r="3">
      <c r="A3" s="24" t="inlineStr">
        <is>
          <t>ESQ-R</t>
        </is>
      </c>
      <c r="B3" s="24" t="inlineStr">
        <is>
          <t>Time Management</t>
        </is>
      </c>
      <c r="C3" s="24" t="inlineStr">
        <is>
          <t>time</t>
        </is>
      </c>
      <c r="D3" s="24" t="inlineStr">
        <is>
          <t>Managing time</t>
        </is>
      </c>
      <c r="E3" s="24" t="inlineStr">
        <is>
          <t>difficulty</t>
        </is>
      </c>
      <c r="F3" s="24" t="inlineStr">
        <is>
          <t>mean</t>
        </is>
      </c>
      <c r="G3" s="24" t="inlineStr"/>
      <c r="H3" s="24" t="inlineStr"/>
      <c r="I3" s="24" t="inlineStr">
        <is>
          <t>You told us that keeping to time mostly works for you.</t>
        </is>
      </c>
      <c r="J3" s="24" t="inlineStr">
        <is>
          <t>Estimating and keeping to time came up as a difficulty in your answers.</t>
        </is>
      </c>
      <c r="K3" s="24" t="inlineStr">
        <is>
          <t>Time and estimating</t>
        </is>
      </c>
      <c r="L3" s="24" t="inlineStr">
        <is>
          <t>https://app.executiveframe.co.nz/hub/time</t>
        </is>
      </c>
      <c r="M3" s="24" t="inlineStr"/>
    </row>
    <row r="4">
      <c r="A4" s="24" t="inlineStr">
        <is>
          <t>ESQ-R</t>
        </is>
      </c>
      <c r="B4" s="24" t="inlineStr">
        <is>
          <t>Organization</t>
        </is>
      </c>
      <c r="C4" s="24" t="inlineStr">
        <is>
          <t>organisation</t>
        </is>
      </c>
      <c r="D4" s="24" t="inlineStr">
        <is>
          <t>Staying organised</t>
        </is>
      </c>
      <c r="E4" s="24" t="inlineStr">
        <is>
          <t>difficulty</t>
        </is>
      </c>
      <c r="F4" s="24" t="inlineStr">
        <is>
          <t>mean</t>
        </is>
      </c>
      <c r="G4" s="24" t="inlineStr"/>
      <c r="H4" s="24" t="inlineStr"/>
      <c r="I4" s="24" t="inlineStr">
        <is>
          <t>Keeping things and spaces in order mostly works for you.</t>
        </is>
      </c>
      <c r="J4" s="24" t="inlineStr">
        <is>
          <t>Keeping things and spaces in order came up as a difficulty in your answers.</t>
        </is>
      </c>
      <c r="K4" s="24" t="inlineStr">
        <is>
          <t>Organising your things and spaces</t>
        </is>
      </c>
      <c r="L4" s="24" t="inlineStr">
        <is>
          <t>https://app.executiveframe.co.nz/hub/organisation</t>
        </is>
      </c>
      <c r="M4" s="24" t="inlineStr"/>
    </row>
    <row r="5">
      <c r="A5" s="24" t="inlineStr">
        <is>
          <t>ESQ-R</t>
        </is>
      </c>
      <c r="B5" s="24" t="inlineStr">
        <is>
          <t>Emotional Regulation</t>
        </is>
      </c>
      <c r="C5" s="24" t="inlineStr">
        <is>
          <t>emotion</t>
        </is>
      </c>
      <c r="D5" s="24" t="inlineStr">
        <is>
          <t>Managing feelings</t>
        </is>
      </c>
      <c r="E5" s="24" t="inlineStr">
        <is>
          <t>difficulty</t>
        </is>
      </c>
      <c r="F5" s="24" t="inlineStr">
        <is>
          <t>mean</t>
        </is>
      </c>
      <c r="G5" s="24" t="inlineStr"/>
      <c r="H5" s="24" t="inlineStr"/>
      <c r="I5" s="24" t="inlineStr">
        <is>
          <t>You described managing strong feelings as something you handle well.</t>
        </is>
      </c>
      <c r="J5" s="24" t="inlineStr">
        <is>
          <t>Managing strong feelings came up as a difficulty in your answers.</t>
        </is>
      </c>
      <c r="K5" s="24" t="inlineStr">
        <is>
          <t>Managing feelings</t>
        </is>
      </c>
      <c r="L5" s="24" t="inlineStr">
        <is>
          <t>https://app.executiveframe.co.nz/hub/emotional-regulation</t>
        </is>
      </c>
      <c r="M5" s="24" t="inlineStr"/>
    </row>
    <row r="6">
      <c r="A6" s="24" t="inlineStr">
        <is>
          <t>ESQ-R</t>
        </is>
      </c>
      <c r="B6" s="24" t="inlineStr">
        <is>
          <t>Behavioral Regulation</t>
        </is>
      </c>
      <c r="C6" s="24" t="inlineStr">
        <is>
          <t>behaviour</t>
        </is>
      </c>
      <c r="D6" s="24" t="inlineStr">
        <is>
          <t>Pausing before acting</t>
        </is>
      </c>
      <c r="E6" s="24" t="inlineStr">
        <is>
          <t>difficulty</t>
        </is>
      </c>
      <c r="F6" s="24" t="inlineStr">
        <is>
          <t>mean</t>
        </is>
      </c>
      <c r="G6" s="24" t="inlineStr"/>
      <c r="H6" s="24" t="inlineStr"/>
      <c r="I6" s="24" t="inlineStr">
        <is>
          <t>Pausing before acting and sticking with a plan mostly works for you.</t>
        </is>
      </c>
      <c r="J6" s="24" t="inlineStr">
        <is>
          <t>Pausing before acting and sticking with a plan came up as a difficulty in your answers.</t>
        </is>
      </c>
      <c r="K6" s="24" t="inlineStr">
        <is>
          <t>Pausing and following through</t>
        </is>
      </c>
      <c r="L6" s="24" t="inlineStr">
        <is>
          <t>https://app.executiveframe.co.nz/hub/impulse-control</t>
        </is>
      </c>
      <c r="M6" s="24" t="inlineStr"/>
    </row>
    <row r="7">
      <c r="A7" s="24" t="inlineStr">
        <is>
          <t>CFI</t>
        </is>
      </c>
      <c r="B7" s="24" t="inlineStr">
        <is>
          <t>Alternatives</t>
        </is>
      </c>
      <c r="C7" s="24" t="inlineStr">
        <is>
          <t>alternatives</t>
        </is>
      </c>
      <c r="D7" s="24" t="inlineStr">
        <is>
          <t>Seeing other options</t>
        </is>
      </c>
      <c r="E7" s="24" t="inlineStr">
        <is>
          <t>positive</t>
        </is>
      </c>
      <c r="F7" s="24" t="inlineStr">
        <is>
          <t>mean</t>
        </is>
      </c>
      <c r="G7" s="24" t="inlineStr"/>
      <c r="H7" s="24" t="inlineStr"/>
      <c r="I7" s="24" t="inlineStr">
        <is>
          <t>You described finding other ways of seeing a situation as something that comes readily to you.</t>
        </is>
      </c>
      <c r="J7" s="24" t="inlineStr">
        <is>
          <t>Your answers suggest it can be hard to see other ways of reading a situation.</t>
        </is>
      </c>
      <c r="K7" s="24" t="inlineStr">
        <is>
          <t>Thinking flexibly</t>
        </is>
      </c>
      <c r="L7" s="24" t="inlineStr">
        <is>
          <t>https://app.executiveframe.co.nz/hub/flexible-thinking</t>
        </is>
      </c>
      <c r="M7" s="24" t="inlineStr"/>
    </row>
    <row r="8">
      <c r="A8" s="24" t="inlineStr">
        <is>
          <t>CFI</t>
        </is>
      </c>
      <c r="B8" s="24" t="inlineStr">
        <is>
          <t>Control</t>
        </is>
      </c>
      <c r="C8" s="24" t="inlineStr">
        <is>
          <t>control</t>
        </is>
      </c>
      <c r="D8" s="24" t="inlineStr">
        <is>
          <t>Seeing situations as workable</t>
        </is>
      </c>
      <c r="E8" s="24" t="inlineStr">
        <is>
          <t>positive</t>
        </is>
      </c>
      <c r="F8" s="24" t="inlineStr">
        <is>
          <t>mean</t>
        </is>
      </c>
      <c r="G8" s="24" t="inlineStr"/>
      <c r="H8" s="24" t="inlineStr"/>
      <c r="I8" s="24" t="inlineStr">
        <is>
          <t>You tend to see difficult situations as ones you can do something about.</t>
        </is>
      </c>
      <c r="J8" s="24" t="inlineStr">
        <is>
          <t>Your answers suggest difficult situations can feel outside your control.</t>
        </is>
      </c>
      <c r="K8" s="24" t="inlineStr">
        <is>
          <t>Thinking flexibly</t>
        </is>
      </c>
      <c r="L8" s="24" t="inlineStr">
        <is>
          <t>https://app.executiveframe.co.nz/hub/flexible-thinking</t>
        </is>
      </c>
      <c r="M8" s="24" t="inlineStr"/>
    </row>
    <row r="9">
      <c r="A9" s="24" t="inlineStr">
        <is>
          <t>ASRS</t>
        </is>
      </c>
      <c r="B9" s="24" t="inlineStr">
        <is>
          <t>Part A (Criterion / Screener)</t>
        </is>
      </c>
      <c r="C9" s="24" t="inlineStr">
        <is>
          <t>part-a</t>
        </is>
      </c>
      <c r="D9" s="24" t="inlineStr">
        <is>
          <t>Part A</t>
        </is>
      </c>
      <c r="E9" s="24" t="inlineStr">
        <is>
          <t>none</t>
        </is>
      </c>
      <c r="F9" s="24" t="inlineStr">
        <is>
          <t>sum</t>
        </is>
      </c>
      <c r="G9" s="24" t="inlineStr"/>
      <c r="H9" s="24" t="inlineStr"/>
      <c r="I9" s="24" t="inlineStr"/>
      <c r="J9" s="24" t="inlineStr"/>
      <c r="K9" s="24" t="inlineStr"/>
      <c r="L9" s="24" t="inlineStr"/>
      <c r="M9" s="24" t="inlineStr">
        <is>
          <t>Screener. Scored for Sarah only; the hub never shows this to the client.</t>
        </is>
      </c>
    </row>
    <row r="10">
      <c r="A10" s="24" t="inlineStr">
        <is>
          <t>ASRS</t>
        </is>
      </c>
      <c r="B10" s="24" t="inlineStr">
        <is>
          <t>Part B (Additional Symptoms)</t>
        </is>
      </c>
      <c r="C10" s="24" t="inlineStr">
        <is>
          <t>part-b</t>
        </is>
      </c>
      <c r="D10" s="24" t="inlineStr">
        <is>
          <t>Part B</t>
        </is>
      </c>
      <c r="E10" s="24" t="inlineStr">
        <is>
          <t>none</t>
        </is>
      </c>
      <c r="F10" s="24" t="inlineStr">
        <is>
          <t>sum</t>
        </is>
      </c>
      <c r="G10" s="24" t="inlineStr"/>
      <c r="H10" s="24" t="inlineStr"/>
      <c r="I10" s="24" t="inlineStr"/>
      <c r="J10" s="24" t="inlineStr"/>
      <c r="K10" s="24" t="inlineStr"/>
      <c r="L10" s="24" t="inlineStr"/>
      <c r="M10" s="24" t="inlineStr">
        <is>
          <t>Scored for Sarah only.</t>
        </is>
      </c>
    </row>
    <row r="11">
      <c r="A11" s="24" t="inlineStr">
        <is>
          <t>ASRS</t>
        </is>
      </c>
      <c r="B11" s="24" t="inlineStr">
        <is>
          <t>Inattentiveness</t>
        </is>
      </c>
      <c r="C11" s="24" t="inlineStr">
        <is>
          <t>inattention</t>
        </is>
      </c>
      <c r="D11" s="24" t="inlineStr">
        <is>
          <t>Inattention</t>
        </is>
      </c>
      <c r="E11" s="24" t="inlineStr">
        <is>
          <t>none</t>
        </is>
      </c>
      <c r="F11" s="24" t="inlineStr">
        <is>
          <t>sum</t>
        </is>
      </c>
      <c r="G11" s="24" t="inlineStr"/>
      <c r="H11" s="24" t="inlineStr"/>
      <c r="I11" s="24" t="inlineStr"/>
      <c r="J11" s="24" t="inlineStr"/>
      <c r="K11" s="24" t="inlineStr"/>
      <c r="L11" s="24" t="inlineStr"/>
      <c r="M11" s="24" t="inlineStr">
        <is>
          <t>Raw sum; the dichotomous symptom count is read from the shaded boxes by Sarah.</t>
        </is>
      </c>
    </row>
    <row r="12">
      <c r="A12" s="24" t="inlineStr">
        <is>
          <t>ASRS</t>
        </is>
      </c>
      <c r="B12" s="24" t="inlineStr">
        <is>
          <t>Hyperactivity/Impulsivity - Motor</t>
        </is>
      </c>
      <c r="C12" s="24" t="inlineStr">
        <is>
          <t>motor</t>
        </is>
      </c>
      <c r="D12" s="24" t="inlineStr">
        <is>
          <t>Motor</t>
        </is>
      </c>
      <c r="E12" s="24" t="inlineStr">
        <is>
          <t>none</t>
        </is>
      </c>
      <c r="F12" s="24" t="inlineStr">
        <is>
          <t>sum</t>
        </is>
      </c>
      <c r="G12" s="24" t="inlineStr"/>
      <c r="H12" s="24" t="inlineStr"/>
      <c r="I12" s="24" t="inlineStr"/>
      <c r="J12" s="24" t="inlineStr"/>
      <c r="K12" s="24" t="inlineStr"/>
      <c r="L12" s="24" t="inlineStr"/>
      <c r="M12" s="24" t="inlineStr">
        <is>
          <t>Raw sum.</t>
        </is>
      </c>
    </row>
    <row r="13">
      <c r="A13" s="24" t="inlineStr">
        <is>
          <t>ASRS</t>
        </is>
      </c>
      <c r="B13" s="24" t="inlineStr">
        <is>
          <t>Hyperactivity/Impulsivity - Verbal</t>
        </is>
      </c>
      <c r="C13" s="24" t="inlineStr">
        <is>
          <t>verbal</t>
        </is>
      </c>
      <c r="D13" s="24" t="inlineStr">
        <is>
          <t>Verbal</t>
        </is>
      </c>
      <c r="E13" s="24" t="inlineStr">
        <is>
          <t>none</t>
        </is>
      </c>
      <c r="F13" s="24" t="inlineStr">
        <is>
          <t>sum</t>
        </is>
      </c>
      <c r="G13" s="24" t="inlineStr"/>
      <c r="H13" s="24" t="inlineStr"/>
      <c r="I13" s="24" t="inlineStr"/>
      <c r="J13" s="24" t="inlineStr"/>
      <c r="K13" s="24" t="inlineStr"/>
      <c r="L13" s="24" t="inlineStr"/>
      <c r="M13" s="24" t="inlineStr">
        <is>
          <t>Raw sum.</t>
        </is>
      </c>
    </row>
    <row r="14">
      <c r="A14" s="24" t="inlineStr">
        <is>
          <t>SKS</t>
        </is>
      </c>
      <c r="B14" s="24" t="inlineStr">
        <is>
          <t>Strengths Knowledge (total scale)</t>
        </is>
      </c>
      <c r="C14" s="24" t="inlineStr">
        <is>
          <t>total</t>
        </is>
      </c>
      <c r="D14" s="24" t="inlineStr">
        <is>
          <t>Knowing your strengths</t>
        </is>
      </c>
      <c r="E14" s="24" t="inlineStr">
        <is>
          <t>positive</t>
        </is>
      </c>
      <c r="F14" s="24" t="inlineStr">
        <is>
          <t>mean</t>
        </is>
      </c>
      <c r="G14" s="24" t="inlineStr"/>
      <c r="H14" s="24" t="inlineStr"/>
      <c r="I14" s="24" t="inlineStr">
        <is>
          <t>You have a clear sense of what your strengths are.</t>
        </is>
      </c>
      <c r="J14" s="24" t="inlineStr">
        <is>
          <t>Your answers suggest you are not yet sure what your strengths are, which is a good place to start.</t>
        </is>
      </c>
      <c r="K14" s="24" t="inlineStr">
        <is>
          <t>Finding your strengths</t>
        </is>
      </c>
      <c r="L14" s="24" t="inlineStr">
        <is>
          <t>https://app.executiveframe.co.nz/hub/strengths</t>
        </is>
      </c>
      <c r="M14" s="24" t="inlineStr"/>
    </row>
    <row r="15">
      <c r="A15" s="24" t="inlineStr">
        <is>
          <t>SUS</t>
        </is>
      </c>
      <c r="B15" s="24" t="inlineStr">
        <is>
          <t>Strengths Use (total scale)</t>
        </is>
      </c>
      <c r="C15" s="24" t="inlineStr">
        <is>
          <t>total</t>
        </is>
      </c>
      <c r="D15" s="24" t="inlineStr">
        <is>
          <t>Using your strengths</t>
        </is>
      </c>
      <c r="E15" s="24" t="inlineStr">
        <is>
          <t>positive</t>
        </is>
      </c>
      <c r="F15" s="24" t="inlineStr">
        <is>
          <t>mean</t>
        </is>
      </c>
      <c r="G15" s="24" t="inlineStr"/>
      <c r="H15" s="24" t="inlineStr"/>
      <c r="I15" s="24" t="inlineStr">
        <is>
          <t>You described using your strengths often, at work and beyond.</t>
        </is>
      </c>
      <c r="J15" s="24" t="inlineStr">
        <is>
          <t>Your answers suggest your strengths do not get much use day to day.</t>
        </is>
      </c>
      <c r="K15" s="24" t="inlineStr">
        <is>
          <t>Using your strengths</t>
        </is>
      </c>
      <c r="L15" s="24" t="inlineStr">
        <is>
          <t>https://app.executiveframe.co.nz/hub/strengths-use</t>
        </is>
      </c>
      <c r="M15" s="24" t="inlineStr"/>
    </row>
    <row r="16">
      <c r="A16" s="24" t="inlineStr">
        <is>
          <t>SSES</t>
        </is>
      </c>
      <c r="B16" s="24" t="inlineStr">
        <is>
          <t>Strengths Self-Efficacy (total scale)</t>
        </is>
      </c>
      <c r="C16" s="24" t="inlineStr">
        <is>
          <t>total</t>
        </is>
      </c>
      <c r="D16" s="24" t="inlineStr">
        <is>
          <t>Confidence in your strengths</t>
        </is>
      </c>
      <c r="E16" s="24" t="inlineStr">
        <is>
          <t>positive</t>
        </is>
      </c>
      <c r="F16" s="24" t="inlineStr">
        <is>
          <t>mean</t>
        </is>
      </c>
      <c r="G16" s="24" t="inlineStr"/>
      <c r="H16" s="24" t="inlineStr"/>
      <c r="I16" s="24" t="inlineStr">
        <is>
          <t>You feel confident applying your strengths when it counts.</t>
        </is>
      </c>
      <c r="J16" s="24" t="inlineStr">
        <is>
          <t>Your answers suggest you are not yet confident putting your strengths to use.</t>
        </is>
      </c>
      <c r="K16" s="24" t="inlineStr">
        <is>
          <t>Using your strengths</t>
        </is>
      </c>
      <c r="L16" s="24" t="inlineStr">
        <is>
          <t>https://app.executiveframe.co.nz/hub/strengths-use</t>
        </is>
      </c>
      <c r="M16" s="24" t="inlineStr"/>
    </row>
    <row r="17">
      <c r="A17" s="24" t="inlineStr">
        <is>
          <t>CSES</t>
        </is>
      </c>
      <c r="B17" s="24" t="inlineStr">
        <is>
          <t>Core Self-Evaluations (total scale, unidimensional)</t>
        </is>
      </c>
      <c r="C17" s="24" t="inlineStr">
        <is>
          <t>total</t>
        </is>
      </c>
      <c r="D17" s="24" t="inlineStr">
        <is>
          <t>How you see yourself</t>
        </is>
      </c>
      <c r="E17" s="24" t="inlineStr">
        <is>
          <t>positive</t>
        </is>
      </c>
      <c r="F17" s="24" t="inlineStr">
        <is>
          <t>mean</t>
        </is>
      </c>
      <c r="G17" s="24" t="inlineStr"/>
      <c r="H17" s="24" t="inlineStr"/>
      <c r="I17" s="24" t="inlineStr">
        <is>
          <t>You described a steady, positive view of yourself and what you can do.</t>
        </is>
      </c>
      <c r="J17" s="24" t="inlineStr">
        <is>
          <t>Your answers suggest your view of yourself can be harsh or uncertain.</t>
        </is>
      </c>
      <c r="K17" s="24" t="inlineStr">
        <is>
          <t>How you see yourself</t>
        </is>
      </c>
      <c r="L17" s="24" t="inlineStr">
        <is>
          <t>https://app.executiveframe.co.nz/hub/self-view</t>
        </is>
      </c>
      <c r="M17" s="24" t="inlineStr"/>
    </row>
    <row r="18">
      <c r="A18" s="24" t="inlineStr">
        <is>
          <t>PES</t>
        </is>
      </c>
      <c r="B18" s="24" t="inlineStr">
        <is>
          <t>Meaning</t>
        </is>
      </c>
      <c r="C18" s="24" t="inlineStr">
        <is>
          <t>meaning</t>
        </is>
      </c>
      <c r="D18" s="24" t="inlineStr">
        <is>
          <t>Meaning in your work</t>
        </is>
      </c>
      <c r="E18" s="24" t="inlineStr">
        <is>
          <t>positive</t>
        </is>
      </c>
      <c r="F18" s="24" t="inlineStr">
        <is>
          <t>mean</t>
        </is>
      </c>
      <c r="G18" s="24" t="inlineStr"/>
      <c r="H18" s="24" t="inlineStr"/>
      <c r="I18" s="24" t="inlineStr">
        <is>
          <t>Your work feels meaningful to you.</t>
        </is>
      </c>
      <c r="J18" s="24" t="inlineStr">
        <is>
          <t>Your answers suggest your work does not feel very meaningful at the moment.</t>
        </is>
      </c>
      <c r="K18" s="24" t="inlineStr">
        <is>
          <t>Meaning at work</t>
        </is>
      </c>
      <c r="L18" s="24" t="inlineStr">
        <is>
          <t>https://app.executiveframe.co.nz/hub/meaning</t>
        </is>
      </c>
      <c r="M18" s="24" t="inlineStr"/>
    </row>
    <row r="19">
      <c r="A19" s="24" t="inlineStr">
        <is>
          <t>PES</t>
        </is>
      </c>
      <c r="B19" s="24" t="inlineStr">
        <is>
          <t>Competence</t>
        </is>
      </c>
      <c r="C19" s="24" t="inlineStr">
        <is>
          <t>competence</t>
        </is>
      </c>
      <c r="D19" s="24" t="inlineStr">
        <is>
          <t>Confidence in your work</t>
        </is>
      </c>
      <c r="E19" s="24" t="inlineStr">
        <is>
          <t>positive</t>
        </is>
      </c>
      <c r="F19" s="24" t="inlineStr">
        <is>
          <t>mean</t>
        </is>
      </c>
      <c r="G19" s="24" t="inlineStr"/>
      <c r="H19" s="24" t="inlineStr"/>
      <c r="I19" s="24" t="inlineStr">
        <is>
          <t>You feel capable in your work.</t>
        </is>
      </c>
      <c r="J19" s="24" t="inlineStr">
        <is>
          <t>Your answers suggest you are not feeling confident in your work right now.</t>
        </is>
      </c>
      <c r="K19" s="24" t="inlineStr">
        <is>
          <t>Confidence at work</t>
        </is>
      </c>
      <c r="L19" s="24" t="inlineStr">
        <is>
          <t>https://app.executiveframe.co.nz/hub/competence</t>
        </is>
      </c>
      <c r="M19" s="24" t="inlineStr"/>
    </row>
    <row r="20">
      <c r="A20" s="24" t="inlineStr">
        <is>
          <t>PES</t>
        </is>
      </c>
      <c r="B20" s="24" t="inlineStr">
        <is>
          <t>Self-Determination</t>
        </is>
      </c>
      <c r="C20" s="24" t="inlineStr">
        <is>
          <t>autonomy</t>
        </is>
      </c>
      <c r="D20" s="24" t="inlineStr">
        <is>
          <t>Choice in how you work</t>
        </is>
      </c>
      <c r="E20" s="24" t="inlineStr">
        <is>
          <t>positive</t>
        </is>
      </c>
      <c r="F20" s="24" t="inlineStr">
        <is>
          <t>mean</t>
        </is>
      </c>
      <c r="G20" s="24" t="inlineStr"/>
      <c r="H20" s="24" t="inlineStr"/>
      <c r="I20" s="24" t="inlineStr">
        <is>
          <t>You have a good deal of say in how you do your work.</t>
        </is>
      </c>
      <c r="J20" s="24" t="inlineStr">
        <is>
          <t>Your answers suggest you have little say in how you do your work.</t>
        </is>
      </c>
      <c r="K20" s="24" t="inlineStr">
        <is>
          <t>Choice and autonomy at work</t>
        </is>
      </c>
      <c r="L20" s="24" t="inlineStr">
        <is>
          <t>https://app.executiveframe.co.nz/hub/autonomy</t>
        </is>
      </c>
      <c r="M20" s="24" t="inlineStr"/>
    </row>
    <row r="21">
      <c r="A21" s="24" t="inlineStr">
        <is>
          <t>PES</t>
        </is>
      </c>
      <c r="B21" s="24" t="inlineStr">
        <is>
          <t>Impact</t>
        </is>
      </c>
      <c r="C21" s="24" t="inlineStr">
        <is>
          <t>impact</t>
        </is>
      </c>
      <c r="D21" s="24" t="inlineStr">
        <is>
          <t>Influence at work</t>
        </is>
      </c>
      <c r="E21" s="24" t="inlineStr">
        <is>
          <t>positive</t>
        </is>
      </c>
      <c r="F21" s="24" t="inlineStr">
        <is>
          <t>mean</t>
        </is>
      </c>
      <c r="G21" s="24" t="inlineStr"/>
      <c r="H21" s="24" t="inlineStr"/>
      <c r="I21" s="24" t="inlineStr">
        <is>
          <t>You feel your work makes a difference where you are.</t>
        </is>
      </c>
      <c r="J21" s="24" t="inlineStr">
        <is>
          <t>Your answers suggest you feel your work has little influence on what happens around you.</t>
        </is>
      </c>
      <c r="K21" s="24" t="inlineStr">
        <is>
          <t>Influence at work</t>
        </is>
      </c>
      <c r="L21" s="24" t="inlineStr">
        <is>
          <t>https://app.executiveframe.co.nz/hub/impact</t>
        </is>
      </c>
      <c r="M21" s="24" t="inlineStr"/>
    </row>
    <row r="22">
      <c r="A22" s="24" t="inlineStr">
        <is>
          <t>DASS-21</t>
        </is>
      </c>
      <c r="B22" s="24" t="inlineStr">
        <is>
          <t>Depression</t>
        </is>
      </c>
      <c r="C22" s="24" t="inlineStr">
        <is>
          <t>depression</t>
        </is>
      </c>
      <c r="D22" s="24" t="inlineStr">
        <is>
          <t>Depression</t>
        </is>
      </c>
      <c r="E22" s="24" t="inlineStr">
        <is>
          <t>difficulty</t>
        </is>
      </c>
      <c r="F22" s="24" t="inlineStr">
        <is>
          <t>sum</t>
        </is>
      </c>
      <c r="G22" s="24" t="inlineStr"/>
      <c r="H22" s="24" t="n">
        <v>4</v>
      </c>
      <c r="I22" s="24" t="inlineStr"/>
      <c r="J22" s="24" t="inlineStr"/>
      <c r="K22" s="24" t="inlineStr"/>
      <c r="L22" s="24" t="inlineStr"/>
      <c r="M22" s="24" t="inlineStr">
        <is>
          <t>Raw sum of 7 items. Doubled score: normal 0 to 9. Sarah only.</t>
        </is>
      </c>
    </row>
    <row r="23">
      <c r="A23" s="24" t="inlineStr">
        <is>
          <t>DASS-21</t>
        </is>
      </c>
      <c r="B23" s="24" t="inlineStr">
        <is>
          <t>Anxiety</t>
        </is>
      </c>
      <c r="C23" s="24" t="inlineStr">
        <is>
          <t>anxiety</t>
        </is>
      </c>
      <c r="D23" s="24" t="inlineStr">
        <is>
          <t>Anxiety</t>
        </is>
      </c>
      <c r="E23" s="24" t="inlineStr">
        <is>
          <t>difficulty</t>
        </is>
      </c>
      <c r="F23" s="24" t="inlineStr">
        <is>
          <t>sum</t>
        </is>
      </c>
      <c r="G23" s="24" t="inlineStr"/>
      <c r="H23" s="24" t="n">
        <v>3</v>
      </c>
      <c r="I23" s="24" t="inlineStr"/>
      <c r="J23" s="24" t="inlineStr"/>
      <c r="K23" s="24" t="inlineStr"/>
      <c r="L23" s="24" t="inlineStr"/>
      <c r="M23" s="24" t="inlineStr">
        <is>
          <t>Raw sum. Doubled score: normal 0 to 7. Sarah only.</t>
        </is>
      </c>
    </row>
    <row r="24">
      <c r="A24" s="24" t="inlineStr">
        <is>
          <t>DASS-21</t>
        </is>
      </c>
      <c r="B24" s="24" t="inlineStr">
        <is>
          <t>Stress</t>
        </is>
      </c>
      <c r="C24" s="24" t="inlineStr">
        <is>
          <t>stress</t>
        </is>
      </c>
      <c r="D24" s="24" t="inlineStr">
        <is>
          <t>Stress</t>
        </is>
      </c>
      <c r="E24" s="24" t="inlineStr">
        <is>
          <t>difficulty</t>
        </is>
      </c>
      <c r="F24" s="24" t="inlineStr">
        <is>
          <t>sum</t>
        </is>
      </c>
      <c r="G24" s="24" t="inlineStr"/>
      <c r="H24" s="24" t="n">
        <v>7</v>
      </c>
      <c r="I24" s="24" t="inlineStr"/>
      <c r="J24" s="24" t="inlineStr"/>
      <c r="K24" s="24" t="inlineStr"/>
      <c r="L24" s="24" t="inlineStr"/>
      <c r="M24" s="24" t="inlineStr">
        <is>
          <t>Raw sum. Doubled score: normal 0 to 14. Sarah only.</t>
        </is>
      </c>
    </row>
    <row r="25">
      <c r="A25" s="24" t="inlineStr">
        <is>
          <t>PTQ</t>
        </is>
      </c>
      <c r="B25" s="24" t="inlineStr">
        <is>
          <t>Core Characteristics of Repetitive Negative Thinking</t>
        </is>
      </c>
      <c r="C25" s="24" t="inlineStr">
        <is>
          <t>core</t>
        </is>
      </c>
      <c r="D25" s="24" t="inlineStr">
        <is>
          <t>Thoughts that go round</t>
        </is>
      </c>
      <c r="E25" s="24" t="inlineStr">
        <is>
          <t>difficulty</t>
        </is>
      </c>
      <c r="F25" s="24" t="inlineStr">
        <is>
          <t>mean</t>
        </is>
      </c>
      <c r="G25" s="24" t="inlineStr"/>
      <c r="H25" s="24" t="inlineStr"/>
      <c r="I25" s="24" t="inlineStr">
        <is>
          <t>Thoughts that repeat do not seem to take hold for long with you.</t>
        </is>
      </c>
      <c r="J25" s="24" t="inlineStr">
        <is>
          <t>Thoughts that go round and are hard to stop came up often in your answers.</t>
        </is>
      </c>
      <c r="K25" s="24" t="inlineStr">
        <is>
          <t>Repetitive thinking</t>
        </is>
      </c>
      <c r="L25" s="24" t="inlineStr">
        <is>
          <t>https://app.executiveframe.co.nz/hub/repetitive-thinking</t>
        </is>
      </c>
      <c r="M25" s="24" t="inlineStr"/>
    </row>
    <row r="26">
      <c r="A26" s="24" t="inlineStr">
        <is>
          <t>PTQ</t>
        </is>
      </c>
      <c r="B26" s="24" t="inlineStr">
        <is>
          <t>Unproductiveness</t>
        </is>
      </c>
      <c r="C26" s="24" t="inlineStr">
        <is>
          <t>unproductive</t>
        </is>
      </c>
      <c r="D26" s="24" t="inlineStr">
        <is>
          <t>Thinking that goes nowhere</t>
        </is>
      </c>
      <c r="E26" s="24" t="inlineStr">
        <is>
          <t>difficulty</t>
        </is>
      </c>
      <c r="F26" s="24" t="inlineStr">
        <is>
          <t>mean</t>
        </is>
      </c>
      <c r="G26" s="24" t="inlineStr"/>
      <c r="H26" s="24" t="inlineStr"/>
      <c r="I26" s="24" t="inlineStr">
        <is>
          <t>When you think things over, it tends to get you somewhere.</t>
        </is>
      </c>
      <c r="J26" s="24" t="inlineStr">
        <is>
          <t>Your answers suggest a lot of thinking that does not lead anywhere useful.</t>
        </is>
      </c>
      <c r="K26" s="24" t="inlineStr">
        <is>
          <t>Repetitive thinking</t>
        </is>
      </c>
      <c r="L26" s="24" t="inlineStr">
        <is>
          <t>https://app.executiveframe.co.nz/hub/repetitive-thinking</t>
        </is>
      </c>
      <c r="M26" s="24" t="inlineStr"/>
    </row>
    <row r="27">
      <c r="A27" s="24" t="inlineStr">
        <is>
          <t>PTQ</t>
        </is>
      </c>
      <c r="B27" s="24" t="inlineStr">
        <is>
          <t>Capturing Mental Capacity</t>
        </is>
      </c>
      <c r="C27" s="24" t="inlineStr">
        <is>
          <t>capacity</t>
        </is>
      </c>
      <c r="D27" s="24" t="inlineStr">
        <is>
          <t>Thinking that takes over</t>
        </is>
      </c>
      <c r="E27" s="24" t="inlineStr">
        <is>
          <t>difficulty</t>
        </is>
      </c>
      <c r="F27" s="24" t="inlineStr">
        <is>
          <t>mean</t>
        </is>
      </c>
      <c r="G27" s="24" t="inlineStr"/>
      <c r="H27" s="24" t="inlineStr"/>
      <c r="I27" s="24" t="inlineStr">
        <is>
          <t>Your thinking leaves you room for other things.</t>
        </is>
      </c>
      <c r="J27" s="24" t="inlineStr">
        <is>
          <t>Your answers suggest repetitive thinking takes up a lot of your mental space.</t>
        </is>
      </c>
      <c r="K27" s="24" t="inlineStr">
        <is>
          <t>Repetitive thinking</t>
        </is>
      </c>
      <c r="L27" s="24" t="inlineStr">
        <is>
          <t>https://app.executiveframe.co.nz/hub/repetitive-thinking</t>
        </is>
      </c>
      <c r="M27" s="24" t="inlineStr"/>
    </row>
    <row r="28">
      <c r="A28" s="24" t="inlineStr">
        <is>
          <t>RRS</t>
        </is>
      </c>
      <c r="B28" s="24" t="inlineStr">
        <is>
          <t>Brooding</t>
        </is>
      </c>
      <c r="C28" s="24" t="inlineStr">
        <is>
          <t>brooding</t>
        </is>
      </c>
      <c r="D28" s="24" t="inlineStr">
        <is>
          <t>Dwelling on what is wrong</t>
        </is>
      </c>
      <c r="E28" s="24" t="inlineStr">
        <is>
          <t>difficulty</t>
        </is>
      </c>
      <c r="F28" s="24" t="inlineStr">
        <is>
          <t>mean</t>
        </is>
      </c>
      <c r="G28" s="24" t="inlineStr"/>
      <c r="H28" s="24" t="inlineStr"/>
      <c r="I28" s="24" t="inlineStr">
        <is>
          <t>You do not tend to get stuck dwelling on what is wrong.</t>
        </is>
      </c>
      <c r="J28" s="24" t="inlineStr">
        <is>
          <t>Dwelling on what is wrong came up often in your answers.</t>
        </is>
      </c>
      <c r="K28" s="24" t="inlineStr">
        <is>
          <t>Getting unstuck from low mood</t>
        </is>
      </c>
      <c r="L28" s="24" t="inlineStr">
        <is>
          <t>https://app.executiveframe.co.nz/hub/brooding</t>
        </is>
      </c>
      <c r="M28" s="24" t="inlineStr"/>
    </row>
    <row r="29">
      <c r="A29" s="24" t="inlineStr">
        <is>
          <t>RRS</t>
        </is>
      </c>
      <c r="B29" s="24" t="inlineStr">
        <is>
          <t>Reflection</t>
        </is>
      </c>
      <c r="C29" s="24" t="inlineStr">
        <is>
          <t>reflection</t>
        </is>
      </c>
      <c r="D29" s="24" t="inlineStr">
        <is>
          <t>Reflecting on low mood</t>
        </is>
      </c>
      <c r="E29" s="24" t="inlineStr">
        <is>
          <t>none</t>
        </is>
      </c>
      <c r="F29" s="24" t="inlineStr">
        <is>
          <t>mean</t>
        </is>
      </c>
      <c r="G29" s="24" t="inlineStr"/>
      <c r="H29" s="24" t="inlineStr"/>
      <c r="I29" s="24" t="inlineStr"/>
      <c r="J29" s="24" t="inlineStr"/>
      <c r="K29" s="24" t="inlineStr"/>
      <c r="L29" s="24" t="inlineStr"/>
      <c r="M29" s="24" t="inlineStr">
        <is>
          <t>Reflection can be helpful or unhelpful; numbers only.</t>
        </is>
      </c>
    </row>
    <row r="30">
      <c r="A30" s="24" t="inlineStr">
        <is>
          <t>RRS</t>
        </is>
      </c>
      <c r="B30" s="24" t="inlineStr">
        <is>
          <t>Depression-related items (not scored as a subscale)</t>
        </is>
      </c>
      <c r="C30" s="24" t="inlineStr">
        <is>
          <t>depressive</t>
        </is>
      </c>
      <c r="D30" s="24" t="inlineStr">
        <is>
          <t>Depression related items</t>
        </is>
      </c>
      <c r="E30" s="24" t="inlineStr">
        <is>
          <t>none</t>
        </is>
      </c>
      <c r="F30" s="24" t="inlineStr">
        <is>
          <t>mean</t>
        </is>
      </c>
      <c r="G30" s="24" t="inlineStr"/>
      <c r="H30" s="24" t="inlineStr"/>
      <c r="I30" s="24" t="inlineStr"/>
      <c r="J30" s="24" t="inlineStr"/>
      <c r="K30" s="24" t="inlineStr"/>
      <c r="L30" s="24" t="inlineStr"/>
      <c r="M30" s="24" t="inlineStr">
        <is>
          <t>Not recommended for coaching use; numbers only.</t>
        </is>
      </c>
    </row>
    <row r="31">
      <c r="A31" s="24" t="inlineStr">
        <is>
          <t>FSCRS</t>
        </is>
      </c>
      <c r="B31" s="24" t="inlineStr">
        <is>
          <t>Inadequate Self</t>
        </is>
      </c>
      <c r="C31" s="24" t="inlineStr">
        <is>
          <t>inadequate</t>
        </is>
      </c>
      <c r="D31" s="24" t="inlineStr">
        <is>
          <t>Feeling not good enough</t>
        </is>
      </c>
      <c r="E31" s="24" t="inlineStr">
        <is>
          <t>difficulty</t>
        </is>
      </c>
      <c r="F31" s="24" t="inlineStr">
        <is>
          <t>mean</t>
        </is>
      </c>
      <c r="G31" s="24" t="inlineStr"/>
      <c r="H31" s="24" t="inlineStr"/>
      <c r="I31" s="24" t="inlineStr">
        <is>
          <t>You do not tend to come down hard on yourself when things go wrong.</t>
        </is>
      </c>
      <c r="J31" s="24" t="inlineStr">
        <is>
          <t>Feeling not good enough when things go wrong came up often in your answers.</t>
        </is>
      </c>
      <c r="K31" s="24" t="inlineStr">
        <is>
          <t>Self criticism</t>
        </is>
      </c>
      <c r="L31" s="24" t="inlineStr">
        <is>
          <t>https://app.executiveframe.co.nz/hub/self-criticism</t>
        </is>
      </c>
      <c r="M31" s="24" t="inlineStr"/>
    </row>
    <row r="32">
      <c r="A32" s="24" t="inlineStr">
        <is>
          <t>FSCRS</t>
        </is>
      </c>
      <c r="B32" s="24" t="inlineStr">
        <is>
          <t>Hated Self</t>
        </is>
      </c>
      <c r="C32" s="24" t="inlineStr">
        <is>
          <t>hated</t>
        </is>
      </c>
      <c r="D32" s="24" t="inlineStr">
        <is>
          <t>Harsh self attack</t>
        </is>
      </c>
      <c r="E32" s="24" t="inlineStr">
        <is>
          <t>difficulty</t>
        </is>
      </c>
      <c r="F32" s="24" t="inlineStr">
        <is>
          <t>mean</t>
        </is>
      </c>
      <c r="G32" s="24" t="inlineStr"/>
      <c r="H32" s="24" t="inlineStr"/>
      <c r="I32" s="24" t="inlineStr"/>
      <c r="J32" s="24" t="inlineStr">
        <is>
          <t>Your answers include some very harsh thoughts about yourself, which Sarah will talk through with you.</t>
        </is>
      </c>
      <c r="K32" s="24" t="inlineStr">
        <is>
          <t>Self criticism</t>
        </is>
      </c>
      <c r="L32" s="24" t="inlineStr">
        <is>
          <t>https://app.executiveframe.co.nz/hub/self-criticism</t>
        </is>
      </c>
      <c r="M32" s="24" t="inlineStr">
        <is>
          <t>No strength wording; focus wording is deliberately gentle.</t>
        </is>
      </c>
    </row>
    <row r="33">
      <c r="A33" s="24" t="inlineStr">
        <is>
          <t>FSCRS</t>
        </is>
      </c>
      <c r="B33" s="24" t="inlineStr">
        <is>
          <t>Reassured Self</t>
        </is>
      </c>
      <c r="C33" s="24" t="inlineStr">
        <is>
          <t>reassured</t>
        </is>
      </c>
      <c r="D33" s="24" t="inlineStr">
        <is>
          <t>Reassuring yourself</t>
        </is>
      </c>
      <c r="E33" s="24" t="inlineStr">
        <is>
          <t>positive</t>
        </is>
      </c>
      <c r="F33" s="24" t="inlineStr">
        <is>
          <t>mean</t>
        </is>
      </c>
      <c r="G33" s="24" t="inlineStr"/>
      <c r="H33" s="24" t="inlineStr"/>
      <c r="I33" s="24" t="inlineStr">
        <is>
          <t>You are able to be kind and reassuring to yourself when things go wrong.</t>
        </is>
      </c>
      <c r="J33" s="24" t="inlineStr">
        <is>
          <t>Your answers suggest reassuring yourself when things go wrong does not come easily yet.</t>
        </is>
      </c>
      <c r="K33" s="24" t="inlineStr">
        <is>
          <t>Self compassion</t>
        </is>
      </c>
      <c r="L33" s="24" t="inlineStr">
        <is>
          <t>https://app.executiveframe.co.nz/hub/self-compassion</t>
        </is>
      </c>
      <c r="M33" s="24" t="inlineStr"/>
    </row>
    <row r="34">
      <c r="A34" s="24" t="inlineStr">
        <is>
          <t>PCI</t>
        </is>
      </c>
      <c r="B34" s="24" t="inlineStr">
        <is>
          <t>Perfectionism Cognitions (total scale)</t>
        </is>
      </c>
      <c r="C34" s="24" t="inlineStr">
        <is>
          <t>total</t>
        </is>
      </c>
      <c r="D34" s="24" t="inlineStr">
        <is>
          <t>Perfectionistic thoughts</t>
        </is>
      </c>
      <c r="E34" s="24" t="inlineStr">
        <is>
          <t>difficulty</t>
        </is>
      </c>
      <c r="F34" s="24" t="inlineStr">
        <is>
          <t>mean</t>
        </is>
      </c>
      <c r="G34" s="24" t="inlineStr"/>
      <c r="H34" s="24" t="inlineStr"/>
      <c r="I34" s="24" t="inlineStr">
        <is>
          <t>Thoughts about needing to be perfect do not seem to feature much for you.</t>
        </is>
      </c>
      <c r="J34" s="24" t="inlineStr">
        <is>
          <t>Thoughts about needing to be perfect came up often in your answers.</t>
        </is>
      </c>
      <c r="K34" s="24" t="inlineStr">
        <is>
          <t>Perfectionism</t>
        </is>
      </c>
      <c r="L34" s="24" t="inlineStr">
        <is>
          <t>https://app.executiveframe.co.nz/hub/perfectionism</t>
        </is>
      </c>
      <c r="M34" s="24" t="inlineStr"/>
    </row>
    <row r="35">
      <c r="A35" s="24" t="inlineStr">
        <is>
          <t>SCS-SF</t>
        </is>
      </c>
      <c r="B35" s="24" t="inlineStr">
        <is>
          <t>Self-Kindness</t>
        </is>
      </c>
      <c r="C35" s="24" t="inlineStr">
        <is>
          <t>kindness</t>
        </is>
      </c>
      <c r="D35" s="24" t="inlineStr">
        <is>
          <t>Being kind to yourself</t>
        </is>
      </c>
      <c r="E35" s="24" t="inlineStr">
        <is>
          <t>positive</t>
        </is>
      </c>
      <c r="F35" s="24" t="inlineStr">
        <is>
          <t>mean</t>
        </is>
      </c>
      <c r="G35" s="24" t="inlineStr"/>
      <c r="H35" s="24" t="inlineStr"/>
      <c r="I35" s="24" t="inlineStr">
        <is>
          <t>You tend to treat yourself with kindness.</t>
        </is>
      </c>
      <c r="J35" s="24" t="inlineStr">
        <is>
          <t>Your answers suggest being kind to yourself does not come easily.</t>
        </is>
      </c>
      <c r="K35" s="24" t="inlineStr">
        <is>
          <t>Self compassion</t>
        </is>
      </c>
      <c r="L35" s="24" t="inlineStr">
        <is>
          <t>https://app.executiveframe.co.nz/hub/self-compassion</t>
        </is>
      </c>
      <c r="M35" s="24" t="inlineStr"/>
    </row>
    <row r="36">
      <c r="A36" s="24" t="inlineStr">
        <is>
          <t>SCS-SF</t>
        </is>
      </c>
      <c r="B36" s="24" t="inlineStr">
        <is>
          <t>Self-Judgment</t>
        </is>
      </c>
      <c r="C36" s="24" t="inlineStr">
        <is>
          <t>judgment</t>
        </is>
      </c>
      <c r="D36" s="24" t="inlineStr">
        <is>
          <t>Easing self judgement</t>
        </is>
      </c>
      <c r="E36" s="24" t="inlineStr">
        <is>
          <t>positive</t>
        </is>
      </c>
      <c r="F36" s="24" t="inlineStr">
        <is>
          <t>mean</t>
        </is>
      </c>
      <c r="G36" s="24" t="inlineStr"/>
      <c r="H36" s="24" t="inlineStr"/>
      <c r="I36" s="24" t="inlineStr">
        <is>
          <t>You tend not to judge yourself harshly.</t>
        </is>
      </c>
      <c r="J36" s="24" t="inlineStr">
        <is>
          <t>Your answers suggest you judge yourself harshly.</t>
        </is>
      </c>
      <c r="K36" s="24" t="inlineStr">
        <is>
          <t>Self compassion</t>
        </is>
      </c>
      <c r="L36" s="24" t="inlineStr">
        <is>
          <t>https://app.executiveframe.co.nz/hub/self-compassion</t>
        </is>
      </c>
      <c r="M36" s="24" t="inlineStr">
        <is>
          <t>Reverse scored, so higher is better.</t>
        </is>
      </c>
    </row>
    <row r="37">
      <c r="A37" s="24" t="inlineStr">
        <is>
          <t>SCS-SF</t>
        </is>
      </c>
      <c r="B37" s="24" t="inlineStr">
        <is>
          <t>Common Humanity</t>
        </is>
      </c>
      <c r="C37" s="24" t="inlineStr">
        <is>
          <t>humanity</t>
        </is>
      </c>
      <c r="D37" s="24" t="inlineStr">
        <is>
          <t>Feeling you are not alone</t>
        </is>
      </c>
      <c r="E37" s="24" t="inlineStr">
        <is>
          <t>positive</t>
        </is>
      </c>
      <c r="F37" s="24" t="inlineStr">
        <is>
          <t>mean</t>
        </is>
      </c>
      <c r="G37" s="24" t="inlineStr"/>
      <c r="H37" s="24" t="inlineStr"/>
      <c r="I37" s="24" t="inlineStr">
        <is>
          <t>You see your struggles as part of being human.</t>
        </is>
      </c>
      <c r="J37" s="24" t="inlineStr">
        <is>
          <t>Your answers suggest your struggles feel like yours alone.</t>
        </is>
      </c>
      <c r="K37" s="24" t="inlineStr">
        <is>
          <t>Self compassion</t>
        </is>
      </c>
      <c r="L37" s="24" t="inlineStr">
        <is>
          <t>https://app.executiveframe.co.nz/hub/self-compassion</t>
        </is>
      </c>
      <c r="M37" s="24" t="inlineStr"/>
    </row>
    <row r="38">
      <c r="A38" s="24" t="inlineStr">
        <is>
          <t>SCS-SF</t>
        </is>
      </c>
      <c r="B38" s="24" t="inlineStr">
        <is>
          <t>Isolation</t>
        </is>
      </c>
      <c r="C38" s="24" t="inlineStr">
        <is>
          <t>isolation</t>
        </is>
      </c>
      <c r="D38" s="24" t="inlineStr">
        <is>
          <t>Feeling less isolated</t>
        </is>
      </c>
      <c r="E38" s="24" t="inlineStr">
        <is>
          <t>positive</t>
        </is>
      </c>
      <c r="F38" s="24" t="inlineStr">
        <is>
          <t>mean</t>
        </is>
      </c>
      <c r="G38" s="24" t="inlineStr"/>
      <c r="H38" s="24" t="inlineStr"/>
      <c r="I38" s="24" t="inlineStr">
        <is>
          <t>You tend not to feel cut off from others when things are hard.</t>
        </is>
      </c>
      <c r="J38" s="24" t="inlineStr">
        <is>
          <t>Your answers suggest you feel cut off from others when things are hard.</t>
        </is>
      </c>
      <c r="K38" s="24" t="inlineStr">
        <is>
          <t>Self compassion</t>
        </is>
      </c>
      <c r="L38" s="24" t="inlineStr">
        <is>
          <t>https://app.executiveframe.co.nz/hub/self-compassion</t>
        </is>
      </c>
      <c r="M38" s="24" t="inlineStr">
        <is>
          <t>Reverse scored, so higher is better.</t>
        </is>
      </c>
    </row>
    <row r="39">
      <c r="A39" s="24" t="inlineStr">
        <is>
          <t>SCS-SF</t>
        </is>
      </c>
      <c r="B39" s="24" t="inlineStr">
        <is>
          <t>Mindfulness</t>
        </is>
      </c>
      <c r="C39" s="24" t="inlineStr">
        <is>
          <t>mindfulness</t>
        </is>
      </c>
      <c r="D39" s="24" t="inlineStr">
        <is>
          <t>Keeping perspective</t>
        </is>
      </c>
      <c r="E39" s="24" t="inlineStr">
        <is>
          <t>positive</t>
        </is>
      </c>
      <c r="F39" s="24" t="inlineStr">
        <is>
          <t>mean</t>
        </is>
      </c>
      <c r="G39" s="24" t="inlineStr"/>
      <c r="H39" s="24" t="inlineStr"/>
      <c r="I39" s="24" t="inlineStr">
        <is>
          <t>You tend to keep feelings in perspective.</t>
        </is>
      </c>
      <c r="J39" s="24" t="inlineStr">
        <is>
          <t>Your answers suggest difficult feelings can crowd out perspective.</t>
        </is>
      </c>
      <c r="K39" s="24" t="inlineStr">
        <is>
          <t>Self compassion</t>
        </is>
      </c>
      <c r="L39" s="24" t="inlineStr">
        <is>
          <t>https://app.executiveframe.co.nz/hub/self-compassion</t>
        </is>
      </c>
      <c r="M39" s="24" t="inlineStr"/>
    </row>
    <row r="40">
      <c r="A40" s="24" t="inlineStr">
        <is>
          <t>SCS-SF</t>
        </is>
      </c>
      <c r="B40" s="24" t="inlineStr">
        <is>
          <t>Over-Identification</t>
        </is>
      </c>
      <c r="C40" s="24" t="inlineStr">
        <is>
          <t>overidentification</t>
        </is>
      </c>
      <c r="D40" s="24" t="inlineStr">
        <is>
          <t>Not getting swept up</t>
        </is>
      </c>
      <c r="E40" s="24" t="inlineStr">
        <is>
          <t>positive</t>
        </is>
      </c>
      <c r="F40" s="24" t="inlineStr">
        <is>
          <t>mean</t>
        </is>
      </c>
      <c r="G40" s="24" t="inlineStr"/>
      <c r="H40" s="24" t="inlineStr"/>
      <c r="I40" s="24" t="inlineStr">
        <is>
          <t>You tend not to get swept up in difficult feelings.</t>
        </is>
      </c>
      <c r="J40" s="24" t="inlineStr">
        <is>
          <t>Your answers suggest difficult feelings can sweep you up.</t>
        </is>
      </c>
      <c r="K40" s="24" t="inlineStr">
        <is>
          <t>Self compassion</t>
        </is>
      </c>
      <c r="L40" s="24" t="inlineStr">
        <is>
          <t>https://app.executiveframe.co.nz/hub/self-compassion</t>
        </is>
      </c>
      <c r="M40" s="24" t="inlineStr">
        <is>
          <t>Reverse scored, so higher is better.</t>
        </is>
      </c>
    </row>
    <row r="41">
      <c r="A41" s="24" t="inlineStr">
        <is>
          <t>BPNSFS</t>
        </is>
      </c>
      <c r="B41" s="24" t="inlineStr">
        <is>
          <t>Autonomy satisfaction</t>
        </is>
      </c>
      <c r="C41" s="24" t="inlineStr">
        <is>
          <t>autonomy-sat</t>
        </is>
      </c>
      <c r="D41" s="24" t="inlineStr">
        <is>
          <t>Feeling free to choose</t>
        </is>
      </c>
      <c r="E41" s="24" t="inlineStr">
        <is>
          <t>positive</t>
        </is>
      </c>
      <c r="F41" s="24" t="inlineStr">
        <is>
          <t>mean</t>
        </is>
      </c>
      <c r="G41" s="24" t="inlineStr"/>
      <c r="H41" s="24" t="inlineStr"/>
      <c r="I41" s="24" t="inlineStr">
        <is>
          <t>You feel free to choose how you live and work.</t>
        </is>
      </c>
      <c r="J41" s="24" t="inlineStr">
        <is>
          <t>Your answers suggest you do not feel free to choose how you live and work.</t>
        </is>
      </c>
      <c r="K41" s="24" t="inlineStr">
        <is>
          <t>Autonomy</t>
        </is>
      </c>
      <c r="L41" s="24" t="inlineStr">
        <is>
          <t>https://app.executiveframe.co.nz/hub/autonomy</t>
        </is>
      </c>
      <c r="M41" s="24" t="inlineStr"/>
    </row>
    <row r="42">
      <c r="A42" s="24" t="inlineStr">
        <is>
          <t>BPNSFS</t>
        </is>
      </c>
      <c r="B42" s="24" t="inlineStr">
        <is>
          <t>Autonomy frustration</t>
        </is>
      </c>
      <c r="C42" s="24" t="inlineStr">
        <is>
          <t>autonomy-frus</t>
        </is>
      </c>
      <c r="D42" s="24" t="inlineStr">
        <is>
          <t>Feeling pushed</t>
        </is>
      </c>
      <c r="E42" s="24" t="inlineStr">
        <is>
          <t>difficulty</t>
        </is>
      </c>
      <c r="F42" s="24" t="inlineStr">
        <is>
          <t>mean</t>
        </is>
      </c>
      <c r="G42" s="24" t="inlineStr"/>
      <c r="H42" s="24" t="inlineStr"/>
      <c r="I42" s="24" t="inlineStr">
        <is>
          <t>You do not feel pushed into things against your wishes.</t>
        </is>
      </c>
      <c r="J42" s="24" t="inlineStr">
        <is>
          <t>Feeling pushed into things came up often in your answers.</t>
        </is>
      </c>
      <c r="K42" s="24" t="inlineStr">
        <is>
          <t>Autonomy</t>
        </is>
      </c>
      <c r="L42" s="24" t="inlineStr">
        <is>
          <t>https://app.executiveframe.co.nz/hub/autonomy</t>
        </is>
      </c>
      <c r="M42" s="24" t="inlineStr"/>
    </row>
    <row r="43">
      <c r="A43" s="24" t="inlineStr">
        <is>
          <t>BPNSFS</t>
        </is>
      </c>
      <c r="B43" s="24" t="inlineStr">
        <is>
          <t>Relatedness satisfaction</t>
        </is>
      </c>
      <c r="C43" s="24" t="inlineStr">
        <is>
          <t>relatedness-sat</t>
        </is>
      </c>
      <c r="D43" s="24" t="inlineStr">
        <is>
          <t>Feeling connected</t>
        </is>
      </c>
      <c r="E43" s="24" t="inlineStr">
        <is>
          <t>positive</t>
        </is>
      </c>
      <c r="F43" s="24" t="inlineStr">
        <is>
          <t>mean</t>
        </is>
      </c>
      <c r="G43" s="24" t="inlineStr"/>
      <c r="H43" s="24" t="inlineStr"/>
      <c r="I43" s="24" t="inlineStr">
        <is>
          <t>You feel close to the people who matter to you.</t>
        </is>
      </c>
      <c r="J43" s="24" t="inlineStr">
        <is>
          <t>Your answers suggest you are not feeling close to the people who matter to you.</t>
        </is>
      </c>
      <c r="K43" s="24" t="inlineStr">
        <is>
          <t>Connection</t>
        </is>
      </c>
      <c r="L43" s="24" t="inlineStr">
        <is>
          <t>https://app.executiveframe.co.nz/hub/relatedness</t>
        </is>
      </c>
      <c r="M43" s="24" t="inlineStr"/>
    </row>
    <row r="44">
      <c r="A44" s="24" t="inlineStr">
        <is>
          <t>BPNSFS</t>
        </is>
      </c>
      <c r="B44" s="24" t="inlineStr">
        <is>
          <t>Relatedness frustration</t>
        </is>
      </c>
      <c r="C44" s="24" t="inlineStr">
        <is>
          <t>relatedness-frus</t>
        </is>
      </c>
      <c r="D44" s="24" t="inlineStr">
        <is>
          <t>Feeling left out</t>
        </is>
      </c>
      <c r="E44" s="24" t="inlineStr">
        <is>
          <t>difficulty</t>
        </is>
      </c>
      <c r="F44" s="24" t="inlineStr">
        <is>
          <t>mean</t>
        </is>
      </c>
      <c r="G44" s="24" t="inlineStr"/>
      <c r="H44" s="24" t="inlineStr"/>
      <c r="I44" s="24" t="inlineStr">
        <is>
          <t>You do not feel left out or distant from others.</t>
        </is>
      </c>
      <c r="J44" s="24" t="inlineStr">
        <is>
          <t>Feeling left out or distant from others came up often in your answers.</t>
        </is>
      </c>
      <c r="K44" s="24" t="inlineStr">
        <is>
          <t>Connection</t>
        </is>
      </c>
      <c r="L44" s="24" t="inlineStr">
        <is>
          <t>https://app.executiveframe.co.nz/hub/relatedness</t>
        </is>
      </c>
      <c r="M44" s="24" t="inlineStr"/>
    </row>
    <row r="45">
      <c r="A45" s="24" t="inlineStr">
        <is>
          <t>BPNSFS</t>
        </is>
      </c>
      <c r="B45" s="24" t="inlineStr">
        <is>
          <t>Competence satisfaction</t>
        </is>
      </c>
      <c r="C45" s="24" t="inlineStr">
        <is>
          <t>competence-sat</t>
        </is>
      </c>
      <c r="D45" s="24" t="inlineStr">
        <is>
          <t>Feeling capable</t>
        </is>
      </c>
      <c r="E45" s="24" t="inlineStr">
        <is>
          <t>positive</t>
        </is>
      </c>
      <c r="F45" s="24" t="inlineStr">
        <is>
          <t>mean</t>
        </is>
      </c>
      <c r="G45" s="24" t="inlineStr"/>
      <c r="H45" s="24" t="inlineStr"/>
      <c r="I45" s="24" t="inlineStr">
        <is>
          <t>You feel capable of what you set out to do.</t>
        </is>
      </c>
      <c r="J45" s="24" t="inlineStr">
        <is>
          <t>Your answers suggest you are not feeling capable of what you set out to do.</t>
        </is>
      </c>
      <c r="K45" s="24" t="inlineStr">
        <is>
          <t>Confidence</t>
        </is>
      </c>
      <c r="L45" s="24" t="inlineStr">
        <is>
          <t>https://app.executiveframe.co.nz/hub/competence</t>
        </is>
      </c>
      <c r="M45" s="24" t="inlineStr"/>
    </row>
    <row r="46">
      <c r="A46" s="24" t="inlineStr">
        <is>
          <t>BPNSFS</t>
        </is>
      </c>
      <c r="B46" s="24" t="inlineStr">
        <is>
          <t>Competence frustration</t>
        </is>
      </c>
      <c r="C46" s="24" t="inlineStr">
        <is>
          <t>competence-frus</t>
        </is>
      </c>
      <c r="D46" s="24" t="inlineStr">
        <is>
          <t>Doubting yourself</t>
        </is>
      </c>
      <c r="E46" s="24" t="inlineStr">
        <is>
          <t>difficulty</t>
        </is>
      </c>
      <c r="F46" s="24" t="inlineStr">
        <is>
          <t>mean</t>
        </is>
      </c>
      <c r="G46" s="24" t="inlineStr"/>
      <c r="H46" s="24" t="inlineStr"/>
      <c r="I46" s="24" t="inlineStr">
        <is>
          <t>You do not doubt your ability much.</t>
        </is>
      </c>
      <c r="J46" s="24" t="inlineStr">
        <is>
          <t>Doubting your ability came up often in your answers.</t>
        </is>
      </c>
      <c r="K46" s="24" t="inlineStr">
        <is>
          <t>Confidence</t>
        </is>
      </c>
      <c r="L46" s="24" t="inlineStr">
        <is>
          <t>https://app.executiveframe.co.nz/hub/competence</t>
        </is>
      </c>
      <c r="M46" s="24" t="inlineStr"/>
    </row>
    <row r="47">
      <c r="A47" s="24" t="inlineStr">
        <is>
          <t>PPS</t>
        </is>
      </c>
      <c r="B47" s="24" t="inlineStr">
        <is>
          <t>Pure Procrastination (total scale)</t>
        </is>
      </c>
      <c r="C47" s="24" t="inlineStr">
        <is>
          <t>total</t>
        </is>
      </c>
      <c r="D47" s="24" t="inlineStr">
        <is>
          <t>Putting things off</t>
        </is>
      </c>
      <c r="E47" s="24" t="inlineStr">
        <is>
          <t>difficulty</t>
        </is>
      </c>
      <c r="F47" s="24" t="inlineStr">
        <is>
          <t>mean</t>
        </is>
      </c>
      <c r="G47" s="24" t="inlineStr"/>
      <c r="H47" s="24" t="inlineStr"/>
      <c r="I47" s="24" t="inlineStr">
        <is>
          <t>Putting things off is not a big feature of how you work.</t>
        </is>
      </c>
      <c r="J47" s="24" t="inlineStr">
        <is>
          <t>Putting things off came up often in your answers.</t>
        </is>
      </c>
      <c r="K47" s="24" t="inlineStr">
        <is>
          <t>Getting started</t>
        </is>
      </c>
      <c r="L47" s="24" t="inlineStr">
        <is>
          <t>https://app.executiveframe.co.nz/hub/starting</t>
        </is>
      </c>
      <c r="M47" s="24" t="inlineStr"/>
    </row>
    <row r="48">
      <c r="A48" s="24" t="inlineStr">
        <is>
          <t>IPS</t>
        </is>
      </c>
      <c r="B48" s="24" t="inlineStr">
        <is>
          <t>Irrational Procrastination (total scale)</t>
        </is>
      </c>
      <c r="C48" s="24" t="inlineStr">
        <is>
          <t>total</t>
        </is>
      </c>
      <c r="D48" s="24" t="inlineStr">
        <is>
          <t>Delaying despite good intentions</t>
        </is>
      </c>
      <c r="E48" s="24" t="inlineStr">
        <is>
          <t>difficulty</t>
        </is>
      </c>
      <c r="F48" s="24" t="inlineStr">
        <is>
          <t>mean</t>
        </is>
      </c>
      <c r="G48" s="24" t="inlineStr"/>
      <c r="H48" s="24" t="inlineStr"/>
      <c r="I48" s="24" t="inlineStr">
        <is>
          <t>You mostly do what you intend to, when you intend to.</t>
        </is>
      </c>
      <c r="J48" s="24" t="inlineStr">
        <is>
          <t>Delaying things you meant to do came up often in your answers.</t>
        </is>
      </c>
      <c r="K48" s="24" t="inlineStr">
        <is>
          <t>Getting started</t>
        </is>
      </c>
      <c r="L48" s="24" t="inlineStr">
        <is>
          <t>https://app.executiveframe.co.nz/hub/starting</t>
        </is>
      </c>
      <c r="M48" s="24" t="inlineStr"/>
    </row>
    <row r="49">
      <c r="A49" s="24" t="inlineStr">
        <is>
          <t>GSE</t>
        </is>
      </c>
      <c r="B49" s="24" t="inlineStr">
        <is>
          <t>General Self-Efficacy (total scale)</t>
        </is>
      </c>
      <c r="C49" s="24" t="inlineStr">
        <is>
          <t>total</t>
        </is>
      </c>
      <c r="D49" s="24" t="inlineStr">
        <is>
          <t>Confidence in handling challenges</t>
        </is>
      </c>
      <c r="E49" s="24" t="inlineStr">
        <is>
          <t>positive</t>
        </is>
      </c>
      <c r="F49" s="24" t="inlineStr">
        <is>
          <t>mean</t>
        </is>
      </c>
      <c r="G49" s="24" t="inlineStr"/>
      <c r="H49" s="24" t="inlineStr"/>
      <c r="I49" s="24" t="inlineStr">
        <is>
          <t>You feel confident you can handle what comes your way.</t>
        </is>
      </c>
      <c r="J49" s="24" t="inlineStr">
        <is>
          <t>Your answers suggest you are not feeling confident about handling what comes your way.</t>
        </is>
      </c>
      <c r="K49" s="24" t="inlineStr">
        <is>
          <t>Confidence</t>
        </is>
      </c>
      <c r="L49" s="24" t="inlineStr">
        <is>
          <t>https://app.executiveframe.co.nz/hub/competence</t>
        </is>
      </c>
      <c r="M49" s="24" t="inlineStr"/>
    </row>
    <row r="50">
      <c r="A50" s="24" t="inlineStr">
        <is>
          <t>GCS</t>
        </is>
      </c>
      <c r="B50" s="24" t="inlineStr">
        <is>
          <t>Goal Commitment</t>
        </is>
      </c>
      <c r="C50" s="24" t="inlineStr">
        <is>
          <t>total</t>
        </is>
      </c>
      <c r="D50" s="24" t="inlineStr">
        <is>
          <t>Commitment to your goal</t>
        </is>
      </c>
      <c r="E50" s="24" t="inlineStr">
        <is>
          <t>positive</t>
        </is>
      </c>
      <c r="F50" s="24" t="inlineStr">
        <is>
          <t>mean</t>
        </is>
      </c>
      <c r="G50" s="24" t="inlineStr"/>
      <c r="H50" s="24" t="inlineStr"/>
      <c r="I50" s="24" t="inlineStr">
        <is>
          <t>You are firmly committed to the goal you named.</t>
        </is>
      </c>
      <c r="J50" s="24" t="inlineStr">
        <is>
          <t>Your answers suggest your commitment to the goal you named is wavering.</t>
        </is>
      </c>
      <c r="K50" s="24" t="inlineStr">
        <is>
          <t>Goals</t>
        </is>
      </c>
      <c r="L50" s="24" t="inlineStr">
        <is>
          <t>https://app.executiveframe.co.nz/hub/goals</t>
        </is>
      </c>
      <c r="M50" s="24" t="inlineStr"/>
    </row>
    <row r="51">
      <c r="A51" s="24" t="inlineStr">
        <is>
          <t>GADJ</t>
        </is>
      </c>
      <c r="B51" s="24" t="inlineStr">
        <is>
          <t>Goal Disengagement</t>
        </is>
      </c>
      <c r="C51" s="24" t="inlineStr">
        <is>
          <t>disengagement</t>
        </is>
      </c>
      <c r="D51" s="24" t="inlineStr">
        <is>
          <t>Letting go of goals</t>
        </is>
      </c>
      <c r="E51" s="24" t="inlineStr">
        <is>
          <t>none</t>
        </is>
      </c>
      <c r="F51" s="24" t="inlineStr">
        <is>
          <t>mean</t>
        </is>
      </c>
      <c r="G51" s="24" t="inlineStr"/>
      <c r="H51" s="24" t="inlineStr"/>
      <c r="I51" s="24" t="inlineStr"/>
      <c r="J51" s="24" t="inlineStr"/>
      <c r="K51" s="24" t="inlineStr"/>
      <c r="L51" s="24" t="inlineStr"/>
      <c r="M51" s="24" t="inlineStr">
        <is>
          <t>Neither high nor low is better in itself; numbers only.</t>
        </is>
      </c>
    </row>
    <row r="52">
      <c r="A52" s="24" t="inlineStr">
        <is>
          <t>GADJ</t>
        </is>
      </c>
      <c r="B52" s="24" t="inlineStr">
        <is>
          <t>Goal Reengagement</t>
        </is>
      </c>
      <c r="C52" s="24" t="inlineStr">
        <is>
          <t>reengagement</t>
        </is>
      </c>
      <c r="D52" s="24" t="inlineStr">
        <is>
          <t>Finding new goals</t>
        </is>
      </c>
      <c r="E52" s="24" t="inlineStr">
        <is>
          <t>positive</t>
        </is>
      </c>
      <c r="F52" s="24" t="inlineStr">
        <is>
          <t>mean</t>
        </is>
      </c>
      <c r="G52" s="24" t="inlineStr"/>
      <c r="H52" s="24" t="inlineStr"/>
      <c r="I52" s="24" t="inlineStr">
        <is>
          <t>When a goal is out of reach you find new ones to pursue.</t>
        </is>
      </c>
      <c r="J52" s="24" t="inlineStr">
        <is>
          <t>Your answers suggest it is hard to find new goals when one is out of reach.</t>
        </is>
      </c>
      <c r="K52" s="24" t="inlineStr">
        <is>
          <t>Goals</t>
        </is>
      </c>
      <c r="L52" s="24" t="inlineStr">
        <is>
          <t>https://app.executiveframe.co.nz/hub/goals</t>
        </is>
      </c>
      <c r="M52" s="24" t="inlineStr"/>
    </row>
  </sheetData>
  <autoFilter ref="A1:M5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5" customWidth="1" style="17" min="1" max="1"/>
    <col width="34" customWidth="1" style="17" min="2" max="2"/>
    <col width="12" customWidth="1" style="17" min="3" max="3"/>
    <col width="24" customWidth="1" style="17" min="4" max="4"/>
    <col width="44" customWidth="1" style="17" min="5" max="5"/>
    <col width="7" customWidth="1" style="17" min="6" max="6"/>
    <col width="16" customWidth="1" style="17" min="7" max="7"/>
    <col width="12" customWidth="1" style="17" min="8" max="8"/>
    <col width="8" customWidth="1" style="17" min="9" max="9"/>
    <col width="30" customWidth="1" style="17" min="10" max="10"/>
    <col width="30" customWidth="1" style="17" min="11" max="11"/>
    <col width="40" customWidth="1" style="17" min="12" max="12"/>
    <col width="34" customWidth="1" style="17" min="13" max="13"/>
    <col width="30" customWidth="1" style="17" min="14" max="14"/>
    <col width="16" customWidth="1" style="17" min="15" max="15"/>
    <col width="30" customWidth="1" style="17" min="16" max="16"/>
    <col width="18" customWidth="1" style="17" min="17" max="17"/>
    <col width="14" customWidth="1" style="17" min="18" max="18"/>
    <col width="40" customWidth="1" style="17" min="19" max="19"/>
    <col width="40" customWidth="1" style="17" min="20" max="20"/>
  </cols>
  <sheetData>
    <row r="1">
      <c r="A1" s="23" t="inlineStr">
        <is>
          <t>#</t>
        </is>
      </c>
      <c r="B1" s="23" t="inlineStr">
        <is>
          <t>Instrument</t>
        </is>
      </c>
      <c r="C1" s="23" t="inlineStr">
        <is>
          <t>Code</t>
        </is>
      </c>
      <c r="D1" s="23" t="inlineStr">
        <is>
          <t>NovoPsych categories</t>
        </is>
      </c>
      <c r="E1" s="23" t="inlineStr">
        <is>
          <t>What it measures</t>
        </is>
      </c>
      <c r="F1" s="23" t="inlineStr">
        <is>
          <t>Items</t>
        </is>
      </c>
      <c r="G1" s="23" t="inlineStr">
        <is>
          <t>Respondent</t>
        </is>
      </c>
      <c r="H1" s="23" t="inlineStr">
        <is>
          <t>Age range</t>
        </is>
      </c>
      <c r="I1" s="23" t="inlineStr">
        <is>
          <t>Minutes</t>
        </is>
      </c>
      <c r="J1" s="23" t="inlineStr">
        <is>
          <t>Subscales</t>
        </is>
      </c>
      <c r="K1" s="23" t="inlineStr">
        <is>
          <t>Response scale (as fetched)</t>
        </is>
      </c>
      <c r="L1" s="23" t="inlineStr">
        <is>
          <t>Scoring (as fetched)</t>
        </is>
      </c>
      <c r="M1" s="23" t="inlineStr">
        <is>
          <t>Citation (as fetched)</t>
        </is>
      </c>
      <c r="N1" s="23" t="inlineStr">
        <is>
          <t>Copyright text on page</t>
        </is>
      </c>
      <c r="O1" s="23" t="inlineStr">
        <is>
          <t>Availability (as fetched)</t>
        </is>
      </c>
      <c r="P1" s="23" t="inlineStr">
        <is>
          <t>Hub relevance (suggested)</t>
        </is>
      </c>
      <c r="Q1" s="23" t="inlineStr">
        <is>
          <t>Licence confirmed (to fill in)</t>
        </is>
      </c>
      <c r="R1" s="23" t="inlineStr">
        <is>
          <t>Decision (add / skip)</t>
        </is>
      </c>
      <c r="S1" s="23" t="inlineStr">
        <is>
          <t>Notes</t>
        </is>
      </c>
      <c r="T1" s="23" t="inlineStr">
        <is>
          <t>URL</t>
        </is>
      </c>
    </row>
    <row r="2">
      <c r="A2" s="24" t="n">
        <v>1</v>
      </c>
      <c r="B2" s="24" t="inlineStr">
        <is>
          <t>Adult ADHD Self-Report Scale (ASRS v1.1)</t>
        </is>
      </c>
      <c r="C2" s="24" t="inlineStr">
        <is>
          <t>ASRS</t>
        </is>
      </c>
      <c r="D2" s="24" t="inlineStr">
        <is>
          <t>ADHD, Diagnosis</t>
        </is>
      </c>
      <c r="E2" s="24" t="inlineStr">
        <is>
          <t>Screens for ADHD symptoms in adults, aligned to DSM criteria.</t>
        </is>
      </c>
      <c r="F2" s="24" t="n">
        <v>18</v>
      </c>
      <c r="G2" s="24" t="inlineStr">
        <is>
          <t>Self report</t>
        </is>
      </c>
      <c r="H2" s="24" t="inlineStr">
        <is>
          <t>18+</t>
        </is>
      </c>
      <c r="I2" s="24" t="n">
        <v>3</v>
      </c>
      <c r="J2" s="24" t="inlineStr">
        <is>
          <t>Part A (screener, 6 items), Part B (12 items), Inattentiveness, Motor Hyperactivity/Impulsivity, Verbal Hyperactivity</t>
        </is>
      </c>
      <c r="K2" s="24" t="inlineStr">
        <is>
          <t>5 point, scored 0 to 4 (anchor labels not stated); original version dichotomous 0 or 1</t>
        </is>
      </c>
      <c r="L2" s="24" t="inlineStr">
        <is>
          <t>Items scored 0 to 4 and summed; higher scores indicate more symptoms. Part A of 14 or above is the recommended ADHD cut off; total of 40 or above (79th percentile) typically indicates ADHD; Part B of 27 or above is clinically significant.</t>
        </is>
      </c>
      <c r="M2" s="24" t="inlineStr">
        <is>
          <t>Kessler et al. (2005), based on the WHO Composite International Diagnostic Interview (2001); validation Brevik et al. (2020); norms Adler et al. (2018). Journals not given.</t>
        </is>
      </c>
      <c r="N2" s="24" t="inlineStr">
        <is>
          <t>No copyright, licensing, permission or free to use statement on the page</t>
        </is>
      </c>
      <c r="O2" s="24" t="inlineStr">
        <is>
          <t>not stated</t>
        </is>
      </c>
      <c r="P2" s="24" t="inlineStr">
        <is>
          <t>Already in codebook</t>
        </is>
      </c>
      <c r="Q2" s="24" t="inlineStr"/>
      <c r="R2" s="24" t="inlineStr"/>
      <c r="S2" s="24" t="inlineStr">
        <is>
          <t>Factor structure from Stanton et al. (2018). Page gives no licensing statement.</t>
        </is>
      </c>
      <c r="T2" s="24" t="inlineStr">
        <is>
          <t>https://novopsych.com/assessments/diagnosis/adult-adhd-self-report-scale-asrs/</t>
        </is>
      </c>
    </row>
    <row r="3">
      <c r="A3" s="24" t="n">
        <v>2</v>
      </c>
      <c r="B3" s="24" t="inlineStr">
        <is>
          <t>Adult ADHD Observer-Report Scale</t>
        </is>
      </c>
      <c r="C3" s="24" t="inlineStr">
        <is>
          <t>ASRS-O</t>
        </is>
      </c>
      <c r="D3" s="24" t="inlineStr">
        <is>
          <t>ADHD, Diagnosis</t>
        </is>
      </c>
      <c r="E3" s="24" t="inlineStr">
        <is>
          <t>Informant rated observations of adult ADHD symptoms over the past 6 months, complementing the self report ASRS.</t>
        </is>
      </c>
      <c r="F3" s="24" t="n">
        <v>18</v>
      </c>
      <c r="G3" s="24" t="inlineStr">
        <is>
          <t>Informant (partner, parent, relative, friend) or clinician who has regularly observed the adult</t>
        </is>
      </c>
      <c r="H3" s="24" t="inlineStr">
        <is>
          <t>18+</t>
        </is>
      </c>
      <c r="I3" s="24" t="n">
        <v>3</v>
      </c>
      <c r="J3" s="24" t="inlineStr">
        <is>
          <t>Inattentiveness, Hyperactivity/Impulsivity (motor and verbal components)</t>
        </is>
      </c>
      <c r="K3" s="24" t="inlineStr">
        <is>
          <t>Not stated; frequency rating over the past 6 months</t>
        </is>
      </c>
      <c r="L3" s="24" t="inlineStr">
        <is>
          <t>Total and 2 subscale scores produced; method and direction not stated. NovoPsych applies the self report ASRS screener thresholds as reference points, noting these are not validated for observer ratings.</t>
        </is>
      </c>
      <c r="M3" s="24" t="inlineStr">
        <is>
          <t>No developer citation given; background references American Psychiatric Association (2022), Sibley et al. (2012), Achenbach et al. (2005).</t>
        </is>
      </c>
      <c r="N3" s="24" t="inlineStr">
        <is>
          <t>No copyright, licensing, permission or free to use statement on the page</t>
        </is>
      </c>
      <c r="O3" s="24" t="inlineStr">
        <is>
          <t>not stated</t>
        </is>
      </c>
      <c r="P3" s="24" t="inlineStr">
        <is>
          <t>Out of scope for the hub (not self report)</t>
        </is>
      </c>
      <c r="Q3" s="24" t="inlineStr"/>
      <c r="R3" s="24" t="inlineStr"/>
      <c r="S3" s="24" t="inlineStr">
        <is>
          <t>Observer adaptation appears to be a NovoPsych construction; no original publication cited.</t>
        </is>
      </c>
      <c r="T3" s="24" t="inlineStr">
        <is>
          <t>https://novopsych.com/assessments/diagnosis/adult-adhd-observer-report-scale-asrs-o/</t>
        </is>
      </c>
    </row>
    <row r="4">
      <c r="A4" s="24" t="n">
        <v>3</v>
      </c>
      <c r="B4" s="24" t="inlineStr">
        <is>
          <t>Depression Anxiety Stress Scales – Short Form</t>
        </is>
      </c>
      <c r="C4" s="24" t="inlineStr">
        <is>
          <t>DASS-21</t>
        </is>
      </c>
      <c r="D4" s="24" t="inlineStr">
        <is>
          <t>Anxiety, Depression, Outcome monitoring</t>
        </is>
      </c>
      <c r="E4" s="24" t="inlineStr">
        <is>
          <t>Measures general psychological distress and symptoms of depression, anxiety and stress over the past week.</t>
        </is>
      </c>
      <c r="F4" s="24" t="n">
        <v>21</v>
      </c>
      <c r="G4" s="24" t="inlineStr">
        <is>
          <t>Self report</t>
        </is>
      </c>
      <c r="H4" s="24" t="inlineStr">
        <is>
          <t>17+</t>
        </is>
      </c>
      <c r="I4" s="24" t="n">
        <v>4</v>
      </c>
      <c r="J4" s="24" t="inlineStr">
        <is>
          <t>Depression, Anxiety, Stress, Total Distress</t>
        </is>
      </c>
      <c r="K4" s="24" t="inlineStr">
        <is>
          <t>Not stated on the page</t>
        </is>
      </c>
      <c r="L4" s="24" t="inlineStr">
        <is>
          <t>Each subscale is the sum of its 7 items, doubled to apply DASS-42 severity bands (e.g. Depression Normal 0 to 9, Extremely Severe 28+); higher scores indicate greater severity. Percentiles against a non clinical adult sample.</t>
        </is>
      </c>
      <c r="M4" s="24" t="inlineStr">
        <is>
          <t>Lovibond, S.H., &amp; Lovibond, P.F. (1995). Manual for the Depression Anxiety Stress Scales (2nd ed.). Psychology Foundation, Sydney.</t>
        </is>
      </c>
      <c r="N4" s="24" t="inlineStr">
        <is>
          <t>© 2026 Copyright – NovoPsych – All rights reserved (site wide footer; no instrument specific statement on the page); page also states: "For full interpretive information please purchase the DASS manual"</t>
        </is>
      </c>
      <c r="O4" s="24" t="inlineStr">
        <is>
          <t>not stated</t>
        </is>
      </c>
      <c r="P4" s="24" t="inlineStr">
        <is>
          <t>Already in codebook</t>
        </is>
      </c>
      <c r="Q4" s="24" t="inlineStr"/>
      <c r="R4" s="24" t="inlineStr"/>
      <c r="S4" s="24" t="inlineStr">
        <is>
          <t>No instrument level licence statement; the DASS is widely described as public domain elsewhere but the page does not say so.</t>
        </is>
      </c>
      <c r="T4" s="24" t="inlineStr">
        <is>
          <t>https://novopsych.com/assessments/depression/depression-anxiety-stress-scales-short-form-dass-21/</t>
        </is>
      </c>
    </row>
    <row r="5">
      <c r="A5" s="24" t="n">
        <v>4</v>
      </c>
      <c r="B5" s="24" t="inlineStr">
        <is>
          <t>Multilevel Assessment of Psychopathology</t>
        </is>
      </c>
      <c r="C5" s="24" t="inlineStr">
        <is>
          <t>MAPsy</t>
        </is>
      </c>
      <c r="D5" s="24" t="inlineStr">
        <is>
          <t>Formulation</t>
        </is>
      </c>
      <c r="E5" s="24" t="inlineStr">
        <is>
          <t>Broad self report of DSM-5 disorder symptoms via 41 disorder scales and 127 dimensions of an empirically derived hierarchy of psychopathology.</t>
        </is>
      </c>
      <c r="F5" s="24" t="n">
        <v>154</v>
      </c>
      <c r="G5" s="24" t="inlineStr">
        <is>
          <t>Self report</t>
        </is>
      </c>
      <c r="H5" s="24" t="inlineStr">
        <is>
          <t>16+</t>
        </is>
      </c>
      <c r="I5" s="24" t="n">
        <v>20</v>
      </c>
      <c r="J5" s="24" t="inlineStr">
        <is>
          <t>41 disorder scales, 127 hierarchy dimensions across 9 broad spectra (spectra, subfactors, clusters), 23 personality facets, 7 personality disorder scales, Harmful Substance Use spectrum and 3 substance use checklist clusters</t>
        </is>
      </c>
      <c r="K5" s="24" t="inlineStr">
        <is>
          <t>Not stated on the page</t>
        </is>
      </c>
      <c r="L5" s="24" t="inlineStr">
        <is>
          <t>Scores compared with percentiles from a mental health reference sample and assigned to severity bands including Elevated and Clinically Significant; hierarchy thresholds are sums of item thresholds. Sum or mean method not stated.</t>
        </is>
      </c>
      <c r="M5" s="24" t="inlineStr">
        <is>
          <t>No developer citation; framework references Kotov et al. (2017) and Forbes et al. (2025). Page author Simon Baker, PhD, NovoPsych.</t>
        </is>
      </c>
      <c r="N5" s="24" t="inlineStr">
        <is>
          <t>No copyright, licensing, permission or free to use statement on the page</t>
        </is>
      </c>
      <c r="O5" s="24" t="inlineStr">
        <is>
          <t>not stated</t>
        </is>
      </c>
      <c r="P5" s="24" t="inlineStr">
        <is>
          <t>Shortlist: screening or clinical (Sarah only if used)</t>
        </is>
      </c>
      <c r="Q5" s="24" t="inlineStr"/>
      <c r="R5" s="24" t="inlineStr"/>
      <c r="S5" s="24" t="inlineStr">
        <is>
          <t>Appears to be a NovoPsych developed instrument offered under Professional Access, but the page does not state ownership.</t>
        </is>
      </c>
      <c r="T5" s="24" t="inlineStr">
        <is>
          <t>https://novopsych.com/assessments/formulation/multilevel-assessment-of-psychopathology-mapsy/</t>
        </is>
      </c>
    </row>
    <row r="6">
      <c r="A6" s="24" t="n">
        <v>5</v>
      </c>
      <c r="B6" s="24" t="inlineStr">
        <is>
          <t>PTSD Checklist for DSM-5</t>
        </is>
      </c>
      <c r="C6" s="24" t="inlineStr">
        <is>
          <t>PCL-5</t>
        </is>
      </c>
      <c r="D6" s="24" t="inlineStr">
        <is>
          <t>Diagnosis, Trauma</t>
        </is>
      </c>
      <c r="E6" s="24" t="inlineStr">
        <is>
          <t>Measures adult PTSD symptoms over the past month mapped to the DSM-5 criteria.</t>
        </is>
      </c>
      <c r="F6" s="24" t="n">
        <v>20</v>
      </c>
      <c r="G6" s="24" t="inlineStr">
        <is>
          <t>Self report</t>
        </is>
      </c>
      <c r="H6" s="24" t="inlineStr">
        <is>
          <t>18+</t>
        </is>
      </c>
      <c r="I6" s="24" t="n">
        <v>3</v>
      </c>
      <c r="J6" s="24" t="inlineStr">
        <is>
          <t>Re-experiencing, Avoidance, Negative alterations in cognition and mood, Hyperarousal</t>
        </is>
      </c>
      <c r="K6" s="24" t="inlineStr">
        <is>
          <t>5 point, 0 to 4 (anchor labels not stated)</t>
        </is>
      </c>
      <c r="L6" s="24" t="inlineStr">
        <is>
          <t>Items summed to a total of 0 to 80, higher indicating more symptoms; 33 cited as the commonly used cut off. Cluster scores averaged on the 0 to 4 scale; a 12 point change is clinically meaningful.</t>
        </is>
      </c>
      <c r="M6" s="24" t="inlineStr">
        <is>
          <t>Weathers, F.W., Litz, B.T., Keane, T.M., Palmieri, P.A., Marx, B.P., &amp; Schnurr, P.P. (2013). The PTSD Checklist for DSM-5 (PCL-5). National Center for PTSD, www.ptsd.va.gov.</t>
        </is>
      </c>
      <c r="N6" s="24" t="inlineStr">
        <is>
          <t>© 2026 Copyright – NovoPsych – All rights reserved (site wide footer; no instrument specific statement on the page); video transcript states: "Developed by the VA's National Center for PTSD, it is well validated, widely used, and free."</t>
        </is>
      </c>
      <c r="O6" s="24" t="inlineStr">
        <is>
          <t>free, copyright held by authors</t>
        </is>
      </c>
      <c r="P6" s="24" t="inlineStr">
        <is>
          <t>Shortlist: screening or clinical (Sarah only if used)</t>
        </is>
      </c>
      <c r="Q6" s="24" t="inlineStr"/>
      <c r="R6" s="24" t="inlineStr"/>
      <c r="S6" s="24" t="inlineStr">
        <is>
          <t>Only free statement is in the video transcript; page does not use the words public domain.</t>
        </is>
      </c>
      <c r="T6" s="24" t="inlineStr">
        <is>
          <t>https://novopsych.com/assessments/diagnosis/ptsd-checklist-5-pcl-5/</t>
        </is>
      </c>
    </row>
    <row r="7">
      <c r="A7" s="24" t="n">
        <v>6</v>
      </c>
      <c r="B7" s="24" t="inlineStr">
        <is>
          <t>Generalised Anxiety Disorder Assessment</t>
        </is>
      </c>
      <c r="C7" s="24" t="inlineStr">
        <is>
          <t>GAD-7</t>
        </is>
      </c>
      <c r="D7" s="24" t="inlineStr">
        <is>
          <t>Anxiety, Outcome monitoring</t>
        </is>
      </c>
      <c r="E7" s="24" t="inlineStr">
        <is>
          <t>Screens for anxiety symptoms based on the DSM criteria for generalised anxiety disorder.</t>
        </is>
      </c>
      <c r="F7" s="24" t="n"/>
      <c r="G7" s="24" t="inlineStr">
        <is>
          <t>Not stated (self report by convention)</t>
        </is>
      </c>
      <c r="H7" s="24" t="inlineStr">
        <is>
          <t>12+</t>
        </is>
      </c>
      <c r="I7" s="24" t="n">
        <v>1</v>
      </c>
      <c r="J7" s="24" t="inlineStr"/>
      <c r="K7" s="24" t="inlineStr">
        <is>
          <t>Not stated on the page</t>
        </is>
      </c>
      <c r="L7" s="24" t="inlineStr">
        <is>
          <t>Not available; scoring section empty in fetched content.</t>
        </is>
      </c>
      <c r="M7" s="24" t="inlineStr">
        <is>
          <t>Spitzer, R. L., Kroenke, K., Williams, J. B., &amp; Löwe, B. (2006). A brief measure for assessing generalized anxiety disorder: the GAD-7. Archives of Internal Medicine, 166(10), 1092-1097.</t>
        </is>
      </c>
      <c r="N7" s="24" t="inlineStr">
        <is>
          <t>© 2026 Copyright – NovoPsych – All rights reserved (site wide footer; no instrument specific statement on the page)</t>
        </is>
      </c>
      <c r="O7" s="24" t="inlineStr">
        <is>
          <t>not stated</t>
        </is>
      </c>
      <c r="P7" s="24" t="inlineStr">
        <is>
          <t>Shortlist: coaching and wellbeing (client facing possible)</t>
        </is>
      </c>
      <c r="Q7" s="24" t="inlineStr"/>
      <c r="R7" s="24" t="inlineStr"/>
      <c r="S7" s="24" t="inlineStr">
        <is>
          <t>Scoring and Interpretation and Psychometric sections are rendered client side and were not visible to the fetcher. Item count (7) implied by the name but not stated in fetched text.</t>
        </is>
      </c>
      <c r="T7" s="24" t="inlineStr">
        <is>
          <t>https://novopsych.com/assessments/anxiety/generalised-anxiety-disorder-assessment-gad-7/</t>
        </is>
      </c>
    </row>
    <row r="8">
      <c r="A8" s="24" t="n">
        <v>7</v>
      </c>
      <c r="B8" s="24" t="inlineStr">
        <is>
          <t>Patient Health Questionnaire – Depression</t>
        </is>
      </c>
      <c r="C8" s="24" t="inlineStr">
        <is>
          <t>PHQ-9</t>
        </is>
      </c>
      <c r="D8" s="24" t="inlineStr">
        <is>
          <t>Depression, Outcome monitoring</t>
        </is>
      </c>
      <c r="E8" s="24" t="inlineStr">
        <is>
          <t>Screens for depression and monitors treatment response, originally for primary care.</t>
        </is>
      </c>
      <c r="F8" s="24" t="n">
        <v>9</v>
      </c>
      <c r="G8" s="24" t="inlineStr">
        <is>
          <t>Not stated (self report by convention)</t>
        </is>
      </c>
      <c r="H8" s="24" t="inlineStr">
        <is>
          <t>13+</t>
        </is>
      </c>
      <c r="I8" s="24" t="n">
        <v>2</v>
      </c>
      <c r="J8" s="24" t="inlineStr"/>
      <c r="K8" s="24" t="inlineStr">
        <is>
          <t>Not stated on the page</t>
        </is>
      </c>
      <c r="L8" s="24" t="inlineStr">
        <is>
          <t>Not available; scoring section empty in fetched content.</t>
        </is>
      </c>
      <c r="M8" s="24" t="inlineStr">
        <is>
          <t>Kroenke, K., Spitzer, R. L., &amp; Williams, J. B. W. (2001). The PHQ-9. Journal of General Internal Medicine, 16(9), 606-613. https://doi.org/10.1046/j.1525-1497.2001.016009606.x</t>
        </is>
      </c>
      <c r="N8" s="24" t="inlineStr">
        <is>
          <t>© 2026 Copyright – NovoPsych – All rights reserved (site wide footer; no instrument specific statement on the page)</t>
        </is>
      </c>
      <c r="O8" s="24" t="inlineStr">
        <is>
          <t>not stated</t>
        </is>
      </c>
      <c r="P8" s="24" t="inlineStr">
        <is>
          <t>Shortlist: coaching and wellbeing (client facing possible)</t>
        </is>
      </c>
      <c r="Q8" s="24" t="inlineStr"/>
      <c r="R8" s="24" t="inlineStr"/>
      <c r="S8" s="24" t="inlineStr">
        <is>
          <t>Scoring and Interpretation and Psychometric sections are rendered client side and were not visible to the fetcher. Page offers a PDF download and Administer Now with no terms of use.</t>
        </is>
      </c>
      <c r="T8" s="24" t="inlineStr">
        <is>
          <t>https://novopsych.com/assessments/depression/patient-health-questionnaire-depression-phq-9/</t>
        </is>
      </c>
    </row>
    <row r="9">
      <c r="A9" s="24" t="n">
        <v>8</v>
      </c>
      <c r="B9" s="24" t="inlineStr">
        <is>
          <t>Autism Spectrum Quotient</t>
        </is>
      </c>
      <c r="C9" s="24" t="inlineStr">
        <is>
          <t>AQ</t>
        </is>
      </c>
      <c r="D9" s="24" t="inlineStr">
        <is>
          <t>Autism, Diagnosis</t>
        </is>
      </c>
      <c r="E9" s="24" t="inlineStr">
        <is>
          <t>Measures autistic traits in adults and adolescents aged 16 and over.</t>
        </is>
      </c>
      <c r="F9" s="24" t="n">
        <v>50</v>
      </c>
      <c r="G9" s="24" t="inlineStr">
        <is>
          <t>Self report</t>
        </is>
      </c>
      <c r="H9" s="24" t="inlineStr">
        <is>
          <t>16+</t>
        </is>
      </c>
      <c r="I9" s="24" t="n">
        <v>8</v>
      </c>
      <c r="J9" s="24" t="inlineStr"/>
      <c r="K9" s="24" t="inlineStr">
        <is>
          <t>Not stated on the page</t>
        </is>
      </c>
      <c r="L9" s="24" t="inlineStr">
        <is>
          <t>Not available; scoring section empty in fetched content.</t>
        </is>
      </c>
      <c r="M9" s="24" t="inlineStr">
        <is>
          <t>Baron-Cohen, S., Wheelwright, S., Skinner, R., Martin, J., &amp; Clubley, E. (2001). The Autism-Spectrum Quotient (AQ). Journal of Autism and Developmental Disorders, 31(1), 5-17.</t>
        </is>
      </c>
      <c r="N9" s="24" t="inlineStr">
        <is>
          <t>© 2026 Copyright – NovoPsych – All rights reserved (site wide footer; no instrument specific statement on the page)</t>
        </is>
      </c>
      <c r="O9" s="24" t="inlineStr">
        <is>
          <t>not stated</t>
        </is>
      </c>
      <c r="P9" s="24" t="inlineStr">
        <is>
          <t>Shortlist: screening or clinical (Sarah only if used)</t>
        </is>
      </c>
      <c r="Q9" s="24" t="inlineStr"/>
      <c r="R9" s="24" t="inlineStr"/>
      <c r="S9" s="24" t="inlineStr">
        <is>
          <t>Scoring and Interpretation and Psychometric sections are rendered client side and were not visible to the fetcher. Psychometric references listed (Ruzich et al. 2015; Broadbent et al. 2013; Woodbury-Smith et al. 2005) without figures.</t>
        </is>
      </c>
      <c r="T9" s="24" t="inlineStr">
        <is>
          <t>https://novopsych.com/assessments/diagnosis/autism-spectrum-quotient/</t>
        </is>
      </c>
    </row>
    <row r="10">
      <c r="A10" s="24" t="n">
        <v>9</v>
      </c>
      <c r="B10" s="24" t="inlineStr">
        <is>
          <t>Executive Skills Questionnaire – Revised</t>
        </is>
      </c>
      <c r="C10" s="24" t="inlineStr">
        <is>
          <t>ESQ-R</t>
        </is>
      </c>
      <c r="D10" s="24" t="inlineStr">
        <is>
          <t>ADHD, Autism, Formulation</t>
        </is>
      </c>
      <c r="E10" s="24" t="inlineStr">
        <is>
          <t>Measures executive functioning skills including planning, time management, organisation, and emotional and behavioural regulation.</t>
        </is>
      </c>
      <c r="F10" s="24" t="n">
        <v>25</v>
      </c>
      <c r="G10" s="24" t="inlineStr">
        <is>
          <t>Self report</t>
        </is>
      </c>
      <c r="H10" s="24" t="inlineStr">
        <is>
          <t>14+</t>
        </is>
      </c>
      <c r="I10" s="24" t="n">
        <v>5</v>
      </c>
      <c r="J10" s="24" t="inlineStr"/>
      <c r="K10" s="24" t="inlineStr">
        <is>
          <t>Not stated on the page</t>
        </is>
      </c>
      <c r="L10" s="24" t="inlineStr">
        <is>
          <t>Not available; scoring section empty in fetched content.</t>
        </is>
      </c>
      <c r="M10" s="24" t="inlineStr">
        <is>
          <t>Strait, J. E., Dawson, P., Walther, C. A. P., Strait, G. G., Barton, A. K., &amp; McClain, M. B. (2020). Refinement and psychometric evaluation of the Executive Skills Questionnaire-Revised. Contemporary School Psychology, 24, 378-388.</t>
        </is>
      </c>
      <c r="N10" s="24" t="inlineStr">
        <is>
          <t>"included on NovoPsych with permission from Dr. Peg Dawson at Smart But Scattered Kids"; plus © 2026 Copyright – NovoPsych – All rights reserved (site wide footer; no instrument specific statement on the page)</t>
        </is>
      </c>
      <c r="O10" s="24" t="inlineStr">
        <is>
          <t>permission required</t>
        </is>
      </c>
      <c r="P10" s="24" t="inlineStr">
        <is>
          <t>Already in codebook</t>
        </is>
      </c>
      <c r="Q10" s="24" t="inlineStr"/>
      <c r="R10" s="24" t="inlineStr"/>
      <c r="S10" s="24" t="inlineStr">
        <is>
          <t>Scoring and Interpretation and Psychometric sections are rendered client side and were not visible to the fetcher. Classified as permission required because the page says it is hosted with the developer's permission.</t>
        </is>
      </c>
      <c r="T10" s="24" t="inlineStr">
        <is>
          <t>https://novopsych.com/assessments/formulation/executive-skills-questionnaire-revised-esq-r/</t>
        </is>
      </c>
    </row>
    <row r="11">
      <c r="A11" s="24" t="n">
        <v>10</v>
      </c>
      <c r="B11" s="24" t="inlineStr">
        <is>
          <t>Athens Insomnia Scale (8 item)</t>
        </is>
      </c>
      <c r="C11" s="24" t="inlineStr">
        <is>
          <t>AIS (AIS-8)</t>
        </is>
      </c>
      <c r="D11" s="24" t="inlineStr">
        <is>
          <t>Sleep</t>
        </is>
      </c>
      <c r="E11" s="24" t="inlineStr">
        <is>
          <t>Measures self reported insomnia severity in adults, referenced to ICD-10 criteria for nonorganic insomnia.</t>
        </is>
      </c>
      <c r="F11" s="24" t="n">
        <v>8</v>
      </c>
      <c r="G11" s="24" t="inlineStr">
        <is>
          <t>Self report</t>
        </is>
      </c>
      <c r="H11" s="24" t="inlineStr">
        <is>
          <t>18+</t>
        </is>
      </c>
      <c r="I11" s="24" t="n">
        <v>1</v>
      </c>
      <c r="J11" s="24" t="inlineStr">
        <is>
          <t>Sleep Difficulty (items 1 to 5), Daytime Consequences (items 6 to 8)</t>
        </is>
      </c>
      <c r="K11" s="24" t="inlineStr">
        <is>
          <t>Not stated on the page</t>
        </is>
      </c>
      <c r="L11" s="24" t="inlineStr">
        <is>
          <t>Total scored 0 to 24 with a validated clinical cut off of 6 or higher indicating clinically significant insomnia warranting fuller assessment. Domain scores reported separately without cut offs or norms.</t>
        </is>
      </c>
      <c r="M11" s="24" t="inlineStr">
        <is>
          <t>Soldatos et al. (2000); validation Soldatos et al. (2003). Journal not given.</t>
        </is>
      </c>
      <c r="N11" s="24" t="inlineStr">
        <is>
          <t>No licensing statement; meta description reads "Administer and score it free with NovoPsych."</t>
        </is>
      </c>
      <c r="O11" s="24" t="inlineStr">
        <is>
          <t>not stated</t>
        </is>
      </c>
      <c r="P11" s="24" t="inlineStr">
        <is>
          <t>Consider</t>
        </is>
      </c>
      <c r="Q11" s="24" t="inlineStr"/>
      <c r="R11" s="24" t="inlineStr"/>
      <c r="S11" s="24" t="inlineStr">
        <is>
          <t>The free wording refers to administration on the NovoPsych platform, not to the instrument licence. Domain groupings are author described, not validated subscales.</t>
        </is>
      </c>
      <c r="T11" s="24" t="inlineStr">
        <is>
          <t>https://novopsych.com/assessments/sleep/athens-insomnia-scale-ais/</t>
        </is>
      </c>
    </row>
    <row r="12">
      <c r="A12" s="24" t="n">
        <v>11</v>
      </c>
      <c r="B12" s="24" t="inlineStr">
        <is>
          <t>CRAFFT Substance Use Assessment (version 2.1+N)</t>
        </is>
      </c>
      <c r="C12" s="24" t="inlineStr">
        <is>
          <t>CRAFFT 2.1+N</t>
        </is>
      </c>
      <c r="D12" s="24" t="inlineStr">
        <is>
          <t>Addiction, Adolescent</t>
        </is>
      </c>
      <c r="E12" s="24" t="inlineStr">
        <is>
          <t>Screens young people for substance use, substance related riding and driving risk, and risk of substance use disorder, with a nicotine checklist.</t>
        </is>
      </c>
      <c r="F12" s="24" t="n">
        <v>20</v>
      </c>
      <c r="G12" s="24" t="inlineStr">
        <is>
          <t>Self report (young person completes in private)</t>
        </is>
      </c>
      <c r="H12" s="24" t="inlineStr">
        <is>
          <t>12 to 21</t>
        </is>
      </c>
      <c r="I12" s="24" t="n">
        <v>2</v>
      </c>
      <c r="J12" s="24" t="inlineStr">
        <is>
          <t>Part A (past 12 month use frequency by substance), Part B (6 CRAFFT items), Part C (Hooked on Nicotine Checklist, HONC, 10 items)</t>
        </is>
      </c>
      <c r="K12" s="24" t="inlineStr">
        <is>
          <t>Not stated; branching means respondents answer 5 to 20 questions</t>
        </is>
      </c>
      <c r="L12" s="24" t="inlineStr">
        <is>
          <t>CRAFFT total 0 to 6 from the 6 Part B items, higher indicating greater risk; 4 or more described as a strong signal and a High risk result is a positive screen. HONC reported separately; a single Yes is treated as meaningful.</t>
        </is>
      </c>
      <c r="M12" s="24" t="inlineStr">
        <is>
          <t>Knight et al. (2002); CABHRe (2021); HONC: Wheeler et al. (2004). Journals not given.</t>
        </is>
      </c>
      <c r="N12" s="24" t="inlineStr">
        <is>
          <t>No copyright, licensing, permission or free to use statement on the page</t>
        </is>
      </c>
      <c r="O12" s="24" t="inlineStr">
        <is>
          <t>not stated</t>
        </is>
      </c>
      <c r="P12" s="24" t="inlineStr">
        <is>
          <t>Out of scope for the hub (child, adolescent, sport, eating, clinician or service feedback)</t>
        </is>
      </c>
      <c r="Q12" s="24" t="inlineStr"/>
      <c r="R12" s="24" t="inlineStr"/>
      <c r="S12" s="24" t="inlineStr">
        <is>
          <t>Exact cut offs per risk category not stated on the page.</t>
        </is>
      </c>
      <c r="T12" s="24" t="inlineStr">
        <is>
          <t>https://novopsych.com/assessments/addiction/crafft-substance-use-assessment-crafft-2-1-n/</t>
        </is>
      </c>
    </row>
    <row r="13">
      <c r="A13" s="24" t="n">
        <v>12</v>
      </c>
      <c r="B13" s="24" t="inlineStr">
        <is>
          <t>Alexian Brothers Urge to Self-Injure Scale</t>
        </is>
      </c>
      <c r="C13" s="24" t="inlineStr">
        <is>
          <t>ABUSI</t>
        </is>
      </c>
      <c r="D13" s="24" t="inlineStr">
        <is>
          <t>Adolescent, Outcome monitoring</t>
        </is>
      </c>
      <c r="E13" s="24" t="inlineStr">
        <is>
          <t>Measures the severity of the urge to engage in non suicidal self injury over the past week.</t>
        </is>
      </c>
      <c r="F13" s="24" t="n">
        <v>5</v>
      </c>
      <c r="G13" s="24" t="inlineStr">
        <is>
          <t>Self report</t>
        </is>
      </c>
      <c r="H13" s="24" t="inlineStr">
        <is>
          <t>11+</t>
        </is>
      </c>
      <c r="I13" s="24" t="n">
        <v>2</v>
      </c>
      <c r="J13" s="24" t="inlineStr">
        <is>
          <t>Frequency, Intensity, Duration, Resistance, Overall urge (facets of a single construct, not formal subscales)</t>
        </is>
      </c>
      <c r="K13" s="24" t="inlineStr">
        <is>
          <t>Not stated on the page</t>
        </is>
      </c>
      <c r="L13" s="24" t="inlineStr">
        <is>
          <t>Total score with percentile against a treatment seeking reference sample and severity categories; method and cut offs not stated. A change of 7 or more points is treated as real change.</t>
        </is>
      </c>
      <c r="M13" s="24" t="inlineStr">
        <is>
          <t>Washburn et al. (2010); adapted from the Penn Alcohol Craving Scale (Flannery et al., 1999). Journal not given.</t>
        </is>
      </c>
      <c r="N13" s="24" t="inlineStr">
        <is>
          <t>No copyright, licensing, permission or free to use statement on the page</t>
        </is>
      </c>
      <c r="O13" s="24" t="inlineStr">
        <is>
          <t>not stated</t>
        </is>
      </c>
      <c r="P13" s="24" t="inlineStr">
        <is>
          <t>Out of scope for the hub (child, adolescent, sport, eating, clinician or service feedback)</t>
        </is>
      </c>
      <c r="Q13" s="24" t="inlineStr"/>
      <c r="R13" s="24" t="inlineStr"/>
      <c r="S13" s="24" t="inlineStr">
        <is>
          <t>Scoring and Interpretation and Psychometric sections are rendered client side and were not visible to the fetcher.</t>
        </is>
      </c>
      <c r="T13" s="24" t="inlineStr">
        <is>
          <t>https://novopsych.com/assessments/adolescent/alexian-brothers-urge-to-self-injure-scale-abusi/</t>
        </is>
      </c>
    </row>
    <row r="14">
      <c r="A14" s="24" t="n">
        <v>13</v>
      </c>
      <c r="B14" s="24" t="inlineStr">
        <is>
          <t>Why Have Sex? Questionnaire Short Form</t>
        </is>
      </c>
      <c r="C14" s="24" t="inlineStr">
        <is>
          <t>YSEX-SF</t>
        </is>
      </c>
      <c r="D14" s="24" t="inlineStr">
        <is>
          <t>Formulation</t>
        </is>
      </c>
      <c r="E14" s="24" t="inlineStr">
        <is>
          <t>Profiles sexual motivation across 14 reasons adults have (or would have) sex.</t>
        </is>
      </c>
      <c r="F14" s="24" t="n">
        <v>28</v>
      </c>
      <c r="G14" s="24" t="inlineStr">
        <is>
          <t>Self report</t>
        </is>
      </c>
      <c r="H14" s="24" t="inlineStr">
        <is>
          <t>18+</t>
        </is>
      </c>
      <c r="I14" s="24" t="n">
        <v>5</v>
      </c>
      <c r="J14" s="24" t="inlineStr">
        <is>
          <t>Stress Reduction, Pleasure, Physical Desirability, Experience Seeking, Resources, Reproduction, Social Status, Revenge, Practical, Love and Commitment, Expression, Self-Esteem Boost, Duty/Pressure, Mate Guarding</t>
        </is>
      </c>
      <c r="K14" s="24" t="inlineStr">
        <is>
          <t>Not stated on the page</t>
        </is>
      </c>
      <c r="L14" s="24" t="inlineStr">
        <is>
          <t>Profile across 14 subscales of 2 items each; sum or mean, direction and cut offs not stated.</t>
        </is>
      </c>
      <c r="M14" s="24" t="inlineStr">
        <is>
          <t>Meston et al. (2020). Full authors and journal not given.</t>
        </is>
      </c>
      <c r="N14" s="24" t="inlineStr">
        <is>
          <t>No copyright, licensing, permission or free to use statement on the page</t>
        </is>
      </c>
      <c r="O14" s="24" t="inlineStr">
        <is>
          <t>not stated</t>
        </is>
      </c>
      <c r="P14" s="24" t="inlineStr">
        <is>
          <t>Shortlist: screening or clinical (Sarah only if used)</t>
        </is>
      </c>
      <c r="Q14" s="24" t="inlineStr"/>
      <c r="R14" s="24" t="inlineStr"/>
      <c r="S14" s="24" t="inlineStr">
        <is>
          <t>Respondents who have not had sex rate likelihood rather than frequency.</t>
        </is>
      </c>
      <c r="T14" s="24" t="inlineStr">
        <is>
          <t>https://novopsych.com/assessments/formulation/why-have-sex-questionnaire-short-form-ysex-sf/</t>
        </is>
      </c>
    </row>
    <row r="15">
      <c r="A15" s="24" t="n">
        <v>14</v>
      </c>
      <c r="B15" s="24" t="inlineStr">
        <is>
          <t>Brief Addiction Monitor – Continuous</t>
        </is>
      </c>
      <c r="C15" s="24" t="inlineStr">
        <is>
          <t>BAM</t>
        </is>
      </c>
      <c r="D15" s="24" t="inlineStr">
        <is>
          <t>Addiction, Outcome monitoring</t>
        </is>
      </c>
      <c r="E15" s="24" t="inlineStr">
        <is>
          <t>Monitors substance use and related recovery factors in adults in treatment for substance use disorders.</t>
        </is>
      </c>
      <c r="F15" s="24" t="n">
        <v>17</v>
      </c>
      <c r="G15" s="24" t="inlineStr">
        <is>
          <t>Self report or clinician administered (in person or telephone)</t>
        </is>
      </c>
      <c r="H15" s="24" t="inlineStr">
        <is>
          <t>18+</t>
        </is>
      </c>
      <c r="I15" s="24" t="n">
        <v>5</v>
      </c>
      <c r="J15" s="24" t="inlineStr">
        <is>
          <t>Substance Use, Risk Factors, Protective Factors</t>
        </is>
      </c>
      <c r="K15" s="24" t="inlineStr">
        <is>
          <t>Not stated on the page</t>
        </is>
      </c>
      <c r="L15" s="24" t="inlineStr">
        <is>
          <t>3 raw domain scores reported with no established cut off or general population norms; rises in Substance Use or Risk Factors, or falls in Protective Factors, indicate less favourable status.</t>
        </is>
      </c>
      <c r="M15" s="24" t="inlineStr">
        <is>
          <t>Cacciola et al. (2013). Journal not given.</t>
        </is>
      </c>
      <c r="N15" s="24" t="inlineStr">
        <is>
          <t>No copyright, licensing, permission or free to use statement on the page</t>
        </is>
      </c>
      <c r="O15" s="24" t="inlineStr">
        <is>
          <t>not stated</t>
        </is>
      </c>
      <c r="P15" s="24" t="inlineStr">
        <is>
          <t>Out of scope for the hub (not self report)</t>
        </is>
      </c>
      <c r="Q15" s="24" t="inlineStr"/>
      <c r="R15" s="24" t="inlineStr"/>
      <c r="S15" s="24" t="inlineStr">
        <is>
          <t>Developed within the US Veterans Affairs system; page does not state licensing.</t>
        </is>
      </c>
      <c r="T15" s="24" t="inlineStr">
        <is>
          <t>https://novopsych.com/assessments/addiction/brief-addiction-monitor-bam/</t>
        </is>
      </c>
    </row>
    <row r="16">
      <c r="A16" s="24" t="n">
        <v>15</v>
      </c>
      <c r="B16" s="24" t="inlineStr">
        <is>
          <t>Ask Suicide-Screening Questions</t>
        </is>
      </c>
      <c r="C16" s="24" t="inlineStr">
        <is>
          <t>asQ</t>
        </is>
      </c>
      <c r="D16" s="24" t="inlineStr">
        <is>
          <t>Formulation, Clinician self assessment</t>
        </is>
      </c>
      <c r="E16" s="24" t="inlineStr">
        <is>
          <t>Brief clinician administered screen that flags suicide risk requiring further assessment; not a diagnostic or severity measure.</t>
        </is>
      </c>
      <c r="F16" s="24" t="n">
        <v>5</v>
      </c>
      <c r="G16" s="24" t="inlineStr">
        <is>
          <t>Clinician administered (4 core items plus 1 acuity item); self report evidence limited</t>
        </is>
      </c>
      <c r="H16" s="24" t="inlineStr">
        <is>
          <t>8+</t>
        </is>
      </c>
      <c r="I16" s="24" t="n">
        <v>5</v>
      </c>
      <c r="J16" s="24" t="inlineStr"/>
      <c r="K16" s="24" t="inlineStr">
        <is>
          <t>Dichotomous, Yes/No</t>
        </is>
      </c>
      <c r="L16" s="24" t="inlineStr">
        <is>
          <t>No summed score. A Yes to any of the 4 core items is a positive screen; the fifth item separates acute from non acute positives.</t>
        </is>
      </c>
      <c r="M16" s="24" t="inlineStr">
        <is>
          <t>Horowitz et al. (2012); developed at the US National Institute of Mental Health. Journal not given.</t>
        </is>
      </c>
      <c r="N16" s="24" t="inlineStr">
        <is>
          <t>No instrument licence statement; page describes the NIMH asQ Toolkit as "freely available".</t>
        </is>
      </c>
      <c r="O16" s="24" t="inlineStr">
        <is>
          <t>free, copyright held by authors</t>
        </is>
      </c>
      <c r="P16" s="24" t="inlineStr">
        <is>
          <t>Out of scope for the hub (child, adolescent, sport, eating, clinician or service feedback)</t>
        </is>
      </c>
      <c r="Q16" s="24" t="inlineStr"/>
      <c r="R16" s="24" t="inlineStr"/>
      <c r="S16" s="24" t="inlineStr">
        <is>
          <t>Page says typically completed in under 2 minutes despite the 5 minute header. Classified free on the basis of the NIMH toolkit wording; public domain not stated.</t>
        </is>
      </c>
      <c r="T16" s="24" t="inlineStr">
        <is>
          <t>https://novopsych.com/assessments/formulation/ask-suicide-screening-questionnaire-asq/</t>
        </is>
      </c>
    </row>
    <row r="17">
      <c r="A17" s="24" t="n">
        <v>16</v>
      </c>
      <c r="B17" s="24" t="inlineStr">
        <is>
          <t>MASCC Unmet Needs Assessment for Cancer-Related Cognitive Impairment Impact</t>
        </is>
      </c>
      <c r="C17" s="24" t="inlineStr">
        <is>
          <t>MASCC COG-IMPACT</t>
        </is>
      </c>
      <c r="D17" s="24" t="inlineStr">
        <is>
          <t>Health</t>
        </is>
      </c>
      <c r="E17" s="24" t="inlineStr">
        <is>
          <t>Assesses the difficulties and unmet supportive care needs caused by cancer related cognitive impairment in survivors.</t>
        </is>
      </c>
      <c r="F17" s="24" t="n">
        <v>55</v>
      </c>
      <c r="G17" s="24" t="inlineStr">
        <is>
          <t>Self report</t>
        </is>
      </c>
      <c r="H17" s="24" t="inlineStr">
        <is>
          <t>18+</t>
        </is>
      </c>
      <c r="I17" s="24" t="n">
        <v>7</v>
      </c>
      <c r="J17" s="24" t="inlineStr">
        <is>
          <t>Executing Regular Activities, Finding Meaning and Enjoyment in Activities, Relational Difficulties, Occupational/Vocational Functioning, Psychological Challenges, Verbal Communication Challenges, Social Functioning and Withdrawal, Informational Needs</t>
        </is>
      </c>
      <c r="K17" s="24" t="inlineStr">
        <is>
          <t>Not stated on the page</t>
        </is>
      </c>
      <c r="L17" s="24" t="inlineStr">
        <is>
          <t>Each domain yields a Difficulties index and an Unmet Supportive Care Needs index, with an Unmet Needs Score and author anchored descriptor bands; sum or mean and cut offs not stated.</t>
        </is>
      </c>
      <c r="M17" s="24" t="inlineStr">
        <is>
          <t>Haywood, Chan, Chan, Baughman, et al. (2025b), developed under the auspices of MASCC. Journal not given.</t>
        </is>
      </c>
      <c r="N17" s="24" t="inlineStr">
        <is>
          <t>No copyright, licensing, permission or free to use statement on the page</t>
        </is>
      </c>
      <c r="O17" s="24" t="inlineStr">
        <is>
          <t>not stated</t>
        </is>
      </c>
      <c r="P17" s="24" t="inlineStr">
        <is>
          <t>Consider</t>
        </is>
      </c>
      <c r="Q17" s="24" t="inlineStr"/>
      <c r="R17" s="24" t="inlineStr"/>
      <c r="S17" s="24" t="inlineStr">
        <is>
          <t>Scoring and Interpretation and Psychometric sections are rendered client side and were not visible to the fetcher.</t>
        </is>
      </c>
      <c r="T17" s="24" t="inlineStr">
        <is>
          <t>https://novopsych.com/assessments/health/mascc-unmet-needs-assessment-for-cancer-related-cognitive-impairment-impact-mascc-cog-impact/</t>
        </is>
      </c>
    </row>
    <row r="18">
      <c r="A18" s="24" t="n">
        <v>17</v>
      </c>
      <c r="B18" s="24" t="inlineStr">
        <is>
          <t>Strengths and Difficulties Questionnaire</t>
        </is>
      </c>
      <c r="C18" s="24" t="inlineStr">
        <is>
          <t>SDQ</t>
        </is>
      </c>
      <c r="D18" s="24" t="inlineStr">
        <is>
          <t>Child, Outcome monitoring</t>
        </is>
      </c>
      <c r="E18" s="24" t="inlineStr">
        <is>
          <t>Broad behavioural and emotional screening measure for children and young people, including prosocial behaviour.</t>
        </is>
      </c>
      <c r="F18" s="24" t="n">
        <v>25</v>
      </c>
      <c r="G18" s="24" t="inlineStr">
        <is>
          <t>Parent, teacher, and self report (self report from age 11)</t>
        </is>
      </c>
      <c r="H18" s="24" t="inlineStr">
        <is>
          <t>2 to 17</t>
        </is>
      </c>
      <c r="I18" s="24" t="n">
        <v>5</v>
      </c>
      <c r="J18" s="24" t="inlineStr">
        <is>
          <t>Emotional symptoms, Conduct problems, Hyperactivity/inattention, Peer relationship problems, Prosocial behaviour</t>
        </is>
      </c>
      <c r="K18" s="24" t="inlineStr">
        <is>
          <t>Not stated on the page</t>
        </is>
      </c>
      <c r="L18" s="24" t="inlineStr">
        <is>
          <t>Not available; scoring section empty in fetched content. Impact Supplement has a gateway question; a No means no Impact score is calculated.</t>
        </is>
      </c>
      <c r="M18" s="24" t="inlineStr">
        <is>
          <t>Goodman (1997). Full reference not given.</t>
        </is>
      </c>
      <c r="N18" s="24" t="inlineStr">
        <is>
          <t>No licensing statement; page reads "Log in or create an account to access the full suite of SDQ measures in NovoPsych."</t>
        </is>
      </c>
      <c r="O18" s="24" t="inlineStr">
        <is>
          <t>not stated</t>
        </is>
      </c>
      <c r="P18" s="24" t="inlineStr">
        <is>
          <t>Out of scope for the hub (child, adolescent, sport, eating, clinician or service feedback)</t>
        </is>
      </c>
      <c r="Q18" s="24" t="inlineStr"/>
      <c r="R18" s="24" t="inlineStr"/>
      <c r="S18" s="24" t="inlineStr">
        <is>
          <t>Scoring and Interpretation and Psychometric sections are rendered client side and were not visible to the fetcher. Versions for ages 2 to 4 and 4 to 10, parent and teacher forms, and a Follow-up version.</t>
        </is>
      </c>
      <c r="T18" s="24" t="inlineStr">
        <is>
          <t>https://novopsych.com/assessments/child/strengths-and-difficulties-questionnaire-sdq/</t>
        </is>
      </c>
    </row>
    <row r="19">
      <c r="A19" s="24" t="n">
        <v>18</v>
      </c>
      <c r="B19" s="24" t="inlineStr">
        <is>
          <t>Ruminative Responses Scale</t>
        </is>
      </c>
      <c r="C19" s="24" t="inlineStr">
        <is>
          <t>RRS</t>
        </is>
      </c>
      <c r="D19" s="24" t="inlineStr">
        <is>
          <t>Formulation, Depression</t>
        </is>
      </c>
      <c r="E19" s="24" t="inlineStr">
        <is>
          <t>Measures how often adults engage in ruminative responses when feeling down, sad or depressed.</t>
        </is>
      </c>
      <c r="F19" s="24" t="n">
        <v>22</v>
      </c>
      <c r="G19" s="24" t="inlineStr">
        <is>
          <t>Self report</t>
        </is>
      </c>
      <c r="H19" s="24" t="inlineStr">
        <is>
          <t>18+</t>
        </is>
      </c>
      <c r="I19" s="24" t="n">
        <v>2</v>
      </c>
      <c r="J19" s="24" t="inlineStr">
        <is>
          <t>Brooding (5 items), Reflection (5 items)</t>
        </is>
      </c>
      <c r="K19" s="24" t="inlineStr">
        <is>
          <t>Not stated on the page</t>
        </is>
      </c>
      <c r="L19" s="24" t="inlineStr">
        <is>
          <t>Total score plus Brooding and Reflection subscale scores; 12 items contribute to the total only. Sum or mean, direction and cut offs not stated.</t>
        </is>
      </c>
      <c r="M19" s="24" t="inlineStr">
        <is>
          <t>Treynor et al. (2003) for the Brooding and Reflection subscales; original scale citation not given.</t>
        </is>
      </c>
      <c r="N19" s="24" t="inlineStr">
        <is>
          <t>No copyright, licensing, permission or free to use statement on the page</t>
        </is>
      </c>
      <c r="O19" s="24" t="inlineStr">
        <is>
          <t>not stated</t>
        </is>
      </c>
      <c r="P19" s="24" t="inlineStr">
        <is>
          <t>Already in codebook</t>
        </is>
      </c>
      <c r="Q19" s="24" t="inlineStr"/>
      <c r="R19" s="24" t="inlineStr"/>
      <c r="S19" s="24" t="inlineStr">
        <is>
          <t>Scoring and Interpretation and Psychometric sections are rendered client side and were not visible to the fetcher.</t>
        </is>
      </c>
      <c r="T19" s="24" t="inlineStr">
        <is>
          <t>https://novopsych.com/assessments/formulation/ruminative-responses-scale-rrs/</t>
        </is>
      </c>
    </row>
    <row r="20">
      <c r="A20" s="24" t="n">
        <v>19</v>
      </c>
      <c r="B20" s="24" t="inlineStr">
        <is>
          <t>Work and Social Adjustment Scale</t>
        </is>
      </c>
      <c r="C20" s="24" t="inlineStr">
        <is>
          <t>WSAS</t>
        </is>
      </c>
      <c r="D20" s="24" t="inlineStr">
        <is>
          <t>Disability, Health, Outcome monitoring</t>
        </is>
      </c>
      <c r="E20" s="24" t="inlineStr">
        <is>
          <t>Measures functional impairment across work, home, leisure and relationships resulting from a person's difficulties.</t>
        </is>
      </c>
      <c r="F20" s="24" t="n">
        <v>5</v>
      </c>
      <c r="G20" s="24" t="inlineStr">
        <is>
          <t>Self report</t>
        </is>
      </c>
      <c r="H20" s="24" t="inlineStr">
        <is>
          <t>18+</t>
        </is>
      </c>
      <c r="I20" s="24" t="n">
        <v>1</v>
      </c>
      <c r="J20" s="24" t="inlineStr"/>
      <c r="K20" s="24" t="inlineStr">
        <is>
          <t>Not stated on the page</t>
        </is>
      </c>
      <c r="L20" s="24" t="inlineStr">
        <is>
          <t>Total score with severity bands; method and cut offs not stated in fetched content. A change of 5 or more points is clinically meaningful.</t>
        </is>
      </c>
      <c r="M20" s="24" t="inlineStr">
        <is>
          <t>Mundt et al. (2002). Journal not given.</t>
        </is>
      </c>
      <c r="N20" s="24" t="inlineStr">
        <is>
          <t>No copyright, licensing, permission or free to use statement on the page</t>
        </is>
      </c>
      <c r="O20" s="24" t="inlineStr">
        <is>
          <t>not stated</t>
        </is>
      </c>
      <c r="P20" s="24" t="inlineStr">
        <is>
          <t>Shortlist: coaching and wellbeing (client facing possible)</t>
        </is>
      </c>
      <c r="Q20" s="24" t="inlineStr"/>
      <c r="R20" s="24" t="inlineStr"/>
      <c r="S20" s="24" t="inlineStr">
        <is>
          <t>Each item corresponds to a distinct life domain rather than a subscale.</t>
        </is>
      </c>
      <c r="T20" s="24" t="inlineStr">
        <is>
          <t>https://novopsych.com/assessments/disability/work-and-social-adjustment-scale/</t>
        </is>
      </c>
    </row>
    <row r="21">
      <c r="A21" s="24" t="n">
        <v>20</v>
      </c>
      <c r="B21" s="24" t="inlineStr">
        <is>
          <t>Reflective Practice Questionnaire – Extended</t>
        </is>
      </c>
      <c r="C21" s="24" t="inlineStr">
        <is>
          <t>RPQ-E</t>
        </is>
      </c>
      <c r="D21" s="24" t="inlineStr">
        <is>
          <t>Clinician self assessment</t>
        </is>
      </c>
      <c r="E21" s="24" t="inlineStr">
        <is>
          <t>Measures reflective practice and related attributes among professionals in client facing roles.</t>
        </is>
      </c>
      <c r="F21" s="24" t="n">
        <v>30</v>
      </c>
      <c r="G21" s="24" t="inlineStr">
        <is>
          <t>Self report (clinician self assessment, also used in supervision or training)</t>
        </is>
      </c>
      <c r="H21" s="24" t="inlineStr">
        <is>
          <t>Not stated</t>
        </is>
      </c>
      <c r="I21" s="24" t="n">
        <v>5</v>
      </c>
      <c r="J21" s="24" t="inlineStr">
        <is>
          <t>Uncertainty/Stress, Confidence, Work Satisfaction, Fourth subscale not named on page</t>
        </is>
      </c>
      <c r="K21" s="24" t="inlineStr">
        <is>
          <t>Not stated on the page</t>
        </is>
      </c>
      <c r="L21" s="24" t="inlineStr">
        <is>
          <t>Results compared with a sample of mental health practitioners; both very low and very high scores warrant interpretation. Sum or mean and cut offs not stated.</t>
        </is>
      </c>
      <c r="M21" s="24" t="inlineStr">
        <is>
          <t>No developer citation given; Mann, Gordon, &amp; MacLeod (2009) cited only for background.</t>
        </is>
      </c>
      <c r="N21" s="24" t="inlineStr">
        <is>
          <t>No copyright, licensing, permission or free to use statement on the page</t>
        </is>
      </c>
      <c r="O21" s="24" t="inlineStr">
        <is>
          <t>not stated</t>
        </is>
      </c>
      <c r="P21" s="24" t="inlineStr">
        <is>
          <t>Out of scope for the hub (child, adolescent, sport, eating, clinician or service feedback)</t>
        </is>
      </c>
      <c r="Q21" s="24" t="inlineStr"/>
      <c r="R21" s="24" t="inlineStr"/>
      <c r="S21" s="24" t="inlineStr">
        <is>
          <t>Scoring and Interpretation and Psychometric sections are rendered client side and were not visible to the fetcher. Developer is likely Priddis and Rogers (2018) but the page does not say so.</t>
        </is>
      </c>
      <c r="T21" s="24" t="inlineStr">
        <is>
          <t>https://novopsych.com/assessments/clinician-self-assessment/reflective-practice-questionnaire-extended/</t>
        </is>
      </c>
    </row>
    <row r="22">
      <c r="A22" s="24" t="n">
        <v>21</v>
      </c>
      <c r="B22" s="24" t="inlineStr">
        <is>
          <t>Penn Alcohol Craving Scale</t>
        </is>
      </c>
      <c r="C22" s="24" t="inlineStr">
        <is>
          <t>PACS</t>
        </is>
      </c>
      <c r="D22" s="24" t="inlineStr">
        <is>
          <t>Addiction, Outcome monitoring</t>
        </is>
      </c>
      <c r="E22" s="24" t="inlineStr">
        <is>
          <t>Measures alcohol craving over the preceding week as a single construct.</t>
        </is>
      </c>
      <c r="F22" s="24" t="n">
        <v>5</v>
      </c>
      <c r="G22" s="24" t="inlineStr">
        <is>
          <t>Self report</t>
        </is>
      </c>
      <c r="H22" s="24" t="inlineStr">
        <is>
          <t>18+</t>
        </is>
      </c>
      <c r="I22" s="24" t="n">
        <v>1</v>
      </c>
      <c r="J22" s="24" t="inlineStr"/>
      <c r="K22" s="24" t="inlineStr">
        <is>
          <t>Not stated on the page</t>
        </is>
      </c>
      <c r="L22" s="24" t="inlineStr">
        <is>
          <t>Total score; sum or mean not stated. 21 or above is in the Elevated range; 15 or above corresponded with clinician endorsed craving (Hartwell et al., 2019). A reduction of 3 or more points indicates meaningful improvement.</t>
        </is>
      </c>
      <c r="M22" s="24" t="inlineStr">
        <is>
          <t>Flannery et al. (1999). Full authors and journal not given.</t>
        </is>
      </c>
      <c r="N22" s="24" t="inlineStr">
        <is>
          <t>No copyright, licensing, permission or free to use statement on the page</t>
        </is>
      </c>
      <c r="O22" s="24" t="inlineStr">
        <is>
          <t>not stated</t>
        </is>
      </c>
      <c r="P22" s="24" t="inlineStr">
        <is>
          <t>Shortlist: screening or clinical (Sarah only if used)</t>
        </is>
      </c>
      <c r="Q22" s="24" t="inlineStr"/>
      <c r="R22" s="24" t="inlineStr"/>
      <c r="S22" s="24" t="inlineStr"/>
      <c r="T22" s="24" t="inlineStr">
        <is>
          <t>https://novopsych.com/assessments/addiction/penn-alcohol-craving-scale-pacs/</t>
        </is>
      </c>
    </row>
    <row r="23">
      <c r="A23" s="24" t="n">
        <v>22</v>
      </c>
      <c r="B23" s="24" t="inlineStr">
        <is>
          <t>Manic and Depression Symptoms Paired Screening (Patient Mania Questionnaire-9 and Patient Health Questionnaire-9)</t>
        </is>
      </c>
      <c r="C23" s="24" t="inlineStr">
        <is>
          <t>PMQ-9 and PHQ-9</t>
        </is>
      </c>
      <c r="D23" s="24" t="inlineStr">
        <is>
          <t>Bipolar, Outcome monitoring</t>
        </is>
      </c>
      <c r="E23" s="24" t="inlineStr">
        <is>
          <t>Monitors manic symptoms over the past week and depressive symptoms to track mood state change in adults with bipolar disorder.</t>
        </is>
      </c>
      <c r="F23" s="24" t="n">
        <v>18</v>
      </c>
      <c r="G23" s="24" t="inlineStr">
        <is>
          <t>Self report</t>
        </is>
      </c>
      <c r="H23" s="24" t="inlineStr">
        <is>
          <t>18+</t>
        </is>
      </c>
      <c r="I23" s="24" t="n">
        <v>3</v>
      </c>
      <c r="J23" s="24" t="inlineStr">
        <is>
          <t>PMQ-9 (9 items), PHQ-9 (9 items)</t>
        </is>
      </c>
      <c r="K23" s="24" t="inlineStr">
        <is>
          <t>Not stated; PMQ-9 designed to match the PHQ-9 response format</t>
        </is>
      </c>
      <c r="L23" s="24" t="inlineStr">
        <is>
          <t>Each measure scored against a clinical cut off of 10; the 2 results combine to classify 1 of 4 mood states. Total computation and direction not stated.</t>
        </is>
      </c>
      <c r="M23" s="24" t="inlineStr">
        <is>
          <t>Cerimele et al. (2022), PMQ-9 development and validation within the SPIRIT trial. Journal not given.</t>
        </is>
      </c>
      <c r="N23" s="24" t="inlineStr">
        <is>
          <t>No copyright, licensing, permission or free to use statement on the page</t>
        </is>
      </c>
      <c r="O23" s="24" t="inlineStr">
        <is>
          <t>not stated</t>
        </is>
      </c>
      <c r="P23" s="24" t="inlineStr">
        <is>
          <t>Shortlist: screening or clinical (Sarah only if used)</t>
        </is>
      </c>
      <c r="Q23" s="24" t="inlineStr"/>
      <c r="R23" s="24" t="inlineStr"/>
      <c r="S23" s="24" t="inlineStr"/>
      <c r="T23" s="24" t="inlineStr">
        <is>
          <t>https://novopsych.com/assessments/bipolar/manic-and-depression-symptoms-paired-screening-pmq-9-and-phq-9/</t>
        </is>
      </c>
    </row>
    <row r="24">
      <c r="A24" s="24" t="n">
        <v>23</v>
      </c>
      <c r="B24" s="24" t="inlineStr">
        <is>
          <t>Pica, ARFID, and Rumination Disorder Interview – ARFID Questionnaire: Informant report</t>
        </is>
      </c>
      <c r="C24" s="24" t="inlineStr">
        <is>
          <t>PARDI-AR-Q-Informant</t>
        </is>
      </c>
      <c r="D24" s="24" t="inlineStr">
        <is>
          <t>Body image and eating</t>
        </is>
      </c>
      <c r="E24" s="24" t="inlineStr">
        <is>
          <t>Screens for avoidant/restrictive food intake disorder in children and profiles the drivers of restricted or avoidant eating.</t>
        </is>
      </c>
      <c r="F24" s="24" t="n">
        <v>29</v>
      </c>
      <c r="G24" s="24" t="inlineStr">
        <is>
          <t>Parent or carer reporting on a child</t>
        </is>
      </c>
      <c r="H24" s="24" t="inlineStr">
        <is>
          <t>4+</t>
        </is>
      </c>
      <c r="I24" s="24" t="n">
        <v>4</v>
      </c>
      <c r="J24" s="24" t="inlineStr">
        <is>
          <t>Sensory-based avoidance, Lack of interest in eating or food, Concern about aversive consequences, Severity of impact (separate psychosocial impairment index)</t>
        </is>
      </c>
      <c r="K24" s="24" t="inlineStr">
        <is>
          <t>Not stated on the page</t>
        </is>
      </c>
      <c r="L24" s="24" t="inlineStr">
        <is>
          <t>3 driver subscales reported separately with no total score; method and cut offs not stated. A positive screen indicates further assessment is warranted, not a diagnosis.</t>
        </is>
      </c>
      <c r="M24" s="24" t="inlineStr">
        <is>
          <t>Not given; page mentions validation work without a citation. Content author Emerson Bartholomew (NovoPsych).</t>
        </is>
      </c>
      <c r="N24" s="24" t="inlineStr">
        <is>
          <t>No copyright, licensing, permission or free to use statement on the page</t>
        </is>
      </c>
      <c r="O24" s="24" t="inlineStr">
        <is>
          <t>not stated</t>
        </is>
      </c>
      <c r="P24" s="24" t="inlineStr">
        <is>
          <t>Out of scope for the hub (child, adolescent, sport, eating, clinician or service feedback)</t>
        </is>
      </c>
      <c r="Q24" s="24" t="inlineStr"/>
      <c r="R24" s="24" t="inlineStr"/>
      <c r="S24" s="24" t="inlineStr"/>
      <c r="T24" s="24" t="inlineStr">
        <is>
          <t>https://novopsych.com/assessments/eating/pica-arfid-and-rumination-disorder-interview-arfid-questionnaire-informant-report-pardi-ar-q-informant/</t>
        </is>
      </c>
    </row>
    <row r="25">
      <c r="A25" s="24" t="n">
        <v>24</v>
      </c>
      <c r="B25" s="24" t="inlineStr">
        <is>
          <t>Pica, ARFID, and Rumination Disorder Interview – ARFID Questionnaire</t>
        </is>
      </c>
      <c r="C25" s="24" t="inlineStr">
        <is>
          <t>PARDI-AR-Q</t>
        </is>
      </c>
      <c r="D25" s="24" t="inlineStr">
        <is>
          <t>Body image and eating</t>
        </is>
      </c>
      <c r="E25" s="24" t="inlineStr">
        <is>
          <t>Screens for avoidant/restrictive food intake disorder and identifies the main driver of restricted or avoidant eating.</t>
        </is>
      </c>
      <c r="F25" s="24" t="n">
        <v>29</v>
      </c>
      <c r="G25" s="24" t="inlineStr">
        <is>
          <t>Self report (14+); separate parent or carer version for 4+</t>
        </is>
      </c>
      <c r="H25" s="24" t="inlineStr">
        <is>
          <t>14+ (self report); 4+ (parent/carer version)</t>
        </is>
      </c>
      <c r="I25" s="24" t="n">
        <v>4</v>
      </c>
      <c r="J25" s="24" t="inlineStr">
        <is>
          <t>Sensory-based avoidance, Lack of interest in eating or food, Concern about aversive consequences, Severity of impact (separate psychosocial impairment index)</t>
        </is>
      </c>
      <c r="K25" s="24" t="inlineStr">
        <is>
          <t>Not stated on the page</t>
        </is>
      </c>
      <c r="L25" s="24" t="inlineStr">
        <is>
          <t>3 driver subscales reported separately with no total score; method and cut offs not stated. A positive screen suggests further assessment, not a diagnosis.</t>
        </is>
      </c>
      <c r="M25" s="24" t="inlineStr">
        <is>
          <t>Not given; page mentions validation work without a citation.</t>
        </is>
      </c>
      <c r="N25" s="24" t="inlineStr">
        <is>
          <t>No copyright, licensing, permission or free to use statement on the page</t>
        </is>
      </c>
      <c r="O25" s="24" t="inlineStr">
        <is>
          <t>not stated</t>
        </is>
      </c>
      <c r="P25" s="24" t="inlineStr">
        <is>
          <t>Out of scope for the hub (child, adolescent, sport, eating, clinician or service feedback)</t>
        </is>
      </c>
      <c r="Q25" s="24" t="inlineStr"/>
      <c r="R25" s="24" t="inlineStr"/>
      <c r="S25" s="24" t="inlineStr"/>
      <c r="T25" s="24" t="inlineStr">
        <is>
          <t>https://novopsych.com/assessments/eating/pardi-ar-q-arfid-questionnaire/</t>
        </is>
      </c>
    </row>
    <row r="26">
      <c r="A26" s="24" t="n">
        <v>25</v>
      </c>
      <c r="B26" s="24" t="inlineStr">
        <is>
          <t>Fatigue Assessment Scale</t>
        </is>
      </c>
      <c r="C26" s="24" t="inlineStr">
        <is>
          <t>FAS</t>
        </is>
      </c>
      <c r="D26" s="24" t="inlineStr">
        <is>
          <t>Health</t>
        </is>
      </c>
      <c r="E26" s="24" t="inlineStr">
        <is>
          <t>Measures general fatigue including physical and mental symptoms.</t>
        </is>
      </c>
      <c r="F26" s="24" t="n">
        <v>10</v>
      </c>
      <c r="G26" s="24" t="inlineStr">
        <is>
          <t>Self report</t>
        </is>
      </c>
      <c r="H26" s="24" t="inlineStr">
        <is>
          <t>18+</t>
        </is>
      </c>
      <c r="I26" s="24" t="n">
        <v>2</v>
      </c>
      <c r="J26" s="24" t="inlineStr"/>
      <c r="K26" s="24" t="inlineStr">
        <is>
          <t>Not stated on the page</t>
        </is>
      </c>
      <c r="L26" s="24" t="inlineStr">
        <is>
          <t>Total score: below 22 no substantial fatigue, 22 to 34 mild to moderate (NovoPsych splits into mild 22 to 27 and moderate 28 to 34), 35 or above severe; described as clinical guidelines rather than validated thresholds. Minimal clinically important difference of 4 points.</t>
        </is>
      </c>
      <c r="M26" s="24" t="inlineStr">
        <is>
          <t>Not given on the page.</t>
        </is>
      </c>
      <c r="N26" s="24" t="inlineStr">
        <is>
          <t>No copyright, licensing, permission or free to use statement on the page</t>
        </is>
      </c>
      <c r="O26" s="24" t="inlineStr">
        <is>
          <t>not stated</t>
        </is>
      </c>
      <c r="P26" s="24" t="inlineStr">
        <is>
          <t>Shortlist: screening or clinical (Sarah only if used)</t>
        </is>
      </c>
      <c r="Q26" s="24" t="inlineStr"/>
      <c r="R26" s="24" t="inlineStr"/>
      <c r="S26" s="24" t="inlineStr">
        <is>
          <t>Developer (Michielsen et al., 2003) not cited in fetched content.</t>
        </is>
      </c>
      <c r="T26" s="24" t="inlineStr">
        <is>
          <t>https://novopsych.com/assessments/health/fatigue-assessment-scale-fas/</t>
        </is>
      </c>
    </row>
    <row r="27">
      <c r="A27" s="24" t="n">
        <v>26</v>
      </c>
      <c r="B27" s="24" t="inlineStr">
        <is>
          <t>Swanson, Nolan and Pelham Rating Scale, 18 Item Version</t>
        </is>
      </c>
      <c r="C27" s="24" t="inlineStr">
        <is>
          <t>SNAP-IV</t>
        </is>
      </c>
      <c r="D27" s="24" t="inlineStr">
        <is>
          <t>ADHD, Adolescent, Child, Diagnosis</t>
        </is>
      </c>
      <c r="E27" s="24" t="inlineStr">
        <is>
          <t>Rates difficulties in attention and behavioural regulation in children and adolescents.</t>
        </is>
      </c>
      <c r="F27" s="24" t="n">
        <v>18</v>
      </c>
      <c r="G27" s="24" t="inlineStr">
        <is>
          <t>Informant (parent, caregiver or teacher)</t>
        </is>
      </c>
      <c r="H27" s="24" t="inlineStr">
        <is>
          <t>5 to 17</t>
        </is>
      </c>
      <c r="I27" s="24" t="n">
        <v>3</v>
      </c>
      <c r="J27" s="24" t="inlineStr">
        <is>
          <t>Inattention (9 items), Hyperactivity/Impulsivity (9 items)</t>
        </is>
      </c>
      <c r="K27" s="24" t="inlineStr">
        <is>
          <t>Not stated on the page</t>
        </is>
      </c>
      <c r="L27" s="24" t="inlineStr">
        <is>
          <t>Not available; scoring section empty in fetched content.</t>
        </is>
      </c>
      <c r="M27" s="24" t="inlineStr">
        <is>
          <t>Swanson (1992); Swanson et al. (2012). Journal details not given.</t>
        </is>
      </c>
      <c r="N27" s="24" t="inlineStr">
        <is>
          <t>No copyright, licensing, permission or free to use statement on the page</t>
        </is>
      </c>
      <c r="O27" s="24" t="inlineStr">
        <is>
          <t>not stated</t>
        </is>
      </c>
      <c r="P27" s="24" t="inlineStr">
        <is>
          <t>Out of scope for the hub (child, adolescent, sport, eating, clinician or service feedback)</t>
        </is>
      </c>
      <c r="Q27" s="24" t="inlineStr"/>
      <c r="R27" s="24" t="inlineStr"/>
      <c r="S27" s="24" t="inlineStr">
        <is>
          <t>Scoring and Interpretation and Psychometric sections are rendered client side and were not visible to the fetcher. Note the URL sits under /adhd/ rather than /assessments/.</t>
        </is>
      </c>
      <c r="T27" s="24" t="inlineStr">
        <is>
          <t>https://novopsych.com/adhd/swanson-nolan-and-pelham-rating-scale-snap-iv-18-item-version/</t>
        </is>
      </c>
    </row>
    <row r="28">
      <c r="A28" s="24" t="n">
        <v>27</v>
      </c>
      <c r="B28" s="24" t="inlineStr">
        <is>
          <t>Comprehensive Autistic Trait Inventory</t>
        </is>
      </c>
      <c r="C28" s="24" t="inlineStr">
        <is>
          <t>CATI</t>
        </is>
      </c>
      <c r="D28" s="24" t="inlineStr">
        <is>
          <t>Autism, Diagnosis</t>
        </is>
      </c>
      <c r="E28" s="24" t="inlineStr">
        <is>
          <t>Measures traits and characteristics relevant to identifying autism in adults.</t>
        </is>
      </c>
      <c r="F28" s="24" t="n">
        <v>42</v>
      </c>
      <c r="G28" s="24" t="inlineStr">
        <is>
          <t>Self report</t>
        </is>
      </c>
      <c r="H28" s="24" t="inlineStr">
        <is>
          <t>16+</t>
        </is>
      </c>
      <c r="I28" s="24" t="n">
        <v>7</v>
      </c>
      <c r="J28" s="24" t="inlineStr"/>
      <c r="K28" s="24" t="inlineStr">
        <is>
          <t>Not stated on the page</t>
        </is>
      </c>
      <c r="L28" s="24" t="inlineStr">
        <is>
          <t>Not available; scoring section empty in fetched content.</t>
        </is>
      </c>
      <c r="M28" s="24" t="inlineStr">
        <is>
          <t>English, M. C. W., Gignac, G. E., Visser, T. A. W., Whitehouse, A. J. O., Enns, J. T., &amp; Maybery, M. T. (2021). The Comprehensive Autistic Trait Inventory (CATI). Molecular Autism, 12(1), 37. https://doi.org/10.1186/s13229-021-00445-7</t>
        </is>
      </c>
      <c r="N28" s="24" t="inlineStr">
        <is>
          <t>© 2026 Copyright – NovoPsych – All rights reserved (site wide footer; no instrument specific statement on the page)</t>
        </is>
      </c>
      <c r="O28" s="24" t="inlineStr">
        <is>
          <t>not stated</t>
        </is>
      </c>
      <c r="P28" s="24" t="inlineStr">
        <is>
          <t>Shortlist: screening or clinical (Sarah only if used)</t>
        </is>
      </c>
      <c r="Q28" s="24" t="inlineStr"/>
      <c r="R28" s="24" t="inlineStr"/>
      <c r="S28" s="24" t="inlineStr">
        <is>
          <t>Scoring and Interpretation and Psychometric sections are rendered client side and were not visible to the fetcher. Page directs readers to cati-autism.com for forms and translations; also cites English et al. (2024) preprint.</t>
        </is>
      </c>
      <c r="T28" s="24" t="inlineStr">
        <is>
          <t>https://novopsych.com/assessments/diagnosis/comprehensive-autistic-trait-inventory-cati/</t>
        </is>
      </c>
    </row>
    <row r="29">
      <c r="A29" s="24" t="n">
        <v>28</v>
      </c>
      <c r="B29" s="24" t="inlineStr">
        <is>
          <t>Attachment Style Questionnaire – Short Form</t>
        </is>
      </c>
      <c r="C29" s="24" t="inlineStr">
        <is>
          <t>ASQ-SF</t>
        </is>
      </c>
      <c r="D29" s="24" t="inlineStr">
        <is>
          <t>Formulation</t>
        </is>
      </c>
      <c r="E29" s="24" t="inlineStr">
        <is>
          <t>Measures adult attachment patterns in non clinical and mental health settings.</t>
        </is>
      </c>
      <c r="F29" s="24" t="n">
        <v>29</v>
      </c>
      <c r="G29" s="24" t="inlineStr">
        <is>
          <t>Self report</t>
        </is>
      </c>
      <c r="H29" s="24" t="inlineStr">
        <is>
          <t>15+</t>
        </is>
      </c>
      <c r="I29" s="24" t="n">
        <v>5</v>
      </c>
      <c r="J29" s="24" t="inlineStr"/>
      <c r="K29" s="24" t="inlineStr">
        <is>
          <t>Not stated on the page</t>
        </is>
      </c>
      <c r="L29" s="24" t="inlineStr">
        <is>
          <t>Not available; scoring section empty in fetched content.</t>
        </is>
      </c>
      <c r="M29" s="24" t="inlineStr">
        <is>
          <t>Alexander, R., Feeney, J., Hohaus, L., &amp; Noller, P. (2001). Attachment style and coping resources as predictors of coping strategies in the transition to parenthood. Personal Relationships, 8(2), 137-152.</t>
        </is>
      </c>
      <c r="N29" s="24" t="inlineStr">
        <is>
          <t>© 2026 Copyright – NovoPsych – All rights reserved (site wide footer; no instrument specific statement on the page)</t>
        </is>
      </c>
      <c r="O29" s="24" t="inlineStr">
        <is>
          <t>not stated</t>
        </is>
      </c>
      <c r="P29" s="24" t="inlineStr">
        <is>
          <t>Shortlist: coaching and wellbeing (client facing possible)</t>
        </is>
      </c>
      <c r="Q29" s="24" t="inlineStr"/>
      <c r="R29" s="24" t="inlineStr"/>
      <c r="S29" s="24" t="inlineStr">
        <is>
          <t>Scoring and Interpretation and Psychometric sections are rendered client side and were not visible to the fetcher. Page offers a PDF download without usage terms.</t>
        </is>
      </c>
      <c r="T29" s="24" t="inlineStr">
        <is>
          <t>https://novopsych.com/assessments/formulation/attachment-style-questionnaire-short-form-asq-sf/</t>
        </is>
      </c>
    </row>
    <row r="30">
      <c r="A30" s="24" t="n">
        <v>29</v>
      </c>
      <c r="B30" s="24" t="inlineStr">
        <is>
          <t>Mood Disorder Questionnaire</t>
        </is>
      </c>
      <c r="C30" s="24" t="inlineStr">
        <is>
          <t>MDQ</t>
        </is>
      </c>
      <c r="D30" s="24" t="inlineStr">
        <is>
          <t>Bipolar, Diagnosis, Formulation</t>
        </is>
      </c>
      <c r="E30" s="24" t="inlineStr">
        <is>
          <t>Screens adults for bipolar disorder via lifetime manic and hypomanic symptoms, symptom clustering and functional impairment.</t>
        </is>
      </c>
      <c r="F30" s="24" t="n">
        <v>15</v>
      </c>
      <c r="G30" s="24" t="inlineStr">
        <is>
          <t>Self report</t>
        </is>
      </c>
      <c r="H30" s="24" t="inlineStr">
        <is>
          <t>18+</t>
        </is>
      </c>
      <c r="I30" s="24" t="n">
        <v>3</v>
      </c>
      <c r="J30" s="24" t="inlineStr">
        <is>
          <t>Positive Activation, Negative Activation</t>
        </is>
      </c>
      <c r="K30" s="24" t="inlineStr">
        <is>
          <t>Not stated on the page</t>
        </is>
      </c>
      <c r="L30" s="24" t="inlineStr">
        <is>
          <t>Not available; scoring section empty in fetched content.</t>
        </is>
      </c>
      <c r="M30" s="24" t="inlineStr">
        <is>
          <t>Hirschfeld, R. M. A., Williams, J. B. W., Spitzer, R. L., Calabrese, J. R., Flynn, L., Keck Jr, P. E., et al. (2000). Development and validation of a screening instrument for bipolar spectrum disorder: The Mood Disorder Questionnaire. American Journal of Psychiatry, 157(11), 1873-1875.</t>
        </is>
      </c>
      <c r="N30" s="24" t="inlineStr">
        <is>
          <t>© 2026 Copyright – NovoPsych – All rights reserved (site wide footer; no instrument specific statement on the page)</t>
        </is>
      </c>
      <c r="O30" s="24" t="inlineStr">
        <is>
          <t>not stated</t>
        </is>
      </c>
      <c r="P30" s="24" t="inlineStr">
        <is>
          <t>Shortlist: screening or clinical (Sarah only if used)</t>
        </is>
      </c>
      <c r="Q30" s="24" t="inlineStr"/>
      <c r="R30" s="24" t="inlineStr"/>
      <c r="S30" s="24" t="inlineStr">
        <is>
          <t>Scoring and Interpretation and Psychometric sections are rendered client side and were not visible to the fetcher.</t>
        </is>
      </c>
      <c r="T30" s="24" t="inlineStr">
        <is>
          <t>https://novopsych.com/assessments/diagnosis/mood-disorder-questionnaire-mdq/</t>
        </is>
      </c>
    </row>
    <row r="31">
      <c r="A31" s="24" t="n">
        <v>30</v>
      </c>
      <c r="B31" s="24" t="inlineStr">
        <is>
          <t>Extreme Demand Avoidance Questionnaire – Adult</t>
        </is>
      </c>
      <c r="C31" s="24" t="inlineStr">
        <is>
          <t>EDA-QA</t>
        </is>
      </c>
      <c r="D31" s="24" t="inlineStr">
        <is>
          <t>Autism, Formulation</t>
        </is>
      </c>
      <c r="E31" s="24" t="inlineStr">
        <is>
          <t>Measures demand avoidance characteristics in adults linked to anxiety and a need for control.</t>
        </is>
      </c>
      <c r="F31" s="24" t="n"/>
      <c r="G31" s="24" t="inlineStr">
        <is>
          <t>Self report</t>
        </is>
      </c>
      <c r="H31" s="24" t="inlineStr">
        <is>
          <t>18+</t>
        </is>
      </c>
      <c r="I31" s="24" t="n">
        <v>4</v>
      </c>
      <c r="J31" s="24" t="inlineStr"/>
      <c r="K31" s="24" t="inlineStr">
        <is>
          <t>Not stated on the page</t>
        </is>
      </c>
      <c r="L31" s="24" t="inlineStr">
        <is>
          <t>Results given as percentiles against general population and clinical samples; sum or mean, direction and cut offs not stated.</t>
        </is>
      </c>
      <c r="M31" s="24" t="inlineStr">
        <is>
          <t>Egan et al. (2019). Title and journal not given.</t>
        </is>
      </c>
      <c r="N31" s="24" t="inlineStr">
        <is>
          <t>No copyright, licensing, permission or free to use statement on the page</t>
        </is>
      </c>
      <c r="O31" s="24" t="inlineStr">
        <is>
          <t>not stated</t>
        </is>
      </c>
      <c r="P31" s="24" t="inlineStr">
        <is>
          <t>Shortlist: coaching and wellbeing (client facing possible)</t>
        </is>
      </c>
      <c r="Q31" s="24" t="inlineStr"/>
      <c r="R31" s="24" t="inlineStr"/>
      <c r="S31" s="24" t="inlineStr">
        <is>
          <t>Item count not stated in fetched content. Scoring and Interpretation and Psychometric sections are rendered client side and were not visible to the fetcher.</t>
        </is>
      </c>
      <c r="T31" s="24" t="inlineStr">
        <is>
          <t>https://novopsych.com/assessments/autism/extreme-demand-avoidance-questionnaire-adult-eda-qa/</t>
        </is>
      </c>
    </row>
    <row r="32">
      <c r="A32" s="24" t="n">
        <v>31</v>
      </c>
      <c r="B32" s="24" t="inlineStr">
        <is>
          <t>Extreme Demand Avoidance 8</t>
        </is>
      </c>
      <c r="C32" s="24" t="inlineStr">
        <is>
          <t>EDA-8</t>
        </is>
      </c>
      <c r="D32" s="24" t="inlineStr">
        <is>
          <t>Autism, Adolescent, Child, Formulation</t>
        </is>
      </c>
      <c r="E32" s="24" t="inlineStr">
        <is>
          <t>Pathological (extreme) demand avoidance traits in children and adolescents.</t>
        </is>
      </c>
      <c r="F32" s="24" t="n"/>
      <c r="G32" s="24" t="inlineStr">
        <is>
          <t>Parent or caregiver report</t>
        </is>
      </c>
      <c r="H32" s="24" t="inlineStr">
        <is>
          <t>5 to 17 years</t>
        </is>
      </c>
      <c r="I32" s="24" t="n">
        <v>1</v>
      </c>
      <c r="J32" s="24" t="inlineStr"/>
      <c r="K32" s="24" t="inlineStr">
        <is>
          <t>Not stated on page.</t>
        </is>
      </c>
      <c r="L32" s="24" t="inlineStr">
        <is>
          <t>Not stated on page.</t>
        </is>
      </c>
      <c r="M32" s="24" t="inlineStr">
        <is>
          <t>O'Nions et al. (2021)</t>
        </is>
      </c>
      <c r="N32" s="24" t="inlineStr">
        <is>
          <t>None stated on page.</t>
        </is>
      </c>
      <c r="O32" s="24" t="inlineStr">
        <is>
          <t>not stated</t>
        </is>
      </c>
      <c r="P32" s="24" t="inlineStr">
        <is>
          <t>Out of scope for the hub (child, adolescent, sport, eating, clinician or service feedback)</t>
        </is>
      </c>
      <c r="Q32" s="24" t="inlineStr"/>
      <c r="R32" s="24" t="inlineStr"/>
      <c r="S32" s="24" t="inlineStr">
        <is>
          <t>Item count not shown in fetched text (the EDA-8 is understood to have 8 items). Scoring and Interpretation, Psychometrics and Professional Access sections render client side and were empty in the fetched text. No instrument specific licence statement on page.</t>
        </is>
      </c>
      <c r="T32" s="24" t="inlineStr">
        <is>
          <t>https://novopsych.com/assessments/autism/extreme-demand-avoidance-8-eda-8/</t>
        </is>
      </c>
    </row>
    <row r="33">
      <c r="A33" s="24" t="n">
        <v>32</v>
      </c>
      <c r="B33" s="24" t="inlineStr">
        <is>
          <t>Dimensions of Anger Reactions 5</t>
        </is>
      </c>
      <c r="C33" s="24" t="inlineStr">
        <is>
          <t>DAR-5</t>
        </is>
      </c>
      <c r="D33" s="24" t="inlineStr">
        <is>
          <t>Trauma</t>
        </is>
      </c>
      <c r="E33" s="24" t="inlineStr">
        <is>
          <t>Frequency and impact of anger reactions over the past 4 weeks, particularly after trauma.</t>
        </is>
      </c>
      <c r="F33" s="24" t="n">
        <v>5</v>
      </c>
      <c r="G33" s="24" t="inlineStr">
        <is>
          <t>Self report</t>
        </is>
      </c>
      <c r="H33" s="24" t="inlineStr">
        <is>
          <t>18+</t>
        </is>
      </c>
      <c r="I33" s="24" t="n">
        <v>1</v>
      </c>
      <c r="J33" s="24" t="inlineStr"/>
      <c r="K33" s="24" t="inlineStr">
        <is>
          <t>Not stated on page.</t>
        </is>
      </c>
      <c r="L33" s="24" t="inlineStr">
        <is>
          <t>Not stated on page; individual item scores described as informing treatment planning.</t>
        </is>
      </c>
      <c r="M33" s="24" t="inlineStr">
        <is>
          <t>Not stated on page (page cites DAR-5 psychometric papers only).</t>
        </is>
      </c>
      <c r="N33" s="24" t="inlineStr">
        <is>
          <t>None stated on page.</t>
        </is>
      </c>
      <c r="O33" s="24" t="inlineStr">
        <is>
          <t>not stated</t>
        </is>
      </c>
      <c r="P33" s="24" t="inlineStr">
        <is>
          <t>Shortlist: coaching and wellbeing (client facing possible)</t>
        </is>
      </c>
      <c r="Q33" s="24" t="inlineStr"/>
      <c r="R33" s="24" t="inlineStr"/>
      <c r="S33" s="24" t="inlineStr">
        <is>
          <t>Scoring and Interpretation, Psychometrics and Professional Access sections render client side and were empty in the fetched text. No instrument specific licence statement on page.</t>
        </is>
      </c>
      <c r="T33" s="24" t="inlineStr">
        <is>
          <t>https://novopsych.com/assessments/trauma/dar-5/</t>
        </is>
      </c>
    </row>
    <row r="34">
      <c r="A34" s="24" t="n">
        <v>33</v>
      </c>
      <c r="B34" s="24" t="inlineStr">
        <is>
          <t>Menopause Depression Rating Scale</t>
        </is>
      </c>
      <c r="C34" s="24" t="inlineStr">
        <is>
          <t>MENO-D</t>
        </is>
      </c>
      <c r="D34" s="24" t="inlineStr">
        <is>
          <t>Depression</t>
        </is>
      </c>
      <c r="E34" s="24" t="inlineStr">
        <is>
          <t>Depressive symptoms in perimenopausal women, including physical and psychological symptoms.</t>
        </is>
      </c>
      <c r="F34" s="24" t="n">
        <v>12</v>
      </c>
      <c r="G34" s="24" t="inlineStr">
        <is>
          <t>Self report (implied)</t>
        </is>
      </c>
      <c r="H34" s="24" t="inlineStr">
        <is>
          <t>40+</t>
        </is>
      </c>
      <c r="I34" s="24" t="n">
        <v>2</v>
      </c>
      <c r="J34" s="24" t="inlineStr">
        <is>
          <t>Self, Sexual, Somatic, Cognitive, Sleep</t>
        </is>
      </c>
      <c r="K34" s="24" t="inlineStr">
        <is>
          <t>Not stated on page.</t>
        </is>
      </c>
      <c r="L34" s="24" t="inlineStr">
        <is>
          <t>Total score indicates depression severity with a None to Minimal band; higher scores worse. High score on the self esteem item should prompt self harm risk assessment. No numeric cut offs in fetched text.</t>
        </is>
      </c>
      <c r="M34" s="24" t="inlineStr">
        <is>
          <t>Not stated as developer; page cites Kulkarni (2017) and Gibbs et al. (2015) as background.</t>
        </is>
      </c>
      <c r="N34" s="24" t="inlineStr">
        <is>
          <t>None stated on page.</t>
        </is>
      </c>
      <c r="O34" s="24" t="inlineStr">
        <is>
          <t>not stated</t>
        </is>
      </c>
      <c r="P34" s="24" t="inlineStr">
        <is>
          <t>Shortlist: screening or clinical (Sarah only if used)</t>
        </is>
      </c>
      <c r="Q34" s="24" t="inlineStr"/>
      <c r="R34" s="24" t="inlineStr"/>
      <c r="S34" s="24" t="inlineStr">
        <is>
          <t>Scoring and Interpretation, Psychometrics and Professional Access sections render client side and were empty in the fetched text. No instrument specific licence statement on page.</t>
        </is>
      </c>
      <c r="T34" s="24" t="inlineStr">
        <is>
          <t>https://novopsych.com/assessments/depression/meno-d/</t>
        </is>
      </c>
    </row>
    <row r="35">
      <c r="A35" s="24" t="n">
        <v>34</v>
      </c>
      <c r="B35" s="24" t="inlineStr">
        <is>
          <t>Pain Self-Efficacy Questionnaire</t>
        </is>
      </c>
      <c r="C35" s="24" t="inlineStr">
        <is>
          <t>PSEQ</t>
        </is>
      </c>
      <c r="D35" s="24" t="inlineStr">
        <is>
          <t>Health</t>
        </is>
      </c>
      <c r="E35" s="24" t="inlineStr">
        <is>
          <t>Confidence in performing activities despite ongoing pain.</t>
        </is>
      </c>
      <c r="F35" s="24" t="n">
        <v>10</v>
      </c>
      <c r="G35" s="24" t="inlineStr">
        <is>
          <t>Self report</t>
        </is>
      </c>
      <c r="H35" s="24" t="inlineStr">
        <is>
          <t>18+</t>
        </is>
      </c>
      <c r="I35" s="24" t="n">
        <v>2</v>
      </c>
      <c r="J35" s="24" t="inlineStr"/>
      <c r="K35" s="24" t="inlineStr">
        <is>
          <t>Not stated on page.</t>
        </is>
      </c>
      <c r="L35" s="24" t="inlineStr">
        <is>
          <t>Sum, range 0 to 60, higher is greater self efficacy. Bands: 40+ high, 18 to 29 moderate, 5 to 17 low, 0 to 4 very low; below 22 linked to higher daily opioid use; MCID 6.65 points.</t>
        </is>
      </c>
      <c r="M35" s="24" t="inlineStr">
        <is>
          <t>Nicholas (2007)</t>
        </is>
      </c>
      <c r="N35" s="24" t="inlineStr">
        <is>
          <t>None stated on page.</t>
        </is>
      </c>
      <c r="O35" s="24" t="inlineStr">
        <is>
          <t>not stated</t>
        </is>
      </c>
      <c r="P35" s="24" t="inlineStr">
        <is>
          <t>Shortlist: screening or clinical (Sarah only if used)</t>
        </is>
      </c>
      <c r="Q35" s="24" t="inlineStr"/>
      <c r="R35" s="24" t="inlineStr"/>
      <c r="S35" s="24" t="inlineStr">
        <is>
          <t>FAQ gives 2 to 3 minutes completion time. Scoring and Interpretation, Psychometrics and Professional Access sections render client side and were empty in the fetched text. No instrument specific licence statement on page.</t>
        </is>
      </c>
      <c r="T35" s="24" t="inlineStr">
        <is>
          <t>https://novopsych.com/assessments/health/pain-self-efficacy-questionnaire-pseq/</t>
        </is>
      </c>
    </row>
    <row r="36">
      <c r="A36" s="24" t="n">
        <v>35</v>
      </c>
      <c r="B36" s="24" t="inlineStr">
        <is>
          <t>Autism Treatment Evaluation Checklist</t>
        </is>
      </c>
      <c r="C36" s="24" t="inlineStr">
        <is>
          <t>ATEC</t>
        </is>
      </c>
      <c r="D36" s="24" t="inlineStr">
        <is>
          <t>Autism</t>
        </is>
      </c>
      <c r="E36" s="24" t="inlineStr">
        <is>
          <t>Change in autistic characteristics over time, including response to treatment.</t>
        </is>
      </c>
      <c r="F36" s="24" t="n"/>
      <c r="G36" s="24" t="inlineStr">
        <is>
          <t>Parent or caregiver report</t>
        </is>
      </c>
      <c r="H36" s="24" t="inlineStr">
        <is>
          <t>2+ (children and adults)</t>
        </is>
      </c>
      <c r="I36" s="24" t="n">
        <v>13</v>
      </c>
      <c r="J36" s="24" t="inlineStr">
        <is>
          <t>Speech/Language/Communication, Sociability, Sensory/Cognitive Awareness, Health/Physical/Behaviour</t>
        </is>
      </c>
      <c r="K36" s="24" t="inlineStr">
        <is>
          <t>Not stated on page.</t>
        </is>
      </c>
      <c r="L36" s="24" t="inlineStr">
        <is>
          <t>Percentile ranges generated per subscale; lower scores indicate fewer autistic characteristics and scores typically decrease with age. No cut offs stated.</t>
        </is>
      </c>
      <c r="M36" s="24" t="inlineStr">
        <is>
          <t>Not stated as developer; page cites Jarusiewicz (2002) and Magiati et al. (2011).</t>
        </is>
      </c>
      <c r="N36" s="24" t="inlineStr">
        <is>
          <t>None stated on page.</t>
        </is>
      </c>
      <c r="O36" s="24" t="inlineStr">
        <is>
          <t>not stated</t>
        </is>
      </c>
      <c r="P36" s="24" t="inlineStr">
        <is>
          <t>Out of scope for the hub (not self report)</t>
        </is>
      </c>
      <c r="Q36" s="24" t="inlineStr"/>
      <c r="R36" s="24" t="inlineStr"/>
      <c r="S36" s="24" t="inlineStr">
        <is>
          <t>Item count not in fetched text. Scoring and Interpretation, Psychometrics and Professional Access sections render client side and were empty in the fetched text. No instrument specific licence statement on page.</t>
        </is>
      </c>
      <c r="T36" s="24" t="inlineStr">
        <is>
          <t>https://novopsych.com/assessments/autism/autism-treatment-evaluation-checklist-atec/</t>
        </is>
      </c>
    </row>
    <row r="37">
      <c r="A37" s="24" t="n">
        <v>36</v>
      </c>
      <c r="B37" s="24" t="inlineStr">
        <is>
          <t>Death Anxiety Beliefs and Behaviours Scale</t>
        </is>
      </c>
      <c r="C37" s="24" t="inlineStr">
        <is>
          <t>DABBS</t>
        </is>
      </c>
      <c r="D37" s="24" t="inlineStr">
        <is>
          <t>Formulation</t>
        </is>
      </c>
      <c r="E37" s="24" t="inlineStr">
        <is>
          <t>Death anxiety, described as fears of death or dying, across affect, beliefs and behaviours.</t>
        </is>
      </c>
      <c r="F37" s="24" t="n">
        <v>18</v>
      </c>
      <c r="G37" s="24" t="inlineStr">
        <is>
          <t>Self report</t>
        </is>
      </c>
      <c r="H37" s="24" t="inlineStr">
        <is>
          <t>18+</t>
        </is>
      </c>
      <c r="I37" s="24" t="n">
        <v>3</v>
      </c>
      <c r="J37" s="24" t="inlineStr">
        <is>
          <t>Affect, Beliefs, Behaviours</t>
        </is>
      </c>
      <c r="K37" s="24" t="inlineStr">
        <is>
          <t>Not stated on page.</t>
        </is>
      </c>
      <c r="L37" s="24" t="inlineStr">
        <is>
          <t>Total score with clinical cut off of 55; minimally important difference of 7 points for monitoring change. Higher scores indicate greater death anxiety.</t>
        </is>
      </c>
      <c r="M37" s="24" t="inlineStr">
        <is>
          <t>Not stated on page; article author is Dr David Hegarty (NovoPsych).</t>
        </is>
      </c>
      <c r="N37" s="24" t="inlineStr">
        <is>
          <t>None stated on page.</t>
        </is>
      </c>
      <c r="O37" s="24" t="inlineStr">
        <is>
          <t>not stated</t>
        </is>
      </c>
      <c r="P37" s="24" t="inlineStr">
        <is>
          <t>Shortlist: coaching and wellbeing (client facing possible)</t>
        </is>
      </c>
      <c r="Q37" s="24" t="inlineStr"/>
      <c r="R37" s="24" t="inlineStr"/>
      <c r="S37" s="24" t="inlineStr">
        <is>
          <t>Scoring and Interpretation, Psychometrics and Professional Access sections render client side and were empty in the fetched text. No instrument specific licence statement on page.</t>
        </is>
      </c>
      <c r="T37" s="24" t="inlineStr">
        <is>
          <t>https://novopsych.com/assessments/formulation/death-anxiety-beliefs-and-behaviours-scale-dabbs/</t>
        </is>
      </c>
    </row>
    <row r="38">
      <c r="A38" s="24" t="n">
        <v>37</v>
      </c>
      <c r="B38" s="24" t="inlineStr">
        <is>
          <t>Couples Satisfaction Index 16</t>
        </is>
      </c>
      <c r="C38" s="24" t="inlineStr">
        <is>
          <t>CSI-16</t>
        </is>
      </c>
      <c r="D38" s="24" t="inlineStr">
        <is>
          <t>Well-being</t>
        </is>
      </c>
      <c r="E38" s="24" t="inlineStr">
        <is>
          <t>Romantic relationship satisfaction and functioning.</t>
        </is>
      </c>
      <c r="F38" s="24" t="n">
        <v>16</v>
      </c>
      <c r="G38" s="24" t="inlineStr">
        <is>
          <t>Self report (one or both partners separately)</t>
        </is>
      </c>
      <c r="H38" s="24" t="inlineStr">
        <is>
          <t>18+</t>
        </is>
      </c>
      <c r="I38" s="24" t="n">
        <v>3</v>
      </c>
      <c r="J38" s="24" t="inlineStr"/>
      <c r="K38" s="24" t="inlineStr">
        <is>
          <t>Not stated on page.</t>
        </is>
      </c>
      <c r="L38" s="24" t="inlineStr">
        <is>
          <t>Total score, higher is greater satisfaction; clinical cut off 51.5 with scores below indicating relationship distress; reliable change approximately 8 to 10 points.</t>
        </is>
      </c>
      <c r="M38" s="24" t="inlineStr">
        <is>
          <t>Funk, J. L., &amp; Rogge, R. D. (2007). Journal of Family Psychology, 21(4), 572 to 583. doi:10.1037/0893-3200.21.4.572</t>
        </is>
      </c>
      <c r="N38" s="24" t="inlineStr">
        <is>
          <t>© 2026 Copyright – NovoPsych – All rights reserved (site footer only)</t>
        </is>
      </c>
      <c r="O38" s="24" t="inlineStr">
        <is>
          <t>not stated</t>
        </is>
      </c>
      <c r="P38" s="24" t="inlineStr">
        <is>
          <t>Shortlist: coaching and wellbeing (client facing possible)</t>
        </is>
      </c>
      <c r="Q38" s="24" t="inlineStr"/>
      <c r="R38" s="24" t="inlineStr"/>
      <c r="S38" s="24" t="inlineStr">
        <is>
          <t>PDF download offered without stated licence. Scoring and Interpretation, Psychometrics and Professional Access sections render client side and were empty in the fetched text. No instrument specific licence statement on page.</t>
        </is>
      </c>
      <c r="T38" s="24" t="inlineStr">
        <is>
          <t>https://novopsych.com/assessments/well-being/couples-satisfaction-index-csi-16/</t>
        </is>
      </c>
    </row>
    <row r="39">
      <c r="A39" s="24" t="n">
        <v>38</v>
      </c>
      <c r="B39" s="24" t="inlineStr">
        <is>
          <t>State Difficulties in Emotion Regulation Scale</t>
        </is>
      </c>
      <c r="C39" s="24" t="inlineStr">
        <is>
          <t>S-DERS</t>
        </is>
      </c>
      <c r="D39" s="24" t="inlineStr">
        <is>
          <t>Formulation</t>
        </is>
      </c>
      <c r="E39" s="24" t="inlineStr">
        <is>
          <t>Momentary (state) difficulties in emotion regulation across 4 dimensions.</t>
        </is>
      </c>
      <c r="F39" s="24" t="n"/>
      <c r="G39" s="24" t="inlineStr">
        <is>
          <t>Self report</t>
        </is>
      </c>
      <c r="H39" s="24" t="inlineStr">
        <is>
          <t>18+</t>
        </is>
      </c>
      <c r="I39" s="24" t="n">
        <v>4</v>
      </c>
      <c r="J39" s="24" t="inlineStr">
        <is>
          <t>Nonacceptance, Modulate, Awareness, Clarity</t>
        </is>
      </c>
      <c r="K39" s="24" t="inlineStr">
        <is>
          <t>5 point, 1 Not at all to 5 Completely, rated for right now</t>
        </is>
      </c>
      <c r="L39" s="24" t="inlineStr">
        <is>
          <t>Not stated on page.</t>
        </is>
      </c>
      <c r="M39" s="24" t="inlineStr">
        <is>
          <t>Not stated on page.</t>
        </is>
      </c>
      <c r="N39" s="24" t="inlineStr">
        <is>
          <t>None stated on page.</t>
        </is>
      </c>
      <c r="O39" s="24" t="inlineStr">
        <is>
          <t>not stated</t>
        </is>
      </c>
      <c r="P39" s="24" t="inlineStr">
        <is>
          <t>Shortlist: coaching and wellbeing (client facing possible)</t>
        </is>
      </c>
      <c r="Q39" s="24" t="inlineStr"/>
      <c r="R39" s="24" t="inlineStr"/>
      <c r="S39" s="24" t="inlineStr">
        <is>
          <t>Item count not in fetched text. Scoring and Interpretation, Psychometrics and Professional Access sections render client side and were empty in the fetched text. No instrument specific licence statement on page.</t>
        </is>
      </c>
      <c r="T39" s="24" t="inlineStr">
        <is>
          <t>https://novopsych.com/assessments/formulation/state-difficulties-in-emotion-regulation-scale-s-ders/</t>
        </is>
      </c>
    </row>
    <row r="40">
      <c r="A40" s="24" t="n">
        <v>39</v>
      </c>
      <c r="B40" s="24" t="inlineStr">
        <is>
          <t>Ten Item Personality Inventory</t>
        </is>
      </c>
      <c r="C40" s="24" t="inlineStr">
        <is>
          <t>TIPI</t>
        </is>
      </c>
      <c r="D40" s="24" t="inlineStr">
        <is>
          <t>Personality</t>
        </is>
      </c>
      <c r="E40" s="24" t="inlineStr">
        <is>
          <t>Brief measure of the Big Five personality domains.</t>
        </is>
      </c>
      <c r="F40" s="24" t="n">
        <v>10</v>
      </c>
      <c r="G40" s="24" t="inlineStr">
        <is>
          <t>Self report</t>
        </is>
      </c>
      <c r="H40" s="24" t="inlineStr">
        <is>
          <t>18+</t>
        </is>
      </c>
      <c r="I40" s="24" t="n">
        <v>2</v>
      </c>
      <c r="J40" s="24" t="inlineStr">
        <is>
          <t>Extraversion, Agreeableness, Conscientiousness, Emotional Stability, Openness to Experience</t>
        </is>
      </c>
      <c r="K40" s="24" t="inlineStr">
        <is>
          <t>7 point agreement scale; anchor labels not given on page</t>
        </is>
      </c>
      <c r="L40" s="24" t="inlineStr">
        <is>
          <t>Each domain is the mean of its 2 items (range 1 to 7), higher is more of the trait; reported as percentile ranks against norms, no cut offs.</t>
        </is>
      </c>
      <c r="M40" s="24" t="inlineStr">
        <is>
          <t>Gosling et al. (2003)</t>
        </is>
      </c>
      <c r="N40" s="24" t="inlineStr">
        <is>
          <t>None stated on page.</t>
        </is>
      </c>
      <c r="O40" s="24" t="inlineStr">
        <is>
          <t>not stated</t>
        </is>
      </c>
      <c r="P40" s="24" t="inlineStr">
        <is>
          <t>Shortlist: coaching and wellbeing (client facing possible)</t>
        </is>
      </c>
      <c r="Q40" s="24" t="inlineStr"/>
      <c r="R40" s="24" t="inlineStr"/>
      <c r="S40" s="24" t="inlineStr">
        <is>
          <t>Scoring and Interpretation, Psychometrics and Professional Access sections render client side and were empty in the fetched text. No instrument specific licence statement on page.</t>
        </is>
      </c>
      <c r="T40" s="24" t="inlineStr">
        <is>
          <t>https://novopsych.com/personality/ten-item-personality-inventory-tipi/</t>
        </is>
      </c>
    </row>
    <row r="41">
      <c r="A41" s="24" t="n">
        <v>40</v>
      </c>
      <c r="B41" s="24" t="inlineStr">
        <is>
          <t>Perfectionistic Cognitions Inventory</t>
        </is>
      </c>
      <c r="C41" s="24" t="inlineStr">
        <is>
          <t>PCI</t>
        </is>
      </c>
      <c r="D41" s="24" t="inlineStr">
        <is>
          <t>Formulation, Adolescent</t>
        </is>
      </c>
      <c r="E41" s="24" t="inlineStr">
        <is>
          <t>Frequency of automatic perfectionistic thoughts, including self critical thinking.</t>
        </is>
      </c>
      <c r="F41" s="24" t="n"/>
      <c r="G41" s="24" t="inlineStr">
        <is>
          <t>Self report (implied)</t>
        </is>
      </c>
      <c r="H41" s="24" t="inlineStr">
        <is>
          <t>15+</t>
        </is>
      </c>
      <c r="I41" s="24" t="n">
        <v>4</v>
      </c>
      <c r="J41" s="24" t="inlineStr"/>
      <c r="K41" s="24" t="inlineStr">
        <is>
          <t>Not stated on page.</t>
        </is>
      </c>
      <c r="L41" s="24" t="inlineStr">
        <is>
          <t>Not stated on page.</t>
        </is>
      </c>
      <c r="M41" s="24" t="inlineStr">
        <is>
          <t>Not stated as developer; page cites Flett et al. (1998, 2007).</t>
        </is>
      </c>
      <c r="N41" s="24" t="inlineStr">
        <is>
          <t>None stated on page.</t>
        </is>
      </c>
      <c r="O41" s="24" t="inlineStr">
        <is>
          <t>not stated</t>
        </is>
      </c>
      <c r="P41" s="24" t="inlineStr">
        <is>
          <t>Already in codebook</t>
        </is>
      </c>
      <c r="Q41" s="24" t="inlineStr"/>
      <c r="R41" s="24" t="inlineStr"/>
      <c r="S41" s="24" t="inlineStr">
        <is>
          <t>Item count not in fetched text. Scoring and Interpretation, Psychometrics and Professional Access sections render client side and were empty in the fetched text. No instrument specific licence statement on page.</t>
        </is>
      </c>
      <c r="T41" s="24" t="inlineStr">
        <is>
          <t>https://novopsych.com/assessments/formulation/perfectionistic-cognitions-inventory-pci/</t>
        </is>
      </c>
    </row>
    <row r="42">
      <c r="A42" s="24" t="n">
        <v>41</v>
      </c>
      <c r="B42" s="24" t="inlineStr">
        <is>
          <t>Phobic Stimuli Response Scale</t>
        </is>
      </c>
      <c r="C42" s="24" t="inlineStr">
        <is>
          <t>PSRS</t>
        </is>
      </c>
      <c r="D42" s="24" t="inlineStr">
        <is>
          <t>Anxiety, Clinician self assessment</t>
        </is>
      </c>
      <c r="E42" s="24" t="inlineStr">
        <is>
          <t>Fear responses across 5 specific phobia subtypes, covering cognitive and emotional components.</t>
        </is>
      </c>
      <c r="F42" s="24" t="n"/>
      <c r="G42" s="24" t="inlineStr">
        <is>
          <t>Self report</t>
        </is>
      </c>
      <c r="H42" s="24" t="inlineStr">
        <is>
          <t>18+</t>
        </is>
      </c>
      <c r="I42" s="24" t="n">
        <v>8</v>
      </c>
      <c r="J42" s="24" t="inlineStr">
        <is>
          <t>Blood-injection (only subtype named in fetched text; 5 subtypes in total)</t>
        </is>
      </c>
      <c r="K42" s="24" t="inlineStr">
        <is>
          <t>Not stated on page.</t>
        </is>
      </c>
      <c r="L42" s="24" t="inlineStr">
        <is>
          <t>Not stated on page.</t>
        </is>
      </c>
      <c r="M42" s="24" t="inlineStr">
        <is>
          <t>Cutshall and Watson (2004)</t>
        </is>
      </c>
      <c r="N42" s="24" t="inlineStr">
        <is>
          <t>None stated on page.</t>
        </is>
      </c>
      <c r="O42" s="24" t="inlineStr">
        <is>
          <t>not stated</t>
        </is>
      </c>
      <c r="P42" s="24" t="inlineStr">
        <is>
          <t>Out of scope for the hub (child, adolescent, sport, eating, clinician or service feedback)</t>
        </is>
      </c>
      <c r="Q42" s="24" t="inlineStr"/>
      <c r="R42" s="24" t="inlineStr"/>
      <c r="S42" s="24" t="inlineStr">
        <is>
          <t>Item count and full subscale list not in fetched text. Scoring and Interpretation, Psychometrics and Professional Access sections render client side and were empty in the fetched text. No instrument specific licence statement on page.</t>
        </is>
      </c>
      <c r="T42" s="24" t="inlineStr">
        <is>
          <t>https://novopsych.com/assessments/anxiety/phobic-stimuli-response-scale-psrs/</t>
        </is>
      </c>
    </row>
    <row r="43">
      <c r="A43" s="24" t="n">
        <v>42</v>
      </c>
      <c r="B43" s="24" t="inlineStr">
        <is>
          <t>Herth Hope Index</t>
        </is>
      </c>
      <c r="C43" s="24" t="inlineStr">
        <is>
          <t>HHI</t>
        </is>
      </c>
      <c r="D43" s="24" t="inlineStr">
        <is>
          <t>Well-being</t>
        </is>
      </c>
      <c r="E43" s="24" t="inlineStr">
        <is>
          <t>Levels of hope and change in hope over time in adults experiencing illness.</t>
        </is>
      </c>
      <c r="F43" s="24" t="n">
        <v>12</v>
      </c>
      <c r="G43" s="24" t="inlineStr">
        <is>
          <t>Self report</t>
        </is>
      </c>
      <c r="H43" s="24" t="inlineStr">
        <is>
          <t>18+</t>
        </is>
      </c>
      <c r="I43" s="24" t="n">
        <v>2</v>
      </c>
      <c r="J43" s="24" t="inlineStr">
        <is>
          <t>Temporality and future, Positive readiness and expectancy, Interconnectedness</t>
        </is>
      </c>
      <c r="K43" s="24" t="inlineStr">
        <is>
          <t>Not stated on page.</t>
        </is>
      </c>
      <c r="L43" s="24" t="inlineStr">
        <is>
          <t>Not stated on page.</t>
        </is>
      </c>
      <c r="M43" s="24" t="inlineStr">
        <is>
          <t>Herth, K. (1992). Journal of Advanced Nursing, 17(10), 1251 to 1259. doi:10.1111/j.1365-2648.1992.tb01843.x</t>
        </is>
      </c>
      <c r="N43" s="24" t="inlineStr">
        <is>
          <t>© 2026 Copyright – NovoPsych – All rights reserved (site footer only)</t>
        </is>
      </c>
      <c r="O43" s="24" t="inlineStr">
        <is>
          <t>not stated</t>
        </is>
      </c>
      <c r="P43" s="24" t="inlineStr">
        <is>
          <t>Shortlist: coaching and wellbeing (client facing possible)</t>
        </is>
      </c>
      <c r="Q43" s="24" t="inlineStr"/>
      <c r="R43" s="24" t="inlineStr"/>
      <c r="S43" s="24" t="inlineStr">
        <is>
          <t>Subscale names inferred from dimensions mentioned in text; not formally listed. PDF offered without stated licence. Scoring and Interpretation, Psychometrics and Professional Access sections render client side and were empty in the fetched text. No instrument specific licence statement on page.</t>
        </is>
      </c>
      <c r="T43" s="24" t="inlineStr">
        <is>
          <t>https://novopsych.com/assessments/well-being/herth-hope-index-hhi/</t>
        </is>
      </c>
    </row>
    <row r="44">
      <c r="A44" s="24" t="n">
        <v>43</v>
      </c>
      <c r="B44" s="24" t="inlineStr">
        <is>
          <t>Drug Use Disorders Identification Test</t>
        </is>
      </c>
      <c r="C44" s="24" t="inlineStr">
        <is>
          <t>DUDIT</t>
        </is>
      </c>
      <c r="D44" s="24" t="inlineStr">
        <is>
          <t>Addiction</t>
        </is>
      </c>
      <c r="E44" s="24" t="inlineStr">
        <is>
          <t>Drug involvement including frequency of use, dependence symptoms and drug related problems.</t>
        </is>
      </c>
      <c r="F44" s="24" t="n"/>
      <c r="G44" s="24" t="inlineStr">
        <is>
          <t>Self report</t>
        </is>
      </c>
      <c r="H44" s="24" t="inlineStr">
        <is>
          <t>18+</t>
        </is>
      </c>
      <c r="I44" s="24" t="n">
        <v>2</v>
      </c>
      <c r="J44" s="24" t="inlineStr"/>
      <c r="K44" s="24" t="inlineStr">
        <is>
          <t>Not stated on page.</t>
        </is>
      </c>
      <c r="L44" s="24" t="inlineStr">
        <is>
          <t>Sum, range 0 to 44, higher is more drug related problems. Cut offs: men 6+ and women 2+ indicate probable drug related problems; 25+ indicates probable dependence.</t>
        </is>
      </c>
      <c r="M44" s="24" t="inlineStr">
        <is>
          <t>Not stated on page.</t>
        </is>
      </c>
      <c r="N44" s="24" t="inlineStr">
        <is>
          <t>None stated on page.</t>
        </is>
      </c>
      <c r="O44" s="24" t="inlineStr">
        <is>
          <t>not stated</t>
        </is>
      </c>
      <c r="P44" s="24" t="inlineStr">
        <is>
          <t>Shortlist: screening or clinical (Sarah only if used)</t>
        </is>
      </c>
      <c r="Q44" s="24" t="inlineStr"/>
      <c r="R44" s="24" t="inlineStr"/>
      <c r="S44" s="24" t="inlineStr">
        <is>
          <t>Item count not in fetched text (DUDIT is understood to have 11 items). FAQ gives 5 to 10 minutes. Scoring and Interpretation, Psychometrics and Professional Access sections render client side and were empty in the fetched text. No instrument specific licence statement on page.</t>
        </is>
      </c>
      <c r="T44" s="24" t="inlineStr">
        <is>
          <t>https://novopsych.com/assessments/addiction/drug-use-disorders-identification-test-dudit/</t>
        </is>
      </c>
    </row>
    <row r="45">
      <c r="A45" s="24" t="n">
        <v>44</v>
      </c>
      <c r="B45" s="24" t="inlineStr">
        <is>
          <t>Brief Resilience Scale</t>
        </is>
      </c>
      <c r="C45" s="24" t="inlineStr">
        <is>
          <t>BRS</t>
        </is>
      </c>
      <c r="D45" s="24" t="inlineStr">
        <is>
          <t>Formulation</t>
        </is>
      </c>
      <c r="E45" s="24" t="inlineStr">
        <is>
          <t>Ability to bounce back or recover from stress and adversity.</t>
        </is>
      </c>
      <c r="F45" s="24" t="n">
        <v>6</v>
      </c>
      <c r="G45" s="24" t="inlineStr">
        <is>
          <t>Self report</t>
        </is>
      </c>
      <c r="H45" s="24" t="inlineStr">
        <is>
          <t>18+</t>
        </is>
      </c>
      <c r="I45" s="24" t="n">
        <v>1</v>
      </c>
      <c r="J45" s="24" t="inlineStr"/>
      <c r="K45" s="24" t="inlineStr">
        <is>
          <t>Not stated on page.</t>
        </is>
      </c>
      <c r="L45" s="24" t="inlineStr">
        <is>
          <t>Not stated on page.</t>
        </is>
      </c>
      <c r="M45" s="24" t="inlineStr">
        <is>
          <t>Smith et al. (2008)</t>
        </is>
      </c>
      <c r="N45" s="24" t="inlineStr">
        <is>
          <t>None stated on page.</t>
        </is>
      </c>
      <c r="O45" s="24" t="inlineStr">
        <is>
          <t>not stated</t>
        </is>
      </c>
      <c r="P45" s="24" t="inlineStr">
        <is>
          <t>Shortlist: coaching and wellbeing (client facing possible)</t>
        </is>
      </c>
      <c r="Q45" s="24" t="inlineStr"/>
      <c r="R45" s="24" t="inlineStr"/>
      <c r="S45" s="24" t="inlineStr">
        <is>
          <t>Scoring and Interpretation, Psychometrics and Professional Access sections render client side and were empty in the fetched text. No instrument specific licence statement on page.</t>
        </is>
      </c>
      <c r="T45" s="24" t="inlineStr">
        <is>
          <t>https://novopsych.com/assessments/formulation/brief-resilience-scale/</t>
        </is>
      </c>
    </row>
    <row r="46">
      <c r="A46" s="24" t="n">
        <v>45</v>
      </c>
      <c r="B46" s="24" t="inlineStr">
        <is>
          <t>Life Orientation Test Revised</t>
        </is>
      </c>
      <c r="C46" s="24" t="inlineStr">
        <is>
          <t>LOT-R</t>
        </is>
      </c>
      <c r="D46" s="24" t="inlineStr">
        <is>
          <t>Formulation</t>
        </is>
      </c>
      <c r="E46" s="24" t="inlineStr">
        <is>
          <t>Dispositional optimism, as generalised positive expectancies about future outcomes.</t>
        </is>
      </c>
      <c r="F46" s="24" t="n">
        <v>10</v>
      </c>
      <c r="G46" s="24" t="inlineStr">
        <is>
          <t>Self report</t>
        </is>
      </c>
      <c r="H46" s="24" t="inlineStr">
        <is>
          <t>14+</t>
        </is>
      </c>
      <c r="I46" s="24" t="n">
        <v>2</v>
      </c>
      <c r="J46" s="24" t="inlineStr">
        <is>
          <t>Optimism, Pessimism</t>
        </is>
      </c>
      <c r="K46" s="24" t="inlineStr">
        <is>
          <t>Not stated on page.</t>
        </is>
      </c>
      <c r="L46" s="24" t="inlineStr">
        <is>
          <t>Method not stated. Percentile guidance: below 30th percentile (under 13) may indicate problematic pessimism; above 75th percentile (over 19) indicates high optimism.</t>
        </is>
      </c>
      <c r="M46" s="24" t="inlineStr">
        <is>
          <t>Scheier, Carver, &amp; Bridges (1994); original LOT Scheier &amp; Carver (1985).</t>
        </is>
      </c>
      <c r="N46" s="24" t="inlineStr">
        <is>
          <t>None stated on page.</t>
        </is>
      </c>
      <c r="O46" s="24" t="inlineStr">
        <is>
          <t>not stated</t>
        </is>
      </c>
      <c r="P46" s="24" t="inlineStr">
        <is>
          <t>Shortlist: coaching and wellbeing (client facing possible)</t>
        </is>
      </c>
      <c r="Q46" s="24" t="inlineStr"/>
      <c r="R46" s="24" t="inlineStr"/>
      <c r="S46" s="24" t="inlineStr">
        <is>
          <t>Scoring and Interpretation, Psychometrics and Professional Access sections render client side and were empty in the fetched text. No instrument specific licence statement on page.</t>
        </is>
      </c>
      <c r="T46" s="24" t="inlineStr">
        <is>
          <t>https://novopsych.com/assessments/formulation/life-orientation-test-revised/</t>
        </is>
      </c>
    </row>
    <row r="47">
      <c r="A47" s="24" t="n">
        <v>46</v>
      </c>
      <c r="B47" s="24" t="inlineStr">
        <is>
          <t>Athlete Psychological Strain Questionnaire</t>
        </is>
      </c>
      <c r="C47" s="24" t="inlineStr">
        <is>
          <t>APSQ</t>
        </is>
      </c>
      <c r="D47" s="24" t="inlineStr">
        <is>
          <t>Sport</t>
        </is>
      </c>
      <c r="E47" s="24" t="inlineStr">
        <is>
          <t>Psychological distress and strain in elite athletes.</t>
        </is>
      </c>
      <c r="F47" s="24" t="n">
        <v>10</v>
      </c>
      <c r="G47" s="24" t="inlineStr">
        <is>
          <t>Self report</t>
        </is>
      </c>
      <c r="H47" s="24" t="inlineStr">
        <is>
          <t>18+</t>
        </is>
      </c>
      <c r="I47" s="24" t="n">
        <v>2</v>
      </c>
      <c r="J47" s="24" t="inlineStr">
        <is>
          <t>Self-Regulation, Performance, External Coping</t>
        </is>
      </c>
      <c r="K47" s="24" t="inlineStr">
        <is>
          <t>Not stated on page.</t>
        </is>
      </c>
      <c r="L47" s="24" t="inlineStr">
        <is>
          <t>Not stated on page.</t>
        </is>
      </c>
      <c r="M47" s="24" t="inlineStr">
        <is>
          <t>Rice, S.M., et al. (2020). International Journal of Sport and Exercise Psychology, 18(6), 850 to 865. doi:10.1080/1612197X.2019.1611900</t>
        </is>
      </c>
      <c r="N47" s="24" t="inlineStr">
        <is>
          <t>© 2026 Copyright – NovoPsych – All rights reserved (site footer only)</t>
        </is>
      </c>
      <c r="O47" s="24" t="inlineStr">
        <is>
          <t>not stated</t>
        </is>
      </c>
      <c r="P47" s="24" t="inlineStr">
        <is>
          <t>Out of scope for the hub (child, adolescent, sport, eating, clinician or service feedback)</t>
        </is>
      </c>
      <c r="Q47" s="24" t="inlineStr"/>
      <c r="R47" s="24" t="inlineStr"/>
      <c r="S47" s="24" t="inlineStr">
        <is>
          <t>PDF offered without stated licence. Scoring and Interpretation, Psychometrics and Professional Access sections render client side and were empty in the fetched text. No instrument specific licence statement on page.</t>
        </is>
      </c>
      <c r="T47" s="24" t="inlineStr">
        <is>
          <t>https://novopsych.com/assessments/sport-assessments/athlete-psychological-strain-questionnaire/</t>
        </is>
      </c>
    </row>
    <row r="48">
      <c r="A48" s="24" t="n">
        <v>47</v>
      </c>
      <c r="B48" s="24" t="inlineStr">
        <is>
          <t>Strengths and Stressors</t>
        </is>
      </c>
      <c r="C48" s="24" t="inlineStr">
        <is>
          <t>SAS</t>
        </is>
      </c>
      <c r="D48" s="24" t="inlineStr">
        <is>
          <t>Child</t>
        </is>
      </c>
      <c r="E48" s="24" t="inlineStr">
        <is>
          <t>Family functioning and child psychosocial wellbeing in child protection settings.</t>
        </is>
      </c>
      <c r="F48" s="24" t="n">
        <v>56</v>
      </c>
      <c r="G48" s="24" t="inlineStr">
        <is>
          <t>Clinician rated</t>
        </is>
      </c>
      <c r="H48" s="24" t="inlineStr">
        <is>
          <t>1 to 17 years</t>
        </is>
      </c>
      <c r="I48" s="24" t="n">
        <v>3</v>
      </c>
      <c r="J48" s="24" t="inlineStr">
        <is>
          <t>Environment, Social Support, Parental Capabilities, Family Interactions, Family Safety, Child Well-Being</t>
        </is>
      </c>
      <c r="K48" s="24" t="inlineStr">
        <is>
          <t>Bidirectional 6 point, -3 serious stressor to +2 clear strength</t>
        </is>
      </c>
      <c r="L48" s="24" t="inlineStr">
        <is>
          <t>Not stated on page.</t>
        </is>
      </c>
      <c r="M48" s="24" t="inlineStr">
        <is>
          <t>Berry et al. (2003)</t>
        </is>
      </c>
      <c r="N48" s="24" t="inlineStr">
        <is>
          <t>None stated on page.</t>
        </is>
      </c>
      <c r="O48" s="24" t="inlineStr">
        <is>
          <t>not stated</t>
        </is>
      </c>
      <c r="P48" s="24" t="inlineStr">
        <is>
          <t>Out of scope for the hub (child, adolescent, sport, eating, clinician or service feedback)</t>
        </is>
      </c>
      <c r="Q48" s="24" t="inlineStr"/>
      <c r="R48" s="24" t="inlineStr"/>
      <c r="S48" s="24" t="inlineStr">
        <is>
          <t>Scoring and Interpretation, Psychometrics and Professional Access sections render client side and were empty in the fetched text. No instrument specific licence statement on page.</t>
        </is>
      </c>
      <c r="T48" s="24" t="inlineStr">
        <is>
          <t>https://novopsych.com/assessments/child/strengths-and-stressors/</t>
        </is>
      </c>
    </row>
    <row r="49">
      <c r="A49" s="24" t="n">
        <v>48</v>
      </c>
      <c r="B49" s="24" t="inlineStr">
        <is>
          <t>UPPS-P Impulsive Behavior Scale</t>
        </is>
      </c>
      <c r="C49" s="24" t="inlineStr">
        <is>
          <t>UPPS-P</t>
        </is>
      </c>
      <c r="D49" s="24" t="inlineStr">
        <is>
          <t>ADHD, Adolescent, Formulation</t>
        </is>
      </c>
      <c r="E49" s="24" t="inlineStr">
        <is>
          <t>Multidimensional impulsive personality traits.</t>
        </is>
      </c>
      <c r="F49" s="24" t="n">
        <v>59</v>
      </c>
      <c r="G49" s="24" t="inlineStr">
        <is>
          <t>Self report</t>
        </is>
      </c>
      <c r="H49" s="24" t="inlineStr">
        <is>
          <t>13+</t>
        </is>
      </c>
      <c r="I49" s="24" t="n">
        <v>10</v>
      </c>
      <c r="J49" s="24" t="inlineStr">
        <is>
          <t>Negative Urgency, Positive Urgency, Lack of Premeditation, Lack of Perseverance, Sensation Seeking</t>
        </is>
      </c>
      <c r="K49" s="24" t="inlineStr">
        <is>
          <t>Not stated on page.</t>
        </is>
      </c>
      <c r="L49" s="24" t="inlineStr">
        <is>
          <t>Not stated on page.</t>
        </is>
      </c>
      <c r="M49" s="24" t="inlineStr">
        <is>
          <t>Cyders et al. (2007); original UPPS Whiteside &amp; Lynam (2001).</t>
        </is>
      </c>
      <c r="N49" s="24" t="inlineStr">
        <is>
          <t>None stated on page.</t>
        </is>
      </c>
      <c r="O49" s="24" t="inlineStr">
        <is>
          <t>not stated</t>
        </is>
      </c>
      <c r="P49" s="24" t="inlineStr">
        <is>
          <t>Out of scope for the hub (child, adolescent, sport, eating, clinician or service feedback)</t>
        </is>
      </c>
      <c r="Q49" s="24" t="inlineStr"/>
      <c r="R49" s="24" t="inlineStr"/>
      <c r="S49" s="24" t="inlineStr">
        <is>
          <t>Scoring and Interpretation, Psychometrics and Professional Access sections render client side and were empty in the fetched text. No instrument specific licence statement on page.</t>
        </is>
      </c>
      <c r="T49" s="24" t="inlineStr">
        <is>
          <t>https://novopsych.com/adhd/upps-p-impulsive-behavior-scale-upps-p/</t>
        </is>
      </c>
    </row>
    <row r="50">
      <c r="A50" s="24" t="n">
        <v>49</v>
      </c>
      <c r="B50" s="24" t="inlineStr">
        <is>
          <t>Protective Factors of Resilience Scale</t>
        </is>
      </c>
      <c r="C50" s="24" t="inlineStr">
        <is>
          <t>PFRS</t>
        </is>
      </c>
      <c r="D50" s="24" t="inlineStr">
        <is>
          <t>Formulation</t>
        </is>
      </c>
      <c r="E50" s="24" t="inlineStr">
        <is>
          <t>Personal, family and peer protective factors supporting resilience.</t>
        </is>
      </c>
      <c r="F50" s="24" t="n">
        <v>15</v>
      </c>
      <c r="G50" s="24" t="inlineStr">
        <is>
          <t>Self report</t>
        </is>
      </c>
      <c r="H50" s="24" t="inlineStr">
        <is>
          <t>16+</t>
        </is>
      </c>
      <c r="I50" s="24" t="n">
        <v>2</v>
      </c>
      <c r="J50" s="24" t="inlineStr">
        <is>
          <t>Personal Resources, Family Resources, Peer Resources</t>
        </is>
      </c>
      <c r="K50" s="24" t="inlineStr">
        <is>
          <t>Not stated on page.</t>
        </is>
      </c>
      <c r="L50" s="24" t="inlineStr">
        <is>
          <t>Method not stated. Percentile interpretation: top 30 percent indicates greater resources, bottom 30 percent indicates areas to build; no numeric cut offs.</t>
        </is>
      </c>
      <c r="M50" s="24" t="inlineStr">
        <is>
          <t>Harms et al. (2017)</t>
        </is>
      </c>
      <c r="N50" s="24" t="inlineStr">
        <is>
          <t>None stated on page.</t>
        </is>
      </c>
      <c r="O50" s="24" t="inlineStr">
        <is>
          <t>not stated</t>
        </is>
      </c>
      <c r="P50" s="24" t="inlineStr">
        <is>
          <t>Shortlist: coaching and wellbeing (client facing possible)</t>
        </is>
      </c>
      <c r="Q50" s="24" t="inlineStr"/>
      <c r="R50" s="24" t="inlineStr"/>
      <c r="S50" s="24" t="inlineStr">
        <is>
          <t>Scoring and Interpretation, Psychometrics and Professional Access sections render client side and were empty in the fetched text. No instrument specific licence statement on page.</t>
        </is>
      </c>
      <c r="T50" s="24" t="inlineStr">
        <is>
          <t>https://novopsych.com/assessments/formulation/protective-factors-of-resilience-scale/</t>
        </is>
      </c>
    </row>
    <row r="51">
      <c r="A51" s="24" t="n">
        <v>50</v>
      </c>
      <c r="B51" s="24" t="inlineStr">
        <is>
          <t>Brief Hierarchical Taxonomy of Psychopathology</t>
        </is>
      </c>
      <c r="C51" s="24" t="inlineStr">
        <is>
          <t>B-HiTOP</t>
        </is>
      </c>
      <c r="D51" s="24" t="inlineStr">
        <is>
          <t>Formulation</t>
        </is>
      </c>
      <c r="E51" s="24" t="inlineStr">
        <is>
          <t>Dimensional screening across the hierarchical spectra of psychopathology in adults.</t>
        </is>
      </c>
      <c r="F51" s="24" t="n">
        <v>45</v>
      </c>
      <c r="G51" s="24" t="inlineStr">
        <is>
          <t>Self report</t>
        </is>
      </c>
      <c r="H51" s="24" t="inlineStr">
        <is>
          <t>18+</t>
        </is>
      </c>
      <c r="I51" s="24" t="n">
        <v>8</v>
      </c>
      <c r="J51" s="24" t="inlineStr">
        <is>
          <t>Internalising, Somatoform, Detachment, Thought Disorder, Disinhibition, Antagonism, p-Factor, Externalising</t>
        </is>
      </c>
      <c r="K51" s="24" t="inlineStr">
        <is>
          <t>Not stated on page.</t>
        </is>
      </c>
      <c r="L51" s="24" t="inlineStr">
        <is>
          <t>Dimensional; higher scores indicate greater severity within each spectrum. Sum or mean not stated; no cut offs.</t>
        </is>
      </c>
      <c r="M51" s="24" t="inlineStr">
        <is>
          <t>HiTOP Consortium. (2025). B-HiTOP Overview. https://www.hitop-system.org/hitop-self-report-measures</t>
        </is>
      </c>
      <c r="N51" s="24" t="inlineStr">
        <is>
          <t>© 2026 Copyright – NovoPsych – All rights reserved (site footer). HiTOP model figure: "Taken from: https://www.hitop-system.org/current-model and licensed under CC BY 4.0."</t>
        </is>
      </c>
      <c r="O51" s="24" t="inlineStr">
        <is>
          <t>not stated</t>
        </is>
      </c>
      <c r="P51" s="24" t="inlineStr">
        <is>
          <t>Shortlist: screening or clinical (Sarah only if used)</t>
        </is>
      </c>
      <c r="Q51" s="24" t="inlineStr"/>
      <c r="R51" s="24" t="inlineStr"/>
      <c r="S51" s="24" t="inlineStr">
        <is>
          <t>CC BY 4.0 applies to the model figure only, not stated for the instrument. HiTOP self report measures are generally free from the consortium, but the page does not say so. Scoring and Interpretation, Psychometrics and Professional Access sections render client side and were empty in the fetched text. No instrument specific licence statement on page.</t>
        </is>
      </c>
      <c r="T51" s="24" t="inlineStr">
        <is>
          <t>https://novopsych.com/assessments/formulation/brief-hierarchical-taxonomy-of-psychopathology-b-hitop/</t>
        </is>
      </c>
    </row>
    <row r="52">
      <c r="A52" s="24" t="n">
        <v>51</v>
      </c>
      <c r="B52" s="24" t="inlineStr">
        <is>
          <t>Brief 2-Way Social Support Scale</t>
        </is>
      </c>
      <c r="C52" s="24" t="inlineStr">
        <is>
          <t>Brief 2-Way SSS</t>
        </is>
      </c>
      <c r="D52" s="24" t="inlineStr">
        <is>
          <t>Formulation</t>
        </is>
      </c>
      <c r="E52" s="24" t="inlineStr">
        <is>
          <t>Giving and receiving of emotional and instrumental social support.</t>
        </is>
      </c>
      <c r="F52" s="24" t="n">
        <v>12</v>
      </c>
      <c r="G52" s="24" t="inlineStr">
        <is>
          <t>Self report</t>
        </is>
      </c>
      <c r="H52" s="24" t="inlineStr">
        <is>
          <t>18+</t>
        </is>
      </c>
      <c r="I52" s="24" t="n">
        <v>2</v>
      </c>
      <c r="J52" s="24" t="inlineStr">
        <is>
          <t>Receiving Emotional Support, Receiving Instrumental Support, Giving Emotional Support, Giving Instrumental Support</t>
        </is>
      </c>
      <c r="K52" s="24" t="inlineStr">
        <is>
          <t>Not stated on page.</t>
        </is>
      </c>
      <c r="L52" s="24" t="inlineStr">
        <is>
          <t>Not stated on page.</t>
        </is>
      </c>
      <c r="M52" s="24" t="inlineStr">
        <is>
          <t>Obst, P., Shakespeare-Finch, J., Krosch, D. J., &amp; Rogers, E. J. (2019). SAGE Open Medicine, 7, 1 to 10. doi:10.1177/2050312119836020</t>
        </is>
      </c>
      <c r="N52" s="24" t="inlineStr">
        <is>
          <t>© 2026 Copyright – NovoPsych – All rights reserved (site footer only)</t>
        </is>
      </c>
      <c r="O52" s="24" t="inlineStr">
        <is>
          <t>not stated</t>
        </is>
      </c>
      <c r="P52" s="24" t="inlineStr">
        <is>
          <t>Shortlist: coaching and wellbeing (client facing possible)</t>
        </is>
      </c>
      <c r="Q52" s="24" t="inlineStr"/>
      <c r="R52" s="24" t="inlineStr"/>
      <c r="S52" s="24" t="inlineStr">
        <is>
          <t>PDF offered without stated licence. Scoring and Interpretation, Psychometrics and Professional Access sections render client side and were empty in the fetched text. No instrument specific licence statement on page.</t>
        </is>
      </c>
      <c r="T52" s="24" t="inlineStr">
        <is>
          <t>https://novopsych.com/assessments/formulation/brief-2-way-social-support-scale/</t>
        </is>
      </c>
    </row>
    <row r="53">
      <c r="A53" s="24" t="n">
        <v>52</v>
      </c>
      <c r="B53" s="24" t="inlineStr">
        <is>
          <t>Team Psychological Safety Scale</t>
        </is>
      </c>
      <c r="C53" s="24" t="inlineStr">
        <is>
          <t>TPS-7</t>
        </is>
      </c>
      <c r="D53" s="24" t="inlineStr">
        <is>
          <t>Sport</t>
        </is>
      </c>
      <c r="E53" s="24" t="inlineStr">
        <is>
          <t>Perceived psychological safety within teams, the belief that interpersonal risk taking is safe.</t>
        </is>
      </c>
      <c r="F53" s="24" t="n">
        <v>7</v>
      </c>
      <c r="G53" s="24" t="inlineStr">
        <is>
          <t>Self report</t>
        </is>
      </c>
      <c r="H53" s="24" t="inlineStr">
        <is>
          <t>18+</t>
        </is>
      </c>
      <c r="I53" s="24" t="n">
        <v>1</v>
      </c>
      <c r="J53" s="24" t="inlineStr"/>
      <c r="K53" s="24" t="inlineStr">
        <is>
          <t>Not stated on page.</t>
        </is>
      </c>
      <c r="L53" s="24" t="inlineStr">
        <is>
          <t>3 items reverse scored; percentile scores compared with elite athlete norms; higher is greater psychological safety. No cut offs.</t>
        </is>
      </c>
      <c r="M53" s="24" t="inlineStr">
        <is>
          <t>Edmondson, A. (1999). Administrative Science Quarterly, 44(2), 350 to 383.</t>
        </is>
      </c>
      <c r="N53" s="24" t="inlineStr">
        <is>
          <t>© 2026 Copyright – NovoPsych – All rights reserved (site footer only)</t>
        </is>
      </c>
      <c r="O53" s="24" t="inlineStr">
        <is>
          <t>not stated</t>
        </is>
      </c>
      <c r="P53" s="24" t="inlineStr">
        <is>
          <t>Out of scope for the hub (child, adolescent, sport, eating, clinician or service feedback)</t>
        </is>
      </c>
      <c r="Q53" s="24" t="inlineStr"/>
      <c r="R53" s="24" t="inlineStr"/>
      <c r="S53" s="24" t="inlineStr">
        <is>
          <t>Page lists Edmondson (1999) as developer. PDF offered without stated licence. Scoring and Interpretation, Psychometrics and Professional Access sections render client side and were empty in the fetched text. No instrument specific licence statement on page.</t>
        </is>
      </c>
      <c r="T53" s="24" t="inlineStr">
        <is>
          <t>https://novopsych.com/assessments/sport-assessments/team-psychological-safety-tps-7/</t>
        </is>
      </c>
    </row>
    <row r="54">
      <c r="A54" s="24" t="n">
        <v>53</v>
      </c>
      <c r="B54" s="24" t="inlineStr">
        <is>
          <t>Leadership Scale for Sports 15</t>
        </is>
      </c>
      <c r="C54" s="24" t="inlineStr">
        <is>
          <t>LSS-15</t>
        </is>
      </c>
      <c r="D54" s="24" t="inlineStr">
        <is>
          <t>Sport, Clinician self assessment</t>
        </is>
      </c>
      <c r="E54" s="24" t="inlineStr">
        <is>
          <t>Athletes' perceptions of their coach's leadership behaviours.</t>
        </is>
      </c>
      <c r="F54" s="24" t="n">
        <v>15</v>
      </c>
      <c r="G54" s="24" t="inlineStr">
        <is>
          <t>Self report (athlete rating coach)</t>
        </is>
      </c>
      <c r="H54" s="24" t="inlineStr">
        <is>
          <t>18+ (16+ at clinician discretion)</t>
        </is>
      </c>
      <c r="I54" s="24" t="n">
        <v>2</v>
      </c>
      <c r="J54" s="24" t="inlineStr">
        <is>
          <t>Training &amp; Instruction, Democratic Behaviour, Autocratic Behaviour, Social Support, Positive Feedback</t>
        </is>
      </c>
      <c r="K54" s="24" t="inlineStr">
        <is>
          <t>Not stated on page.</t>
        </is>
      </c>
      <c r="L54" s="24" t="inlineStr">
        <is>
          <t>Percentiles against normative data, 50th is average; higher is more positive except Autocratic Behaviour where lower is more positive. No cut offs.</t>
        </is>
      </c>
      <c r="M54" s="24" t="inlineStr">
        <is>
          <t>Teques, P., Silva, C., Rosado, A., Calmeiro, L., &amp; Serpa, S. (2020). Psychological Reports. doi:10.1177/0033294120953560; framework Chelladurai &amp; Saleh (1980).</t>
        </is>
      </c>
      <c r="N54" s="24" t="inlineStr">
        <is>
          <t>© 2026 Copyright – NovoPsych – All rights reserved (site footer only)</t>
        </is>
      </c>
      <c r="O54" s="24" t="inlineStr">
        <is>
          <t>not stated</t>
        </is>
      </c>
      <c r="P54" s="24" t="inlineStr">
        <is>
          <t>Out of scope for the hub (child, adolescent, sport, eating, clinician or service feedback)</t>
        </is>
      </c>
      <c r="Q54" s="24" t="inlineStr"/>
      <c r="R54" s="24" t="inlineStr"/>
      <c r="S54" s="24" t="inlineStr">
        <is>
          <t>Image alt text refers to LSS-13; title and body say LSS-15. Scoring and Interpretation, Psychometrics and Professional Access sections render client side and were empty in the fetched text. No instrument specific licence statement on page.</t>
        </is>
      </c>
      <c r="T54" s="24" t="inlineStr">
        <is>
          <t>https://novopsych.com/assessments/sport-assessments/leadership-scale-for-sports-lss-15/</t>
        </is>
      </c>
    </row>
    <row r="55">
      <c r="A55" s="24" t="n">
        <v>54</v>
      </c>
      <c r="B55" s="24" t="inlineStr">
        <is>
          <t>Screen for Child Anxiety Related Emotional Disorders, Parent Version</t>
        </is>
      </c>
      <c r="C55" s="24" t="inlineStr">
        <is>
          <t>SCARED-P</t>
        </is>
      </c>
      <c r="D55" s="24" t="inlineStr">
        <is>
          <t>Child, Adolescent, Anxiety</t>
        </is>
      </c>
      <c r="E55" s="24" t="inlineStr">
        <is>
          <t>Parent reported anxiety disorder symptoms in children and adolescents.</t>
        </is>
      </c>
      <c r="F55" s="24" t="n"/>
      <c r="G55" s="24" t="inlineStr">
        <is>
          <t>Parent report</t>
        </is>
      </c>
      <c r="H55" s="24" t="inlineStr">
        <is>
          <t>8 to 18 years (child); metadata box lists 18+ for respondent</t>
        </is>
      </c>
      <c r="I55" s="24" t="n">
        <v>4</v>
      </c>
      <c r="J55" s="24" t="inlineStr">
        <is>
          <t>Somatic/Panic, General Anxiety, Separation Anxiety, Social Phobia, School Avoidance</t>
        </is>
      </c>
      <c r="K55" s="24" t="inlineStr">
        <is>
          <t>Not stated on page.</t>
        </is>
      </c>
      <c r="L55" s="24" t="inlineStr">
        <is>
          <t>Reported as standardised scores and percentiles; method and cut offs not in fetched text.</t>
        </is>
      </c>
      <c r="M55" s="24" t="inlineStr">
        <is>
          <t>Birmaher, B., et al. (1997). Journal of the American Academy of Child and Adolescent Psychiatry, 36(4), 545 to 553.</t>
        </is>
      </c>
      <c r="N55" s="24" t="inlineStr">
        <is>
          <t>© 2026 Copyright – NovoPsych – All rights reserved (site footer only)</t>
        </is>
      </c>
      <c r="O55" s="24" t="inlineStr">
        <is>
          <t>not stated</t>
        </is>
      </c>
      <c r="P55" s="24" t="inlineStr">
        <is>
          <t>Out of scope for the hub (child, adolescent, sport, eating, clinician or service feedback)</t>
        </is>
      </c>
      <c r="Q55" s="24" t="inlineStr"/>
      <c r="R55" s="24" t="inlineStr"/>
      <c r="S55" s="24" t="inlineStr">
        <is>
          <t>Item count not in fetched text (SCARED has 41 items). Subscales taken from the SCARED Child page; parent page lists only disorder areas. PDF offered without stated licence. Scoring and Interpretation, Psychometrics and Professional Access sections render client side and were empty in the fetched text. No instrument specific licence statement on page.</t>
        </is>
      </c>
      <c r="T55" s="24" t="inlineStr">
        <is>
          <t>https://novopsych.com/assessments/child/screen-for-child-anxiety-related-emotional-disorders-parent-version-scared-parent/</t>
        </is>
      </c>
    </row>
    <row r="56">
      <c r="A56" s="24" t="n">
        <v>55</v>
      </c>
      <c r="B56" s="24" t="inlineStr">
        <is>
          <t>Screen for Child Anxiety Related Emotional Disorders, Child Version</t>
        </is>
      </c>
      <c r="C56" s="24" t="inlineStr">
        <is>
          <t>SCARED-C</t>
        </is>
      </c>
      <c r="D56" s="24" t="inlineStr">
        <is>
          <t>Child, Adolescent, Anxiety</t>
        </is>
      </c>
      <c r="E56" s="24" t="inlineStr">
        <is>
          <t>Child self reported anxiety disorder symptoms across DSM anxiety categories.</t>
        </is>
      </c>
      <c r="F56" s="24" t="n"/>
      <c r="G56" s="24" t="inlineStr">
        <is>
          <t>Child self report</t>
        </is>
      </c>
      <c r="H56" s="24" t="inlineStr">
        <is>
          <t>8 to 18 years</t>
        </is>
      </c>
      <c r="I56" s="24" t="n">
        <v>7</v>
      </c>
      <c r="J56" s="24" t="inlineStr">
        <is>
          <t>Somatic/Panic, General Anxiety, Separation Anxiety, Social Phobia, School Avoidance</t>
        </is>
      </c>
      <c r="K56" s="24" t="inlineStr">
        <is>
          <t>Not stated on page.</t>
        </is>
      </c>
      <c r="L56" s="24" t="inlineStr">
        <is>
          <t>Total score with overall clinical cut off of 25; percentiles against anxious clinical and community samples, community scores above 95th percentile indicate clinical concern.</t>
        </is>
      </c>
      <c r="M56" s="24" t="inlineStr">
        <is>
          <t>Birmaher, B., et al. (1997). Journal of the American Academy of Child and Adolescent Psychiatry, 36(4), 545 to 553. doi:10.1097/00004583-199704000-00018</t>
        </is>
      </c>
      <c r="N56" s="24" t="inlineStr">
        <is>
          <t>© 2026 Copyright – NovoPsych – All rights reserved (site footer only)</t>
        </is>
      </c>
      <c r="O56" s="24" t="inlineStr">
        <is>
          <t>not stated</t>
        </is>
      </c>
      <c r="P56" s="24" t="inlineStr">
        <is>
          <t>Out of scope for the hub (child, adolescent, sport, eating, clinician or service feedback)</t>
        </is>
      </c>
      <c r="Q56" s="24" t="inlineStr"/>
      <c r="R56" s="24" t="inlineStr"/>
      <c r="S56" s="24" t="inlineStr">
        <is>
          <t>Item count not in fetched text (SCARED has 41 items). Scoring and Interpretation, Psychometrics and Professional Access sections render client side and were empty in the fetched text. No instrument specific licence statement on page.</t>
        </is>
      </c>
      <c r="T56" s="24" t="inlineStr">
        <is>
          <t>https://novopsych.com/assessments/child/screen-for-child-anxiety-related-emotional-disorders-child-version-scared-child/</t>
        </is>
      </c>
    </row>
    <row r="57">
      <c r="A57" s="24" t="n">
        <v>56</v>
      </c>
      <c r="B57" s="24" t="inlineStr">
        <is>
          <t>World Health Organization Quality of Life, Brief Version</t>
        </is>
      </c>
      <c r="C57" s="24" t="inlineStr">
        <is>
          <t>WHOQOL-BREF</t>
        </is>
      </c>
      <c r="D57" s="24" t="inlineStr">
        <is>
          <t>Formulation, Health, Well-being</t>
        </is>
      </c>
      <c r="E57" s="24" t="inlineStr">
        <is>
          <t>Self perceived quality of life across physical, psychological, social and environmental domains.</t>
        </is>
      </c>
      <c r="F57" s="24" t="n">
        <v>26</v>
      </c>
      <c r="G57" s="24" t="inlineStr">
        <is>
          <t>Self report</t>
        </is>
      </c>
      <c r="H57" s="24" t="inlineStr">
        <is>
          <t>18+</t>
        </is>
      </c>
      <c r="I57" s="24" t="n">
        <v>4</v>
      </c>
      <c r="J57" s="24" t="inlineStr">
        <is>
          <t>Physical Health, Psychological, Social Relationships, Environment</t>
        </is>
      </c>
      <c r="K57" s="24" t="inlineStr">
        <is>
          <t>Not stated on page; 2 week reference period.</t>
        </is>
      </c>
      <c r="L57" s="24" t="inlineStr">
        <is>
          <t>Domain scores transformed to 0 to 100, higher is better quality of life; no formal cut offs, scores below 30th percentile in a domain may warrant attention.</t>
        </is>
      </c>
      <c r="M57" s="24" t="inlineStr">
        <is>
          <t>The WHOQOL Group. (1994). In Orley &amp; Kuyken (eds) Quality of Life Assessment: International Perspectives. Springer. doi:10.1007/978-3-642-79123-9_4</t>
        </is>
      </c>
      <c r="N57" s="24" t="inlineStr">
        <is>
          <t>© 2026 Copyright – NovoPsych – All rights reserved (site footer only)</t>
        </is>
      </c>
      <c r="O57" s="24" t="inlineStr">
        <is>
          <t>not stated</t>
        </is>
      </c>
      <c r="P57" s="24" t="inlineStr">
        <is>
          <t>Shortlist: coaching and wellbeing (client facing possible)</t>
        </is>
      </c>
      <c r="Q57" s="24" t="inlineStr"/>
      <c r="R57" s="24" t="inlineStr"/>
      <c r="S57" s="24" t="inlineStr">
        <is>
          <t>WHO holds copyright on the WHOQOL-BREF and requires registration; the page does not state this. Scoring and Interpretation, Psychometrics and Professional Access sections render client side and were empty in the fetched text. No instrument specific licence statement on page.</t>
        </is>
      </c>
      <c r="T57" s="24" t="inlineStr">
        <is>
          <t>https://novopsych.com/assessments/formulation/who-quality-of-life-brief-whoqol-bref/</t>
        </is>
      </c>
    </row>
    <row r="58">
      <c r="A58" s="24" t="n">
        <v>57</v>
      </c>
      <c r="B58" s="24" t="inlineStr">
        <is>
          <t>Young Person's Clinical Outcomes in Routine Evaluation</t>
        </is>
      </c>
      <c r="C58" s="24" t="inlineStr">
        <is>
          <t>YP-CORE</t>
        </is>
      </c>
      <c r="D58" s="24" t="inlineStr">
        <is>
          <t>Outcome monitoring, Adolescent, Child</t>
        </is>
      </c>
      <c r="E58" s="24" t="inlineStr">
        <is>
          <t>Psychological distress and wellbeing in young people for routine outcome monitoring.</t>
        </is>
      </c>
      <c r="F58" s="24" t="n">
        <v>10</v>
      </c>
      <c r="G58" s="24" t="inlineStr">
        <is>
          <t>Self report</t>
        </is>
      </c>
      <c r="H58" s="24" t="inlineStr">
        <is>
          <t>11 to 16 years</t>
        </is>
      </c>
      <c r="I58" s="24" t="n">
        <v>2</v>
      </c>
      <c r="J58" s="24" t="inlineStr"/>
      <c r="K58" s="24" t="inlineStr">
        <is>
          <t>Not stated on page; past week reference period.</t>
        </is>
      </c>
      <c r="L58" s="24" t="inlineStr">
        <is>
          <t>Single total score; method, direction and cut offs not in fetched text.</t>
        </is>
      </c>
      <c r="M58" s="24" t="inlineStr">
        <is>
          <t>Twigg, E., Barkham, M., Bewick, B. M., Mulhern, B., Connell, J., &amp; Cooper, M. (2009). Counselling and Psychotherapy Research, 9(3), 160 to 168. doi:10.1080/14733140902979722</t>
        </is>
      </c>
      <c r="N58" s="24" t="inlineStr">
        <is>
          <t>"The copyright holder for the YP-CORE is the CORE System Trust." FAQ: "All CORE measures are the copyright of the CORE System Trust."</t>
        </is>
      </c>
      <c r="O58" s="24" t="inlineStr">
        <is>
          <t>not stated</t>
        </is>
      </c>
      <c r="P58" s="24" t="inlineStr">
        <is>
          <t>Out of scope for the hub (child, adolescent, sport, eating, clinician or service feedback)</t>
        </is>
      </c>
      <c r="Q58" s="24" t="inlineStr"/>
      <c r="R58" s="24" t="inlineStr"/>
      <c r="S58" s="24" t="inlineStr">
        <is>
          <t>Copyright holder named but no permission or free use statement. CORE System Trust measures are generally free under a CC licence, but the page does not say so. Scoring and Interpretation, Psychometrics and Professional Access sections render client side and were empty in the fetched text. No instrument specific licence statement on page.</t>
        </is>
      </c>
      <c r="T58" s="24" t="inlineStr">
        <is>
          <t>https://novopsych.com/assessments/outcome-monitoring/young-persons-core-yp-core/</t>
        </is>
      </c>
    </row>
    <row r="59">
      <c r="A59" s="24" t="n">
        <v>58</v>
      </c>
      <c r="B59" s="24" t="inlineStr">
        <is>
          <t>Thought Action Fusion Scale Revised</t>
        </is>
      </c>
      <c r="C59" s="24" t="inlineStr">
        <is>
          <t>TAFS-R</t>
        </is>
      </c>
      <c r="D59" s="24" t="inlineStr">
        <is>
          <t>Formulation, OCD</t>
        </is>
      </c>
      <c r="E59" s="24" t="inlineStr">
        <is>
          <t>Thought action fusion beliefs, a cognitive distortion relevant to OCD.</t>
        </is>
      </c>
      <c r="F59" s="24" t="n">
        <v>19</v>
      </c>
      <c r="G59" s="24" t="inlineStr">
        <is>
          <t>Self report</t>
        </is>
      </c>
      <c r="H59" s="24" t="inlineStr">
        <is>
          <t>18+</t>
        </is>
      </c>
      <c r="I59" s="24" t="n">
        <v>3</v>
      </c>
      <c r="J59" s="24" t="inlineStr">
        <is>
          <t>TAF-Moral (12 items), TAF-Likelihood-Other (4 items), TAF-Likelihood-Self (3 items)</t>
        </is>
      </c>
      <c r="K59" s="24" t="inlineStr">
        <is>
          <t>Not stated on page.</t>
        </is>
      </c>
      <c r="L59" s="24" t="inlineStr">
        <is>
          <t>Method not stated; elevated subscale scores flagged as treatment targets. No cut offs.</t>
        </is>
      </c>
      <c r="M59" s="24" t="inlineStr">
        <is>
          <t>Shafran, R., Thordarson, D. S., &amp; Rachman, S. (1996). Journal of Anxiety Disorders, 10, 379 to 391. doi:10.1016/0887-6185(96)00018-7</t>
        </is>
      </c>
      <c r="N59" s="24" t="inlineStr">
        <is>
          <t>© 2026 Copyright – NovoPsych – All rights reserved (site footer only)</t>
        </is>
      </c>
      <c r="O59" s="24" t="inlineStr">
        <is>
          <t>not stated</t>
        </is>
      </c>
      <c r="P59" s="24" t="inlineStr">
        <is>
          <t>Shortlist: coaching and wellbeing (client facing possible)</t>
        </is>
      </c>
      <c r="Q59" s="24" t="inlineStr"/>
      <c r="R59" s="24" t="inlineStr"/>
      <c r="S59" s="24" t="inlineStr">
        <is>
          <t>PDF offered without stated licence. Scoring and Interpretation, Psychometrics and Professional Access sections render client side and were empty in the fetched text. No instrument specific licence statement on page.</t>
        </is>
      </c>
      <c r="T59" s="24" t="inlineStr">
        <is>
          <t>https://novopsych.com/assessments/formulation/thought-action-fusion-scale-revised-tafs-r/</t>
        </is>
      </c>
    </row>
    <row r="60">
      <c r="A60" s="24" t="n">
        <v>59</v>
      </c>
      <c r="B60" s="24" t="inlineStr">
        <is>
          <t>Athletic Coping Skills Inventory 28</t>
        </is>
      </c>
      <c r="C60" s="24" t="inlineStr">
        <is>
          <t>ACSI-28</t>
        </is>
      </c>
      <c r="D60" s="24" t="inlineStr">
        <is>
          <t>Sport</t>
        </is>
      </c>
      <c r="E60" s="24" t="inlineStr">
        <is>
          <t>Psychological coping skills used by athletes in competitive sport.</t>
        </is>
      </c>
      <c r="F60" s="24" t="n">
        <v>28</v>
      </c>
      <c r="G60" s="24" t="inlineStr">
        <is>
          <t>Self report</t>
        </is>
      </c>
      <c r="H60" s="24" t="inlineStr">
        <is>
          <t>14+</t>
        </is>
      </c>
      <c r="I60" s="24" t="n">
        <v>5</v>
      </c>
      <c r="J60" s="24" t="inlineStr">
        <is>
          <t>Concentration, Coping with Adversity (only 2 of 7 subscales named in fetched text)</t>
        </is>
      </c>
      <c r="K60" s="24" t="inlineStr">
        <is>
          <t>Not stated on page.</t>
        </is>
      </c>
      <c r="L60" s="24" t="inlineStr">
        <is>
          <t>Higher scores indicate better coping skills; balance across subscales emphasised over total. Method and cut offs not stated.</t>
        </is>
      </c>
      <c r="M60" s="24" t="inlineStr">
        <is>
          <t>Smith et al. (1995)</t>
        </is>
      </c>
      <c r="N60" s="24" t="inlineStr">
        <is>
          <t>None stated on page.</t>
        </is>
      </c>
      <c r="O60" s="24" t="inlineStr">
        <is>
          <t>not stated</t>
        </is>
      </c>
      <c r="P60" s="24" t="inlineStr">
        <is>
          <t>Out of scope for the hub (child, adolescent, sport, eating, clinician or service feedback)</t>
        </is>
      </c>
      <c r="Q60" s="24" t="inlineStr"/>
      <c r="R60" s="24" t="inlineStr"/>
      <c r="S60" s="24" t="inlineStr">
        <is>
          <t>Full subscale list not in fetched text. Scoring and Interpretation, Psychometrics and Professional Access sections render client side and were empty in the fetched text. No instrument specific licence statement on page.</t>
        </is>
      </c>
      <c r="T60" s="24" t="inlineStr">
        <is>
          <t>https://novopsych.com/assessments/sport-assessments/athletic-coping-skills-inventory-acsi-28/</t>
        </is>
      </c>
    </row>
    <row r="61">
      <c r="A61" s="24" t="n">
        <v>60</v>
      </c>
      <c r="B61" s="24" t="inlineStr">
        <is>
          <t>Wender Utah Rating Scale, 25 item version</t>
        </is>
      </c>
      <c r="C61" s="24" t="inlineStr">
        <is>
          <t>WURS-25</t>
        </is>
      </c>
      <c r="D61" s="24" t="inlineStr">
        <is>
          <t>ADHD, Diagnosis, Formulation</t>
        </is>
      </c>
      <c r="E61" s="24" t="inlineStr">
        <is>
          <t>Retrospective self report of childhood ADHD symptoms in adults.</t>
        </is>
      </c>
      <c r="F61" s="24" t="n">
        <v>25</v>
      </c>
      <c r="G61" s="24" t="inlineStr">
        <is>
          <t>Self report (retrospective)</t>
        </is>
      </c>
      <c r="H61" s="24" t="inlineStr">
        <is>
          <t>18+</t>
        </is>
      </c>
      <c r="I61" s="24" t="n">
        <v>4</v>
      </c>
      <c r="J61" s="24" t="inlineStr">
        <is>
          <t>ADHD factor, Disruptive mood/behaviour factor, Anxiety/dysphoria factor</t>
        </is>
      </c>
      <c r="K61" s="24" t="inlineStr">
        <is>
          <t>Not stated on page.</t>
        </is>
      </c>
      <c r="L61" s="24" t="inlineStr">
        <is>
          <t>NovoPsych scoring uses logistic regression fitted values to estimate probability of ADHD versus non clinical and versus depression/anxiety; no simple sum cut off stated.</t>
        </is>
      </c>
      <c r="M61" s="24" t="inlineStr">
        <is>
          <t>Ward, M. F., Wender, P. H., &amp; Reimherr, F. W. (1993). American Journal of Psychiatry, 150(6), 885 to 890. doi:10.1176/ajp.150.6.885</t>
        </is>
      </c>
      <c r="N61" s="24" t="inlineStr">
        <is>
          <t>© 2026 Copyright – NovoPsych – All rights reserved (site footer only)</t>
        </is>
      </c>
      <c r="O61" s="24" t="inlineStr">
        <is>
          <t>not stated</t>
        </is>
      </c>
      <c r="P61" s="24" t="inlineStr">
        <is>
          <t>Shortlist: coaching and wellbeing (client facing possible)</t>
        </is>
      </c>
      <c r="Q61" s="24" t="inlineStr"/>
      <c r="R61" s="24" t="inlineStr"/>
      <c r="S61" s="24" t="inlineStr">
        <is>
          <t>Scoring and Interpretation, Psychometrics and Professional Access sections render client side and were empty in the fetched text. No instrument specific licence statement on page.</t>
        </is>
      </c>
      <c r="T61" s="24" t="inlineStr">
        <is>
          <t>https://novopsych.com/assessments/diagnosis/wender-utah-rating-scale-25-item-version-wurs-25/</t>
        </is>
      </c>
    </row>
    <row r="62">
      <c r="A62" s="24" t="n">
        <v>61</v>
      </c>
      <c r="B62" s="24" t="inlineStr">
        <is>
          <t>Personality Inventory for DSM-5 Short Form</t>
        </is>
      </c>
      <c r="C62" s="24" t="inlineStr">
        <is>
          <t>PID-5-SF</t>
        </is>
      </c>
      <c r="D62" s="24" t="inlineStr">
        <is>
          <t>Diagnosis, Formulation, Personality</t>
        </is>
      </c>
      <c r="E62" s="24" t="inlineStr">
        <is>
          <t>Maladaptive personality traits across 5 domains and 25 facets of the DSM-5 Alternative Model of Personality Disorders.</t>
        </is>
      </c>
      <c r="F62" s="24" t="n">
        <v>100</v>
      </c>
      <c r="G62" s="24" t="inlineStr">
        <is>
          <t>Self report</t>
        </is>
      </c>
      <c r="H62" s="24" t="inlineStr">
        <is>
          <t>18+</t>
        </is>
      </c>
      <c r="I62" s="24" t="n">
        <v>16</v>
      </c>
      <c r="J62" s="24" t="inlineStr">
        <is>
          <t>Negative Affectivity, Detachment, Antagonism, Disinhibition, Psychoticism</t>
        </is>
      </c>
      <c r="K62" s="24" t="inlineStr">
        <is>
          <t>Not stated on page</t>
        </is>
      </c>
      <c r="L62" s="24" t="inlineStr">
        <is>
          <t>Not stated on page. Page says it yields domain, facet and AMPD composite scores, with higher elevations indicating more maladaptive traits.</t>
        </is>
      </c>
      <c r="M62" s="24" t="inlineStr">
        <is>
          <t>Maples, J. L., et al. (2015). Cited on page without full reference.</t>
        </is>
      </c>
      <c r="N62" s="24" t="inlineStr">
        <is>
          <t>Site footer only: "© 2026 Copyright – NovoPsych – All rights reserved". No instrument specific statement on the page.</t>
        </is>
      </c>
      <c r="O62" s="24" t="inlineStr">
        <is>
          <t>not stated</t>
        </is>
      </c>
      <c r="P62" s="24" t="inlineStr">
        <is>
          <t>Shortlist: screening or clinical (Sarah only if used)</t>
        </is>
      </c>
      <c r="Q62" s="24" t="inlineStr"/>
      <c r="R62" s="24" t="inlineStr"/>
      <c r="S62" s="24" t="inlineStr">
        <is>
          <t>Scoring and Interpretation and Psychometric Properties sections are gated behind Professional Access login and not visible to an unauthenticated fetch. Page also mentions an adaptive version PID-5-A averaging about 66 items. Intended for qualified professionals.</t>
        </is>
      </c>
      <c r="T62" s="24" t="inlineStr">
        <is>
          <t>https://novopsych.com/assessments/diagnosis/personality-inventory-for-dsm-5-short-form-pid-5-sf/</t>
        </is>
      </c>
    </row>
    <row r="63">
      <c r="A63" s="24" t="n">
        <v>62</v>
      </c>
      <c r="B63" s="24" t="inlineStr">
        <is>
          <t>Child Dissociative Checklist</t>
        </is>
      </c>
      <c r="C63" s="24" t="inlineStr">
        <is>
          <t>CDC</t>
        </is>
      </c>
      <c r="D63" s="24" t="inlineStr">
        <is>
          <t>Child, Trauma</t>
        </is>
      </c>
      <c r="E63" s="24" t="inlineStr">
        <is>
          <t>Screening measure of dissociative symptoms in children, completed by an adult observer.</t>
        </is>
      </c>
      <c r="F63" s="24" t="n">
        <v>20</v>
      </c>
      <c r="G63" s="24" t="inlineStr">
        <is>
          <t>Observer report (parent or carer)</t>
        </is>
      </c>
      <c r="H63" s="24" t="inlineStr">
        <is>
          <t>5 to 12 years</t>
        </is>
      </c>
      <c r="I63" s="24" t="n">
        <v>4</v>
      </c>
      <c r="J63" s="24" t="inlineStr"/>
      <c r="K63" s="24" t="inlineStr">
        <is>
          <t>Not stated on page</t>
        </is>
      </c>
      <c r="L63" s="24" t="inlineStr">
        <is>
          <t>Not stated on page. Image alt text references a dissociative disorder screening cut off and a normative percentile chart, values not shown.</t>
        </is>
      </c>
      <c r="M63" s="24" t="inlineStr">
        <is>
          <t>Putnam, F. W., Helmers, K., &amp; Trickett, P. K. (1993). Development, reliability, and validity of a child dissociation scale. Child Abuse &amp; Neglect, 17(6), 731-741.</t>
        </is>
      </c>
      <c r="N63" s="24" t="inlineStr">
        <is>
          <t>Site footer only: "© 2026 Copyright – NovoPsych – All rights reserved". No instrument specific statement on the page.</t>
        </is>
      </c>
      <c r="O63" s="24" t="inlineStr">
        <is>
          <t>not stated</t>
        </is>
      </c>
      <c r="P63" s="24" t="inlineStr">
        <is>
          <t>Out of scope for the hub (child, adolescent, sport, eating, clinician or service feedback)</t>
        </is>
      </c>
      <c r="Q63" s="24" t="inlineStr"/>
      <c r="R63" s="24" t="inlineStr"/>
      <c r="S63" s="24" t="inlineStr">
        <is>
          <t>Scoring and Interpretation and Psychometric Properties sections are gated behind Professional Access login and not visible to an unauthenticated fetch.</t>
        </is>
      </c>
      <c r="T63" s="24" t="inlineStr">
        <is>
          <t>https://novopsych.com/assessments/child/child-dissociative-checklist-scale-cdc/</t>
        </is>
      </c>
    </row>
    <row r="64">
      <c r="A64" s="24" t="n">
        <v>63</v>
      </c>
      <c r="B64" s="24" t="inlineStr">
        <is>
          <t>Trauma Recovery Measure</t>
        </is>
      </c>
      <c r="C64" s="24" t="inlineStr">
        <is>
          <t>TRM</t>
        </is>
      </c>
      <c r="D64" s="24" t="inlineStr">
        <is>
          <t>Outcome monitoring, Trauma</t>
        </is>
      </c>
      <c r="E64" s="24" t="inlineStr">
        <is>
          <t>Psychological recovery in adults following trauma exposure, for outcome monitoring.</t>
        </is>
      </c>
      <c r="F64" s="24" t="n">
        <v>15</v>
      </c>
      <c r="G64" s="24" t="inlineStr">
        <is>
          <t>Self report</t>
        </is>
      </c>
      <c r="H64" s="24" t="inlineStr">
        <is>
          <t>18+</t>
        </is>
      </c>
      <c r="I64" s="24" t="n">
        <v>3</v>
      </c>
      <c r="J64" s="24" t="inlineStr"/>
      <c r="K64" s="24" t="inlineStr">
        <is>
          <t>Not stated on page</t>
        </is>
      </c>
      <c r="L64" s="24" t="inlineStr">
        <is>
          <t>Not stated on page.</t>
        </is>
      </c>
      <c r="M64" s="24" t="inlineStr">
        <is>
          <t>Smith, S. (2022). The cognitive path to trauma recovery. Doctoral thesis, Bond University.</t>
        </is>
      </c>
      <c r="N64" s="24" t="inlineStr">
        <is>
          <t>Site footer only: "© 2026 Copyright – NovoPsych – All rights reserved". No instrument specific statement on the page.</t>
        </is>
      </c>
      <c r="O64" s="24" t="inlineStr">
        <is>
          <t>not stated</t>
        </is>
      </c>
      <c r="P64" s="24" t="inlineStr">
        <is>
          <t>Shortlist: screening or clinical (Sarah only if used)</t>
        </is>
      </c>
      <c r="Q64" s="24" t="inlineStr"/>
      <c r="R64" s="24" t="inlineStr"/>
      <c r="S64" s="24" t="inlineStr">
        <is>
          <t>Scoring and Interpretation and Psychometric Properties sections are gated behind Professional Access login and not visible to an unauthenticated fetch. Developer citation is a doctoral thesis, not a journal article.</t>
        </is>
      </c>
      <c r="T64" s="24" t="inlineStr">
        <is>
          <t>https://novopsych.com/assessments/outcome-monitoring/trauma-recovery-measure-trm/</t>
        </is>
      </c>
    </row>
    <row r="65">
      <c r="A65" s="24" t="n">
        <v>64</v>
      </c>
      <c r="B65" s="24" t="inlineStr">
        <is>
          <t>Zung Self-Rating Depression Scale</t>
        </is>
      </c>
      <c r="C65" s="24" t="inlineStr">
        <is>
          <t>SDS (also ZSDS)</t>
        </is>
      </c>
      <c r="D65" s="24" t="inlineStr">
        <is>
          <t>Adolescent, Depression, Outcome monitoring</t>
        </is>
      </c>
      <c r="E65" s="24" t="inlineStr">
        <is>
          <t>Depressive symptoms across affective, cognitive, anxious and somatic domains.</t>
        </is>
      </c>
      <c r="F65" s="24" t="n"/>
      <c r="G65" s="24" t="inlineStr">
        <is>
          <t>Self report</t>
        </is>
      </c>
      <c r="H65" s="24" t="inlineStr">
        <is>
          <t>16+</t>
        </is>
      </c>
      <c r="I65" s="24" t="n">
        <v>3</v>
      </c>
      <c r="J65" s="24" t="inlineStr">
        <is>
          <t>Affective, Cognitive, Anxious, Somatic</t>
        </is>
      </c>
      <c r="K65" s="24" t="inlineStr">
        <is>
          <t>Not stated on page</t>
        </is>
      </c>
      <c r="L65" s="24" t="inlineStr">
        <is>
          <t>Not stated on page. Reference list cites a percentile rankings and qualitative descriptors review and norm studies by Holmes et al. (1988) and Knight et al. (1983).</t>
        </is>
      </c>
      <c r="M65" s="24" t="inlineStr">
        <is>
          <t>Zung, W. W. (1965). A Self-Rating Depression Scale. Archives of General Psychiatry, 12, 63-70.</t>
        </is>
      </c>
      <c r="N65" s="24" t="inlineStr">
        <is>
          <t>Site footer only: "© 2026 Copyright – NovoPsych – All rights reserved". No instrument specific statement on the page.</t>
        </is>
      </c>
      <c r="O65" s="24" t="inlineStr">
        <is>
          <t>not stated</t>
        </is>
      </c>
      <c r="P65" s="24" t="inlineStr">
        <is>
          <t>Out of scope for the hub (child, adolescent, sport, eating, clinician or service feedback)</t>
        </is>
      </c>
      <c r="Q65" s="24" t="inlineStr"/>
      <c r="R65" s="24" t="inlineStr"/>
      <c r="S65" s="24" t="inlineStr">
        <is>
          <t>Scoring and Interpretation and Psychometric Properties sections are gated behind Professional Access login and not visible to an unauthenticated fetch. Item count not stated on page (published scale has 20 items; verify).</t>
        </is>
      </c>
      <c r="T65" s="24" t="inlineStr">
        <is>
          <t>https://novopsych.com/assessments/depression/zung-self-rating-depression-scale/</t>
        </is>
      </c>
    </row>
    <row r="66">
      <c r="A66" s="24" t="n">
        <v>65</v>
      </c>
      <c r="B66" s="24" t="inlineStr">
        <is>
          <t>Digital Stress Scale</t>
        </is>
      </c>
      <c r="C66" s="24" t="inlineStr">
        <is>
          <t>DSS</t>
        </is>
      </c>
      <c r="D66" s="24" t="inlineStr">
        <is>
          <t>Formulation</t>
        </is>
      </c>
      <c r="E66" s="24" t="inlineStr">
        <is>
          <t>Perceived stress linked to use of digital devices, mainly phones and social media.</t>
        </is>
      </c>
      <c r="F66" s="24" t="n">
        <v>24</v>
      </c>
      <c r="G66" s="24" t="inlineStr">
        <is>
          <t>Self report</t>
        </is>
      </c>
      <c r="H66" s="24" t="inlineStr">
        <is>
          <t>14+</t>
        </is>
      </c>
      <c r="I66" s="24" t="n">
        <v>4</v>
      </c>
      <c r="J66" s="24" t="inlineStr"/>
      <c r="K66" s="24" t="inlineStr">
        <is>
          <t>Not stated on page</t>
        </is>
      </c>
      <c r="L66" s="24" t="inlineStr">
        <is>
          <t>Not stated on page.</t>
        </is>
      </c>
      <c r="M66" s="24" t="inlineStr">
        <is>
          <t>Hall, J. A., Steele, R. G., Christofferson, J. L., &amp; Mihailova, T. (2021). Development and initial evaluation of a multidimensional digital stress scale. Psychological Assessment, 33(3), 230-242.</t>
        </is>
      </c>
      <c r="N66" s="24" t="inlineStr">
        <is>
          <t>Site footer only: "© 2026 Copyright – NovoPsych – All rights reserved". No instrument specific statement on the page.</t>
        </is>
      </c>
      <c r="O66" s="24" t="inlineStr">
        <is>
          <t>not stated</t>
        </is>
      </c>
      <c r="P66" s="24" t="inlineStr">
        <is>
          <t>Shortlist: coaching and wellbeing (client facing possible)</t>
        </is>
      </c>
      <c r="Q66" s="24" t="inlineStr"/>
      <c r="R66" s="24" t="inlineStr"/>
      <c r="S66" s="24" t="inlineStr">
        <is>
          <t>Scoring and Interpretation and Psychometric Properties sections are gated behind Professional Access login and not visible to an unauthenticated fetch. Translations section notes translators sought approval from the first author before translating.</t>
        </is>
      </c>
      <c r="T66" s="24" t="inlineStr">
        <is>
          <t>https://novopsych.com/assessments/formulation/digital-stress-scale/</t>
        </is>
      </c>
    </row>
    <row r="67">
      <c r="A67" s="24" t="n">
        <v>66</v>
      </c>
      <c r="B67" s="24" t="inlineStr">
        <is>
          <t>International Trauma Questionnaire Child and Adolescent Version</t>
        </is>
      </c>
      <c r="C67" s="24" t="inlineStr">
        <is>
          <t>ITQ-CA</t>
        </is>
      </c>
      <c r="D67" s="24" t="inlineStr">
        <is>
          <t>Adolescent, Child, Diagnosis, Trauma</t>
        </is>
      </c>
      <c r="E67" s="24" t="inlineStr">
        <is>
          <t>ICD-11 PTSD and Disturbances in Self Organisation (Complex PTSD) symptoms in children and adolescents.</t>
        </is>
      </c>
      <c r="F67" s="24" t="n">
        <v>22</v>
      </c>
      <c r="G67" s="24" t="inlineStr">
        <is>
          <t>Self report</t>
        </is>
      </c>
      <c r="H67" s="24" t="inlineStr">
        <is>
          <t>7 to 17 years</t>
        </is>
      </c>
      <c r="I67" s="24" t="n">
        <v>4</v>
      </c>
      <c r="J67" s="24" t="inlineStr">
        <is>
          <t>PTSD, Disturbances in Self Organisation (DSO)</t>
        </is>
      </c>
      <c r="K67" s="24" t="inlineStr">
        <is>
          <t>Symptom items 5 point, scored 0 to 4 (2 = Moderately); functional impairment items binary Yes/No scored 1/0</t>
        </is>
      </c>
      <c r="L67" s="24" t="inlineStr">
        <is>
          <t>PTSD and DSO severity are item sums (6 items each, range 0 to 24), higher = more severe; percentile severity bands given. Reliable change threshold 7 points (PTSD) and 6 points (DSO).</t>
        </is>
      </c>
      <c r="M67" s="24" t="inlineStr">
        <is>
          <t>Cloitre, M., Shevlin, M., Brewin, C. R., Bisson, J. I., Roberts, N. P., Maercker, A., Karatzias, T., &amp; Hyland, P. (2018). Acta Psychiatrica Scandinavica, 138(6), 536-546.</t>
        </is>
      </c>
      <c r="N67" s="24" t="inlineStr">
        <is>
          <t>Site footer only: "© 2026 Copyright – NovoPsych – All rights reserved". No instrument specific statement on the page.</t>
        </is>
      </c>
      <c r="O67" s="24" t="inlineStr">
        <is>
          <t>not stated</t>
        </is>
      </c>
      <c r="P67" s="24" t="inlineStr">
        <is>
          <t>Out of scope for the hub (child, adolescent, sport, eating, clinician or service feedback)</t>
        </is>
      </c>
      <c r="Q67" s="24" t="inlineStr"/>
      <c r="R67" s="24" t="inlineStr"/>
      <c r="S67" s="24" t="inlineStr">
        <is>
          <t>Scoring details visible on this page unlike most others in this batch.</t>
        </is>
      </c>
      <c r="T67" s="24" t="inlineStr">
        <is>
          <t>https://novopsych.com/assessments/diagnosis/international-trauma-questionnaire-child-and-adolescent-version-itq-ca/</t>
        </is>
      </c>
    </row>
    <row r="68">
      <c r="A68" s="24" t="n">
        <v>67</v>
      </c>
      <c r="B68" s="24" t="inlineStr">
        <is>
          <t>International Trauma Questionnaire</t>
        </is>
      </c>
      <c r="C68" s="24" t="inlineStr">
        <is>
          <t>ITQ</t>
        </is>
      </c>
      <c r="D68" s="24" t="inlineStr">
        <is>
          <t>Diagnosis, Trauma</t>
        </is>
      </c>
      <c r="E68" s="24" t="inlineStr">
        <is>
          <t>ICD-11 PTSD and Disturbances in Self Organisation (Complex PTSD) symptoms in adults.</t>
        </is>
      </c>
      <c r="F68" s="24" t="n">
        <v>18</v>
      </c>
      <c r="G68" s="24" t="inlineStr">
        <is>
          <t>Self report</t>
        </is>
      </c>
      <c r="H68" s="24" t="inlineStr">
        <is>
          <t>18+</t>
        </is>
      </c>
      <c r="I68" s="24" t="n">
        <v>3</v>
      </c>
      <c r="J68" s="24" t="inlineStr">
        <is>
          <t>Re-experiencing, Avoidance, Sense of Threat, Affective Dysregulation, Negative Self-Concept, Disturbances in Relationships, Functional impairment</t>
        </is>
      </c>
      <c r="K68" s="24" t="inlineStr">
        <is>
          <t>Not fully stated; symptom items rated so that 2 = Moderately, with severity descriptors Severe and Very Severe</t>
        </is>
      </c>
      <c r="L68" s="24" t="inlineStr">
        <is>
          <t>Dimensional severity scoring plus dichotomous diagnostic algorithm: a symptom counts at a rating of 2 or more; PTSD needs 1 symptom per PTSD cluster plus impairment, CPTSD adds 1 per DSO cluster. No numeric cut offs on page.</t>
        </is>
      </c>
      <c r="M68" s="24" t="inlineStr">
        <is>
          <t>Cloitre, M., Shevlin, M., Brewin, C. R., Bisson, J. I., Roberts, N. P., Maercker, A., Karatzias, T., &amp; Hyland, P. (2018). Acta Psychiatrica Scandinavica, 138(6), 536-546. doi:10.1111/acps.12956</t>
        </is>
      </c>
      <c r="N68" s="24" t="inlineStr">
        <is>
          <t>Site footer only: "© 2026 Copyright – NovoPsych – All rights reserved". No instrument specific statement on the page.</t>
        </is>
      </c>
      <c r="O68" s="24" t="inlineStr">
        <is>
          <t>not stated</t>
        </is>
      </c>
      <c r="P68" s="24" t="inlineStr">
        <is>
          <t>Shortlist: screening or clinical (Sarah only if used)</t>
        </is>
      </c>
      <c r="Q68" s="24" t="inlineStr"/>
      <c r="R68" s="24" t="inlineStr"/>
      <c r="S68" s="24" t="inlineStr">
        <is>
          <t>Scoring and Interpretation and Psychometric Properties sections are gated behind Professional Access login and not visible to an unauthenticated fetch. Scoring summary drawn from FAQ text.</t>
        </is>
      </c>
      <c r="T68" s="24" t="inlineStr">
        <is>
          <t>https://novopsych.com/assessments/diagnosis/international-trauma-questionnaire-itq/</t>
        </is>
      </c>
    </row>
    <row r="69">
      <c r="A69" s="24" t="n">
        <v>68</v>
      </c>
      <c r="B69" s="24" t="inlineStr">
        <is>
          <t>Adolescent Dissociative Experiences Scale</t>
        </is>
      </c>
      <c r="C69" s="24" t="inlineStr">
        <is>
          <t>A-DES</t>
        </is>
      </c>
      <c r="D69" s="24" t="inlineStr">
        <is>
          <t>Diagnosis, Adolescent</t>
        </is>
      </c>
      <c r="E69" s="24" t="inlineStr">
        <is>
          <t>Typical and pathological dissociative experiences in adolescents.</t>
        </is>
      </c>
      <c r="F69" s="24" t="n">
        <v>30</v>
      </c>
      <c r="G69" s="24" t="inlineStr">
        <is>
          <t>Self report</t>
        </is>
      </c>
      <c r="H69" s="24" t="inlineStr">
        <is>
          <t>11 to 18 years</t>
        </is>
      </c>
      <c r="I69" s="24" t="n">
        <v>5</v>
      </c>
      <c r="J69" s="24" t="inlineStr"/>
      <c r="K69" s="24" t="inlineStr">
        <is>
          <t>Not stated on page</t>
        </is>
      </c>
      <c r="L69" s="24" t="inlineStr">
        <is>
          <t>Not stated on page.</t>
        </is>
      </c>
      <c r="M69" s="24" t="inlineStr">
        <is>
          <t>Armstrong, J. G., Putnam, F. W., Carlson, E. B., Libero, D. Z., &amp; Smith, S. R. (1997). The Journal of Nervous and Mental Disease, 185(8), 491-497.</t>
        </is>
      </c>
      <c r="N69" s="24" t="inlineStr">
        <is>
          <t>Site footer only: "© 2026 Copyright – NovoPsych – All rights reserved". No instrument specific statement on the page.</t>
        </is>
      </c>
      <c r="O69" s="24" t="inlineStr">
        <is>
          <t>not stated</t>
        </is>
      </c>
      <c r="P69" s="24" t="inlineStr">
        <is>
          <t>Out of scope for the hub (child, adolescent, sport, eating, clinician or service feedback)</t>
        </is>
      </c>
      <c r="Q69" s="24" t="inlineStr"/>
      <c r="R69" s="24" t="inlineStr"/>
      <c r="S69" s="24" t="inlineStr">
        <is>
          <t>Scoring and Interpretation and Psychometric Properties sections are gated behind Professional Access login and not visible to an unauthenticated fetch.</t>
        </is>
      </c>
      <c r="T69" s="24" t="inlineStr">
        <is>
          <t>https://novopsych.com/assessments/diagnosis/adolescent-dissociative-experiences-scale-a-des/</t>
        </is>
      </c>
    </row>
    <row r="70">
      <c r="A70" s="24" t="n">
        <v>69</v>
      </c>
      <c r="B70" s="24" t="inlineStr">
        <is>
          <t>Positive Childhood Experiences Scale</t>
        </is>
      </c>
      <c r="C70" s="24" t="inlineStr">
        <is>
          <t>PCEs</t>
        </is>
      </c>
      <c r="D70" s="24" t="inlineStr">
        <is>
          <t>Formulation, Trauma</t>
        </is>
      </c>
      <c r="E70" s="24" t="inlineStr">
        <is>
          <t>Retrospective report of interpersonal childhood experiences (birth to 18) that act as developmental assets.</t>
        </is>
      </c>
      <c r="F70" s="24" t="n">
        <v>7</v>
      </c>
      <c r="G70" s="24" t="inlineStr">
        <is>
          <t>Self report</t>
        </is>
      </c>
      <c r="H70" s="24" t="inlineStr">
        <is>
          <t>18+</t>
        </is>
      </c>
      <c r="I70" s="24" t="n">
        <v>1</v>
      </c>
      <c r="J70" s="24" t="inlineStr"/>
      <c r="K70" s="24" t="inlineStr">
        <is>
          <t>Not stated on page</t>
        </is>
      </c>
      <c r="L70" s="24" t="inlineStr">
        <is>
          <t>Not stated on page.</t>
        </is>
      </c>
      <c r="M70" s="24" t="inlineStr">
        <is>
          <t>Bethell, C., Jones, J., Gombojav, N., Linkenbach, J., &amp; Sege, R. (2019). JAMA Pediatrics, 173(11), e193007.</t>
        </is>
      </c>
      <c r="N70" s="24" t="inlineStr">
        <is>
          <t>Site footer only: "© 2026 Copyright – NovoPsych – All rights reserved". No instrument specific statement on the page.</t>
        </is>
      </c>
      <c r="O70" s="24" t="inlineStr">
        <is>
          <t>not stated</t>
        </is>
      </c>
      <c r="P70" s="24" t="inlineStr">
        <is>
          <t>Shortlist: coaching and wellbeing (client facing possible)</t>
        </is>
      </c>
      <c r="Q70" s="24" t="inlineStr"/>
      <c r="R70" s="24" t="inlineStr"/>
      <c r="S70" s="24" t="inlineStr">
        <is>
          <t>Scoring and Interpretation and Psychometric Properties sections are gated behind Professional Access login and not visible to an unauthenticated fetch.</t>
        </is>
      </c>
      <c r="T70" s="24" t="inlineStr">
        <is>
          <t>https://novopsych.com/assessments/formulation/positive-childhood-experiences-pces-scale/</t>
        </is>
      </c>
    </row>
    <row r="71">
      <c r="A71" s="24" t="n">
        <v>70</v>
      </c>
      <c r="B71" s="24" t="inlineStr">
        <is>
          <t>Benevolent Childhood Experiences Scale</t>
        </is>
      </c>
      <c r="C71" s="24" t="inlineStr">
        <is>
          <t>BCEs</t>
        </is>
      </c>
      <c r="D71" s="24" t="inlineStr">
        <is>
          <t>Formulation, Trauma</t>
        </is>
      </c>
      <c r="E71" s="24" t="inlineStr">
        <is>
          <t>Retrospective report of positive childhood experiences (birth to 18) across multiple systems in a child's life.</t>
        </is>
      </c>
      <c r="F71" s="24" t="n">
        <v>20</v>
      </c>
      <c r="G71" s="24" t="inlineStr">
        <is>
          <t>Self report</t>
        </is>
      </c>
      <c r="H71" s="24" t="inlineStr">
        <is>
          <t>18+</t>
        </is>
      </c>
      <c r="I71" s="24" t="n">
        <v>3</v>
      </c>
      <c r="J71" s="24" t="inlineStr"/>
      <c r="K71" s="24" t="inlineStr">
        <is>
          <t>Not stated on page</t>
        </is>
      </c>
      <c r="L71" s="24" t="inlineStr">
        <is>
          <t>Not stated on page.</t>
        </is>
      </c>
      <c r="M71" s="24" t="inlineStr">
        <is>
          <t>Narayan, A. J., Rivera, L. M., Bernstein, R. E., Harris, W. W., &amp; Lieberman, A. F. (2018). Child Abuse and Neglect, 78, 19-30; revised BCEs: Narayan et al. (2023). Development and Psychopathology, 35(5), 2444-2463.</t>
        </is>
      </c>
      <c r="N71" s="24" t="inlineStr">
        <is>
          <t>Site footer only: "© 2026 Copyright – NovoPsych – All rights reserved". No instrument specific statement on the page.</t>
        </is>
      </c>
      <c r="O71" s="24" t="inlineStr">
        <is>
          <t>not stated</t>
        </is>
      </c>
      <c r="P71" s="24" t="inlineStr">
        <is>
          <t>Shortlist: coaching and wellbeing (client facing possible)</t>
        </is>
      </c>
      <c r="Q71" s="24" t="inlineStr"/>
      <c r="R71" s="24" t="inlineStr"/>
      <c r="S71" s="24" t="inlineStr">
        <is>
          <t>Scoring and Interpretation and Psychometric Properties sections are gated behind Professional Access login and not visible to an unauthenticated fetch. 20 items suggests the revised BCEs version (original had 10).</t>
        </is>
      </c>
      <c r="T71" s="24" t="inlineStr">
        <is>
          <t>https://novopsych.com/assessments/formulation/benevolent-childhood-experiences-bces-scale/</t>
        </is>
      </c>
    </row>
    <row r="72">
      <c r="A72" s="24" t="n">
        <v>71</v>
      </c>
      <c r="B72" s="24" t="inlineStr">
        <is>
          <t>Repetitive Behaviours Questionnaire 3</t>
        </is>
      </c>
      <c r="C72" s="24" t="inlineStr">
        <is>
          <t>RBQ-3</t>
        </is>
      </c>
      <c r="D72" s="24" t="inlineStr">
        <is>
          <t>Autism, Formulation</t>
        </is>
      </c>
      <c r="E72" s="24" t="inlineStr">
        <is>
          <t>Restricted and repetitive behaviours as a core feature of autism.</t>
        </is>
      </c>
      <c r="F72" s="24" t="n">
        <v>20</v>
      </c>
      <c r="G72" s="24" t="inlineStr">
        <is>
          <t>Self report (13+) or informant report (parent or other)</t>
        </is>
      </c>
      <c r="H72" s="24" t="inlineStr">
        <is>
          <t>Self report 13+; informant 15 months+</t>
        </is>
      </c>
      <c r="I72" s="24" t="n">
        <v>3</v>
      </c>
      <c r="J72" s="24" t="inlineStr"/>
      <c r="K72" s="24" t="inlineStr">
        <is>
          <t>Not stated on page</t>
        </is>
      </c>
      <c r="L72" s="24" t="inlineStr">
        <is>
          <t>Not stated on page.</t>
        </is>
      </c>
      <c r="M72" s="24" t="inlineStr">
        <is>
          <t>Jones, C. R. G., Livingston, L. A., Fretwell, C., Uljarevic, M., Carrington, S. J., Shah, P., &amp; Leekam, S. R. (2024). Molecular Autism, 15(1), 24. doi:10.1186/s13229-024-00603-7</t>
        </is>
      </c>
      <c r="N72" s="24" t="inlineStr">
        <is>
          <t>Site footer only: "© 2026 Copyright – NovoPsych – All rights reserved". No instrument specific statement on the page. Page notes the manual and PDF questionnaires are available from Cardiff University Wales Autism Research Centre.</t>
        </is>
      </c>
      <c r="O72" s="24" t="inlineStr">
        <is>
          <t>not stated</t>
        </is>
      </c>
      <c r="P72" s="24" t="inlineStr">
        <is>
          <t>Out of scope for the hub (not self report)</t>
        </is>
      </c>
      <c r="Q72" s="24" t="inlineStr"/>
      <c r="R72" s="24" t="inlineStr"/>
      <c r="S72" s="24" t="inlineStr">
        <is>
          <t>Scoring and Interpretation and Psychometric Properties sections are gated behind Professional Access login and not visible to an unauthenticated fetch. Access link points to NovoPsych registration.</t>
        </is>
      </c>
      <c r="T72" s="24" t="inlineStr">
        <is>
          <t>https://novopsych.com/assessments/formulation/repetitive-behaviours-questionnaire-3/</t>
        </is>
      </c>
    </row>
    <row r="73">
      <c r="A73" s="24" t="n">
        <v>72</v>
      </c>
      <c r="B73" s="24" t="inlineStr">
        <is>
          <t>Gender Preoccupation and Stability Questionnaire 2</t>
        </is>
      </c>
      <c r="C73" s="24" t="inlineStr">
        <is>
          <t>GPSQ-2</t>
        </is>
      </c>
      <c r="D73" s="24" t="inlineStr">
        <is>
          <t>Formulation</t>
        </is>
      </c>
      <c r="E73" s="24" t="inlineStr">
        <is>
          <t>Gender related distress (gender dysphoria).</t>
        </is>
      </c>
      <c r="F73" s="24" t="n">
        <v>14</v>
      </c>
      <c r="G73" s="24" t="inlineStr">
        <is>
          <t>Self report</t>
        </is>
      </c>
      <c r="H73" s="24" t="inlineStr">
        <is>
          <t>13+</t>
        </is>
      </c>
      <c r="I73" s="24" t="n">
        <v>3</v>
      </c>
      <c r="J73" s="24" t="inlineStr"/>
      <c r="K73" s="24" t="inlineStr">
        <is>
          <t>Not stated on page</t>
        </is>
      </c>
      <c r="L73" s="24" t="inlineStr">
        <is>
          <t>Not stated on page.</t>
        </is>
      </c>
      <c r="M73" s="24" t="inlineStr">
        <is>
          <t>Bowman, S. J., Hakeem, A., Demant, D., McAloon, J., &amp; Wootton, B. M. (2024). Journal of Homosexuality, 71(3), 666-690.</t>
        </is>
      </c>
      <c r="N73" s="24" t="inlineStr">
        <is>
          <t>Site footer only: "© 2026 Copyright – NovoPsych – All rights reserved". No instrument specific statement on the page.</t>
        </is>
      </c>
      <c r="O73" s="24" t="inlineStr">
        <is>
          <t>not stated</t>
        </is>
      </c>
      <c r="P73" s="24" t="inlineStr">
        <is>
          <t>Shortlist: screening or clinical (Sarah only if used)</t>
        </is>
      </c>
      <c r="Q73" s="24" t="inlineStr"/>
      <c r="R73" s="24" t="inlineStr"/>
      <c r="S73" s="24" t="inlineStr">
        <is>
          <t>Scoring and Interpretation and Psychometric Properties sections are gated behind Professional Access login and not visible to an unauthenticated fetch.</t>
        </is>
      </c>
      <c r="T73" s="24" t="inlineStr">
        <is>
          <t>https://novopsych.com/assessments/formulation/gender-preoccupation-stability-questionnaire-2/</t>
        </is>
      </c>
    </row>
    <row r="74">
      <c r="A74" s="24" t="n">
        <v>73</v>
      </c>
      <c r="B74" s="24" t="inlineStr">
        <is>
          <t>Autism Spectrum Quotient Adolescent Version</t>
        </is>
      </c>
      <c r="C74" s="24" t="inlineStr">
        <is>
          <t>AQ-Adolescent</t>
        </is>
      </c>
      <c r="D74" s="24" t="inlineStr">
        <is>
          <t>Adolescent, Autism, Diagnosis</t>
        </is>
      </c>
      <c r="E74" s="24" t="inlineStr">
        <is>
          <t>Autistic traits in adolescents, reported by a parent.</t>
        </is>
      </c>
      <c r="F74" s="24" t="n">
        <v>50</v>
      </c>
      <c r="G74" s="24" t="inlineStr">
        <is>
          <t>Parent report</t>
        </is>
      </c>
      <c r="H74" s="24" t="inlineStr">
        <is>
          <t>12 to 15 years</t>
        </is>
      </c>
      <c r="I74" s="24" t="n">
        <v>8</v>
      </c>
      <c r="J74" s="24" t="inlineStr"/>
      <c r="K74" s="24" t="inlineStr">
        <is>
          <t>Not stated on page</t>
        </is>
      </c>
      <c r="L74" s="24" t="inlineStr">
        <is>
          <t>Not stated on page.</t>
        </is>
      </c>
      <c r="M74" s="24" t="inlineStr">
        <is>
          <t>Baron-Cohen, S., Hoekstra, R. A., Knickmeyer, R., &amp; Wheelwright, S. (2006). Journal of Autism and Developmental Disorders, 36(3), 343-350.</t>
        </is>
      </c>
      <c r="N74" s="24" t="inlineStr">
        <is>
          <t>Site footer only: "© 2026 Copyright – NovoPsych – All rights reserved". No instrument specific statement on the page.</t>
        </is>
      </c>
      <c r="O74" s="24" t="inlineStr">
        <is>
          <t>not stated</t>
        </is>
      </c>
      <c r="P74" s="24" t="inlineStr">
        <is>
          <t>Out of scope for the hub (child, adolescent, sport, eating, clinician or service feedback)</t>
        </is>
      </c>
      <c r="Q74" s="24" t="inlineStr"/>
      <c r="R74" s="24" t="inlineStr"/>
      <c r="S74" s="24" t="inlineStr">
        <is>
          <t>Scoring and Interpretation and Psychometric Properties sections are gated behind Professional Access login and not visible to an unauthenticated fetch. A PDF download is offered without stated terms.</t>
        </is>
      </c>
      <c r="T74" s="24" t="inlineStr">
        <is>
          <t>https://novopsych.com/assessments/diagnosis/autism-spectrum-quotient-adolescent/</t>
        </is>
      </c>
    </row>
    <row r="75">
      <c r="A75" s="24" t="n">
        <v>74</v>
      </c>
      <c r="B75" s="24" t="inlineStr">
        <is>
          <t>Autism Spectrum Quotient Children's Version</t>
        </is>
      </c>
      <c r="C75" s="24" t="inlineStr">
        <is>
          <t>AQ-Child</t>
        </is>
      </c>
      <c r="D75" s="24" t="inlineStr">
        <is>
          <t>Child, Autism, Diagnosis</t>
        </is>
      </c>
      <c r="E75" s="24" t="inlineStr">
        <is>
          <t>Autistic traits in children, reported by a parent.</t>
        </is>
      </c>
      <c r="F75" s="24" t="n">
        <v>50</v>
      </c>
      <c r="G75" s="24" t="inlineStr">
        <is>
          <t>Parent report</t>
        </is>
      </c>
      <c r="H75" s="24" t="inlineStr">
        <is>
          <t>4 to 11 years</t>
        </is>
      </c>
      <c r="I75" s="24" t="n">
        <v>8</v>
      </c>
      <c r="J75" s="24" t="inlineStr"/>
      <c r="K75" s="24" t="inlineStr">
        <is>
          <t>Not stated on page</t>
        </is>
      </c>
      <c r="L75" s="24" t="inlineStr">
        <is>
          <t>Not stated on page.</t>
        </is>
      </c>
      <c r="M75" s="24" t="inlineStr">
        <is>
          <t>Auyeung, B., Baron-Cohen, S., Wheelwright, S., &amp; Allison, C. (2008). Journal of Autism and Developmental Disorders, 38(7), 1230-1240.</t>
        </is>
      </c>
      <c r="N75" s="24" t="inlineStr">
        <is>
          <t>Site footer only: "© 2026 Copyright – NovoPsych – All rights reserved". No instrument specific statement on the page.</t>
        </is>
      </c>
      <c r="O75" s="24" t="inlineStr">
        <is>
          <t>not stated</t>
        </is>
      </c>
      <c r="P75" s="24" t="inlineStr">
        <is>
          <t>Out of scope for the hub (child, adolescent, sport, eating, clinician or service feedback)</t>
        </is>
      </c>
      <c r="Q75" s="24" t="inlineStr"/>
      <c r="R75" s="24" t="inlineStr"/>
      <c r="S75" s="24" t="inlineStr">
        <is>
          <t>Scoring and Interpretation and Psychometric Properties sections are gated behind Professional Access login and not visible to an unauthenticated fetch. A PDF download is offered without stated terms.</t>
        </is>
      </c>
      <c r="T75" s="24" t="inlineStr">
        <is>
          <t>https://novopsych.com/assessments/diagnosis/autism-spectrum-quotient-child/</t>
        </is>
      </c>
    </row>
    <row r="76">
      <c r="A76" s="24" t="n">
        <v>75</v>
      </c>
      <c r="B76" s="24" t="inlineStr">
        <is>
          <t>Brief Emotional Intelligence Scale</t>
        </is>
      </c>
      <c r="C76" s="24" t="inlineStr">
        <is>
          <t>BEIS-10</t>
        </is>
      </c>
      <c r="D76" s="24" t="inlineStr">
        <is>
          <t>Formulation</t>
        </is>
      </c>
      <c r="E76" s="24" t="inlineStr">
        <is>
          <t>Emotional intelligence in adults.</t>
        </is>
      </c>
      <c r="F76" s="24" t="n">
        <v>10</v>
      </c>
      <c r="G76" s="24" t="inlineStr">
        <is>
          <t>Self report</t>
        </is>
      </c>
      <c r="H76" s="24" t="inlineStr">
        <is>
          <t>18+</t>
        </is>
      </c>
      <c r="I76" s="24" t="n">
        <v>2</v>
      </c>
      <c r="J76" s="24" t="inlineStr"/>
      <c r="K76" s="24" t="inlineStr">
        <is>
          <t>Not stated on page</t>
        </is>
      </c>
      <c r="L76" s="24" t="inlineStr">
        <is>
          <t>Not stated on page.</t>
        </is>
      </c>
      <c r="M76" s="24" t="inlineStr">
        <is>
          <t>Davies, K. A., Lane, A. M., Devonport, T. J., &amp; Scott, J. A. (2010). Journal of Individual Differences, 31(4), 198-208.</t>
        </is>
      </c>
      <c r="N76" s="24" t="inlineStr">
        <is>
          <t>Site footer only: "© 2026 Copyright – NovoPsych – All rights reserved". No instrument specific statement on the page.</t>
        </is>
      </c>
      <c r="O76" s="24" t="inlineStr">
        <is>
          <t>not stated</t>
        </is>
      </c>
      <c r="P76" s="24" t="inlineStr">
        <is>
          <t>Shortlist: coaching and wellbeing (client facing possible)</t>
        </is>
      </c>
      <c r="Q76" s="24" t="inlineStr"/>
      <c r="R76" s="24" t="inlineStr"/>
      <c r="S76" s="24" t="inlineStr">
        <is>
          <t>Scoring and Interpretation and Psychometric Properties sections are gated behind Professional Access login and not visible to an unauthenticated fetch.</t>
        </is>
      </c>
      <c r="T76" s="24" t="inlineStr">
        <is>
          <t>https://novopsych.com/assessments/formulation/brief-emotional-intelligence-scale/</t>
        </is>
      </c>
    </row>
    <row r="77">
      <c r="A77" s="24" t="n">
        <v>76</v>
      </c>
      <c r="B77" s="24" t="inlineStr">
        <is>
          <t>General Behaviour Inventory (Revised)</t>
        </is>
      </c>
      <c r="C77" s="24" t="inlineStr">
        <is>
          <t>GBI / GBI-R</t>
        </is>
      </c>
      <c r="D77" s="24" t="inlineStr">
        <is>
          <t>Bipolar, Formulation</t>
        </is>
      </c>
      <c r="E77" s="24" t="inlineStr">
        <is>
          <t>Frequency, intensity and duration of symptoms associated with bipolar I, bipolar II and cyclothymia.</t>
        </is>
      </c>
      <c r="F77" s="24" t="n">
        <v>73</v>
      </c>
      <c r="G77" s="24" t="inlineStr">
        <is>
          <t>Self report</t>
        </is>
      </c>
      <c r="H77" s="24" t="inlineStr">
        <is>
          <t>13+</t>
        </is>
      </c>
      <c r="I77" s="24" t="n">
        <v>13</v>
      </c>
      <c r="J77" s="24" t="inlineStr"/>
      <c r="K77" s="24" t="inlineStr">
        <is>
          <t>Not stated on page</t>
        </is>
      </c>
      <c r="L77" s="24" t="inlineStr">
        <is>
          <t>Not stated on page.</t>
        </is>
      </c>
      <c r="M77" s="24" t="inlineStr">
        <is>
          <t>Depue, R. A., Krauss, S., Spoont, M. R., &amp; Arbisi, P. (1989). Journal of Abnormal Psychology, 98(2), 117-126.</t>
        </is>
      </c>
      <c r="N77" s="24" t="inlineStr">
        <is>
          <t>Site footer only: "© 2026 Copyright – NovoPsych – All rights reserved". No instrument specific statement on the page.</t>
        </is>
      </c>
      <c r="O77" s="24" t="inlineStr">
        <is>
          <t>not stated</t>
        </is>
      </c>
      <c r="P77" s="24" t="inlineStr">
        <is>
          <t>Consider</t>
        </is>
      </c>
      <c r="Q77" s="24" t="inlineStr"/>
      <c r="R77" s="24" t="inlineStr"/>
      <c r="S77" s="24" t="inlineStr">
        <is>
          <t>Scoring and Interpretation and Psychometric Properties sections are gated behind Professional Access login and not visible to an unauthenticated fetch. Page title says GBI; body refers to the revised GBI-R.</t>
        </is>
      </c>
      <c r="T77" s="24" t="inlineStr">
        <is>
          <t>https://novopsych.com/assessments/formulation/general-behaviour-inventory-gbi/</t>
        </is>
      </c>
    </row>
    <row r="78">
      <c r="A78" s="24" t="n">
        <v>77</v>
      </c>
      <c r="B78" s="24" t="inlineStr">
        <is>
          <t>Adult Separation Anxiety Questionnaire</t>
        </is>
      </c>
      <c r="C78" s="24" t="inlineStr">
        <is>
          <t>ASA-27</t>
        </is>
      </c>
      <c r="D78" s="24" t="inlineStr">
        <is>
          <t>Anxiety, Diagnosis, Formulation</t>
        </is>
      </c>
      <c r="E78" s="24" t="inlineStr">
        <is>
          <t>Adult separation anxiety symptoms including worry, distress and avoidance around separation from loved ones or familiar places.</t>
        </is>
      </c>
      <c r="F78" s="24" t="n">
        <v>27</v>
      </c>
      <c r="G78" s="24" t="inlineStr">
        <is>
          <t>Self report</t>
        </is>
      </c>
      <c r="H78" s="24" t="inlineStr">
        <is>
          <t>18+</t>
        </is>
      </c>
      <c r="I78" s="24" t="n">
        <v>5</v>
      </c>
      <c r="J78" s="24" t="inlineStr"/>
      <c r="K78" s="24" t="inlineStr">
        <is>
          <t>Not stated on page</t>
        </is>
      </c>
      <c r="L78" s="24" t="inlineStr">
        <is>
          <t>Not stated on page.</t>
        </is>
      </c>
      <c r="M78" s="24" t="inlineStr">
        <is>
          <t>Manicavasagar, V., Silove, D., Wagner, R., &amp; Drobny, J. (2003). Comprehensive Psychiatry, 44(2), 146-153.</t>
        </is>
      </c>
      <c r="N78" s="24" t="inlineStr">
        <is>
          <t>Site footer only: "© 2026 Copyright – NovoPsych – All rights reserved". No instrument specific statement on the page.</t>
        </is>
      </c>
      <c r="O78" s="24" t="inlineStr">
        <is>
          <t>not stated</t>
        </is>
      </c>
      <c r="P78" s="24" t="inlineStr">
        <is>
          <t>Shortlist: screening or clinical (Sarah only if used)</t>
        </is>
      </c>
      <c r="Q78" s="24" t="inlineStr"/>
      <c r="R78" s="24" t="inlineStr"/>
      <c r="S78" s="24" t="inlineStr">
        <is>
          <t>Scoring and Interpretation and Psychometric Properties sections are gated behind Professional Access login and not visible to an unauthenticated fetch. Item count inferred from the code ASA-27, not stated explicitly. PDF download offered.</t>
        </is>
      </c>
      <c r="T78" s="24" t="inlineStr">
        <is>
          <t>https://novopsych.com/assessments/diagnosis/adult-separation-anxiety-questionnaire/</t>
        </is>
      </c>
    </row>
    <row r="79">
      <c r="A79" s="24" t="n">
        <v>78</v>
      </c>
      <c r="B79" s="24" t="inlineStr">
        <is>
          <t>ADHD Clinical Outcome Scale, Self Report Version</t>
        </is>
      </c>
      <c r="C79" s="24" t="inlineStr">
        <is>
          <t>ACOS-Self</t>
        </is>
      </c>
      <c r="D79" s="24" t="inlineStr">
        <is>
          <t>ADHD, Outcome monitoring</t>
        </is>
      </c>
      <c r="E79" s="24" t="inlineStr">
        <is>
          <t>Routine outcome measure of ADHD symptoms, related mental health problems and functional difficulties in adults.</t>
        </is>
      </c>
      <c r="F79" s="24" t="n">
        <v>15</v>
      </c>
      <c r="G79" s="24" t="inlineStr">
        <is>
          <t>Self report</t>
        </is>
      </c>
      <c r="H79" s="24" t="inlineStr">
        <is>
          <t>18+</t>
        </is>
      </c>
      <c r="I79" s="24" t="n">
        <v>3</v>
      </c>
      <c r="J79" s="24" t="inlineStr"/>
      <c r="K79" s="24" t="inlineStr">
        <is>
          <t>Not stated on page</t>
        </is>
      </c>
      <c r="L79" s="24" t="inlineStr">
        <is>
          <t>Not stated on page.</t>
        </is>
      </c>
      <c r="M79" s="24" t="inlineStr">
        <is>
          <t>Adamis, D., Singh, J., Coada, I., Wrigley, M., Gavin, B., &amp; McNicholas, F. (2024). BJPsych Open, 10(6), e180.</t>
        </is>
      </c>
      <c r="N79" s="24" t="inlineStr">
        <is>
          <t>Site footer only: "© 2026 Copyright – NovoPsych – All rights reserved". No instrument specific statement on the page.</t>
        </is>
      </c>
      <c r="O79" s="24" t="inlineStr">
        <is>
          <t>not stated</t>
        </is>
      </c>
      <c r="P79" s="24" t="inlineStr">
        <is>
          <t>Shortlist: coaching and wellbeing (client facing possible)</t>
        </is>
      </c>
      <c r="Q79" s="24" t="inlineStr"/>
      <c r="R79" s="24" t="inlineStr"/>
      <c r="S79" s="24" t="inlineStr">
        <is>
          <t>Scoring and Interpretation and Psychometric Properties sections are gated behind Professional Access login and not visible to an unauthenticated fetch. Companion clinician version catalogued separately.</t>
        </is>
      </c>
      <c r="T79" s="24" t="inlineStr">
        <is>
          <t>https://novopsych.com/assessments/outcome-monitoring/adhd-clinical-outcome-scale-acos-self-report-version/</t>
        </is>
      </c>
    </row>
    <row r="80">
      <c r="A80" s="24" t="n">
        <v>79</v>
      </c>
      <c r="B80" s="24" t="inlineStr">
        <is>
          <t>ADHD Clinical Outcome Scale, Clinician Version</t>
        </is>
      </c>
      <c r="C80" s="24" t="inlineStr">
        <is>
          <t>ACOS-Clinician</t>
        </is>
      </c>
      <c r="D80" s="24" t="inlineStr">
        <is>
          <t>ADHD, Outcome monitoring</t>
        </is>
      </c>
      <c r="E80" s="24" t="inlineStr">
        <is>
          <t>Clinician rated routine outcome measure of ADHD, related mental health problems and functional difficulties in adults.</t>
        </is>
      </c>
      <c r="F80" s="24" t="n">
        <v>15</v>
      </c>
      <c r="G80" s="24" t="inlineStr">
        <is>
          <t>Clinician</t>
        </is>
      </c>
      <c r="H80" s="24" t="inlineStr">
        <is>
          <t>18+</t>
        </is>
      </c>
      <c r="I80" s="24" t="n">
        <v>3</v>
      </c>
      <c r="J80" s="24" t="inlineStr"/>
      <c r="K80" s="24" t="inlineStr">
        <is>
          <t>Not stated on page</t>
        </is>
      </c>
      <c r="L80" s="24" t="inlineStr">
        <is>
          <t>Not stated on page.</t>
        </is>
      </c>
      <c r="M80" s="24" t="inlineStr">
        <is>
          <t>Adamis, D., Singh, J., Coada, I., Wrigley, M., Gavin, B., &amp; McNicholas, F. (2024). BJPsych Open, 10(6), e180. doi:10.1192/bjo.2024.739</t>
        </is>
      </c>
      <c r="N80" s="24" t="inlineStr">
        <is>
          <t>Site footer only: "© 2026 Copyright – NovoPsych – All rights reserved". No instrument specific statement on the page.</t>
        </is>
      </c>
      <c r="O80" s="24" t="inlineStr">
        <is>
          <t>not stated</t>
        </is>
      </c>
      <c r="P80" s="24" t="inlineStr">
        <is>
          <t>Out of scope for the hub (not self report)</t>
        </is>
      </c>
      <c r="Q80" s="24" t="inlineStr"/>
      <c r="R80" s="24" t="inlineStr"/>
      <c r="S80" s="24" t="inlineStr">
        <is>
          <t>Scoring and Interpretation and Psychometric Properties sections are gated behind Professional Access login and not visible to an unauthenticated fetch.</t>
        </is>
      </c>
      <c r="T80" s="24" t="inlineStr">
        <is>
          <t>https://novopsych.com/assessments/outcome-monitoring/adhd-clinical-outcome-scale-acos-clinician-version/</t>
        </is>
      </c>
    </row>
    <row r="81">
      <c r="A81" s="24" t="n">
        <v>80</v>
      </c>
      <c r="B81" s="24" t="inlineStr">
        <is>
          <t>Flourishing Scale</t>
        </is>
      </c>
      <c r="C81" s="24" t="inlineStr">
        <is>
          <t>FS</t>
        </is>
      </c>
      <c r="D81" s="24" t="inlineStr">
        <is>
          <t>Well-being</t>
        </is>
      </c>
      <c r="E81" s="24" t="inlineStr">
        <is>
          <t>Self perceived success in important life areas such as relationships, self esteem, purpose and optimism.</t>
        </is>
      </c>
      <c r="F81" s="24" t="n">
        <v>8</v>
      </c>
      <c r="G81" s="24" t="inlineStr">
        <is>
          <t>Self report</t>
        </is>
      </c>
      <c r="H81" s="24" t="inlineStr">
        <is>
          <t>18+</t>
        </is>
      </c>
      <c r="I81" s="24" t="n">
        <v>1</v>
      </c>
      <c r="J81" s="24" t="inlineStr"/>
      <c r="K81" s="24" t="inlineStr">
        <is>
          <t>Not stated on page</t>
        </is>
      </c>
      <c r="L81" s="24" t="inlineStr">
        <is>
          <t>Not stated on page.</t>
        </is>
      </c>
      <c r="M81" s="24" t="inlineStr">
        <is>
          <t>Diener, E., Wirtz, D., Tov, W., Kim-Prieto, C., Choi, D. W., Oishi, S., &amp; Biswas-Diener, R. (2010). Social Indicators Research, 97(2), 143-156.</t>
        </is>
      </c>
      <c r="N81" s="24" t="inlineStr">
        <is>
          <t>Site footer only: "© 2026 Copyright – NovoPsych – All rights reserved". No instrument specific statement on the page.</t>
        </is>
      </c>
      <c r="O81" s="24" t="inlineStr">
        <is>
          <t>not stated</t>
        </is>
      </c>
      <c r="P81" s="24" t="inlineStr">
        <is>
          <t>Shortlist: coaching and wellbeing (client facing possible)</t>
        </is>
      </c>
      <c r="Q81" s="24" t="inlineStr"/>
      <c r="R81" s="24" t="inlineStr"/>
      <c r="S81" s="24" t="inlineStr">
        <is>
          <t>Scoring and Interpretation and Psychometric Properties sections are gated behind Professional Access login and not visible to an unauthenticated fetch.</t>
        </is>
      </c>
      <c r="T81" s="24" t="inlineStr">
        <is>
          <t>https://novopsych.com/assessments/well-being/flourishing-scale-fs/</t>
        </is>
      </c>
    </row>
    <row r="82">
      <c r="A82" s="24" t="n">
        <v>81</v>
      </c>
      <c r="B82" s="24" t="inlineStr">
        <is>
          <t>Clinical Outcomes in Routine Evaluation Outcome Measure</t>
        </is>
      </c>
      <c r="C82" s="24" t="inlineStr">
        <is>
          <t>CORE-OM</t>
        </is>
      </c>
      <c r="D82" s="24" t="inlineStr">
        <is>
          <t>Outcome monitoring</t>
        </is>
      </c>
      <c r="E82" s="24" t="inlineStr">
        <is>
          <t>General psychological distress, used to track treatment response over the course of therapy.</t>
        </is>
      </c>
      <c r="F82" s="24" t="n"/>
      <c r="G82" s="24" t="inlineStr">
        <is>
          <t>Self report</t>
        </is>
      </c>
      <c r="H82" s="24" t="inlineStr">
        <is>
          <t>18+</t>
        </is>
      </c>
      <c r="I82" s="24" t="n">
        <v>6</v>
      </c>
      <c r="J82" s="24" t="inlineStr"/>
      <c r="K82" s="24" t="inlineStr">
        <is>
          <t>Not stated on page</t>
        </is>
      </c>
      <c r="L82" s="24" t="inlineStr">
        <is>
          <t>Not stated on page.</t>
        </is>
      </c>
      <c r="M82" s="24" t="inlineStr">
        <is>
          <t>Evans, C., Connell, J., Barkham, M., Margison, F., McGrath, G., Mellor-Clark, J., &amp; Audin, K. (2002). The British Journal of Psychiatry, 180, 51-60.</t>
        </is>
      </c>
      <c r="N82" s="24" t="inlineStr">
        <is>
          <t>"The copyright holder for the CORE-OM is the CORE System Trust." No further licensing terms on page.</t>
        </is>
      </c>
      <c r="O82" s="24" t="inlineStr">
        <is>
          <t>not stated</t>
        </is>
      </c>
      <c r="P82" s="24" t="inlineStr">
        <is>
          <t>Shortlist: coaching and wellbeing (client facing possible)</t>
        </is>
      </c>
      <c r="Q82" s="24" t="inlineStr"/>
      <c r="R82" s="24" t="inlineStr"/>
      <c r="S82" s="24" t="inlineStr">
        <is>
          <t>Scoring and Interpretation and Psychometric Properties sections are gated behind Professional Access login and not visible to an unauthenticated fetch. Copyright held by a third party (CORE System Trust); item count not stated (published measure has 34 items; verify).</t>
        </is>
      </c>
      <c r="T82" s="24" t="inlineStr">
        <is>
          <t>https://novopsych.com/assessments/outcome-monitoring/clinical-outcomes-in-routine-evaluation-core-om/</t>
        </is>
      </c>
    </row>
    <row r="83">
      <c r="A83" s="24" t="n">
        <v>82</v>
      </c>
      <c r="B83" s="24" t="inlineStr">
        <is>
          <t>Clinical Outcomes in Routine Evaluation 10</t>
        </is>
      </c>
      <c r="C83" s="24" t="inlineStr">
        <is>
          <t>CORE-10</t>
        </is>
      </c>
      <c r="D83" s="24" t="inlineStr">
        <is>
          <t>Outcome monitoring</t>
        </is>
      </c>
      <c r="E83" s="24" t="inlineStr">
        <is>
          <t>Psychological distress over the past week for routine symptom tracking during treatment.</t>
        </is>
      </c>
      <c r="F83" s="24" t="n">
        <v>10</v>
      </c>
      <c r="G83" s="24" t="inlineStr">
        <is>
          <t>Self report</t>
        </is>
      </c>
      <c r="H83" s="24" t="inlineStr">
        <is>
          <t>17+</t>
        </is>
      </c>
      <c r="I83" s="24" t="n">
        <v>2</v>
      </c>
      <c r="J83" s="24" t="inlineStr"/>
      <c r="K83" s="24" t="inlineStr">
        <is>
          <t>Not stated on page</t>
        </is>
      </c>
      <c r="L83" s="24" t="inlineStr">
        <is>
          <t>Not stated on page.</t>
        </is>
      </c>
      <c r="M83" s="24" t="inlineStr">
        <is>
          <t>Barkham, M., Bewick, B., Mullin, T., Gilbody, S., Connell, J., Cahill, J., Mellor-Clark, J., Richards, D., Unsworth, G., &amp; Evans, C. (2013). Counselling and Psychotherapy Research. doi:10.1080/14733145.2012.729069</t>
        </is>
      </c>
      <c r="N83" s="24" t="inlineStr">
        <is>
          <t>"The copyright holder for the CORE-10 is the CORE System Trust". No further licensing terms on page.</t>
        </is>
      </c>
      <c r="O83" s="24" t="inlineStr">
        <is>
          <t>not stated</t>
        </is>
      </c>
      <c r="P83" s="24" t="inlineStr">
        <is>
          <t>Shortlist: coaching and wellbeing (client facing possible)</t>
        </is>
      </c>
      <c r="Q83" s="24" t="inlineStr"/>
      <c r="R83" s="24" t="inlineStr"/>
      <c r="S83" s="24" t="inlineStr">
        <is>
          <t>Scoring and Interpretation and Psychometric Properties sections are gated behind Professional Access login and not visible to an unauthenticated fetch. Copyright held by a third party (CORE System Trust). Page developer section lists a different DOI (10.4236/psych.2014.510141) that appears to be an error.</t>
        </is>
      </c>
      <c r="T83" s="24" t="inlineStr">
        <is>
          <t>https://novopsych.com/assessments/outcome-monitoring/clinical-outcomes-in-routine-evaluation-10-core-10/</t>
        </is>
      </c>
    </row>
    <row r="84">
      <c r="A84" s="24" t="n">
        <v>83</v>
      </c>
      <c r="B84" s="24" t="inlineStr">
        <is>
          <t>Camouflaging Autistic Traits Questionnaire</t>
        </is>
      </c>
      <c r="C84" s="24" t="inlineStr">
        <is>
          <t>CAT-Q</t>
        </is>
      </c>
      <c r="D84" s="24" t="inlineStr">
        <is>
          <t>Adolescent, Autism, Formulation</t>
        </is>
      </c>
      <c r="E84" s="24" t="inlineStr">
        <is>
          <t>Strategies used to adapt to or mask autistic traits in social situations.</t>
        </is>
      </c>
      <c r="F84" s="24" t="n">
        <v>25</v>
      </c>
      <c r="G84" s="24" t="inlineStr">
        <is>
          <t>Self report</t>
        </is>
      </c>
      <c r="H84" s="24" t="inlineStr">
        <is>
          <t>16+</t>
        </is>
      </c>
      <c r="I84" s="24" t="n"/>
      <c r="J84" s="24" t="inlineStr">
        <is>
          <t>Compensation, Masking, Assimilation</t>
        </is>
      </c>
      <c r="K84" s="24" t="inlineStr">
        <is>
          <t>Not stated on page</t>
        </is>
      </c>
      <c r="L84" s="24" t="inlineStr">
        <is>
          <t>Total and subscale scores reported as percentiles against non autistic adults of the same gender; higher = more camouflaging. Qualitative descriptors described without cut off values. A change of 13 or more total points is treated as meaningful.</t>
        </is>
      </c>
      <c r="M84" s="24" t="inlineStr">
        <is>
          <t>Hull, L., Mandy, W., Lai, M. C., Baron-Cohen, S., Allison, C., Smith, P., &amp; Petrides, K. V. (2019). Journal of Autism and Developmental Disorders, 49(3), 819-833.</t>
        </is>
      </c>
      <c r="N84" s="24" t="inlineStr">
        <is>
          <t>No copyright, licensing or permission statement found on page.</t>
        </is>
      </c>
      <c r="O84" s="24" t="inlineStr">
        <is>
          <t>not stated</t>
        </is>
      </c>
      <c r="P84" s="24" t="inlineStr">
        <is>
          <t>Out of scope for the hub (child, adolescent, sport, eating, clinician or service feedback)</t>
        </is>
      </c>
      <c r="Q84" s="24" t="inlineStr"/>
      <c r="R84" s="24" t="inlineStr"/>
      <c r="S84" s="24" t="inlineStr">
        <is>
          <t>Administration time not stated.</t>
        </is>
      </c>
      <c r="T84" s="24" t="inlineStr">
        <is>
          <t>https://novopsych.com/assessments/formulation/camouflaging-autistic-traits-questionnaire-cat-q/</t>
        </is>
      </c>
    </row>
    <row r="85">
      <c r="A85" s="24" t="n">
        <v>84</v>
      </c>
      <c r="B85" s="24" t="inlineStr">
        <is>
          <t>Maladaptive Schema Scale</t>
        </is>
      </c>
      <c r="C85" s="24" t="inlineStr">
        <is>
          <t>MSS</t>
        </is>
      </c>
      <c r="D85" s="24" t="inlineStr">
        <is>
          <t>Formulation</t>
        </is>
      </c>
      <c r="E85" s="24" t="inlineStr">
        <is>
          <t>Maladaptive patterns of thought, behaviour and emotion (27 schemas) relevant to mental ill health, for case formulation.</t>
        </is>
      </c>
      <c r="F85" s="24" t="n">
        <v>108</v>
      </c>
      <c r="G85" s="24" t="inlineStr">
        <is>
          <t>Self report</t>
        </is>
      </c>
      <c r="H85" s="24" t="inlineStr">
        <is>
          <t>18+</t>
        </is>
      </c>
      <c r="I85" s="24" t="n">
        <v>15</v>
      </c>
      <c r="J85" s="24" t="inlineStr">
        <is>
          <t>27 schemas (not all named on page), Childhood Unmet Needs Clusters, Schema Focus Categories</t>
        </is>
      </c>
      <c r="K85" s="24" t="inlineStr">
        <is>
          <t>Not stated on page</t>
        </is>
      </c>
      <c r="L85" s="24" t="inlineStr">
        <is>
          <t>Method not stated. Clinical thresholds are set at the 90th percentile of a clinical sample; numeric cut offs not published on page.</t>
        </is>
      </c>
      <c r="M85" s="24" t="inlineStr">
        <is>
          <t>Not stated on page for the MSS. Related: Buchanan, B., et al. (2025). Assessment. doi:10.1177/10731911251390083. Page says NovoPsych developed the adaptive MSS-Dynamic.</t>
        </is>
      </c>
      <c r="N85" s="24" t="inlineStr">
        <is>
          <t>"The MSS is distributed under an open-source license, removing the restrictive copyright and financial barriers associated with the YSQ and its derivatives, thereby providing free access for clinical and research use."</t>
        </is>
      </c>
      <c r="O85" s="24" t="inlineStr">
        <is>
          <t>free, copyright held by authors</t>
        </is>
      </c>
      <c r="P85" s="24" t="inlineStr">
        <is>
          <t>Shortlist: coaching and wellbeing (client facing possible)</t>
        </is>
      </c>
      <c r="Q85" s="24" t="inlineStr"/>
      <c r="R85" s="24" t="inlineStr"/>
      <c r="S85" s="24" t="inlineStr">
        <is>
          <t>Open source licence stated; exact licence name not given. Example schemas named: Excessive Self-Reliance / Avoidant Attachment, Lack of Coherent Identity, Meaningless World, Unfairness. Page published 28 October 2024.</t>
        </is>
      </c>
      <c r="T85" s="24" t="inlineStr">
        <is>
          <t>https://novopsych.com/assessments/formulation/maladaptive-schema-scale-mss/</t>
        </is>
      </c>
    </row>
    <row r="86">
      <c r="A86" s="24" t="n">
        <v>85</v>
      </c>
      <c r="B86" s="24" t="inlineStr">
        <is>
          <t>Maladaptive Schema Scale, Young Schema Aligned</t>
        </is>
      </c>
      <c r="C86" s="24" t="inlineStr">
        <is>
          <t>MSS-YSQ</t>
        </is>
      </c>
      <c r="D86" s="24" t="inlineStr">
        <is>
          <t>Formulation</t>
        </is>
      </c>
      <c r="E86" s="24" t="inlineStr">
        <is>
          <t>Problematic thinking, behavioural and emotional patterns aligned with the schemas of the 1990 Young Schema Questionnaire.</t>
        </is>
      </c>
      <c r="F86" s="24" t="n">
        <v>76</v>
      </c>
      <c r="G86" s="24" t="inlineStr">
        <is>
          <t>Self report (implied; not stated)</t>
        </is>
      </c>
      <c r="H86" s="24" t="inlineStr">
        <is>
          <t>18+</t>
        </is>
      </c>
      <c r="I86" s="24" t="n">
        <v>8</v>
      </c>
      <c r="J86" s="24" t="inlineStr"/>
      <c r="K86" s="24" t="inlineStr">
        <is>
          <t>Not stated on page</t>
        </is>
      </c>
      <c r="L86" s="24" t="inlineStr">
        <is>
          <t>Not stated on page. A schema scores bar chart is referenced.</t>
        </is>
      </c>
      <c r="M86" s="24" t="inlineStr">
        <is>
          <t>Buchanan, B., Bartholomew, E., Smyth, C., &amp; Hegarty, D. (2024). The Maladaptive Schema Scale, Young Schema Aligned. Parent instrument: Buchanan et al. (2025). Assessment. doi:10.1177/10731911251390083</t>
        </is>
      </c>
      <c r="N86" s="24" t="inlineStr">
        <is>
          <t>Site footer only: "© 2026 Copyright – NovoPsych – All rights reserved". No instrument specific statement on the page.</t>
        </is>
      </c>
      <c r="O86" s="24" t="inlineStr">
        <is>
          <t>not stated</t>
        </is>
      </c>
      <c r="P86" s="24" t="inlineStr">
        <is>
          <t>Shortlist: coaching and wellbeing (client facing possible)</t>
        </is>
      </c>
      <c r="Q86" s="24" t="inlineStr"/>
      <c r="R86" s="24" t="inlineStr"/>
      <c r="S86" s="24" t="inlineStr">
        <is>
          <t>Scoring and Interpretation and Psychometric Properties sections are gated behind Professional Access login and not visible to an unauthenticated fetch. Schema names section present but not captured. Parent MSS page states an open source licence; not restated here.</t>
        </is>
      </c>
      <c r="T86" s="24" t="inlineStr">
        <is>
          <t>https://novopsych.com/assessments/formulation/mss-ysq-young-schema-questionnaire/</t>
        </is>
      </c>
    </row>
    <row r="87">
      <c r="A87" s="24" t="n">
        <v>86</v>
      </c>
      <c r="B87" s="24" t="inlineStr">
        <is>
          <t>Brief Experiential Avoidance Questionnaire</t>
        </is>
      </c>
      <c r="C87" s="24" t="inlineStr">
        <is>
          <t>BEAQ</t>
        </is>
      </c>
      <c r="D87" s="24" t="inlineStr">
        <is>
          <t>Formulation</t>
        </is>
      </c>
      <c r="E87" s="24" t="inlineStr">
        <is>
          <t>Tendency to avoid unpleasant emotions, thoughts, memories or bodily sensations.</t>
        </is>
      </c>
      <c r="F87" s="24" t="n"/>
      <c r="G87" s="24" t="inlineStr">
        <is>
          <t>Self report (implied; not stated)</t>
        </is>
      </c>
      <c r="H87" s="24" t="inlineStr">
        <is>
          <t>18+</t>
        </is>
      </c>
      <c r="I87" s="24" t="n">
        <v>3</v>
      </c>
      <c r="J87" s="24" t="inlineStr"/>
      <c r="K87" s="24" t="inlineStr">
        <is>
          <t>Not stated on page</t>
        </is>
      </c>
      <c r="L87" s="24" t="inlineStr">
        <is>
          <t>Not stated on page.</t>
        </is>
      </c>
      <c r="M87" s="24" t="inlineStr">
        <is>
          <t>Gamez, W., Chmielewski, M., Kotov, R., Ruggero, C., Suzuki, N., &amp; Watson, D. (2014). Psychological Assessment, 26(1), 35-45. doi:10.1037/a0034473</t>
        </is>
      </c>
      <c r="N87" s="24" t="inlineStr">
        <is>
          <t>Site footer only: "© 2026 Copyright – NovoPsych – All rights reserved". No instrument specific statement on the page.</t>
        </is>
      </c>
      <c r="O87" s="24" t="inlineStr">
        <is>
          <t>not stated</t>
        </is>
      </c>
      <c r="P87" s="24" t="inlineStr">
        <is>
          <t>Shortlist: coaching and wellbeing (client facing possible)</t>
        </is>
      </c>
      <c r="Q87" s="24" t="inlineStr"/>
      <c r="R87" s="24" t="inlineStr"/>
      <c r="S87" s="24" t="inlineStr">
        <is>
          <t>Scoring and Interpretation and Psychometric Properties sections are gated behind Professional Access login and not visible to an unauthenticated fetch. Item count not stated (published BEAQ has 15 items; verify).</t>
        </is>
      </c>
      <c r="T87" s="24" t="inlineStr">
        <is>
          <t>https://novopsych.com/assessments/formulation/brief-experiential-avoidance-questionnaire-beaq/</t>
        </is>
      </c>
    </row>
    <row r="88">
      <c r="A88" s="24" t="n">
        <v>87</v>
      </c>
      <c r="B88" s="24" t="inlineStr">
        <is>
          <t>Strengths and Weaknesses of ADHD Symptoms and Normal Behavior Scale</t>
        </is>
      </c>
      <c r="C88" s="24" t="inlineStr">
        <is>
          <t>SWAN</t>
        </is>
      </c>
      <c r="D88" s="24" t="inlineStr">
        <is>
          <t>ADHD</t>
        </is>
      </c>
      <c r="E88" s="24" t="inlineStr">
        <is>
          <t>Strengths and difficulties in attention and behavioural regulation in children and adolescents.</t>
        </is>
      </c>
      <c r="F88" s="24" t="n">
        <v>18</v>
      </c>
      <c r="G88" s="24" t="inlineStr">
        <is>
          <t>Parent report (typical); other versions not stated</t>
        </is>
      </c>
      <c r="H88" s="24" t="inlineStr">
        <is>
          <t>5 to 18 years</t>
        </is>
      </c>
      <c r="I88" s="24" t="n">
        <v>3</v>
      </c>
      <c r="J88" s="24" t="inlineStr"/>
      <c r="K88" s="24" t="inlineStr">
        <is>
          <t>Not stated on page</t>
        </is>
      </c>
      <c r="L88" s="24" t="inlineStr">
        <is>
          <t>Not stated on page.</t>
        </is>
      </c>
      <c r="M88" s="24" t="inlineStr">
        <is>
          <t>Developer James M. Swanson. Swanson, J. M., Schuck, S., Porter, M. M., et al. (2012). The International Journal of Educational and Psychological Assessment, 10(1), 51-70.</t>
        </is>
      </c>
      <c r="N88" s="24" t="inlineStr">
        <is>
          <t>Site footer only: "© 2026 Copyright – NovoPsych – All rights reserved". No instrument specific statement on the page.</t>
        </is>
      </c>
      <c r="O88" s="24" t="inlineStr">
        <is>
          <t>not stated</t>
        </is>
      </c>
      <c r="P88" s="24" t="inlineStr">
        <is>
          <t>Out of scope for the hub (not self report)</t>
        </is>
      </c>
      <c r="Q88" s="24" t="inlineStr"/>
      <c r="R88" s="24" t="inlineStr"/>
      <c r="S88" s="24" t="inlineStr">
        <is>
          <t>Scoring and Interpretation and Psychometric Properties sections are gated behind Professional Access login and not visible to an unauthenticated fetch. PDF download offered without stated terms. URL sits under /adhd/ rather than /assessments/.</t>
        </is>
      </c>
      <c r="T88" s="24" t="inlineStr">
        <is>
          <t>https://novopsych.com/adhd/strengths-and-weaknesses-of-adhd-symptoms-and-normal-behavior-scale-swan/</t>
        </is>
      </c>
    </row>
    <row r="89">
      <c r="A89" s="24" t="n">
        <v>88</v>
      </c>
      <c r="B89" s="24" t="inlineStr">
        <is>
          <t>Brief Early Schema Questionnaire</t>
        </is>
      </c>
      <c r="C89" s="24" t="inlineStr">
        <is>
          <t>BESQ</t>
        </is>
      </c>
      <c r="D89" s="24" t="inlineStr">
        <is>
          <t>Formulation</t>
        </is>
      </c>
      <c r="E89" s="24" t="inlineStr">
        <is>
          <t>Rapid screening of maladaptive patterns of thoughts, behaviours and emotions (early maladaptive schemas).</t>
        </is>
      </c>
      <c r="F89" s="24" t="n">
        <v>24</v>
      </c>
      <c r="G89" s="24" t="inlineStr">
        <is>
          <t>Self report (implied; not stated)</t>
        </is>
      </c>
      <c r="H89" s="24" t="inlineStr">
        <is>
          <t>18+</t>
        </is>
      </c>
      <c r="I89" s="24" t="n">
        <v>6</v>
      </c>
      <c r="J89" s="24" t="inlineStr"/>
      <c r="K89" s="24" t="inlineStr">
        <is>
          <t>Not stated on page</t>
        </is>
      </c>
      <c r="L89" s="24" t="inlineStr">
        <is>
          <t>Not stated on page.</t>
        </is>
      </c>
      <c r="M89" s="24" t="inlineStr">
        <is>
          <t>Brockman, R., Hayes, C., &amp; Behary, W. (2023). Brief Early Schema Questionnaire (BESQ). No journal listed.</t>
        </is>
      </c>
      <c r="N89" s="24" t="inlineStr">
        <is>
          <t>Site footer only: "© 2026 Copyright – NovoPsych – All rights reserved". No instrument specific statement on the page.</t>
        </is>
      </c>
      <c r="O89" s="24" t="inlineStr">
        <is>
          <t>not stated</t>
        </is>
      </c>
      <c r="P89" s="24" t="inlineStr">
        <is>
          <t>Shortlist: coaching and wellbeing (client facing possible)</t>
        </is>
      </c>
      <c r="Q89" s="24" t="inlineStr"/>
      <c r="R89" s="24" t="inlineStr"/>
      <c r="S89" s="24" t="inlineStr">
        <is>
          <t>Scoring and Interpretation and Psychometric Properties sections are gated behind Professional Access login and not visible to an unauthenticated fetch.</t>
        </is>
      </c>
      <c r="T89" s="24" t="inlineStr">
        <is>
          <t>https://novopsych.com/assessments/formulation/brief-early-schema-questionnaire-besq/</t>
        </is>
      </c>
    </row>
    <row r="90">
      <c r="A90" s="24" t="n">
        <v>89</v>
      </c>
      <c r="B90" s="24" t="inlineStr">
        <is>
          <t>Binge Eating Scale</t>
        </is>
      </c>
      <c r="C90" s="24" t="inlineStr">
        <is>
          <t>BES</t>
        </is>
      </c>
      <c r="D90" s="24" t="inlineStr">
        <is>
          <t>Body image and eating</t>
        </is>
      </c>
      <c r="E90" s="24" t="inlineStr">
        <is>
          <t>Presence and behavioural features of binge eating disorder.</t>
        </is>
      </c>
      <c r="F90" s="24" t="n">
        <v>16</v>
      </c>
      <c r="G90" s="24" t="inlineStr">
        <is>
          <t>Self report</t>
        </is>
      </c>
      <c r="H90" s="24" t="inlineStr">
        <is>
          <t>18+</t>
        </is>
      </c>
      <c r="I90" s="24" t="n">
        <v>5</v>
      </c>
      <c r="J90" s="24" t="inlineStr"/>
      <c r="K90" s="24" t="inlineStr">
        <is>
          <t>Not stated on page</t>
        </is>
      </c>
      <c r="L90" s="24" t="inlineStr">
        <is>
          <t>Not stated on page.</t>
        </is>
      </c>
      <c r="M90" s="24" t="inlineStr">
        <is>
          <t>Gormally, J., Black, S., Daston, S., &amp; Rardin, D. (1982). Addictive Behaviors, 7(1), 47-55.</t>
        </is>
      </c>
      <c r="N90" s="24" t="inlineStr">
        <is>
          <t>Site footer only: "© 2026 Copyright – NovoPsych – All rights reserved". No instrument specific statement on the page.</t>
        </is>
      </c>
      <c r="O90" s="24" t="inlineStr">
        <is>
          <t>not stated</t>
        </is>
      </c>
      <c r="P90" s="24" t="inlineStr">
        <is>
          <t>Out of scope for the hub (child, adolescent, sport, eating, clinician or service feedback)</t>
        </is>
      </c>
      <c r="Q90" s="24" t="inlineStr"/>
      <c r="R90" s="24" t="inlineStr"/>
      <c r="S90" s="24" t="inlineStr">
        <is>
          <t>Scoring and Interpretation and Psychometric Properties sections are gated behind Professional Access login and not visible to an unauthenticated fetch.</t>
        </is>
      </c>
      <c r="T90" s="24" t="inlineStr">
        <is>
          <t>https://novopsych.com/assessments/eating/binge-eating-scale-bes/</t>
        </is>
      </c>
    </row>
    <row r="91">
      <c r="A91" s="24" t="n">
        <v>90</v>
      </c>
      <c r="B91" s="24" t="inlineStr">
        <is>
          <t>Childhood Autism Spectrum Test</t>
        </is>
      </c>
      <c r="C91" s="24" t="inlineStr">
        <is>
          <t>CAST</t>
        </is>
      </c>
      <c r="D91" s="24" t="inlineStr">
        <is>
          <t>Autism, Child, Diagnosis</t>
        </is>
      </c>
      <c r="E91" s="24" t="inlineStr">
        <is>
          <t>Screens for developmental differences in children's social and communication functioning.</t>
        </is>
      </c>
      <c r="F91" s="24" t="n"/>
      <c r="G91" s="24" t="inlineStr">
        <is>
          <t>Informant report (parent, carer or teacher)</t>
        </is>
      </c>
      <c r="H91" s="24" t="inlineStr">
        <is>
          <t>4 to 11 years</t>
        </is>
      </c>
      <c r="I91" s="24" t="n">
        <v>5</v>
      </c>
      <c r="J91" s="24" t="inlineStr"/>
      <c r="K91" s="24" t="inlineStr">
        <is>
          <t>Not stated on page</t>
        </is>
      </c>
      <c r="L91" s="24" t="inlineStr">
        <is>
          <t>Not stated on page.</t>
        </is>
      </c>
      <c r="M91" s="24" t="inlineStr">
        <is>
          <t>Scott, F. J., Baron-Cohen, S., Bolton, P., &amp; Brayne, C. (2002). The CAST (Childhood Asperger Syndrome Test). Autism, 6(1), 9-31.</t>
        </is>
      </c>
      <c r="N91" s="24" t="inlineStr">
        <is>
          <t>Site footer only: "© 2026 Copyright – NovoPsych – All rights reserved". No instrument specific statement on the page.</t>
        </is>
      </c>
      <c r="O91" s="24" t="inlineStr">
        <is>
          <t>not stated</t>
        </is>
      </c>
      <c r="P91" s="24" t="inlineStr">
        <is>
          <t>Out of scope for the hub (child, adolescent, sport, eating, clinician or service feedback)</t>
        </is>
      </c>
      <c r="Q91" s="24" t="inlineStr"/>
      <c r="R91" s="24" t="inlineStr"/>
      <c r="S91" s="24" t="inlineStr">
        <is>
          <t>Scoring and Interpretation and Psychometric Properties sections are gated behind Professional Access login and not visible to an unauthenticated fetch. Originally named Childhood Asperger Syndrome Test. Item count not stated (published CAST has 37 items; verify). Blank PDF download offered.</t>
        </is>
      </c>
      <c r="T91" s="24" t="inlineStr">
        <is>
          <t>https://novopsych.com/assessments/diagnosis/childhood-autism-spectrum-test-cast/</t>
        </is>
      </c>
    </row>
    <row r="92">
      <c r="A92" s="24" t="n">
        <v>91</v>
      </c>
      <c r="B92" s="24" t="inlineStr">
        <is>
          <t>Anxiety, Depression, and Mood Scale</t>
        </is>
      </c>
      <c r="C92" s="24" t="inlineStr">
        <is>
          <t>ADAMS</t>
        </is>
      </c>
      <c r="D92" s="24" t="inlineStr">
        <is>
          <t>Disability</t>
        </is>
      </c>
      <c r="E92" s="24" t="inlineStr">
        <is>
          <t>Symptoms of anxiety, depression and other mood disorders in people with intellectual disability.</t>
        </is>
      </c>
      <c r="F92" s="24" t="n"/>
      <c r="G92" s="24" t="inlineStr">
        <is>
          <t>Informant report</t>
        </is>
      </c>
      <c r="H92" s="24" t="inlineStr">
        <is>
          <t>10+</t>
        </is>
      </c>
      <c r="I92" s="24" t="n">
        <v>5</v>
      </c>
      <c r="J92" s="24" t="inlineStr"/>
      <c r="K92" s="24" t="inlineStr">
        <is>
          <t>Not stated on page</t>
        </is>
      </c>
      <c r="L92" s="24" t="inlineStr">
        <is>
          <t>Not stated on page</t>
        </is>
      </c>
      <c r="M92" s="24" t="inlineStr">
        <is>
          <t>Esbensen, A. J., Rojahn, J., Aman, M. G., &amp; Ruedrich, S. (2003). Reliability and validity of an assessment instrument for anxiety, depression, and mood among individuals with mental retardation. Journal of Autism and Developmental Disorders, 33(6), 617-629.</t>
        </is>
      </c>
      <c r="N92" s="24" t="inlineStr">
        <is>
          <t>© 2026 Copyright – NovoPsych – All rights reserved</t>
        </is>
      </c>
      <c r="O92" s="24" t="inlineStr">
        <is>
          <t>not stated</t>
        </is>
      </c>
      <c r="P92" s="24" t="inlineStr">
        <is>
          <t>Out of scope for the hub (not self report)</t>
        </is>
      </c>
      <c r="Q92" s="24" t="inlineStr"/>
      <c r="R92" s="24" t="inlineStr"/>
      <c r="S92" s="24" t="inlineStr">
        <is>
          <t>Item count, response scale and scoring not visible. Detailed sections are behind Professional Access; only the site footer copyright notice appears on the public page.</t>
        </is>
      </c>
      <c r="T92" s="24" t="inlineStr">
        <is>
          <t>https://novopsych.com/assessments/disability/anxiety-depression-mood-scale-adams/</t>
        </is>
      </c>
    </row>
    <row r="93">
      <c r="A93" s="24" t="n">
        <v>92</v>
      </c>
      <c r="B93" s="24" t="inlineStr">
        <is>
          <t>Mental Health Literacy Scale</t>
        </is>
      </c>
      <c r="C93" s="24" t="inlineStr">
        <is>
          <t>MHLS</t>
        </is>
      </c>
      <c r="D93" s="24" t="inlineStr">
        <is>
          <t>Clinician self assessment, Formulation</t>
        </is>
      </c>
      <c r="E93" s="24" t="inlineStr">
        <is>
          <t>Knowledge and beliefs about mental disorders that support their recognition, management or prevention.</t>
        </is>
      </c>
      <c r="F93" s="24" t="n">
        <v>35</v>
      </c>
      <c r="G93" s="24" t="inlineStr">
        <is>
          <t>Self report (listed under clinician self assessment)</t>
        </is>
      </c>
      <c r="H93" s="24" t="inlineStr">
        <is>
          <t>13+</t>
        </is>
      </c>
      <c r="I93" s="24" t="n">
        <v>5</v>
      </c>
      <c r="J93" s="24" t="inlineStr"/>
      <c r="K93" s="24" t="inlineStr">
        <is>
          <t>Not stated on page</t>
        </is>
      </c>
      <c r="L93" s="24" t="inlineStr">
        <is>
          <t>Not stated on page</t>
        </is>
      </c>
      <c r="M93" s="24" t="inlineStr">
        <is>
          <t>O'Connor, M., &amp; Casey, L. (2015). The Mental Health Literacy Scale (MHLS): A new scale-based measure of mental health literacy. Psychiatry Research, 229(1-2), 511-516.</t>
        </is>
      </c>
      <c r="N93" s="24" t="inlineStr">
        <is>
          <t>"The MHLS is not to be used for commercial purposes." Page also states that those interested in using the MHLS for research purposes should contact the developer. Site footer: © 2026 Copyright – NovoPsych – All rights reserved</t>
        </is>
      </c>
      <c r="O93" s="24" t="inlineStr">
        <is>
          <t>permission required</t>
        </is>
      </c>
      <c r="P93" s="24" t="inlineStr">
        <is>
          <t>Out of scope for the hub (child, adolescent, sport, eating, clinician or service feedback)</t>
        </is>
      </c>
      <c r="Q93" s="24" t="inlineStr"/>
      <c r="R93" s="24" t="inlineStr"/>
      <c r="S93" s="24" t="inlineStr">
        <is>
          <t>Non commercial use only; developer contact required for research use. Scoring section not visible on public page.</t>
        </is>
      </c>
      <c r="T93" s="24" t="inlineStr">
        <is>
          <t>https://novopsych.com/assessments/clinician-self-assessment/mental-health-literacy-scale-mhls/</t>
        </is>
      </c>
    </row>
    <row r="94">
      <c r="A94" s="24" t="n">
        <v>93</v>
      </c>
      <c r="B94" s="24" t="inlineStr">
        <is>
          <t>Buss and Perry Aggression Questionnaire</t>
        </is>
      </c>
      <c r="C94" s="24" t="inlineStr">
        <is>
          <t>BPAQ</t>
        </is>
      </c>
      <c r="D94" s="24" t="inlineStr">
        <is>
          <t>Formulation, Personality</t>
        </is>
      </c>
      <c r="E94" s="24" t="inlineStr">
        <is>
          <t>Self reported aggression across physical and verbal aggression, anger and hostility.</t>
        </is>
      </c>
      <c r="F94" s="24" t="n">
        <v>29</v>
      </c>
      <c r="G94" s="24" t="inlineStr">
        <is>
          <t>Self report</t>
        </is>
      </c>
      <c r="H94" s="24" t="inlineStr">
        <is>
          <t>18+</t>
        </is>
      </c>
      <c r="I94" s="24" t="n">
        <v>5</v>
      </c>
      <c r="J94" s="24" t="inlineStr">
        <is>
          <t>Physical Aggression, Verbal Aggression, Anger, Hostility</t>
        </is>
      </c>
      <c r="K94" s="24" t="inlineStr">
        <is>
          <t>5 point rating scale; anchor labels not stated on page</t>
        </is>
      </c>
      <c r="L94" s="24" t="inlineStr">
        <is>
          <t>Subscales summed; ranges Physical Aggression 9 to 45, Verbal Aggression 5 to 25, Anger 7 to 35, Hostility 8 to 40. Higher scores indicate more of the construct. No cut offs stated.</t>
        </is>
      </c>
      <c r="M94" s="24" t="inlineStr">
        <is>
          <t>Buss, A. H., &amp; Perry, M. (1992). The Aggression Questionnaire. Journal of Personality and Social Psychology, 63(3), 452-459.</t>
        </is>
      </c>
      <c r="N94" s="24" t="inlineStr">
        <is>
          <t>© 2026 Copyright – NovoPsych – All rights reserved</t>
        </is>
      </c>
      <c r="O94" s="24" t="inlineStr">
        <is>
          <t>not stated</t>
        </is>
      </c>
      <c r="P94" s="24" t="inlineStr">
        <is>
          <t>Shortlist: coaching and wellbeing (client facing possible)</t>
        </is>
      </c>
      <c r="Q94" s="24" t="inlineStr"/>
      <c r="R94" s="24" t="inlineStr"/>
      <c r="S94" s="24" t="inlineStr">
        <is>
          <t>Repeat administrations graphed over time on the platform.</t>
        </is>
      </c>
      <c r="T94" s="24" t="inlineStr">
        <is>
          <t>https://novopsych.com/assessments/formulation/buss-perry-aggression-questionnaire-bpaq/</t>
        </is>
      </c>
    </row>
    <row r="95">
      <c r="A95" s="24" t="n">
        <v>94</v>
      </c>
      <c r="B95" s="24" t="inlineStr">
        <is>
          <t>Brief Emotional Distress Scale for Youth</t>
        </is>
      </c>
      <c r="C95" s="24" t="inlineStr">
        <is>
          <t>BEDSY</t>
        </is>
      </c>
      <c r="D95" s="24" t="inlineStr">
        <is>
          <t>Adolescent, Outcome monitoring</t>
        </is>
      </c>
      <c r="E95" s="24" t="inlineStr">
        <is>
          <t>General emotional distress in young people rather than specific anxiety or depression symptoms.</t>
        </is>
      </c>
      <c r="F95" s="24" t="n">
        <v>8</v>
      </c>
      <c r="G95" s="24" t="inlineStr">
        <is>
          <t>Self report</t>
        </is>
      </c>
      <c r="H95" s="24" t="inlineStr">
        <is>
          <t>11 to 17</t>
        </is>
      </c>
      <c r="I95" s="24" t="n">
        <v>1</v>
      </c>
      <c r="J95" s="24" t="inlineStr"/>
      <c r="K95" s="24" t="inlineStr">
        <is>
          <t>Not stated on page</t>
        </is>
      </c>
      <c r="L95" s="24" t="inlineStr">
        <is>
          <t>Not stated on page</t>
        </is>
      </c>
      <c r="M95" s="24" t="inlineStr">
        <is>
          <t>Spence, S. H., &amp; Rapee, R. M. (2022). Journal of Anxiety Disorders, 85, 102495. https://doi.org/10.1016/j.janxdis.2021.102495</t>
        </is>
      </c>
      <c r="N95" s="24" t="inlineStr">
        <is>
          <t>© 2026 Copyright – NovoPsych – All rights reserved</t>
        </is>
      </c>
      <c r="O95" s="24" t="inlineStr">
        <is>
          <t>not stated</t>
        </is>
      </c>
      <c r="P95" s="24" t="inlineStr">
        <is>
          <t>Out of scope for the hub (child, adolescent, sport, eating, clinician or service feedback)</t>
        </is>
      </c>
      <c r="Q95" s="24" t="inlineStr"/>
      <c r="R95" s="24" t="inlineStr"/>
      <c r="S95" s="24" t="inlineStr">
        <is>
          <t>Scoring and interpretation heading present without visible content. Detailed sections are behind Professional Access; only the site footer copyright notice appears on the public page.</t>
        </is>
      </c>
      <c r="T95" s="24" t="inlineStr">
        <is>
          <t>https://novopsych.com/assessments/outcome-monitoring/brief-emotional-distress-scale-for-youth-bedsy/</t>
        </is>
      </c>
    </row>
    <row r="96">
      <c r="A96" s="24" t="n">
        <v>95</v>
      </c>
      <c r="B96" s="24" t="inlineStr">
        <is>
          <t>Geriatric Depression Scale 15</t>
        </is>
      </c>
      <c r="C96" s="24" t="inlineStr">
        <is>
          <t>GDS-15</t>
        </is>
      </c>
      <c r="D96" s="24" t="inlineStr">
        <is>
          <t>Depression, Diagnosis</t>
        </is>
      </c>
      <c r="E96" s="24" t="inlineStr">
        <is>
          <t>Screening for depression in older adults based on feelings over the past week.</t>
        </is>
      </c>
      <c r="F96" s="24" t="n">
        <v>15</v>
      </c>
      <c r="G96" s="24" t="inlineStr">
        <is>
          <t>Not stated on page (self report by design)</t>
        </is>
      </c>
      <c r="H96" s="24" t="inlineStr">
        <is>
          <t>55+</t>
        </is>
      </c>
      <c r="I96" s="24" t="n">
        <v>3</v>
      </c>
      <c r="J96" s="24" t="inlineStr"/>
      <c r="K96" s="24" t="inlineStr">
        <is>
          <t>Not stated on page</t>
        </is>
      </c>
      <c r="L96" s="24" t="inlineStr">
        <is>
          <t>Cut off of 6 for clinical depression; results shown as percentiles against older adult norms. Sum method and direction not stated on page.</t>
        </is>
      </c>
      <c r="M96" s="24" t="inlineStr">
        <is>
          <t>Yesavage, J. A., Brink, T. L., Rose, T. L., Lum, O., Huang, V., Adey, M., &amp; Leirer, V. O. (1982). Development and validation of a geriatric depression screening scale: A preliminary report. Journal of Psychiatric Research, 17(1), 37-49.</t>
        </is>
      </c>
      <c r="N96" s="24" t="inlineStr">
        <is>
          <t>© 2026 Copyright – NovoPsych – All rights reserved</t>
        </is>
      </c>
      <c r="O96" s="24" t="inlineStr">
        <is>
          <t>not stated</t>
        </is>
      </c>
      <c r="P96" s="24" t="inlineStr">
        <is>
          <t>Shortlist: screening or clinical (Sarah only if used)</t>
        </is>
      </c>
      <c r="Q96" s="24" t="inlineStr"/>
      <c r="R96" s="24" t="inlineStr"/>
      <c r="S96" s="24" t="inlineStr">
        <is>
          <t>Meta description mentions 2 subscales but they are not named on the page.</t>
        </is>
      </c>
      <c r="T96" s="24" t="inlineStr">
        <is>
          <t>https://novopsych.com/assessments/diagnosis/geriatric-depression-scale-15-gds/</t>
        </is>
      </c>
    </row>
    <row r="97">
      <c r="A97" s="24" t="n">
        <v>96</v>
      </c>
      <c r="B97" s="24" t="inlineStr">
        <is>
          <t>Weiss Symptom Record II</t>
        </is>
      </c>
      <c r="C97" s="24" t="inlineStr">
        <is>
          <t>WSR-II</t>
        </is>
      </c>
      <c r="D97" s="24" t="inlineStr">
        <is>
          <t>Formulation</t>
        </is>
      </c>
      <c r="E97" s="24" t="inlineStr">
        <is>
          <t>Broad screening tool for systematically gathering information about a wide range of psychiatric symptoms.</t>
        </is>
      </c>
      <c r="F97" s="24" t="n">
        <v>123</v>
      </c>
      <c r="G97" s="24" t="inlineStr">
        <is>
          <t>Not stated on page</t>
        </is>
      </c>
      <c r="H97" s="24" t="inlineStr">
        <is>
          <t>6+</t>
        </is>
      </c>
      <c r="I97" s="24" t="n">
        <v>20</v>
      </c>
      <c r="J97" s="24" t="inlineStr"/>
      <c r="K97" s="24" t="inlineStr">
        <is>
          <t>Not stated on page</t>
        </is>
      </c>
      <c r="L97" s="24" t="inlineStr">
        <is>
          <t>Not stated on page</t>
        </is>
      </c>
      <c r="M97" s="24" t="inlineStr">
        <is>
          <t>Weiss, M. D. (developer named on page; no full bibliographic citation given).</t>
        </is>
      </c>
      <c r="N97" s="24" t="inlineStr">
        <is>
          <t>© 2026 Copyright – NovoPsych – All rights reserved</t>
        </is>
      </c>
      <c r="O97" s="24" t="inlineStr">
        <is>
          <t>not stated</t>
        </is>
      </c>
      <c r="P97" s="24" t="inlineStr">
        <is>
          <t>Shortlist: screening or clinical (Sarah only if used)</t>
        </is>
      </c>
      <c r="Q97" s="24" t="inlineStr"/>
      <c r="R97" s="24" t="inlineStr"/>
      <c r="S97" s="24" t="inlineStr">
        <is>
          <t>Blank PDF and sample report offered without terms of use. Detailed sections are behind Professional Access; only the site footer copyright notice appears on the public page.</t>
        </is>
      </c>
      <c r="T97" s="24" t="inlineStr">
        <is>
          <t>https://novopsych.com/assessments/formulation/weiss-symptom-record-ii-wsr-ii/</t>
        </is>
      </c>
    </row>
    <row r="98">
      <c r="A98" s="24" t="n">
        <v>97</v>
      </c>
      <c r="B98" s="24" t="inlineStr">
        <is>
          <t>Indigenous Risk Impact Screen</t>
        </is>
      </c>
      <c r="C98" s="24" t="inlineStr">
        <is>
          <t>IRIS</t>
        </is>
      </c>
      <c r="D98" s="24" t="inlineStr">
        <is>
          <t>Addiction, Outcome monitoring</t>
        </is>
      </c>
      <c r="E98" s="24" t="inlineStr">
        <is>
          <t>Alcohol and other drug risk and mental health and emotional wellbeing risk in Indigenous Australian adults.</t>
        </is>
      </c>
      <c r="F98" s="24" t="n">
        <v>13</v>
      </c>
      <c r="G98" s="24" t="inlineStr">
        <is>
          <t>Not stated on page</t>
        </is>
      </c>
      <c r="H98" s="24" t="inlineStr">
        <is>
          <t>18+</t>
        </is>
      </c>
      <c r="I98" s="24" t="n">
        <v>3</v>
      </c>
      <c r="J98" s="24" t="inlineStr">
        <is>
          <t>Alcohol and Other Drug risk, Mental Health and Emotional Well-being risk</t>
        </is>
      </c>
      <c r="K98" s="24" t="inlineStr">
        <is>
          <t>Not stated on page</t>
        </is>
      </c>
      <c r="L98" s="24" t="inlineStr">
        <is>
          <t>Summed subscales, higher indicates greater risk. AOD risk ranges 7 to 28, score of 10 or more clinically significant. Mental health risk ranges 6 to 18, score of 11 or more clinically significant.</t>
        </is>
      </c>
      <c r="M98" s="24" t="inlineStr">
        <is>
          <t>Schlesinger, C. M., Ober, C., McCarthy, M. M., Watson, J. D., &amp; Seinen, A. (2007). The development and validation of the Indigenous Risk Impact Screen (IRIS). Drug and Alcohol Review, 26(2), 109-117.</t>
        </is>
      </c>
      <c r="N98" s="24" t="inlineStr">
        <is>
          <t>© 2026 Copyright – NovoPsych – All rights reserved</t>
        </is>
      </c>
      <c r="O98" s="24" t="inlineStr">
        <is>
          <t>not stated</t>
        </is>
      </c>
      <c r="P98" s="24" t="inlineStr">
        <is>
          <t>Consider</t>
        </is>
      </c>
      <c r="Q98" s="24" t="inlineStr"/>
      <c r="R98" s="24" t="inlineStr"/>
      <c r="S98" s="24" t="inlineStr">
        <is>
          <t>Items 1 to 7 form the AOD subscale and items 8 to 13 the mental health subscale.</t>
        </is>
      </c>
      <c r="T98" s="24" t="inlineStr">
        <is>
          <t>https://novopsych.com/assessments/outcome-monitoring/indigenous_risk_impact_screen/</t>
        </is>
      </c>
    </row>
    <row r="99">
      <c r="A99" s="24" t="n">
        <v>98</v>
      </c>
      <c r="B99" s="24" t="inlineStr">
        <is>
          <t>Children's Eating Attitudes Test</t>
        </is>
      </c>
      <c r="C99" s="24" t="inlineStr">
        <is>
          <t>ChEAT</t>
        </is>
      </c>
      <c r="D99" s="24" t="inlineStr">
        <is>
          <t>Adolescent, Body image and eating, Child</t>
        </is>
      </c>
      <c r="E99" s="24" t="inlineStr">
        <is>
          <t>Eating attitudes and disordered eating behaviours in children, used to screen for eating disorder risk.</t>
        </is>
      </c>
      <c r="F99" s="24" t="n">
        <v>26</v>
      </c>
      <c r="G99" s="24" t="inlineStr">
        <is>
          <t>Self report; items read aloud by administrator for younger children</t>
        </is>
      </c>
      <c r="H99" s="24" t="inlineStr">
        <is>
          <t>8 to 15</t>
        </is>
      </c>
      <c r="I99" s="24" t="n">
        <v>3</v>
      </c>
      <c r="J99" s="24" t="inlineStr"/>
      <c r="K99" s="24" t="inlineStr">
        <is>
          <t>Not stated on page</t>
        </is>
      </c>
      <c r="L99" s="24" t="inlineStr">
        <is>
          <t>Not stated on page</t>
        </is>
      </c>
      <c r="M99" s="24" t="inlineStr">
        <is>
          <t>Maloney, M. J., McGuire, J. B., &amp; Daniels, S. R. (1988). Reliability testing of a children's version of the Eating Attitude Test. Journal of the American Academy of Child &amp; Adolescent Psychiatry, 27(5), 541-543.</t>
        </is>
      </c>
      <c r="N99" s="24" t="inlineStr">
        <is>
          <t>© 2026 Copyright – NovoPsych – All rights reserved</t>
        </is>
      </c>
      <c r="O99" s="24" t="inlineStr">
        <is>
          <t>not stated</t>
        </is>
      </c>
      <c r="P99" s="24" t="inlineStr">
        <is>
          <t>Out of scope for the hub (child, adolescent, sport, eating, clinician or service feedback)</t>
        </is>
      </c>
      <c r="Q99" s="24" t="inlineStr"/>
      <c r="R99" s="24" t="inlineStr"/>
      <c r="S99" s="24" t="inlineStr">
        <is>
          <t>Second reference: Maloney et al. (1989), Pediatrics, 84(3), 482-489. Detailed sections are behind Professional Access; only the site footer copyright notice appears on the public page.</t>
        </is>
      </c>
      <c r="T99" s="24" t="inlineStr">
        <is>
          <t>https://novopsych.com/assessments/child/children-eating-attitudes-test-cheat/</t>
        </is>
      </c>
    </row>
    <row r="100">
      <c r="A100" s="24" t="n">
        <v>99</v>
      </c>
      <c r="B100" s="24" t="inlineStr">
        <is>
          <t>Oldenburg Burnout Inventory</t>
        </is>
      </c>
      <c r="C100" s="24" t="inlineStr">
        <is>
          <t>OLBI</t>
        </is>
      </c>
      <c r="D100" s="24" t="inlineStr">
        <is>
          <t>Outcome monitoring, Well-being</t>
        </is>
      </c>
      <c r="E100" s="24" t="inlineStr">
        <is>
          <t>Burnout in employed adults, covering exhaustion and disengagement from work.</t>
        </is>
      </c>
      <c r="F100" s="24" t="n">
        <v>16</v>
      </c>
      <c r="G100" s="24" t="inlineStr">
        <is>
          <t>Self report</t>
        </is>
      </c>
      <c r="H100" s="24" t="inlineStr">
        <is>
          <t>18+</t>
        </is>
      </c>
      <c r="I100" s="24" t="n">
        <v>3</v>
      </c>
      <c r="J100" s="24" t="inlineStr">
        <is>
          <t>Exhaustion, Disengagement</t>
        </is>
      </c>
      <c r="K100" s="24" t="inlineStr">
        <is>
          <t>Not stated on page</t>
        </is>
      </c>
      <c r="L100" s="24" t="inlineStr">
        <is>
          <t>Summed; subscales range 8 to 32 each, higher indicates more burnout. Percentiles against pooled norms; total of 43 is about the 49th percentile. Above 50th percentile described as clinically significant. Exhaustion 23+ and Disengagement 22+ described as high.</t>
        </is>
      </c>
      <c r="M100" s="24" t="inlineStr">
        <is>
          <t>Demerouti, E. (1999). Burnout: Eine Folge konkreter Arbeitsbedingungen bei Dienstleistungs- und Produktionstaetigkeiten. Peter Lang.</t>
        </is>
      </c>
      <c r="N100" s="24" t="inlineStr">
        <is>
          <t>© 2026 Copyright – NovoPsych – All rights reserved</t>
        </is>
      </c>
      <c r="O100" s="24" t="inlineStr">
        <is>
          <t>not stated</t>
        </is>
      </c>
      <c r="P100" s="24" t="inlineStr">
        <is>
          <t>Shortlist: coaching and wellbeing (client facing possible)</t>
        </is>
      </c>
      <c r="Q100" s="24" t="inlineStr"/>
      <c r="R100" s="24" t="inlineStr"/>
      <c r="S100" s="24" t="inlineStr">
        <is>
          <t>Change over time assessed against a minimally important difference of half a standard deviation.</t>
        </is>
      </c>
      <c r="T100" s="24" t="inlineStr">
        <is>
          <t>https://novopsych.com/assessments/well-being/oldenburg-burnout-inventory-olbi/</t>
        </is>
      </c>
    </row>
    <row r="101">
      <c r="A101" s="24" t="n">
        <v>100</v>
      </c>
      <c r="B101" s="24" t="inlineStr">
        <is>
          <t>Eating Disorder-15</t>
        </is>
      </c>
      <c r="C101" s="24" t="inlineStr">
        <is>
          <t>ED-15</t>
        </is>
      </c>
      <c r="D101" s="24" t="inlineStr">
        <is>
          <t>Body image and eating, Outcome monitoring</t>
        </is>
      </c>
      <c r="E101" s="24" t="inlineStr">
        <is>
          <t>Eating disorder attitudes and behaviours for session by session change monitoring.</t>
        </is>
      </c>
      <c r="F101" s="24" t="n">
        <v>15</v>
      </c>
      <c r="G101" s="24" t="inlineStr">
        <is>
          <t>Self report (a separate caregiver version, ED-15-P, exists)</t>
        </is>
      </c>
      <c r="H101" s="24" t="inlineStr">
        <is>
          <t>15+; youth adaptation from age 8</t>
        </is>
      </c>
      <c r="I101" s="24" t="n">
        <v>2</v>
      </c>
      <c r="J101" s="24" t="inlineStr">
        <is>
          <t>Weight &amp; Shape Concerns, Eating Concerns</t>
        </is>
      </c>
      <c r="K101" s="24" t="inlineStr">
        <is>
          <t>7 point (0 to 6) for attitudinal items; behavioural items 11 to 15 rated by frequency over the past week. Anchor labels not stated.</t>
        </is>
      </c>
      <c r="L101" s="24" t="inlineStr">
        <is>
          <t>Subscale scores are item means from 0 to 6. Scores of 2.1 or above are clinically significant (sensitivity .73, specificity .73). Reported as community and clinical percentiles; a change of 1 or more in total is clinically meaningful.</t>
        </is>
      </c>
      <c r="M101" s="24" t="inlineStr">
        <is>
          <t>Tatham, M., Turner, H., Mountford, V. A., Tritt, A., Dyas, R., &amp; Waller, G. (2015). Development, psychometric properties and preliminary clinical validation of a brief, session-by-session measure of eating disorder cognitions and behaviors: The ED-15. International Journal of Eating Disorders, 48(7), 1005-1015.</t>
        </is>
      </c>
      <c r="N101" s="24" t="inlineStr">
        <is>
          <t>© 2026 Copyright – NovoPsych – All rights reserved</t>
        </is>
      </c>
      <c r="O101" s="24" t="inlineStr">
        <is>
          <t>not stated</t>
        </is>
      </c>
      <c r="P101" s="24" t="inlineStr">
        <is>
          <t>Out of scope for the hub (child, adolescent, sport, eating, clinician or service feedback)</t>
        </is>
      </c>
      <c r="Q101" s="24" t="inlineStr"/>
      <c r="R101" s="24" t="inlineStr"/>
      <c r="S101" s="24" t="inlineStr">
        <is>
          <t>Weight &amp; Shape Concerns uses items 2, 4, 5, 6, 9, 10; Eating Concerns uses items 1, 3, 7, 8.</t>
        </is>
      </c>
      <c r="T101" s="24" t="inlineStr">
        <is>
          <t>https://novopsych.com/assessments/outcome-monitoring/eating_disorder-15ed-15/</t>
        </is>
      </c>
    </row>
    <row r="102">
      <c r="A102" s="24" t="n">
        <v>101</v>
      </c>
      <c r="B102" s="24" t="inlineStr">
        <is>
          <t>Leeds Dependence Questionnaire</t>
        </is>
      </c>
      <c r="C102" s="24" t="inlineStr">
        <is>
          <t>LDQ</t>
        </is>
      </c>
      <c r="D102" s="24" t="inlineStr">
        <is>
          <t>Addiction, Diagnosis, Health</t>
        </is>
      </c>
      <c r="E102" s="24" t="inlineStr">
        <is>
          <t>Substance dependence as a unitary continuous construct across all substance classes.</t>
        </is>
      </c>
      <c r="F102" s="24" t="n">
        <v>10</v>
      </c>
      <c r="G102" s="24" t="inlineStr">
        <is>
          <t>Self report</t>
        </is>
      </c>
      <c r="H102" s="24" t="inlineStr">
        <is>
          <t>18+</t>
        </is>
      </c>
      <c r="I102" s="24" t="n">
        <v>2</v>
      </c>
      <c r="J102" s="24" t="inlineStr"/>
      <c r="K102" s="24" t="inlineStr">
        <is>
          <t>Not stated on page</t>
        </is>
      </c>
      <c r="L102" s="24" t="inlineStr">
        <is>
          <t>Yields a unitary continuous measure of dependence; scoring detail and cut offs not visible on page.</t>
        </is>
      </c>
      <c r="M102" s="24" t="inlineStr">
        <is>
          <t>Raistrick, D., Bradshaw, J., Tober, G., Weiner, J., Allison, J., &amp; Healey, C. (1994). Development of the Leeds Dependence Questionnaire (LDQ). Addiction, 89(5), 563-572.</t>
        </is>
      </c>
      <c r="N102" s="24" t="inlineStr">
        <is>
          <t>© 2026 Copyright – NovoPsych – All rights reserved</t>
        </is>
      </c>
      <c r="O102" s="24" t="inlineStr">
        <is>
          <t>not stated</t>
        </is>
      </c>
      <c r="P102" s="24" t="inlineStr">
        <is>
          <t>Shortlist: screening or clinical (Sarah only if used)</t>
        </is>
      </c>
      <c r="Q102" s="24" t="inlineStr"/>
      <c r="R102" s="24" t="inlineStr"/>
      <c r="S102" s="24" t="inlineStr">
        <is>
          <t>URL slug refers to alcohol addiction questionnaire but the page is the LDQ. Detailed sections are behind Professional Access; only the site footer copyright notice appears on the public page.</t>
        </is>
      </c>
      <c r="T102" s="24" t="inlineStr">
        <is>
          <t>https://novopsych.com/assessments/diagnosis/alcohol-addiction-questionnaire/</t>
        </is>
      </c>
    </row>
    <row r="103">
      <c r="A103" s="24" t="n">
        <v>102</v>
      </c>
      <c r="B103" s="24" t="inlineStr">
        <is>
          <t>Institute for Basic Research Modified Overt Aggression Scale</t>
        </is>
      </c>
      <c r="C103" s="24" t="inlineStr">
        <is>
          <t>IBR-MOAS</t>
        </is>
      </c>
      <c r="D103" s="24" t="inlineStr">
        <is>
          <t>Autism, Child</t>
        </is>
      </c>
      <c r="E103" s="24" t="inlineStr">
        <is>
          <t>Type, frequency and severity of aggressive behaviours in autistic, brain injured and intellectually disabled populations.</t>
        </is>
      </c>
      <c r="F103" s="24" t="n">
        <v>20</v>
      </c>
      <c r="G103" s="24" t="inlineStr">
        <is>
          <t>Caregiver report</t>
        </is>
      </c>
      <c r="H103" s="24" t="inlineStr">
        <is>
          <t>6+</t>
        </is>
      </c>
      <c r="I103" s="24" t="n">
        <v>3</v>
      </c>
      <c r="J103" s="24" t="inlineStr"/>
      <c r="K103" s="24" t="inlineStr">
        <is>
          <t>Not stated on page</t>
        </is>
      </c>
      <c r="L103" s="24" t="inlineStr">
        <is>
          <t>Not stated on page</t>
        </is>
      </c>
      <c r="M103" s="24" t="inlineStr">
        <is>
          <t>Cohen, I. L., Tsiouris, J. A., Flory, M. J., et al. (2010). A large scale study of the psychometric characteristics of the IBR Modified Overt Aggression Scale. Journal of Autism and Developmental Disorders, 40, 599-609.</t>
        </is>
      </c>
      <c r="N103" s="24" t="inlineStr">
        <is>
          <t>© 2026 Copyright – NovoPsych – All rights reserved</t>
        </is>
      </c>
      <c r="O103" s="24" t="inlineStr">
        <is>
          <t>not stated</t>
        </is>
      </c>
      <c r="P103" s="24" t="inlineStr">
        <is>
          <t>Out of scope for the hub (child, adolescent, sport, eating, clinician or service feedback)</t>
        </is>
      </c>
      <c r="Q103" s="24" t="inlineStr"/>
      <c r="R103" s="24" t="inlineStr"/>
      <c r="S103" s="24" t="inlineStr">
        <is>
          <t>Detailed sections are behind Professional Access; only the site footer copyright notice appears on the public page.</t>
        </is>
      </c>
      <c r="T103" s="24" t="inlineStr">
        <is>
          <t>https://novopsych.com/assessments/child/aggression-scale-for-autism/</t>
        </is>
      </c>
    </row>
    <row r="104">
      <c r="A104" s="24" t="n">
        <v>103</v>
      </c>
      <c r="B104" s="24" t="inlineStr">
        <is>
          <t>Toronto Alexithymia Scale</t>
        </is>
      </c>
      <c r="C104" s="24" t="inlineStr">
        <is>
          <t>TAS-20</t>
        </is>
      </c>
      <c r="D104" s="24" t="inlineStr">
        <is>
          <t>Formulation</t>
        </is>
      </c>
      <c r="E104" s="24" t="inlineStr">
        <is>
          <t>Alexithymia, including difficulty identifying and describing feelings and externally oriented thinking.</t>
        </is>
      </c>
      <c r="F104" s="24" t="n">
        <v>20</v>
      </c>
      <c r="G104" s="24" t="inlineStr">
        <is>
          <t>Self report</t>
        </is>
      </c>
      <c r="H104" s="24" t="inlineStr">
        <is>
          <t>17+</t>
        </is>
      </c>
      <c r="I104" s="24" t="n">
        <v>4</v>
      </c>
      <c r="J104" s="24" t="inlineStr"/>
      <c r="K104" s="24" t="inlineStr">
        <is>
          <t>Not stated on page</t>
        </is>
      </c>
      <c r="L104" s="24" t="inlineStr">
        <is>
          <t>Not stated on page</t>
        </is>
      </c>
      <c r="M104" s="24" t="inlineStr">
        <is>
          <t>Bagby, R. M., Parker, J. D., &amp; Taylor, G. J. (1994). The twenty-item Toronto Alexithymia Scale I. Item selection and cross-validation of the factor structure. Journal of Psychosomatic Research, 38(1), 23-32.</t>
        </is>
      </c>
      <c r="N104" s="24" t="inlineStr">
        <is>
          <t>© 2026 Copyright – NovoPsych – All rights reserved</t>
        </is>
      </c>
      <c r="O104" s="24" t="inlineStr">
        <is>
          <t>not stated</t>
        </is>
      </c>
      <c r="P104" s="24" t="inlineStr">
        <is>
          <t>Shortlist: coaching and wellbeing (client facing possible)</t>
        </is>
      </c>
      <c r="Q104" s="24" t="inlineStr"/>
      <c r="R104" s="24" t="inlineStr"/>
      <c r="S104" s="24" t="inlineStr">
        <is>
          <t>The 3 factors named in the construct are described but not listed as scored subscales on the public page. Detailed sections are behind Professional Access; only the site footer copyright notice appears on the public page.</t>
        </is>
      </c>
      <c r="T104" s="24" t="inlineStr">
        <is>
          <t>https://novopsych.com/assessments/formulation/toronto-alexithymia-scale/</t>
        </is>
      </c>
    </row>
    <row r="105">
      <c r="A105" s="24" t="n">
        <v>104</v>
      </c>
      <c r="B105" s="24" t="inlineStr">
        <is>
          <t>Kessler Psychological Distress Scale 5</t>
        </is>
      </c>
      <c r="C105" s="24" t="inlineStr">
        <is>
          <t>K5</t>
        </is>
      </c>
      <c r="D105" s="24" t="inlineStr">
        <is>
          <t>Anxiety, Depression, Outcome monitoring</t>
        </is>
      </c>
      <c r="E105" s="24" t="inlineStr">
        <is>
          <t>Psychological distress over the past 4 weeks, designed for Australian Indigenous adults.</t>
        </is>
      </c>
      <c r="F105" s="24" t="n">
        <v>5</v>
      </c>
      <c r="G105" s="24" t="inlineStr">
        <is>
          <t>Self report</t>
        </is>
      </c>
      <c r="H105" s="24" t="inlineStr">
        <is>
          <t>16+ per page text; listing shows 18+</t>
        </is>
      </c>
      <c r="I105" s="24" t="n">
        <v>1</v>
      </c>
      <c r="J105" s="24" t="inlineStr"/>
      <c r="K105" s="24" t="inlineStr">
        <is>
          <t>Not stated on page</t>
        </is>
      </c>
      <c r="L105" s="24" t="inlineStr">
        <is>
          <t>Not stated on page</t>
        </is>
      </c>
      <c r="M105" s="24" t="inlineStr">
        <is>
          <t>Kessler, R., &amp; Mroczek, D. (1992). An update of the development of mental health screening scales for the US national health interview study. Survey Research Center, University of Michigan.</t>
        </is>
      </c>
      <c r="N105" s="24" t="inlineStr">
        <is>
          <t>© 2026 Copyright – NovoPsych – All rights reserved</t>
        </is>
      </c>
      <c r="O105" s="24" t="inlineStr">
        <is>
          <t>not stated</t>
        </is>
      </c>
      <c r="P105" s="24" t="inlineStr">
        <is>
          <t>Shortlist: coaching and wellbeing (client facing possible)</t>
        </is>
      </c>
      <c r="Q105" s="24" t="inlineStr"/>
      <c r="R105" s="24" t="inlineStr"/>
      <c r="S105" s="24" t="inlineStr">
        <is>
          <t>Scoring reference also cited: Australian Government Department of Health (2018), Scoring the Kessler-5. Age range conflicts between page text and listing.</t>
        </is>
      </c>
      <c r="T105" s="24" t="inlineStr">
        <is>
          <t>https://novopsych.com/assessments/depression/kessler-psychological-distress-scale-5/</t>
        </is>
      </c>
    </row>
    <row r="106">
      <c r="A106" s="24" t="n">
        <v>105</v>
      </c>
      <c r="B106" s="24" t="inlineStr">
        <is>
          <t>Male Depression Risk Scale</t>
        </is>
      </c>
      <c r="C106" s="24" t="inlineStr">
        <is>
          <t>MDRS-22</t>
        </is>
      </c>
      <c r="D106" s="24" t="inlineStr">
        <is>
          <t>Depression, Formulation</t>
        </is>
      </c>
      <c r="E106" s="24" t="inlineStr">
        <is>
          <t>Depression risk in adult men with emphasis on externalising symptoms such as aggression and substance use.</t>
        </is>
      </c>
      <c r="F106" s="24" t="n">
        <v>22</v>
      </c>
      <c r="G106" s="24" t="inlineStr">
        <is>
          <t>Self report</t>
        </is>
      </c>
      <c r="H106" s="24" t="inlineStr">
        <is>
          <t>18+</t>
        </is>
      </c>
      <c r="I106" s="24" t="n">
        <v>4</v>
      </c>
      <c r="J106" s="24" t="inlineStr">
        <is>
          <t>Emotional Suppression, Somatic Symptoms, Drug Use, Alcohol Use, Anger &amp; Aggression, Risk-Taking</t>
        </is>
      </c>
      <c r="K106" s="24" t="inlineStr">
        <is>
          <t>8 point, 0 Not at all to 7 Almost always</t>
        </is>
      </c>
      <c r="L106" s="24" t="inlineStr">
        <is>
          <t>Mean scores on the 0 to 7 metric for total and each subscale; higher indicates greater risk. Subscale risk thresholds: Emotional Suppression 2.75, Drug Use 0.33, Alcohol Use 0.25, Anger &amp; Aggression 1.50, Somatic Symptoms 1.50, Risk-Taking 1.00. No total cut off stated.</t>
        </is>
      </c>
      <c r="M106" s="24" t="inlineStr">
        <is>
          <t>Rice, S. M., Fallon, B. J., Aucote, H. M., Moeller-Leimkuehler, A., Treeby, M. S., &amp; Amminger, G. P. (2015). Longitudinal sex differences of externalising and internalising depression symptom trajectories. International Journal of Social Psychiatry, 61(3), 236-240.</t>
        </is>
      </c>
      <c r="N106" s="24" t="inlineStr">
        <is>
          <t>© 2026 Copyright – NovoPsych – All rights reserved</t>
        </is>
      </c>
      <c r="O106" s="24" t="inlineStr">
        <is>
          <t>not stated</t>
        </is>
      </c>
      <c r="P106" s="24" t="inlineStr">
        <is>
          <t>Shortlist: screening or clinical (Sarah only if used)</t>
        </is>
      </c>
      <c r="Q106" s="24" t="inlineStr"/>
      <c r="R106" s="24" t="inlineStr"/>
      <c r="S106" s="24" t="inlineStr">
        <is>
          <t>Administration listed as 3 to 4 minutes. Page narrative also describes any drug or alcohol score above 0 as elevated.</t>
        </is>
      </c>
      <c r="T106" s="24" t="inlineStr">
        <is>
          <t>https://novopsych.com/assessments/depression/male-depression-risk-scale-mdrs-22/</t>
        </is>
      </c>
    </row>
    <row r="107">
      <c r="A107" s="24" t="n">
        <v>106</v>
      </c>
      <c r="B107" s="24" t="inlineStr">
        <is>
          <t>Empathy Quotient 40 item version</t>
        </is>
      </c>
      <c r="C107" s="24" t="inlineStr">
        <is>
          <t>EQ-40</t>
        </is>
      </c>
      <c r="D107" s="24" t="inlineStr">
        <is>
          <t>Autism, Formulation</t>
        </is>
      </c>
      <c r="E107" s="24" t="inlineStr">
        <is>
          <t>Empathy in adults across cognitive, emotional and social aspects.</t>
        </is>
      </c>
      <c r="F107" s="24" t="n">
        <v>40</v>
      </c>
      <c r="G107" s="24" t="inlineStr">
        <is>
          <t>Self report</t>
        </is>
      </c>
      <c r="H107" s="24" t="inlineStr">
        <is>
          <t>18+</t>
        </is>
      </c>
      <c r="I107" s="24" t="n">
        <v>7</v>
      </c>
      <c r="J107" s="24" t="inlineStr">
        <is>
          <t>Cognitive Empathy, Emotional Empathy, Social Skills</t>
        </is>
      </c>
      <c r="K107" s="24" t="inlineStr">
        <is>
          <t>Not stated on page</t>
        </is>
      </c>
      <c r="L107" s="24" t="inlineStr">
        <is>
          <t>Not stated on page</t>
        </is>
      </c>
      <c r="M107" s="24" t="inlineStr">
        <is>
          <t>Baron-Cohen, S., &amp; Wheelwright, S. (2004). The Empathy Quotient: An investigation of adults with Asperger syndrome or high functioning autism, and normal sex differences. Journal of Autism and Developmental Disorders, 34(2), 163-175.</t>
        </is>
      </c>
      <c r="N107" s="24" t="inlineStr">
        <is>
          <t>© 2026 Copyright – NovoPsych – All rights reserved</t>
        </is>
      </c>
      <c r="O107" s="24" t="inlineStr">
        <is>
          <t>not stated</t>
        </is>
      </c>
      <c r="P107" s="24" t="inlineStr">
        <is>
          <t>Shortlist: coaching and wellbeing (client facing possible)</t>
        </is>
      </c>
      <c r="Q107" s="24" t="inlineStr"/>
      <c r="R107" s="24" t="inlineStr"/>
      <c r="S107" s="24" t="inlineStr">
        <is>
          <t>Detailed sections are behind Professional Access; only the site footer copyright notice appears on the public page.</t>
        </is>
      </c>
      <c r="T107" s="24" t="inlineStr">
        <is>
          <t>https://novopsych.com/assessments/formulation/empathy-quotient-40-item-version/</t>
        </is>
      </c>
    </row>
    <row r="108">
      <c r="A108" s="24" t="n">
        <v>107</v>
      </c>
      <c r="B108" s="24" t="inlineStr">
        <is>
          <t>Life Events Checklist for DSM-5</t>
        </is>
      </c>
      <c r="C108" s="24" t="inlineStr">
        <is>
          <t>LEC-5</t>
        </is>
      </c>
      <c r="D108" s="24" t="inlineStr">
        <is>
          <t>Diagnosis, Trauma</t>
        </is>
      </c>
      <c r="E108" s="24" t="inlineStr">
        <is>
          <t>Exposure to potentially traumatic events, used to establish PTSD Criterion A.</t>
        </is>
      </c>
      <c r="F108" s="24" t="n">
        <v>17</v>
      </c>
      <c r="G108" s="24" t="inlineStr">
        <is>
          <t>Self report</t>
        </is>
      </c>
      <c r="H108" s="24" t="inlineStr">
        <is>
          <t>18+</t>
        </is>
      </c>
      <c r="I108" s="24" t="n">
        <v>3</v>
      </c>
      <c r="J108" s="24" t="inlineStr"/>
      <c r="K108" s="24" t="inlineStr">
        <is>
          <t>Not stated on page</t>
        </is>
      </c>
      <c r="L108" s="24" t="inlineStr">
        <is>
          <t>Not stated on page</t>
        </is>
      </c>
      <c r="M108" s="24" t="inlineStr">
        <is>
          <t>Weathers, F. W., Blake, D. D., Schnurr, P. P., Kaloupek, D. G., Marx, B. P., &amp; Keane, T. M. (2013). The Life Events Checklist for DSM-5 (LEC-5). National Center for PTSD, www.ptsd.va.gov</t>
        </is>
      </c>
      <c r="N108" s="24" t="inlineStr">
        <is>
          <t>© 2026 Copyright – NovoPsych – All rights reserved</t>
        </is>
      </c>
      <c r="O108" s="24" t="inlineStr">
        <is>
          <t>not stated</t>
        </is>
      </c>
      <c r="P108" s="24" t="inlineStr">
        <is>
          <t>Shortlist: screening or clinical (Sarah only if used)</t>
        </is>
      </c>
      <c r="Q108" s="24" t="inlineStr"/>
      <c r="R108" s="24" t="inlineStr"/>
      <c r="S108" s="24" t="inlineStr">
        <is>
          <t>Page notes the instrument is available from the National Center for PTSD but does not state licensing terms. Detailed sections are behind Professional Access; only the site footer copyright notice appears on the public page.</t>
        </is>
      </c>
      <c r="T108" s="24" t="inlineStr">
        <is>
          <t>https://novopsych.com/assessments/diagnosis/life-events-checklist-5-lec-5/</t>
        </is>
      </c>
    </row>
    <row r="109">
      <c r="A109" s="24" t="n">
        <v>108</v>
      </c>
      <c r="B109" s="24" t="inlineStr">
        <is>
          <t>World Health Organisation Disability Assessment Schedule, Children and Youth version</t>
        </is>
      </c>
      <c r="C109" s="24" t="inlineStr">
        <is>
          <t>WHODAS-Child</t>
        </is>
      </c>
      <c r="D109" s="24" t="inlineStr">
        <is>
          <t>Adolescent, Child, Disability, Health</t>
        </is>
      </c>
      <c r="E109" s="24" t="inlineStr">
        <is>
          <t>Health and disability in children and youth, adapted from the adult WHODAS 2.0.</t>
        </is>
      </c>
      <c r="F109" s="24" t="n"/>
      <c r="G109" s="24" t="inlineStr">
        <is>
          <t>Parent report, or self report for youth aged 11+</t>
        </is>
      </c>
      <c r="H109" s="24" t="inlineStr">
        <is>
          <t>10 to 17</t>
        </is>
      </c>
      <c r="I109" s="24" t="n">
        <v>7</v>
      </c>
      <c r="J109" s="24" t="inlineStr"/>
      <c r="K109" s="24" t="inlineStr">
        <is>
          <t>Not stated on page</t>
        </is>
      </c>
      <c r="L109" s="24" t="inlineStr">
        <is>
          <t>Not stated on page</t>
        </is>
      </c>
      <c r="M109" s="24" t="inlineStr">
        <is>
          <t>Scorza, P., Stevenson, A., Canino, G., Mushashi, C., Kanyanganzi, F., Munyanah, M., &amp; Betancourt, T. (2013). Validation of the WHODAS-Child in Rwanda. PLoS One, 8(3), e57725.</t>
        </is>
      </c>
      <c r="N109" s="24" t="inlineStr">
        <is>
          <t>© 2026 Copyright – NovoPsych – All rights reserved</t>
        </is>
      </c>
      <c r="O109" s="24" t="inlineStr">
        <is>
          <t>not stated</t>
        </is>
      </c>
      <c r="P109" s="24" t="inlineStr">
        <is>
          <t>Out of scope for the hub (child, adolescent, sport, eating, clinician or service feedback)</t>
        </is>
      </c>
      <c r="Q109" s="24" t="inlineStr"/>
      <c r="R109" s="24" t="inlineStr"/>
      <c r="S109" s="24" t="inlineStr">
        <is>
          <t>Item count not stated on page. Detailed sections are behind Professional Access; only the site footer copyright notice appears on the public page.</t>
        </is>
      </c>
      <c r="T109" s="24" t="inlineStr">
        <is>
          <t>https://novopsych.com/assessments/child/the-world-health-organisation-disability-assessment-schedule-whodas-child/</t>
        </is>
      </c>
    </row>
    <row r="110">
      <c r="A110" s="24" t="n">
        <v>109</v>
      </c>
      <c r="B110" s="24" t="inlineStr">
        <is>
          <t>Montgomery-Asberg Depression Rating Scale</t>
        </is>
      </c>
      <c r="C110" s="24" t="inlineStr">
        <is>
          <t>MADRS</t>
        </is>
      </c>
      <c r="D110" s="24" t="inlineStr">
        <is>
          <t>Depression, Outcome monitoring</t>
        </is>
      </c>
      <c r="E110" s="24" t="inlineStr">
        <is>
          <t>Depression severity with emphasis on functional impairment and somatic symptoms.</t>
        </is>
      </c>
      <c r="F110" s="24" t="n">
        <v>10</v>
      </c>
      <c r="G110" s="24" t="inlineStr">
        <is>
          <t>Clinician rated</t>
        </is>
      </c>
      <c r="H110" s="24" t="inlineStr">
        <is>
          <t>18+</t>
        </is>
      </c>
      <c r="I110" s="24" t="n">
        <v>2</v>
      </c>
      <c r="J110" s="24" t="inlineStr"/>
      <c r="K110" s="24" t="inlineStr">
        <is>
          <t>Not stated on page</t>
        </is>
      </c>
      <c r="L110" s="24" t="inlineStr">
        <is>
          <t>Total range 0 to 60; page refers to severity ranges and clinically meaningful change but details are not visible.</t>
        </is>
      </c>
      <c r="M110" s="24" t="inlineStr">
        <is>
          <t>Montgomery, S. A., &amp; Asberg, M. (1979). A new depression scale designed to be sensitive to change. British Journal of Psychiatry, 134(4), 382-389.</t>
        </is>
      </c>
      <c r="N110" s="24" t="inlineStr">
        <is>
          <t>© 2026 Copyright – NovoPsych – All rights reserved</t>
        </is>
      </c>
      <c r="O110" s="24" t="inlineStr">
        <is>
          <t>not stated</t>
        </is>
      </c>
      <c r="P110" s="24" t="inlineStr">
        <is>
          <t>Out of scope for the hub (not self report)</t>
        </is>
      </c>
      <c r="Q110" s="24" t="inlineStr"/>
      <c r="R110" s="24" t="inlineStr"/>
      <c r="S110" s="24" t="inlineStr">
        <is>
          <t>Detailed sections are behind Professional Access; only the site footer copyright notice appears on the public page.</t>
        </is>
      </c>
      <c r="T110" s="24" t="inlineStr">
        <is>
          <t>https://novopsych.com/assessments/depression/the-montgomery-asberg-rating-scale-madrs/</t>
        </is>
      </c>
    </row>
    <row r="111">
      <c r="A111" s="24" t="n">
        <v>110</v>
      </c>
      <c r="B111" s="24" t="inlineStr">
        <is>
          <t>Kessler Psychological Distress Scale PLUS</t>
        </is>
      </c>
      <c r="C111" s="24" t="inlineStr">
        <is>
          <t>K10+</t>
        </is>
      </c>
      <c r="D111" s="24" t="inlineStr">
        <is>
          <t>Outcome monitoring</t>
        </is>
      </c>
      <c r="E111" s="24" t="inlineStr">
        <is>
          <t>Screening for significant psychological distress in adults, with additional functional impact items.</t>
        </is>
      </c>
      <c r="F111" s="24" t="n">
        <v>14</v>
      </c>
      <c r="G111" s="24" t="inlineStr">
        <is>
          <t>Not stated on page (self report by design)</t>
        </is>
      </c>
      <c r="H111" s="24" t="inlineStr">
        <is>
          <t>18+</t>
        </is>
      </c>
      <c r="I111" s="24" t="n">
        <v>2</v>
      </c>
      <c r="J111" s="24" t="inlineStr"/>
      <c r="K111" s="24" t="inlineStr">
        <is>
          <t>Not stated on page</t>
        </is>
      </c>
      <c r="L111" s="24" t="inlineStr">
        <is>
          <t>Not stated on page</t>
        </is>
      </c>
      <c r="M111" s="24" t="inlineStr">
        <is>
          <t>Kessler, R. C., Andrews, G., Colpe, L. J., Hiripi, E., Mroczek, D. K., Normand, S.-L. T., Walters, E. E., &amp; Zaslavsky, A. M. (2002). Short screening scales to monitor population prevalences and trends in non-specific psychological distress. Psychological Medicine, 32(6), 959-976.</t>
        </is>
      </c>
      <c r="N111" s="24" t="inlineStr">
        <is>
          <t>© 2026 Copyright – NovoPsych – All rights reserved</t>
        </is>
      </c>
      <c r="O111" s="24" t="inlineStr">
        <is>
          <t>not stated</t>
        </is>
      </c>
      <c r="P111" s="24" t="inlineStr">
        <is>
          <t>Shortlist: coaching and wellbeing (client facing possible)</t>
        </is>
      </c>
      <c r="Q111" s="24" t="inlineStr"/>
      <c r="R111" s="24" t="inlineStr"/>
      <c r="S111" s="24" t="inlineStr">
        <is>
          <t>K10 plus 4 supplementary items. Detailed sections are behind Professional Access; only the site footer copyright notice appears on the public page.</t>
        </is>
      </c>
      <c r="T111" s="24" t="inlineStr">
        <is>
          <t>https://novopsych.com/assessments/outcome-monitoring/kessler-psychological-distress-scale-plus-k10/</t>
        </is>
      </c>
    </row>
    <row r="112">
      <c r="A112" s="24" t="n">
        <v>111</v>
      </c>
      <c r="B112" s="24" t="inlineStr">
        <is>
          <t>Problem Gambling Severity Index</t>
        </is>
      </c>
      <c r="C112" s="24" t="inlineStr">
        <is>
          <t>PGSI</t>
        </is>
      </c>
      <c r="D112" s="24" t="inlineStr">
        <is>
          <t>Addiction, Health</t>
        </is>
      </c>
      <c r="E112" s="24" t="inlineStr">
        <is>
          <t>Problematic gambling behaviour in the general population, classified by risk status.</t>
        </is>
      </c>
      <c r="F112" s="24" t="n">
        <v>9</v>
      </c>
      <c r="G112" s="24" t="inlineStr">
        <is>
          <t>Self report</t>
        </is>
      </c>
      <c r="H112" s="24" t="inlineStr">
        <is>
          <t>18+</t>
        </is>
      </c>
      <c r="I112" s="24" t="n">
        <v>2</v>
      </c>
      <c r="J112" s="24" t="inlineStr"/>
      <c r="K112" s="24" t="inlineStr">
        <is>
          <t>Not stated on page</t>
        </is>
      </c>
      <c r="L112" s="24" t="inlineStr">
        <is>
          <t>Four risk categories named (none, low, moderate, problematic); scoring method and cut offs not visible on page.</t>
        </is>
      </c>
      <c r="M112" s="24" t="inlineStr">
        <is>
          <t>Ferris, J., &amp; Wynne, H. (2001). The Canadian Problem Gambling Index: Final report. Canadian Centre on Substance Abuse.</t>
        </is>
      </c>
      <c r="N112" s="24" t="inlineStr">
        <is>
          <t>© 2026 Copyright – NovoPsych – All rights reserved</t>
        </is>
      </c>
      <c r="O112" s="24" t="inlineStr">
        <is>
          <t>not stated</t>
        </is>
      </c>
      <c r="P112" s="24" t="inlineStr">
        <is>
          <t>Shortlist: screening or clinical (Sarah only if used)</t>
        </is>
      </c>
      <c r="Q112" s="24" t="inlineStr"/>
      <c r="R112" s="24" t="inlineStr"/>
      <c r="S112" s="24" t="inlineStr">
        <is>
          <t>Detailed sections are behind Professional Access; only the site footer copyright notice appears on the public page.</t>
        </is>
      </c>
      <c r="T112" s="24" t="inlineStr">
        <is>
          <t>https://novopsych.com/assessments/health/problem-gambling-severity-index-pgsi/</t>
        </is>
      </c>
    </row>
    <row r="113">
      <c r="A113" s="24" t="n">
        <v>112</v>
      </c>
      <c r="B113" s="24" t="inlineStr">
        <is>
          <t>Life Skills Profile 16 item version</t>
        </is>
      </c>
      <c r="C113" s="24" t="inlineStr">
        <is>
          <t>LSP-16</t>
        </is>
      </c>
      <c r="D113" s="24" t="inlineStr">
        <is>
          <t>Disability</t>
        </is>
      </c>
      <c r="E113" s="24" t="inlineStr">
        <is>
          <t>Day to day functioning and disability in people with mental illness.</t>
        </is>
      </c>
      <c r="F113" s="24" t="n">
        <v>16</v>
      </c>
      <c r="G113" s="24" t="inlineStr">
        <is>
          <t>Clinician rated</t>
        </is>
      </c>
      <c r="H113" s="24" t="inlineStr">
        <is>
          <t>18+</t>
        </is>
      </c>
      <c r="I113" s="24" t="n">
        <v>2</v>
      </c>
      <c r="J113" s="24" t="inlineStr"/>
      <c r="K113" s="24" t="inlineStr">
        <is>
          <t>Not stated on page</t>
        </is>
      </c>
      <c r="L113" s="24" t="inlineStr">
        <is>
          <t>Not stated on page</t>
        </is>
      </c>
      <c r="M113" s="24" t="inlineStr">
        <is>
          <t>Rosen, A., Hadzi-Pavlovic, D., &amp; Parker, G. (1989). The Life Skills Profile: A measure assessing function and disability in schizophrenia. Schizophrenia Bulletin, 15(2), 325-337.</t>
        </is>
      </c>
      <c r="N113" s="24" t="inlineStr">
        <is>
          <t>© 2026 Copyright – NovoPsych – All rights reserved</t>
        </is>
      </c>
      <c r="O113" s="24" t="inlineStr">
        <is>
          <t>not stated</t>
        </is>
      </c>
      <c r="P113" s="24" t="inlineStr">
        <is>
          <t>Out of scope for the hub (not self report)</t>
        </is>
      </c>
      <c r="Q113" s="24" t="inlineStr"/>
      <c r="R113" s="24" t="inlineStr"/>
      <c r="S113" s="24" t="inlineStr">
        <is>
          <t>Detailed sections are behind Professional Access; only the site footer copyright notice appears on the public page.</t>
        </is>
      </c>
      <c r="T113" s="24" t="inlineStr">
        <is>
          <t>https://novopsych.com/assessments/disability/life-skills-profile-16-item-version/</t>
        </is>
      </c>
    </row>
    <row r="114">
      <c r="A114" s="24" t="n">
        <v>113</v>
      </c>
      <c r="B114" s="24" t="inlineStr">
        <is>
          <t>Session Reactions Scale 3 Brief</t>
        </is>
      </c>
      <c r="C114" s="24" t="inlineStr">
        <is>
          <t>SRS-3-B</t>
        </is>
      </c>
      <c r="D114" s="24" t="inlineStr">
        <is>
          <t>Feedback-informed</t>
        </is>
      </c>
      <c r="E114" s="24" t="inlineStr">
        <is>
          <t>Client reactions to a therapy session, used to track the therapeutic relationship in feedback informed treatment.</t>
        </is>
      </c>
      <c r="F114" s="24" t="n">
        <v>15</v>
      </c>
      <c r="G114" s="24" t="inlineStr">
        <is>
          <t>Self report</t>
        </is>
      </c>
      <c r="H114" s="24" t="inlineStr">
        <is>
          <t>18+</t>
        </is>
      </c>
      <c r="I114" s="24" t="n">
        <v>2</v>
      </c>
      <c r="J114" s="24" t="inlineStr">
        <is>
          <t>Helpful Reactions, Hindering Reactions</t>
        </is>
      </c>
      <c r="K114" s="24" t="inlineStr">
        <is>
          <t>5 point (1 to 5); anchor labels not stated</t>
        </is>
      </c>
      <c r="L114" s="24" t="inlineStr">
        <is>
          <t>Raw and mean scores (1 to 5) per subscale; higher indicates greater endorsement. A positive session shows higher Helpful and lower Hindering scores. Item level review recommended when within subscale SD is 0.85 or greater. No cut offs.</t>
        </is>
      </c>
      <c r="M114" s="24" t="inlineStr">
        <is>
          <t>Rihacek, T., Elliott, R., Owen, J., Ladmanova, M., Coleman, J. J., &amp; Bugatti, M. (2023). Session Reactions Scale-3: Initial psychometric evidence. Psychotherapy Research. https://doi.org/10.1080/10503307.2023.2241983</t>
        </is>
      </c>
      <c r="N114" s="24" t="inlineStr">
        <is>
          <t>© 2026 Copyright – NovoPsych – All rights reserved</t>
        </is>
      </c>
      <c r="O114" s="24" t="inlineStr">
        <is>
          <t>not stated</t>
        </is>
      </c>
      <c r="P114" s="24" t="inlineStr">
        <is>
          <t>Out of scope for the hub (child, adolescent, sport, eating, clinician or service feedback)</t>
        </is>
      </c>
      <c r="Q114" s="24" t="inlineStr"/>
      <c r="R114" s="24" t="inlineStr"/>
      <c r="S114" s="24" t="inlineStr">
        <is>
          <t>Helpful Reactions has 10 items and Hindering Reactions 4 items; 1 further item not allocated on page.</t>
        </is>
      </c>
      <c r="T114" s="24" t="inlineStr">
        <is>
          <t>https://novopsych.com/assessments/feedback-informed/session-reactions-scale-3-brief-srs-3-b/</t>
        </is>
      </c>
    </row>
    <row r="115">
      <c r="A115" s="24" t="n">
        <v>114</v>
      </c>
      <c r="B115" s="24" t="inlineStr">
        <is>
          <t>Your Experience of Service</t>
        </is>
      </c>
      <c r="C115" s="24" t="inlineStr">
        <is>
          <t>YES</t>
        </is>
      </c>
      <c r="D115" s="24" t="inlineStr">
        <is>
          <t>Feedback-informed</t>
        </is>
      </c>
      <c r="E115" s="24" t="inlineStr">
        <is>
          <t>Consumer experience of mental health care, used to assess service quality.</t>
        </is>
      </c>
      <c r="F115" s="24" t="n">
        <v>28</v>
      </c>
      <c r="G115" s="24" t="inlineStr">
        <is>
          <t>Self report (service user)</t>
        </is>
      </c>
      <c r="H115" s="24" t="inlineStr">
        <is>
          <t>18+</t>
        </is>
      </c>
      <c r="I115" s="24" t="n">
        <v>5</v>
      </c>
      <c r="J115" s="24" t="inlineStr">
        <is>
          <t>Frequency Scale, Performance Scale, Making a Difference, Providing Information &amp; Support, Valuing Individuality, Supporting Active Participation, Showing Respect, Ensuring Safety and Fairness</t>
        </is>
      </c>
      <c r="K115" s="24" t="inlineStr">
        <is>
          <t>5 point Likert with Not Applicable option; frequency items Never to Always, performance items Poor to Excellent</t>
        </is>
      </c>
      <c r="L115" s="24" t="inlineStr">
        <is>
          <t>Items summed and divided by number completed (NA excluded) to give a mean; higher indicates better experience. Descriptor bands: below 1.5, below 2.5, below 3.5, below 4.5, and up to 5. Domain means calculated the same way.</t>
        </is>
      </c>
      <c r="M115" s="24" t="inlineStr">
        <is>
          <t>Victorian Department of Health (2013). National Mental Health Consumer Experiences of Care Report: Development and Evaluation of a Consumer Experiences of Care Survey Instrument.</t>
        </is>
      </c>
      <c r="N115" s="24" t="inlineStr">
        <is>
          <t>© 2026 Copyright – NovoPsych – All rights reserved</t>
        </is>
      </c>
      <c r="O115" s="24" t="inlineStr">
        <is>
          <t>not stated</t>
        </is>
      </c>
      <c r="P115" s="24" t="inlineStr">
        <is>
          <t>Out of scope for the hub (child, adolescent, sport, eating, clinician or service feedback)</t>
        </is>
      </c>
      <c r="Q115" s="24" t="inlineStr"/>
      <c r="R115" s="24" t="inlineStr"/>
      <c r="S115" s="24" t="inlineStr">
        <is>
          <t>26 Likert items plus 2 open ended questions. Also cites AMHOCN (2020) reporting domains guide. Blank PDF available.</t>
        </is>
      </c>
      <c r="T115" s="24" t="inlineStr">
        <is>
          <t>https://novopsych.com/assessments/feedback-informed/your-experience-of-service-yes/</t>
        </is>
      </c>
    </row>
    <row r="116">
      <c r="A116" s="24" t="n">
        <v>115</v>
      </c>
      <c r="B116" s="24" t="inlineStr">
        <is>
          <t>NovoPsych Five Factor Personality Scale 30 item version</t>
        </is>
      </c>
      <c r="C116" s="24" t="inlineStr">
        <is>
          <t>NFFPS-30</t>
        </is>
      </c>
      <c r="D116" s="24" t="inlineStr">
        <is>
          <t>Formulation, Personality</t>
        </is>
      </c>
      <c r="E116" s="24" t="inlineStr">
        <is>
          <t>Big Five personality traits (Openness, Conscientiousness, Extraversion, Agreeableness, Neuroticism) with 6 facets each.</t>
        </is>
      </c>
      <c r="F116" s="24" t="n">
        <v>30</v>
      </c>
      <c r="G116" s="24" t="inlineStr">
        <is>
          <t>Self report</t>
        </is>
      </c>
      <c r="H116" s="24" t="inlineStr">
        <is>
          <t>16+</t>
        </is>
      </c>
      <c r="I116" s="24" t="n">
        <v>5</v>
      </c>
      <c r="J116" s="24" t="inlineStr">
        <is>
          <t>Openness, Conscientiousness, Extraversion, Agreeableness, Neuroticism</t>
        </is>
      </c>
      <c r="K116" s="24" t="inlineStr">
        <is>
          <t>Not stated on page</t>
        </is>
      </c>
      <c r="L116" s="24" t="inlineStr">
        <is>
          <t>Reported as percentiles against an age and gender matched Australian sample; 50 is typical. High 70th percentile or above, Average 30 to 70, Low 30 or below. Each facet rests on a single item so facet scores need caution.</t>
        </is>
      </c>
      <c r="M116" s="24" t="inlineStr">
        <is>
          <t>Buchanan, B., &amp; Hegarty, D. (2023). Development of a Short Personality Assessment: The NovoPsych Five Factor Personality Scale, 30-item version.</t>
        </is>
      </c>
      <c r="N116" s="24" t="inlineStr">
        <is>
          <t>© 2026 Copyright – NovoPsych – All rights reserved. A link labelled "Open source License" appears under the Developer section; licence terms not on page.</t>
        </is>
      </c>
      <c r="O116" s="24" t="inlineStr">
        <is>
          <t>copyright NovoPsych</t>
        </is>
      </c>
      <c r="P116" s="24" t="inlineStr">
        <is>
          <t>Shortlist: coaching and wellbeing (client facing possible)</t>
        </is>
      </c>
      <c r="Q116" s="24" t="inlineStr"/>
      <c r="R116" s="24" t="inlineStr"/>
      <c r="S116" s="24" t="inlineStr">
        <is>
          <t>Developed by NovoPsych. Open source licence link present but terms not shown; check the linked licence before assuming free use. 30 facets listed on page under the 5 factors.</t>
        </is>
      </c>
      <c r="T116" s="24" t="inlineStr">
        <is>
          <t>https://novopsych.com/assessments/formulation/novopsych-five-factor-personality-scale-30-item-version-nffps-30/</t>
        </is>
      </c>
    </row>
    <row r="117">
      <c r="A117" s="24" t="n">
        <v>116</v>
      </c>
      <c r="B117" s="24" t="inlineStr">
        <is>
          <t>International Personality Item Pool NEO 120 item version</t>
        </is>
      </c>
      <c r="C117" s="24" t="inlineStr">
        <is>
          <t>IPIP-NEO-120</t>
        </is>
      </c>
      <c r="D117" s="24" t="inlineStr">
        <is>
          <t>Adolescent, Formulation, Personality</t>
        </is>
      </c>
      <c r="E117" s="24" t="inlineStr">
        <is>
          <t>Five broad personality factors each with 6 facets, for clinical and non clinical use.</t>
        </is>
      </c>
      <c r="F117" s="24" t="n">
        <v>120</v>
      </c>
      <c r="G117" s="24" t="inlineStr">
        <is>
          <t>Self report</t>
        </is>
      </c>
      <c r="H117" s="24" t="inlineStr">
        <is>
          <t>16+</t>
        </is>
      </c>
      <c r="I117" s="24" t="n">
        <v>20</v>
      </c>
      <c r="J117" s="24" t="inlineStr">
        <is>
          <t>Neuroticism, Extraversion, Openness, Agreeableness, Conscientiousness, Socially Desirable Responding</t>
        </is>
      </c>
      <c r="K117" s="24" t="inlineStr">
        <is>
          <t>Not stated on page</t>
        </is>
      </c>
      <c r="L117" s="24" t="inlineStr">
        <is>
          <t>Raw scores converted to community percentiles with High, Average and Low descriptors by age and gender. SDR scale elevated above the 90th percentile and very low below the 10th. Sum or mean method not stated.</t>
        </is>
      </c>
      <c r="M117" s="24" t="inlineStr">
        <is>
          <t>Johnson, J. A. (2014). Measuring thirty facets of the five factor model with a 120-item public domain inventory: Development of the IPIP-NEO-120. Journal of Research in Personality, 51, 78-89.</t>
        </is>
      </c>
      <c r="N117" s="24" t="inlineStr">
        <is>
          <t>© 2026 Copyright – NovoPsych – All rights reserved</t>
        </is>
      </c>
      <c r="O117" s="24" t="inlineStr">
        <is>
          <t>not stated</t>
        </is>
      </c>
      <c r="P117" s="24" t="inlineStr">
        <is>
          <t>Out of scope for the hub (child, adolescent, sport, eating, clinician or service feedback)</t>
        </is>
      </c>
      <c r="Q117" s="24" t="inlineStr"/>
      <c r="R117" s="24" t="inlineStr"/>
      <c r="S117" s="24" t="inlineStr">
        <is>
          <t>The cited article title describes the inventory as public domain, but the NovoPsych page makes no explicit availability statement. 30 facets; only some facet names listed on page.</t>
        </is>
      </c>
      <c r="T117" s="24" t="inlineStr">
        <is>
          <t>https://novopsych.com/assessments/formulation/international-personality-item-pool-neo-120-item-version-ipip-neo-120/</t>
        </is>
      </c>
    </row>
    <row r="118">
      <c r="A118" s="24" t="n">
        <v>117</v>
      </c>
      <c r="B118" s="24" t="inlineStr">
        <is>
          <t>Acceptance and Action Questionnaire version 2</t>
        </is>
      </c>
      <c r="C118" s="24" t="inlineStr">
        <is>
          <t>AAQ-2</t>
        </is>
      </c>
      <c r="D118" s="24" t="inlineStr">
        <is>
          <t>Formulation</t>
        </is>
      </c>
      <c r="E118" s="24" t="inlineStr">
        <is>
          <t>Psychological inflexibility and experiential avoidance.</t>
        </is>
      </c>
      <c r="F118" s="24" t="n"/>
      <c r="G118" s="24" t="inlineStr">
        <is>
          <t>Not stated on page (self report by design)</t>
        </is>
      </c>
      <c r="H118" s="24" t="inlineStr">
        <is>
          <t>18+</t>
        </is>
      </c>
      <c r="I118" s="24" t="n">
        <v>1</v>
      </c>
      <c r="J118" s="24" t="inlineStr"/>
      <c r="K118" s="24" t="inlineStr">
        <is>
          <t>Not stated on page</t>
        </is>
      </c>
      <c r="L118" s="24" t="inlineStr">
        <is>
          <t>Total score; higher indicates greater inflexibility and experiential avoidance. Normative percentile against Bond et al. (2011) norms. A total of 25 or above (about the 86th percentile) suggests inflexibility may affect wellbeing.</t>
        </is>
      </c>
      <c r="M118" s="24" t="inlineStr">
        <is>
          <t>Bond, F. W., Hayes, S. C., Baer, R. A., Carpenter, K. M., Guenole, N., Orcutt, H. K., Waltz, T., &amp; Zettle, R. D. (2011). Preliminary psychometric properties of the Acceptance and Action Questionnaire II. Behavior Therapy, 42, 676-688.</t>
        </is>
      </c>
      <c r="N118" s="24" t="inlineStr">
        <is>
          <t>© 2026 Copyright – NovoPsych – All rights reserved</t>
        </is>
      </c>
      <c r="O118" s="24" t="inlineStr">
        <is>
          <t>not stated</t>
        </is>
      </c>
      <c r="P118" s="24" t="inlineStr">
        <is>
          <t>Shortlist: coaching and wellbeing (client facing possible)</t>
        </is>
      </c>
      <c r="Q118" s="24" t="inlineStr"/>
      <c r="R118" s="24" t="inlineStr"/>
      <c r="S118" s="24" t="inlineStr">
        <is>
          <t>Also known as AAQ-II. Item count not stated on page (7 items in the published version). Psychometric section behind Professional Access.</t>
        </is>
      </c>
      <c r="T118" s="24" t="inlineStr">
        <is>
          <t>https://novopsych.com/assessments/formulation/acceptance-and-action-questionnaire-version-2-aaq-2/</t>
        </is>
      </c>
    </row>
    <row r="119">
      <c r="A119" s="24" t="n">
        <v>118</v>
      </c>
      <c r="B119" s="24" t="inlineStr">
        <is>
          <t>Multidimensional Inventory of Dissociation 60 item Adolescent version</t>
        </is>
      </c>
      <c r="C119" s="24" t="inlineStr">
        <is>
          <t>MID-60-A</t>
        </is>
      </c>
      <c r="D119" s="24" t="inlineStr">
        <is>
          <t>Adolescent, Formulation, Trauma</t>
        </is>
      </c>
      <c r="E119" s="24" t="inlineStr">
        <is>
          <t>Screening for dissociative symptoms linked to DSM-5-TR dissociative disorders, with PTSD and somatic symptom coverage.</t>
        </is>
      </c>
      <c r="F119" s="24" t="n">
        <v>60</v>
      </c>
      <c r="G119" s="24" t="inlineStr">
        <is>
          <t>Not stated on page (self report by design)</t>
        </is>
      </c>
      <c r="H119" s="24" t="inlineStr">
        <is>
          <t>16 to 19</t>
        </is>
      </c>
      <c r="I119" s="24" t="n">
        <v>10</v>
      </c>
      <c r="J119" s="24" t="inlineStr"/>
      <c r="K119" s="24" t="inlineStr">
        <is>
          <t>Not stated on page</t>
        </is>
      </c>
      <c r="L119" s="24" t="inlineStr">
        <is>
          <t>Not stated on page</t>
        </is>
      </c>
      <c r="M119" s="24" t="inlineStr">
        <is>
          <t>Kate, M.-A. (2022). The Adolescent Multidimensional Inventory of Dissociation 60 item version (A-MID-60). Unpublished measurement instrument, Southern Cross University.</t>
        </is>
      </c>
      <c r="N119" s="24" t="inlineStr">
        <is>
          <t>© 2026 Copyright – NovoPsych – All rights reserved</t>
        </is>
      </c>
      <c r="O119" s="24" t="inlineStr">
        <is>
          <t>not stated</t>
        </is>
      </c>
      <c r="P119" s="24" t="inlineStr">
        <is>
          <t>Out of scope for the hub (child, adolescent, sport, eating, clinician or service feedback)</t>
        </is>
      </c>
      <c r="Q119" s="24" t="inlineStr"/>
      <c r="R119" s="24" t="inlineStr"/>
      <c r="S119" s="24" t="inlineStr">
        <is>
          <t>Overview, scoring and psychometric sections all behind Professional Access.</t>
        </is>
      </c>
      <c r="T119" s="24" t="inlineStr">
        <is>
          <t>https://novopsych.com/assessments/formulation/multidimensional-inventory-of-dissociation-60-item-adolescent-version-mid-60-a/</t>
        </is>
      </c>
    </row>
    <row r="120">
      <c r="A120" s="24" t="n">
        <v>119</v>
      </c>
      <c r="B120" s="24" t="inlineStr">
        <is>
          <t>Difficulties in Emotion Regulation Scale 16 item version</t>
        </is>
      </c>
      <c r="C120" s="24" t="inlineStr">
        <is>
          <t>DERS-16</t>
        </is>
      </c>
      <c r="D120" s="24" t="inlineStr">
        <is>
          <t>Formulation</t>
        </is>
      </c>
      <c r="E120" s="24" t="inlineStr">
        <is>
          <t>Difficulties in emotion regulation.</t>
        </is>
      </c>
      <c r="F120" s="24" t="n">
        <v>16</v>
      </c>
      <c r="G120" s="24" t="inlineStr">
        <is>
          <t>Self report</t>
        </is>
      </c>
      <c r="H120" s="24" t="inlineStr">
        <is>
          <t>18+</t>
        </is>
      </c>
      <c r="I120" s="24" t="n">
        <v>3</v>
      </c>
      <c r="J120" s="24" t="inlineStr"/>
      <c r="K120" s="24" t="inlineStr">
        <is>
          <t>Not stated on page</t>
        </is>
      </c>
      <c r="L120" s="24" t="inlineStr">
        <is>
          <t>Not stated on page</t>
        </is>
      </c>
      <c r="M120" s="24" t="inlineStr">
        <is>
          <t>Bjureberg, J., Ljotsson, B., Tull, M. T., Hedman, E., Sahlin, H., Lundh, L.-G., Bjarehed, J., DiLillo, D., Messman-Moore, T., Gumpert, C. H., &amp; Gratz, K. L. (2016). Development and validation of a brief version of the Difficulties in Emotion Regulation Scale: The DERS-16. Journal of Psychopathology and Behavioral Assessment, 38(2), 284-296.</t>
        </is>
      </c>
      <c r="N120" s="24" t="inlineStr">
        <is>
          <t>© 2026 Copyright – NovoPsych – All rights reserved</t>
        </is>
      </c>
      <c r="O120" s="24" t="inlineStr">
        <is>
          <t>not stated</t>
        </is>
      </c>
      <c r="P120" s="24" t="inlineStr">
        <is>
          <t>Shortlist: coaching and wellbeing (client facing possible)</t>
        </is>
      </c>
      <c r="Q120" s="24" t="inlineStr"/>
      <c r="R120" s="24" t="inlineStr"/>
      <c r="S120" s="24" t="inlineStr">
        <is>
          <t>Detailed sections are behind Professional Access; only the site footer copyright notice appears on the public page.</t>
        </is>
      </c>
      <c r="T120" s="24" t="inlineStr">
        <is>
          <t>https://novopsych.com/assessments/formulation/difficulties-in-emotion-regulation-scale-16-item-version-ders-16/</t>
        </is>
      </c>
    </row>
    <row r="121">
      <c r="A121" s="24" t="n">
        <v>120</v>
      </c>
      <c r="B121" s="24" t="inlineStr">
        <is>
          <t>Short Health Anxiety Inventory</t>
        </is>
      </c>
      <c r="C121" s="24" t="inlineStr">
        <is>
          <t>SHAI</t>
        </is>
      </c>
      <c r="D121" s="24" t="inlineStr">
        <is>
          <t>Anxiety, Health</t>
        </is>
      </c>
      <c r="E121" s="24" t="inlineStr">
        <is>
          <t>Health anxiety independent of physical health status.</t>
        </is>
      </c>
      <c r="F121" s="24" t="n">
        <v>18</v>
      </c>
      <c r="G121" s="24" t="inlineStr">
        <is>
          <t>Not stated on page (self report by design)</t>
        </is>
      </c>
      <c r="H121" s="24" t="inlineStr">
        <is>
          <t>18+</t>
        </is>
      </c>
      <c r="I121" s="24" t="n">
        <v>3</v>
      </c>
      <c r="J121" s="24" t="inlineStr"/>
      <c r="K121" s="24" t="inlineStr">
        <is>
          <t>Not stated on page</t>
        </is>
      </c>
      <c r="L121" s="24" t="inlineStr">
        <is>
          <t>Not stated on page</t>
        </is>
      </c>
      <c r="M121" s="24" t="inlineStr">
        <is>
          <t>Salkovskis, P. M., Rimes, K. A., Warwick, H. M. C., &amp; Clark, D. M. (2002). The Health Anxiety Inventory: Development and validation of scales for the measurement of health anxiety and hypochondriasis. Psychological Medicine, 32(5), 843-853.</t>
        </is>
      </c>
      <c r="N121" s="24" t="inlineStr">
        <is>
          <t>© 2026 Copyright – NovoPsych – All rights reserved</t>
        </is>
      </c>
      <c r="O121" s="24" t="inlineStr">
        <is>
          <t>not stated</t>
        </is>
      </c>
      <c r="P121" s="24" t="inlineStr">
        <is>
          <t>Shortlist: coaching and wellbeing (client facing possible)</t>
        </is>
      </c>
      <c r="Q121" s="24" t="inlineStr"/>
      <c r="R121" s="24" t="inlineStr"/>
      <c r="S121" s="24" t="inlineStr">
        <is>
          <t>Detailed sections are behind Professional Access; only the site footer copyright notice appears on the public page.</t>
        </is>
      </c>
      <c r="T121" s="24" t="inlineStr">
        <is>
          <t>https://novopsych.com/assessments/health/short-health-anxiety-inventory-shai/</t>
        </is>
      </c>
    </row>
    <row r="122">
      <c r="A122" s="24" t="n">
        <v>121</v>
      </c>
      <c r="B122" s="24" t="inlineStr">
        <is>
          <t>Regensburg Insomnia Scale</t>
        </is>
      </c>
      <c r="C122" s="24" t="inlineStr">
        <is>
          <t>RIS</t>
        </is>
      </c>
      <c r="D122" s="24" t="inlineStr">
        <is>
          <t>Sleep</t>
        </is>
      </c>
      <c r="E122" s="24" t="inlineStr">
        <is>
          <t>Measures cognitive, behavioural and emotional aspects of psychophysiological insomnia.</t>
        </is>
      </c>
      <c r="F122" s="24" t="n">
        <v>10</v>
      </c>
      <c r="G122" s="24" t="inlineStr">
        <is>
          <t>self report</t>
        </is>
      </c>
      <c r="H122" s="24" t="inlineStr">
        <is>
          <t>18+</t>
        </is>
      </c>
      <c r="I122" s="24" t="n">
        <v>2</v>
      </c>
      <c r="J122" s="24" t="inlineStr"/>
      <c r="K122" s="24" t="inlineStr">
        <is>
          <t>not stated</t>
        </is>
      </c>
      <c r="L122" s="24" t="inlineStr">
        <is>
          <t>not stated</t>
        </is>
      </c>
      <c r="M122" s="24" t="inlineStr">
        <is>
          <t>Crönlein, T., Langguth, B., Popp, R., Lukesch, H., Pieh, C., Hajak, G., &amp; Geisler, P. (2013). Regensburg Insomnia Scale (RIS): a new short rating scale for the assessment of psychological symptoms and sleep in insomnia. Health and Quality of Life Outcomes, 11(1), 1 to 8.</t>
        </is>
      </c>
      <c r="N122" s="24" t="inlineStr">
        <is>
          <t>© 2026 Copyright – NovoPsych – All rights reserved</t>
        </is>
      </c>
      <c r="O122" s="24" t="inlineStr">
        <is>
          <t>not stated</t>
        </is>
      </c>
      <c r="P122" s="24" t="inlineStr">
        <is>
          <t>Shortlist: coaching and wellbeing (client facing possible)</t>
        </is>
      </c>
      <c r="Q122" s="24" t="inlineStr"/>
      <c r="R122" s="24" t="inlineStr"/>
      <c r="S122" s="24" t="inlineStr">
        <is>
          <t>Only the site wide footer copyright appears; no instrument specific licence statement. Scoring and Interpretation and Psychometric Properties tab content not present in fetched page text; only overview, developer and reference sections were readable.</t>
        </is>
      </c>
      <c r="T122" s="24" t="inlineStr">
        <is>
          <t>https://novopsych.com/assessments/sleep/regensburg-insomnia-scale-ris/</t>
        </is>
      </c>
    </row>
    <row r="123">
      <c r="A123" s="24" t="n">
        <v>122</v>
      </c>
      <c r="B123" s="24" t="inlineStr">
        <is>
          <t>Clinical Impairment Assessment Questionnaire</t>
        </is>
      </c>
      <c r="C123" s="24" t="inlineStr">
        <is>
          <t>CIA</t>
        </is>
      </c>
      <c r="D123" s="24" t="inlineStr">
        <is>
          <t>Adolescent, Body image and eating, Diagnosis</t>
        </is>
      </c>
      <c r="E123" s="24" t="inlineStr">
        <is>
          <t>Measures the severity of psychosocial impairment due to eating disorder features over the past 28 days.</t>
        </is>
      </c>
      <c r="F123" s="24" t="n">
        <v>16</v>
      </c>
      <c r="G123" s="24" t="inlineStr">
        <is>
          <t>self report</t>
        </is>
      </c>
      <c r="H123" s="24" t="inlineStr">
        <is>
          <t>17+ (normed in adults aged 17 to 65)</t>
        </is>
      </c>
      <c r="I123" s="24" t="n">
        <v>3</v>
      </c>
      <c r="J123" s="24" t="inlineStr"/>
      <c r="K123" s="24" t="inlineStr">
        <is>
          <t>not stated</t>
        </is>
      </c>
      <c r="L123" s="24" t="inlineStr">
        <is>
          <t>not stated</t>
        </is>
      </c>
      <c r="M123" s="24" t="inlineStr">
        <is>
          <t>Bohn, K., Doll, H. A., Cooper, Z., O'Connor, M., Palmer, R. L., &amp; Fairburn, C. G. (2008). The measurement of impairment due to eating disorder psychopathology. Behaviour Research and Therapy, 46(10), 1105 to 1110. Also Bohn &amp; Fairburn (2008), CIA 3.0, in Fairburn, Cognitive Behavior Therapy and Eating Disorders, Guilford Press.</t>
        </is>
      </c>
      <c r="N123" s="24" t="inlineStr">
        <is>
          <t>© 2026 Copyright – NovoPsych – All rights reserved</t>
        </is>
      </c>
      <c r="O123" s="24" t="inlineStr">
        <is>
          <t>not stated</t>
        </is>
      </c>
      <c r="P123" s="24" t="inlineStr">
        <is>
          <t>Out of scope for the hub (child, adolescent, sport, eating, clinician or service feedback)</t>
        </is>
      </c>
      <c r="Q123" s="24" t="inlineStr"/>
      <c r="R123" s="24" t="inlineStr"/>
      <c r="S123" s="24" t="inlineStr">
        <is>
          <t>Only the site wide footer copyright appears; no instrument specific licence statement. Scoring and Interpretation and Psychometric Properties tab content not present in fetched page text; only overview, developer and reference sections were readable.</t>
        </is>
      </c>
      <c r="T123" s="24" t="inlineStr">
        <is>
          <t>https://novopsych.com/assessments/diagnosis/clinical-impairment-assessment-questionnaire-cia/</t>
        </is>
      </c>
    </row>
    <row r="124">
      <c r="A124" s="24" t="n">
        <v>123</v>
      </c>
      <c r="B124" s="24" t="inlineStr">
        <is>
          <t>Depression Anxiety Stress Scales Youth Version</t>
        </is>
      </c>
      <c r="C124" s="24" t="inlineStr">
        <is>
          <t>DASS-Y</t>
        </is>
      </c>
      <c r="D124" s="24" t="inlineStr">
        <is>
          <t>Adolescent, Anxiety, Child, Depression, Outcome monitoring</t>
        </is>
      </c>
      <c r="E124" s="24" t="inlineStr">
        <is>
          <t>Measures general psychological distress and the negative emotional states of depression, anxiety and stress in young people, with simplified wording.</t>
        </is>
      </c>
      <c r="F124" s="24" t="n"/>
      <c r="G124" s="24" t="inlineStr">
        <is>
          <t>self report (child or adolescent)</t>
        </is>
      </c>
      <c r="H124" s="24" t="inlineStr">
        <is>
          <t>7 to 18 years</t>
        </is>
      </c>
      <c r="I124" s="24" t="n">
        <v>4</v>
      </c>
      <c r="J124" s="24" t="inlineStr">
        <is>
          <t>Depression, Anxiety, Stress</t>
        </is>
      </c>
      <c r="K124" s="24" t="inlineStr">
        <is>
          <t>not stated</t>
        </is>
      </c>
      <c r="L124" s="24" t="inlineStr">
        <is>
          <t>not stated</t>
        </is>
      </c>
      <c r="M124" s="24" t="inlineStr">
        <is>
          <t>Szabo, M., &amp; Lovibond, P. F. (2022). Development and Psychometric Properties of the DASS-Youth (DASS-Y). Frontiers in Psychology, 13, 766890. https://doi.org/10.3389/fpsyg.2022.766890</t>
        </is>
      </c>
      <c r="N124" s="24" t="inlineStr">
        <is>
          <t>© 2026 Copyright – NovoPsych – All rights reserved</t>
        </is>
      </c>
      <c r="O124" s="24" t="inlineStr">
        <is>
          <t>not stated</t>
        </is>
      </c>
      <c r="P124" s="24" t="inlineStr">
        <is>
          <t>Out of scope for the hub (child, adolescent, sport, eating, clinician or service feedback)</t>
        </is>
      </c>
      <c r="Q124" s="24" t="inlineStr"/>
      <c r="R124" s="24" t="inlineStr"/>
      <c r="S124" s="24" t="inlineStr">
        <is>
          <t>Item count not stated in readable text (the developer paper describes a 21 item youth adaptation of the DASS-21). Subscales inferred from the 3 constructs named. 1995 DASS manual noted as available from the Psychology Foundation. Scoring and Interpretation and Psychometric Properties tab content not present in fetched page text; only overview, developer and reference sections were readable.</t>
        </is>
      </c>
      <c r="T124" s="24" t="inlineStr">
        <is>
          <t>https://novopsych.com/assessments/child/depression-anxiety-stress-scale-youth-version-dass-y/</t>
        </is>
      </c>
    </row>
    <row r="125">
      <c r="A125" s="24" t="n">
        <v>124</v>
      </c>
      <c r="B125" s="24" t="inlineStr">
        <is>
          <t>Personal Wellbeing Index Adult</t>
        </is>
      </c>
      <c r="C125" s="24" t="inlineStr">
        <is>
          <t>PWI-A</t>
        </is>
      </c>
      <c r="D125" s="24" t="inlineStr">
        <is>
          <t>Formulation, Well-being</t>
        </is>
      </c>
      <c r="E125" s="24" t="inlineStr">
        <is>
          <t>Measures subjective wellbeing as satisfaction with several major life domains.</t>
        </is>
      </c>
      <c r="F125" s="24" t="n">
        <v>9</v>
      </c>
      <c r="G125" s="24" t="inlineStr">
        <is>
          <t>self report</t>
        </is>
      </c>
      <c r="H125" s="24" t="inlineStr">
        <is>
          <t>18+ (older adolescents at administrator discretion)</t>
        </is>
      </c>
      <c r="I125" s="24" t="n">
        <v>2</v>
      </c>
      <c r="J125" s="24" t="inlineStr">
        <is>
          <t>Standard of living, Health, Achievement in life, Personal relationships, Safety, Community, Future security</t>
        </is>
      </c>
      <c r="K125" s="24" t="inlineStr">
        <is>
          <t>Satisfaction rating per domain; number of points and anchors not stated on page (manual uses 0 to 10)</t>
        </is>
      </c>
      <c r="L125" s="24" t="inlineStr">
        <is>
          <t>Composite is the mean of the 7 core domain items (optional spirituality item included only if completed; life as a whole item not scored), higher is better. Bands: 70 to 100 normal, 50 to 69 compromised, 0 to 49 challenged; reliable change 14 or more points; percentiles against Australian adults (Khor et al., 2020).</t>
        </is>
      </c>
      <c r="M125" s="24" t="inlineStr">
        <is>
          <t>International Wellbeing Group (2024). Personal Wellbeing Index Manual: 6th Edition, Version 2, 190624. Cummins, R. A. (Ed.). Geelong: Australian Centre on Quality of Life, School of Psychology, Deakin University.</t>
        </is>
      </c>
      <c r="N125" s="24" t="inlineStr">
        <is>
          <t>© 2026 Copyright – NovoPsych – All rights reserved</t>
        </is>
      </c>
      <c r="O125" s="24" t="inlineStr">
        <is>
          <t>not stated</t>
        </is>
      </c>
      <c r="P125" s="24" t="inlineStr">
        <is>
          <t>Shortlist: coaching and wellbeing (client facing possible)</t>
        </is>
      </c>
      <c r="Q125" s="24" t="inlineStr"/>
      <c r="R125" s="24" t="inlineStr"/>
      <c r="S125" s="24" t="inlineStr">
        <is>
          <t>Page lists 5th edition in title; 9 items comprise 7 core domains plus 1 optional life as a whole item and 1 optional spirituality or religion item. Only the site wide footer copyright appears.</t>
        </is>
      </c>
      <c r="T125" s="24" t="inlineStr">
        <is>
          <t>https://novopsych.com/assessments/well-being/personal-wellbeing-index-adult-5-pwi-a/</t>
        </is>
      </c>
    </row>
    <row r="126">
      <c r="A126" s="24" t="n">
        <v>125</v>
      </c>
      <c r="B126" s="24" t="inlineStr">
        <is>
          <t>Pediatric Symptom Checklist 17</t>
        </is>
      </c>
      <c r="C126" s="24" t="inlineStr">
        <is>
          <t>PSC-17</t>
        </is>
      </c>
      <c r="D126" s="24" t="inlineStr">
        <is>
          <t>Adolescent, Child</t>
        </is>
      </c>
      <c r="E126" s="24" t="inlineStr">
        <is>
          <t>Screens for emotional, behavioural and attentional difficulties in children.</t>
        </is>
      </c>
      <c r="F126" s="24" t="n">
        <v>17</v>
      </c>
      <c r="G126" s="24" t="inlineStr">
        <is>
          <t>parent report</t>
        </is>
      </c>
      <c r="H126" s="24" t="inlineStr">
        <is>
          <t>4 to 16 years</t>
        </is>
      </c>
      <c r="I126" s="24" t="n">
        <v>3</v>
      </c>
      <c r="J126" s="24" t="inlineStr">
        <is>
          <t>Internalising, Attention, Externalising, Total</t>
        </is>
      </c>
      <c r="K126" s="24" t="inlineStr">
        <is>
          <t>not stated</t>
        </is>
      </c>
      <c r="L126" s="24" t="inlineStr">
        <is>
          <t>Higher scores indicate more difficulties; results banded as within typical range, mild (monitoring flag) or above clinical screening threshold. Numeric cut offs not shown in readable text. Reliable change 6 or more points on Total and 2 or more on each subscale.</t>
        </is>
      </c>
      <c r="M126" s="24" t="inlineStr">
        <is>
          <t>Gardner, W., Murphy, M., Childs, G., Kelleher, K., Pagano, M., Jellinek, M., McInerny, T. K., Wasserman, R. C., Nutting, P., &amp; Chiappetta, L. (1999). The PSC-17: a brief Pediatric Symptom Checklist with psychosocial problem subscales. Ambulatory Child Health, 5(3), 225 to 236.</t>
        </is>
      </c>
      <c r="N126" s="24" t="inlineStr">
        <is>
          <t>© 2026 Copyright – NovoPsych – All rights reserved</t>
        </is>
      </c>
      <c r="O126" s="24" t="inlineStr">
        <is>
          <t>not stated</t>
        </is>
      </c>
      <c r="P126" s="24" t="inlineStr">
        <is>
          <t>Out of scope for the hub (child, adolescent, sport, eating, clinician or service feedback)</t>
        </is>
      </c>
      <c r="Q126" s="24" t="inlineStr"/>
      <c r="R126" s="24" t="inlineStr"/>
      <c r="S126" s="24" t="inlineStr">
        <is>
          <t>FAQ gives about 2.5 minutes versus 3 minutes in the header. Only the site wide footer copyright appears. Scoring and Interpretation and Psychometric Properties tab content not present in fetched page text; only overview, developer and reference sections were readable.</t>
        </is>
      </c>
      <c r="T126" s="24" t="inlineStr">
        <is>
          <t>https://novopsych.com/assessments/child/pediatric-symptom-checklist-17-psc-17/</t>
        </is>
      </c>
    </row>
    <row r="127">
      <c r="A127" s="24" t="n">
        <v>126</v>
      </c>
      <c r="B127" s="24" t="inlineStr">
        <is>
          <t>Composite Caregiving Questionnaire</t>
        </is>
      </c>
      <c r="C127" s="24" t="inlineStr">
        <is>
          <t>CCQ</t>
        </is>
      </c>
      <c r="D127" s="24" t="inlineStr">
        <is>
          <t>Child</t>
        </is>
      </c>
      <c r="E127" s="24" t="inlineStr">
        <is>
          <t>Measures parenting constructs linked to attachment security in young children.</t>
        </is>
      </c>
      <c r="F127" s="24" t="n">
        <v>42</v>
      </c>
      <c r="G127" s="24" t="inlineStr">
        <is>
          <t>parent or caregiver report</t>
        </is>
      </c>
      <c r="H127" s="24" t="inlineStr">
        <is>
          <t>child 0 to 6 years</t>
        </is>
      </c>
      <c r="I127" s="24" t="n">
        <v>7</v>
      </c>
      <c r="J127" s="24" t="inlineStr">
        <is>
          <t>Parenting self efficacy in empathy, Parenting self efficacy in expressing affection and managing child emotion, Caregiving helplessness, Hostile perceptions of the child, Parent mentalisation</t>
        </is>
      </c>
      <c r="K127" s="24" t="inlineStr">
        <is>
          <t>not stated</t>
        </is>
      </c>
      <c r="L127" s="24" t="inlineStr">
        <is>
          <t>not stated</t>
        </is>
      </c>
      <c r="M127" s="24" t="inlineStr">
        <is>
          <t>Byron, B., &amp; Hawkins, E. (2022). Unpublished data. Scale information composed by Dr David Hegarty, Head of Psychometrics, NovoPsych.</t>
        </is>
      </c>
      <c r="N127" s="24" t="inlineStr">
        <is>
          <t>© 2026 Copyright – NovoPsych – All rights reserved</t>
        </is>
      </c>
      <c r="O127" s="24" t="inlineStr">
        <is>
          <t>not stated</t>
        </is>
      </c>
      <c r="P127" s="24" t="inlineStr">
        <is>
          <t>Out of scope for the hub (child, adolescent, sport, eating, clinician or service feedback)</t>
        </is>
      </c>
      <c r="Q127" s="24" t="inlineStr"/>
      <c r="R127" s="24" t="inlineStr"/>
      <c r="S127" s="24" t="inlineStr">
        <is>
          <t>Original developer not explicitly named; reference is to unpublished data. Only the site wide footer copyright appears. Scoring and Interpretation and Psychometric Properties tab content not present in fetched page text; only overview, developer and reference sections were readable.</t>
        </is>
      </c>
      <c r="T127" s="24" t="inlineStr">
        <is>
          <t>https://novopsych.com/assessments/child/composite-caregiving-questionnaire-ccq/</t>
        </is>
      </c>
    </row>
    <row r="128">
      <c r="A128" s="24" t="n">
        <v>127</v>
      </c>
      <c r="B128" s="24" t="inlineStr">
        <is>
          <t>Obsessive Compulsive Inventory Revised</t>
        </is>
      </c>
      <c r="C128" s="24" t="inlineStr">
        <is>
          <t>OCI-R</t>
        </is>
      </c>
      <c r="D128" s="24" t="inlineStr">
        <is>
          <t>Diagnosis, OCD</t>
        </is>
      </c>
      <c r="E128" s="24" t="inlineStr">
        <is>
          <t>Measures obsessive compulsive symptoms with a separate hoarding component.</t>
        </is>
      </c>
      <c r="F128" s="24" t="n">
        <v>18</v>
      </c>
      <c r="G128" s="24" t="inlineStr">
        <is>
          <t>self report</t>
        </is>
      </c>
      <c r="H128" s="24" t="inlineStr">
        <is>
          <t>18+</t>
        </is>
      </c>
      <c r="I128" s="24" t="n">
        <v>3</v>
      </c>
      <c r="J128" s="24" t="inlineStr">
        <is>
          <t>Washing, Checking, Ordering, Obsessing, Neutralising, Hoarding</t>
        </is>
      </c>
      <c r="K128" s="24" t="inlineStr">
        <is>
          <t>not stated</t>
        </is>
      </c>
      <c r="L128" s="24" t="inlineStr">
        <is>
          <t>Summed scores: OCI-OCD 15 items range 0 to 60, OCI-HD 3 items range 0 to 12; higher means more symptoms. Clinical threshold of 12 or above referenced for severity descriptors.</t>
        </is>
      </c>
      <c r="M128" s="24" t="inlineStr">
        <is>
          <t>Foa, E. B., et al. (2002). The Obsessive-Compulsive Inventory: development and validation of a short version. Also cites Wootton et al. (2015) and Abramovitch et al. (2006).</t>
        </is>
      </c>
      <c r="N128" s="24" t="inlineStr">
        <is>
          <t>© 2026 Copyright – NovoPsych – All rights reserved</t>
        </is>
      </c>
      <c r="O128" s="24" t="inlineStr">
        <is>
          <t>not stated</t>
        </is>
      </c>
      <c r="P128" s="24" t="inlineStr">
        <is>
          <t>Shortlist: screening or clinical (Sarah only if used)</t>
        </is>
      </c>
      <c r="Q128" s="24" t="inlineStr"/>
      <c r="R128" s="24" t="inlineStr"/>
      <c r="S128" s="24" t="inlineStr">
        <is>
          <t>Full bibliographic reference for Foa et al. (2002) not shown in readable text. No copyright or licence statement found on page beyond site footer.</t>
        </is>
      </c>
      <c r="T128" s="24" t="inlineStr">
        <is>
          <t>https://novopsych.com/assessments/diagnosis/obsessional-compulsive-inventory-revised-oci-r/</t>
        </is>
      </c>
    </row>
    <row r="129">
      <c r="A129" s="24" t="n">
        <v>128</v>
      </c>
      <c r="B129" s="24" t="inlineStr">
        <is>
          <t>Multidimensional Inventory of Dissociation 60 item version</t>
        </is>
      </c>
      <c r="C129" s="24" t="inlineStr">
        <is>
          <t>MID-60</t>
        </is>
      </c>
      <c r="D129" s="24" t="inlineStr">
        <is>
          <t>Formulation, Trauma</t>
        </is>
      </c>
      <c r="E129" s="24" t="inlineStr">
        <is>
          <t>Measures dissociative symptoms and experiences consistent with DSM-5-TR dissociative disorders plus PTSD, somatic symptoms, trance and self confusion.</t>
        </is>
      </c>
      <c r="F129" s="24" t="n">
        <v>60</v>
      </c>
      <c r="G129" s="24" t="inlineStr">
        <is>
          <t>self report</t>
        </is>
      </c>
      <c r="H129" s="24" t="inlineStr">
        <is>
          <t>18+ (MID-60-A covers 16 to 19)</t>
        </is>
      </c>
      <c r="I129" s="24" t="n">
        <v>10</v>
      </c>
      <c r="J129" s="24" t="inlineStr">
        <is>
          <t>Amnesia, Subjective Awareness of Alter Personalities and Self States, Angry Intrusions, Persecutory Intrusions, Derealisation/Depersonalisation, Distress about Severe Memory Problems, Loss of Autobiographical Memory, Flashbacks, Body Symptoms, Psychogenic Non Epileptic Seizures, Trance, Self Confusion</t>
        </is>
      </c>
      <c r="K129" s="24" t="inlineStr">
        <is>
          <t>11 point, 0 Never to 10 Always, representing estimated percentage of time a symptom is experienced</t>
        </is>
      </c>
      <c r="L129" s="24" t="inlineStr">
        <is>
          <t>Mean score equals average percentage of time dissociative symptoms are reported; higher means more dissociation. No formal cut offs; mean 65 or above may be consistent with severe dissociation and scores over 80 interpreted cautiously. Subscale cut offs exist but values not shown.</t>
        </is>
      </c>
      <c r="M129" s="24" t="inlineStr">
        <is>
          <t>Kate, M.-A., Jamieson, G., Dorahy, M. J., &amp; Middleton, W. (2020). Measuring Dissociative Symptoms and Experiences in an Australian College Sample Using a Short Version of the Multidimensional Inventory of Dissociation. Journal of Trauma &amp; Dissociation, 22(3), 265 to 287. https://doi.org/10.1080/15299732.2020.1792024</t>
        </is>
      </c>
      <c r="N129" s="24" t="inlineStr">
        <is>
          <t>© 2026 Copyright – NovoPsych – All rights reserved</t>
        </is>
      </c>
      <c r="O129" s="24" t="inlineStr">
        <is>
          <t>not stated</t>
        </is>
      </c>
      <c r="P129" s="24" t="inlineStr">
        <is>
          <t>Shortlist: screening or clinical (Sarah only if used)</t>
        </is>
      </c>
      <c r="Q129" s="24" t="inlineStr"/>
      <c r="R129" s="24" t="inlineStr"/>
      <c r="S129" s="24" t="inlineStr">
        <is>
          <t>Only the site wide footer copyright appears; no instrument specific licence statement.</t>
        </is>
      </c>
      <c r="T129" s="24" t="inlineStr">
        <is>
          <t>https://novopsych.com/assessments/formulation/multidimensional-inventory-of-dissociation-60-item-version-mid-60/</t>
        </is>
      </c>
    </row>
    <row r="130">
      <c r="A130" s="24" t="n">
        <v>129</v>
      </c>
      <c r="B130" s="24" t="inlineStr">
        <is>
          <t>McLean Screening Instrument for Borderline Personality Disorder</t>
        </is>
      </c>
      <c r="C130" s="24" t="inlineStr">
        <is>
          <t>MSI-BPD</t>
        </is>
      </c>
      <c r="D130" s="24" t="inlineStr">
        <is>
          <t>Diagnosis, Personality</t>
        </is>
      </c>
      <c r="E130" s="24" t="inlineStr">
        <is>
          <t>Screens for borderline personality disorder against the DSM-5 criteria.</t>
        </is>
      </c>
      <c r="F130" s="24" t="n">
        <v>10</v>
      </c>
      <c r="G130" s="24" t="inlineStr">
        <is>
          <t>self report</t>
        </is>
      </c>
      <c r="H130" s="24" t="inlineStr">
        <is>
          <t>15+ (youth and adults)</t>
        </is>
      </c>
      <c r="I130" s="24" t="n">
        <v>2</v>
      </c>
      <c r="J130" s="24" t="inlineStr"/>
      <c r="K130" s="24" t="inlineStr">
        <is>
          <t>not stated</t>
        </is>
      </c>
      <c r="L130" s="24" t="inlineStr">
        <is>
          <t>Positive responses indicate symptoms; a total at or above the clinical cut off warrants further evaluation. Numeric cut off not shown in readable text; a borderline range of 5 to 6 is mentioned.</t>
        </is>
      </c>
      <c r="M130" s="24" t="inlineStr">
        <is>
          <t>Zanarini, M. C., et al. (2003). A screening measure for BPD: the McLean Screening Instrument for Borderline Personality Disorder (MSI-BPD). Journal of Personality Disorders, 17(6), 568 to 573.</t>
        </is>
      </c>
      <c r="N130" s="24" t="inlineStr">
        <is>
          <t>© 2026 Copyright – NovoPsych – All rights reserved</t>
        </is>
      </c>
      <c r="O130" s="24" t="inlineStr">
        <is>
          <t>not stated</t>
        </is>
      </c>
      <c r="P130" s="24" t="inlineStr">
        <is>
          <t>Shortlist: screening or clinical (Sarah only if used)</t>
        </is>
      </c>
      <c r="Q130" s="24" t="inlineStr"/>
      <c r="R130" s="24" t="inlineStr"/>
      <c r="S130" s="24" t="inlineStr">
        <is>
          <t>Page cites Zanarini et al. (2003) without a full reference in readable text; citation completed from the standard source. Items map to the 9 DSM-5 BPD criteria, with paranoia or dissociation covered by 2 items. No copyright statement beyond site footer.</t>
        </is>
      </c>
      <c r="T130" s="24" t="inlineStr">
        <is>
          <t>https://novopsych.com/assessments/diagnosis/mclean-screening-instrument-for-bpd-msi-bpd/</t>
        </is>
      </c>
    </row>
    <row r="131">
      <c r="A131" s="24" t="n">
        <v>130</v>
      </c>
      <c r="B131" s="24" t="inlineStr">
        <is>
          <t>Vanderbilt ADHD Diagnostic Teacher Rating Scale</t>
        </is>
      </c>
      <c r="C131" s="24" t="inlineStr">
        <is>
          <t>VADTRS</t>
        </is>
      </c>
      <c r="D131" s="24" t="inlineStr">
        <is>
          <t>ADHD, Child, Diagnosis</t>
        </is>
      </c>
      <c r="E131" s="24" t="inlineStr">
        <is>
          <t>Measures ADHD symptoms, common comorbid conditions and functional impairment in academic and classroom behaviour performance.</t>
        </is>
      </c>
      <c r="F131" s="24" t="n">
        <v>43</v>
      </c>
      <c r="G131" s="24" t="inlineStr">
        <is>
          <t>teacher report</t>
        </is>
      </c>
      <c r="H131" s="24" t="inlineStr">
        <is>
          <t>5 to 12 years</t>
        </is>
      </c>
      <c r="I131" s="24" t="n">
        <v>7</v>
      </c>
      <c r="J131" s="24" t="inlineStr">
        <is>
          <t>Inattention, Hyperactivity/Impulsivity, Oppositional Defiant/Conduct, Anxiety/Depression, Academic Performance, Classroom Behavioural Performance</t>
        </is>
      </c>
      <c r="K131" s="24" t="inlineStr">
        <is>
          <t>not stated</t>
        </is>
      </c>
      <c r="L131" s="24" t="inlineStr">
        <is>
          <t>not stated</t>
        </is>
      </c>
      <c r="M131" s="24" t="inlineStr">
        <is>
          <t>Wolraich, M. L., Feurer, I. D., Hannah, J. N., Baumgaertel, A., &amp; Pinnock, T. Y. (1998). Obtaining systematic teacher reports of disruptive behaviour disorders utilizing DSM-IV. Journal of Abnormal Child Psychology, 26(2), 141 to 152. https://doi.org/10.1023/a:1022673906401</t>
        </is>
      </c>
      <c r="N131" s="24" t="inlineStr">
        <is>
          <t>© 2026 Copyright – NovoPsych – All rights reserved</t>
        </is>
      </c>
      <c r="O131" s="24" t="inlineStr">
        <is>
          <t>not stated</t>
        </is>
      </c>
      <c r="P131" s="24" t="inlineStr">
        <is>
          <t>Out of scope for the hub (child, adolescent, sport, eating, clinician or service feedback)</t>
        </is>
      </c>
      <c r="Q131" s="24" t="inlineStr"/>
      <c r="R131" s="24" t="inlineStr"/>
      <c r="S131" s="24" t="inlineStr">
        <is>
          <t>Page names Oppositional Defiant/Conduct and Anxiety/Depression plus academic and classroom performance domains; inattention and hyperactivity subscales inferred from the instrument. Only the site wide footer copyright appears. Scoring and Interpretation and Psychometric Properties tab content not present in fetched page text; only overview, developer and reference sections were readable.</t>
        </is>
      </c>
      <c r="T131" s="24" t="inlineStr">
        <is>
          <t>https://novopsych.com/assessments/diagnosis/vanderbilt-adhd-diagnostic-teacher-rating-scale-vadtrs/</t>
        </is>
      </c>
    </row>
    <row r="132">
      <c r="A132" s="24" t="n">
        <v>131</v>
      </c>
      <c r="B132" s="24" t="inlineStr">
        <is>
          <t>Positive and Negative Affect Schedule</t>
        </is>
      </c>
      <c r="C132" s="24" t="inlineStr">
        <is>
          <t>PANAS</t>
        </is>
      </c>
      <c r="D132" s="24" t="inlineStr">
        <is>
          <t>Formulation, Outcome monitoring</t>
        </is>
      </c>
      <c r="E132" s="24" t="inlineStr">
        <is>
          <t>Measures positive and negative emotional states, with positive affect reflecting engagement and negative affect reflecting general distress.</t>
        </is>
      </c>
      <c r="F132" s="24" t="n">
        <v>20</v>
      </c>
      <c r="G132" s="24" t="inlineStr">
        <is>
          <t>self report</t>
        </is>
      </c>
      <c r="H132" s="24" t="inlineStr">
        <is>
          <t>18+</t>
        </is>
      </c>
      <c r="I132" s="24" t="n">
        <v>3</v>
      </c>
      <c r="J132" s="24" t="inlineStr">
        <is>
          <t>Positive Affect, Negative Affect</t>
        </is>
      </c>
      <c r="K132" s="24" t="inlineStr">
        <is>
          <t>not stated</t>
        </is>
      </c>
      <c r="L132" s="24" t="inlineStr">
        <is>
          <t>Scoring method not shown in readable text. Australian non clinical norms (state version, n = 1059, ages 18 to 50): Positive Affect M 26.48 SD 8.1; Negative Affect M 14.80 SD 5.49.</t>
        </is>
      </c>
      <c r="M132" s="24" t="inlineStr">
        <is>
          <t>Watson, D., Clark, L. A., &amp; Tellegen, A. (1988). Development and validation of brief measures of positive and negative affect: The PANAS scales. Journal of Personality and Social Psychology, 54(6), 1063 to 1070. https://doi.org/10.1037/0022-3514.54.6.1063</t>
        </is>
      </c>
      <c r="N132" s="24" t="inlineStr">
        <is>
          <t>© 2026 Copyright – NovoPsych – All rights reserved</t>
        </is>
      </c>
      <c r="O132" s="24" t="inlineStr">
        <is>
          <t>not stated</t>
        </is>
      </c>
      <c r="P132" s="24" t="inlineStr">
        <is>
          <t>Shortlist: coaching and wellbeing (client facing possible)</t>
        </is>
      </c>
      <c r="Q132" s="24" t="inlineStr"/>
      <c r="R132" s="24" t="inlineStr"/>
      <c r="S132" s="24" t="inlineStr">
        <is>
          <t>Only the site wide footer copyright appears; no instrument specific licence statement. Scoring and Interpretation and Psychometric Properties tab content not present in fetched page text; only overview, developer and reference sections were readable.</t>
        </is>
      </c>
      <c r="T132" s="24" t="inlineStr">
        <is>
          <t>https://novopsych.com/assessments/formulation/positive-and-negative-affect-schedule-panas/</t>
        </is>
      </c>
    </row>
    <row r="133">
      <c r="A133" s="24" t="n">
        <v>132</v>
      </c>
      <c r="B133" s="24" t="inlineStr">
        <is>
          <t>Mindfulness Based Self Efficacy Scale Revised</t>
        </is>
      </c>
      <c r="C133" s="24" t="inlineStr">
        <is>
          <t>MSES-R</t>
        </is>
      </c>
      <c r="D133" s="24" t="inlineStr">
        <is>
          <t>Formulation</t>
        </is>
      </c>
      <c r="E133" s="24" t="inlineStr">
        <is>
          <t>Measures self efficacy in overcoming daily stressors using skills gained through mindfulness practice.</t>
        </is>
      </c>
      <c r="F133" s="24" t="n">
        <v>22</v>
      </c>
      <c r="G133" s="24" t="inlineStr">
        <is>
          <t>self report</t>
        </is>
      </c>
      <c r="H133" s="24" t="inlineStr">
        <is>
          <t>16+</t>
        </is>
      </c>
      <c r="I133" s="24" t="n">
        <v>4</v>
      </c>
      <c r="J133" s="24" t="inlineStr"/>
      <c r="K133" s="24" t="inlineStr">
        <is>
          <t>not stated</t>
        </is>
      </c>
      <c r="L133" s="24" t="inlineStr">
        <is>
          <t>not stated</t>
        </is>
      </c>
      <c r="M133" s="24" t="inlineStr">
        <is>
          <t>Cayoun, B., Elphinstone, B., Kasselis, N., Bilsborrow, G., &amp; Skilbeck, C. (2022). Validation and Factor Structure of the Mindfulness-Based Self Efficacy Scale-Revised. Mindfulness, 13(3), 751 to 765. https://doi.org/10.1007/s12671-022-01834-6</t>
        </is>
      </c>
      <c r="N133" s="24" t="inlineStr">
        <is>
          <t>© 2026 Copyright – NovoPsych – All rights reserved</t>
        </is>
      </c>
      <c r="O133" s="24" t="inlineStr">
        <is>
          <t>not stated</t>
        </is>
      </c>
      <c r="P133" s="24" t="inlineStr">
        <is>
          <t>Shortlist: coaching and wellbeing (client facing possible)</t>
        </is>
      </c>
      <c r="Q133" s="24" t="inlineStr"/>
      <c r="R133" s="24" t="inlineStr"/>
      <c r="S133" s="24" t="inlineStr">
        <is>
          <t>Only the site wide footer copyright appears; no instrument specific licence statement. Scoring and Interpretation and Psychometric Properties tab content not present in fetched page text; only overview, developer and reference sections were readable.</t>
        </is>
      </c>
      <c r="T133" s="24" t="inlineStr">
        <is>
          <t>https://novopsych.com/assessments/formulation/mindfulness-based-self-efficacy-scale-mses-r/</t>
        </is>
      </c>
    </row>
    <row r="134">
      <c r="A134" s="24" t="n">
        <v>133</v>
      </c>
      <c r="B134" s="24" t="inlineStr">
        <is>
          <t>Equanimity Scale 16</t>
        </is>
      </c>
      <c r="C134" s="24" t="inlineStr">
        <is>
          <t>ES-16</t>
        </is>
      </c>
      <c r="D134" s="24" t="inlineStr">
        <is>
          <t>Formulation</t>
        </is>
      </c>
      <c r="E134" s="24" t="inlineStr">
        <is>
          <t>Measures the degree to which a person responds to thoughts, feelings and experiences without reactivity.</t>
        </is>
      </c>
      <c r="F134" s="24" t="n">
        <v>16</v>
      </c>
      <c r="G134" s="24" t="inlineStr">
        <is>
          <t>self report</t>
        </is>
      </c>
      <c r="H134" s="24" t="inlineStr">
        <is>
          <t>18+</t>
        </is>
      </c>
      <c r="I134" s="24" t="n">
        <v>3</v>
      </c>
      <c r="J134" s="24" t="inlineStr"/>
      <c r="K134" s="24" t="inlineStr">
        <is>
          <t>not stated</t>
        </is>
      </c>
      <c r="L134" s="24" t="inlineStr">
        <is>
          <t>not stated</t>
        </is>
      </c>
      <c r="M134" s="24" t="inlineStr">
        <is>
          <t>Rogers, H. T., Shires, A. G., &amp; Cayoun, B. A. (2021). Development and Validation of the Equanimity Scale-16. Mindfulness, 12(1), 107 to 120. https://doi.org/10.1007/s12671-020-01503-6</t>
        </is>
      </c>
      <c r="N134" s="24" t="inlineStr">
        <is>
          <t>© 2026 Copyright – NovoPsych – All rights reserved</t>
        </is>
      </c>
      <c r="O134" s="24" t="inlineStr">
        <is>
          <t>not stated</t>
        </is>
      </c>
      <c r="P134" s="24" t="inlineStr">
        <is>
          <t>Shortlist: coaching and wellbeing (client facing possible)</t>
        </is>
      </c>
      <c r="Q134" s="24" t="inlineStr"/>
      <c r="R134" s="24" t="inlineStr"/>
      <c r="S134" s="24" t="inlineStr">
        <is>
          <t>Only the site wide footer copyright appears; no instrument specific licence statement. Scoring and Interpretation and Psychometric Properties tab content not present in fetched page text; only overview, developer and reference sections were readable.</t>
        </is>
      </c>
      <c r="T134" s="24" t="inlineStr">
        <is>
          <t>https://novopsych.com/assessments/formulation/equanimity-scale-es-16/</t>
        </is>
      </c>
    </row>
    <row r="135">
      <c r="A135" s="24" t="n">
        <v>134</v>
      </c>
      <c r="B135" s="24" t="inlineStr">
        <is>
          <t>Tinnitus Handicap Inventory</t>
        </is>
      </c>
      <c r="C135" s="24" t="inlineStr">
        <is>
          <t>THI</t>
        </is>
      </c>
      <c r="D135" s="24" t="inlineStr">
        <is>
          <t>Health</t>
        </is>
      </c>
      <c r="E135" s="24" t="inlineStr">
        <is>
          <t>Measures perceived severity of tinnitus related handicap.</t>
        </is>
      </c>
      <c r="F135" s="24" t="n">
        <v>25</v>
      </c>
      <c r="G135" s="24" t="inlineStr">
        <is>
          <t>self report</t>
        </is>
      </c>
      <c r="H135" s="24" t="inlineStr">
        <is>
          <t>18+</t>
        </is>
      </c>
      <c r="I135" s="24" t="n">
        <v>4</v>
      </c>
      <c r="J135" s="24" t="inlineStr"/>
      <c r="K135" s="24" t="inlineStr">
        <is>
          <t>not stated</t>
        </is>
      </c>
      <c r="L135" s="24" t="inlineStr">
        <is>
          <t>not stated</t>
        </is>
      </c>
      <c r="M135" s="24" t="inlineStr">
        <is>
          <t>Newman, C. W., Jacobson, G. P., &amp; Spitzer, J. B. (1996). Development of the Tinnitus Handicap Inventory. Archives of Otolaryngology, Head &amp; Neck Surgery, 122(2), 143 to 148. https://doi.org/10.1001/archotol.1996.01890140029007</t>
        </is>
      </c>
      <c r="N135" s="24" t="inlineStr">
        <is>
          <t>© 2026 Copyright – NovoPsych – All rights reserved</t>
        </is>
      </c>
      <c r="O135" s="24" t="inlineStr">
        <is>
          <t>not stated</t>
        </is>
      </c>
      <c r="P135" s="24" t="inlineStr">
        <is>
          <t>Consider</t>
        </is>
      </c>
      <c r="Q135" s="24" t="inlineStr"/>
      <c r="R135" s="24" t="inlineStr"/>
      <c r="S135" s="24" t="inlineStr">
        <is>
          <t>Only the site wide footer copyright appears; no instrument specific licence statement. Scoring and Interpretation and Psychometric Properties tab content not present in fetched page text; only overview, developer and reference sections were readable.</t>
        </is>
      </c>
      <c r="T135" s="24" t="inlineStr">
        <is>
          <t>https://novopsych.com/assessments/diagnosis/tinnitus-handicap-inventory-thi/</t>
        </is>
      </c>
    </row>
    <row r="136">
      <c r="A136" s="24" t="n">
        <v>135</v>
      </c>
      <c r="B136" s="24" t="inlineStr">
        <is>
          <t>Multidimensional Assessment of Interoceptive Awareness Youth Version</t>
        </is>
      </c>
      <c r="C136" s="24" t="inlineStr">
        <is>
          <t>MAIA-Y</t>
        </is>
      </c>
      <c r="D136" s="24" t="inlineStr">
        <is>
          <t>Adolescent, Autism, Child</t>
        </is>
      </c>
      <c r="E136" s="24" t="inlineStr">
        <is>
          <t>Measures several dimensions of interoception, meaning awareness of bodily sensations, in children and adolescents.</t>
        </is>
      </c>
      <c r="F136" s="24" t="n">
        <v>32</v>
      </c>
      <c r="G136" s="24" t="inlineStr">
        <is>
          <t>self report (youth)</t>
        </is>
      </c>
      <c r="H136" s="24" t="inlineStr">
        <is>
          <t>7 to 17 years</t>
        </is>
      </c>
      <c r="I136" s="24" t="n">
        <v>5</v>
      </c>
      <c r="J136" s="24" t="inlineStr"/>
      <c r="K136" s="24" t="inlineStr">
        <is>
          <t>not stated</t>
        </is>
      </c>
      <c r="L136" s="24" t="inlineStr">
        <is>
          <t>not stated</t>
        </is>
      </c>
      <c r="M136" s="24" t="inlineStr">
        <is>
          <t>Jones, A., Silas, J., Todd, J., Stewart, A., Acree, M., Coulson, M., &amp; Mehling, W. E. (2021). Exploring the Multidimensional Assessment of Interoceptive Awareness in youth aged 7-17 years. Journal of Clinical Psychology, 77(3), 661 to 682. https://doi.org/10.1002/jclp.23067</t>
        </is>
      </c>
      <c r="N136" s="24" t="inlineStr">
        <is>
          <t>© 2026 Copyright – NovoPsych – All rights reserved</t>
        </is>
      </c>
      <c r="O136" s="24" t="inlineStr">
        <is>
          <t>not stated</t>
        </is>
      </c>
      <c r="P136" s="24" t="inlineStr">
        <is>
          <t>Out of scope for the hub (child, adolescent, sport, eating, clinician or service feedback)</t>
        </is>
      </c>
      <c r="Q136" s="24" t="inlineStr"/>
      <c r="R136" s="24" t="inlineStr"/>
      <c r="S136" s="24" t="inlineStr">
        <is>
          <t>Page states 8 scales but names were not in readable text. Respondent inferred as youth self report. Only the site wide footer copyright appears. Scoring and Interpretation and Psychometric Properties tab content not present in fetched page text; only overview, developer and reference sections were readable.</t>
        </is>
      </c>
      <c r="T136" s="24" t="inlineStr">
        <is>
          <t>https://novopsych.com/assessments/child/multidimensional-assessment-of-interoceptive-awareness-youth-version-maia-y/</t>
        </is>
      </c>
    </row>
    <row r="137">
      <c r="A137" s="24" t="n">
        <v>136</v>
      </c>
      <c r="B137" s="24" t="inlineStr">
        <is>
          <t>Multidimensional Assessment of Interoceptive Awareness Version 2</t>
        </is>
      </c>
      <c r="C137" s="24" t="inlineStr">
        <is>
          <t>MAIA-2</t>
        </is>
      </c>
      <c r="D137" s="24" t="inlineStr">
        <is>
          <t>Autism, Formulation, Well-being</t>
        </is>
      </c>
      <c r="E137" s="24" t="inlineStr">
        <is>
          <t>Measures adults' self reported interoceptive awareness, meaning how they perceive, interpret and respond to internal bodily sensations.</t>
        </is>
      </c>
      <c r="F137" s="24" t="n">
        <v>37</v>
      </c>
      <c r="G137" s="24" t="inlineStr">
        <is>
          <t>self report</t>
        </is>
      </c>
      <c r="H137" s="24" t="inlineStr">
        <is>
          <t>18+</t>
        </is>
      </c>
      <c r="I137" s="24" t="n">
        <v>6</v>
      </c>
      <c r="J137" s="24" t="inlineStr">
        <is>
          <t>Noticing, Not-Distracting, Not-Worrying, Attention Regulation, Emotional Awareness, Self-Regulation, Body Listening, Trusting</t>
        </is>
      </c>
      <c r="K137" s="24" t="inlineStr">
        <is>
          <t>not stated</t>
        </is>
      </c>
      <c r="L137" s="24" t="inlineStr">
        <is>
          <t>No total score; each subscale interpreted separately, with scores below the 25th or above the 75th percentile of a community sample flagged. Higher scores indicate greater interoceptive capacity. Sum or mean not stated.</t>
        </is>
      </c>
      <c r="M137" s="24" t="inlineStr">
        <is>
          <t>Mehling, W. E., Acree, M., Stewart, A., Silas, J., &amp; Jones, A. (2018). The Multidimensional Assessment of Interoceptive Awareness, Version 2 (MAIA-2). PLoS ONE, 13(12), e0208034.</t>
        </is>
      </c>
      <c r="N137" s="24" t="inlineStr">
        <is>
          <t>© 2026 Copyright – NovoPsych – All rights reserved</t>
        </is>
      </c>
      <c r="O137" s="24" t="inlineStr">
        <is>
          <t>not stated</t>
        </is>
      </c>
      <c r="P137" s="24" t="inlineStr">
        <is>
          <t>Shortlist: coaching and wellbeing (client facing possible)</t>
        </is>
      </c>
      <c r="Q137" s="24" t="inlineStr"/>
      <c r="R137" s="24" t="inlineStr"/>
      <c r="S137" s="24" t="inlineStr">
        <is>
          <t>Page names 6 of the 8 subscales; Attention Regulation and Self-Regulation added from the instrument. Full citation completed from the standard source; page gives Mehling et al., 2018 only. No copyright statement found beyond site footer.</t>
        </is>
      </c>
      <c r="T137" s="24" t="inlineStr">
        <is>
          <t>https://novopsych.com/assessments/well-being/multidimensional-assessment-of-interoceptive-awareness-version-2-maia-2/</t>
        </is>
      </c>
    </row>
    <row r="138">
      <c r="A138" s="24" t="n">
        <v>137</v>
      </c>
      <c r="B138" s="24" t="inlineStr">
        <is>
          <t>Ritvo Autism Asperger Diagnostic Scale Revised</t>
        </is>
      </c>
      <c r="C138" s="24" t="inlineStr">
        <is>
          <t>RAADS-R</t>
        </is>
      </c>
      <c r="D138" s="24" t="inlineStr">
        <is>
          <t>Autism, Diagnosis</t>
        </is>
      </c>
      <c r="E138" s="24" t="inlineStr">
        <is>
          <t>A self report screen for autistic traits in adults.</t>
        </is>
      </c>
      <c r="F138" s="24" t="n">
        <v>80</v>
      </c>
      <c r="G138" s="24" t="inlineStr">
        <is>
          <t>self report</t>
        </is>
      </c>
      <c r="H138" s="24" t="inlineStr">
        <is>
          <t>18+</t>
        </is>
      </c>
      <c r="I138" s="24" t="n">
        <v>13</v>
      </c>
      <c r="J138" s="24" t="inlineStr">
        <is>
          <t>Social Relatedness, Circumscribed Interests, Language, Sensory-Motor</t>
        </is>
      </c>
      <c r="K138" s="24" t="inlineStr">
        <is>
          <t>4 point, from never true, through true only when younger than 16 and true only now, to true now and when young</t>
        </is>
      </c>
      <c r="L138" s="24" t="inlineStr">
        <is>
          <t>Total score, higher indicates more autistic traits. Bands: 65 to 105 some autistic traits (original 65 cut off), 106 or above consistent with autism, 140 or above pronounced traits.</t>
        </is>
      </c>
      <c r="M138" s="24" t="inlineStr">
        <is>
          <t>Ritvo, R. A., Ritvo, E. R., Guthrie, D., Ritvo, M. J., Hufnagel, D. H., McMahon, W., et al. (2011). The Ritvo Autism Asperger Diagnostic Scale-Revised (RAADS-R). Journal of Autism and Developmental Disorders, 41(8), 1076 to 1089.</t>
        </is>
      </c>
      <c r="N138" s="24" t="inlineStr">
        <is>
          <t>© 2026 Copyright – NovoPsych – All rights reserved</t>
        </is>
      </c>
      <c r="O138" s="24" t="inlineStr">
        <is>
          <t>not stated</t>
        </is>
      </c>
      <c r="P138" s="24" t="inlineStr">
        <is>
          <t>Shortlist: screening or clinical (Sarah only if used)</t>
        </is>
      </c>
      <c r="Q138" s="24" t="inlineStr"/>
      <c r="R138" s="24" t="inlineStr"/>
      <c r="S138" s="24" t="inlineStr">
        <is>
          <t>Subscale item counts: Social Relatedness 39, Circumscribed Interests 14, Language 7, Sensory-Motor 20. Page cites Ritvo et al. (2011) without full reference; completed from the standard source. No copyright statement found beyond site footer.</t>
        </is>
      </c>
      <c r="T138" s="24" t="inlineStr">
        <is>
          <t>https://novopsych.com/assessments/diagnosis/ritvo-autism-asperger-diagnostic-scale-revised-raads-r/</t>
        </is>
      </c>
    </row>
    <row r="139">
      <c r="A139" s="24" t="n">
        <v>138</v>
      </c>
      <c r="B139" s="24" t="inlineStr">
        <is>
          <t>Borderline Symptom List Short Version</t>
        </is>
      </c>
      <c r="C139" s="24" t="inlineStr">
        <is>
          <t>BSL-23</t>
        </is>
      </c>
      <c r="D139" s="24" t="inlineStr">
        <is>
          <t>Diagnosis, Personality</t>
        </is>
      </c>
      <c r="E139" s="24" t="inlineStr">
        <is>
          <t>Measures self reported severity of borderline personality disorder symptoms in adults over the past week.</t>
        </is>
      </c>
      <c r="F139" s="24" t="n">
        <v>23</v>
      </c>
      <c r="G139" s="24" t="inlineStr">
        <is>
          <t>self report</t>
        </is>
      </c>
      <c r="H139" s="24" t="inlineStr">
        <is>
          <t>18+</t>
        </is>
      </c>
      <c r="I139" s="24" t="n">
        <v>4</v>
      </c>
      <c r="J139" s="24" t="inlineStr"/>
      <c r="K139" s="24" t="inlineStr">
        <is>
          <t>5 point, 0 Not at all to 4 Very strong; plus a separate 0 to 100 wellbeing item not included in the total</t>
        </is>
      </c>
      <c r="L139" s="24" t="inlineStr">
        <is>
          <t>Higher scores indicate greater likelihood of BPD. Sum or mean not stated; Kleindienst et al. (2020) severity classification referenced but thresholds not shown in readable text.</t>
        </is>
      </c>
      <c r="M139" s="24" t="inlineStr">
        <is>
          <t>Bohus, M., Kleindienst, N., Limberger, M. F., Stieglitz, R.-D., Domsalla, M., Chapman, A. L., Steil, R., Philipsen, A., &amp; Wolf, M. (2009). The short version of the Borderline Symptom List (BSL-23): development and initial data on psychometric properties. Psychopathology, 42(1), 32 to 39.</t>
        </is>
      </c>
      <c r="N139" s="24" t="inlineStr">
        <is>
          <t>© 2026 Copyright – NovoPsych – All rights reserved</t>
        </is>
      </c>
      <c r="O139" s="24" t="inlineStr">
        <is>
          <t>not stated</t>
        </is>
      </c>
      <c r="P139" s="24" t="inlineStr">
        <is>
          <t>Shortlist: screening or clinical (Sarah only if used)</t>
        </is>
      </c>
      <c r="Q139" s="24" t="inlineStr"/>
      <c r="R139" s="24" t="inlineStr"/>
      <c r="S139" s="24" t="inlineStr">
        <is>
          <t>23 scored items plus item 24 wellbeing rating. Only the site wide footer copyright appears; no instrument specific licence statement.</t>
        </is>
      </c>
      <c r="T139" s="24" t="inlineStr">
        <is>
          <t>https://novopsych.com/assessments/diagnosis/borderline-symptom-list-bsl-23/</t>
        </is>
      </c>
    </row>
    <row r="140">
      <c r="A140" s="24" t="n">
        <v>139</v>
      </c>
      <c r="B140" s="24" t="inlineStr">
        <is>
          <t>Vanderbilt ADHD Diagnostic Parent Rating Scale</t>
        </is>
      </c>
      <c r="C140" s="24" t="inlineStr">
        <is>
          <t>VADPRS</t>
        </is>
      </c>
      <c r="D140" s="24" t="inlineStr">
        <is>
          <t>ADHD, Child, Diagnosis</t>
        </is>
      </c>
      <c r="E140" s="24" t="inlineStr">
        <is>
          <t>Measures parent reported symptoms of ADHD and common comorbid conditions in children.</t>
        </is>
      </c>
      <c r="F140" s="24" t="n">
        <v>55</v>
      </c>
      <c r="G140" s="24" t="inlineStr">
        <is>
          <t>parent report</t>
        </is>
      </c>
      <c r="H140" s="24" t="inlineStr">
        <is>
          <t>5 to 12 years</t>
        </is>
      </c>
      <c r="I140" s="24" t="n">
        <v>9</v>
      </c>
      <c r="J140" s="24" t="inlineStr"/>
      <c r="K140" s="24" t="inlineStr">
        <is>
          <t>not stated</t>
        </is>
      </c>
      <c r="L140" s="24" t="inlineStr">
        <is>
          <t>not stated</t>
        </is>
      </c>
      <c r="M140" s="24" t="inlineStr">
        <is>
          <t>Wolraich, M. L., Lambert, W., Doffing, M. A., Bickman, L., Simmons, T., &amp; Worley, K. (2003). Psychometric properties of the Vanderbilt ADHD diagnostic parent rating scale in a referred population. Journal of Pediatric Psychology, 28(8), 559 to 567. https://doi.org/10.1093/jpepsy/jsg046</t>
        </is>
      </c>
      <c r="N140" s="24" t="inlineStr">
        <is>
          <t>© 2026 Copyright – NovoPsych – All rights reserved</t>
        </is>
      </c>
      <c r="O140" s="24" t="inlineStr">
        <is>
          <t>not stated</t>
        </is>
      </c>
      <c r="P140" s="24" t="inlineStr">
        <is>
          <t>Out of scope for the hub (child, adolescent, sport, eating, clinician or service feedback)</t>
        </is>
      </c>
      <c r="Q140" s="24" t="inlineStr"/>
      <c r="R140" s="24" t="inlineStr"/>
      <c r="S140" s="24" t="inlineStr">
        <is>
          <t>Only the site wide footer copyright appears; no instrument specific licence statement. Scoring and Interpretation and Psychometric Properties tab content not present in fetched page text; only overview, developer and reference sections were readable.</t>
        </is>
      </c>
      <c r="T140" s="24" t="inlineStr">
        <is>
          <t>https://novopsych.com/assessments/diagnosis/vanderbilt-adhd-diagnostic-parent-rating-scale-vadprs/</t>
        </is>
      </c>
    </row>
    <row r="141">
      <c r="A141" s="24" t="n">
        <v>140</v>
      </c>
      <c r="B141" s="24" t="inlineStr">
        <is>
          <t>Compassion Motivation and Action Scales Self Compassion</t>
        </is>
      </c>
      <c r="C141" s="24" t="inlineStr">
        <is>
          <t>CMAS-Self</t>
        </is>
      </c>
      <c r="D141" s="24" t="inlineStr">
        <is>
          <t>Formulation</t>
        </is>
      </c>
      <c r="E141" s="24" t="inlineStr">
        <is>
          <t>Measures self directed compassionate motivation and action.</t>
        </is>
      </c>
      <c r="F141" s="24" t="n">
        <v>18</v>
      </c>
      <c r="G141" s="24" t="inlineStr">
        <is>
          <t>self report</t>
        </is>
      </c>
      <c r="H141" s="24" t="inlineStr">
        <is>
          <t>18+</t>
        </is>
      </c>
      <c r="I141" s="24" t="n">
        <v>3</v>
      </c>
      <c r="J141" s="24" t="inlineStr"/>
      <c r="K141" s="24" t="inlineStr">
        <is>
          <t>not stated</t>
        </is>
      </c>
      <c r="L141" s="24" t="inlineStr">
        <is>
          <t>not stated</t>
        </is>
      </c>
      <c r="M141" s="24" t="inlineStr">
        <is>
          <t>Steindl, S. R., Tellegen, C. L., Filus, A., Seppälä, E., Doty, J. R., &amp; Kirby, J. N. (2021). The Compassion Motivation and Action Scales: a self-report measure of compassionate and self-compassionate behaviours. Australian Psychologist, 56(2), 93 to 110. https://doi.org/10.1080/00050067.2021.1893110</t>
        </is>
      </c>
      <c r="N141" s="24" t="inlineStr">
        <is>
          <t>© 2026 Copyright – NovoPsych – All rights reserved</t>
        </is>
      </c>
      <c r="O141" s="24" t="inlineStr">
        <is>
          <t>not stated</t>
        </is>
      </c>
      <c r="P141" s="24" t="inlineStr">
        <is>
          <t>Shortlist: coaching and wellbeing (client facing possible)</t>
        </is>
      </c>
      <c r="Q141" s="24" t="inlineStr"/>
      <c r="R141" s="24" t="inlineStr"/>
      <c r="S141" s="24" t="inlineStr">
        <is>
          <t>Page notes Overview, Scoring and Interpretation and Psychometric Properties sit behind Professional Access. Only the site wide footer copyright appears.</t>
        </is>
      </c>
      <c r="T141" s="24" t="inlineStr">
        <is>
          <t>https://novopsych.com/assessments/formulation/compassion-motivation-and-action-scales-self-compassion-cmas-self/</t>
        </is>
      </c>
    </row>
    <row r="142">
      <c r="A142" s="24" t="n">
        <v>141</v>
      </c>
      <c r="B142" s="24" t="inlineStr">
        <is>
          <t>Compassion Motivation and Action Scales Compassion for Others</t>
        </is>
      </c>
      <c r="C142" s="24" t="inlineStr">
        <is>
          <t>CMAS-Other</t>
        </is>
      </c>
      <c r="D142" s="24" t="inlineStr">
        <is>
          <t>Formulation</t>
        </is>
      </c>
      <c r="E142" s="24" t="inlineStr">
        <is>
          <t>Measures compassionate motivation and action directed toward other people; companion to the CMAS-Self.</t>
        </is>
      </c>
      <c r="F142" s="24" t="n"/>
      <c r="G142" s="24" t="inlineStr">
        <is>
          <t>self report</t>
        </is>
      </c>
      <c r="H142" s="24" t="inlineStr">
        <is>
          <t>18+</t>
        </is>
      </c>
      <c r="I142" s="24" t="n">
        <v>2</v>
      </c>
      <c r="J142" s="24" t="inlineStr"/>
      <c r="K142" s="24" t="inlineStr">
        <is>
          <t>not stated</t>
        </is>
      </c>
      <c r="L142" s="24" t="inlineStr">
        <is>
          <t>not stated</t>
        </is>
      </c>
      <c r="M142" s="24" t="inlineStr">
        <is>
          <t>Steindl, S. R., Tellegen, C. L., Filus, A., Seppälä, E., Doty, J. R., &amp; Kirby, J. N. (2021). The Compassion Motivation and Action Scales: a self-report measure of compassionate and self-compassionate behaviours. Australian Psychologist, 56(2), 93 to 110. https://doi.org/10.1080/00050067.2021.1893110</t>
        </is>
      </c>
      <c r="N142" s="24" t="inlineStr">
        <is>
          <t>© 2026 Copyright – NovoPsych – All rights reserved</t>
        </is>
      </c>
      <c r="O142" s="24" t="inlineStr">
        <is>
          <t>not stated</t>
        </is>
      </c>
      <c r="P142" s="24" t="inlineStr">
        <is>
          <t>Shortlist: coaching and wellbeing (client facing possible)</t>
        </is>
      </c>
      <c r="Q142" s="24" t="inlineStr"/>
      <c r="R142" s="24" t="inlineStr"/>
      <c r="S142" s="24" t="inlineStr">
        <is>
          <t>Item count not stated in readable text. Only the site wide footer copyright appears. Scoring and Interpretation and Psychometric Properties tab content not present in fetched page text; only overview, developer and reference sections were readable.</t>
        </is>
      </c>
      <c r="T142" s="24" t="inlineStr">
        <is>
          <t>https://novopsych.com/assessments/formulation/compassion-motivation-and-action-scales-compassion-cmas-other/</t>
        </is>
      </c>
    </row>
    <row r="143">
      <c r="A143" s="24" t="n">
        <v>142</v>
      </c>
      <c r="B143" s="24" t="inlineStr">
        <is>
          <t>Adverse Childhood Experiences Questionnaire</t>
        </is>
      </c>
      <c r="C143" s="24" t="inlineStr">
        <is>
          <t>ACE-Q</t>
        </is>
      </c>
      <c r="D143" s="24" t="inlineStr">
        <is>
          <t>Trauma, Formulation</t>
        </is>
      </c>
      <c r="E143" s="24" t="inlineStr">
        <is>
          <t>Measures retrospective exposure to potentially traumatic experiences before age 18, covering abuse and neglect and household dysfunction.</t>
        </is>
      </c>
      <c r="F143" s="24" t="n">
        <v>10</v>
      </c>
      <c r="G143" s="24" t="inlineStr">
        <is>
          <t>self report</t>
        </is>
      </c>
      <c r="H143" s="24" t="inlineStr">
        <is>
          <t>18+</t>
        </is>
      </c>
      <c r="I143" s="24" t="n">
        <v>2</v>
      </c>
      <c r="J143" s="24" t="inlineStr">
        <is>
          <t>Abuse and neglect, Household dysfunction</t>
        </is>
      </c>
      <c r="K143" s="24" t="inlineStr">
        <is>
          <t>not stated</t>
        </is>
      </c>
      <c r="L143" s="24" t="inlineStr">
        <is>
          <t>not stated</t>
        </is>
      </c>
      <c r="M143" s="24" t="inlineStr">
        <is>
          <t>Felitti, V. J., Anda, R. F., Nordenberg, D., Williamson, D. F., Spitz, A. M., Edwards, V., Koss, M. P., &amp; Marks, J. S. (1998). Relationship of childhood abuse and household dysfunction to many of the leading causes of death in adults. American Journal of Preventive Medicine, 14(4), 245 to 258. https://doi.org/10.1016/s0749-3797(98)00017-8</t>
        </is>
      </c>
      <c r="N143" s="24" t="inlineStr">
        <is>
          <t>© 2026 Copyright – NovoPsych – All rights reserved</t>
        </is>
      </c>
      <c r="O143" s="24" t="inlineStr">
        <is>
          <t>not stated</t>
        </is>
      </c>
      <c r="P143" s="24" t="inlineStr">
        <is>
          <t>Shortlist: coaching and wellbeing (client facing possible)</t>
        </is>
      </c>
      <c r="Q143" s="24" t="inlineStr"/>
      <c r="R143" s="24" t="inlineStr"/>
      <c r="S143" s="24" t="inlineStr">
        <is>
          <t>Subscales listed are the 2 broad categories described on the page rather than formal subscales. Only the site wide footer copyright appears. Scoring and Interpretation and Psychometric Properties tab content not present in fetched page text; only overview, developer and reference sections were readable.</t>
        </is>
      </c>
      <c r="T143" s="24" t="inlineStr">
        <is>
          <t>https://novopsych.com/assessments/trauma/adverse-childhood-experiences-questionnaire-ace-q/</t>
        </is>
      </c>
    </row>
    <row r="144">
      <c r="A144" s="24" t="n">
        <v>143</v>
      </c>
      <c r="B144" s="24" t="inlineStr">
        <is>
          <t>Cognitive Flexibility Inventory</t>
        </is>
      </c>
      <c r="C144" s="24" t="inlineStr">
        <is>
          <t>CFI</t>
        </is>
      </c>
      <c r="D144" s="24" t="inlineStr">
        <is>
          <t>Formulation</t>
        </is>
      </c>
      <c r="E144" s="24" t="inlineStr">
        <is>
          <t>Measures how regularly people apply the thought challenging strategies used in cognitive behavioural therapy.</t>
        </is>
      </c>
      <c r="F144" s="24" t="n">
        <v>20</v>
      </c>
      <c r="G144" s="24" t="inlineStr">
        <is>
          <t>self report</t>
        </is>
      </c>
      <c r="H144" s="24" t="inlineStr">
        <is>
          <t>18+</t>
        </is>
      </c>
      <c r="I144" s="24" t="n">
        <v>3</v>
      </c>
      <c r="J144" s="24" t="inlineStr"/>
      <c r="K144" s="24" t="inlineStr">
        <is>
          <t>not stated</t>
        </is>
      </c>
      <c r="L144" s="24" t="inlineStr">
        <is>
          <t>not stated</t>
        </is>
      </c>
      <c r="M144" s="24" t="inlineStr">
        <is>
          <t>Dennis, J. P., &amp; Vander Wal, J. S. (2010). The cognitive flexibility inventory: Instrument development and estimates of reliability and validity. Cognitive Therapy and Research, 34(3), 241 to 253. https://doi.org/10.1007/s10608-009-9276-4</t>
        </is>
      </c>
      <c r="N144" s="24" t="inlineStr">
        <is>
          <t>© 2026 Copyright – NovoPsych – All rights reserved</t>
        </is>
      </c>
      <c r="O144" s="24" t="inlineStr">
        <is>
          <t>not stated</t>
        </is>
      </c>
      <c r="P144" s="24" t="inlineStr">
        <is>
          <t>Already in codebook</t>
        </is>
      </c>
      <c r="Q144" s="24" t="inlineStr"/>
      <c r="R144" s="24" t="inlineStr"/>
      <c r="S144" s="24" t="inlineStr">
        <is>
          <t>Sample report mentions a scored subscale bar chart but names were not in readable text (the instrument has Alternatives and Control subscales). Only the site wide footer copyright appears. Scoring and Interpretation and Psychometric Properties tab content not present in fetched page text; only overview, developer and reference sections were readable.</t>
        </is>
      </c>
      <c r="T144" s="24" t="inlineStr">
        <is>
          <t>https://novopsych.com/assessments/formulation/cognitive-flexibility-inventory-cfi/</t>
        </is>
      </c>
    </row>
    <row r="145">
      <c r="A145" s="24" t="n">
        <v>144</v>
      </c>
      <c r="B145" s="24" t="inlineStr">
        <is>
          <t>Automatic Thoughts Questionnaire Believability</t>
        </is>
      </c>
      <c r="C145" s="24" t="inlineStr">
        <is>
          <t>ATQ-B</t>
        </is>
      </c>
      <c r="D145" s="24" t="inlineStr">
        <is>
          <t>Depression, Formulation</t>
        </is>
      </c>
      <c r="E145" s="24" t="inlineStr">
        <is>
          <t>Measures the believability of depression related cognitions, meaning how true the client considers those thoughts rather than how often they occur.</t>
        </is>
      </c>
      <c r="F145" s="24" t="n">
        <v>15</v>
      </c>
      <c r="G145" s="24" t="inlineStr">
        <is>
          <t>self report</t>
        </is>
      </c>
      <c r="H145" s="24" t="inlineStr">
        <is>
          <t>18+</t>
        </is>
      </c>
      <c r="I145" s="24" t="n">
        <v>3</v>
      </c>
      <c r="J145" s="24" t="inlineStr"/>
      <c r="K145" s="24" t="inlineStr">
        <is>
          <t>not stated</t>
        </is>
      </c>
      <c r="L145" s="24" t="inlineStr">
        <is>
          <t>not stated</t>
        </is>
      </c>
      <c r="M145" s="24" t="inlineStr">
        <is>
          <t>Netemeyer, R. G., Williamson, D. A., Burton, S., Biswas, D., Jindal, S., Landreth, S., Mills, G., &amp; Primeaux, S. (2002). Psychometric properties of shortened versions of the automatic thoughts questionnaire. Educational and Psychological Measurement, 62(1), 111 to 129. https://doi.org/10.1177/0013164402062001008</t>
        </is>
      </c>
      <c r="N145" s="24" t="inlineStr">
        <is>
          <t>© 2026 Copyright – NovoPsych – All rights reserved</t>
        </is>
      </c>
      <c r="O145" s="24" t="inlineStr">
        <is>
          <t>not stated</t>
        </is>
      </c>
      <c r="P145" s="24" t="inlineStr">
        <is>
          <t>Shortlist: coaching and wellbeing (client facing possible)</t>
        </is>
      </c>
      <c r="Q145" s="24" t="inlineStr"/>
      <c r="R145" s="24" t="inlineStr"/>
      <c r="S145" s="24" t="inlineStr">
        <is>
          <t>Page also refers to the scale as ATQ-B-15. Only the site wide footer copyright appears. Scoring and Interpretation and Psychometric Properties tab content not present in fetched page text; only overview, developer and reference sections were readable.</t>
        </is>
      </c>
      <c r="T145" s="24" t="inlineStr">
        <is>
          <t>https://novopsych.com/assessments/depression/automatic-thoughts-questionnaire-believability-atq-b/</t>
        </is>
      </c>
    </row>
    <row r="146">
      <c r="A146" s="24" t="n">
        <v>145</v>
      </c>
      <c r="B146" s="24" t="inlineStr">
        <is>
          <t>World Health Organisation Disability Assessment Schedule 2.0 Interview</t>
        </is>
      </c>
      <c r="C146" s="24" t="inlineStr">
        <is>
          <t>WHODAS 2.0 Interview</t>
        </is>
      </c>
      <c r="D146" s="24" t="inlineStr">
        <is>
          <t>Disability, Formulation, Health</t>
        </is>
      </c>
      <c r="E146" s="24" t="inlineStr">
        <is>
          <t>A generic instrument for assessing health and disability across functioning domains, usable at population level or in clinical practice.</t>
        </is>
      </c>
      <c r="F146" s="24" t="n"/>
      <c r="G146" s="24" t="inlineStr">
        <is>
          <t>clinician administered interview</t>
        </is>
      </c>
      <c r="H146" s="24" t="inlineStr">
        <is>
          <t>18+</t>
        </is>
      </c>
      <c r="I146" s="24" t="n">
        <v>7</v>
      </c>
      <c r="J146" s="24" t="inlineStr"/>
      <c r="K146" s="24" t="inlineStr">
        <is>
          <t>not stated</t>
        </is>
      </c>
      <c r="L146" s="24" t="inlineStr">
        <is>
          <t>not stated</t>
        </is>
      </c>
      <c r="M146" s="24" t="inlineStr">
        <is>
          <t>Üstün, T. B., Kostanjsek, N., Chatterji, S., &amp; Rehm, J. (Eds.). (2010). Measuring health and disability: Manual for WHO Disability Assessment Schedule (WHODAS 2.0). World Health Organization.</t>
        </is>
      </c>
      <c r="N146" s="24" t="inlineStr">
        <is>
          <t>© 2026 Copyright – NovoPsych – All rights reserved</t>
        </is>
      </c>
      <c r="O146" s="24" t="inlineStr">
        <is>
          <t>not stated</t>
        </is>
      </c>
      <c r="P146" s="24" t="inlineStr">
        <is>
          <t>Out of scope for the hub (not self report)</t>
        </is>
      </c>
      <c r="Q146" s="24" t="inlineStr"/>
      <c r="R146" s="24" t="inlineStr"/>
      <c r="S146" s="24" t="inlineStr">
        <is>
          <t>Item count, domains and scoring not in readable text. Only the site wide footer copyright appears. Scoring and Interpretation and Psychometric Properties tab content not present in fetched page text; only overview, developer and reference sections were readable.</t>
        </is>
      </c>
      <c r="T146" s="24" t="inlineStr">
        <is>
          <t>https://novopsych.com/assessments/health/world-health-organisation-disability-assessment-schedule-2-0-interview-whodas-interview/</t>
        </is>
      </c>
    </row>
    <row r="147">
      <c r="A147" s="24" t="n">
        <v>146</v>
      </c>
      <c r="B147" s="24" t="inlineStr">
        <is>
          <t>World Health Organisation Disability Assessment Schedule 2.0 Proxy</t>
        </is>
      </c>
      <c r="C147" s="24" t="inlineStr">
        <is>
          <t>WHODAS 2.0 Proxy</t>
        </is>
      </c>
      <c r="D147" s="24" t="inlineStr">
        <is>
          <t>Disability, Formulation, Health</t>
        </is>
      </c>
      <c r="E147" s="24" t="inlineStr">
        <is>
          <t>A generic instrument for assessing health and disability completed by a proxy such as a family member or carer.</t>
        </is>
      </c>
      <c r="F147" s="24" t="n"/>
      <c r="G147" s="24" t="inlineStr">
        <is>
          <t>proxy report</t>
        </is>
      </c>
      <c r="H147" s="24" t="inlineStr">
        <is>
          <t>18+</t>
        </is>
      </c>
      <c r="I147" s="24" t="n">
        <v>7</v>
      </c>
      <c r="J147" s="24" t="inlineStr"/>
      <c r="K147" s="24" t="inlineStr">
        <is>
          <t>not stated</t>
        </is>
      </c>
      <c r="L147" s="24" t="inlineStr">
        <is>
          <t>not stated</t>
        </is>
      </c>
      <c r="M147" s="24" t="inlineStr">
        <is>
          <t>Üstün, T. B., Kostanjsek, N., Chatterji, S., &amp; Rehm, J. (Eds.). (2010). Measuring health and disability: Manual for WHO Disability Assessment Schedule (WHODAS 2.0). World Health Organization.</t>
        </is>
      </c>
      <c r="N147" s="24" t="inlineStr">
        <is>
          <t>© 2026 Copyright – NovoPsych – All rights reserved</t>
        </is>
      </c>
      <c r="O147" s="24" t="inlineStr">
        <is>
          <t>not stated</t>
        </is>
      </c>
      <c r="P147" s="24" t="inlineStr">
        <is>
          <t>Out of scope for the hub (not self report)</t>
        </is>
      </c>
      <c r="Q147" s="24" t="inlineStr"/>
      <c r="R147" s="24" t="inlineStr"/>
      <c r="S147" s="24" t="inlineStr">
        <is>
          <t>Item count, domains and scoring not in readable text. Only the site wide footer copyright appears. Scoring and Interpretation and Psychometric Properties tab content not present in fetched page text; only overview, developer and reference sections were readable.</t>
        </is>
      </c>
      <c r="T147" s="24" t="inlineStr">
        <is>
          <t>https://novopsych.com/assessments/health/world-health-organisation-disability-assessment-schedule-2-0-proxy-whodas-proxy/</t>
        </is>
      </c>
    </row>
    <row r="148">
      <c r="A148" s="24" t="n">
        <v>147</v>
      </c>
      <c r="B148" s="24" t="inlineStr">
        <is>
          <t>World Health Organisation Disability Assessment Schedule 2.0 Self Report</t>
        </is>
      </c>
      <c r="C148" s="24" t="inlineStr">
        <is>
          <t>WHODAS 2.0</t>
        </is>
      </c>
      <c r="D148" s="24" t="inlineStr">
        <is>
          <t>Disability, Formulation, Health</t>
        </is>
      </c>
      <c r="E148" s="24" t="inlineStr">
        <is>
          <t>A generic instrument for assessing health and disability across functioning domains, usable at population level or in clinical practice.</t>
        </is>
      </c>
      <c r="F148" s="24" t="n"/>
      <c r="G148" s="24" t="inlineStr">
        <is>
          <t>self report</t>
        </is>
      </c>
      <c r="H148" s="24" t="inlineStr">
        <is>
          <t>18+</t>
        </is>
      </c>
      <c r="I148" s="24" t="n">
        <v>7</v>
      </c>
      <c r="J148" s="24" t="inlineStr"/>
      <c r="K148" s="24" t="inlineStr">
        <is>
          <t>not stated</t>
        </is>
      </c>
      <c r="L148" s="24" t="inlineStr">
        <is>
          <t>not stated</t>
        </is>
      </c>
      <c r="M148" s="24" t="inlineStr">
        <is>
          <t>Üstün, T. B., Kostanjsek, N., Chatterji, S., &amp; Rehm, J. (Eds.). (2010). Measuring health and disability: Manual for WHO Disability Assessment Schedule (WHODAS 2.0). World Health Organization.</t>
        </is>
      </c>
      <c r="N148" s="24" t="inlineStr">
        <is>
          <t>© 2026 Copyright – NovoPsych – All rights reserved</t>
        </is>
      </c>
      <c r="O148" s="24" t="inlineStr">
        <is>
          <t>not stated</t>
        </is>
      </c>
      <c r="P148" s="24" t="inlineStr">
        <is>
          <t>Shortlist: coaching and wellbeing (client facing possible)</t>
        </is>
      </c>
      <c r="Q148" s="24" t="inlineStr"/>
      <c r="R148" s="24" t="inlineStr"/>
      <c r="S148" s="24" t="inlineStr">
        <is>
          <t>Item count, domains and scoring not in readable text. Only the site wide footer copyright appears. Scoring and Interpretation and Psychometric Properties tab content not present in fetched page text; only overview, developer and reference sections were readable.</t>
        </is>
      </c>
      <c r="T148" s="24" t="inlineStr">
        <is>
          <t>https://novopsych.com/assessments/health/the-world-health-organisation-disability-assessment-schedule-whodas-2-0-self-report-version/</t>
        </is>
      </c>
    </row>
    <row r="149">
      <c r="A149" s="24" t="n">
        <v>148</v>
      </c>
      <c r="B149" s="24" t="inlineStr">
        <is>
          <t>Self Compassion Scale Short Form</t>
        </is>
      </c>
      <c r="C149" s="24" t="inlineStr">
        <is>
          <t>SCS-SF</t>
        </is>
      </c>
      <c r="D149" s="24" t="inlineStr">
        <is>
          <t>Formulation, Well-being</t>
        </is>
      </c>
      <c r="E149" s="24" t="inlineStr">
        <is>
          <t>Measures self compassion as a brief alternative to Neff's original 26 item scale.</t>
        </is>
      </c>
      <c r="F149" s="24" t="n">
        <v>12</v>
      </c>
      <c r="G149" s="24" t="inlineStr">
        <is>
          <t>self report</t>
        </is>
      </c>
      <c r="H149" s="24" t="inlineStr">
        <is>
          <t>18+</t>
        </is>
      </c>
      <c r="I149" s="24" t="n">
        <v>2</v>
      </c>
      <c r="J149" s="24" t="inlineStr">
        <is>
          <t>Self Disparagement, Self Care</t>
        </is>
      </c>
      <c r="K149" s="24" t="inlineStr">
        <is>
          <t>not stated</t>
        </is>
      </c>
      <c r="L149" s="24" t="inlineStr">
        <is>
          <t>Total average score and subscale average scores compared against a community sample; direction and cut offs not stated.</t>
        </is>
      </c>
      <c r="M149" s="24" t="inlineStr">
        <is>
          <t>Raes, F., Pommier, E., Neff, K. D., &amp; Van Gucht, D. (2011). Construction and factorial validation of a short form of the Self-Compassion Scale. Clinical Psychology &amp; Psychotherapy, 18(3), 250 to 255. Original scale: Neff (2003).</t>
        </is>
      </c>
      <c r="N149" s="24" t="inlineStr">
        <is>
          <t>© 2026 Copyright – NovoPsych – All rights reserved</t>
        </is>
      </c>
      <c r="O149" s="24" t="inlineStr">
        <is>
          <t>not stated</t>
        </is>
      </c>
      <c r="P149" s="24" t="inlineStr">
        <is>
          <t>Already in codebook</t>
        </is>
      </c>
      <c r="Q149" s="24" t="inlineStr"/>
      <c r="R149" s="24" t="inlineStr"/>
      <c r="S149" s="24" t="inlineStr">
        <is>
          <t>Page cites Raes et al. (2011) without full reference; completed from the standard source. No copyright statement found beyond site footer.</t>
        </is>
      </c>
      <c r="T149" s="24" t="inlineStr">
        <is>
          <t>https://novopsych.com/assessments/well-being/self-compassion-scale-short-form-scs-sf/</t>
        </is>
      </c>
    </row>
    <row r="150">
      <c r="A150" s="24" t="n">
        <v>149</v>
      </c>
      <c r="B150" s="24" t="inlineStr">
        <is>
          <t>Preschool Anxiety Scale</t>
        </is>
      </c>
      <c r="C150" s="24" t="inlineStr">
        <is>
          <t>PAS</t>
        </is>
      </c>
      <c r="D150" s="24" t="inlineStr">
        <is>
          <t>Anxiety, Child, Diagnosis</t>
        </is>
      </c>
      <c r="E150" s="24" t="inlineStr">
        <is>
          <t>Measures anxiety in young children, giving an overall anxiety score and 5 specific anxiety domain scores.</t>
        </is>
      </c>
      <c r="F150" s="24" t="n">
        <v>28</v>
      </c>
      <c r="G150" s="24" t="inlineStr">
        <is>
          <t>parent or guardian report</t>
        </is>
      </c>
      <c r="H150" s="24" t="inlineStr">
        <is>
          <t>2.5 to 6.5 years</t>
        </is>
      </c>
      <c r="I150" s="24" t="n">
        <v>6</v>
      </c>
      <c r="J150" s="24" t="inlineStr">
        <is>
          <t>Generalised anxiety, Social anxiety, Obsessive compulsive disorder, Physical injury fears, Separation anxiety</t>
        </is>
      </c>
      <c r="K150" s="24" t="inlineStr">
        <is>
          <t>not stated</t>
        </is>
      </c>
      <c r="L150" s="24" t="inlineStr">
        <is>
          <t>not stated</t>
        </is>
      </c>
      <c r="M150" s="24" t="inlineStr">
        <is>
          <t>Spence, S. H., Rapee, R., McDonald, C., &amp; Ingram, M. (2001). The structure of anxiety symptoms among preschoolers. Behaviour Research and Therapy, 39(11), 1293 to 1316.</t>
        </is>
      </c>
      <c r="N150" s="24" t="inlineStr">
        <is>
          <t>© 2026 Copyright – NovoPsych – All rights reserved</t>
        </is>
      </c>
      <c r="O150" s="24" t="inlineStr">
        <is>
          <t>not stated</t>
        </is>
      </c>
      <c r="P150" s="24" t="inlineStr">
        <is>
          <t>Out of scope for the hub (child, adolescent, sport, eating, clinician or service feedback)</t>
        </is>
      </c>
      <c r="Q150" s="24" t="inlineStr"/>
      <c r="R150" s="24" t="inlineStr"/>
      <c r="S150" s="24" t="inlineStr">
        <is>
          <t>Page links to a blank PDF form. Only the site wide footer copyright appears. Scoring and Interpretation and Psychometric Properties tab content not present in fetched page text; only overview, developer and reference sections were readable.</t>
        </is>
      </c>
      <c r="T150" s="24" t="inlineStr">
        <is>
          <t>https://novopsych.com/assessments/diagnosis/preschool-anxiety-scale-pas/</t>
        </is>
      </c>
    </row>
    <row r="151">
      <c r="A151" s="24" t="n">
        <v>150</v>
      </c>
      <c r="B151" s="24" t="inlineStr">
        <is>
          <t>Depression Anxiety Stress Scale 10</t>
        </is>
      </c>
      <c r="C151" s="24" t="inlineStr">
        <is>
          <t>DASS-10</t>
        </is>
      </c>
      <c r="D151" s="24" t="inlineStr">
        <is>
          <t>Anxiety, Depression, Outcome monitoring</t>
        </is>
      </c>
      <c r="E151" s="24" t="inlineStr">
        <is>
          <t>Measures overall psychological distress with subscale scores for depression and for anxiety and stress symptoms.</t>
        </is>
      </c>
      <c r="F151" s="24" t="n">
        <v>10</v>
      </c>
      <c r="G151" s="24" t="inlineStr">
        <is>
          <t>self report</t>
        </is>
      </c>
      <c r="H151" s="24" t="inlineStr">
        <is>
          <t>18+</t>
        </is>
      </c>
      <c r="I151" s="24" t="n">
        <v>2</v>
      </c>
      <c r="J151" s="24" t="inlineStr">
        <is>
          <t>Depression, Anxiety/Stress</t>
        </is>
      </c>
      <c r="K151" s="24" t="inlineStr">
        <is>
          <t>not stated</t>
        </is>
      </c>
      <c r="L151" s="24" t="inlineStr">
        <is>
          <t>not stated</t>
        </is>
      </c>
      <c r="M151" s="24" t="inlineStr">
        <is>
          <t>Halford, W. K., &amp; Frost, A. D. J. (2021). Depression Anxiety Stress Scale-10: A Brief Measure for Routine Psychotherapy Outcome and Progress Assessment. Behaviour Change, 1 to 14. https://doi.org/10.1017/bec.2021.12</t>
        </is>
      </c>
      <c r="N151" s="24" t="inlineStr">
        <is>
          <t>© 2026 Copyright – NovoPsych – All rights reserved</t>
        </is>
      </c>
      <c r="O151" s="24" t="inlineStr">
        <is>
          <t>not stated</t>
        </is>
      </c>
      <c r="P151" s="24" t="inlineStr">
        <is>
          <t>Shortlist: coaching and wellbeing (client facing possible)</t>
        </is>
      </c>
      <c r="Q151" s="24" t="inlineStr"/>
      <c r="R151" s="24" t="inlineStr"/>
      <c r="S151" s="24" t="inlineStr">
        <is>
          <t>Short form of the DASS-42. Also references Lovibond &amp; Lovibond (1995) DASS manual, Psychology Foundation. Only the site wide footer copyright appears. Scoring and Interpretation and Psychometric Properties tab content not present in fetched page text; only overview, developer and reference sections were readable.</t>
        </is>
      </c>
      <c r="T151" s="24" t="inlineStr">
        <is>
          <t>https://novopsych.com/assessments/depression/depression-anxiety-stress-scale-dass-10/</t>
        </is>
      </c>
    </row>
  </sheetData>
  <autoFilter ref="A1:T1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style="17" min="1" max="1"/>
    <col width="22" customWidth="1" style="17" min="2" max="2"/>
    <col width="34" customWidth="1" style="17" min="3" max="3"/>
    <col width="12" customWidth="1" style="17" min="4" max="4"/>
    <col width="24" customWidth="1" style="17" min="5" max="5"/>
    <col width="7" customWidth="1" style="17" min="6" max="6"/>
    <col width="44" customWidth="1" style="17" min="7" max="7"/>
    <col width="7" customWidth="1" style="17" min="8" max="8"/>
    <col width="28" customWidth="1" style="17" min="9" max="9"/>
    <col width="30" customWidth="1" style="17" min="10" max="10"/>
    <col width="40" customWidth="1" style="17" min="11" max="11"/>
    <col width="22" customWidth="1" style="17" min="12" max="12"/>
    <col width="44" customWidth="1" style="17" min="13" max="13"/>
    <col width="30" customWidth="1" style="17" min="14" max="14"/>
    <col width="10" customWidth="1" style="17" min="15" max="15"/>
    <col width="30" customWidth="1" style="17" min="16" max="16"/>
    <col width="34" customWidth="1" style="17" min="17" max="17"/>
    <col width="40" customWidth="1" style="17" min="18" max="18"/>
    <col width="18" customWidth="1" style="17" min="19" max="19"/>
    <col width="30" customWidth="1" style="17" min="20" max="20"/>
    <col width="30" customWidth="1" style="17" min="21" max="21"/>
    <col width="26" customWidth="1" style="17" min="22" max="22"/>
    <col width="18" customWidth="1" style="17" min="23" max="23"/>
    <col width="14" customWidth="1" style="17" min="24" max="24"/>
  </cols>
  <sheetData>
    <row r="1">
      <c r="A1" s="23" t="inlineStr">
        <is>
          <t>#</t>
        </is>
      </c>
      <c r="B1" s="23" t="inlineStr">
        <is>
          <t>Search domain</t>
        </is>
      </c>
      <c r="C1" s="23" t="inlineStr">
        <is>
          <t>Instrument</t>
        </is>
      </c>
      <c r="D1" s="23" t="inlineStr">
        <is>
          <t>Code</t>
        </is>
      </c>
      <c r="E1" s="23" t="inlineStr">
        <is>
          <t>Developer</t>
        </is>
      </c>
      <c r="F1" s="23" t="inlineStr">
        <is>
          <t>Year</t>
        </is>
      </c>
      <c r="G1" s="23" t="inlineStr">
        <is>
          <t>What it measures</t>
        </is>
      </c>
      <c r="H1" s="23" t="inlineStr">
        <is>
          <t>Items</t>
        </is>
      </c>
      <c r="I1" s="23" t="inlineStr">
        <is>
          <t>Response scale</t>
        </is>
      </c>
      <c r="J1" s="23" t="inlineStr">
        <is>
          <t>Subscales</t>
        </is>
      </c>
      <c r="K1" s="23" t="inlineStr">
        <is>
          <t>Scoring</t>
        </is>
      </c>
      <c r="L1" s="23" t="inlineStr">
        <is>
          <t>Availability</t>
        </is>
      </c>
      <c r="M1" s="23" t="inlineStr">
        <is>
          <t>Licence statement (as found)</t>
        </is>
      </c>
      <c r="N1" s="23" t="inlineStr">
        <is>
          <t>Licence URL</t>
        </is>
      </c>
      <c r="O1" s="23" t="inlineStr">
        <is>
          <t>Open access items</t>
        </is>
      </c>
      <c r="P1" s="23" t="inlineStr">
        <is>
          <t>Items URL</t>
        </is>
      </c>
      <c r="Q1" s="23" t="inlineStr">
        <is>
          <t>NZ use or norms</t>
        </is>
      </c>
      <c r="R1" s="23" t="inlineStr">
        <is>
          <t>Practice note</t>
        </is>
      </c>
      <c r="S1" s="23" t="inlineStr">
        <is>
          <t>Repository</t>
        </is>
      </c>
      <c r="T1" s="23" t="inlineStr">
        <is>
          <t>Source URL</t>
        </is>
      </c>
      <c r="U1" s="23" t="inlineStr">
        <is>
          <t>Hub suggestion</t>
        </is>
      </c>
      <c r="V1" s="23" t="inlineStr">
        <is>
          <t>Digital use caution</t>
        </is>
      </c>
      <c r="W1" s="23" t="inlineStr">
        <is>
          <t>Licence confirmed (to fill in)</t>
        </is>
      </c>
      <c r="X1" s="23" t="inlineStr">
        <is>
          <t>Decision (add / skip)</t>
        </is>
      </c>
    </row>
    <row r="2">
      <c r="A2" s="24" t="n">
        <v>1</v>
      </c>
      <c r="B2" s="24" t="inlineStr">
        <is>
          <t>Executive functioning, attention and time</t>
        </is>
      </c>
      <c r="C2" s="24" t="inlineStr">
        <is>
          <t>Adult Executive Functioning Inventory</t>
        </is>
      </c>
      <c r="D2" s="24" t="inlineStr">
        <is>
          <t>ADEXI</t>
        </is>
      </c>
      <c r="E2" s="24" t="inlineStr">
        <is>
          <t>Holst and Thorell (Karolinska Institutet)</t>
        </is>
      </c>
      <c r="F2" s="24" t="n">
        <v>2018</v>
      </c>
      <c r="G2" s="24" t="inlineStr">
        <is>
          <t>Everyday executive functioning deficits in adults, specifically working memory and inhibition, designed as the adult counterpart of the CHEXI.</t>
        </is>
      </c>
      <c r="H2" s="24" t="n">
        <v>14</v>
      </c>
      <c r="I2" s="24" t="inlineStr">
        <is>
          <t>5 point scale from definitely not true to definitely true.</t>
        </is>
      </c>
      <c r="J2" s="24" t="inlineStr">
        <is>
          <t>Working Memory (9 items), Inhibition (5 items)</t>
        </is>
      </c>
      <c r="K2" s="24" t="inlineStr">
        <is>
          <t>Sum or mean items within each subscale and overall. Higher scores indicate greater executive difficulties. No published cut offs; the authors note normative data are not yet available.</t>
        </is>
      </c>
      <c r="L2" s="24" t="inlineStr">
        <is>
          <t>free with attribution (CC or stated)</t>
        </is>
      </c>
      <c r="M2" s="24" t="inlineStr">
        <is>
          <t>"The instruments are freely available for both researchers and clinicians." Translations downloadable from the author site. No formal licence text is given.</t>
        </is>
      </c>
      <c r="N2" s="24" t="inlineStr">
        <is>
          <t>https://chexi.se/</t>
        </is>
      </c>
      <c r="O2" s="24" t="inlineStr">
        <is>
          <t>Yes</t>
        </is>
      </c>
      <c r="P2" s="24" t="inlineStr">
        <is>
          <t>https://chexi.se/translations</t>
        </is>
      </c>
      <c r="Q2" s="24" t="inlineStr"/>
      <c r="R2" s="24" t="inlineStr">
        <is>
          <t>Short, plain language and directly relevant to working memory and inhibition goals; well suited to intake and progress review.</t>
        </is>
      </c>
      <c r="S2" s="24" t="inlineStr"/>
      <c r="T2" s="24" t="inlineStr">
        <is>
          <t>https://chexi.se/</t>
        </is>
      </c>
      <c r="U2" s="24" t="inlineStr">
        <is>
          <t>Candidate, client facing possible</t>
        </is>
      </c>
      <c r="V2" s="24" t="inlineStr"/>
      <c r="W2" s="24" t="inlineStr"/>
      <c r="X2" s="24" t="inlineStr"/>
    </row>
    <row r="3">
      <c r="A3" s="24" t="n">
        <v>2</v>
      </c>
      <c r="B3" s="24" t="inlineStr">
        <is>
          <t>Executive functioning, attention and time</t>
        </is>
      </c>
      <c r="C3" s="24" t="inlineStr">
        <is>
          <t>Cognitive Failures Questionnaire</t>
        </is>
      </c>
      <c r="D3" s="24" t="inlineStr">
        <is>
          <t>CFQ</t>
        </is>
      </c>
      <c r="E3" s="24" t="inlineStr">
        <is>
          <t>Broadbent, Cooper, FitzGerald and Parkes</t>
        </is>
      </c>
      <c r="F3" s="24" t="n">
        <v>1982</v>
      </c>
      <c r="G3" s="24" t="inlineStr">
        <is>
          <t>Frequency of everyday slips and lapses in perception, memory and motor function over the past 6 months.</t>
        </is>
      </c>
      <c r="H3" s="24" t="n">
        <v>25</v>
      </c>
      <c r="I3" s="24" t="inlineStr">
        <is>
          <t>5 point frequency scale from 0 never to 4 very often.</t>
        </is>
      </c>
      <c r="J3" s="24" t="inlineStr">
        <is>
          <t>Forgetfulness, Distractibility, False triggering</t>
        </is>
      </c>
      <c r="K3" s="24" t="inlineStr">
        <is>
          <t>Sum all items for a total of 0 to 100; higher scores indicate more cognitive failures. Subscale scores can also be summed. No formal clinical cut offs; general population means around 30 to 45 are commonly reported.</t>
        </is>
      </c>
      <c r="L3" s="24" t="inlineStr">
        <is>
          <t>free with attribution (CC or stated)</t>
        </is>
      </c>
      <c r="M3" s="24" t="inlineStr">
        <is>
          <t>Salford PsyTech questionnaire battery lists the CFQ with restrictions stated as "No restrictions." The 1982 article (British Journal of Clinical Psychology) carries publisher copyright; no author permission statement was located.</t>
        </is>
      </c>
      <c r="N3" s="24" t="inlineStr">
        <is>
          <t>https://hub.salford.ac.uk/psytech/equipment-resources/questionnaire-battery/the-cognitive-failures-questionnaire/</t>
        </is>
      </c>
      <c r="O3" s="24" t="inlineStr">
        <is>
          <t>Yes</t>
        </is>
      </c>
      <c r="P3" s="24" t="inlineStr">
        <is>
          <t>https://fcon_1000.projects.nitrc.org/indi/enhanced/assessments/cfq.html</t>
        </is>
      </c>
      <c r="Q3" s="24" t="inlineStr"/>
      <c r="R3" s="24" t="inlineStr">
        <is>
          <t>Useful for naming the concrete everyday lapses clients want to reduce; items map easily onto environmental and routine based strategies.</t>
        </is>
      </c>
      <c r="S3" s="24" t="inlineStr"/>
      <c r="T3" s="24" t="inlineStr">
        <is>
          <t>https://hub.salford.ac.uk/psytech/equipment-resources/questionnaire-battery/the-cognitive-failures-questionnaire/</t>
        </is>
      </c>
      <c r="U3" s="24" t="inlineStr">
        <is>
          <t>Candidate, client facing possible</t>
        </is>
      </c>
      <c r="V3" s="24" t="inlineStr"/>
      <c r="W3" s="24" t="inlineStr"/>
      <c r="X3" s="24" t="inlineStr"/>
    </row>
    <row r="4">
      <c r="A4" s="24" t="n">
        <v>3</v>
      </c>
      <c r="B4" s="24" t="inlineStr">
        <is>
          <t>Executive functioning, attention and time</t>
        </is>
      </c>
      <c r="C4" s="24" t="inlineStr">
        <is>
          <t>Attentional Control Scale</t>
        </is>
      </c>
      <c r="D4" s="24" t="inlineStr">
        <is>
          <t>ACS</t>
        </is>
      </c>
      <c r="E4" s="24" t="inlineStr">
        <is>
          <t>Derryberry and Reed</t>
        </is>
      </c>
      <c r="F4" s="24" t="n">
        <v>2002</v>
      </c>
      <c r="G4" s="24" t="inlineStr">
        <is>
          <t>Self reported capacity to focus attention and to shift attention flexibly between tasks.</t>
        </is>
      </c>
      <c r="H4" s="24" t="n">
        <v>20</v>
      </c>
      <c r="I4" s="24" t="inlineStr">
        <is>
          <t>4 point scale from 1 almost never to 4 always.</t>
        </is>
      </c>
      <c r="J4" s="24" t="inlineStr">
        <is>
          <t>Attention Focusing (items 1 to 9), Attention Shifting (items 10 to 20)</t>
        </is>
      </c>
      <c r="K4" s="24" t="inlineStr">
        <is>
          <t>Reverse score the negatively worded items, then sum for subscale and total scores (20 to 80). Higher scores indicate better attentional control. Short 12 item form (7 focusing, 5 shifting) proposed by later factor analyses. No cut offs.</t>
        </is>
      </c>
      <c r="L4" s="24" t="inlineStr">
        <is>
          <t>not stated</t>
        </is>
      </c>
      <c r="M4" s="24" t="inlineStr">
        <is>
          <t>Wisconsin ARC: "We do not have copyright authority over these measures and cannot grant permission for use. Please contact the author of the questionnaire for use permissions." Scoring code is CC BY-SA 4.0.</t>
        </is>
      </c>
      <c r="N4" s="24" t="inlineStr">
        <is>
          <t>https://arc.psych.wisc.edu/self-report/attention-control-scale-attc/</t>
        </is>
      </c>
      <c r="O4" s="24" t="inlineStr">
        <is>
          <t>No</t>
        </is>
      </c>
      <c r="P4" s="24" t="inlineStr">
        <is>
          <t>https://arc.psych.wisc.edu/self-report/attention-control-scale-attc/</t>
        </is>
      </c>
      <c r="Q4" s="24" t="inlineStr"/>
      <c r="R4" s="24" t="inlineStr">
        <is>
          <t>Strength framed (higher is better), so it reads well as a progress measure for focus and task switching work.</t>
        </is>
      </c>
      <c r="S4" s="24" t="inlineStr"/>
      <c r="T4" s="24" t="inlineStr">
        <is>
          <t>https://www.psych.utah.edu/_resources/documents/people/williams/williams-et-al_pa-17.pdf</t>
        </is>
      </c>
      <c r="U4" s="24" t="inlineStr">
        <is>
          <t>Candidate, licence to confirm</t>
        </is>
      </c>
      <c r="V4" s="24" t="inlineStr"/>
      <c r="W4" s="24" t="inlineStr"/>
      <c r="X4" s="24" t="inlineStr"/>
    </row>
    <row r="5">
      <c r="A5" s="24" t="n">
        <v>4</v>
      </c>
      <c r="B5" s="24" t="inlineStr">
        <is>
          <t>Executive functioning, attention and time</t>
        </is>
      </c>
      <c r="C5" s="24" t="inlineStr">
        <is>
          <t>Mind Wandering Questionnaire</t>
        </is>
      </c>
      <c r="D5" s="24" t="inlineStr">
        <is>
          <t>MWQ</t>
        </is>
      </c>
      <c r="E5" s="24" t="inlineStr">
        <is>
          <t>Mrazek, Phillips, Franklin, Broadway and Schooler</t>
        </is>
      </c>
      <c r="F5" s="24" t="n">
        <v>2013</v>
      </c>
      <c r="G5" s="24" t="inlineStr">
        <is>
          <t>Trait level frequency of mind wandering during everyday tasks such as reading, listening and repetitive work.</t>
        </is>
      </c>
      <c r="H5" s="24" t="n">
        <v>5</v>
      </c>
      <c r="I5" s="24" t="inlineStr">
        <is>
          <t>6 point frequency scale from almost never to almost always.</t>
        </is>
      </c>
      <c r="J5" s="24" t="inlineStr"/>
      <c r="K5" s="24" t="inlineStr">
        <is>
          <t>Unidimensional; sum (5 to 30) or average the items. Higher scores indicate more frequent mind wandering. No cut offs. Alpha 0.85 in the college sample.</t>
        </is>
      </c>
      <c r="L5" s="24" t="inlineStr">
        <is>
          <t>free with attribution (CC or stated)</t>
        </is>
      </c>
      <c r="M5" s="24" t="inlineStr">
        <is>
          <t>Published in Frontiers in Psychology: "distributed under the terms of the Creative Commons Attribution License (CC BY)".</t>
        </is>
      </c>
      <c r="N5" s="24" t="inlineStr">
        <is>
          <t>https://www.frontiersin.org/journals/psychology/articles/10.3389/fpsyg.2013.00560/full</t>
        </is>
      </c>
      <c r="O5" s="24" t="inlineStr">
        <is>
          <t>Yes</t>
        </is>
      </c>
      <c r="P5" s="24" t="inlineStr">
        <is>
          <t>https://www.frontiersin.org/journals/psychology/articles/10.3389/fpsyg.2013.00560/full</t>
        </is>
      </c>
      <c r="Q5" s="24" t="inlineStr"/>
      <c r="R5" s="24" t="inlineStr">
        <is>
          <t>Very brief and non clinical; a quick anchor for attention regulation goals and for tracking change across sessions.</t>
        </is>
      </c>
      <c r="S5" s="24" t="inlineStr"/>
      <c r="T5" s="24" t="inlineStr">
        <is>
          <t>https://www.frontiersin.org/journals/psychology/articles/10.3389/fpsyg.2013.00560/full</t>
        </is>
      </c>
      <c r="U5" s="24" t="inlineStr">
        <is>
          <t>Candidate, client facing possible</t>
        </is>
      </c>
      <c r="V5" s="24" t="inlineStr"/>
      <c r="W5" s="24" t="inlineStr"/>
      <c r="X5" s="24" t="inlineStr"/>
    </row>
    <row r="6">
      <c r="A6" s="24" t="n">
        <v>5</v>
      </c>
      <c r="B6" s="24" t="inlineStr">
        <is>
          <t>Executive functioning, attention and time</t>
        </is>
      </c>
      <c r="C6" s="24" t="inlineStr">
        <is>
          <t>Mind Excessively Wandering Scale</t>
        </is>
      </c>
      <c r="D6" s="24" t="inlineStr">
        <is>
          <t>MEWS</t>
        </is>
      </c>
      <c r="E6" s="24" t="inlineStr">
        <is>
          <t>Mowlem, Skirrow, Reid, Maltezos, Nijjar, Merwood, Barker, Cooper, Kuntsi and Asherson (King's College London)</t>
        </is>
      </c>
      <c r="F6" s="24" t="n">
        <v>2016</v>
      </c>
      <c r="G6" s="24" t="inlineStr">
        <is>
          <t>Excessive, uncontrolled and ceaseless mental activity characteristic of adult ADHD.</t>
        </is>
      </c>
      <c r="H6" s="24" t="n">
        <v>15</v>
      </c>
      <c r="I6" s="24" t="inlineStr">
        <is>
          <t>4 point scale from 0 not at all or rarely to 3 nearly all of the time or constantly.</t>
        </is>
      </c>
      <c r="J6" s="24" t="inlineStr"/>
      <c r="K6" s="24" t="inlineStr">
        <is>
          <t>Sum items (0 to 45 for 15 items); higher scores indicate more excessive mind wandering. Cut off of 15 or above gave sensitivity and specificity around 0.88 to 0.90 for ADHD. Authors recommend a 12 item version dropping items 6, 10 and 14.</t>
        </is>
      </c>
      <c r="L6" s="24" t="inlineStr">
        <is>
          <t>free with attribution (CC or stated)</t>
        </is>
      </c>
      <c r="M6" s="24" t="inlineStr">
        <is>
          <t>Article states the scale "is copyrighted and available without charge from the corresponding author" (Philip Asherson) and the authors welcome its use. Validation paper (Scientific Reports 2019) is CC BY 4.0.</t>
        </is>
      </c>
      <c r="N6" s="24" t="inlineStr">
        <is>
          <t>https://discovery-pp.ucl.ac.uk/id/eprint/1513566/1/Journal%20of%20Attention%20Disorders-2016-Mowlem-1087054716651927.pdf</t>
        </is>
      </c>
      <c r="O6" s="24" t="inlineStr">
        <is>
          <t>Yes</t>
        </is>
      </c>
      <c r="P6" s="24" t="inlineStr">
        <is>
          <t>https://discovery-pp.ucl.ac.uk/id/eprint/1513566/1/Journal%20of%20Attention%20Disorders-2016-Mowlem-1087054716651927.pdf</t>
        </is>
      </c>
      <c r="Q6" s="24" t="inlineStr"/>
      <c r="R6" s="24" t="inlineStr">
        <is>
          <t>Captures the racing, unfocused thinking many ADHD clients describe; strong fit for ADHD coaching intake and outcome tracking.</t>
        </is>
      </c>
      <c r="S6" s="24" t="inlineStr"/>
      <c r="T6" s="24" t="inlineStr">
        <is>
          <t>https://discovery.ucl.ac.uk/id/eprint/10070531/</t>
        </is>
      </c>
      <c r="U6" s="24" t="inlineStr">
        <is>
          <t>Candidate, client facing possible</t>
        </is>
      </c>
      <c r="V6" s="24" t="inlineStr"/>
      <c r="W6" s="24" t="inlineStr"/>
      <c r="X6" s="24" t="inlineStr"/>
    </row>
    <row r="7">
      <c r="A7" s="24" t="n">
        <v>6</v>
      </c>
      <c r="B7" s="24" t="inlineStr">
        <is>
          <t>Executive functioning, attention and time</t>
        </is>
      </c>
      <c r="C7" s="24" t="inlineStr">
        <is>
          <t>Webexec</t>
        </is>
      </c>
      <c r="D7" s="24" t="inlineStr">
        <is>
          <t>WEBEXEC</t>
        </is>
      </c>
      <c r="E7" s="24" t="inlineStr">
        <is>
          <t>Buchanan, Heffernan, Parrott, Ling, Rodgers and Scholey</t>
        </is>
      </c>
      <c r="F7" s="24" t="n">
        <v>2010</v>
      </c>
      <c r="G7" s="24" t="inlineStr">
        <is>
          <t>Brief self report of everyday problems with executive function (attention, concentration, multitasking, train of thought, follow through, impulsivity) designed for online administration.</t>
        </is>
      </c>
      <c r="H7" s="24" t="n">
        <v>6</v>
      </c>
      <c r="I7" s="24" t="inlineStr">
        <is>
          <t>4 point scale from 1 no problems experienced to 4 a great many problems experienced.</t>
        </is>
      </c>
      <c r="J7" s="24" t="inlineStr"/>
      <c r="K7" s="24" t="inlineStr">
        <is>
          <t>Sum items for a total of 6 to 24; higher scores indicate more executive problems. Original sample mean 11.25. No cut offs.</t>
        </is>
      </c>
      <c r="L7" s="24" t="inlineStr">
        <is>
          <t>free with attribution (CC or stated)</t>
        </is>
      </c>
      <c r="M7" s="24" t="inlineStr">
        <is>
          <t>PsyToolkit: "It seems that the webexec can be used for research, but you need to acknowledge the authors and their research paper when writing about it." No formal licence text from the authors was located.</t>
        </is>
      </c>
      <c r="N7" s="24" t="inlineStr">
        <is>
          <t>https://psytoolkit.org/survey-library/webexec.html</t>
        </is>
      </c>
      <c r="O7" s="24" t="inlineStr">
        <is>
          <t>Yes</t>
        </is>
      </c>
      <c r="P7" s="24" t="inlineStr">
        <is>
          <t>https://psytoolkit.org/survey-library/webexec.html</t>
        </is>
      </c>
      <c r="Q7" s="24" t="inlineStr"/>
      <c r="R7" s="24" t="inlineStr">
        <is>
          <t>A 1 minute pulse check for executive strain; useful for frequent repeated measurement but too coarse for profiling.</t>
        </is>
      </c>
      <c r="S7" s="24" t="inlineStr"/>
      <c r="T7" s="24" t="inlineStr">
        <is>
          <t>https://psytoolkit.org/survey-library/webexec.html</t>
        </is>
      </c>
      <c r="U7" s="24" t="inlineStr">
        <is>
          <t>Candidate, client facing possible</t>
        </is>
      </c>
      <c r="V7" s="24" t="inlineStr"/>
      <c r="W7" s="24" t="inlineStr"/>
      <c r="X7" s="24" t="inlineStr"/>
    </row>
    <row r="8">
      <c r="A8" s="24" t="n">
        <v>7</v>
      </c>
      <c r="B8" s="24" t="inlineStr">
        <is>
          <t>Executive functioning, attention and time</t>
        </is>
      </c>
      <c r="C8" s="24" t="inlineStr">
        <is>
          <t>Self-Regulation Questionnaire</t>
        </is>
      </c>
      <c r="D8" s="24" t="inlineStr">
        <is>
          <t>SRQ</t>
        </is>
      </c>
      <c r="E8" s="24" t="inlineStr">
        <is>
          <t>Brown, Miller and Lawendowski (University of New Mexico CASAA)</t>
        </is>
      </c>
      <c r="F8" s="24" t="n">
        <v>1999</v>
      </c>
      <c r="G8" s="24" t="inlineStr">
        <is>
          <t>Generalised capacity for self regulation across the 7 stages of Miller and Brown's model, from receiving information to assessing plan effectiveness.</t>
        </is>
      </c>
      <c r="H8" s="24" t="n">
        <v>63</v>
      </c>
      <c r="I8" s="24" t="inlineStr">
        <is>
          <t>5 point agreement scale from 1 strongly disagree to 5 strongly agree.</t>
        </is>
      </c>
      <c r="J8" s="24" t="inlineStr">
        <is>
          <t>Receiving, Evaluating, Triggering, Searching, Planning, Implementing, Assessing</t>
        </is>
      </c>
      <c r="K8" s="24" t="inlineStr">
        <is>
          <t>Reverse score marked items and sum (63 to 315). Tentative bands: above 239 high or intact, 214 to 238 intermediate, below 213 low or impaired. Authors advise against clinical decisions or separate subscale interpretation.</t>
        </is>
      </c>
      <c r="L8" s="24" t="inlineStr">
        <is>
          <t>public domain</t>
        </is>
      </c>
      <c r="M8" s="24" t="inlineStr">
        <is>
          <t>"The SRQ is in the public domain and may be freely used, adapted, and reproduced without special permission. Proper acknowledgment of the source is appreciated."</t>
        </is>
      </c>
      <c r="N8" s="24" t="inlineStr">
        <is>
          <t>https://casaa.unm.edu/assets/inst/selfregulation-questionnaire-srq.pdf</t>
        </is>
      </c>
      <c r="O8" s="24" t="inlineStr">
        <is>
          <t>Yes</t>
        </is>
      </c>
      <c r="P8" s="24" t="inlineStr">
        <is>
          <t>https://casaa.unm.edu/assets/inst/selfregulation-questionnaire-srq.pdf</t>
        </is>
      </c>
      <c r="Q8" s="24" t="inlineStr"/>
      <c r="R8" s="24" t="inlineStr">
        <is>
          <t>Long, but the stage based subscales map neatly onto a goal pursuit coaching model; a 31 item short form (SSRQ, Carey et al 2004) exists.</t>
        </is>
      </c>
      <c r="S8" s="24" t="inlineStr"/>
      <c r="T8" s="24" t="inlineStr">
        <is>
          <t>https://casaa.unm.edu/assets/inst/selfregulation-questionnaire-srq.pdf</t>
        </is>
      </c>
      <c r="U8" s="24" t="inlineStr">
        <is>
          <t>Candidate, client facing possible</t>
        </is>
      </c>
      <c r="V8" s="24" t="inlineStr"/>
      <c r="W8" s="24" t="inlineStr"/>
      <c r="X8" s="24" t="inlineStr"/>
    </row>
    <row r="9">
      <c r="A9" s="24" t="n">
        <v>8</v>
      </c>
      <c r="B9" s="24" t="inlineStr">
        <is>
          <t>Executive functioning, attention and time; Wellbeing, stress, self talk and personality; Open repositories</t>
        </is>
      </c>
      <c r="C9" s="24" t="inlineStr">
        <is>
          <t>Brief Self-Control Scale</t>
        </is>
      </c>
      <c r="D9" s="24" t="inlineStr">
        <is>
          <t>BSCS</t>
        </is>
      </c>
      <c r="E9" s="24" t="inlineStr">
        <is>
          <t>Tangney, Baumeister and Boone</t>
        </is>
      </c>
      <c r="F9" s="24" t="n">
        <v>2004</v>
      </c>
      <c r="G9" s="24" t="inlineStr">
        <is>
          <t>Dispositional self control, the capacity to override impulses, resist temptation and maintain discipline.</t>
        </is>
      </c>
      <c r="H9" s="24" t="n">
        <v>13</v>
      </c>
      <c r="I9" s="24" t="inlineStr">
        <is>
          <t>5 point scale from 1 not at all like me to 5 very much like me.</t>
        </is>
      </c>
      <c r="J9" s="24" t="inlineStr"/>
      <c r="K9" s="24" t="inlineStr">
        <is>
          <t>Reverse score items 2, 3, 4, 5, 7, 9, 10, 12 and 13, then sum (13 to 65); higher scores indicate greater self control. Student norm mean about 39.5. No clinical cut offs.</t>
        </is>
      </c>
      <c r="L9" s="24" t="inlineStr">
        <is>
          <t>not stated</t>
        </is>
      </c>
      <c r="M9" s="24" t="inlineStr">
        <is>
          <t>No permission or licence statement located on author or distributing pages; the scale is reproduced freely in many open access sources and is widely treated as free for research and clinical use.</t>
        </is>
      </c>
      <c r="N9" s="24" t="inlineStr">
        <is>
          <t>https://psychologie.uni-konstanz.de/en/working-group-renner/research/questionnaires-and-scales/personality-psychology-scales/brief-self-control-scale</t>
        </is>
      </c>
      <c r="O9" s="24" t="inlineStr">
        <is>
          <t>Yes</t>
        </is>
      </c>
      <c r="P9" s="24" t="inlineStr">
        <is>
          <t>https://www.goodmedicine.org.uk/files/assessment,%20self-control,%20brief.pdf</t>
        </is>
      </c>
      <c r="Q9" s="24" t="inlineStr"/>
      <c r="R9" s="24" t="inlineStr">
        <is>
          <t>Quick, well normed trait measure of self control that pairs well with habit and impulsivity work.</t>
        </is>
      </c>
      <c r="S9" s="24" t="inlineStr"/>
      <c r="T9" s="24" t="inlineStr">
        <is>
          <t>https://www.goodmedicine.org.uk/files/assessment,%20self-control,%20brief.pdf</t>
        </is>
      </c>
      <c r="U9" s="24" t="inlineStr">
        <is>
          <t>Candidate, licence to confirm</t>
        </is>
      </c>
      <c r="V9" s="24" t="inlineStr"/>
      <c r="W9" s="24" t="inlineStr"/>
      <c r="X9" s="24" t="inlineStr"/>
    </row>
    <row r="10">
      <c r="A10" s="24" t="n">
        <v>9</v>
      </c>
      <c r="B10" s="24" t="inlineStr">
        <is>
          <t>Executive functioning, attention and time</t>
        </is>
      </c>
      <c r="C10" s="24" t="inlineStr">
        <is>
          <t>Tuckman Procrastination Scale</t>
        </is>
      </c>
      <c r="D10" s="24" t="inlineStr">
        <is>
          <t>TPS</t>
        </is>
      </c>
      <c r="E10" s="24" t="inlineStr">
        <is>
          <t>Tuckman</t>
        </is>
      </c>
      <c r="F10" s="24" t="n">
        <v>1991</v>
      </c>
      <c r="G10" s="24" t="inlineStr">
        <is>
          <t>Tendency to waste time, delay and intentionally put off tasks that should be done.</t>
        </is>
      </c>
      <c r="H10" s="24" t="n">
        <v>16</v>
      </c>
      <c r="I10" s="24" t="inlineStr">
        <is>
          <t>Original 4 point agreement scale (that's me for sure to that's not me for sure); 5 point versions are also used.</t>
        </is>
      </c>
      <c r="J10" s="24" t="inlineStr"/>
      <c r="K10" s="24" t="inlineStr">
        <is>
          <t>Reverse score the positively worded items and sum; higher scores indicate more procrastination. Unidimensional in the 16 item form. No published cut offs.</t>
        </is>
      </c>
      <c r="L10" s="24" t="inlineStr">
        <is>
          <t>not stated</t>
        </is>
      </c>
      <c r="M10" s="24" t="inlineStr">
        <is>
          <t>No permission statement located. Published in Educational and Psychological Measurement (Sage copyright). Later adaptation papers report obtaining the author's authorisation.</t>
        </is>
      </c>
      <c r="N10" s="24" t="inlineStr">
        <is>
          <t>https://prc.springeropen.com/articles/10.1186/s41155-025-00365-y</t>
        </is>
      </c>
      <c r="O10" s="24" t="inlineStr">
        <is>
          <t>Yes</t>
        </is>
      </c>
      <c r="P10" s="24" t="inlineStr">
        <is>
          <t>https://prc.springeropen.com/articles/10.1186/s41155-025-00365-y</t>
        </is>
      </c>
      <c r="Q10" s="24" t="inlineStr"/>
      <c r="R10" s="24" t="inlineStr">
        <is>
          <t>Behavioural wording suits task initiation goals; originally validated with students so interpret adult scores descriptively.</t>
        </is>
      </c>
      <c r="S10" s="24" t="inlineStr"/>
      <c r="T10" s="24" t="inlineStr">
        <is>
          <t>https://prc.springeropen.com/articles/10.1186/s41155-025-00365-y</t>
        </is>
      </c>
      <c r="U10" s="24" t="inlineStr">
        <is>
          <t>Candidate, licence to confirm</t>
        </is>
      </c>
      <c r="V10" s="24" t="inlineStr"/>
      <c r="W10" s="24" t="inlineStr"/>
      <c r="X10" s="24" t="inlineStr"/>
    </row>
    <row r="11">
      <c r="A11" s="24" t="n">
        <v>10</v>
      </c>
      <c r="B11" s="24" t="inlineStr">
        <is>
          <t>Executive functioning, attention and time</t>
        </is>
      </c>
      <c r="C11" s="24" t="inlineStr">
        <is>
          <t>General Procrastination Scale</t>
        </is>
      </c>
      <c r="D11" s="24" t="inlineStr">
        <is>
          <t>GPS</t>
        </is>
      </c>
      <c r="E11" s="24" t="inlineStr">
        <is>
          <t>Lay</t>
        </is>
      </c>
      <c r="F11" s="24" t="n">
        <v>1986</v>
      </c>
      <c r="G11" s="24" t="inlineStr">
        <is>
          <t>Trait procrastination across everyday tasks such as bills, appointments, shopping and correspondence.</t>
        </is>
      </c>
      <c r="H11" s="24" t="n">
        <v>20</v>
      </c>
      <c r="I11" s="24" t="inlineStr">
        <is>
          <t>5 point scale from 1 extremely uncharacteristic to 5 extremely characteristic.</t>
        </is>
      </c>
      <c r="J11" s="24" t="inlineStr"/>
      <c r="K11" s="24" t="inlineStr">
        <is>
          <t>Reverse score 10 items and sum (20 to 100); higher scores indicate greater procrastination. No clinical cut offs.</t>
        </is>
      </c>
      <c r="L11" s="24" t="inlineStr">
        <is>
          <t>free with attribution (CC or stated)</t>
        </is>
      </c>
      <c r="M11" s="24" t="inlineStr">
        <is>
          <t>Salford PsyTech questionnaire battery lists restrictions as "No restrictions." No author licence text located.</t>
        </is>
      </c>
      <c r="N11" s="24" t="inlineStr">
        <is>
          <t>https://hub.salford.ac.uk/psytech/equipment-resources/questionnaire-battery/procrastination-scale/</t>
        </is>
      </c>
      <c r="O11" s="24" t="inlineStr">
        <is>
          <t>Yes</t>
        </is>
      </c>
      <c r="P11" s="24" t="inlineStr">
        <is>
          <t>https://www.yorku.ca/rokada/psyctest/procrast.pdf</t>
        </is>
      </c>
      <c r="Q11" s="24" t="inlineStr"/>
      <c r="R11" s="24" t="inlineStr">
        <is>
          <t>Everyday life content rather than academic, so it fits working adults well and gives concrete targets for routine design.</t>
        </is>
      </c>
      <c r="S11" s="24" t="inlineStr"/>
      <c r="T11" s="24" t="inlineStr">
        <is>
          <t>https://hub.salford.ac.uk/psytech/equipment-resources/questionnaire-battery/procrastination-scale/</t>
        </is>
      </c>
      <c r="U11" s="24" t="inlineStr">
        <is>
          <t>Candidate, client facing possible</t>
        </is>
      </c>
      <c r="V11" s="24" t="inlineStr"/>
      <c r="W11" s="24" t="inlineStr"/>
      <c r="X11" s="24" t="inlineStr"/>
    </row>
    <row r="12">
      <c r="A12" s="24" t="n">
        <v>11</v>
      </c>
      <c r="B12" s="24" t="inlineStr">
        <is>
          <t>Executive functioning, attention and time</t>
        </is>
      </c>
      <c r="C12" s="24" t="inlineStr">
        <is>
          <t>Pure Procrastination Scale</t>
        </is>
      </c>
      <c r="D12" s="24" t="inlineStr">
        <is>
          <t>PPS</t>
        </is>
      </c>
      <c r="E12" s="24" t="inlineStr">
        <is>
          <t>Steel</t>
        </is>
      </c>
      <c r="F12" s="24" t="n">
        <v>2010</v>
      </c>
      <c r="G12" s="24" t="inlineStr">
        <is>
          <t>Core procrastination as irrational delay, drawn from the strongest items of the GPS, AIP and Decisional Procrastination Scale.</t>
        </is>
      </c>
      <c r="H12" s="24" t="n">
        <v>12</v>
      </c>
      <c r="I12" s="24" t="inlineStr">
        <is>
          <t>5 point scale from 1 very seldom or not true of me to 5 very often true or true of me.</t>
        </is>
      </c>
      <c r="J12" s="24" t="inlineStr">
        <is>
          <t>Decisional delay (items 1 to 3), Implemental delay (items 4 to 8), Timeliness or lateness (items 9 to 12)</t>
        </is>
      </c>
      <c r="K12" s="24" t="inlineStr">
        <is>
          <t>No reverse scoring; sum or average, higher indicates more procrastination. European sample means about 2.3 to 2.8 per item. A 5 item implemental short form (items 4 to 8) is recommended. No cut offs.</t>
        </is>
      </c>
      <c r="L12" s="24" t="inlineStr">
        <is>
          <t>free with attribution (CC or stated)</t>
        </is>
      </c>
      <c r="M12" s="24" t="inlineStr">
        <is>
          <t>Items published in full in CC BY articles in Frontiers in Psychology. No separate author licence statement; Steel's scales are widely reproduced in open access validation papers.</t>
        </is>
      </c>
      <c r="N12" s="24" t="inlineStr">
        <is>
          <t>https://www.frontiersin.org/articles/10.3389/fpsyg.2017.01927/full</t>
        </is>
      </c>
      <c r="O12" s="24" t="inlineStr">
        <is>
          <t>Yes</t>
        </is>
      </c>
      <c r="P12" s="24" t="inlineStr">
        <is>
          <t>https://www.frontiersin.org/articles/10.3389/fpsyg.2017.01927/full</t>
        </is>
      </c>
      <c r="Q12" s="24" t="inlineStr"/>
      <c r="R12" s="24" t="inlineStr">
        <is>
          <t>Separates deciding, starting and finishing late, which helps locate where a client's delay actually happens.</t>
        </is>
      </c>
      <c r="S12" s="24" t="inlineStr"/>
      <c r="T12" s="24" t="inlineStr">
        <is>
          <t>https://www.frontiersin.org/journals/psychology/articles/10.3389/fpsyg.2016.01307/full</t>
        </is>
      </c>
      <c r="U12" s="24" t="inlineStr">
        <is>
          <t>Candidate, client facing possible</t>
        </is>
      </c>
      <c r="V12" s="24" t="inlineStr"/>
      <c r="W12" s="24" t="inlineStr"/>
      <c r="X12" s="24" t="inlineStr"/>
    </row>
    <row r="13">
      <c r="A13" s="24" t="n">
        <v>12</v>
      </c>
      <c r="B13" s="24" t="inlineStr">
        <is>
          <t>Executive functioning, attention and time</t>
        </is>
      </c>
      <c r="C13" s="24" t="inlineStr">
        <is>
          <t>Irrational Procrastination Scale</t>
        </is>
      </c>
      <c r="D13" s="24" t="inlineStr">
        <is>
          <t>IPS</t>
        </is>
      </c>
      <c r="E13" s="24" t="inlineStr">
        <is>
          <t>Steel</t>
        </is>
      </c>
      <c r="F13" s="24" t="n">
        <v>2010</v>
      </c>
      <c r="G13" s="24" t="inlineStr">
        <is>
          <t>Voluntary delay of intended action despite expecting to be worse off for the delay.</t>
        </is>
      </c>
      <c r="H13" s="24" t="n">
        <v>9</v>
      </c>
      <c r="I13" s="24" t="inlineStr">
        <is>
          <t>5 point scale from 1 very seldom or not true of me to 5 very often true or true of me.</t>
        </is>
      </c>
      <c r="J13" s="24" t="inlineStr"/>
      <c r="K13" s="24" t="inlineStr">
        <is>
          <t>Reverse score items 2, 6 and 9, then sum or average; higher indicates more irrational procrastination. Norwegian sample mean 3.62 per item. Authors note the reversed items can be dropped. No cut offs.</t>
        </is>
      </c>
      <c r="L13" s="24" t="inlineStr">
        <is>
          <t>free with attribution (CC or stated)</t>
        </is>
      </c>
      <c r="M13" s="24" t="inlineStr">
        <is>
          <t>Items published in full in a CC BY article: "This is an open-access article distributed under the terms of the Creative Commons Attribution License (CC BY)."</t>
        </is>
      </c>
      <c r="N13" s="24" t="inlineStr">
        <is>
          <t>https://www.frontiersin.org/articles/10.3389/fpsyg.2017.01927/full</t>
        </is>
      </c>
      <c r="O13" s="24" t="inlineStr">
        <is>
          <t>Yes</t>
        </is>
      </c>
      <c r="P13" s="24" t="inlineStr">
        <is>
          <t>https://www.frontiersin.org/articles/10.3389/fpsyg.2017.01927/full</t>
        </is>
      </c>
      <c r="Q13" s="24" t="inlineStr"/>
      <c r="R13" s="24" t="inlineStr">
        <is>
          <t>Short, adult oriented and reliable; a good default procrastination outcome measure for coaching.</t>
        </is>
      </c>
      <c r="S13" s="24" t="inlineStr"/>
      <c r="T13" s="24" t="inlineStr">
        <is>
          <t>https://www.frontiersin.org/articles/10.3389/fpsyg.2017.01927/full</t>
        </is>
      </c>
      <c r="U13" s="24" t="inlineStr">
        <is>
          <t>Candidate, client facing possible</t>
        </is>
      </c>
      <c r="V13" s="24" t="inlineStr"/>
      <c r="W13" s="24" t="inlineStr"/>
      <c r="X13" s="24" t="inlineStr"/>
    </row>
    <row r="14">
      <c r="A14" s="24" t="n">
        <v>13</v>
      </c>
      <c r="B14" s="24" t="inlineStr">
        <is>
          <t>Executive functioning, attention and time</t>
        </is>
      </c>
      <c r="C14" s="24" t="inlineStr">
        <is>
          <t>Time Management Behavior Scale</t>
        </is>
      </c>
      <c r="D14" s="24" t="inlineStr">
        <is>
          <t>TMBS</t>
        </is>
      </c>
      <c r="E14" s="24" t="inlineStr">
        <is>
          <t>Macan, Shahani, Dipboye and Phillips</t>
        </is>
      </c>
      <c r="F14" s="24" t="n">
        <v>1990</v>
      </c>
      <c r="G14" s="24" t="inlineStr">
        <is>
          <t>Frequency of time management behaviours and the resulting sense of control over time.</t>
        </is>
      </c>
      <c r="H14" s="24" t="n">
        <v>34</v>
      </c>
      <c r="I14" s="24" t="inlineStr">
        <is>
          <t>5 point frequency scale from seldom true to very often true (original 1990 pool had 46 items; the 1994 revision uses 34).</t>
        </is>
      </c>
      <c r="J14" s="24" t="inlineStr">
        <is>
          <t>Setting Goals and Priorities, Mechanics: Planning and Scheduling, Perceived Control of Time, Preference for Organisation</t>
        </is>
      </c>
      <c r="K14" s="24" t="inlineStr">
        <is>
          <t>Reverse score negatively worded items and average or sum within subscales; higher scores indicate more frequent time management behaviour and greater perceived control. No cut offs.</t>
        </is>
      </c>
      <c r="L14" s="24" t="inlineStr">
        <is>
          <t>not stated</t>
        </is>
      </c>
      <c r="M14" s="24" t="inlineStr">
        <is>
          <t>No permission or licence statement located. Published in Journal of Educational Psychology (APA copyright); items appear in the original article.</t>
        </is>
      </c>
      <c r="N14" s="24" t="inlineStr">
        <is>
          <t>https://en.wikiversity.org/wiki/Time_management/Questionnaires</t>
        </is>
      </c>
      <c r="O14" s="24" t="inlineStr">
        <is>
          <t>No</t>
        </is>
      </c>
      <c r="P14" s="24" t="inlineStr">
        <is>
          <t>https://doi.org/10.1037/0022-0663.82.4.760</t>
        </is>
      </c>
      <c r="Q14" s="24" t="inlineStr"/>
      <c r="R14" s="24" t="inlineStr">
        <is>
          <t>Subscales distinguish planning mechanics from perceived control, which is useful for diagnosing whether skills or confidence are the gap.</t>
        </is>
      </c>
      <c r="S14" s="24" t="inlineStr"/>
      <c r="T14" s="24" t="inlineStr">
        <is>
          <t>https://edinstruments.org/node/1575</t>
        </is>
      </c>
      <c r="U14" s="24" t="inlineStr">
        <is>
          <t>Candidate, licence to confirm</t>
        </is>
      </c>
      <c r="V14" s="24" t="inlineStr"/>
      <c r="W14" s="24" t="inlineStr"/>
      <c r="X14" s="24" t="inlineStr"/>
    </row>
    <row r="15">
      <c r="A15" s="24" t="n">
        <v>14</v>
      </c>
      <c r="B15" s="24" t="inlineStr">
        <is>
          <t>Executive functioning, attention and time; Clinical practice in New Zealand</t>
        </is>
      </c>
      <c r="C15" s="24" t="inlineStr">
        <is>
          <t>Time Structure Questionnaire</t>
        </is>
      </c>
      <c r="D15" s="24" t="inlineStr">
        <is>
          <t>TSQ</t>
        </is>
      </c>
      <c r="E15" s="24" t="inlineStr">
        <is>
          <t>Bond and Feather (Flinders University)</t>
        </is>
      </c>
      <c r="F15" s="24" t="n">
        <v>1988</v>
      </c>
      <c r="G15" s="24" t="inlineStr">
        <is>
          <t>Degree to which people perceive their use of time as structured and purposive.</t>
        </is>
      </c>
      <c r="H15" s="24" t="n">
        <v>26</v>
      </c>
      <c r="I15" s="24" t="inlineStr">
        <is>
          <t>7 point scale from yes, always to no, never.</t>
        </is>
      </c>
      <c r="J15" s="24" t="inlineStr">
        <is>
          <t>Sense of Purpose, Structured Routine, Present Orientation, Effective Organisation, Persistence</t>
        </is>
      </c>
      <c r="K15" s="24" t="inlineStr">
        <is>
          <t>Reverse score negatively keyed items and sum for a total and 5 factor scores; higher scores indicate more time structure. Mudrack (1997) found 4 of 5 subscales robust in working adults and advised interpreting subscales. No cut offs.</t>
        </is>
      </c>
      <c r="L15" s="24" t="inlineStr">
        <is>
          <t>not stated</t>
        </is>
      </c>
      <c r="M15" s="24" t="inlineStr">
        <is>
          <t>No permission or licence statement located. Published in Journal of Personality and Social Psychology (APA copyright); items appear in the article.</t>
        </is>
      </c>
      <c r="N15" s="24" t="inlineStr">
        <is>
          <t>https://en.wikiversity.org/wiki/Time_management/Questionnaires</t>
        </is>
      </c>
      <c r="O15" s="24" t="inlineStr">
        <is>
          <t>No</t>
        </is>
      </c>
      <c r="P15" s="24" t="inlineStr">
        <is>
          <t>https://doi.org/10.1037/0022-3514.55.2.321</t>
        </is>
      </c>
      <c r="Q15" s="24" t="inlineStr"/>
      <c r="R15" s="24" t="inlineStr">
        <is>
          <t>Routine and purpose subscales speak directly to structure building work with ADHD clients; verify item wording from the original article.</t>
        </is>
      </c>
      <c r="S15" s="24" t="inlineStr"/>
      <c r="T15" s="24" t="inlineStr">
        <is>
          <t>https://synapsesocial.com/papers/W2064140380</t>
        </is>
      </c>
      <c r="U15" s="24" t="inlineStr">
        <is>
          <t>Candidate, licence to confirm</t>
        </is>
      </c>
      <c r="V15" s="24" t="inlineStr"/>
      <c r="W15" s="24" t="inlineStr"/>
      <c r="X15" s="24" t="inlineStr"/>
    </row>
    <row r="16">
      <c r="A16" s="24" t="n">
        <v>15</v>
      </c>
      <c r="B16" s="24" t="inlineStr">
        <is>
          <t>Executive functioning, attention and time</t>
        </is>
      </c>
      <c r="C16" s="24" t="inlineStr">
        <is>
          <t>Melbourne Decision Making Questionnaire, Procrastination subscale (Decisional Procrastination Scale)</t>
        </is>
      </c>
      <c r="D16" s="24" t="inlineStr">
        <is>
          <t>MDMQ-P / DPS</t>
        </is>
      </c>
      <c r="E16" s="24" t="inlineStr">
        <is>
          <t>Mann (1982); Mann, Burnett, Radford and Ford (1997)</t>
        </is>
      </c>
      <c r="F16" s="24" t="n">
        <v>1997</v>
      </c>
      <c r="G16" s="24" t="inlineStr">
        <is>
          <t>Tendency to delay and avoid making decisions, one of 4 decision coping patterns in the conflict theory of decision making.</t>
        </is>
      </c>
      <c r="H16" s="24" t="n">
        <v>5</v>
      </c>
      <c r="I16" s="24" t="inlineStr">
        <is>
          <t>MDMQ uses a 3 point scale (not true for me, sometimes true, true for me); the original 1982 DPS used a 5 point agreement scale.</t>
        </is>
      </c>
      <c r="J16" s="24" t="inlineStr">
        <is>
          <t>Vigilance, Hypervigilance, Procrastination, Buck Passing (full MDMQ, 22 items)</t>
        </is>
      </c>
      <c r="K16" s="24" t="inlineStr">
        <is>
          <t>Sum the 5 procrastination items; higher scores indicate more decisional procrastination. No cut offs.</t>
        </is>
      </c>
      <c r="L16" s="24" t="inlineStr">
        <is>
          <t>not stated</t>
        </is>
      </c>
      <c r="M16" s="24" t="inlineStr">
        <is>
          <t>No permission or licence statement located on the DMIDI inventory page or in the 1997 Journal of Behavioral Decision Making article (Wiley copyright).</t>
        </is>
      </c>
      <c r="N16" s="24" t="inlineStr">
        <is>
          <t>https://dlab.sauder.ubc.ca/sjdm/dmidi/Melbourne_Decision_Making_Questionnaire.html</t>
        </is>
      </c>
      <c r="O16" s="24" t="inlineStr">
        <is>
          <t>No</t>
        </is>
      </c>
      <c r="P16" s="24" t="inlineStr">
        <is>
          <t>https://dlab.sauder.ubc.ca/sjdm/dmidi/Melbourne_Decision_Making_Questionnaire.html</t>
        </is>
      </c>
      <c r="Q16" s="24" t="inlineStr"/>
      <c r="R16" s="24" t="inlineStr">
        <is>
          <t>Isolates decision avoidance from task avoidance; 3 of its items also sit inside the open access PPS.</t>
        </is>
      </c>
      <c r="S16" s="24" t="inlineStr"/>
      <c r="T16" s="24" t="inlineStr">
        <is>
          <t>https://dlab.sauder.ubc.ca/sjdm/dmidi/Melbourne_Decision_Making_Questionnaire.html</t>
        </is>
      </c>
      <c r="U16" s="24" t="inlineStr">
        <is>
          <t>Candidate, licence to confirm</t>
        </is>
      </c>
      <c r="V16" s="24" t="inlineStr"/>
      <c r="W16" s="24" t="inlineStr"/>
      <c r="X16" s="24" t="inlineStr"/>
    </row>
    <row r="17">
      <c r="A17" s="24" t="n">
        <v>16</v>
      </c>
      <c r="B17" s="24" t="inlineStr">
        <is>
          <t>Executive functioning, attention and time</t>
        </is>
      </c>
      <c r="C17" s="24" t="inlineStr">
        <is>
          <t>Barratt Impulsiveness Scale, version 11</t>
        </is>
      </c>
      <c r="D17" s="24" t="inlineStr">
        <is>
          <t>BIS-11</t>
        </is>
      </c>
      <c r="E17" s="24" t="inlineStr">
        <is>
          <t>Patton, Stanford and Barratt</t>
        </is>
      </c>
      <c r="F17" s="24" t="n">
        <v>1995</v>
      </c>
      <c r="G17" s="24" t="inlineStr">
        <is>
          <t>Trait impulsiveness across attentional, motor and non planning domains.</t>
        </is>
      </c>
      <c r="H17" s="24" t="n">
        <v>30</v>
      </c>
      <c r="I17" s="24" t="inlineStr">
        <is>
          <t>4 point frequency scale from 1 rarely or never to 4 almost always or always.</t>
        </is>
      </c>
      <c r="J17" s="24" t="inlineStr">
        <is>
          <t>Attentional (8 items), Motor (11 items), Non planning (11 items)</t>
        </is>
      </c>
      <c r="K17" s="24" t="inlineStr">
        <is>
          <t>Reverse score 11 items and sum (30 to 120); higher indicates greater impulsiveness. Stanford et al (2009): 72 and above highly impulsive, 52 to 71 within normal limits, below 52 over controlled or possibly invalid responding.</t>
        </is>
      </c>
      <c r="L17" s="24" t="inlineStr">
        <is>
          <t>free with attribution (CC or stated)</t>
        </is>
      </c>
      <c r="M17" s="24" t="inlineStr">
        <is>
          <t>Secondary sources state: "The BIS-11 is distributed free of charge for research and clinical use with proper attribution to the original authors." Shirley Ryan AbilityLab lists cost as free. No publisher licence applies.</t>
        </is>
      </c>
      <c r="N17" s="24" t="inlineStr">
        <is>
          <t>https://www.testable.org/scale/bis-11-barratt-impulsiveness-scale</t>
        </is>
      </c>
      <c r="O17" s="24" t="inlineStr">
        <is>
          <t>Yes</t>
        </is>
      </c>
      <c r="P17" s="24" t="inlineStr">
        <is>
          <t>https://datashare.nida.nih.gov/node/32</t>
        </is>
      </c>
      <c r="Q17" s="24" t="inlineStr"/>
      <c r="R17" s="24" t="inlineStr">
        <is>
          <t>Established norms and cut offs make it a solid baseline for impulsivity, though item tone is clinical rather than coaching oriented.</t>
        </is>
      </c>
      <c r="S17" s="24" t="inlineStr"/>
      <c r="T17" s="24" t="inlineStr">
        <is>
          <t>https://www.sralab.org/rehabilitation-measures/barratt-impulsiveness-scale</t>
        </is>
      </c>
      <c r="U17" s="24" t="inlineStr">
        <is>
          <t>Candidate, client facing possible</t>
        </is>
      </c>
      <c r="V17" s="24" t="inlineStr"/>
      <c r="W17" s="24" t="inlineStr"/>
      <c r="X17" s="24" t="inlineStr"/>
    </row>
    <row r="18">
      <c r="A18" s="24" t="n">
        <v>17</v>
      </c>
      <c r="B18" s="24" t="inlineStr">
        <is>
          <t>Executive functioning, attention and time</t>
        </is>
      </c>
      <c r="C18" s="24" t="inlineStr">
        <is>
          <t>Barratt Impulsiveness Scale, Brief</t>
        </is>
      </c>
      <c r="D18" s="24" t="inlineStr">
        <is>
          <t>BIS-Brief</t>
        </is>
      </c>
      <c r="E18" s="24" t="inlineStr">
        <is>
          <t>Steinberg, Sharp, Stanford and Tharp</t>
        </is>
      </c>
      <c r="F18" s="24" t="n">
        <v>2013</v>
      </c>
      <c r="G18" s="24" t="inlineStr">
        <is>
          <t>General impulsiveness, an 8 item unidimensional short form of the BIS-11 derived by item response theory.</t>
        </is>
      </c>
      <c r="H18" s="24" t="n">
        <v>8</v>
      </c>
      <c r="I18" s="24" t="inlineStr">
        <is>
          <t>4 point frequency scale from rarely or never to almost always or always.</t>
        </is>
      </c>
      <c r="J18" s="24" t="inlineStr"/>
      <c r="K18" s="24" t="inlineStr">
        <is>
          <t>Reverse score the planning and concentration items as in the BIS-11, then sum (8 to 32); higher indicates greater impulsiveness. No published cut offs.</t>
        </is>
      </c>
      <c r="L18" s="24" t="inlineStr">
        <is>
          <t>free with attribution (CC or stated)</t>
        </is>
      </c>
      <c r="M18" s="24" t="inlineStr">
        <is>
          <t>Article (Psychological Assessment, APA) makes no availability statement; the items are a subset of the freely distributed BIS-11 and are listed in the article tables.</t>
        </is>
      </c>
      <c r="N18" s="24" t="inlineStr">
        <is>
          <t>https://www.uh.edu/class/psychology/clinical-psych/research/dpl/_files/publications/steinberg-sharp-stanford-tharp-2013.pdf</t>
        </is>
      </c>
      <c r="O18" s="24" t="inlineStr">
        <is>
          <t>Yes</t>
        </is>
      </c>
      <c r="P18" s="24" t="inlineStr">
        <is>
          <t>https://www.uh.edu/class/psychology/clinical-psych/research/dpl/_files/publications/steinberg-sharp-stanford-tharp-2013.pdf</t>
        </is>
      </c>
      <c r="Q18" s="24" t="inlineStr"/>
      <c r="R18" s="24" t="inlineStr">
        <is>
          <t>Quick repeatable impulsivity marker when the full BIS-11 is too long for session by session tracking.</t>
        </is>
      </c>
      <c r="S18" s="24" t="inlineStr"/>
      <c r="T18" s="24" t="inlineStr">
        <is>
          <t>https://www.uh.edu/class/psychology/clinical-psych/research/dpl/_files/publications/steinberg-sharp-stanford-tharp-2013.pdf</t>
        </is>
      </c>
      <c r="U18" s="24" t="inlineStr">
        <is>
          <t>Candidate, client facing possible</t>
        </is>
      </c>
      <c r="V18" s="24" t="inlineStr"/>
      <c r="W18" s="24" t="inlineStr"/>
      <c r="X18" s="24" t="inlineStr"/>
    </row>
    <row r="19">
      <c r="A19" s="24" t="n">
        <v>18</v>
      </c>
      <c r="B19" s="24" t="inlineStr">
        <is>
          <t>Executive functioning, attention and time</t>
        </is>
      </c>
      <c r="C19" s="24" t="inlineStr">
        <is>
          <t>Self-Report Habit Index</t>
        </is>
      </c>
      <c r="D19" s="24" t="inlineStr">
        <is>
          <t>SRHI</t>
        </is>
      </c>
      <c r="E19" s="24" t="inlineStr">
        <is>
          <t>Verplanken and Orbell</t>
        </is>
      </c>
      <c r="F19" s="24" t="n">
        <v>2003</v>
      </c>
      <c r="G19" s="24" t="inlineStr">
        <is>
          <t>Strength of a specified habit, covering history of repetition, automaticity (lack of control and awareness, efficiency) and self identity.</t>
        </is>
      </c>
      <c r="H19" s="24" t="n">
        <v>12</v>
      </c>
      <c r="I19" s="24" t="inlineStr">
        <is>
          <t>Agreement scale (7 point in the original; 5 point versions are common) applied to a target behaviour named in the stem.</t>
        </is>
      </c>
      <c r="J19" s="24" t="inlineStr"/>
      <c r="K19" s="24" t="inlineStr">
        <is>
          <t>Average or sum the 12 items; higher scores indicate a stronger habit. No cut offs. A 4 item automaticity subset (SRBAI) is used as a short form.</t>
        </is>
      </c>
      <c r="L19" s="24" t="inlineStr">
        <is>
          <t>not stated</t>
        </is>
      </c>
      <c r="M19" s="24" t="inlineStr">
        <is>
          <t>No author licence located. Distributing page states: "Please contact the author of the questionnaire for use permissions." Published in Journal of Applied Social Psychology (Wiley copyright).</t>
        </is>
      </c>
      <c r="N19" s="24" t="inlineStr">
        <is>
          <t>https://www.coresta.org/crom/psychometric/self-reported-habits-index</t>
        </is>
      </c>
      <c r="O19" s="24" t="inlineStr">
        <is>
          <t>No</t>
        </is>
      </c>
      <c r="P19" s="24" t="inlineStr">
        <is>
          <t>https://doi.org/10.1111/j.1559-1816.2003.tb01951.x</t>
        </is>
      </c>
      <c r="Q19" s="24" t="inlineStr"/>
      <c r="R19" s="24" t="inlineStr">
        <is>
          <t>Behaviour specific, so it can be repeated for each routine a client is trying to build and shows automaticity gains over time.</t>
        </is>
      </c>
      <c r="S19" s="24" t="inlineStr"/>
      <c r="T19" s="24" t="inlineStr">
        <is>
          <t>https://researchportal.bath.ac.uk/en/publications/reflections-on-past-behavior-a-self-report-index-of-habit-strengt/</t>
        </is>
      </c>
      <c r="U19" s="24" t="inlineStr">
        <is>
          <t>Candidate, licence to confirm</t>
        </is>
      </c>
      <c r="V19" s="24" t="inlineStr"/>
      <c r="W19" s="24" t="inlineStr"/>
      <c r="X19" s="24" t="inlineStr"/>
    </row>
    <row r="20">
      <c r="A20" s="24" t="n">
        <v>19</v>
      </c>
      <c r="B20" s="24" t="inlineStr">
        <is>
          <t>Executive functioning, attention and time</t>
        </is>
      </c>
      <c r="C20" s="24" t="inlineStr">
        <is>
          <t>Creature of Habit Scale</t>
        </is>
      </c>
      <c r="D20" s="24" t="inlineStr">
        <is>
          <t>COHS</t>
        </is>
      </c>
      <c r="E20" s="24" t="inlineStr">
        <is>
          <t>Ersche, Lim, Ward, Robbins and Stochl (University of Cambridge)</t>
        </is>
      </c>
      <c r="F20" s="24" t="n">
        <v>2017</v>
      </c>
      <c r="G20" s="24" t="inlineStr">
        <is>
          <t>Individual differences in habitual tendencies in daily life: preference for routine and automatic, cue driven responding.</t>
        </is>
      </c>
      <c r="H20" s="24" t="n">
        <v>27</v>
      </c>
      <c r="I20" s="24" t="inlineStr">
        <is>
          <t>5 point agreement scale from strongly disagree to strongly agree.</t>
        </is>
      </c>
      <c r="J20" s="24" t="inlineStr">
        <is>
          <t>Routine (16 items), Automaticity (11 items)</t>
        </is>
      </c>
      <c r="K20" s="24" t="inlineStr">
        <is>
          <t>Sum items within each subscale; higher scores indicate stronger routine preference or greater automaticity. No cut offs; subscales are interpreted separately.</t>
        </is>
      </c>
      <c r="L20" s="24" t="inlineStr">
        <is>
          <t>free with attribution (CC or stated)</t>
        </is>
      </c>
      <c r="M20" s="24" t="inlineStr">
        <is>
          <t>Published in Personality and Individual Differences; the Cambridge repository copy is listed as "Attribution-NonCommercial-NoDerivatives 4.0 International". Items are printed in the article.</t>
        </is>
      </c>
      <c r="N20" s="24" t="inlineStr">
        <is>
          <t>https://www.repository.cam.ac.uk/handle/1810/266049</t>
        </is>
      </c>
      <c r="O20" s="24" t="inlineStr">
        <is>
          <t>Yes</t>
        </is>
      </c>
      <c r="P20" s="24" t="inlineStr">
        <is>
          <t>https://pmc.ncbi.nlm.nih.gov/articles/PMC5473478/</t>
        </is>
      </c>
      <c r="Q20" s="24" t="inlineStr"/>
      <c r="R20" s="24" t="inlineStr">
        <is>
          <t>Distinguishes clients who thrive on routine from those who act on autopilot; informs whether to build structure or interrupt cues.</t>
        </is>
      </c>
      <c r="S20" s="24" t="inlineStr"/>
      <c r="T20" s="24" t="inlineStr">
        <is>
          <t>https://www.repository.cam.ac.uk/handle/1810/266049</t>
        </is>
      </c>
      <c r="U20" s="24" t="inlineStr">
        <is>
          <t>Candidate, client facing possible</t>
        </is>
      </c>
      <c r="V20" s="24" t="inlineStr"/>
      <c r="W20" s="24" t="inlineStr"/>
      <c r="X20" s="24" t="inlineStr"/>
    </row>
    <row r="21">
      <c r="A21" s="24" t="n">
        <v>20</v>
      </c>
      <c r="B21" s="24" t="inlineStr">
        <is>
          <t>Executive functioning, attention and time</t>
        </is>
      </c>
      <c r="C21" s="24" t="inlineStr">
        <is>
          <t>Pittsburgh Sleep Quality Index</t>
        </is>
      </c>
      <c r="D21" s="24" t="inlineStr">
        <is>
          <t>PSQI</t>
        </is>
      </c>
      <c r="E21" s="24" t="inlineStr">
        <is>
          <t>Buysse, Reynolds, Monk, Berman and Kupfer (University of Pittsburgh)</t>
        </is>
      </c>
      <c r="F21" s="24" t="n">
        <v>1989</v>
      </c>
      <c r="G21" s="24" t="inlineStr">
        <is>
          <t>Subjective sleep quality and disturbance over the past month.</t>
        </is>
      </c>
      <c r="H21" s="24" t="n">
        <v>19</v>
      </c>
      <c r="I21" s="24" t="inlineStr">
        <is>
          <t>Mixed: open ended times and durations plus 4 point frequency and quality ratings (not during the past month to 3 or more times a week; very good to very bad). 5 optional bed partner items are not scored.</t>
        </is>
      </c>
      <c r="J21" s="24" t="inlineStr">
        <is>
          <t>Subjective sleep quality, Sleep latency, Sleep duration, Habitual sleep efficiency, Sleep disturbances, Use of sleeping medication, Daytime dysfunction</t>
        </is>
      </c>
      <c r="K21" s="24" t="inlineStr">
        <is>
          <t>Each component scored 0 to 3 by algorithm and summed to a global score of 0 to 21; higher is worse. Global score above 5 indicates significant sleep difficulty.</t>
        </is>
      </c>
      <c r="L21" s="24" t="inlineStr">
        <is>
          <t>free for non commercial or research only</t>
        </is>
      </c>
      <c r="M21" s="24" t="inlineStr">
        <is>
          <t>"This copyright in this form is owned by the University of Pittsburgh and may be reprinted without charge only for non-commercial research and educational purposes." Modifications need written permission; commercial use and clinical use require a request (clinical use listed with a per use fee).</t>
        </is>
      </c>
      <c r="N21" s="24" t="inlineStr">
        <is>
          <t>https://www.sleep.pitt.edu/psqi</t>
        </is>
      </c>
      <c r="O21" s="24" t="inlineStr">
        <is>
          <t>Yes</t>
        </is>
      </c>
      <c r="P21" s="24" t="inlineStr">
        <is>
          <t>https://www.sleep.pitt.edu/psqi</t>
        </is>
      </c>
      <c r="Q21" s="24" t="inlineStr"/>
      <c r="R21" s="24" t="inlineStr">
        <is>
          <t>Gold standard sleep screen, but a paid coaching practice should request permission for clinical use before adopting it.</t>
        </is>
      </c>
      <c r="S21" s="24" t="inlineStr"/>
      <c r="T21" s="24" t="inlineStr">
        <is>
          <t>https://www.sleep.pitt.edu/psqi</t>
        </is>
      </c>
      <c r="U21" s="24" t="inlineStr">
        <is>
          <t>Candidate, licence to confirm</t>
        </is>
      </c>
      <c r="V21" s="24" t="inlineStr"/>
      <c r="W21" s="24" t="inlineStr"/>
      <c r="X21" s="24" t="inlineStr"/>
    </row>
    <row r="22">
      <c r="A22" s="24" t="n">
        <v>21</v>
      </c>
      <c r="B22" s="24" t="inlineStr">
        <is>
          <t>Executive functioning, attention and time; Clinical practice in New Zealand</t>
        </is>
      </c>
      <c r="C22" s="24" t="inlineStr">
        <is>
          <t>Epworth Sleepiness Scale</t>
        </is>
      </c>
      <c r="D22" s="24" t="inlineStr">
        <is>
          <t>ESS</t>
        </is>
      </c>
      <c r="E22" s="24" t="inlineStr">
        <is>
          <t>Johns (Epworth Hospital, Melbourne)</t>
        </is>
      </c>
      <c r="F22" s="24" t="n">
        <v>1991</v>
      </c>
      <c r="G22" s="24" t="inlineStr">
        <is>
          <t>Average daytime sleep propensity, the likelihood of dozing in 8 everyday situations.</t>
        </is>
      </c>
      <c r="H22" s="24" t="n">
        <v>8</v>
      </c>
      <c r="I22" s="24" t="inlineStr">
        <is>
          <t>4 point scale from 0 would never doze to 3 high chance of dozing.</t>
        </is>
      </c>
      <c r="J22" s="24" t="inlineStr"/>
      <c r="K22" s="24" t="inlineStr">
        <is>
          <t>Sum items (0 to 24); higher is sleepier. 0 to 10 normal; 11 to 12 mild, 13 to 15 moderate and 16 to 24 severe excessive daytime sleepiness.</t>
        </is>
      </c>
      <c r="L22" s="24" t="inlineStr">
        <is>
          <t>permission required</t>
        </is>
      </c>
      <c r="M22" s="24" t="inlineStr">
        <is>
          <t>"The ESS and the ESS-CHAD are both subject to copyright. A license is required to use the ESS or the ESS-CHAD, whether or not a license fee is payable." ATS summary: "Free of charge to individual clinicians and researchers. Organizations require a license." Licensing via Mapi Research Trust.</t>
        </is>
      </c>
      <c r="N22" s="24" t="inlineStr">
        <is>
          <t>https://epworthsleepinessscale.com/?p=58</t>
        </is>
      </c>
      <c r="O22" s="24" t="inlineStr">
        <is>
          <t>Yes</t>
        </is>
      </c>
      <c r="P22" s="24" t="inlineStr">
        <is>
          <t>https://site.thoracic.org/assemblies/srn/sleep-related-questionnaires/ess</t>
        </is>
      </c>
      <c r="Q22" s="24" t="inlineStr"/>
      <c r="R22" s="24" t="inlineStr">
        <is>
          <t>Quick energy and alertness screen; an individual practitioner can obtain a no fee licence, but one must still be requested through ePROVIDE.</t>
        </is>
      </c>
      <c r="S22" s="24" t="inlineStr"/>
      <c r="T22" s="24" t="inlineStr">
        <is>
          <t>https://site.thoracic.org/assemblies/srn/sleep-related-questionnaires/ess</t>
        </is>
      </c>
      <c r="U22" s="24" t="inlineStr">
        <is>
          <t>Candidate, licence to confirm</t>
        </is>
      </c>
      <c r="V22" s="24" t="inlineStr">
        <is>
          <t>Check: digital or platform use may need its own licence</t>
        </is>
      </c>
      <c r="W22" s="24" t="inlineStr"/>
      <c r="X22" s="24" t="inlineStr"/>
    </row>
    <row r="23">
      <c r="A23" s="24" t="n">
        <v>22</v>
      </c>
      <c r="B23" s="24" t="inlineStr">
        <is>
          <t>Executive functioning, attention and time</t>
        </is>
      </c>
      <c r="C23" s="24" t="inlineStr">
        <is>
          <t>Sleep Condition Indicator</t>
        </is>
      </c>
      <c r="D23" s="24" t="inlineStr">
        <is>
          <t>SCI</t>
        </is>
      </c>
      <c r="E23" s="24" t="inlineStr">
        <is>
          <t>Espie, Kyle, Hames, Gardani, Fleming and Cape</t>
        </is>
      </c>
      <c r="F23" s="24" t="n">
        <v>2014</v>
      </c>
      <c r="G23" s="24" t="inlineStr">
        <is>
          <t>Insomnia disorder screening against DSM-5 criteria, covering sleep pattern and daytime impact.</t>
        </is>
      </c>
      <c r="H23" s="24" t="n">
        <v>8</v>
      </c>
      <c r="I23" s="24" t="inlineStr">
        <is>
          <t>5 point scale, each item scored 0 to 4.</t>
        </is>
      </c>
      <c r="J23" s="24" t="inlineStr">
        <is>
          <t>Sleep pattern (onset, maintenance, quality, duration, nights per week), Sleep related impact (daytime functioning, performance)</t>
        </is>
      </c>
      <c r="K23" s="24" t="inlineStr">
        <is>
          <t>Sum items (0 to 32); higher indicates better sleep. Total of 16 or less meets minimum criteria for probable insomnia disorder. Divide by 3.2 for a 0 to 10 scale. 2 item SCI-02 short form correlates 0.90 with the total.</t>
        </is>
      </c>
      <c r="L23" s="24" t="inlineStr">
        <is>
          <t>free for non commercial or research only</t>
        </is>
      </c>
      <c r="M23" s="24" t="inlineStr">
        <is>
          <t>Article is CC BY-NC 3.0. The SCI copyright belongs to Sleepio Limited and the instrument is free for non commercial use under a Creative Commons Attribution Non Commercial 4.0 licence.</t>
        </is>
      </c>
      <c r="N23" s="24" t="inlineStr">
        <is>
          <t>https://bmjopen.bmj.com/content/4/3/e004183</t>
        </is>
      </c>
      <c r="O23" s="24" t="inlineStr">
        <is>
          <t>Yes</t>
        </is>
      </c>
      <c r="P23" s="24" t="inlineStr">
        <is>
          <t>https://bmjopen.bmj.com/content/4/3/e004183</t>
        </is>
      </c>
      <c r="Q23" s="24" t="inlineStr"/>
      <c r="R23" s="24" t="inlineStr">
        <is>
          <t>Modern, brief and positively scored; check whether a fee paying coaching practice falls within the non commercial licence before use.</t>
        </is>
      </c>
      <c r="S23" s="24" t="inlineStr"/>
      <c r="T23" s="24" t="inlineStr">
        <is>
          <t>https://bmjopen.bmj.com/content/4/3/e004183</t>
        </is>
      </c>
      <c r="U23" s="24" t="inlineStr">
        <is>
          <t>Candidate, licence to confirm</t>
        </is>
      </c>
      <c r="V23" s="24" t="inlineStr"/>
      <c r="W23" s="24" t="inlineStr"/>
      <c r="X23" s="24" t="inlineStr"/>
    </row>
    <row r="24">
      <c r="A24" s="24" t="n">
        <v>23</v>
      </c>
      <c r="B24" s="24" t="inlineStr">
        <is>
          <t>Executive functioning, attention and time; Clinical practice in New Zealand</t>
        </is>
      </c>
      <c r="C24" s="24" t="inlineStr">
        <is>
          <t>Adult ADHD Self-Report Screening Scale for DSM-5</t>
        </is>
      </c>
      <c r="D24" s="24" t="inlineStr">
        <is>
          <t>ASRS-5</t>
        </is>
      </c>
      <c r="E24" s="24" t="inlineStr">
        <is>
          <t>Ustun, Adler, Rudin, Faraone, Spencer, Berglund, Gruber and Kessler (WHO, Harvard Medical School, NYU)</t>
        </is>
      </c>
      <c r="F24" s="24" t="n">
        <v>2017</v>
      </c>
      <c r="G24" s="24" t="inlineStr">
        <is>
          <t>Screening for adult ADHD under DSM-5 criteria using 4 core symptom items and 2 executive dysfunction items.</t>
        </is>
      </c>
      <c r="H24" s="24" t="n">
        <v>6</v>
      </c>
      <c r="I24" s="24" t="inlineStr">
        <is>
          <t>5 point frequency scale from 0 never to 4 very often.</t>
        </is>
      </c>
      <c r="J24" s="24" t="inlineStr"/>
      <c r="K24" s="24" t="inlineStr">
        <is>
          <t>Items carry unequal weights; weighted total of 14 or more out of 24 is a positive screen. Reported sensitivity 91.4 percent and specificity 96.0 percent in the general population sample.</t>
        </is>
      </c>
      <c r="L24" s="24" t="inlineStr">
        <is>
          <t>permission required</t>
        </is>
      </c>
      <c r="M24" s="24" t="inlineStr">
        <is>
          <t>Copyright New York University and President and Fellows of Harvard College. Harvard NCS site: "Please visit this site to request permission to use the ASRS-5 6-question Screener." The ASRS v1.1 is free; the DSM-5 version requires a permission request.</t>
        </is>
      </c>
      <c r="N24" s="24" t="inlineStr">
        <is>
          <t>https://www.hcp.med.harvard.edu/ncs/asrs.php</t>
        </is>
      </c>
      <c r="O24" s="24" t="inlineStr">
        <is>
          <t>No</t>
        </is>
      </c>
      <c r="P24" s="24" t="inlineStr">
        <is>
          <t>https://www.hcp.med.harvard.edu/ncs/asrs.php</t>
        </is>
      </c>
      <c r="Q24" s="24" t="inlineStr"/>
      <c r="R24" s="24" t="inlineStr">
        <is>
          <t>Best used to prompt referral for formal assessment rather than as a coaching outcome; note that the older ASRS v1.1 is already on NovoPsych.</t>
        </is>
      </c>
      <c r="S24" s="24" t="inlineStr"/>
      <c r="T24" s="24" t="inlineStr">
        <is>
          <t>https://adhdinadults.com/adhd-screener/</t>
        </is>
      </c>
      <c r="U24" s="24" t="inlineStr">
        <is>
          <t>Candidate, licence to confirm</t>
        </is>
      </c>
      <c r="V24" s="24" t="inlineStr"/>
      <c r="W24" s="24" t="inlineStr"/>
      <c r="X24" s="24" t="inlineStr"/>
    </row>
    <row r="25">
      <c r="A25" s="24" t="n">
        <v>24</v>
      </c>
      <c r="B25" s="24" t="inlineStr">
        <is>
          <t>Executive functioning, attention and time</t>
        </is>
      </c>
      <c r="C25" s="24" t="inlineStr">
        <is>
          <t>Weiss Functional Impairment Rating Scale, Self Report</t>
        </is>
      </c>
      <c r="D25" s="24" t="inlineStr">
        <is>
          <t>WFIRS-S</t>
        </is>
      </c>
      <c r="E25" s="24" t="inlineStr">
        <is>
          <t>Weiss</t>
        </is>
      </c>
      <c r="F25" s="24" t="n">
        <v>2000</v>
      </c>
      <c r="G25" s="24" t="inlineStr">
        <is>
          <t>Functional impairment attributable to ADHD across 7 life domains over the past month.</t>
        </is>
      </c>
      <c r="H25" s="24" t="n">
        <v>69</v>
      </c>
      <c r="I25" s="24" t="inlineStr">
        <is>
          <t>4 point scale from 0 never or not at all to 3 very often or very much, with a not applicable option.</t>
        </is>
      </c>
      <c r="J25" s="24" t="inlineStr">
        <is>
          <t>Family (8), Work (11), School (10), Life Skills (12), Self Concept (5), Social (9), Risk (14)</t>
        </is>
      </c>
      <c r="K25" s="24" t="inlineStr">
        <is>
          <t>Mean item score per domain and overall (excluding not applicable); count items scored 2 or 3. Commonly used thresholds: domain mean of 1.5 or above, or 2 items scored 2 or 1 item scored 3, indicates clinically significant impairment.</t>
        </is>
      </c>
      <c r="L25" s="24" t="inlineStr">
        <is>
          <t>free with attribution (CC or stated)</t>
        </is>
      </c>
      <c r="M25" s="24" t="inlineStr">
        <is>
          <t>"This scale is copyrighted by Margaret Danielle Weiss, MD PhD. The scale can be used by clinicians and researchers free of charge and can be posted on the Internet or replicated as needed." Contact Dr Weiss before posting online.</t>
        </is>
      </c>
      <c r="N25" s="24" t="inlineStr">
        <is>
          <t>https://www.ucc.ie/en/media/support/studenthealthservice/docs/ADHD-WeissFunctionalImpairmentScale.pdf</t>
        </is>
      </c>
      <c r="O25" s="24" t="inlineStr">
        <is>
          <t>Yes</t>
        </is>
      </c>
      <c r="P25" s="24" t="inlineStr">
        <is>
          <t>https://www.ucc.ie/en/media/support/studenthealthservice/docs/ADHD-WeissFunctionalImpairmentScale.pdf</t>
        </is>
      </c>
      <c r="Q25" s="24" t="inlineStr"/>
      <c r="R25" s="24" t="inlineStr">
        <is>
          <t>Impairment rather than symptom focused, so it shows where ADHD actually costs the client and tracks real life change across coaching.</t>
        </is>
      </c>
      <c r="S25" s="24" t="inlineStr"/>
      <c r="T25" s="24" t="inlineStr">
        <is>
          <t>https://www.ucc.ie/en/media/support/studenthealthservice/docs/ADHD-WeissFunctionalImpairmentScale.pdf</t>
        </is>
      </c>
      <c r="U25" s="24" t="inlineStr">
        <is>
          <t>Candidate, client facing possible</t>
        </is>
      </c>
      <c r="V25" s="24" t="inlineStr">
        <is>
          <t>Check: digital or platform use may need its own licence</t>
        </is>
      </c>
      <c r="W25" s="24" t="inlineStr"/>
      <c r="X25" s="24" t="inlineStr"/>
    </row>
    <row r="26">
      <c r="A26" s="24" t="n">
        <v>25</v>
      </c>
      <c r="B26" s="24" t="inlineStr">
        <is>
          <t>Work and motivation</t>
        </is>
      </c>
      <c r="C26" s="24" t="inlineStr">
        <is>
          <t>Utrecht Work Engagement Scale, 9 item version</t>
        </is>
      </c>
      <c r="D26" s="24" t="inlineStr">
        <is>
          <t>UWES-9</t>
        </is>
      </c>
      <c r="E26" s="24" t="inlineStr">
        <is>
          <t>Wilmar Schaufeli and Arnold Bakker, Utrecht University</t>
        </is>
      </c>
      <c r="F26" s="24" t="n">
        <v>2003</v>
      </c>
      <c r="G26" s="24" t="inlineStr">
        <is>
          <t>Work engagement as a positive, fulfilling work related state of mind characterised by vigour, dedication and absorption.</t>
        </is>
      </c>
      <c r="H26" s="24" t="n">
        <v>9</v>
      </c>
      <c r="I26" s="24" t="inlineStr">
        <is>
          <t>7 point frequency scale from 0 (never) to 6 (always, every day).</t>
        </is>
      </c>
      <c r="J26" s="24" t="inlineStr">
        <is>
          <t>Vigour (3 items), Dedication (3 items), Absorption (3 items)</t>
        </is>
      </c>
      <c r="K26" s="24" t="inlineStr">
        <is>
          <t>Subscale and total scores are item means (0 to 6); higher means greater engagement. Manual norm bands for the total: very low to 1.77, low 1.78 to 2.88, average 2.89 to 4.66, high 4.67 to 5.50, very high 5.51 and above.</t>
        </is>
      </c>
      <c r="L26" s="24" t="inlineStr">
        <is>
          <t>free for non commercial or research only</t>
        </is>
      </c>
      <c r="M26" s="24" t="inlineStr">
        <is>
          <t>Downloads page: "The use is free for academic purposes only, such as PhD theses and scientific papers. For all other purposes, a contract should be drafted." Users also agree to share data with the authors. Contact info@3ihc.nl.</t>
        </is>
      </c>
      <c r="N26" s="24" t="inlineStr">
        <is>
          <t>https://www.wilmarschaufeli.nl/downloads/</t>
        </is>
      </c>
      <c r="O26" s="24" t="inlineStr">
        <is>
          <t>Yes</t>
        </is>
      </c>
      <c r="P26" s="24" t="inlineStr">
        <is>
          <t>https://www.wilmarschaufeli.nl/publications/Schaufeli/Test%20Manuals/Test_manual_UWES_English.pdf</t>
        </is>
      </c>
      <c r="Q26" s="24" t="inlineStr"/>
      <c r="R26" s="24" t="inlineStr">
        <is>
          <t>Brief, well normed engagement snapshot; commercial coaching use needs a contract with the authors.</t>
        </is>
      </c>
      <c r="S26" s="24" t="inlineStr"/>
      <c r="T26" s="24" t="inlineStr">
        <is>
          <t>https://www.wilmarschaufeli.nl/tests/</t>
        </is>
      </c>
      <c r="U26" s="24" t="inlineStr">
        <is>
          <t>Candidate, licence to confirm</t>
        </is>
      </c>
      <c r="V26" s="24" t="inlineStr"/>
      <c r="W26" s="24" t="inlineStr"/>
      <c r="X26" s="24" t="inlineStr"/>
    </row>
    <row r="27">
      <c r="A27" s="24" t="n">
        <v>26</v>
      </c>
      <c r="B27" s="24" t="inlineStr">
        <is>
          <t>Work and motivation</t>
        </is>
      </c>
      <c r="C27" s="24" t="inlineStr">
        <is>
          <t>Utrecht Work Engagement Scale, 3 item ultra short version</t>
        </is>
      </c>
      <c r="D27" s="24" t="inlineStr">
        <is>
          <t>UWES-3</t>
        </is>
      </c>
      <c r="E27" s="24" t="inlineStr">
        <is>
          <t>Wilmar Schaufeli, Akihito Shimazu, Jari Hakanen, Marisa Salanova and Hans De Witte</t>
        </is>
      </c>
      <c r="F27" s="24" t="n">
        <v>2019</v>
      </c>
      <c r="G27" s="24" t="inlineStr">
        <is>
          <t>Overall work engagement using one item each for vigour, dedication and absorption drawn from the UWES-9.</t>
        </is>
      </c>
      <c r="H27" s="24" t="n">
        <v>3</v>
      </c>
      <c r="I27" s="24" t="inlineStr">
        <is>
          <t>7 point frequency scale from 0 (never) to 6 (always), as for the UWES-9.</t>
        </is>
      </c>
      <c r="J27" s="24" t="inlineStr">
        <is>
          <t>Single total score (one vigour, one dedication and one absorption item)</t>
        </is>
      </c>
      <c r="K27" s="24" t="inlineStr">
        <is>
          <t>Mean of the 3 items (0 to 6); higher is more engaged. Shares 86 to 92 percent of variance with the UWES-9 across five national samples; no separate cut offs published.</t>
        </is>
      </c>
      <c r="L27" s="24" t="inlineStr">
        <is>
          <t>free for non commercial or research only</t>
        </is>
      </c>
      <c r="M27" s="24" t="inlineStr">
        <is>
          <t>No separate statement; falls under the UWES conditions on the author site: free for academic purposes, contract required for all other purposes.</t>
        </is>
      </c>
      <c r="N27" s="24" t="inlineStr">
        <is>
          <t>https://www.wilmarschaufeli.nl/downloads/</t>
        </is>
      </c>
      <c r="O27" s="24" t="inlineStr">
        <is>
          <t>Yes</t>
        </is>
      </c>
      <c r="P27" s="24" t="inlineStr">
        <is>
          <t>https://lirias.kuleuven.be/bitstream/123456789/613630/4/uwes3.pdf</t>
        </is>
      </c>
      <c r="Q27" s="24" t="inlineStr"/>
      <c r="R27" s="24" t="inlineStr">
        <is>
          <t>Useful as a repeated pulse measure between sessions; too short for subscale feedback.</t>
        </is>
      </c>
      <c r="S27" s="24" t="inlineStr"/>
      <c r="T27" s="24" t="inlineStr">
        <is>
          <t>https://lirias.kuleuven.be/bitstream/123456789/613630/4/uwes3.pdf</t>
        </is>
      </c>
      <c r="U27" s="24" t="inlineStr">
        <is>
          <t>Candidate, licence to confirm</t>
        </is>
      </c>
      <c r="V27" s="24" t="inlineStr"/>
      <c r="W27" s="24" t="inlineStr"/>
      <c r="X27" s="24" t="inlineStr"/>
    </row>
    <row r="28">
      <c r="A28" s="24" t="n">
        <v>27</v>
      </c>
      <c r="B28" s="24" t="inlineStr">
        <is>
          <t>Work and motivation</t>
        </is>
      </c>
      <c r="C28" s="24" t="inlineStr">
        <is>
          <t>Copenhagen Burnout Inventory</t>
        </is>
      </c>
      <c r="D28" s="24" t="inlineStr">
        <is>
          <t>CBI</t>
        </is>
      </c>
      <c r="E28" s="24" t="inlineStr">
        <is>
          <t>Tage Kristensen, Marianne Borritz, Ebbe Villadsen and Karl Christensen, National Research Centre for the Working Environment, Denmark</t>
        </is>
      </c>
      <c r="F28" s="24" t="n">
        <v>2005</v>
      </c>
      <c r="G28" s="24" t="inlineStr">
        <is>
          <t>Burnout as fatigue and exhaustion attributed to three domains: life in general, work, and work with clients.</t>
        </is>
      </c>
      <c r="H28" s="24" t="n">
        <v>19</v>
      </c>
      <c r="I28" s="24" t="inlineStr">
        <is>
          <t>5 point frequency scale (always, often, sometimes, seldom, never or almost never) or 5 point degree scale (to a very high degree to a very low degree) depending on item.</t>
        </is>
      </c>
      <c r="J28" s="24" t="inlineStr">
        <is>
          <t>Personal burnout (6 items), Work related burnout (7 items), Client related burnout (6 items)</t>
        </is>
      </c>
      <c r="K28" s="24" t="inlineStr">
        <is>
          <t>Responses scored 100, 75, 50, 25, 0; subscale score is the item mean (0 to 100), one work item reversed. Higher is more burnout. NFA gives no formal cut off; PUMA reported 50 or more as high, and later studies use 50 moderate, 75 high, 100 severe.</t>
        </is>
      </c>
      <c r="L28" s="24" t="inlineStr">
        <is>
          <t>free with attribution (CC or stated)</t>
        </is>
      </c>
      <c r="M28" s="24" t="inlineStr">
        <is>
          <t>NFA: the CBI "may be used freely for non-commercial and commercial purposes, provided that the following source is clearly cited" (Borritz et al., 2006, Scandinavian Journal of Public Health).</t>
        </is>
      </c>
      <c r="N28" s="24" t="inlineStr">
        <is>
          <t>https://www.nfa.dk/vaerktoejer/spoergeskemaer/spoergeskema-til-maaling-af-udbraendthed-cbi/copenhagen-burnout-inventory-cbi</t>
        </is>
      </c>
      <c r="O28" s="24" t="inlineStr">
        <is>
          <t>Yes</t>
        </is>
      </c>
      <c r="P28" s="24" t="inlineStr">
        <is>
          <t>https://nfa.dk/media/hl5nbers/cbi-first-edition.pdf</t>
        </is>
      </c>
      <c r="Q28" s="24" t="inlineStr"/>
      <c r="R28" s="24" t="inlineStr">
        <is>
          <t>Strong choice for coaching: free for commercial use with citation, and the personal versus work split helps locate the source of exhaustion.</t>
        </is>
      </c>
      <c r="S28" s="24" t="inlineStr"/>
      <c r="T28" s="24" t="inlineStr">
        <is>
          <t>https://nfa.dk/media/hl5nbers/cbi-first-edition.pdf</t>
        </is>
      </c>
      <c r="U28" s="24" t="inlineStr">
        <is>
          <t>Candidate, client facing possible</t>
        </is>
      </c>
      <c r="V28" s="24" t="inlineStr"/>
      <c r="W28" s="24" t="inlineStr"/>
      <c r="X28" s="24" t="inlineStr"/>
    </row>
    <row r="29">
      <c r="A29" s="24" t="n">
        <v>28</v>
      </c>
      <c r="B29" s="24" t="inlineStr">
        <is>
          <t>Work and motivation</t>
        </is>
      </c>
      <c r="C29" s="24" t="inlineStr">
        <is>
          <t>Burnout Assessment Tool (BAT-23 and BAT-12)</t>
        </is>
      </c>
      <c r="D29" s="24" t="inlineStr">
        <is>
          <t>BAT</t>
        </is>
      </c>
      <c r="E29" s="24" t="inlineStr">
        <is>
          <t>Wilmar Schaufeli, Hans De Witte and Steffie Desart, KU Leuven</t>
        </is>
      </c>
      <c r="F29" s="24" t="n">
        <v>2020</v>
      </c>
      <c r="G29" s="24" t="inlineStr">
        <is>
          <t>Burnout as a work related syndrome of exhaustion, mental distance, emotional impairment and cognitive impairment, plus secondary psychological and psychosomatic complaints.</t>
        </is>
      </c>
      <c r="H29" s="24" t="n">
        <v>23</v>
      </c>
      <c r="I29" s="24" t="inlineStr">
        <is>
          <t>5 point frequency scale from 1 (never) to 5 (always).</t>
        </is>
      </c>
      <c r="J29" s="24" t="inlineStr">
        <is>
          <t>Exhaustion, Mental distance, Cognitive impairment, Emotional impairment, Secondary symptoms (psychological distress and psychosomatic complaints, combined)</t>
        </is>
      </c>
      <c r="K29" s="24" t="inlineStr">
        <is>
          <t>Scale and total scores are item means (1 to 5); higher is worse. Core total cut offs (Flemish norms): BAT-23 green to 2.58, orange 2.59 to 3.01, red 3.02 and above; BAT-12 green to 2.53, orange 2.54 to 2.95, red 2.96 and above. Manual recommends the BAT-12 total for individual use.</t>
        </is>
      </c>
      <c r="L29" s="24" t="inlineStr">
        <is>
          <t>free for non commercial or research only</t>
        </is>
      </c>
      <c r="M29" s="24" t="inlineStr">
        <is>
          <t>Manual: "All rights reserved. No part of this publication may be reproduced ... without prior written permission of the authors." Author site describes the BAT as a "freely available instrument"; the BAT website states it is free for non commercial use and that commercial use requires permission.</t>
        </is>
      </c>
      <c r="N29" s="24" t="inlineStr">
        <is>
          <t>https://www.anzsom.org.au/static/uploads/files/journal-club-2022-user-manual-bat-version-2-0-wfyrofkargol.pdf</t>
        </is>
      </c>
      <c r="O29" s="24" t="inlineStr">
        <is>
          <t>Yes</t>
        </is>
      </c>
      <c r="P29" s="24" t="inlineStr">
        <is>
          <t>https://www.utwente.nl/en/p-nut/events/PhD-EngDDays/PhD-EngDDay2020/Program/bat-english.pdf</t>
        </is>
      </c>
      <c r="Q29" s="24" t="inlineStr"/>
      <c r="R29" s="24" t="inlineStr">
        <is>
          <t>Modern burnout measure with traffic light cut offs; confirm commercial permission via burnoutassessmenttool.be before fee based coaching use.</t>
        </is>
      </c>
      <c r="S29" s="24" t="inlineStr"/>
      <c r="T29" s="24" t="inlineStr">
        <is>
          <t>https://www.wilmarschaufeli.nl/?p=2551</t>
        </is>
      </c>
      <c r="U29" s="24" t="inlineStr">
        <is>
          <t>Candidate, licence to confirm</t>
        </is>
      </c>
      <c r="V29" s="24" t="inlineStr"/>
      <c r="W29" s="24" t="inlineStr"/>
      <c r="X29" s="24" t="inlineStr"/>
    </row>
    <row r="30">
      <c r="A30" s="24" t="n">
        <v>29</v>
      </c>
      <c r="B30" s="24" t="inlineStr">
        <is>
          <t>Work and motivation</t>
        </is>
      </c>
      <c r="C30" s="24" t="inlineStr">
        <is>
          <t>Brayfield Rothe Index of Job Satisfaction (with 5 item abridged form)</t>
        </is>
      </c>
      <c r="D30" s="24" t="inlineStr">
        <is>
          <t>BRJSI</t>
        </is>
      </c>
      <c r="E30" s="24" t="inlineStr">
        <is>
          <t>Arthur Brayfield and Harold Rothe; 5 item abridgement by Judge, Locke, Durham and Kluger</t>
        </is>
      </c>
      <c r="F30" s="24" t="n">
        <v>1951</v>
      </c>
      <c r="G30" s="24" t="inlineStr">
        <is>
          <t>Overall affective job satisfaction.</t>
        </is>
      </c>
      <c r="H30" s="24" t="n">
        <v>18</v>
      </c>
      <c r="I30" s="24" t="inlineStr">
        <is>
          <t>5 point agreement scale from strongly disagree to strongly agree (original used 5 options per statement); the 5 item abridged form uses the same agreement format.</t>
        </is>
      </c>
      <c r="J30" s="24" t="inlineStr">
        <is>
          <t>Single overall job satisfaction score</t>
        </is>
      </c>
      <c r="K30" s="24" t="inlineStr">
        <is>
          <t>Sum or mean after reversing negatively worded items; higher is more satisfied. No clinical cut offs; interpret against sample norms.</t>
        </is>
      </c>
      <c r="L30" s="24" t="inlineStr">
        <is>
          <t>not stated</t>
        </is>
      </c>
      <c r="M30" s="24" t="inlineStr">
        <is>
          <t>No licence or permission statement found; published in Journal of Applied Psychology 1951 and conventionally reproduced freely in research.</t>
        </is>
      </c>
      <c r="N30" s="24" t="inlineStr">
        <is>
          <t>https://verdi.cs.ucl.ac.uk/constructDB/publications/brayfield-index-1951.html</t>
        </is>
      </c>
      <c r="O30" s="24" t="inlineStr">
        <is>
          <t>No</t>
        </is>
      </c>
      <c r="P30" s="24" t="inlineStr">
        <is>
          <t>https://verdi.cs.ucl.ac.uk/constructDB/publications/brayfield-index-1951.html</t>
        </is>
      </c>
      <c r="Q30" s="24" t="inlineStr"/>
      <c r="R30" s="24" t="inlineStr">
        <is>
          <t>Quick global satisfaction check; the 5 item version is practical for intake, though the item text sits in paywalled journals.</t>
        </is>
      </c>
      <c r="S30" s="24" t="inlineStr"/>
      <c r="T30" s="24" t="inlineStr">
        <is>
          <t>https://verdi.cs.ucl.ac.uk/constructDB/publications/brayfield-index-1951.html</t>
        </is>
      </c>
      <c r="U30" s="24" t="inlineStr">
        <is>
          <t>Candidate, licence to confirm</t>
        </is>
      </c>
      <c r="V30" s="24" t="inlineStr"/>
      <c r="W30" s="24" t="inlineStr"/>
      <c r="X30" s="24" t="inlineStr"/>
    </row>
    <row r="31">
      <c r="A31" s="24" t="n">
        <v>30</v>
      </c>
      <c r="B31" s="24" t="inlineStr">
        <is>
          <t>Work and motivation</t>
        </is>
      </c>
      <c r="C31" s="24" t="inlineStr">
        <is>
          <t>Brief Index of Affective Job Satisfaction</t>
        </is>
      </c>
      <c r="D31" s="24" t="inlineStr">
        <is>
          <t>BIAJS</t>
        </is>
      </c>
      <c r="E31" s="24" t="inlineStr">
        <is>
          <t>Edmund Thompson and Florence Phua</t>
        </is>
      </c>
      <c r="F31" s="24" t="n">
        <v>2012</v>
      </c>
      <c r="G31" s="24" t="inlineStr">
        <is>
          <t>Purely affective (feeling based) overall job satisfaction, free of cognitive or facet content.</t>
        </is>
      </c>
      <c r="H31" s="24" t="n">
        <v>7</v>
      </c>
      <c r="I31" s="24" t="inlineStr">
        <is>
          <t>5 point agreement scale from 1 (strongly disagree) to 5 (strongly agree).</t>
        </is>
      </c>
      <c r="J31" s="24" t="inlineStr">
        <is>
          <t>Affective job satisfaction (4 scored items; 3 distracter items not scored)</t>
        </is>
      </c>
      <c r="K31" s="24" t="inlineStr">
        <is>
          <t>Mean of the 4 core items (1 to 5); higher is more satisfied. No published cut offs.</t>
        </is>
      </c>
      <c r="L31" s="24" t="inlineStr">
        <is>
          <t>not stated</t>
        </is>
      </c>
      <c r="M31" s="24" t="inlineStr">
        <is>
          <t>No licence statement for the instrument itself; the English items are reproduced in an open access Frontiers in Psychology article "distributed under the terms of the Creative Commons Attribution License (CC BY)".</t>
        </is>
      </c>
      <c r="N31" s="24" t="inlineStr">
        <is>
          <t>https://www.frontiersin.org/articles/10.3389/fpsyg.2018.00930/full</t>
        </is>
      </c>
      <c r="O31" s="24" t="inlineStr">
        <is>
          <t>Yes</t>
        </is>
      </c>
      <c r="P31" s="24" t="inlineStr">
        <is>
          <t>https://www.frontiersin.org/articles/10.3389/fpsyg.2018.00930/full</t>
        </is>
      </c>
      <c r="Q31" s="24" t="inlineStr"/>
      <c r="R31" s="24" t="inlineStr">
        <is>
          <t>Shortest validated satisfaction index; good for tracking mood about work across a coaching engagement.</t>
        </is>
      </c>
      <c r="S31" s="24" t="inlineStr"/>
      <c r="T31" s="24" t="inlineStr">
        <is>
          <t>https://centaur.reading.ac.uk/26022/</t>
        </is>
      </c>
      <c r="U31" s="24" t="inlineStr">
        <is>
          <t>Candidate, licence to confirm</t>
        </is>
      </c>
      <c r="V31" s="24" t="inlineStr"/>
      <c r="W31" s="24" t="inlineStr"/>
      <c r="X31" s="24" t="inlineStr"/>
    </row>
    <row r="32">
      <c r="A32" s="24" t="n">
        <v>31</v>
      </c>
      <c r="B32" s="24" t="inlineStr">
        <is>
          <t>Work and motivation</t>
        </is>
      </c>
      <c r="C32" s="24" t="inlineStr">
        <is>
          <t>Work Design Questionnaire</t>
        </is>
      </c>
      <c r="D32" s="24" t="inlineStr">
        <is>
          <t>WDQ</t>
        </is>
      </c>
      <c r="E32" s="24" t="inlineStr">
        <is>
          <t>Frederick Morgeson and Stephen Humphrey</t>
        </is>
      </c>
      <c r="F32" s="24" t="n">
        <v>2006</v>
      </c>
      <c r="G32" s="24" t="inlineStr">
        <is>
          <t>Comprehensive work characteristics: task, knowledge, social and work context characteristics of a job.</t>
        </is>
      </c>
      <c r="H32" s="24" t="n">
        <v>77</v>
      </c>
      <c r="I32" s="24" t="inlineStr">
        <is>
          <t>5 point agreement scale from 1 (strongly disagree) to 5 (strongly agree).</t>
        </is>
      </c>
      <c r="J32" s="24" t="inlineStr">
        <is>
          <t>Task characteristics (autonomy, task variety, significance, identity, feedback from job), Knowledge characteristics (complexity, information processing, problem solving, skill variety, specialisation), Social characteristics (social support, interdependence, interaction outside organisation, feedback from others), Work context (ergonomics, physical demands, work conditions, equipment use)</t>
        </is>
      </c>
      <c r="K32" s="24" t="inlineStr">
        <is>
          <t>21 scale scores as item means (1 to 5); no total score and no cut offs. Profiles are interpreted scale by scale.</t>
        </is>
      </c>
      <c r="L32" s="24" t="inlineStr">
        <is>
          <t>not stated</t>
        </is>
      </c>
      <c r="M32" s="24" t="inlineStr">
        <is>
          <t>No licence statement found on the international WDQ site; items are in the appendix of the 2006 Journal of Applied Psychology article and the author site offers the WDQ for research use. A German adaptation is sold by Hogrefe.</t>
        </is>
      </c>
      <c r="N32" s="24" t="inlineStr">
        <is>
          <t>https://www.socialpsychology.uni-frankfurt.de/57622667/WDQ_Homepage</t>
        </is>
      </c>
      <c r="O32" s="24" t="inlineStr">
        <is>
          <t>No</t>
        </is>
      </c>
      <c r="P32" s="24" t="inlineStr">
        <is>
          <t>https://www.socialpsychology.uni-frankfurt.de/57622667/WDQ_Homepage</t>
        </is>
      </c>
      <c r="Q32" s="24" t="inlineStr"/>
      <c r="R32" s="24" t="inlineStr">
        <is>
          <t>Excellent for job redesign conversations; long, and commercial use should be cleared with Morgeson.</t>
        </is>
      </c>
      <c r="S32" s="24" t="inlineStr"/>
      <c r="T32" s="24" t="inlineStr">
        <is>
          <t>https://link.springer.com/article/10.1186/s40359-022-00922-5</t>
        </is>
      </c>
      <c r="U32" s="24" t="inlineStr">
        <is>
          <t>Candidate, licence to confirm</t>
        </is>
      </c>
      <c r="V32" s="24" t="inlineStr"/>
      <c r="W32" s="24" t="inlineStr"/>
      <c r="X32" s="24" t="inlineStr"/>
    </row>
    <row r="33">
      <c r="A33" s="24" t="n">
        <v>32</v>
      </c>
      <c r="B33" s="24" t="inlineStr">
        <is>
          <t>Work and motivation</t>
        </is>
      </c>
      <c r="C33" s="24" t="inlineStr">
        <is>
          <t>Job Diagnostic Survey (revised 15 item core job characteristics form)</t>
        </is>
      </c>
      <c r="D33" s="24" t="inlineStr">
        <is>
          <t>JDS</t>
        </is>
      </c>
      <c r="E33" s="24" t="inlineStr">
        <is>
          <t>J. Richard Hackman and Greg Oldham; revision by Idaszak and Drasgow</t>
        </is>
      </c>
      <c r="F33" s="24" t="n">
        <v>1974</v>
      </c>
      <c r="G33" s="24" t="inlineStr">
        <is>
          <t>Core job characteristics from the Job Characteristics Model: skill variety, task identity, task significance, autonomy and feedback.</t>
        </is>
      </c>
      <c r="H33" s="24" t="n">
        <v>15</v>
      </c>
      <c r="I33" s="24" t="inlineStr">
        <is>
          <t>7 point scales; the original mixes a 1 to 7 descriptive format with 1 (very inaccurate) to 7 (very accurate) agreement items.</t>
        </is>
      </c>
      <c r="J33" s="24" t="inlineStr">
        <is>
          <t>Skill variety, Task identity, Task significance, Autonomy, Feedback from the job</t>
        </is>
      </c>
      <c r="K33" s="24" t="inlineStr">
        <is>
          <t>Scale means (1 to 7). Motivating Potential Score = mean of variety, identity and significance, multiplied by autonomy and by feedback (range 1 to 343). Full JDS adds psychological states, satisfaction and growth need strength scales.</t>
        </is>
      </c>
      <c r="L33" s="24" t="inlineStr">
        <is>
          <t>public domain</t>
        </is>
      </c>
      <c r="M33" s="24" t="inlineStr">
        <is>
          <t>Developed under US Office of Naval Research funding; DTIC technical report AD0779828 is marked "Approved For Public Release; Distribution Is Unlimited."</t>
        </is>
      </c>
      <c r="N33" s="24" t="inlineStr">
        <is>
          <t>https://apps.dtic.mil/sti/html/tr/AD0779828/index.html</t>
        </is>
      </c>
      <c r="O33" s="24" t="inlineStr">
        <is>
          <t>Yes</t>
        </is>
      </c>
      <c r="P33" s="24" t="inlineStr">
        <is>
          <t>https://apps.dtic.mil/sti/tr/pdf/AD0779828.pdf</t>
        </is>
      </c>
      <c r="Q33" s="24" t="inlineStr"/>
      <c r="R33" s="24" t="inlineStr">
        <is>
          <t>Classic, freely reproducible diagnostic of how motivating a role is; dated wording but still useful for role shaping conversations.</t>
        </is>
      </c>
      <c r="S33" s="24" t="inlineStr"/>
      <c r="T33" s="24" t="inlineStr">
        <is>
          <t>https://paulspector.com/assessments/assessment-archive/job-environment/job-diagnostic-survey-jds/</t>
        </is>
      </c>
      <c r="U33" s="24" t="inlineStr">
        <is>
          <t>Candidate, client facing possible</t>
        </is>
      </c>
      <c r="V33" s="24" t="inlineStr"/>
      <c r="W33" s="24" t="inlineStr"/>
      <c r="X33" s="24" t="inlineStr"/>
    </row>
    <row r="34">
      <c r="A34" s="24" t="n">
        <v>33</v>
      </c>
      <c r="B34" s="24" t="inlineStr">
        <is>
          <t>Work and motivation</t>
        </is>
      </c>
      <c r="C34" s="24" t="inlineStr">
        <is>
          <t>Compound PsyCap Scale</t>
        </is>
      </c>
      <c r="D34" s="24" t="inlineStr">
        <is>
          <t>CPC-12</t>
        </is>
      </c>
      <c r="E34" s="24" t="inlineStr">
        <is>
          <t>Timo Lorenz, Clemens Beer, Jan Pütz and Kathrin Heinitz, Freie Universität Berlin</t>
        </is>
      </c>
      <c r="F34" s="24" t="n">
        <v>2016</v>
      </c>
      <c r="G34" s="24" t="inlineStr">
        <is>
          <t>Psychological capital: hope, optimism, resilience and self efficacy, as a free alternative to the commercial PCQ.</t>
        </is>
      </c>
      <c r="H34" s="24" t="n">
        <v>12</v>
      </c>
      <c r="I34" s="24" t="inlineStr">
        <is>
          <t>6 point agreement scale from 1 (strongly disagree) to 6 (strongly agree).</t>
        </is>
      </c>
      <c r="J34" s="24" t="inlineStr">
        <is>
          <t>Hope (3 items), Optimism (3 items), Resilience (3 items), Self efficacy (3 items)</t>
        </is>
      </c>
      <c r="K34" s="24" t="inlineStr">
        <is>
          <t>Subscale and total means (1 to 6); higher is more PsyCap. Authors note norms have not been established; no cut offs.</t>
        </is>
      </c>
      <c r="L34" s="24" t="inlineStr">
        <is>
          <t>free with attribution (CC or stated)</t>
        </is>
      </c>
      <c r="M34" s="24" t="inlineStr">
        <is>
          <t>PLOS ONE: "This is an open access article distributed under the terms of the Creative Commons Attribution License, which permits unrestricted use, distribution, and reproduction in any medium, provided the original author and source are credited."</t>
        </is>
      </c>
      <c r="N34" s="24" t="inlineStr">
        <is>
          <t>https://journals.plos.org/plosone/article?id=10.1371/journal.pone.0152892</t>
        </is>
      </c>
      <c r="O34" s="24" t="inlineStr">
        <is>
          <t>Yes</t>
        </is>
      </c>
      <c r="P34" s="24" t="inlineStr">
        <is>
          <t>https://journals.plos.org/plosone/article?id=10.1371/journal.pone.0152892</t>
        </is>
      </c>
      <c r="Q34" s="24" t="inlineStr"/>
      <c r="R34" s="24" t="inlineStr">
        <is>
          <t>Explicitly built as an open PsyCap measure; items appear in Figure 1 and in the open access CPC-12R revision (Dudasova et al., 2021).</t>
        </is>
      </c>
      <c r="S34" s="24" t="inlineStr"/>
      <c r="T34" s="24" t="inlineStr">
        <is>
          <t>https://journals.plos.org/plosone/article?id=10.1371/journal.pone.0152892</t>
        </is>
      </c>
      <c r="U34" s="24" t="inlineStr">
        <is>
          <t>Candidate, client facing possible</t>
        </is>
      </c>
      <c r="V34" s="24" t="inlineStr"/>
      <c r="W34" s="24" t="inlineStr"/>
      <c r="X34" s="24" t="inlineStr"/>
    </row>
    <row r="35">
      <c r="A35" s="24" t="n">
        <v>34</v>
      </c>
      <c r="B35" s="24" t="inlineStr">
        <is>
          <t>Work and motivation</t>
        </is>
      </c>
      <c r="C35" s="24" t="inlineStr">
        <is>
          <t>Clance Impostor Phenomenon Scale</t>
        </is>
      </c>
      <c r="D35" s="24" t="inlineStr">
        <is>
          <t>CIPS</t>
        </is>
      </c>
      <c r="E35" s="24" t="inlineStr">
        <is>
          <t>Pauline Rose Clance</t>
        </is>
      </c>
      <c r="F35" s="24" t="n">
        <v>1985</v>
      </c>
      <c r="G35" s="24" t="inlineStr">
        <is>
          <t>Impostor phenomenon: fear of evaluation, fear of not repeating success, and feeling less capable than others believe.</t>
        </is>
      </c>
      <c r="H35" s="24" t="n">
        <v>20</v>
      </c>
      <c r="I35" s="24" t="inlineStr">
        <is>
          <t>5 point scale from 1 (not at all true) to 5 (very true).</t>
        </is>
      </c>
      <c r="J35" s="24" t="inlineStr">
        <is>
          <t>Single total score (factor studies suggest fake, discount and luck facets)</t>
        </is>
      </c>
      <c r="K35" s="24" t="inlineStr">
        <is>
          <t>Sum of 20 items (20 to 100). Bands: 40 or less few impostor characteristics; 41 to 60 moderate; 61 to 80 frequent; above 80 intense. Research cut off commonly 62.</t>
        </is>
      </c>
      <c r="L35" s="24" t="inlineStr">
        <is>
          <t>permission required</t>
        </is>
      </c>
      <c r="M35" s="24" t="inlineStr">
        <is>
          <t>"Copyright 1985 by Pauline Rose Clance, Ph.D., ABPP." "Do not reproduce without permission from Pauline Rose Clance" (drpaulinerose@comcast.net). Her site asks users to request permission and allows free use for research and non profit purposes.</t>
        </is>
      </c>
      <c r="N35" s="24" t="inlineStr">
        <is>
          <t>https://paulineroseclance.com/impostor_phenomenon.html</t>
        </is>
      </c>
      <c r="O35" s="24" t="inlineStr">
        <is>
          <t>Yes</t>
        </is>
      </c>
      <c r="P35" s="24" t="inlineStr">
        <is>
          <t>https://paulineroseclance.com/pdf/IPTestandscoring.pdf</t>
        </is>
      </c>
      <c r="Q35" s="24" t="inlineStr"/>
      <c r="R35" s="24" t="inlineStr">
        <is>
          <t>The reference impostor measure with clear feedback bands; write to Dr Clance for permission before fee based coaching use.</t>
        </is>
      </c>
      <c r="S35" s="24" t="inlineStr"/>
      <c r="T35" s="24" t="inlineStr">
        <is>
          <t>https://pressbooks.umn.edu/app/uploads/sites/64/2020/06/Imposter-Syndrome-evaluation.pdf</t>
        </is>
      </c>
      <c r="U35" s="24" t="inlineStr">
        <is>
          <t>Sarah only if used (screener; never summarised to the client)</t>
        </is>
      </c>
      <c r="V35" s="24" t="inlineStr"/>
      <c r="W35" s="24" t="inlineStr"/>
      <c r="X35" s="24" t="inlineStr"/>
    </row>
    <row r="36">
      <c r="A36" s="24" t="n">
        <v>35</v>
      </c>
      <c r="B36" s="24" t="inlineStr">
        <is>
          <t>Work and motivation</t>
        </is>
      </c>
      <c r="C36" s="24" t="inlineStr">
        <is>
          <t>Leary Impostorism Scale</t>
        </is>
      </c>
      <c r="D36" s="24" t="inlineStr">
        <is>
          <t>LIS</t>
        </is>
      </c>
      <c r="E36" s="24" t="inlineStr">
        <is>
          <t>Mark Leary, Katharine Patton, Amy Orlando and Wendy Wagoner Funk</t>
        </is>
      </c>
      <c r="F36" s="24" t="n">
        <v>2000</v>
      </c>
      <c r="G36" s="24" t="inlineStr">
        <is>
          <t>Impostorism as the belief that others overestimate one's abilities and that one is a fraud.</t>
        </is>
      </c>
      <c r="H36" s="24" t="n">
        <v>7</v>
      </c>
      <c r="I36" s="24" t="inlineStr">
        <is>
          <t>5 point scale from 1 (not at all characteristic of me) to 5 (extremely characteristic of me).</t>
        </is>
      </c>
      <c r="J36" s="24" t="inlineStr">
        <is>
          <t>Single total score</t>
        </is>
      </c>
      <c r="K36" s="24" t="inlineStr">
        <is>
          <t>Sum (7 to 35) or mean; higher is more impostorism. No published cut offs.</t>
        </is>
      </c>
      <c r="L36" s="24" t="inlineStr">
        <is>
          <t>not stated</t>
        </is>
      </c>
      <c r="M36" s="24" t="inlineStr">
        <is>
          <t>No permission or copyright statement on the author's lab page or in the Journal of Personality article; the items are posted on Mark Leary's Duke University lab site.</t>
        </is>
      </c>
      <c r="N36" s="24" t="inlineStr">
        <is>
          <t>https://sites.duke.edu/leary/files/2019/05/Impostorism.pdf</t>
        </is>
      </c>
      <c r="O36" s="24" t="inlineStr">
        <is>
          <t>Yes</t>
        </is>
      </c>
      <c r="P36" s="24" t="inlineStr">
        <is>
          <t>https://sites.duke.edu/leary/files/2019/05/Impostorism.pdf</t>
        </is>
      </c>
      <c r="Q36" s="24" t="inlineStr"/>
      <c r="R36" s="24" t="inlineStr">
        <is>
          <t>Shortest impostor measure and freely posted by the author; good when the CIPS feels too long.</t>
        </is>
      </c>
      <c r="S36" s="24" t="inlineStr"/>
      <c r="T36" s="24" t="inlineStr">
        <is>
          <t>https://sites.duke.edu/leary/files/2019/05/Impostorism.pdf</t>
        </is>
      </c>
      <c r="U36" s="24" t="inlineStr">
        <is>
          <t>Candidate, licence to confirm</t>
        </is>
      </c>
      <c r="V36" s="24" t="inlineStr"/>
      <c r="W36" s="24" t="inlineStr"/>
      <c r="X36" s="24" t="inlineStr"/>
    </row>
    <row r="37">
      <c r="A37" s="24" t="n">
        <v>36</v>
      </c>
      <c r="B37" s="24" t="inlineStr">
        <is>
          <t>Work and motivation</t>
        </is>
      </c>
      <c r="C37" s="24" t="inlineStr">
        <is>
          <t>Short Grit Scale</t>
        </is>
      </c>
      <c r="D37" s="24" t="inlineStr">
        <is>
          <t>Grit-S</t>
        </is>
      </c>
      <c r="E37" s="24" t="inlineStr">
        <is>
          <t>Angela Duckworth and Patrick Quinn</t>
        </is>
      </c>
      <c r="F37" s="24" t="n">
        <v>2009</v>
      </c>
      <c r="G37" s="24" t="inlineStr">
        <is>
          <t>Grit: perseverance and passion for long term goals.</t>
        </is>
      </c>
      <c r="H37" s="24" t="n">
        <v>8</v>
      </c>
      <c r="I37" s="24" t="inlineStr">
        <is>
          <t>5 point scale from 1 (not like me at all) to 5 (very much like me).</t>
        </is>
      </c>
      <c r="J37" s="24" t="inlineStr">
        <is>
          <t>Consistency of interest (4 items, reverse scored), Perseverance of effort (4 items)</t>
        </is>
      </c>
      <c r="K37" s="24" t="inlineStr">
        <is>
          <t>Reverse the consistency items, sum all 8 and divide by 8; score 1 (not gritty) to 5 (extremely gritty). No cut offs; norms by age in Duckworth's publications.</t>
        </is>
      </c>
      <c r="L37" s="24" t="inlineStr">
        <is>
          <t>free for non commercial or research only</t>
        </is>
      </c>
      <c r="M37" s="24" t="inlineStr">
        <is>
          <t>angeladuckworth.com: "Researchers and educators are welcome to use the scales developed by Angela's lab for non-commercial purposes." "They cannot be published or used for commercial purposes or wide public distribution."</t>
        </is>
      </c>
      <c r="N37" s="24" t="inlineStr">
        <is>
          <t>https://www.angeladuckworth.com/measures</t>
        </is>
      </c>
      <c r="O37" s="24" t="inlineStr">
        <is>
          <t>Yes</t>
        </is>
      </c>
      <c r="P37" s="24" t="inlineStr">
        <is>
          <t>https://dlab.sauder.ubc.ca/sjdm/dmidi/files/Grit-8-item.pdf</t>
        </is>
      </c>
      <c r="Q37" s="24" t="inlineStr"/>
      <c r="R37" s="24" t="inlineStr">
        <is>
          <t>Popular and quick, but the stated terms exclude commercial use, so paid coaching would need Duckworth's permission.</t>
        </is>
      </c>
      <c r="S37" s="24" t="inlineStr"/>
      <c r="T37" s="24" t="inlineStr">
        <is>
          <t>https://www.angeladuckworth.com/measures</t>
        </is>
      </c>
      <c r="U37" s="24" t="inlineStr">
        <is>
          <t>Candidate, licence to confirm</t>
        </is>
      </c>
      <c r="V37" s="24" t="inlineStr"/>
      <c r="W37" s="24" t="inlineStr"/>
      <c r="X37" s="24" t="inlineStr"/>
    </row>
    <row r="38">
      <c r="A38" s="24" t="n">
        <v>37</v>
      </c>
      <c r="B38" s="24" t="inlineStr">
        <is>
          <t>Work and motivation</t>
        </is>
      </c>
      <c r="C38" s="24" t="inlineStr">
        <is>
          <t>Implicit Theories Scale (Theories of Intelligence and Kind of Person versions)</t>
        </is>
      </c>
      <c r="D38" s="24" t="inlineStr">
        <is>
          <t>ITIS</t>
        </is>
      </c>
      <c r="E38" s="24" t="inlineStr">
        <is>
          <t>Carol Dweck (with Chiu and Hong)</t>
        </is>
      </c>
      <c r="F38" s="24" t="n">
        <v>1999</v>
      </c>
      <c r="G38" s="24" t="inlineStr">
        <is>
          <t>Fixed versus growth mindset: beliefs about whether intelligence or personal character is malleable.</t>
        </is>
      </c>
      <c r="H38" s="24" t="n">
        <v>8</v>
      </c>
      <c r="I38" s="24" t="inlineStr">
        <is>
          <t>6 point agreement scale from 1 (strongly agree) to 6 (strongly disagree).</t>
        </is>
      </c>
      <c r="J38" s="24" t="inlineStr">
        <is>
          <t>Entity (fixed) beliefs (4 items), Incremental (growth) beliefs (4 items, reverse scored)</t>
        </is>
      </c>
      <c r="K38" s="24" t="inlineStr">
        <is>
          <t>Reverse the growth items and average all items; higher means a stronger growth mindset. Dweck's 3 item entity only form is also used. No cut offs.</t>
        </is>
      </c>
      <c r="L38" s="24" t="inlineStr">
        <is>
          <t>not stated</t>
        </is>
      </c>
      <c r="M38" s="24" t="inlineStr">
        <is>
          <t>No licence statement found; published in Dweck (1999) Self-Theories and Dweck, Chiu and Hong (1995), and reproduced on practitioner toolkits such as SPARQtools without stated terms.</t>
        </is>
      </c>
      <c r="N38" s="24" t="inlineStr">
        <is>
          <t>https://sparqtools.org/wp-content/uploads/2022/10/Kind-of-Person-Implicit-Theory-Scale.pdf</t>
        </is>
      </c>
      <c r="O38" s="24" t="inlineStr">
        <is>
          <t>Yes</t>
        </is>
      </c>
      <c r="P38" s="24" t="inlineStr">
        <is>
          <t>https://sparqtools.org/wp-content/uploads/2022/10/Kind-of-Person-Implicit-Theory-Scale.pdf</t>
        </is>
      </c>
      <c r="Q38" s="24" t="inlineStr"/>
      <c r="R38" s="24" t="inlineStr">
        <is>
          <t>Useful opener for development conversations; scores are face valid and easy to discuss.</t>
        </is>
      </c>
      <c r="S38" s="24" t="inlineStr"/>
      <c r="T38" s="24" t="inlineStr">
        <is>
          <t>https://sparqtools.org/wp-content/uploads/2022/10/Kind-of-Person-Implicit-Theory-Scale.pdf</t>
        </is>
      </c>
      <c r="U38" s="24" t="inlineStr">
        <is>
          <t>Candidate, licence to confirm</t>
        </is>
      </c>
      <c r="V38" s="24" t="inlineStr"/>
      <c r="W38" s="24" t="inlineStr"/>
      <c r="X38" s="24" t="inlineStr"/>
    </row>
    <row r="39">
      <c r="A39" s="24" t="n">
        <v>38</v>
      </c>
      <c r="B39" s="24" t="inlineStr">
        <is>
          <t>Work and motivation</t>
        </is>
      </c>
      <c r="C39" s="24" t="inlineStr">
        <is>
          <t>Work Extrinsic and Intrinsic Motivation Scale</t>
        </is>
      </c>
      <c r="D39" s="24" t="inlineStr">
        <is>
          <t>WEIMS</t>
        </is>
      </c>
      <c r="E39" s="24" t="inlineStr">
        <is>
          <t>Maxime Tremblay, Céline Blanchard, Sara Taylor, Luc Pelletier and Martin Villeneuve</t>
        </is>
      </c>
      <c r="F39" s="24" t="n">
        <v>2009</v>
      </c>
      <c r="G39" s="24" t="inlineStr">
        <is>
          <t>Work motivation along the self determination continuum, from intrinsic motivation to amotivation.</t>
        </is>
      </c>
      <c r="H39" s="24" t="n">
        <v>18</v>
      </c>
      <c r="I39" s="24" t="inlineStr">
        <is>
          <t>7 point scale from 1 (does not correspond at all) to 7 (corresponds exactly).</t>
        </is>
      </c>
      <c r="J39" s="24" t="inlineStr">
        <is>
          <t>Intrinsic motivation, Integrated regulation, Identified regulation, Introjected regulation, External regulation, Amotivation (3 items each)</t>
        </is>
      </c>
      <c r="K39" s="24" t="inlineStr">
        <is>
          <t>Subscale means (1 to 7). Work Self Determination Index: weight intrinsic +3, integrated +2, identified +1, introjected minus 1, external minus 2, amotivation minus 3 and sum (range minus 36 to +36). No cut offs.</t>
        </is>
      </c>
      <c r="L39" s="24" t="inlineStr">
        <is>
          <t>free for non commercial or research only</t>
        </is>
      </c>
      <c r="M39" s="24" t="inlineStr">
        <is>
          <t>CSDT: "To download the copyrighted questionnaires on the CSDT web site, you must agree to our terms and conditions." "All academic use is permitted" and "you must obtain permission from the Center for Self-Determination Theory for commercial use".</t>
        </is>
      </c>
      <c r="N39" s="24" t="inlineStr">
        <is>
          <t>https://selfdeterminationtheory.org/work-extrinsic-and-intrinsic-motivation-scale/</t>
        </is>
      </c>
      <c r="O39" s="24" t="inlineStr">
        <is>
          <t>Yes</t>
        </is>
      </c>
      <c r="P39" s="24" t="inlineStr">
        <is>
          <t>https://selfdeterminationtheory.org/work-extrinsic-and-intrinsic-motivation-scale/</t>
        </is>
      </c>
      <c r="Q39" s="24" t="inlineStr"/>
      <c r="R39" s="24" t="inlineStr">
        <is>
          <t>Gives a motivation profile that maps directly onto coaching conversations about why work matters; commercial licence via CSDT.</t>
        </is>
      </c>
      <c r="S39" s="24" t="inlineStr"/>
      <c r="T39" s="24" t="inlineStr">
        <is>
          <t>https://selfdeterminationtheory.org/work-extrinsic-and-intrinsic-motivation-scale/</t>
        </is>
      </c>
      <c r="U39" s="24" t="inlineStr">
        <is>
          <t>Candidate, licence to confirm</t>
        </is>
      </c>
      <c r="V39" s="24" t="inlineStr"/>
      <c r="W39" s="24" t="inlineStr"/>
      <c r="X39" s="24" t="inlineStr"/>
    </row>
    <row r="40">
      <c r="A40" s="24" t="n">
        <v>39</v>
      </c>
      <c r="B40" s="24" t="inlineStr">
        <is>
          <t>Work and motivation; Open repositories</t>
        </is>
      </c>
      <c r="C40" s="24" t="inlineStr">
        <is>
          <t>Multidimensional Work Motivation Scale</t>
        </is>
      </c>
      <c r="D40" s="24" t="inlineStr">
        <is>
          <t>MWMS</t>
        </is>
      </c>
      <c r="E40" s="24" t="inlineStr">
        <is>
          <t>Marylène Gagné, Jacques Forest, Maarten Vansteenkiste and colleagues</t>
        </is>
      </c>
      <c r="F40" s="24" t="n">
        <v>2015</v>
      </c>
      <c r="G40" s="24" t="inlineStr">
        <is>
          <t>Work motivation types from self determination theory, validated in seven languages and nine countries.</t>
        </is>
      </c>
      <c r="H40" s="24" t="n">
        <v>19</v>
      </c>
      <c r="I40" s="24" t="inlineStr">
        <is>
          <t>7 point scale from 1 (not at all) to 7 (completely), rating reasons for putting effort into one's job.</t>
        </is>
      </c>
      <c r="J40" s="24" t="inlineStr">
        <is>
          <t>Amotivation (3 items), Extrinsic regulation, social (3 items), Extrinsic regulation, material (3 items), Introjected regulation (4 items), Identified regulation (3 items), Intrinsic motivation (3 items)</t>
        </is>
      </c>
      <c r="K40" s="24" t="inlineStr">
        <is>
          <t>Subscale means (1 to 7); authors recommend reporting subscales rather than a single index. No cut offs.</t>
        </is>
      </c>
      <c r="L40" s="24" t="inlineStr">
        <is>
          <t>free for non commercial or research only</t>
        </is>
      </c>
      <c r="M40" s="24" t="inlineStr">
        <is>
          <t>CSDT terms: "All academic use is permitted" and "you must obtain permission from the Center for Self-Determination Theory for commercial use". Download requires agreeing to terms and giving an email address.</t>
        </is>
      </c>
      <c r="N40" s="24" t="inlineStr">
        <is>
          <t>https://selfdeterminationtheory.org/multidimensional-work-motivation-scale/</t>
        </is>
      </c>
      <c r="O40" s="24" t="inlineStr">
        <is>
          <t>Yes</t>
        </is>
      </c>
      <c r="P40" s="24" t="inlineStr">
        <is>
          <t>https://selfdeterminationtheory.org/multidimensional-work-motivation-scale/</t>
        </is>
      </c>
      <c r="Q40" s="24" t="inlineStr"/>
      <c r="R40" s="24" t="inlineStr">
        <is>
          <t>Stronger cross cultural evidence than the WEIMS and separates social from material extrinsic drivers; same CSDT licence.</t>
        </is>
      </c>
      <c r="S40" s="24" t="inlineStr"/>
      <c r="T40" s="24" t="inlineStr">
        <is>
          <t>https://selfdeterminationtheory.org/multidimensional-work-motivation-scale/</t>
        </is>
      </c>
      <c r="U40" s="24" t="inlineStr">
        <is>
          <t>Candidate, licence to confirm</t>
        </is>
      </c>
      <c r="V40" s="24" t="inlineStr"/>
      <c r="W40" s="24" t="inlineStr"/>
      <c r="X40" s="24" t="inlineStr"/>
    </row>
    <row r="41">
      <c r="A41" s="24" t="n">
        <v>40</v>
      </c>
      <c r="B41" s="24" t="inlineStr">
        <is>
          <t>Work and motivation</t>
        </is>
      </c>
      <c r="C41" s="24" t="inlineStr">
        <is>
          <t>Academic Motivation Scale (College version, AMS-C 28)</t>
        </is>
      </c>
      <c r="D41" s="24" t="inlineStr">
        <is>
          <t>AMS</t>
        </is>
      </c>
      <c r="E41" s="24" t="inlineStr">
        <is>
          <t>Robert Vallerand, Luc Pelletier, Marc Blais, Nathalie Brière, Caroline Senécal and Évelyne Vallières</t>
        </is>
      </c>
      <c r="F41" s="24" t="n">
        <v>1992</v>
      </c>
      <c r="G41" s="24" t="inlineStr">
        <is>
          <t>Motivation for study along the self determination continuum.</t>
        </is>
      </c>
      <c r="H41" s="24" t="n">
        <v>28</v>
      </c>
      <c r="I41" s="24" t="inlineStr">
        <is>
          <t>7 point scale from 1 (does not correspond at all) to 7 (corresponds exactly).</t>
        </is>
      </c>
      <c r="J41" s="24" t="inlineStr">
        <is>
          <t>Intrinsic motivation to know, Intrinsic motivation toward accomplishment, Intrinsic motivation to experience stimulation, Identified regulation, Introjected regulation, External regulation, Amotivation (4 items each)</t>
        </is>
      </c>
      <c r="K41" s="24" t="inlineStr">
        <is>
          <t>Subscale means (1 to 7); a self determination index can be computed by weighting subscales. No cut offs.</t>
        </is>
      </c>
      <c r="L41" s="24" t="inlineStr">
        <is>
          <t>free with attribution (CC or stated)</t>
        </is>
      </c>
      <c r="M41" s="24" t="inlineStr">
        <is>
          <t>Form footer: "Note: To use this scale you require only to mention the complete reference data." Copyright Vallerand et al., 1992.</t>
        </is>
      </c>
      <c r="N41" s="24" t="inlineStr">
        <is>
          <t>https://www.lrcs.uqam.ca/wp-content/uploads/2017/08/HS-emes_en.pdf</t>
        </is>
      </c>
      <c r="O41" s="24" t="inlineStr">
        <is>
          <t>Yes</t>
        </is>
      </c>
      <c r="P41" s="24" t="inlineStr">
        <is>
          <t>https://www.lrcs.uqam.ca/wp-content/uploads/2017/08/HS-emes_en.pdf</t>
        </is>
      </c>
      <c r="Q41" s="24" t="inlineStr"/>
      <c r="R41" s="24" t="inlineStr">
        <is>
          <t>Suited to student and early career coaching clients; use the college version for adults in tertiary study.</t>
        </is>
      </c>
      <c r="S41" s="24" t="inlineStr"/>
      <c r="T41" s="24" t="inlineStr">
        <is>
          <t>https://edinstruments.org/instruments/academic-motivation-scale-ams</t>
        </is>
      </c>
      <c r="U41" s="24" t="inlineStr">
        <is>
          <t>Candidate, client facing possible</t>
        </is>
      </c>
      <c r="V41" s="24" t="inlineStr"/>
      <c r="W41" s="24" t="inlineStr"/>
      <c r="X41" s="24" t="inlineStr"/>
    </row>
    <row r="42">
      <c r="A42" s="24" t="n">
        <v>41</v>
      </c>
      <c r="B42" s="24" t="inlineStr">
        <is>
          <t>Work and motivation</t>
        </is>
      </c>
      <c r="C42" s="24" t="inlineStr">
        <is>
          <t>Basic Psychological Need Satisfaction at Work Scale</t>
        </is>
      </c>
      <c r="D42" s="24" t="inlineStr">
        <is>
          <t>BPNS-W</t>
        </is>
      </c>
      <c r="E42" s="24" t="inlineStr">
        <is>
          <t>Edward Deci, Richard Ryan and colleagues (Deci et al., 2001; Ilardi et al., 1993)</t>
        </is>
      </c>
      <c r="F42" s="24" t="n">
        <v>2001</v>
      </c>
      <c r="G42" s="24" t="inlineStr">
        <is>
          <t>Satisfaction of the needs for autonomy, competence and relatedness in the workplace.</t>
        </is>
      </c>
      <c r="H42" s="24" t="n">
        <v>21</v>
      </c>
      <c r="I42" s="24" t="inlineStr">
        <is>
          <t>7 point scale from 1 (not at all true) to 7 (very true).</t>
        </is>
      </c>
      <c r="J42" s="24" t="inlineStr">
        <is>
          <t>Autonomy (7 items), Competence (6 items), Relatedness (8 items)</t>
        </is>
      </c>
      <c r="K42" s="24" t="inlineStr">
        <is>
          <t>Reverse negatively worded items and average within each need (1 to 7); higher is greater satisfaction. No cut offs.</t>
        </is>
      </c>
      <c r="L42" s="24" t="inlineStr">
        <is>
          <t>free for non commercial or research only</t>
        </is>
      </c>
      <c r="M42" s="24" t="inlineStr">
        <is>
          <t>CSDT terms: "All academic use is permitted" and permission must be obtained "from the Center for Self-Determination Theory for commercial use".</t>
        </is>
      </c>
      <c r="N42" s="24" t="inlineStr">
        <is>
          <t>https://selfdeterminationtheory.org/basic-psychological-need-satisfaction-scales/</t>
        </is>
      </c>
      <c r="O42" s="24" t="inlineStr">
        <is>
          <t>Yes</t>
        </is>
      </c>
      <c r="P42" s="24" t="inlineStr">
        <is>
          <t>https://selfdeterminationtheory.org/basic-psychological-need-satisfaction-scales/</t>
        </is>
      </c>
      <c r="Q42" s="24" t="inlineStr"/>
      <c r="R42" s="24" t="inlineStr">
        <is>
          <t>Diagnoses which core need a role is failing to meet; a natural bridge to job crafting goals. The 18 item Van den Broeck 2010 version is an alternative.</t>
        </is>
      </c>
      <c r="S42" s="24" t="inlineStr"/>
      <c r="T42" s="24" t="inlineStr">
        <is>
          <t>https://selfdeterminationtheory.org/basic-psychological-need-satisfaction-scales/</t>
        </is>
      </c>
      <c r="U42" s="24" t="inlineStr">
        <is>
          <t>Candidate, licence to confirm</t>
        </is>
      </c>
      <c r="V42" s="24" t="inlineStr"/>
      <c r="W42" s="24" t="inlineStr"/>
      <c r="X42" s="24" t="inlineStr"/>
    </row>
    <row r="43">
      <c r="A43" s="24" t="n">
        <v>42</v>
      </c>
      <c r="B43" s="24" t="inlineStr">
        <is>
          <t>Work and motivation</t>
        </is>
      </c>
      <c r="C43" s="24" t="inlineStr">
        <is>
          <t>Valued Living Questionnaire</t>
        </is>
      </c>
      <c r="D43" s="24" t="inlineStr">
        <is>
          <t>VLQ</t>
        </is>
      </c>
      <c r="E43" s="24" t="inlineStr">
        <is>
          <t>Kelly Wilson, Emily Sandoz, Jennifer Kitchens and Miguel Roberts</t>
        </is>
      </c>
      <c r="F43" s="24" t="n">
        <v>2010</v>
      </c>
      <c r="G43" s="24" t="inlineStr">
        <is>
          <t>Importance of, and consistency of living in line with, values across 10 life domains (ACT framework).</t>
        </is>
      </c>
      <c r="H43" s="24" t="n">
        <v>20</v>
      </c>
      <c r="I43" s="24" t="inlineStr">
        <is>
          <t>Each of 10 domains rated twice on 1 to 10 scales, first for importance and then for consistency of action over the past week.</t>
        </is>
      </c>
      <c r="J43" s="24" t="inlineStr">
        <is>
          <t>Importance (10 domains), Consistency (10 domains), Valued living composite</t>
        </is>
      </c>
      <c r="K43" s="24" t="inlineStr">
        <is>
          <t>Composite is the mean of importance multiplied by consistency across domains (1 to 100); discrepancies between importance and consistency identify targets. No cut offs.</t>
        </is>
      </c>
      <c r="L43" s="24" t="inlineStr">
        <is>
          <t>not stated</t>
        </is>
      </c>
      <c r="M43" s="24" t="inlineStr">
        <is>
          <t>No permission statement; the questionnaire and working guide are offered as free downloads by the Association for Contextual Behavioral Science.</t>
        </is>
      </c>
      <c r="N43" s="24" t="inlineStr">
        <is>
          <t>https://contextualscience.org/wilson_etal_vlq</t>
        </is>
      </c>
      <c r="O43" s="24" t="inlineStr">
        <is>
          <t>Yes</t>
        </is>
      </c>
      <c r="P43" s="24" t="inlineStr">
        <is>
          <t>https://contextualscience.org/wilson_etal_vlq</t>
        </is>
      </c>
      <c r="Q43" s="24" t="inlineStr"/>
      <c r="R43" s="24" t="inlineStr">
        <is>
          <t>Ideal values clarification exercise for career and life balance coaching; designed as a conversation tool rather than a norm referenced test.</t>
        </is>
      </c>
      <c r="S43" s="24" t="inlineStr"/>
      <c r="T43" s="24" t="inlineStr">
        <is>
          <t>https://contextualscience.org/wilson_etal_vlq</t>
        </is>
      </c>
      <c r="U43" s="24" t="inlineStr">
        <is>
          <t>Candidate, licence to confirm</t>
        </is>
      </c>
      <c r="V43" s="24" t="inlineStr"/>
      <c r="W43" s="24" t="inlineStr"/>
      <c r="X43" s="24" t="inlineStr"/>
    </row>
    <row r="44">
      <c r="A44" s="24" t="n">
        <v>43</v>
      </c>
      <c r="B44" s="24" t="inlineStr">
        <is>
          <t>Work and motivation</t>
        </is>
      </c>
      <c r="C44" s="24" t="inlineStr">
        <is>
          <t>Personal Growth Initiative Scale II</t>
        </is>
      </c>
      <c r="D44" s="24" t="inlineStr">
        <is>
          <t>PGIS-II</t>
        </is>
      </c>
      <c r="E44" s="24" t="inlineStr">
        <is>
          <t>Christine Robitschek and colleagues, Texas Tech University</t>
        </is>
      </c>
      <c r="F44" s="24" t="n">
        <v>2012</v>
      </c>
      <c r="G44" s="24" t="inlineStr">
        <is>
          <t>Active and intentional engagement in one's own growth: readiness, planning, resource use and action.</t>
        </is>
      </c>
      <c r="H44" s="24" t="n">
        <v>16</v>
      </c>
      <c r="I44" s="24" t="inlineStr">
        <is>
          <t>6 point agreement scale from 0 (disagree strongly) to 5 (agree strongly).</t>
        </is>
      </c>
      <c r="J44" s="24" t="inlineStr">
        <is>
          <t>Readiness for change (4 items), Planfulness (5 items), Using resources (3 items), Intentional behaviour (4 items)</t>
        </is>
      </c>
      <c r="K44" s="24" t="inlineStr">
        <is>
          <t>Subscale and total means or sums (total 0 to 80); higher is greater growth initiative. No cut offs.</t>
        </is>
      </c>
      <c r="L44" s="24" t="inlineStr">
        <is>
          <t>not stated</t>
        </is>
      </c>
      <c r="M44" s="24" t="inlineStr">
        <is>
          <t>No published licence statement found; the 2012 Journal of Counseling Psychology article is not open access and the author lists her email for permissions on the UPenn Positive Psychology Center page.</t>
        </is>
      </c>
      <c r="N44" s="24" t="inlineStr">
        <is>
          <t>https://ppc.sas.upenn.edu/node/216</t>
        </is>
      </c>
      <c r="O44" s="24" t="inlineStr">
        <is>
          <t>No</t>
        </is>
      </c>
      <c r="P44" s="24" t="inlineStr">
        <is>
          <t>https://www.redalyc.org/journal/3054/305458408031/</t>
        </is>
      </c>
      <c r="Q44" s="24" t="inlineStr"/>
      <c r="R44" s="24" t="inlineStr">
        <is>
          <t>Directly measures coaching readiness and self directed development; request the scale and terms from Robitschek.</t>
        </is>
      </c>
      <c r="S44" s="24" t="inlineStr"/>
      <c r="T44" s="24" t="inlineStr">
        <is>
          <t>https://www.redalyc.org/journal/3054/305458408031/</t>
        </is>
      </c>
      <c r="U44" s="24" t="inlineStr">
        <is>
          <t>Candidate, licence to confirm</t>
        </is>
      </c>
      <c r="V44" s="24" t="inlineStr"/>
      <c r="W44" s="24" t="inlineStr"/>
      <c r="X44" s="24" t="inlineStr"/>
    </row>
    <row r="45">
      <c r="A45" s="24" t="n">
        <v>44</v>
      </c>
      <c r="B45" s="24" t="inlineStr">
        <is>
          <t>Work and motivation</t>
        </is>
      </c>
      <c r="C45" s="24" t="inlineStr">
        <is>
          <t>Adult Hope Scale (Trait Hope Scale)</t>
        </is>
      </c>
      <c r="D45" s="24" t="inlineStr">
        <is>
          <t>AHS</t>
        </is>
      </c>
      <c r="E45" s="24" t="inlineStr">
        <is>
          <t>C. R. Snyder and colleagues, University of Kansas</t>
        </is>
      </c>
      <c r="F45" s="24" t="n">
        <v>1991</v>
      </c>
      <c r="G45" s="24" t="inlineStr">
        <is>
          <t>Dispositional hope: agency (goal directed energy) and pathways (planning to meet goals).</t>
        </is>
      </c>
      <c r="H45" s="24" t="n">
        <v>12</v>
      </c>
      <c r="I45" s="24" t="inlineStr">
        <is>
          <t>8 point scale from 1 (definitely false) to 8 (definitely true).</t>
        </is>
      </c>
      <c r="J45" s="24" t="inlineStr">
        <is>
          <t>Agency (4 items), Pathways (4 items), 4 filler items not scored</t>
        </is>
      </c>
      <c r="K45" s="24" t="inlineStr">
        <is>
          <t>Agency items 2, 9, 10, 12 and pathways items 1, 4, 6, 8 summed; total 8 to 64, subscales 4 to 32. Higher is more hopeful. No cut offs; often administered as The Future Scale.</t>
        </is>
      </c>
      <c r="L45" s="24" t="inlineStr">
        <is>
          <t>not stated</t>
        </is>
      </c>
      <c r="M45" s="24" t="inlineStr">
        <is>
          <t>No copyright or permission statement on the UPenn Positive Psychology Center or Council of Independent Colleges copies; the scale is published in full in Snyder et al. (1991) and widely reproduced without stated restriction.</t>
        </is>
      </c>
      <c r="N45" s="24" t="inlineStr">
        <is>
          <t>https://ppc.sas.upenn.edu/node/211</t>
        </is>
      </c>
      <c r="O45" s="24" t="inlineStr">
        <is>
          <t>Yes</t>
        </is>
      </c>
      <c r="P45" s="24" t="inlineStr">
        <is>
          <t>https://cic.edu/wp-content/uploads/2025/08/Hope-Scale.pdf</t>
        </is>
      </c>
      <c r="Q45" s="24" t="inlineStr"/>
      <c r="R45" s="24" t="inlineStr">
        <is>
          <t>Pairs well with goal setting work; the agency and pathways split tells you whether to coach on will or on ways.</t>
        </is>
      </c>
      <c r="S45" s="24" t="inlineStr"/>
      <c r="T45" s="24" t="inlineStr">
        <is>
          <t>https://ppc.sas.upenn.edu/node/211</t>
        </is>
      </c>
      <c r="U45" s="24" t="inlineStr">
        <is>
          <t>Candidate, licence to confirm</t>
        </is>
      </c>
      <c r="V45" s="24" t="inlineStr"/>
      <c r="W45" s="24" t="inlineStr"/>
      <c r="X45" s="24" t="inlineStr"/>
    </row>
    <row r="46">
      <c r="A46" s="24" t="n">
        <v>45</v>
      </c>
      <c r="B46" s="24" t="inlineStr">
        <is>
          <t>Work and motivation</t>
        </is>
      </c>
      <c r="C46" s="24" t="inlineStr">
        <is>
          <t>Strengths Use Scale</t>
        </is>
      </c>
      <c r="D46" s="24" t="inlineStr">
        <is>
          <t>SUS</t>
        </is>
      </c>
      <c r="E46" s="24" t="inlineStr">
        <is>
          <t>Reena Govindji and P. Alex Linley, Centre for Applied Positive Psychology</t>
        </is>
      </c>
      <c r="F46" s="24" t="n">
        <v>2007</v>
      </c>
      <c r="G46" s="24" t="inlineStr">
        <is>
          <t>The extent to which a person uses their strengths in daily life and work.</t>
        </is>
      </c>
      <c r="H46" s="24" t="n">
        <v>14</v>
      </c>
      <c r="I46" s="24" t="inlineStr">
        <is>
          <t>7 point agreement scale from 1 (strongly disagree) to 7 (strongly agree).</t>
        </is>
      </c>
      <c r="J46" s="24" t="inlineStr">
        <is>
          <t>Single strengths use score (a companion 8 item Strengths Knowledge Scale exists)</t>
        </is>
      </c>
      <c r="K46" s="24" t="inlineStr">
        <is>
          <t>Sum (14 to 98) or mean; higher is greater strengths use. No cut offs.</t>
        </is>
      </c>
      <c r="L46" s="24" t="inlineStr">
        <is>
          <t>not stated</t>
        </is>
      </c>
      <c r="M46" s="24" t="inlineStr">
        <is>
          <t>No licence statement found in the open access validation literature; original items in Govindji and Linley (2007) International Coaching Psychology Review, with CAPP as the originating organisation.</t>
        </is>
      </c>
      <c r="N46" s="24" t="inlineStr">
        <is>
          <t>https://www.frontiersin.org/articles/10.3389/fpsyg.2021.676153/full</t>
        </is>
      </c>
      <c r="O46" s="24" t="inlineStr">
        <is>
          <t>No</t>
        </is>
      </c>
      <c r="P46" s="24" t="inlineStr">
        <is>
          <t>https://www.frontiersin.org/articles/10.3389/fpsyg.2021.676153/full</t>
        </is>
      </c>
      <c r="Q46" s="24" t="inlineStr"/>
      <c r="R46" s="24" t="inlineStr">
        <is>
          <t>A free way to track strengths application after any strengths exercise, avoiding the commercial VIA; confirm terms with the authors.</t>
        </is>
      </c>
      <c r="S46" s="24" t="inlineStr"/>
      <c r="T46" s="24" t="inlineStr">
        <is>
          <t>https://www.frontiersin.org/articles/10.3389/fpsyg.2021.676153/full</t>
        </is>
      </c>
      <c r="U46" s="24" t="inlineStr">
        <is>
          <t>Candidate, licence to confirm</t>
        </is>
      </c>
      <c r="V46" s="24" t="inlineStr">
        <is>
          <t>Check: digital or platform use may need its own licence</t>
        </is>
      </c>
      <c r="W46" s="24" t="inlineStr"/>
      <c r="X46" s="24" t="inlineStr"/>
    </row>
    <row r="47">
      <c r="A47" s="24" t="n">
        <v>46</v>
      </c>
      <c r="B47" s="24" t="inlineStr">
        <is>
          <t>Work and motivation</t>
        </is>
      </c>
      <c r="C47" s="24" t="inlineStr">
        <is>
          <t>Occupational Self Efficacy Scale, short form</t>
        </is>
      </c>
      <c r="D47" s="24" t="inlineStr">
        <is>
          <t>OSS-SF</t>
        </is>
      </c>
      <c r="E47" s="24" t="inlineStr">
        <is>
          <t>Thomas Rigotti, Birgit Schyns and Gisela Mohr</t>
        </is>
      </c>
      <c r="F47" s="24" t="n">
        <v>2008</v>
      </c>
      <c r="G47" s="24" t="inlineStr">
        <is>
          <t>Confidence in one's ability to meet the demands of one's job.</t>
        </is>
      </c>
      <c r="H47" s="24" t="n">
        <v>6</v>
      </c>
      <c r="I47" s="24" t="inlineStr">
        <is>
          <t>6 point agreement scale from 1 (not at all true) to 6 (completely true).</t>
        </is>
      </c>
      <c r="J47" s="24" t="inlineStr">
        <is>
          <t>Single occupational self efficacy score</t>
        </is>
      </c>
      <c r="K47" s="24" t="inlineStr">
        <is>
          <t>Mean of 6 items (1 to 6); higher is more efficacious. Validated across five countries; no cut offs.</t>
        </is>
      </c>
      <c r="L47" s="24" t="inlineStr">
        <is>
          <t>not stated</t>
        </is>
      </c>
      <c r="M47" s="24" t="inlineStr">
        <is>
          <t>No permission statement found; the short form appears in Rigotti, Schyns and Mohr (2008) Journal of Career Assessment and in open access validation studies (CC BY).</t>
        </is>
      </c>
      <c r="N47" s="24" t="inlineStr">
        <is>
          <t>https://new.scielo.br/j/ptp/a/gZsnH6vLkcrnZyzG3tDqMwH/?ilang=es</t>
        </is>
      </c>
      <c r="O47" s="24" t="inlineStr">
        <is>
          <t>No</t>
        </is>
      </c>
      <c r="P47" s="24" t="inlineStr">
        <is>
          <t>https://psytests.org/life/osssfen.html</t>
        </is>
      </c>
      <c r="Q47" s="24" t="inlineStr"/>
      <c r="R47" s="24" t="inlineStr">
        <is>
          <t>Six items make it a convenient pre and post measure for confidence building coaching.</t>
        </is>
      </c>
      <c r="S47" s="24" t="inlineStr"/>
      <c r="T47" s="24" t="inlineStr">
        <is>
          <t>https://durham-repository.worktribe.com/output/1513264</t>
        </is>
      </c>
      <c r="U47" s="24" t="inlineStr">
        <is>
          <t>Candidate, licence to confirm</t>
        </is>
      </c>
      <c r="V47" s="24" t="inlineStr"/>
      <c r="W47" s="24" t="inlineStr"/>
      <c r="X47" s="24" t="inlineStr"/>
    </row>
    <row r="48">
      <c r="A48" s="24" t="n">
        <v>47</v>
      </c>
      <c r="B48" s="24" t="inlineStr">
        <is>
          <t>Work and motivation</t>
        </is>
      </c>
      <c r="C48" s="24" t="inlineStr">
        <is>
          <t>New General Self Efficacy Scale</t>
        </is>
      </c>
      <c r="D48" s="24" t="inlineStr">
        <is>
          <t>NGSE</t>
        </is>
      </c>
      <c r="E48" s="24" t="inlineStr">
        <is>
          <t>Gilad Chen, Stanley Gully and Dov Eden</t>
        </is>
      </c>
      <c r="F48" s="24" t="n">
        <v>2001</v>
      </c>
      <c r="G48" s="24" t="inlineStr">
        <is>
          <t>General self efficacy: belief in one's overall capability to perform across situations.</t>
        </is>
      </c>
      <c r="H48" s="24" t="n">
        <v>8</v>
      </c>
      <c r="I48" s="24" t="inlineStr">
        <is>
          <t>5 point agreement scale from 1 (strongly disagree) to 5 (strongly agree).</t>
        </is>
      </c>
      <c r="J48" s="24" t="inlineStr">
        <is>
          <t>Single general self efficacy score</t>
        </is>
      </c>
      <c r="K48" s="24" t="inlineStr">
        <is>
          <t>Mean of 8 items (1 to 5); no reverse items, higher is more efficacious. No cut offs.</t>
        </is>
      </c>
      <c r="L48" s="24" t="inlineStr">
        <is>
          <t>not stated</t>
        </is>
      </c>
      <c r="M48" s="24" t="inlineStr">
        <is>
          <t>No permission statement for the measure; published in Organizational Research Methods (2001) and reproduced in full on the Stanford SPARQtools toolkit without stated restrictions.</t>
        </is>
      </c>
      <c r="N48" s="24" t="inlineStr">
        <is>
          <t>https://sparqtools.org/mobility-measure/new-general-self-efficacy-scale/</t>
        </is>
      </c>
      <c r="O48" s="24" t="inlineStr">
        <is>
          <t>Yes</t>
        </is>
      </c>
      <c r="P48" s="24" t="inlineStr">
        <is>
          <t>https://sparqtools.org/wp-content/uploads/2022/10/New-General-Self-Efficacy-Scale.pdf</t>
        </is>
      </c>
      <c r="Q48" s="24" t="inlineStr"/>
      <c r="R48" s="24" t="inlineStr">
        <is>
          <t>Cleaner psychometrics than the older Sherer scale; useful baseline for confidence or transition coaching.</t>
        </is>
      </c>
      <c r="S48" s="24" t="inlineStr"/>
      <c r="T48" s="24" t="inlineStr">
        <is>
          <t>https://sparqtools.org/mobility-measure/new-general-self-efficacy-scale/</t>
        </is>
      </c>
      <c r="U48" s="24" t="inlineStr">
        <is>
          <t>Candidate, licence to confirm</t>
        </is>
      </c>
      <c r="V48" s="24" t="inlineStr"/>
      <c r="W48" s="24" t="inlineStr"/>
      <c r="X48" s="24" t="inlineStr"/>
    </row>
    <row r="49">
      <c r="A49" s="24" t="n">
        <v>48</v>
      </c>
      <c r="B49" s="24" t="inlineStr">
        <is>
          <t>Work and motivation</t>
        </is>
      </c>
      <c r="C49" s="24" t="inlineStr">
        <is>
          <t>Recovery Experience Questionnaire</t>
        </is>
      </c>
      <c r="D49" s="24" t="inlineStr">
        <is>
          <t>REQ</t>
        </is>
      </c>
      <c r="E49" s="24" t="inlineStr">
        <is>
          <t>Sabine Sonnentag and Charlotte Fritz</t>
        </is>
      </c>
      <c r="F49" s="24" t="n">
        <v>2007</v>
      </c>
      <c r="G49" s="24" t="inlineStr">
        <is>
          <t>How people recover from work during off job time: detachment, relaxation, mastery and control.</t>
        </is>
      </c>
      <c r="H49" s="24" t="n">
        <v>16</v>
      </c>
      <c r="I49" s="24" t="inlineStr">
        <is>
          <t>5 point agreement scale from 1 (strongly disagree) to 5 (strongly agree).</t>
        </is>
      </c>
      <c r="J49" s="24" t="inlineStr">
        <is>
          <t>Psychological detachment (4 items), Relaxation (4 items), Mastery experiences (4 items), Control during leisure time (4 items)</t>
        </is>
      </c>
      <c r="K49" s="24" t="inlineStr">
        <is>
          <t>Subscale means (1 to 5); higher is better recovery. No cut offs.</t>
        </is>
      </c>
      <c r="L49" s="24" t="inlineStr">
        <is>
          <t>not stated</t>
        </is>
      </c>
      <c r="M49" s="24" t="inlineStr">
        <is>
          <t>No permission statement found; items are published in the Journal of Occupational Health Psychology (2007) and reproduced in full in an open access Frontiers in Psychology article (CC BY).</t>
        </is>
      </c>
      <c r="N49" s="24" t="inlineStr">
        <is>
          <t>https://www.frontiersin.org/journals/psychology/articles/10.3389/fpsyg.2024.1466905/full</t>
        </is>
      </c>
      <c r="O49" s="24" t="inlineStr">
        <is>
          <t>Yes</t>
        </is>
      </c>
      <c r="P49" s="24" t="inlineStr">
        <is>
          <t>https://www.frontiersin.org/journals/psychology/articles/10.3389/fpsyg.2024.1466905/full</t>
        </is>
      </c>
      <c r="Q49" s="24" t="inlineStr"/>
      <c r="R49" s="24" t="inlineStr">
        <is>
          <t>The standard work life boundary and recovery measure; detachment scores give concrete targets for after hours habits.</t>
        </is>
      </c>
      <c r="S49" s="24" t="inlineStr"/>
      <c r="T49" s="24" t="inlineStr">
        <is>
          <t>https://www.frontiersin.org/journals/psychology/articles/10.3389/fpsyg.2024.1466905/full</t>
        </is>
      </c>
      <c r="U49" s="24" t="inlineStr">
        <is>
          <t>Candidate, licence to confirm</t>
        </is>
      </c>
      <c r="V49" s="24" t="inlineStr"/>
      <c r="W49" s="24" t="inlineStr"/>
      <c r="X49" s="24" t="inlineStr"/>
    </row>
    <row r="50">
      <c r="A50" s="24" t="n">
        <v>49</v>
      </c>
      <c r="B50" s="24" t="inlineStr">
        <is>
          <t>Work and motivation</t>
        </is>
      </c>
      <c r="C50" s="24" t="inlineStr">
        <is>
          <t>Survey of Perceived Organizational Support, 8 item short form</t>
        </is>
      </c>
      <c r="D50" s="24" t="inlineStr">
        <is>
          <t>SPOS-8</t>
        </is>
      </c>
      <c r="E50" s="24" t="inlineStr">
        <is>
          <t>Robert Eisenberger, Robin Huntington, Steven Hutchison and Debora Sowa</t>
        </is>
      </c>
      <c r="F50" s="24" t="n">
        <v>1986</v>
      </c>
      <c r="G50" s="24" t="inlineStr">
        <is>
          <t>Employees' belief that their organisation values their contributions and cares about their wellbeing.</t>
        </is>
      </c>
      <c r="H50" s="24" t="n">
        <v>8</v>
      </c>
      <c r="I50" s="24" t="inlineStr">
        <is>
          <t>7 point agreement scale from 0 or 1 (strongly disagree) to 6 or 7 (strongly agree).</t>
        </is>
      </c>
      <c r="J50" s="24" t="inlineStr">
        <is>
          <t>Single perceived organisational support score</t>
        </is>
      </c>
      <c r="K50" s="24" t="inlineStr">
        <is>
          <t>Reverse negatively worded items and average; higher is more support. 8 and 16 item forms perform as well as the 36 item original. No cut offs.</t>
        </is>
      </c>
      <c r="L50" s="24" t="inlineStr">
        <is>
          <t>not stated</t>
        </is>
      </c>
      <c r="M50" s="24" t="inlineStr">
        <is>
          <t>No permission statement located; the original items are in Journal of Applied Psychology (1986) and Eisenberger's former University of Houston POS website distributed the short forms for research. The 2009 SA Journal of Industrial Psychology review is CC BY.</t>
        </is>
      </c>
      <c r="N50" s="24" t="inlineStr">
        <is>
          <t>https://sajip.co.za/index.php/sajip/article/view/754</t>
        </is>
      </c>
      <c r="O50" s="24" t="inlineStr">
        <is>
          <t>No</t>
        </is>
      </c>
      <c r="P50" s="24" t="inlineStr">
        <is>
          <t>https://sajip.co.za/index.php/sajip/article/view/754</t>
        </is>
      </c>
      <c r="Q50" s="24" t="inlineStr"/>
      <c r="R50" s="24" t="inlineStr">
        <is>
          <t>Helps separate personal from organisational contributors to disengagement; brief enough to add to any intake battery.</t>
        </is>
      </c>
      <c r="S50" s="24" t="inlineStr"/>
      <c r="T50" s="24" t="inlineStr">
        <is>
          <t>https://sajip.co.za/index.php/sajip/article/view/754</t>
        </is>
      </c>
      <c r="U50" s="24" t="inlineStr">
        <is>
          <t>Candidate, licence to confirm</t>
        </is>
      </c>
      <c r="V50" s="24" t="inlineStr"/>
      <c r="W50" s="24" t="inlineStr"/>
      <c r="X50" s="24" t="inlineStr"/>
    </row>
    <row r="51">
      <c r="A51" s="24" t="n">
        <v>50</v>
      </c>
      <c r="B51" s="24" t="inlineStr">
        <is>
          <t>Wellbeing, stress, self talk and personality; Clinical practice in New Zealand</t>
        </is>
      </c>
      <c r="C51" s="24" t="inlineStr">
        <is>
          <t>WHO-5 Well-Being Index</t>
        </is>
      </c>
      <c r="D51" s="24" t="inlineStr">
        <is>
          <t>WHO-5</t>
        </is>
      </c>
      <c r="E51" s="24" t="inlineStr">
        <is>
          <t>WHO Regional Office for Europe (Bech, Psychiatric Research Unit, Hillerød)</t>
        </is>
      </c>
      <c r="F51" s="24" t="inlineStr">
        <is>
          <t>1998</t>
        </is>
      </c>
      <c r="G51" s="24" t="inlineStr">
        <is>
          <t>Subjective psychological wellbeing (positive mood, vitality, interest) over the past 2 weeks</t>
        </is>
      </c>
      <c r="H51" s="24" t="n">
        <v>5</v>
      </c>
      <c r="I51" s="24" t="inlineStr">
        <is>
          <t>6 point frequency scale from 0 (at no time) to 5 (all of the time), past 2 weeks</t>
        </is>
      </c>
      <c r="J51" s="24" t="inlineStr"/>
      <c r="K51" s="24" t="inlineStr">
        <is>
          <t>Sum raw 0 to 25 then multiply by 4 for 0 to 100; higher is better wellbeing. Screening cut off 50 or below suggests poor wellbeing; change of 10 points is clinically relevant.</t>
        </is>
      </c>
      <c r="L51" s="24" t="inlineStr">
        <is>
          <t>public domain</t>
        </is>
      </c>
      <c r="M51" s="24" t="inlineStr">
        <is>
          <t>CORC: The WHO-5 is free of charge and does not require permission to use. WHO hosts the questionnaire and 30 plus translations.</t>
        </is>
      </c>
      <c r="N51" s="24" t="inlineStr">
        <is>
          <t>https://www.corc.uk.net/outcome-experience-measures/the-world-health-organisation-five-well-being-index-who-5</t>
        </is>
      </c>
      <c r="O51" s="24" t="inlineStr">
        <is>
          <t>Yes</t>
        </is>
      </c>
      <c r="P51" s="24" t="inlineStr">
        <is>
          <t>https://www.psytoolkit.org/survey-library/who5.html</t>
        </is>
      </c>
      <c r="Q51" s="24" t="inlineStr"/>
      <c r="R51" s="24" t="inlineStr">
        <is>
          <t>Ideal 2 minute session opener or repeated progress measure; already used by Statistics NZ so NZ comparisons exist.</t>
        </is>
      </c>
      <c r="S51" s="24" t="inlineStr"/>
      <c r="T51" s="24" t="inlineStr">
        <is>
          <t>https://www.tepou.co.nz/wellbeing-measures</t>
        </is>
      </c>
      <c r="U51" s="24" t="inlineStr">
        <is>
          <t>Candidate, client facing possible</t>
        </is>
      </c>
      <c r="V51" s="24" t="inlineStr"/>
      <c r="W51" s="24" t="inlineStr"/>
      <c r="X51" s="24" t="inlineStr"/>
    </row>
    <row r="52">
      <c r="A52" s="24" t="n">
        <v>51</v>
      </c>
      <c r="B52" s="24" t="inlineStr">
        <is>
          <t>Wellbeing, stress, self talk and personality; Open repositories</t>
        </is>
      </c>
      <c r="C52" s="24" t="inlineStr">
        <is>
          <t>Warwick Edinburgh Mental Wellbeing Scale</t>
        </is>
      </c>
      <c r="D52" s="24" t="inlineStr">
        <is>
          <t>WEMWBS</t>
        </is>
      </c>
      <c r="E52" s="24" t="inlineStr">
        <is>
          <t>Tennant, Stewart-Brown and colleagues, University of Warwick and University of Edinburgh</t>
        </is>
      </c>
      <c r="F52" s="24" t="inlineStr">
        <is>
          <t>2007</t>
        </is>
      </c>
      <c r="G52" s="24" t="inlineStr">
        <is>
          <t>Positive mental wellbeing covering hedonic feelings and eudaimonic psychological functioning over the past 2 weeks</t>
        </is>
      </c>
      <c r="H52" s="24" t="n">
        <v>14</v>
      </c>
      <c r="I52" s="24" t="inlineStr">
        <is>
          <t>5 point frequency scale from 1 (none of the time) to 5 (all of the time), past 2 weeks</t>
        </is>
      </c>
      <c r="J52" s="24" t="inlineStr"/>
      <c r="K52" s="24" t="inlineStr">
        <is>
          <t>Sum 14 to 70; higher is better. No official cut offs; UK population mean about 51; bands often set at plus or minus 1 SD; 3 point change is meaningful at individual level.</t>
        </is>
      </c>
      <c r="L52" s="24" t="inlineStr">
        <is>
          <t>permission required</t>
        </is>
      </c>
      <c r="M52" s="24" t="inlineStr">
        <is>
          <t>Free non commercial licence only for organisations whose main purpose is not directed towards commercial advantage; self employed individuals do not qualify even if they do not charge. Others need a paid commercial licence. Copyright line University of Warwick 2006 must be reproduced.</t>
        </is>
      </c>
      <c r="N52" s="24" t="inlineStr">
        <is>
          <t>https://warwick.ac.uk/services/innovations/wemwbs/faq/</t>
        </is>
      </c>
      <c r="O52" s="24" t="inlineStr">
        <is>
          <t>No</t>
        </is>
      </c>
      <c r="P52" s="24" t="inlineStr">
        <is>
          <t>https://warwick.ac.uk/services/innovations/wemwbs/</t>
        </is>
      </c>
      <c r="Q52" s="24" t="inlineStr"/>
      <c r="R52" s="24" t="inlineStr">
        <is>
          <t>Strong measure but a sole trader coaching practice falls outside the free licence, so budget for the Warwick commercial licence or choose WHO-5.</t>
        </is>
      </c>
      <c r="S52" s="24" t="inlineStr"/>
      <c r="T52" s="24" t="inlineStr">
        <is>
          <t>https://warwick.ac.uk/fac/sci/med/research/platform/wemwbs/about/</t>
        </is>
      </c>
      <c r="U52" s="24" t="inlineStr">
        <is>
          <t>Candidate, licence to confirm</t>
        </is>
      </c>
      <c r="V52" s="24" t="inlineStr"/>
      <c r="W52" s="24" t="inlineStr"/>
      <c r="X52" s="24" t="inlineStr"/>
    </row>
    <row r="53">
      <c r="A53" s="24" t="n">
        <v>52</v>
      </c>
      <c r="B53" s="24" t="inlineStr">
        <is>
          <t>Wellbeing, stress, self talk and personality</t>
        </is>
      </c>
      <c r="C53" s="24" t="inlineStr">
        <is>
          <t>Short Warwick Edinburgh Mental Wellbeing Scale</t>
        </is>
      </c>
      <c r="D53" s="24" t="inlineStr">
        <is>
          <t>SWEMWBS</t>
        </is>
      </c>
      <c r="E53" s="24" t="inlineStr">
        <is>
          <t>Stewart-Brown and colleagues, University of Warwick</t>
        </is>
      </c>
      <c r="F53" s="24" t="inlineStr">
        <is>
          <t>2009</t>
        </is>
      </c>
      <c r="G53" s="24" t="inlineStr">
        <is>
          <t>Mental wellbeing with emphasis on psychological functioning, past 2 weeks</t>
        </is>
      </c>
      <c r="H53" s="24" t="n">
        <v>7</v>
      </c>
      <c r="I53" s="24" t="inlineStr">
        <is>
          <t>5 point frequency scale from 1 (none of the time) to 5 (all of the time)</t>
        </is>
      </c>
      <c r="J53" s="24" t="inlineStr"/>
      <c r="K53" s="24" t="inlineStr">
        <is>
          <t>Sum 7 to 35 then convert raw total to a metric score using the Warwick conversion table; higher is better. UK norm mean about 23.6 metric; no official cut offs.</t>
        </is>
      </c>
      <c r="L53" s="24" t="inlineStr">
        <is>
          <t>permission required</t>
        </is>
      </c>
      <c r="M53" s="24" t="inlineStr">
        <is>
          <t>Same licence regime as WEMWBS: free only for non commercial organisations after registration; self employed practitioners need a commercial licence; copyright statement must be included.</t>
        </is>
      </c>
      <c r="N53" s="24" t="inlineStr">
        <is>
          <t>https://warwick.ac.uk/services/innovations/wemwbs/faq/</t>
        </is>
      </c>
      <c r="O53" s="24" t="inlineStr">
        <is>
          <t>No</t>
        </is>
      </c>
      <c r="P53" s="24" t="inlineStr">
        <is>
          <t>https://warwick.ac.uk/services/innovations/wemwbs/</t>
        </is>
      </c>
      <c r="Q53" s="24" t="inlineStr"/>
      <c r="R53" s="24" t="inlineStr">
        <is>
          <t>Brief and Rasch validated, but the licence position is the same as WEMWBS, so a commercial licence is needed for a coaching business.</t>
        </is>
      </c>
      <c r="S53" s="24" t="inlineStr"/>
      <c r="T53" s="24" t="inlineStr">
        <is>
          <t>https://warwick.ac.uk/services/innovations/wemwbs/faq/</t>
        </is>
      </c>
      <c r="U53" s="24" t="inlineStr">
        <is>
          <t>Candidate, licence to confirm</t>
        </is>
      </c>
      <c r="V53" s="24" t="inlineStr"/>
      <c r="W53" s="24" t="inlineStr"/>
      <c r="X53" s="24" t="inlineStr"/>
    </row>
    <row r="54">
      <c r="A54" s="24" t="n">
        <v>53</v>
      </c>
      <c r="B54" s="24" t="inlineStr">
        <is>
          <t>Wellbeing, stress, self talk and personality</t>
        </is>
      </c>
      <c r="C54" s="24" t="inlineStr">
        <is>
          <t>PERMA Profiler</t>
        </is>
      </c>
      <c r="D54" s="24" t="inlineStr">
        <is>
          <t>PERMA</t>
        </is>
      </c>
      <c r="E54" s="24" t="inlineStr">
        <is>
          <t>Julie Butler and Margaret L. Kern, University of Melbourne</t>
        </is>
      </c>
      <c r="F54" s="24" t="inlineStr">
        <is>
          <t>2016</t>
        </is>
      </c>
      <c r="G54" s="24" t="inlineStr">
        <is>
          <t>Flourishing across Seligman's five PERMA pillars plus overall wellbeing, negative emotion, loneliness and physical health</t>
        </is>
      </c>
      <c r="H54" s="24" t="n">
        <v>23</v>
      </c>
      <c r="I54" s="24" t="inlineStr">
        <is>
          <t>11 point scale from 0 to 10 with anchors varying by item (never to always, not at all to completely, terrible to excellent)</t>
        </is>
      </c>
      <c r="J54" s="24" t="inlineStr">
        <is>
          <t>Positive emotion, Engagement, Relationships, Meaning, Accomplishment, Negative emotion, Health, Loneliness, Overall wellbeing</t>
        </is>
      </c>
      <c r="K54" s="24" t="inlineStr">
        <is>
          <t>Mean of 3 items per PERMA domain; overall wellbeing is the mean of the 15 PERMA items plus the happiness item. Author bands: 9 and above very high functioning, below 5 languishing, but cautions against diagnostic use.</t>
        </is>
      </c>
      <c r="L54" s="24" t="inlineStr">
        <is>
          <t>free for non commercial or research only</t>
        </is>
      </c>
      <c r="M54" s="24" t="inlineStr">
        <is>
          <t>You are welcome to use these measures for research or non-commercial purposes, giving credit as noted in the measures. Commercial use: contact the Wellbeing Lab.</t>
        </is>
      </c>
      <c r="N54" s="24" t="inlineStr">
        <is>
          <t>https://www.peggykern.org/questionnaires.html</t>
        </is>
      </c>
      <c r="O54" s="24" t="inlineStr">
        <is>
          <t>Yes</t>
        </is>
      </c>
      <c r="P54" s="24" t="inlineStr">
        <is>
          <t>https://internationaljournalofwellbeing.org/index.php/ijow/article/view/526</t>
        </is>
      </c>
      <c r="Q54" s="24" t="inlineStr"/>
      <c r="R54" s="24" t="inlineStr">
        <is>
          <t>Visual profile across domains suits strengths based coaching conversations; confirm whether paid coaching counts as commercial with Kern before use.</t>
        </is>
      </c>
      <c r="S54" s="24" t="inlineStr"/>
      <c r="T54" s="24" t="inlineStr">
        <is>
          <t>https://internationaljournalofwellbeing.org/index.php/ijow/article/view/526</t>
        </is>
      </c>
      <c r="U54" s="24" t="inlineStr">
        <is>
          <t>Candidate, licence to confirm</t>
        </is>
      </c>
      <c r="V54" s="24" t="inlineStr"/>
      <c r="W54" s="24" t="inlineStr"/>
      <c r="X54" s="24" t="inlineStr"/>
    </row>
    <row r="55">
      <c r="A55" s="24" t="n">
        <v>54</v>
      </c>
      <c r="B55" s="24" t="inlineStr">
        <is>
          <t>Wellbeing, stress, self talk and personality</t>
        </is>
      </c>
      <c r="C55" s="24" t="inlineStr">
        <is>
          <t>Subjective Happiness Scale</t>
        </is>
      </c>
      <c r="D55" s="24" t="inlineStr">
        <is>
          <t>SHS</t>
        </is>
      </c>
      <c r="E55" s="24" t="inlineStr">
        <is>
          <t>Sonja Lyubomirsky and Heidi Lepper</t>
        </is>
      </c>
      <c r="F55" s="24" t="inlineStr">
        <is>
          <t>1999</t>
        </is>
      </c>
      <c r="G55" s="24" t="inlineStr">
        <is>
          <t>Global subjective happiness rated in absolute terms and relative to peers</t>
        </is>
      </c>
      <c r="H55" s="24" t="n">
        <v>4</v>
      </c>
      <c r="I55" s="24" t="inlineStr">
        <is>
          <t>7 point scale with item specific anchors (for example 1 not a very happy person to 7 a very happy person)</t>
        </is>
      </c>
      <c r="J55" s="24" t="inlineStr"/>
      <c r="K55" s="24" t="inlineStr">
        <is>
          <t>Reverse item 4 then take the mean of the 4 items, range 1 to 7; higher is happier. Adult samples typically average about 4.5 to 5.5.</t>
        </is>
      </c>
      <c r="L55" s="24" t="inlineStr">
        <is>
          <t>free for non commercial or research only</t>
        </is>
      </c>
      <c r="M55" s="24" t="inlineStr">
        <is>
          <t>Permission is granted for all non-commercial use. Fee: free. Developer site should be consulted for commercial use.</t>
        </is>
      </c>
      <c r="N55" s="24" t="inlineStr">
        <is>
          <t>https://m3ewb.research.uconn.edu/measure/subjective-happiness-scale-shs/</t>
        </is>
      </c>
      <c r="O55" s="24" t="inlineStr">
        <is>
          <t>Yes</t>
        </is>
      </c>
      <c r="P55" s="24" t="inlineStr">
        <is>
          <t>https://m3ewb.research.uconn.edu/measure/subjective-happiness-scale-shs/</t>
        </is>
      </c>
      <c r="Q55" s="24" t="inlineStr"/>
      <c r="R55" s="24" t="inlineStr">
        <is>
          <t>Very brief global anchor for wellbeing; useful alongside WHO-5 but too short to guide specific coaching targets.</t>
        </is>
      </c>
      <c r="S55" s="24" t="inlineStr"/>
      <c r="T55" s="24" t="inlineStr">
        <is>
          <t>https://m3ewb.research.uconn.edu/measure/subjective-happiness-scale-shs/</t>
        </is>
      </c>
      <c r="U55" s="24" t="inlineStr">
        <is>
          <t>Candidate, licence to confirm</t>
        </is>
      </c>
      <c r="V55" s="24" t="inlineStr"/>
      <c r="W55" s="24" t="inlineStr"/>
      <c r="X55" s="24" t="inlineStr"/>
    </row>
    <row r="56">
      <c r="A56" s="24" t="n">
        <v>55</v>
      </c>
      <c r="B56" s="24" t="inlineStr">
        <is>
          <t>Wellbeing, stress, self talk and personality; Open repositories</t>
        </is>
      </c>
      <c r="C56" s="24" t="inlineStr">
        <is>
          <t>Meaning in Life Questionnaire</t>
        </is>
      </c>
      <c r="D56" s="24" t="inlineStr">
        <is>
          <t>MLQ</t>
        </is>
      </c>
      <c r="E56" s="24" t="inlineStr">
        <is>
          <t>Michael F. Steger, Patricia Frazier, Shigehiro Oishi and Matthew Kaler</t>
        </is>
      </c>
      <c r="F56" s="24" t="inlineStr">
        <is>
          <t>2006</t>
        </is>
      </c>
      <c r="G56" s="24" t="inlineStr">
        <is>
          <t>Presence of meaning in life and active search for meaning</t>
        </is>
      </c>
      <c r="H56" s="24" t="n">
        <v>10</v>
      </c>
      <c r="I56" s="24" t="inlineStr">
        <is>
          <t>7 point scale from 1 (absolutely untrue) to 7 (absolutely true)</t>
        </is>
      </c>
      <c r="J56" s="24" t="inlineStr">
        <is>
          <t>Presence of Meaning, Search for Meaning</t>
        </is>
      </c>
      <c r="K56" s="24" t="inlineStr">
        <is>
          <t>Sum 5 items per subscale after reversing item 9; each subscale 5 to 35. Steger treats Presence above 24 as high and below 24 as low; Search is interpreted alongside Presence rather than as good or bad.</t>
        </is>
      </c>
      <c r="L56" s="24" t="inlineStr">
        <is>
          <t>free for non commercial or research only</t>
        </is>
      </c>
      <c r="M56" s="24" t="inlineStr">
        <is>
          <t>Provided free of charge for educational, therapeutic, and academic research purposes. Commercial use requires prior written permission.</t>
        </is>
      </c>
      <c r="N56" s="24" t="inlineStr">
        <is>
          <t>http://www.michaelfsteger.com/?page_id=13</t>
        </is>
      </c>
      <c r="O56" s="24" t="inlineStr">
        <is>
          <t>Yes</t>
        </is>
      </c>
      <c r="P56" s="24" t="inlineStr">
        <is>
          <t>https://ppc.sas.upenn.edu/node/213</t>
        </is>
      </c>
      <c r="Q56" s="24" t="inlineStr"/>
      <c r="R56" s="24" t="inlineStr">
        <is>
          <t>Well suited to career and purpose coaching; the Presence versus Search profile opens a structured values conversation.</t>
        </is>
      </c>
      <c r="S56" s="24" t="inlineStr"/>
      <c r="T56" s="24" t="inlineStr">
        <is>
          <t>https://m3ewb.research.uconn.edu/measure/meaning-in-life-questionnaire-mlq</t>
        </is>
      </c>
      <c r="U56" s="24" t="inlineStr">
        <is>
          <t>Candidate, licence to confirm</t>
        </is>
      </c>
      <c r="V56" s="24" t="inlineStr"/>
      <c r="W56" s="24" t="inlineStr"/>
      <c r="X56" s="24" t="inlineStr"/>
    </row>
    <row r="57">
      <c r="A57" s="24" t="n">
        <v>56</v>
      </c>
      <c r="B57" s="24" t="inlineStr">
        <is>
          <t>Wellbeing, stress, self talk and personality</t>
        </is>
      </c>
      <c r="C57" s="24" t="inlineStr">
        <is>
          <t>Scales of Psychological Well-Being, 18 item version</t>
        </is>
      </c>
      <c r="D57" s="24" t="inlineStr">
        <is>
          <t>PWB-18</t>
        </is>
      </c>
      <c r="E57" s="24" t="inlineStr">
        <is>
          <t>Carol D. Ryff, University of Wisconsin Madison</t>
        </is>
      </c>
      <c r="F57" s="24" t="inlineStr">
        <is>
          <t>1989 original; 18 item form 1995 onward</t>
        </is>
      </c>
      <c r="G57" s="24" t="inlineStr">
        <is>
          <t>Eudaimonic wellbeing across six theory based dimensions</t>
        </is>
      </c>
      <c r="H57" s="24" t="n">
        <v>18</v>
      </c>
      <c r="I57" s="24" t="inlineStr">
        <is>
          <t>6 or 7 point agreement scale depending on version (1 strongly disagree to 6 or 7 strongly agree)</t>
        </is>
      </c>
      <c r="J57" s="24" t="inlineStr">
        <is>
          <t>Autonomy, Environmental Mastery, Personal Growth, Positive Relations with Others, Purpose in Life, Self Acceptance</t>
        </is>
      </c>
      <c r="K57" s="24" t="inlineStr">
        <is>
          <t>3 items per dimension, about half reverse keyed; sum per dimension (3 to 18 or 21); higher indicates greater wellbeing on that dimension. No clinical cut offs; the 18 item form has modest subscale reliability.</t>
        </is>
      </c>
      <c r="L57" s="24" t="inlineStr">
        <is>
          <t>permission required</t>
        </is>
      </c>
      <c r="M57" s="24" t="inlineStr">
        <is>
          <t>No public licence statement. Ryff supplies the scales on request for research use; secondary sites state they cannot grant permission and direct users to the author.</t>
        </is>
      </c>
      <c r="N57" s="24" t="inlineStr">
        <is>
          <t>https://ppc.sas.upenn.edu/node/217</t>
        </is>
      </c>
      <c r="O57" s="24" t="inlineStr">
        <is>
          <t>No</t>
        </is>
      </c>
      <c r="P57" s="24" t="inlineStr">
        <is>
          <t>https://ppc.sas.upenn.edu/node/217</t>
        </is>
      </c>
      <c r="Q57" s="24" t="inlineStr"/>
      <c r="R57" s="24" t="inlineStr">
        <is>
          <t>The six dimensions map neatly onto coaching goals, but written permission from Ryff should be obtained before use in a paid practice.</t>
        </is>
      </c>
      <c r="S57" s="24" t="inlineStr"/>
      <c r="T57" s="24" t="inlineStr">
        <is>
          <t>https://arc.psych.wisc.edu/self-report/psychological-well-being-scales-wbs/</t>
        </is>
      </c>
      <c r="U57" s="24" t="inlineStr">
        <is>
          <t>Candidate, licence to confirm</t>
        </is>
      </c>
      <c r="V57" s="24" t="inlineStr"/>
      <c r="W57" s="24" t="inlineStr"/>
      <c r="X57" s="24" t="inlineStr"/>
    </row>
    <row r="58">
      <c r="A58" s="24" t="n">
        <v>57</v>
      </c>
      <c r="B58" s="24" t="inlineStr">
        <is>
          <t>Wellbeing, stress, self talk and personality</t>
        </is>
      </c>
      <c r="C58" s="24" t="inlineStr">
        <is>
          <t>Perceived Stress Scale, 4 item</t>
        </is>
      </c>
      <c r="D58" s="24" t="inlineStr">
        <is>
          <t>PSS-4</t>
        </is>
      </c>
      <c r="E58" s="24" t="inlineStr">
        <is>
          <t>Sheldon Cohen, Tom Kamarck and Robin Mermelstein (PSS); 4 item form Cohen and Williamson</t>
        </is>
      </c>
      <c r="F58" s="24" t="inlineStr">
        <is>
          <t>1983; PSS-4 1988</t>
        </is>
      </c>
      <c r="G58" s="24" t="inlineStr">
        <is>
          <t>Degree to which situations in the past month are appraised as unpredictable, uncontrollable and overloaded</t>
        </is>
      </c>
      <c r="H58" s="24" t="n">
        <v>4</v>
      </c>
      <c r="I58" s="24" t="inlineStr">
        <is>
          <t>5 point frequency scale from 0 (never) to 4 (very often), past month</t>
        </is>
      </c>
      <c r="J58" s="24" t="inlineStr"/>
      <c r="K58" s="24" t="inlineStr">
        <is>
          <t>Reverse items 2 and 3 then sum 0 to 16; higher is more stress. No clinical cut offs; US and British normative means about 4.5 to 6.1.</t>
        </is>
      </c>
      <c r="L58" s="24" t="inlineStr">
        <is>
          <t>permission required</t>
        </is>
      </c>
      <c r="M58" s="24" t="inlineStr">
        <is>
          <t>Please submit permission requests to use the Perceived Stress Scale (PSS) through the ePROVIDE platform of MAPI Research Trust. Submitting a request for permission is completely free of charge. Mapi distributes academic use free and licenses commercial use.</t>
        </is>
      </c>
      <c r="N58" s="24" t="inlineStr">
        <is>
          <t>https://www.cmu.edu/dietrich/psychology/stress-immunity-disease-lab/scales</t>
        </is>
      </c>
      <c r="O58" s="24" t="inlineStr">
        <is>
          <t>Yes</t>
        </is>
      </c>
      <c r="P58" s="24" t="inlineStr">
        <is>
          <t>https://www.cmu.edu/dietrich/psychology/stress-immunity-disease-lab/scales</t>
        </is>
      </c>
      <c r="Q58" s="24" t="inlineStr"/>
      <c r="R58" s="24" t="inlineStr">
        <is>
          <t>Ultra brief stress check for repeated use; register with Mapi ePROVIDE first. NovoPsych already carries the PSS-10, so this adds only the 4 item form.</t>
        </is>
      </c>
      <c r="S58" s="24" t="inlineStr"/>
      <c r="T58" s="24" t="inlineStr">
        <is>
          <t>https://www.cmu.edu/common-cold-project/measures-by-study/psychological-and-social-constructs/stress-measures/perceived-stress.html</t>
        </is>
      </c>
      <c r="U58" s="24" t="inlineStr">
        <is>
          <t>Candidate, licence to confirm</t>
        </is>
      </c>
      <c r="V58" s="24" t="inlineStr">
        <is>
          <t>Check: digital or platform use may need its own licence</t>
        </is>
      </c>
      <c r="W58" s="24" t="inlineStr"/>
      <c r="X58" s="24" t="inlineStr"/>
    </row>
    <row r="59">
      <c r="A59" s="24" t="n">
        <v>58</v>
      </c>
      <c r="B59" s="24" t="inlineStr">
        <is>
          <t>Wellbeing, stress, self talk and personality</t>
        </is>
      </c>
      <c r="C59" s="24" t="inlineStr">
        <is>
          <t>Ego Resiliency Scale</t>
        </is>
      </c>
      <c r="D59" s="24" t="inlineStr">
        <is>
          <t>ER89</t>
        </is>
      </c>
      <c r="E59" s="24" t="inlineStr">
        <is>
          <t>Jack Block and Adam M. Kremen</t>
        </is>
      </c>
      <c r="F59" s="24" t="inlineStr">
        <is>
          <t>1996</t>
        </is>
      </c>
      <c r="G59" s="24" t="inlineStr">
        <is>
          <t>Trait ego resiliency: capacity to adapt flexibly to changing demands and recover from stress</t>
        </is>
      </c>
      <c r="H59" s="24" t="n">
        <v>14</v>
      </c>
      <c r="I59" s="24" t="inlineStr">
        <is>
          <t>4 point scale from 1 (does not apply at all) to 4 (applies very strongly)</t>
        </is>
      </c>
      <c r="J59" s="24" t="inlineStr">
        <is>
          <t>Optimal Regulation (ER89-R), Openness to Life Experiences (ER89-R)</t>
        </is>
      </c>
      <c r="K59" s="24" t="inlineStr">
        <is>
          <t>Sum 14 to 56 for the original; higher is more resilient. The 10 item ER89-R (Alessandri 2008) is scored by its two factors separately. No published cut offs.</t>
        </is>
      </c>
      <c r="L59" s="24" t="inlineStr">
        <is>
          <t>not stated</t>
        </is>
      </c>
      <c r="M59" s="24" t="inlineStr">
        <is>
          <t>No licence or permission statement located on an authoritative page; original items appear in the 1996 JPSP article, which is not open access.</t>
        </is>
      </c>
      <c r="N59" s="24" t="inlineStr">
        <is>
          <t>https://e-space.mmu.ac.uk/630343/8/Ego_Resiliency_AAM.pdf</t>
        </is>
      </c>
      <c r="O59" s="24" t="inlineStr">
        <is>
          <t>No</t>
        </is>
      </c>
      <c r="P59" s="24" t="inlineStr">
        <is>
          <t>https://e-space.mmu.ac.uk/630343/8/Ego_Resiliency_AAM.pdf</t>
        </is>
      </c>
      <c r="Q59" s="24" t="inlineStr"/>
      <c r="R59" s="24" t="inlineStr">
        <is>
          <t>A free alternative to the commercial Connor Davidson scale, but licence status is unclear so cite Block and Kremen and check with the publisher APA before commercial use.</t>
        </is>
      </c>
      <c r="S59" s="24" t="inlineStr"/>
      <c r="T59" s="24" t="inlineStr">
        <is>
          <t>https://e-space.mmu.ac.uk/630343/8/Ego_Resiliency_AAM.pdf</t>
        </is>
      </c>
      <c r="U59" s="24" t="inlineStr">
        <is>
          <t>Candidate, licence to confirm</t>
        </is>
      </c>
      <c r="V59" s="24" t="inlineStr"/>
      <c r="W59" s="24" t="inlineStr"/>
      <c r="X59" s="24" t="inlineStr"/>
    </row>
    <row r="60">
      <c r="A60" s="24" t="n">
        <v>59</v>
      </c>
      <c r="B60" s="24" t="inlineStr">
        <is>
          <t>Wellbeing, stress, self talk and personality</t>
        </is>
      </c>
      <c r="C60" s="24" t="inlineStr">
        <is>
          <t>Self-Compassion Scale, long form</t>
        </is>
      </c>
      <c r="D60" s="24" t="inlineStr">
        <is>
          <t>SCS</t>
        </is>
      </c>
      <c r="E60" s="24" t="inlineStr">
        <is>
          <t>Kristin D. Neff, University of Texas at Austin</t>
        </is>
      </c>
      <c r="F60" s="24" t="inlineStr">
        <is>
          <t>2003</t>
        </is>
      </c>
      <c r="G60" s="24" t="inlineStr">
        <is>
          <t>Self compassion: self kindness, common humanity and mindfulness versus self judgement, isolation and over identification</t>
        </is>
      </c>
      <c r="H60" s="24" t="n">
        <v>26</v>
      </c>
      <c r="I60" s="24" t="inlineStr">
        <is>
          <t>5 point scale from 1 (almost never) to 5 (almost always)</t>
        </is>
      </c>
      <c r="J60" s="24" t="inlineStr">
        <is>
          <t>Self Kindness, Self Judgement, Common Humanity, Isolation, Mindfulness, Over Identification</t>
        </is>
      </c>
      <c r="K60" s="24" t="inlineStr">
        <is>
          <t>Reverse the 3 negative subscales, compute 6 subscale means, total is the mean of subscale means (1 to 5). Neff rubric: 1.0 to 2.49 low, 2.5 to 3.5 moderate, 3.51 to 5.0 high.</t>
        </is>
      </c>
      <c r="L60" s="24" t="inlineStr">
        <is>
          <t>free with attribution (CC or stated)</t>
        </is>
      </c>
      <c r="M60" s="24" t="inlineStr">
        <is>
          <t>Neff grants permission to use the Self-Compassion Scale (Neff, 2003) for any purpose whatsoever. Permission is also given to translate the Self-Compassion Scale.</t>
        </is>
      </c>
      <c r="N60" s="24" t="inlineStr">
        <is>
          <t>https://self-compassion.org/wp-content/uploads/2021/03/SCS-information.pdf</t>
        </is>
      </c>
      <c r="O60" s="24" t="inlineStr">
        <is>
          <t>Yes</t>
        </is>
      </c>
      <c r="P60" s="24" t="inlineStr">
        <is>
          <t>https://self-compassion.org/wptest/wp-content/uploads/Self_Compassion_Scale_for_researchers.pdf</t>
        </is>
      </c>
      <c r="Q60" s="24" t="inlineStr"/>
      <c r="R60" s="24" t="inlineStr">
        <is>
          <t>Excellent for self talk and perfectionism coaching; the six subscale profile gives concrete practice targets. NovoPsych has only the 12 item short form.</t>
        </is>
      </c>
      <c r="S60" s="24" t="inlineStr"/>
      <c r="T60" s="24" t="inlineStr">
        <is>
          <t>https://self-compassion.org/wp-content/uploads/2021/03/SCS-information.pdf</t>
        </is>
      </c>
      <c r="U60" s="24" t="inlineStr">
        <is>
          <t>Candidate, client facing possible</t>
        </is>
      </c>
      <c r="V60" s="24" t="inlineStr"/>
      <c r="W60" s="24" t="inlineStr"/>
      <c r="X60" s="24" t="inlineStr"/>
    </row>
    <row r="61">
      <c r="A61" s="24" t="n">
        <v>60</v>
      </c>
      <c r="B61" s="24" t="inlineStr">
        <is>
          <t>Wellbeing, stress, self talk and personality</t>
        </is>
      </c>
      <c r="C61" s="24" t="inlineStr">
        <is>
          <t>Dysfunctional Attitude Scale Short Forms 1 and 2</t>
        </is>
      </c>
      <c r="D61" s="24" t="inlineStr">
        <is>
          <t>DAS-SF1 / DAS-SF2</t>
        </is>
      </c>
      <c r="E61" s="24" t="inlineStr">
        <is>
          <t>Christopher G. Beevers, Strong, Meyer, Pilkonis and Miller</t>
        </is>
      </c>
      <c r="F61" s="24" t="inlineStr">
        <is>
          <t>2007</t>
        </is>
      </c>
      <c r="G61" s="24" t="inlineStr">
        <is>
          <t>Depressogenic dysfunctional attitudes (perfectionism and need for approval) derived from the 40 item DAS Form A</t>
        </is>
      </c>
      <c r="H61" s="24" t="n">
        <v>9</v>
      </c>
      <c r="I61" s="24" t="inlineStr">
        <is>
          <t>4 point agreement scale from totally disagree to totally agree</t>
        </is>
      </c>
      <c r="J61" s="24" t="inlineStr"/>
      <c r="K61" s="24" t="inlineStr">
        <is>
          <t>Sum of 9 items, 9 to 36 per form; higher is more dysfunctional attitudes. Two parallel 9 item forms allow pre and post use. No published cut offs.</t>
        </is>
      </c>
      <c r="L61" s="24" t="inlineStr">
        <is>
          <t>free for non commercial or research only</t>
        </is>
      </c>
      <c r="M61" s="24" t="inlineStr">
        <is>
          <t>These scales may be used for research purposes. It is not necessary to request permission to use the DAS-SF for research purposes.</t>
        </is>
      </c>
      <c r="N61" s="24" t="inlineStr">
        <is>
          <t>https://labs.la.utexas.edu/beevers/?p=298</t>
        </is>
      </c>
      <c r="O61" s="24" t="inlineStr">
        <is>
          <t>Yes</t>
        </is>
      </c>
      <c r="P61" s="24" t="inlineStr">
        <is>
          <t>https://repositories.lib.utexas.edu/items/6545f731-902a-4f03-9726-9d929151b5d4</t>
        </is>
      </c>
      <c r="Q61" s="24" t="inlineStr"/>
      <c r="R61" s="24" t="inlineStr">
        <is>
          <t>Compact cognitive schema measure for thinking pattern work; permission statement covers research only, so confirm with Beevers for coaching use.</t>
        </is>
      </c>
      <c r="S61" s="24" t="inlineStr"/>
      <c r="T61" s="24" t="inlineStr">
        <is>
          <t>https://labs.la.utexas.edu/beevers/?p=298</t>
        </is>
      </c>
      <c r="U61" s="24" t="inlineStr">
        <is>
          <t>Sarah only if used (screener; never summarised to the client)</t>
        </is>
      </c>
      <c r="V61" s="24" t="inlineStr"/>
      <c r="W61" s="24" t="inlineStr"/>
      <c r="X61" s="24" t="inlineStr"/>
    </row>
    <row r="62">
      <c r="A62" s="24" t="n">
        <v>61</v>
      </c>
      <c r="B62" s="24" t="inlineStr">
        <is>
          <t>Wellbeing, stress, self talk and personality</t>
        </is>
      </c>
      <c r="C62" s="24" t="inlineStr">
        <is>
          <t>Intolerance of Uncertainty Scale, short form</t>
        </is>
      </c>
      <c r="D62" s="24" t="inlineStr">
        <is>
          <t>IUS-12</t>
        </is>
      </c>
      <c r="E62" s="24" t="inlineStr">
        <is>
          <t>R. Nicholas Carleton, Peter J. Norton and Gordon J. G. Asmundson</t>
        </is>
      </c>
      <c r="F62" s="24" t="inlineStr">
        <is>
          <t>2007</t>
        </is>
      </c>
      <c r="G62" s="24" t="inlineStr">
        <is>
          <t>Dispositional difficulty tolerating uncertainty, with prospective and inhibitory anxiety components</t>
        </is>
      </c>
      <c r="H62" s="24" t="n">
        <v>12</v>
      </c>
      <c r="I62" s="24" t="inlineStr">
        <is>
          <t>5 point scale from 1 (not at all characteristic of me) to 5 (entirely characteristic of me)</t>
        </is>
      </c>
      <c r="J62" s="24" t="inlineStr">
        <is>
          <t>Prospective Anxiety (7 items), Inhibitory Anxiety (5 items)</t>
        </is>
      </c>
      <c r="K62" s="24" t="inlineStr">
        <is>
          <t>Sum 12 to 60; higher is less tolerance of uncertainty. Bifactor work (Hale 2015) recommends the total score over subscales. No clinical cut offs; community means around 25 to 30.</t>
        </is>
      </c>
      <c r="L62" s="24" t="inlineStr">
        <is>
          <t>not stated</t>
        </is>
      </c>
      <c r="M62" s="24" t="inlineStr">
        <is>
          <t>No formal licence statement located; the scale is published in Journal of Anxiety Disorders and is routinely reproduced and used without fee in research.</t>
        </is>
      </c>
      <c r="N62" s="24" t="inlineStr">
        <is>
          <t>https://pmc.ncbi.nlm.nih.gov/articles/PMC4809643</t>
        </is>
      </c>
      <c r="O62" s="24" t="inlineStr">
        <is>
          <t>Yes</t>
        </is>
      </c>
      <c r="P62" s="24" t="inlineStr">
        <is>
          <t>https://pmc.ncbi.nlm.nih.gov/articles/PMC4809643</t>
        </is>
      </c>
      <c r="Q62" s="24" t="inlineStr"/>
      <c r="R62" s="24" t="inlineStr">
        <is>
          <t>Useful for clients who procrastinate or over plan under ambiguity; items are listed in abbreviated form in the open access Hale 2015 paper.</t>
        </is>
      </c>
      <c r="S62" s="24" t="inlineStr"/>
      <c r="T62" s="24" t="inlineStr">
        <is>
          <t>https://pmc.ncbi.nlm.nih.gov/articles/PMC4809643</t>
        </is>
      </c>
      <c r="U62" s="24" t="inlineStr">
        <is>
          <t>Candidate, licence to confirm</t>
        </is>
      </c>
      <c r="V62" s="24" t="inlineStr"/>
      <c r="W62" s="24" t="inlineStr"/>
      <c r="X62" s="24" t="inlineStr"/>
    </row>
    <row r="63">
      <c r="A63" s="24" t="n">
        <v>62</v>
      </c>
      <c r="B63" s="24" t="inlineStr">
        <is>
          <t>Wellbeing, stress, self talk and personality</t>
        </is>
      </c>
      <c r="C63" s="24" t="inlineStr">
        <is>
          <t>Cognitive Emotion Regulation Questionnaire, short</t>
        </is>
      </c>
      <c r="D63" s="24" t="inlineStr">
        <is>
          <t>CERQ-short</t>
        </is>
      </c>
      <c r="E63" s="24" t="inlineStr">
        <is>
          <t>Nadia Garnefski and Vivian Kraaij, Leiden University</t>
        </is>
      </c>
      <c r="F63" s="24" t="inlineStr">
        <is>
          <t>2006</t>
        </is>
      </c>
      <c r="G63" s="24" t="inlineStr">
        <is>
          <t>Nine cognitive strategies used to regulate emotion after negative events</t>
        </is>
      </c>
      <c r="H63" s="24" t="n">
        <v>18</v>
      </c>
      <c r="I63" s="24" t="inlineStr">
        <is>
          <t>5 point frequency scale from 1 (almost never) to 5 (almost always)</t>
        </is>
      </c>
      <c r="J63" s="24" t="inlineStr">
        <is>
          <t>Self Blame, Acceptance, Rumination, Positive Refocusing, Refocus on Planning, Positive Reappraisal, Putting into Perspective, Catastrophising, Other Blame</t>
        </is>
      </c>
      <c r="K63" s="24" t="inlineStr">
        <is>
          <t>2 items per strategy summed, each 2 to 10; higher means more use of that strategy. Adaptive versus maladaptive composites are sometimes formed. No cut offs.</t>
        </is>
      </c>
      <c r="L63" s="24" t="inlineStr">
        <is>
          <t>permission required</t>
        </is>
      </c>
      <c r="M63" s="24" t="inlineStr">
        <is>
          <t>The 2006 article is open access via Leiden University, but the CERQ manual and norms are distributed by the authors (DATEC) and the authors ask to be contacted before use.</t>
        </is>
      </c>
      <c r="N63" s="24" t="inlineStr">
        <is>
          <t>https://openaccess.leidenuniv.nl/handle/1887/14233</t>
        </is>
      </c>
      <c r="O63" s="24" t="inlineStr">
        <is>
          <t>Yes</t>
        </is>
      </c>
      <c r="P63" s="24" t="inlineStr">
        <is>
          <t>https://scholarlypublications.universiteitleiden.nl/access/item%3A2873257/view</t>
        </is>
      </c>
      <c r="Q63" s="24" t="inlineStr"/>
      <c r="R63" s="24" t="inlineStr">
        <is>
          <t>Rich profile of coping thoughts for emotion regulation coaching; request permission from Garnefski and Kraaij for applied use.</t>
        </is>
      </c>
      <c r="S63" s="24" t="inlineStr"/>
      <c r="T63" s="24" t="inlineStr">
        <is>
          <t>https://scholarlypublications.universiteitleiden.nl/access/item%3A2873257/view</t>
        </is>
      </c>
      <c r="U63" s="24" t="inlineStr">
        <is>
          <t>Candidate, licence to confirm</t>
        </is>
      </c>
      <c r="V63" s="24" t="inlineStr"/>
      <c r="W63" s="24" t="inlineStr"/>
      <c r="X63" s="24" t="inlineStr"/>
    </row>
    <row r="64">
      <c r="A64" s="24" t="n">
        <v>63</v>
      </c>
      <c r="B64" s="24" t="inlineStr">
        <is>
          <t>Wellbeing, stress, self talk and personality</t>
        </is>
      </c>
      <c r="C64" s="24" t="inlineStr">
        <is>
          <t>Brief Fear of Negative Evaluation Scale</t>
        </is>
      </c>
      <c r="D64" s="24" t="inlineStr">
        <is>
          <t>BFNE</t>
        </is>
      </c>
      <c r="E64" s="24" t="inlineStr">
        <is>
          <t>Mark R. Leary</t>
        </is>
      </c>
      <c r="F64" s="24" t="inlineStr">
        <is>
          <t>1983</t>
        </is>
      </c>
      <c r="G64" s="24" t="inlineStr">
        <is>
          <t>Apprehension about being evaluated negatively by others</t>
        </is>
      </c>
      <c r="H64" s="24" t="n">
        <v>12</v>
      </c>
      <c r="I64" s="24" t="inlineStr">
        <is>
          <t>5 point scale from 1 (not at all characteristic of me) to 5 (extremely characteristic of me)</t>
        </is>
      </c>
      <c r="J64" s="24" t="inlineStr"/>
      <c r="K64" s="24" t="inlineStr">
        <is>
          <t>Reverse items 2, 4, 7 and 10 then sum 12 to 60; higher is greater fear of negative evaluation. Some authors use only the 8 straightforward items (BFNE-S). No formal cut offs.</t>
        </is>
      </c>
      <c r="L64" s="24" t="inlineStr">
        <is>
          <t>not stated</t>
        </is>
      </c>
      <c r="M64" s="24" t="inlineStr">
        <is>
          <t>No permission statement; the scale is posted openly on Leary's Duke University lab site with citation only.</t>
        </is>
      </c>
      <c r="N64" s="24" t="inlineStr">
        <is>
          <t>https://sites.duke.edu/leary/files/2019/05/Brief-FNE.pdf</t>
        </is>
      </c>
      <c r="O64" s="24" t="inlineStr">
        <is>
          <t>Yes</t>
        </is>
      </c>
      <c r="P64" s="24" t="inlineStr">
        <is>
          <t>https://sites.duke.edu/leary/files/2019/05/Brief-FNE.pdf</t>
        </is>
      </c>
      <c r="Q64" s="24" t="inlineStr"/>
      <c r="R64" s="24" t="inlineStr">
        <is>
          <t>Good for imposter feelings, feedback avoidance and presentation anxiety in workplace coaching.</t>
        </is>
      </c>
      <c r="S64" s="24" t="inlineStr"/>
      <c r="T64" s="24" t="inlineStr">
        <is>
          <t>https://sites.duke.edu/leary/files/2019/05/Brief-FNE.pdf</t>
        </is>
      </c>
      <c r="U64" s="24" t="inlineStr">
        <is>
          <t>Candidate, licence to confirm</t>
        </is>
      </c>
      <c r="V64" s="24" t="inlineStr"/>
      <c r="W64" s="24" t="inlineStr"/>
      <c r="X64" s="24" t="inlineStr"/>
    </row>
    <row r="65">
      <c r="A65" s="24" t="n">
        <v>64</v>
      </c>
      <c r="B65" s="24" t="inlineStr">
        <is>
          <t>Wellbeing, stress, self talk and personality</t>
        </is>
      </c>
      <c r="C65" s="24" t="inlineStr">
        <is>
          <t>Frost Multidimensional Perfectionism Scale, Brief</t>
        </is>
      </c>
      <c r="D65" s="24" t="inlineStr">
        <is>
          <t>FMPS-B</t>
        </is>
      </c>
      <c r="E65" s="24" t="inlineStr">
        <is>
          <t>Alexandra M. Burgess, Randy O. Frost and Patricia M. DiBartolo</t>
        </is>
      </c>
      <c r="F65" s="24" t="inlineStr">
        <is>
          <t>2016</t>
        </is>
      </c>
      <c r="G65" s="24" t="inlineStr">
        <is>
          <t>Perfectionism as evaluative concerns and perfectionistic strivings</t>
        </is>
      </c>
      <c r="H65" s="24" t="n">
        <v>8</v>
      </c>
      <c r="I65" s="24" t="inlineStr">
        <is>
          <t>5 point agreement scale from 1 (strongly disagree) to 5 (strongly agree)</t>
        </is>
      </c>
      <c r="J65" s="24" t="inlineStr">
        <is>
          <t>Evaluative Concerns (4 items), Strivings (4 items)</t>
        </is>
      </c>
      <c r="K65" s="24" t="inlineStr">
        <is>
          <t>Sum per subscale 4 to 20 and total 8 to 40; higher is more perfectionistic. No cut offs published.</t>
        </is>
      </c>
      <c r="L65" s="24" t="inlineStr">
        <is>
          <t>free with attribution (CC or stated)</t>
        </is>
      </c>
      <c r="M65" s="24" t="inlineStr">
        <is>
          <t>Validation article is open access under the Creative Commons Attribution License (CC BY) and reproduces all 8 items; the parent FMPS is used freely in research with citation.</t>
        </is>
      </c>
      <c r="N65" s="24" t="inlineStr">
        <is>
          <t>https://www.frontiersin.org/journals/psychology/articles/10.3389/fpsyg.2020.01860/full</t>
        </is>
      </c>
      <c r="O65" s="24" t="inlineStr">
        <is>
          <t>Yes</t>
        </is>
      </c>
      <c r="P65" s="24" t="inlineStr">
        <is>
          <t>https://www.frontiersin.org/journals/psychology/articles/10.3389/fpsyg.2020.01860/full</t>
        </is>
      </c>
      <c r="Q65" s="24" t="inlineStr"/>
      <c r="R65" s="24" t="inlineStr">
        <is>
          <t>Quick screen separating healthy striving from self critical concern; NovoPsych carries the full 35 item FMPS, not this brief form.</t>
        </is>
      </c>
      <c r="S65" s="24" t="inlineStr"/>
      <c r="T65" s="24" t="inlineStr">
        <is>
          <t>https://www.frontiersin.org/journals/psychology/articles/10.3389/fpsyg.2020.01860/full</t>
        </is>
      </c>
      <c r="U65" s="24" t="inlineStr">
        <is>
          <t>Candidate, client facing possible</t>
        </is>
      </c>
      <c r="V65" s="24" t="inlineStr"/>
      <c r="W65" s="24" t="inlineStr"/>
      <c r="X65" s="24" t="inlineStr"/>
    </row>
    <row r="66">
      <c r="A66" s="24" t="n">
        <v>65</v>
      </c>
      <c r="B66" s="24" t="inlineStr">
        <is>
          <t>Wellbeing, stress, self talk and personality</t>
        </is>
      </c>
      <c r="C66" s="24" t="inlineStr">
        <is>
          <t>Almost Perfect Scale Revised</t>
        </is>
      </c>
      <c r="D66" s="24" t="inlineStr">
        <is>
          <t>APS-R</t>
        </is>
      </c>
      <c r="E66" s="24" t="inlineStr">
        <is>
          <t>Robert B. Slaney, Kenneth G. Rice, Michael Mobley, Joseph Trippi and Jeffrey S. Ashby</t>
        </is>
      </c>
      <c r="F66" s="24" t="inlineStr">
        <is>
          <t>2001</t>
        </is>
      </c>
      <c r="G66" s="24" t="inlineStr">
        <is>
          <t>Perfectionism as high standards, order and discrepancy between standards and performance</t>
        </is>
      </c>
      <c r="H66" s="24" t="n">
        <v>23</v>
      </c>
      <c r="I66" s="24" t="inlineStr">
        <is>
          <t>7 point agreement scale from 1 (strongly disagree) to 7 (strongly agree)</t>
        </is>
      </c>
      <c r="J66" s="24" t="inlineStr">
        <is>
          <t>High Standards (7 items), Order (4 items), Discrepancy (12 items)</t>
        </is>
      </c>
      <c r="K66" s="24" t="inlineStr">
        <is>
          <t>Sum or average within subscale. Rice and Ashby 2007 rule: Standards below 42 non perfectionist; Standards 42 or more with Discrepancy below 42 adaptive, 42 or more maladaptive.</t>
        </is>
      </c>
      <c r="L66" s="24" t="inlineStr">
        <is>
          <t>free with attribution (CC or stated)</t>
        </is>
      </c>
      <c r="M66" s="24" t="inlineStr">
        <is>
          <t>There is no permission needed to use or translate the scale. The scale should be cited properly.</t>
        </is>
      </c>
      <c r="N66" s="24" t="inlineStr">
        <is>
          <t>https://sites.gsu.edu/cpyricelab/?p=264</t>
        </is>
      </c>
      <c r="O66" s="24" t="inlineStr">
        <is>
          <t>Yes</t>
        </is>
      </c>
      <c r="P66" s="24" t="inlineStr">
        <is>
          <t>https://www.kennethwang.com/apsr/scales/APSR-English.pdf</t>
        </is>
      </c>
      <c r="Q66" s="24" t="inlineStr"/>
      <c r="R66" s="24" t="inlineStr">
        <is>
          <t>Distinguishes adaptive from maladaptive perfectionists with published cut offs, which works well for high achieving coaching clients.</t>
        </is>
      </c>
      <c r="S66" s="24" t="inlineStr"/>
      <c r="T66" s="24" t="inlineStr">
        <is>
          <t>https://sites.gsu.edu/cpyricelab/?p=264</t>
        </is>
      </c>
      <c r="U66" s="24" t="inlineStr">
        <is>
          <t>Candidate, client facing possible</t>
        </is>
      </c>
      <c r="V66" s="24" t="inlineStr"/>
      <c r="W66" s="24" t="inlineStr"/>
      <c r="X66" s="24" t="inlineStr"/>
    </row>
    <row r="67">
      <c r="A67" s="24" t="n">
        <v>66</v>
      </c>
      <c r="B67" s="24" t="inlineStr">
        <is>
          <t>Wellbeing, stress, self talk and personality</t>
        </is>
      </c>
      <c r="C67" s="24" t="inlineStr">
        <is>
          <t>Short Almost Perfect Scale</t>
        </is>
      </c>
      <c r="D67" s="24" t="inlineStr">
        <is>
          <t>SAPS</t>
        </is>
      </c>
      <c r="E67" s="24" t="inlineStr">
        <is>
          <t>Kenneth G. Rice, Clarissa M. E. Richardson and Stephen Tueller</t>
        </is>
      </c>
      <c r="F67" s="24" t="inlineStr">
        <is>
          <t>2014</t>
        </is>
      </c>
      <c r="G67" s="24" t="inlineStr">
        <is>
          <t>Perfectionistic standards and discrepancy</t>
        </is>
      </c>
      <c r="H67" s="24" t="n">
        <v>8</v>
      </c>
      <c r="I67" s="24" t="inlineStr">
        <is>
          <t>7 point agreement scale from 1 (strongly disagree) to 7 (strongly agree)</t>
        </is>
      </c>
      <c r="J67" s="24" t="inlineStr">
        <is>
          <t>Standards (4 items), Discrepancy (4 items)</t>
        </is>
      </c>
      <c r="K67" s="24" t="inlineStr">
        <is>
          <t>Sum or average each subscale (4 to 28 summed); higher Discrepancy indicates maladaptive perfectionism. No separate SAPS cut offs published.</t>
        </is>
      </c>
      <c r="L67" s="24" t="inlineStr">
        <is>
          <t>free with attribution (CC or stated)</t>
        </is>
      </c>
      <c r="M67" s="24" t="inlineStr">
        <is>
          <t>No permission is required to use or translate the SAPS because it is a subset of the APS-R; cite properly.</t>
        </is>
      </c>
      <c r="N67" s="24" t="inlineStr">
        <is>
          <t>https://sites.gsu.edu/cpyricelab/?p=264</t>
        </is>
      </c>
      <c r="O67" s="24" t="inlineStr">
        <is>
          <t>Yes</t>
        </is>
      </c>
      <c r="P67" s="24" t="inlineStr">
        <is>
          <t>https://kennethwang.com/apsr/scales/SAPS-English.pdf</t>
        </is>
      </c>
      <c r="Q67" s="24" t="inlineStr"/>
      <c r="R67" s="24" t="inlineStr">
        <is>
          <t>8 item perfectionism check for intake batteries where time is short.</t>
        </is>
      </c>
      <c r="S67" s="24" t="inlineStr"/>
      <c r="T67" s="24" t="inlineStr">
        <is>
          <t>https://sites.gsu.edu/cpyricelab/?p=264</t>
        </is>
      </c>
      <c r="U67" s="24" t="inlineStr">
        <is>
          <t>Candidate, client facing possible</t>
        </is>
      </c>
      <c r="V67" s="24" t="inlineStr"/>
      <c r="W67" s="24" t="inlineStr"/>
      <c r="X67" s="24" t="inlineStr"/>
    </row>
    <row r="68">
      <c r="A68" s="24" t="n">
        <v>67</v>
      </c>
      <c r="B68" s="24" t="inlineStr">
        <is>
          <t>Wellbeing, stress, self talk and personality; Open repositories</t>
        </is>
      </c>
      <c r="C68" s="24" t="inlineStr">
        <is>
          <t>Mindful Attention Awareness Scale</t>
        </is>
      </c>
      <c r="D68" s="24" t="inlineStr">
        <is>
          <t>MAAS</t>
        </is>
      </c>
      <c r="E68" s="24" t="inlineStr">
        <is>
          <t>Kirk Warren Brown and Richard M. Ryan</t>
        </is>
      </c>
      <c r="F68" s="24" t="inlineStr">
        <is>
          <t>2003</t>
        </is>
      </c>
      <c r="G68" s="24" t="inlineStr">
        <is>
          <t>Dispositional mindfulness as present moment attention and awareness in daily life</t>
        </is>
      </c>
      <c r="H68" s="24" t="n">
        <v>15</v>
      </c>
      <c r="I68" s="24" t="inlineStr">
        <is>
          <t>6 point frequency scale from 1 (almost always) to 6 (almost never)</t>
        </is>
      </c>
      <c r="J68" s="24" t="inlineStr"/>
      <c r="K68" s="24" t="inlineStr">
        <is>
          <t>Mean of 15 items, range 1 to 6; higher is more mindful. No cut offs; community means about 3.8 to 4.2.</t>
        </is>
      </c>
      <c r="L68" s="24" t="inlineStr">
        <is>
          <t>free for non commercial or research only</t>
        </is>
      </c>
      <c r="M68" s="24" t="inlineStr">
        <is>
          <t>All academic use is permitted. You must obtain permission from the Center for Self-Determination Theory for commercial use. Download requires agreeing to terms and conditions.</t>
        </is>
      </c>
      <c r="N68" s="24" t="inlineStr">
        <is>
          <t>https://selfdeterminationtheory.org/mindfulness-attention-awareness/</t>
        </is>
      </c>
      <c r="O68" s="24" t="inlineStr">
        <is>
          <t>Yes</t>
        </is>
      </c>
      <c r="P68" s="24" t="inlineStr">
        <is>
          <t>https://ppc.sas.upenn.edu/node/214</t>
        </is>
      </c>
      <c r="Q68" s="24" t="inlineStr"/>
      <c r="R68" s="24" t="inlineStr">
        <is>
          <t>Simple attention baseline for mindfulness based coaching; a paid practice should request the CSDT commercial licence.</t>
        </is>
      </c>
      <c r="S68" s="24" t="inlineStr"/>
      <c r="T68" s="24" t="inlineStr">
        <is>
          <t>https://selfdeterminationtheory.org/mindfulness-attention-awareness/</t>
        </is>
      </c>
      <c r="U68" s="24" t="inlineStr">
        <is>
          <t>Candidate, licence to confirm</t>
        </is>
      </c>
      <c r="V68" s="24" t="inlineStr"/>
      <c r="W68" s="24" t="inlineStr"/>
      <c r="X68" s="24" t="inlineStr"/>
    </row>
    <row r="69">
      <c r="A69" s="24" t="n">
        <v>68</v>
      </c>
      <c r="B69" s="24" t="inlineStr">
        <is>
          <t>Wellbeing, stress, self talk and personality</t>
        </is>
      </c>
      <c r="C69" s="24" t="inlineStr">
        <is>
          <t>Cognitive Fusion Questionnaire</t>
        </is>
      </c>
      <c r="D69" s="24" t="inlineStr">
        <is>
          <t>CFQ-7</t>
        </is>
      </c>
      <c r="E69" s="24" t="inlineStr">
        <is>
          <t>David T. Gillanders, Helen Bolderston, Frank W. Bond and colleagues</t>
        </is>
      </c>
      <c r="F69" s="24" t="inlineStr">
        <is>
          <t>2014</t>
        </is>
      </c>
      <c r="G69" s="24" t="inlineStr">
        <is>
          <t>Cognitive fusion: being entangled with and dominated by thoughts</t>
        </is>
      </c>
      <c r="H69" s="24" t="n">
        <v>7</v>
      </c>
      <c r="I69" s="24" t="inlineStr">
        <is>
          <t>7 point frequency scale from 1 (never true) to 7 (always true)</t>
        </is>
      </c>
      <c r="J69" s="24" t="inlineStr"/>
      <c r="K69" s="24" t="inlineStr">
        <is>
          <t>Sum 7 to 49; higher is more fusion. Non clinical means about 20 to 25, clinical samples about 30 plus; no formal cut off.</t>
        </is>
      </c>
      <c r="L69" s="24" t="inlineStr">
        <is>
          <t>free with attribution (CC or stated)</t>
        </is>
      </c>
      <c r="M69" s="24" t="inlineStr">
        <is>
          <t>The CFQ is free to use for clinical and research purposes, permission is not needed.</t>
        </is>
      </c>
      <c r="N69" s="24" t="inlineStr">
        <is>
          <t>https://contextualscience.org/cognitive_fusion_questionnaire_cfq</t>
        </is>
      </c>
      <c r="O69" s="24" t="inlineStr">
        <is>
          <t>No</t>
        </is>
      </c>
      <c r="P69" s="24" t="inlineStr">
        <is>
          <t>https://contextualscience.org/cognitive_fusion_questionnaire_cfq</t>
        </is>
      </c>
      <c r="Q69" s="24" t="inlineStr"/>
      <c r="R69" s="24" t="inlineStr">
        <is>
          <t>Core ACT process measure for defusion work; item PDF is behind ACBS membership but the 2014 Behavior Therapy article reproduces the items.</t>
        </is>
      </c>
      <c r="S69" s="24" t="inlineStr"/>
      <c r="T69" s="24" t="inlineStr">
        <is>
          <t>https://contextualscience.org/CFQ</t>
        </is>
      </c>
      <c r="U69" s="24" t="inlineStr">
        <is>
          <t>Candidate, client facing possible</t>
        </is>
      </c>
      <c r="V69" s="24" t="inlineStr"/>
      <c r="W69" s="24" t="inlineStr"/>
      <c r="X69" s="24" t="inlineStr"/>
    </row>
    <row r="70">
      <c r="A70" s="24" t="n">
        <v>69</v>
      </c>
      <c r="B70" s="24" t="inlineStr">
        <is>
          <t>Wellbeing, stress, self talk and personality</t>
        </is>
      </c>
      <c r="C70" s="24" t="inlineStr">
        <is>
          <t>Comprehensive assessment of Acceptance and Commitment Therapy processes</t>
        </is>
      </c>
      <c r="D70" s="24" t="inlineStr">
        <is>
          <t>CompACT</t>
        </is>
      </c>
      <c r="E70" s="24" t="inlineStr">
        <is>
          <t>Alison W. Francis, David L. Dawson and Nima Golijani-Moghaddam, University of Lincoln</t>
        </is>
      </c>
      <c r="F70" s="24" t="inlineStr">
        <is>
          <t>2016</t>
        </is>
      </c>
      <c r="G70" s="24" t="inlineStr">
        <is>
          <t>Psychological flexibility across the six ACT processes grouped as three dyads</t>
        </is>
      </c>
      <c r="H70" s="24" t="n">
        <v>23</v>
      </c>
      <c r="I70" s="24" t="inlineStr">
        <is>
          <t>7 point agreement scale from 0 (strongly disagree) to 6 (strongly agree)</t>
        </is>
      </c>
      <c r="J70" s="24" t="inlineStr">
        <is>
          <t>Openness to Experience (10 items), Behavioural Awareness (5 items), Valued Action (8 items)</t>
        </is>
      </c>
      <c r="K70" s="24" t="inlineStr">
        <is>
          <t>Reverse negatively worded items then sum; total 0 to 138 and three subscale scores; higher is more flexible. Scoring key and calculator supplied with the licence; no cut offs.</t>
        </is>
      </c>
      <c r="L70" s="24" t="inlineStr">
        <is>
          <t>permission required</t>
        </is>
      </c>
      <c r="M70" s="24" t="inlineStr">
        <is>
          <t>Free Licence (Restricted), Term: Perpetual, Free of charge, obtained through the University of Lincoln IP store after accepting its terms.</t>
        </is>
      </c>
      <c r="N70" s="24" t="inlineStr">
        <is>
          <t>https://ipstore.lincoln.ac.uk/product/the-compact-a-tool-for-measuring-psychological-flexibility</t>
        </is>
      </c>
      <c r="O70" s="24" t="inlineStr">
        <is>
          <t>Yes</t>
        </is>
      </c>
      <c r="P70" s="24" t="inlineStr">
        <is>
          <t>https://contextualscience.org/sites/default/files/CompACT%20manuscript%20%28for%20archiving%29.pdf</t>
        </is>
      </c>
      <c r="Q70" s="24" t="inlineStr"/>
      <c r="R70" s="24" t="inlineStr">
        <is>
          <t>Strength based flexibility measure that fits ACT informed coaching; register through the Lincoln IP store and read the restricted terms before client use.</t>
        </is>
      </c>
      <c r="S70" s="24" t="inlineStr"/>
      <c r="T70" s="24" t="inlineStr">
        <is>
          <t>https://contextualscience.org/publications/development_validation_comprehensive_assessment_acceptance_commitment_therapy</t>
        </is>
      </c>
      <c r="U70" s="24" t="inlineStr">
        <is>
          <t>Candidate, licence to confirm</t>
        </is>
      </c>
      <c r="V70" s="24" t="inlineStr"/>
      <c r="W70" s="24" t="inlineStr"/>
      <c r="X70" s="24" t="inlineStr"/>
    </row>
    <row r="71">
      <c r="A71" s="24" t="n">
        <v>70</v>
      </c>
      <c r="B71" s="24" t="inlineStr">
        <is>
          <t>Wellbeing, stress, self talk and personality</t>
        </is>
      </c>
      <c r="C71" s="24" t="inlineStr">
        <is>
          <t>Big Five Inventory 2</t>
        </is>
      </c>
      <c r="D71" s="24" t="inlineStr">
        <is>
          <t>BFI-2</t>
        </is>
      </c>
      <c r="E71" s="24" t="inlineStr">
        <is>
          <t>Christopher J. Soto and Oliver P. John</t>
        </is>
      </c>
      <c r="F71" s="24" t="inlineStr">
        <is>
          <t>2017</t>
        </is>
      </c>
      <c r="G71" s="24" t="inlineStr">
        <is>
          <t>Big Five personality domains and 15 facets</t>
        </is>
      </c>
      <c r="H71" s="24" t="n">
        <v>60</v>
      </c>
      <c r="I71" s="24" t="inlineStr">
        <is>
          <t>5 point agreement scale from 1 (disagree strongly) to 5 (agree strongly)</t>
        </is>
      </c>
      <c r="J71" s="24" t="inlineStr">
        <is>
          <t>Extraversion, Agreeableness, Conscientiousness, Negative Emotionality, Open-Mindedness, 15 facets (3 per domain)</t>
        </is>
      </c>
      <c r="K71" s="24" t="inlineStr">
        <is>
          <t>Average item responses per domain (12 items) and facet (4 items) after reverse keying; range 1 to 5. Normative means published in Soto and John 2017; no cut offs.</t>
        </is>
      </c>
      <c r="L71" s="24" t="inlineStr">
        <is>
          <t>free for non commercial or research only</t>
        </is>
      </c>
      <c r="M71" s="24" t="inlineStr">
        <is>
          <t>The BFI-2 is not in the public domain but is freely available for researchers to use for non-commercial research purposes. Commercial use requires a request to the UC Berkeley Personality Lab.</t>
        </is>
      </c>
      <c r="N71" s="24" t="inlineStr">
        <is>
          <t>https://www.ocf.berkeley.edu/~johnlab/bfi.html</t>
        </is>
      </c>
      <c r="O71" s="24" t="inlineStr">
        <is>
          <t>Yes</t>
        </is>
      </c>
      <c r="P71" s="24" t="inlineStr">
        <is>
          <t>https://www.colby.edu/academics/departments-and-programs/psychology/research-opportunities/personality-lab/the-bfi-2/</t>
        </is>
      </c>
      <c r="Q71" s="24" t="inlineStr"/>
      <c r="R71" s="24" t="inlineStr">
        <is>
          <t>Best free modern Big Five with facets for self awareness work; email the Berkeley lab for a commercial permission before using in paid coaching.</t>
        </is>
      </c>
      <c r="S71" s="24" t="inlineStr"/>
      <c r="T71" s="24" t="inlineStr">
        <is>
          <t>https://www.colby.edu/academics/departments-and-programs/psychology/research-opportunities/personality-lab/the-bfi-2/</t>
        </is>
      </c>
      <c r="U71" s="24" t="inlineStr">
        <is>
          <t>Candidate, licence to confirm</t>
        </is>
      </c>
      <c r="V71" s="24" t="inlineStr"/>
      <c r="W71" s="24" t="inlineStr"/>
      <c r="X71" s="24" t="inlineStr"/>
    </row>
    <row r="72">
      <c r="A72" s="24" t="n">
        <v>71</v>
      </c>
      <c r="B72" s="24" t="inlineStr">
        <is>
          <t>Wellbeing, stress, self talk and personality</t>
        </is>
      </c>
      <c r="C72" s="24" t="inlineStr">
        <is>
          <t>Big Five Inventory 2 Short Form</t>
        </is>
      </c>
      <c r="D72" s="24" t="inlineStr">
        <is>
          <t>BFI-2-S</t>
        </is>
      </c>
      <c r="E72" s="24" t="inlineStr">
        <is>
          <t>Christopher J. Soto and Oliver P. John</t>
        </is>
      </c>
      <c r="F72" s="24" t="inlineStr">
        <is>
          <t>2017</t>
        </is>
      </c>
      <c r="G72" s="24" t="inlineStr">
        <is>
          <t>Big Five personality domains with reduced facet coverage</t>
        </is>
      </c>
      <c r="H72" s="24" t="n">
        <v>30</v>
      </c>
      <c r="I72" s="24" t="inlineStr">
        <is>
          <t>5 point agreement scale from 1 (disagree strongly) to 5 (agree strongly)</t>
        </is>
      </c>
      <c r="J72" s="24" t="inlineStr">
        <is>
          <t>Extraversion, Agreeableness, Conscientiousness, Negative Emotionality, Open-Mindedness</t>
        </is>
      </c>
      <c r="K72" s="24" t="inlineStr">
        <is>
          <t>Average 6 items per domain after reverse keying; 2 item facets are available but authors advise caution below about 400 observations.</t>
        </is>
      </c>
      <c r="L72" s="24" t="inlineStr">
        <is>
          <t>free for non commercial or research only</t>
        </is>
      </c>
      <c r="M72" s="24" t="inlineStr">
        <is>
          <t>BFI-2 items copyright 2015 by Oliver P. John and Christopher J. Soto; same terms as BFI-2, free for non commercial research with commercial use by request.</t>
        </is>
      </c>
      <c r="N72" s="24" t="inlineStr">
        <is>
          <t>https://www.ocf.berkeley.edu/~johnlab/bfi.html</t>
        </is>
      </c>
      <c r="O72" s="24" t="inlineStr">
        <is>
          <t>Yes</t>
        </is>
      </c>
      <c r="P72" s="24" t="inlineStr">
        <is>
          <t>https://ocf.berkeley.edu/~johnlab/bfis.pdf</t>
        </is>
      </c>
      <c r="Q72" s="24" t="inlineStr"/>
      <c r="R72" s="24" t="inlineStr">
        <is>
          <t>Half length Big Five for intake packs; same commercial permission caveat as the BFI-2.</t>
        </is>
      </c>
      <c r="S72" s="24" t="inlineStr"/>
      <c r="T72" s="24" t="inlineStr">
        <is>
          <t>https://ocf.berkeley.edu/~johnlab/bfis.pdf</t>
        </is>
      </c>
      <c r="U72" s="24" t="inlineStr">
        <is>
          <t>Candidate, licence to confirm</t>
        </is>
      </c>
      <c r="V72" s="24" t="inlineStr"/>
      <c r="W72" s="24" t="inlineStr"/>
      <c r="X72" s="24" t="inlineStr"/>
    </row>
    <row r="73">
      <c r="A73" s="24" t="n">
        <v>72</v>
      </c>
      <c r="B73" s="24" t="inlineStr">
        <is>
          <t>Wellbeing, stress, self talk and personality; Open repositories</t>
        </is>
      </c>
      <c r="C73" s="24" t="inlineStr">
        <is>
          <t>Mini International Personality Item Pool</t>
        </is>
      </c>
      <c r="D73" s="24" t="inlineStr">
        <is>
          <t>Mini-IPIP</t>
        </is>
      </c>
      <c r="E73" s="24" t="inlineStr">
        <is>
          <t>M. Brent Donnellan, Frederick L. Oswald, Brendan M. Baird and Richard E. Lucas</t>
        </is>
      </c>
      <c r="F73" s="24" t="inlineStr">
        <is>
          <t>2006</t>
        </is>
      </c>
      <c r="G73" s="24" t="inlineStr">
        <is>
          <t>Big Five personality factors using public domain IPIP items</t>
        </is>
      </c>
      <c r="H73" s="24" t="n">
        <v>20</v>
      </c>
      <c r="I73" s="24" t="inlineStr">
        <is>
          <t>5 point accuracy scale from 1 (very inaccurate) to 5 (very accurate)</t>
        </is>
      </c>
      <c r="J73" s="24" t="inlineStr">
        <is>
          <t>Extraversion, Agreeableness, Conscientiousness, Neuroticism, Intellect or Imagination</t>
        </is>
      </c>
      <c r="K73" s="24" t="inlineStr">
        <is>
          <t>Reverse keyed items then sum 4 items per factor, range 4 to 20; higher is more of the trait. No cut offs.</t>
        </is>
      </c>
      <c r="L73" s="24" t="inlineStr">
        <is>
          <t>public domain</t>
        </is>
      </c>
      <c r="M73" s="24" t="inlineStr">
        <is>
          <t>Because the IPIP has been placed in the public domain, permission has already been automatically granted for any person to use IPIP items, scales, and inventories for any purpose, commercial or non-commercial.</t>
        </is>
      </c>
      <c r="N73" s="24" t="inlineStr">
        <is>
          <t>https://ipip.ori.org/newPermission.htm</t>
        </is>
      </c>
      <c r="O73" s="24" t="inlineStr">
        <is>
          <t>Yes</t>
        </is>
      </c>
      <c r="P73" s="24" t="inlineStr">
        <is>
          <t>https://ipip.ori.org/MiniIPIPKey.htm</t>
        </is>
      </c>
      <c r="Q73" s="24" t="inlineStr"/>
      <c r="R73" s="24" t="inlineStr">
        <is>
          <t>The only fully public domain Big Five option, so safest for a commercial coaching practice; coarse but adequate for conversation starters.</t>
        </is>
      </c>
      <c r="S73" s="24" t="inlineStr"/>
      <c r="T73" s="24" t="inlineStr">
        <is>
          <t>https://www.millisecond.com/download/library/v7/mini_ipip/mini_ipip.manual</t>
        </is>
      </c>
      <c r="U73" s="24" t="inlineStr">
        <is>
          <t>Candidate, client facing possible</t>
        </is>
      </c>
      <c r="V73" s="24" t="inlineStr"/>
      <c r="W73" s="24" t="inlineStr"/>
      <c r="X73" s="24" t="inlineStr"/>
    </row>
    <row r="74">
      <c r="A74" s="24" t="n">
        <v>73</v>
      </c>
      <c r="B74" s="24" t="inlineStr">
        <is>
          <t>Wellbeing, stress, self talk and personality</t>
        </is>
      </c>
      <c r="C74" s="24" t="inlineStr">
        <is>
          <t>HEXACO Personality Inventory Revised, 60 item</t>
        </is>
      </c>
      <c r="D74" s="24" t="inlineStr">
        <is>
          <t>HEXACO-60</t>
        </is>
      </c>
      <c r="E74" s="24" t="inlineStr">
        <is>
          <t>Michael C. Ashton and Kibeom Lee</t>
        </is>
      </c>
      <c r="F74" s="24" t="inlineStr">
        <is>
          <t>2009</t>
        </is>
      </c>
      <c r="G74" s="24" t="inlineStr">
        <is>
          <t>Six personality factors including Honesty Humility and Emotionality</t>
        </is>
      </c>
      <c r="H74" s="24" t="n">
        <v>60</v>
      </c>
      <c r="I74" s="24" t="inlineStr">
        <is>
          <t>5 point agreement scale from 1 (strongly disagree) to 5 (strongly agree)</t>
        </is>
      </c>
      <c r="J74" s="24" t="inlineStr">
        <is>
          <t>Honesty-Humility, Emotionality, Extraversion, Agreeableness, Conscientiousness, Openness to Experience</t>
        </is>
      </c>
      <c r="K74" s="24" t="inlineStr">
        <is>
          <t>Mean of 10 items per factor after reverse keying, range 1 to 5; norms on hexaco.org. No cut offs.</t>
        </is>
      </c>
      <c r="L74" s="24" t="inlineStr">
        <is>
          <t>commercial</t>
        </is>
      </c>
      <c r="M74" s="24" t="inlineStr">
        <is>
          <t>Free for non profit research or teaching. For non academic purposes (including counselling and personnel development) users must purchase a licence at C$2 per administration, minimum 50 administrations (C$100), and hold graduate training in psychological testing.</t>
        </is>
      </c>
      <c r="N74" s="24" t="inlineStr">
        <is>
          <t>https://hexaco.org/nonacademicuse.htm</t>
        </is>
      </c>
      <c r="O74" s="24" t="inlineStr">
        <is>
          <t>Yes</t>
        </is>
      </c>
      <c r="P74" s="24" t="inlineStr">
        <is>
          <t>https://hexaco.org/hexaco-inventory</t>
        </is>
      </c>
      <c r="Q74" s="24" t="inlineStr"/>
      <c r="R74" s="24" t="inlineStr">
        <is>
          <t>Honesty Humility adds value in leadership coaching, but applied use is paid at C$2 per client so treat as a low cost commercial tool.</t>
        </is>
      </c>
      <c r="S74" s="24" t="inlineStr"/>
      <c r="T74" s="24" t="inlineStr">
        <is>
          <t>https://hexaco.org/hexaco-inventory</t>
        </is>
      </c>
      <c r="U74" s="24" t="inlineStr">
        <is>
          <t>Exclude (commercial)</t>
        </is>
      </c>
      <c r="V74" s="24" t="inlineStr"/>
      <c r="W74" s="24" t="inlineStr"/>
      <c r="X74" s="24" t="inlineStr"/>
    </row>
    <row r="75">
      <c r="A75" s="24" t="n">
        <v>74</v>
      </c>
      <c r="B75" s="24" t="inlineStr">
        <is>
          <t>Wellbeing, stress, self talk and personality</t>
        </is>
      </c>
      <c r="C75" s="24" t="inlineStr">
        <is>
          <t>Need for Cognition Scale, 6 item</t>
        </is>
      </c>
      <c r="D75" s="24" t="inlineStr">
        <is>
          <t>NCS-6</t>
        </is>
      </c>
      <c r="E75" s="24" t="inlineStr">
        <is>
          <t>Gabriel Lins de Holanda Coelho, Paul H. P. Hanel and Lukas J. Wolf</t>
        </is>
      </c>
      <c r="F75" s="24" t="inlineStr">
        <is>
          <t>2020</t>
        </is>
      </c>
      <c r="G75" s="24" t="inlineStr">
        <is>
          <t>Tendency to engage in and enjoy effortful thinking</t>
        </is>
      </c>
      <c r="H75" s="24" t="n">
        <v>6</v>
      </c>
      <c r="I75" s="24" t="inlineStr">
        <is>
          <t>5 point scale from 1 (extremely uncharacteristic) to 5 (extremely characteristic)</t>
        </is>
      </c>
      <c r="J75" s="24" t="inlineStr"/>
      <c r="K75" s="24" t="inlineStr">
        <is>
          <t>Reverse items 3 and 4 then mean of 6 items, range 1 to 5; higher is greater need for cognition. Reported means about 3.6 in UK and US samples.</t>
        </is>
      </c>
      <c r="L75" s="24" t="inlineStr">
        <is>
          <t>free with attribution (CC or stated)</t>
        </is>
      </c>
      <c r="M75" s="24" t="inlineStr">
        <is>
          <t>Development paper in Assessment is open access via PubMed Central; authors ask for acknowledgement. Parent 18 item scale by Cacioppo, Petty and Kao is used freely with citation.</t>
        </is>
      </c>
      <c r="N75" s="24" t="inlineStr">
        <is>
          <t>https://www.ncbi.nlm.nih.gov/pmc/articles/PMC7545655/</t>
        </is>
      </c>
      <c r="O75" s="24" t="inlineStr">
        <is>
          <t>Yes</t>
        </is>
      </c>
      <c r="P75" s="24" t="inlineStr">
        <is>
          <t>https://www.psytoolkit.org/survey-library/need-for-cognition-ncs6.html</t>
        </is>
      </c>
      <c r="Q75" s="24" t="inlineStr"/>
      <c r="R75" s="24" t="inlineStr">
        <is>
          <t>Quick indicator of how a client prefers to process information, useful for tailoring coaching homework.</t>
        </is>
      </c>
      <c r="S75" s="24" t="inlineStr"/>
      <c r="T75" s="24" t="inlineStr">
        <is>
          <t>https://www.ncbi.nlm.nih.gov/pmc/articles/PMC7545655/</t>
        </is>
      </c>
      <c r="U75" s="24" t="inlineStr">
        <is>
          <t>Candidate, client facing possible</t>
        </is>
      </c>
      <c r="V75" s="24" t="inlineStr"/>
      <c r="W75" s="24" t="inlineStr"/>
      <c r="X75" s="24" t="inlineStr"/>
    </row>
    <row r="76">
      <c r="A76" s="24" t="n">
        <v>75</v>
      </c>
      <c r="B76" s="24" t="inlineStr">
        <is>
          <t>Wellbeing, stress, self talk and personality</t>
        </is>
      </c>
      <c r="C76" s="24" t="inlineStr">
        <is>
          <t>Highly Sensitive Person Scale</t>
        </is>
      </c>
      <c r="D76" s="24" t="inlineStr">
        <is>
          <t>HSPS</t>
        </is>
      </c>
      <c r="E76" s="24" t="inlineStr">
        <is>
          <t>Elaine N. Aron and Arthur Aron</t>
        </is>
      </c>
      <c r="F76" s="24" t="inlineStr">
        <is>
          <t>1997</t>
        </is>
      </c>
      <c r="G76" s="24" t="inlineStr">
        <is>
          <t>Sensory processing sensitivity: depth of processing, overstimulation, emotional reactivity and sensory sensitivity</t>
        </is>
      </c>
      <c r="H76" s="24" t="n">
        <v>27</v>
      </c>
      <c r="I76" s="24" t="inlineStr">
        <is>
          <t>7 point scale from 1 (not at all) to 7 (extremely)</t>
        </is>
      </c>
      <c r="J76" s="24" t="inlineStr">
        <is>
          <t>Ease of Excitation, Low Sensory Threshold, Aesthetic Sensitivity (proposed by Smolewska 2006; authors treat factor structure as unsettled)</t>
        </is>
      </c>
      <c r="K76" s="24" t="inlineStr">
        <is>
          <t>Mean or sum of 27 items, no reverse keying; higher is more sensitive. No fixed cut off; authors suggest the top 15 to 30 percent of a sample as highly sensitive. Student mean about 4.1.</t>
        </is>
      </c>
      <c r="L76" s="24" t="inlineStr">
        <is>
          <t>not stated</t>
        </is>
      </c>
      <c r="M76" s="24" t="inlineStr">
        <is>
          <t>Site copyright Elaine N. Aron, all rights reserved; research version distributed by the author for research use, the online self test is not intended for research.</t>
        </is>
      </c>
      <c r="N76" s="24" t="inlineStr">
        <is>
          <t>https://hsperson.com/test/highly-sensitive-test/</t>
        </is>
      </c>
      <c r="O76" s="24" t="inlineStr">
        <is>
          <t>Yes</t>
        </is>
      </c>
      <c r="P76" s="24" t="inlineStr">
        <is>
          <t>https://www.goodmedicine.org.uk/sites/default/files/assessment%2C%20hsps%20background.pdf</t>
        </is>
      </c>
      <c r="Q76" s="24" t="inlineStr"/>
      <c r="R76" s="24" t="inlineStr">
        <is>
          <t>Popular with neurodivergent and burnout prone clients; contact Aron for permission before using in a paid service.</t>
        </is>
      </c>
      <c r="S76" s="24" t="inlineStr"/>
      <c r="T76" s="24" t="inlineStr">
        <is>
          <t>https://www.goodmedicine.org.uk/sites/default/files/assessment%2C%20hsps%20background.pdf</t>
        </is>
      </c>
      <c r="U76" s="24" t="inlineStr">
        <is>
          <t>Candidate, licence to confirm</t>
        </is>
      </c>
      <c r="V76" s="24" t="inlineStr">
        <is>
          <t>Check: digital or platform use may need its own licence</t>
        </is>
      </c>
      <c r="W76" s="24" t="inlineStr"/>
      <c r="X76" s="24" t="inlineStr"/>
    </row>
    <row r="77">
      <c r="A77" s="24" t="n">
        <v>76</v>
      </c>
      <c r="B77" s="24" t="inlineStr">
        <is>
          <t>Wellbeing, stress, self talk and personality</t>
        </is>
      </c>
      <c r="C77" s="24" t="inlineStr">
        <is>
          <t>Three Item Loneliness Scale</t>
        </is>
      </c>
      <c r="D77" s="24" t="inlineStr">
        <is>
          <t>UCLA-3</t>
        </is>
      </c>
      <c r="E77" s="24" t="inlineStr">
        <is>
          <t>Mary Elizabeth Hughes, Linda J. Waite, Louise C. Hawkley and John T. Cacioppo</t>
        </is>
      </c>
      <c r="F77" s="24" t="inlineStr">
        <is>
          <t>2004</t>
        </is>
      </c>
      <c r="G77" s="24" t="inlineStr">
        <is>
          <t>Subjective loneliness: lack of companionship, feeling left out, feeling isolated</t>
        </is>
      </c>
      <c r="H77" s="24" t="n">
        <v>3</v>
      </c>
      <c r="I77" s="24" t="inlineStr">
        <is>
          <t>3 point frequency scale: hardly ever or never (1), some of the time (2), often (3)</t>
        </is>
      </c>
      <c r="J77" s="24" t="inlineStr"/>
      <c r="K77" s="24" t="inlineStr">
        <is>
          <t>Sum 3 to 9; higher is lonelier. Scores of 6 or more are often classed as lonely in UK and NZ surveys.</t>
        </is>
      </c>
      <c r="L77" s="24" t="inlineStr">
        <is>
          <t>not stated</t>
        </is>
      </c>
      <c r="M77" s="24" t="inlineStr">
        <is>
          <t>No licence statement from the authors; the ONS recommends it as a national indicator and its guidance is published under the Open Government Licence v3.0.</t>
        </is>
      </c>
      <c r="N77" s="24" t="inlineStr">
        <is>
          <t>https://www.ons.gov.uk/peoplepopulationandcommunity/wellbeing/compendium/nationalmeasurementofloneliness/2018/recommendednationalindicatorsofloneliness</t>
        </is>
      </c>
      <c r="O77" s="24" t="inlineStr">
        <is>
          <t>Yes</t>
        </is>
      </c>
      <c r="P77" s="24" t="inlineStr">
        <is>
          <t>https://www.ons.gov.uk/peoplepopulationandcommunity/wellbeing/compendium/nationalmeasurementofloneliness/2018/recommendednationalindicatorsofloneliness</t>
        </is>
      </c>
      <c r="Q77" s="24" t="inlineStr"/>
      <c r="R77" s="24" t="inlineStr">
        <is>
          <t>Non stigmatising way to raise social connection; widely used in population surveys without fee.</t>
        </is>
      </c>
      <c r="S77" s="24" t="inlineStr"/>
      <c r="T77" s="24" t="inlineStr">
        <is>
          <t>https://www.ons.gov.uk/peoplepopulationandcommunity/wellbeing/compendium/nationalmeasurementofloneliness/2018/recommendednationalindicatorsofloneliness</t>
        </is>
      </c>
      <c r="U77" s="24" t="inlineStr">
        <is>
          <t>Candidate, licence to confirm</t>
        </is>
      </c>
      <c r="V77" s="24" t="inlineStr"/>
      <c r="W77" s="24" t="inlineStr"/>
      <c r="X77" s="24" t="inlineStr"/>
    </row>
    <row r="78">
      <c r="A78" s="24" t="n">
        <v>77</v>
      </c>
      <c r="B78" s="24" t="inlineStr">
        <is>
          <t>Wellbeing, stress, self talk and personality</t>
        </is>
      </c>
      <c r="C78" s="24" t="inlineStr">
        <is>
          <t>Multidimensional Scale of Perceived Social Support</t>
        </is>
      </c>
      <c r="D78" s="24" t="inlineStr">
        <is>
          <t>MSPSS</t>
        </is>
      </c>
      <c r="E78" s="24" t="inlineStr">
        <is>
          <t>Gregory D. Zimet, Nancy W. Dahlem, Sara G. Zimet and Gordon K. Farley</t>
        </is>
      </c>
      <c r="F78" s="24" t="inlineStr">
        <is>
          <t>1988</t>
        </is>
      </c>
      <c r="G78" s="24" t="inlineStr">
        <is>
          <t>Perceived adequacy of social support from family, friends and a significant other</t>
        </is>
      </c>
      <c r="H78" s="24" t="n">
        <v>12</v>
      </c>
      <c r="I78" s="24" t="inlineStr">
        <is>
          <t>7 point agreement scale from 1 (very strongly disagree) to 7 (very strongly agree)</t>
        </is>
      </c>
      <c r="J78" s="24" t="inlineStr">
        <is>
          <t>Significant Other, Family, Friends</t>
        </is>
      </c>
      <c r="K78" s="24" t="inlineStr">
        <is>
          <t>Mean of 4 items per subscale and of all 12 for total, range 1 to 7. Zimet bands: 1 to 2.9 low, 3 to 5 moderate, 5.1 to 7 high.</t>
        </is>
      </c>
      <c r="L78" s="24" t="inlineStr">
        <is>
          <t>not stated</t>
        </is>
      </c>
      <c r="M78" s="24" t="inlineStr">
        <is>
          <t>No permission statement in the scoring document; it refers users to Zimet's site (gzimet.wix.com/mspss), which states the scale may be used freely with citation. Secondary hosts say to contact the author.</t>
        </is>
      </c>
      <c r="N78" s="24" t="inlineStr">
        <is>
          <t>https://gzimet.wixsite.com/mspss</t>
        </is>
      </c>
      <c r="O78" s="24" t="inlineStr">
        <is>
          <t>Yes</t>
        </is>
      </c>
      <c r="P78" s="24" t="inlineStr">
        <is>
          <t>https://www.bristol.ac.uk/media-library/sites/sps/documents/c-change/mspss.pdf</t>
        </is>
      </c>
      <c r="Q78" s="24" t="inlineStr"/>
      <c r="R78" s="24" t="inlineStr">
        <is>
          <t>Maps support sources quickly for resilience and transition coaching; confirm free use on Zimet's site before adding.</t>
        </is>
      </c>
      <c r="S78" s="24" t="inlineStr"/>
      <c r="T78" s="24" t="inlineStr">
        <is>
          <t>https://arc.psych.wisc.edu/self-report/multidimensional-scale-of-perceived-social-support-mspss/</t>
        </is>
      </c>
      <c r="U78" s="24" t="inlineStr">
        <is>
          <t>Candidate, licence to confirm</t>
        </is>
      </c>
      <c r="V78" s="24" t="inlineStr"/>
      <c r="W78" s="24" t="inlineStr"/>
      <c r="X78" s="24" t="inlineStr"/>
    </row>
    <row r="79">
      <c r="A79" s="24" t="n">
        <v>78</v>
      </c>
      <c r="B79" s="24" t="inlineStr">
        <is>
          <t>Wellbeing, stress, self talk and personality; Clinical practice in New Zealand</t>
        </is>
      </c>
      <c r="C79" s="24" t="inlineStr">
        <is>
          <t>Hua Oranga</t>
        </is>
      </c>
      <c r="D79" s="24" t="inlineStr">
        <is>
          <t>Hua Oranga</t>
        </is>
      </c>
      <c r="E79" s="24" t="inlineStr">
        <is>
          <t>Te Kani Kingi and Mason Durie, Massey University, for the Ministry of Health; revised by Andre McLachlan (Te Rau Ora)</t>
        </is>
      </c>
      <c r="F79" s="24" t="inlineStr">
        <is>
          <t>2000</t>
        </is>
      </c>
      <c r="G79" s="24" t="inlineStr">
        <is>
          <t>Māori wellbeing outcome across the four taha of Te Whare Tapa Whā (wairua, hinengaro, tinana, whānau), with a later Te Taha Taiao extension</t>
        </is>
      </c>
      <c r="H79" s="24" t="n">
        <v>16</v>
      </c>
      <c r="I79" s="24" t="inlineStr">
        <is>
          <t>5 point scale per item rating current wellbeing or change in each domain</t>
        </is>
      </c>
      <c r="J79" s="24" t="inlineStr">
        <is>
          <t>Taha Wairua, Taha Hinengaro, Taha Tinana, Taha Whānau</t>
        </is>
      </c>
      <c r="K79" s="24" t="inlineStr">
        <is>
          <t>Sum items within each taha and overall; parallel tangata whaiora, whānau and practitioner forms are compared to build a shared picture. No clinical cut offs; change over time is the focus.</t>
        </is>
      </c>
      <c r="L79" s="24" t="inlineStr">
        <is>
          <t>free with attribution (CC or stated)</t>
        </is>
      </c>
      <c r="M79" s="24" t="inlineStr">
        <is>
          <t>Te Rau Ora: the outcome measure tool is available and free to use. Access, manual and appendices are through the ORA database site; practitioner training workshops are offered.</t>
        </is>
      </c>
      <c r="N79" s="24" t="inlineStr">
        <is>
          <t>https://terauora.com/hua-oranga/</t>
        </is>
      </c>
      <c r="O79" s="24" t="inlineStr">
        <is>
          <t>Yes</t>
        </is>
      </c>
      <c r="P79" s="24" t="inlineStr">
        <is>
          <t>https://www.oradatabase.co.nz/</t>
        </is>
      </c>
      <c r="Q79" s="24" t="inlineStr"/>
      <c r="R79" s="24" t="inlineStr">
        <is>
          <t>The leading kaupapa Māori outcome measure; appropriate for Māori clients when used with cultural supervision and ideally after Te Rau Ora training.</t>
        </is>
      </c>
      <c r="S79" s="24" t="inlineStr"/>
      <c r="T79" s="24" t="inlineStr">
        <is>
          <t>https://www.hqsc.govt.nz/assets/Our-work/Mental-health-and-addiction/Resources/Maori-advisory-group-tools-Jan-2019.docx</t>
        </is>
      </c>
      <c r="U79" s="24" t="inlineStr">
        <is>
          <t>Candidate, client facing possible</t>
        </is>
      </c>
      <c r="V79" s="24" t="inlineStr"/>
      <c r="W79" s="24" t="inlineStr"/>
      <c r="X79" s="24" t="inlineStr"/>
    </row>
    <row r="80">
      <c r="A80" s="24" t="n">
        <v>79</v>
      </c>
      <c r="B80" s="24" t="inlineStr">
        <is>
          <t>Wellbeing, stress, self talk and personality</t>
        </is>
      </c>
      <c r="C80" s="24" t="inlineStr">
        <is>
          <t>Gratitude Questionnaire</t>
        </is>
      </c>
      <c r="D80" s="24" t="inlineStr">
        <is>
          <t>GQ-6</t>
        </is>
      </c>
      <c r="E80" s="24" t="inlineStr">
        <is>
          <t>Michael E. McCullough, Robert A. Emmons and Jo-Ann Tsang</t>
        </is>
      </c>
      <c r="F80" s="24" t="inlineStr">
        <is>
          <t>2002</t>
        </is>
      </c>
      <c r="G80" s="24" t="inlineStr">
        <is>
          <t>Dispositional gratitude</t>
        </is>
      </c>
      <c r="H80" s="24" t="n">
        <v>6</v>
      </c>
      <c r="I80" s="24" t="inlineStr">
        <is>
          <t>7 point agreement scale from 1 (strongly disagree) to 7 (strongly agree)</t>
        </is>
      </c>
      <c r="J80" s="24" t="inlineStr"/>
      <c r="K80" s="24" t="inlineStr">
        <is>
          <t>Reverse items 3 and 6 then sum 6 to 42; higher is more grateful. Web sample percentiles: 35 is 25th, 38 is 50th, 41 is 75th.</t>
        </is>
      </c>
      <c r="L80" s="24" t="inlineStr">
        <is>
          <t>free for non commercial or research only</t>
        </is>
      </c>
      <c r="M80" s="24" t="inlineStr">
        <is>
          <t>The scale was published in a scientific journal for use in the public domain. You do not need to contact any of the authors for permission to use these scales in non-commercial research. You may not use the scales for commercial purposes without permission.</t>
        </is>
      </c>
      <c r="N80" s="24" t="inlineStr">
        <is>
          <t>https://pages.ucsd.edu/~memccullough/gratitude/GQ-6-scoring-interp.pdf</t>
        </is>
      </c>
      <c r="O80" s="24" t="inlineStr">
        <is>
          <t>Yes</t>
        </is>
      </c>
      <c r="P80" s="24" t="inlineStr">
        <is>
          <t>https://pages.ucsd.edu/~memccullough/gratitude/GQ-6-scoring-interp.pdf</t>
        </is>
      </c>
      <c r="Q80" s="24" t="inlineStr"/>
      <c r="R80" s="24" t="inlineStr">
        <is>
          <t>Pairs well with gratitude interventions in positive psychology coaching; commercial use needs McCullough's permission.</t>
        </is>
      </c>
      <c r="S80" s="24" t="inlineStr"/>
      <c r="T80" s="24" t="inlineStr">
        <is>
          <t>https://pages.ucsd.edu/~memccullough/gratitude/GQ-6-scoring-interp.pdf</t>
        </is>
      </c>
      <c r="U80" s="24" t="inlineStr">
        <is>
          <t>Candidate, licence to confirm</t>
        </is>
      </c>
      <c r="V80" s="24" t="inlineStr"/>
      <c r="W80" s="24" t="inlineStr"/>
      <c r="X80" s="24" t="inlineStr"/>
    </row>
    <row r="81">
      <c r="A81" s="24" t="n">
        <v>80</v>
      </c>
      <c r="B81" s="24" t="inlineStr">
        <is>
          <t>Open repositories</t>
        </is>
      </c>
      <c r="C81" s="24" t="inlineStr">
        <is>
          <t>DSM-5-TR Self-Rated Level 1 Cross-Cutting Symptom Measure, Adult</t>
        </is>
      </c>
      <c r="D81" s="24" t="inlineStr">
        <is>
          <t>DSM-5-TR L1 Adult</t>
        </is>
      </c>
      <c r="E81" s="24" t="inlineStr">
        <is>
          <t>American Psychiatric Association</t>
        </is>
      </c>
      <c r="F81" s="24" t="inlineStr">
        <is>
          <t>2013, updated 2022</t>
        </is>
      </c>
      <c r="G81" s="24" t="inlineStr">
        <is>
          <t>Broad screen of 13 psychiatric symptom domains over the past 2 weeks, including depression, anger, mania, anxiety, somatic symptoms, suicidal ideation, psychosis, sleep, memory, repetitive thoughts, dissociation, personality functioning and substance use</t>
        </is>
      </c>
      <c r="H81" s="24" t="n">
        <v>23</v>
      </c>
      <c r="I81" s="24" t="inlineStr">
        <is>
          <t>5 point, 0 (none or not at all) to 4 (severe or nearly every day)</t>
        </is>
      </c>
      <c r="J81" s="24" t="inlineStr">
        <is>
          <t>Depression, Anger, Mania, Anxiety, Somatic symptoms, Suicidal ideation, Psychosis, Sleep problems, Memory, Repetitive thoughts and behaviours, Dissociation, Personality functioning, Substance use</t>
        </is>
      </c>
      <c r="K81" s="24" t="inlineStr">
        <is>
          <t>Highest item score per domain; a rating of 2 or more (1 for suicidal ideation, psychosis and substance use) flags the domain for Level 2 follow up</t>
        </is>
      </c>
      <c r="L81" s="24" t="inlineStr">
        <is>
          <t>free for non commercial or research only</t>
        </is>
      </c>
      <c r="M81" s="24" t="inlineStr">
        <is>
          <t>APA measure PDFs state: "This material can be reproduced without permission by researchers and by clinicians for use with their patients." Site footer: "(c) 2026 American Psychiatric Association. All Rights Reserved."</t>
        </is>
      </c>
      <c r="N81" s="24" t="inlineStr">
        <is>
          <t>https://www.psychiatry.org/psychiatrists/practice/dsm/educational-resources/assessment-measures</t>
        </is>
      </c>
      <c r="O81" s="24" t="inlineStr">
        <is>
          <t>Yes</t>
        </is>
      </c>
      <c r="P81" s="24" t="inlineStr">
        <is>
          <t>https://www.psychiatry.org/File%20Library/Psychiatrists/Practice/DSM/APA_DSM5_Level-1-Measure-Adult.pdf</t>
        </is>
      </c>
      <c r="Q81" s="24" t="inlineStr"/>
      <c r="R81" s="24" t="inlineStr">
        <is>
          <t>Useful as an intake triage tool to decide whether a coaching client should be referred for clinical assessment; the APA permission is written for researchers and clinicians, so a coach should treat it as a screening and referral aid, not a diagnostic measure.</t>
        </is>
      </c>
      <c r="S81" s="24" t="inlineStr">
        <is>
          <t>APA DSM-5-TR Online Assessment Measures</t>
        </is>
      </c>
      <c r="T81" s="24" t="inlineStr">
        <is>
          <t>https://www.psychiatry.org/psychiatrists/practice/dsm/educational-resources/assessment-measures</t>
        </is>
      </c>
      <c r="U81" s="24" t="inlineStr">
        <is>
          <t>Risk measure: Sarah to decide; never unattended in the hub</t>
        </is>
      </c>
      <c r="V81" s="24" t="inlineStr"/>
      <c r="W81" s="24" t="inlineStr"/>
      <c r="X81" s="24" t="inlineStr"/>
    </row>
    <row r="82">
      <c r="A82" s="24" t="n">
        <v>81</v>
      </c>
      <c r="B82" s="24" t="inlineStr">
        <is>
          <t>Open repositories</t>
        </is>
      </c>
      <c r="C82" s="24" t="inlineStr">
        <is>
          <t>LEVEL 2 Depression, Adult (PROMIS Emotional Distress Depression Short Form)</t>
        </is>
      </c>
      <c r="D82" s="24" t="inlineStr">
        <is>
          <t>DSM-5-TR L2 Depression / PROMIS Depression 8a</t>
        </is>
      </c>
      <c r="E82" s="24" t="inlineStr">
        <is>
          <t>American Psychiatric Association using PROMIS (Pilkonis et al.)</t>
        </is>
      </c>
      <c r="F82" s="24" t="inlineStr">
        <is>
          <t>2011 PROMIS; 2013 APA</t>
        </is>
      </c>
      <c r="G82" s="24" t="inlineStr">
        <is>
          <t>Depressive symptoms (negative mood, anhedonia, negative self view) over the past 7 days</t>
        </is>
      </c>
      <c r="H82" s="24" t="n">
        <v>8</v>
      </c>
      <c r="I82" s="24" t="inlineStr">
        <is>
          <t>5 point frequency, 1 (never) to 5 (always)</t>
        </is>
      </c>
      <c r="J82" s="24" t="inlineStr"/>
      <c r="K82" s="24" t="inlineStr">
        <is>
          <t>Sum 8 to 40, converted to a PROMIS T score via the APA conversion table (mean 50, SD 10); severity bands none, mild, moderate, severe</t>
        </is>
      </c>
      <c r="L82" s="24" t="inlineStr">
        <is>
          <t>free for non commercial or research only</t>
        </is>
      </c>
      <c r="M82" s="24" t="inlineStr">
        <is>
          <t>APA measure PDFs state: "This material can be reproduced without permission by researchers and by clinicians for use with their patients." Site footer: "(c) 2026 American Psychiatric Association. All Rights Reserved." PROMIS items are governed by HealthMeasures terms.</t>
        </is>
      </c>
      <c r="N82" s="24" t="inlineStr">
        <is>
          <t>https://www.psychiatry.org/psychiatrists/practice/dsm/educational-resources/assessment-measures</t>
        </is>
      </c>
      <c r="O82" s="24" t="inlineStr">
        <is>
          <t>Yes</t>
        </is>
      </c>
      <c r="P82" s="24" t="inlineStr">
        <is>
          <t>https://www.psychiatry.org/File%20Library/Psychiatrists/Practice/DSM/APA_DSM5_Level-2-Depression-Adult.pdf</t>
        </is>
      </c>
      <c r="Q82" s="24" t="inlineStr"/>
      <c r="R82" s="24" t="inlineStr">
        <is>
          <t>Follow up measure when the Level 1 depression domain is flagged; T scores above 60 suggest a referral conversation rather than coaching alone.</t>
        </is>
      </c>
      <c r="S82" s="24" t="inlineStr">
        <is>
          <t>APA DSM-5-TR Online Assessment Measures</t>
        </is>
      </c>
      <c r="T82" s="24" t="inlineStr">
        <is>
          <t>https://www.psychiatry.org/psychiatrists/practice/dsm/educational-resources/assessment-measures</t>
        </is>
      </c>
      <c r="U82" s="24" t="inlineStr">
        <is>
          <t>Sarah only if used (screener; never summarised to the client)</t>
        </is>
      </c>
      <c r="V82" s="24" t="inlineStr"/>
      <c r="W82" s="24" t="inlineStr"/>
      <c r="X82" s="24" t="inlineStr"/>
    </row>
    <row r="83">
      <c r="A83" s="24" t="n">
        <v>82</v>
      </c>
      <c r="B83" s="24" t="inlineStr">
        <is>
          <t>Open repositories</t>
        </is>
      </c>
      <c r="C83" s="24" t="inlineStr">
        <is>
          <t>LEVEL 2 Anxiety, Adult (PROMIS Emotional Distress Anxiety Short Form)</t>
        </is>
      </c>
      <c r="D83" s="24" t="inlineStr">
        <is>
          <t>DSM-5-TR L2 Anxiety / PROMIS Anxiety 7a</t>
        </is>
      </c>
      <c r="E83" s="24" t="inlineStr">
        <is>
          <t>American Psychiatric Association using PROMIS (Pilkonis et al.)</t>
        </is>
      </c>
      <c r="F83" s="24" t="inlineStr">
        <is>
          <t>2011 PROMIS; 2013 APA</t>
        </is>
      </c>
      <c r="G83" s="24" t="inlineStr">
        <is>
          <t>Anxiety symptoms (fear, worry, hyperarousal) over the past 7 days</t>
        </is>
      </c>
      <c r="H83" s="24" t="n">
        <v>7</v>
      </c>
      <c r="I83" s="24" t="inlineStr">
        <is>
          <t>5 point frequency, 1 (never) to 5 (always)</t>
        </is>
      </c>
      <c r="J83" s="24" t="inlineStr"/>
      <c r="K83" s="24" t="inlineStr">
        <is>
          <t>Sum 7 to 35 converted to a T score (mean 50, SD 10); bands none, mild, moderate, severe</t>
        </is>
      </c>
      <c r="L83" s="24" t="inlineStr">
        <is>
          <t>free for non commercial or research only</t>
        </is>
      </c>
      <c r="M83" s="24" t="inlineStr">
        <is>
          <t>APA measure PDFs state: "This material can be reproduced without permission by researchers and by clinicians for use with their patients." Site footer: "(c) 2026 American Psychiatric Association. All Rights Reserved." PROMIS items are governed by HealthMeasures terms.</t>
        </is>
      </c>
      <c r="N83" s="24" t="inlineStr">
        <is>
          <t>https://www.psychiatry.org/psychiatrists/practice/dsm/educational-resources/assessment-measures</t>
        </is>
      </c>
      <c r="O83" s="24" t="inlineStr">
        <is>
          <t>Yes</t>
        </is>
      </c>
      <c r="P83" s="24" t="inlineStr">
        <is>
          <t>https://www.psychiatry.org/File%20Library/Psychiatrists/Practice/DSM/APA_DSM5_Level-2-Anxiety-Adult.pdf</t>
        </is>
      </c>
      <c r="Q83" s="24" t="inlineStr"/>
      <c r="R83" s="24" t="inlineStr">
        <is>
          <t>Brief check of anxiety load for clients presenting with avoidance, procrastination or overwork; pair with a functioning measure such as WSAS or WHODAS.</t>
        </is>
      </c>
      <c r="S83" s="24" t="inlineStr">
        <is>
          <t>APA DSM-5-TR Online Assessment Measures</t>
        </is>
      </c>
      <c r="T83" s="24" t="inlineStr">
        <is>
          <t>https://www.psychiatry.org/psychiatrists/practice/dsm/educational-resources/assessment-measures</t>
        </is>
      </c>
      <c r="U83" s="24" t="inlineStr">
        <is>
          <t>Candidate, licence to confirm</t>
        </is>
      </c>
      <c r="V83" s="24" t="inlineStr"/>
      <c r="W83" s="24" t="inlineStr"/>
      <c r="X83" s="24" t="inlineStr"/>
    </row>
    <row r="84">
      <c r="A84" s="24" t="n">
        <v>83</v>
      </c>
      <c r="B84" s="24" t="inlineStr">
        <is>
          <t>Open repositories</t>
        </is>
      </c>
      <c r="C84" s="24" t="inlineStr">
        <is>
          <t>LEVEL 2 Anger, Adult (PROMIS Emotional Distress Anger Short Form)</t>
        </is>
      </c>
      <c r="D84" s="24" t="inlineStr">
        <is>
          <t>DSM-5-TR L2 Anger / PROMIS Anger 5a</t>
        </is>
      </c>
      <c r="E84" s="24" t="inlineStr">
        <is>
          <t>American Psychiatric Association using PROMIS (Pilkonis et al.)</t>
        </is>
      </c>
      <c r="F84" s="24" t="inlineStr">
        <is>
          <t>2011 PROMIS; 2013 APA</t>
        </is>
      </c>
      <c r="G84" s="24" t="inlineStr">
        <is>
          <t>Angry mood, irritability and verbal aggression over the past 7 days</t>
        </is>
      </c>
      <c r="H84" s="24" t="n">
        <v>5</v>
      </c>
      <c r="I84" s="24" t="inlineStr">
        <is>
          <t>5 point frequency, 1 (never) to 5 (always)</t>
        </is>
      </c>
      <c r="J84" s="24" t="inlineStr"/>
      <c r="K84" s="24" t="inlineStr">
        <is>
          <t>Sum 5 to 25 converted to a T score (mean 50, SD 10)</t>
        </is>
      </c>
      <c r="L84" s="24" t="inlineStr">
        <is>
          <t>free for non commercial or research only</t>
        </is>
      </c>
      <c r="M84" s="24" t="inlineStr">
        <is>
          <t>APA measure PDFs state: "This material can be reproduced without permission by researchers and by clinicians for use with their patients." Site footer: "(c) 2026 American Psychiatric Association. All Rights Reserved." PROMIS items are governed by HealthMeasures terms.</t>
        </is>
      </c>
      <c r="N84" s="24" t="inlineStr">
        <is>
          <t>https://www.psychiatry.org/psychiatrists/practice/dsm/educational-resources/assessment-measures</t>
        </is>
      </c>
      <c r="O84" s="24" t="inlineStr">
        <is>
          <t>Yes</t>
        </is>
      </c>
      <c r="P84" s="24" t="inlineStr">
        <is>
          <t>https://www.psychiatry.org/File%20Library/Psychiatrists/Practice/DSM/APA_DSM5_Level-2-Anger-Adult.pdf</t>
        </is>
      </c>
      <c r="Q84" s="24" t="inlineStr"/>
      <c r="R84" s="24" t="inlineStr">
        <is>
          <t>Relevant where emotional dysregulation or irritability is a workplace theme, including in adult ADHD; short enough for repeated use.</t>
        </is>
      </c>
      <c r="S84" s="24" t="inlineStr">
        <is>
          <t>APA DSM-5-TR Online Assessment Measures</t>
        </is>
      </c>
      <c r="T84" s="24" t="inlineStr">
        <is>
          <t>https://www.psychiatry.org/psychiatrists/practice/dsm/educational-resources/assessment-measures</t>
        </is>
      </c>
      <c r="U84" s="24" t="inlineStr">
        <is>
          <t>Candidate, licence to confirm</t>
        </is>
      </c>
      <c r="V84" s="24" t="inlineStr"/>
      <c r="W84" s="24" t="inlineStr"/>
      <c r="X84" s="24" t="inlineStr"/>
    </row>
    <row r="85">
      <c r="A85" s="24" t="n">
        <v>84</v>
      </c>
      <c r="B85" s="24" t="inlineStr">
        <is>
          <t>Open repositories</t>
        </is>
      </c>
      <c r="C85" s="24" t="inlineStr">
        <is>
          <t>LEVEL 2 Sleep Disturbance, Adult (PROMIS Sleep Disturbance Short Form)</t>
        </is>
      </c>
      <c r="D85" s="24" t="inlineStr">
        <is>
          <t>DSM-5-TR L2 Sleep / PROMIS Sleep Disturbance 8b</t>
        </is>
      </c>
      <c r="E85" s="24" t="inlineStr">
        <is>
          <t>American Psychiatric Association using PROMIS (Buysse et al.)</t>
        </is>
      </c>
      <c r="F85" s="24" t="inlineStr">
        <is>
          <t>2010 PROMIS; 2013 APA</t>
        </is>
      </c>
      <c r="G85" s="24" t="inlineStr">
        <is>
          <t>Perceived sleep quality, difficulty falling and staying asleep, and satisfaction with sleep over the past 7 days</t>
        </is>
      </c>
      <c r="H85" s="24" t="n">
        <v>8</v>
      </c>
      <c r="I85" s="24" t="inlineStr">
        <is>
          <t>5 point, mix of frequency and quality anchors, scored 1 to 5</t>
        </is>
      </c>
      <c r="J85" s="24" t="inlineStr"/>
      <c r="K85" s="24" t="inlineStr">
        <is>
          <t>Sum 8 to 40 converted to a T score (mean 50, SD 10)</t>
        </is>
      </c>
      <c r="L85" s="24" t="inlineStr">
        <is>
          <t>free for non commercial or research only</t>
        </is>
      </c>
      <c r="M85" s="24" t="inlineStr">
        <is>
          <t>APA measure PDFs state: "This material can be reproduced without permission by researchers and by clinicians for use with their patients." Site footer: "(c) 2026 American Psychiatric Association. All Rights Reserved." PROMIS items are governed by HealthMeasures terms.</t>
        </is>
      </c>
      <c r="N85" s="24" t="inlineStr">
        <is>
          <t>https://www.psychiatry.org/psychiatrists/practice/dsm/educational-resources/assessment-measures</t>
        </is>
      </c>
      <c r="O85" s="24" t="inlineStr">
        <is>
          <t>Yes</t>
        </is>
      </c>
      <c r="P85" s="24" t="inlineStr">
        <is>
          <t>https://www.psychiatry.org/File%20Library/Psychiatrists/Practice/DSM/APA_DSM5_Level-2-Sleep-Disturbance-Adult.pdf</t>
        </is>
      </c>
      <c r="Q85" s="24" t="inlineStr"/>
      <c r="R85" s="24" t="inlineStr">
        <is>
          <t>Sleep is a common upstream driver of executive functioning complaints; this form gives a quick baseline before coaching on routines.</t>
        </is>
      </c>
      <c r="S85" s="24" t="inlineStr">
        <is>
          <t>APA DSM-5-TR Online Assessment Measures</t>
        </is>
      </c>
      <c r="T85" s="24" t="inlineStr">
        <is>
          <t>https://www.psychiatry.org/psychiatrists/practice/dsm/educational-resources/assessment-measures</t>
        </is>
      </c>
      <c r="U85" s="24" t="inlineStr">
        <is>
          <t>Candidate, licence to confirm</t>
        </is>
      </c>
      <c r="V85" s="24" t="inlineStr"/>
      <c r="W85" s="24" t="inlineStr"/>
      <c r="X85" s="24" t="inlineStr"/>
    </row>
    <row r="86">
      <c r="A86" s="24" t="n">
        <v>85</v>
      </c>
      <c r="B86" s="24" t="inlineStr">
        <is>
          <t>Open repositories</t>
        </is>
      </c>
      <c r="C86" s="24" t="inlineStr">
        <is>
          <t>WHO Disability Assessment Schedule 2.0, 36 item self administered</t>
        </is>
      </c>
      <c r="D86" s="24" t="inlineStr">
        <is>
          <t>WHODAS 2.0 (36 item, self)</t>
        </is>
      </c>
      <c r="E86" s="24" t="inlineStr">
        <is>
          <t>World Health Organization (Ustun et al.)</t>
        </is>
      </c>
      <c r="F86" s="24" t="inlineStr">
        <is>
          <t>2010</t>
        </is>
      </c>
      <c r="G86" s="24" t="inlineStr">
        <is>
          <t>Functioning and disability across 6 life domains over the past 30 days, aligned with the ICF</t>
        </is>
      </c>
      <c r="H86" s="24" t="n">
        <v>36</v>
      </c>
      <c r="I86" s="24" t="inlineStr">
        <is>
          <t>5 point, 1 (none) to 5 (extreme or cannot do)</t>
        </is>
      </c>
      <c r="J86" s="24" t="inlineStr">
        <is>
          <t>Understanding and communicating, Getting around, Self care, Getting along with people, Life activities (household and work or school), Participation in society</t>
        </is>
      </c>
      <c r="K86" s="24" t="inlineStr">
        <is>
          <t>Simple scoring sums items (36 to 180); complex item response theory scoring converts to 0 to 100 via WHO syntax; domain averages reported in the APA version</t>
        </is>
      </c>
      <c r="L86" s="24" t="inlineStr">
        <is>
          <t>free with attribution (CC or stated)</t>
        </is>
      </c>
      <c r="M86" s="24" t="inlineStr">
        <is>
          <t>WHO copyright. WHO makes WHODAS 2.0 freely available for use; translation or adaptation requires WHO permission. Reproduced on the APA site under the APA researcher and clinician permission.</t>
        </is>
      </c>
      <c r="N86" s="24" t="inlineStr">
        <is>
          <t>https://www.who.int/standards/classifications/international-classification-of-functioning-disability-and-health/who-disability-assessment-schedule</t>
        </is>
      </c>
      <c r="O86" s="24" t="inlineStr">
        <is>
          <t>Yes</t>
        </is>
      </c>
      <c r="P86" s="24" t="inlineStr">
        <is>
          <t>https://www.psychiatry.org/File%20Library/Psychiatrists/Practice/DSM/APA_DSM5_WHODAS.pdf</t>
        </is>
      </c>
      <c r="Q86" s="24" t="inlineStr"/>
      <c r="R86" s="24" t="inlineStr">
        <is>
          <t>Strong outcome measure for coaching because it indexes day to day functioning rather than symptoms; the Life activities and Getting along domains map directly onto work goals. The 12 item version exists if burden matters.</t>
        </is>
      </c>
      <c r="S86" s="24" t="inlineStr">
        <is>
          <t>APA DSM-5-TR Online Assessment Measures</t>
        </is>
      </c>
      <c r="T86" s="24" t="inlineStr">
        <is>
          <t>https://www.psychiatry.org/psychiatrists/practice/dsm/educational-resources/assessment-measures</t>
        </is>
      </c>
      <c r="U86" s="24" t="inlineStr">
        <is>
          <t>Candidate, client facing possible</t>
        </is>
      </c>
      <c r="V86" s="24" t="inlineStr"/>
      <c r="W86" s="24" t="inlineStr"/>
      <c r="X86" s="24" t="inlineStr"/>
    </row>
    <row r="87">
      <c r="A87" s="24" t="n">
        <v>86</v>
      </c>
      <c r="B87" s="24" t="inlineStr">
        <is>
          <t>Open repositories</t>
        </is>
      </c>
      <c r="C87" s="24" t="inlineStr">
        <is>
          <t>Personality Inventory for DSM-5, Brief Form, Adult</t>
        </is>
      </c>
      <c r="D87" s="24" t="inlineStr">
        <is>
          <t>PID-5-BF</t>
        </is>
      </c>
      <c r="E87" s="24" t="inlineStr">
        <is>
          <t>Krueger, Derringer, Markon, Watson and Skodol for the APA</t>
        </is>
      </c>
      <c r="F87" s="24" t="inlineStr">
        <is>
          <t>2013</t>
        </is>
      </c>
      <c r="G87" s="24" t="inlineStr">
        <is>
          <t>Maladaptive personality trait domains of the DSM-5 alternative model</t>
        </is>
      </c>
      <c r="H87" s="24" t="n">
        <v>25</v>
      </c>
      <c r="I87" s="24" t="inlineStr">
        <is>
          <t>4 point, 0 (very false or often false) to 3 (very true or often true)</t>
        </is>
      </c>
      <c r="J87" s="24" t="inlineStr">
        <is>
          <t>Negative affect, Detachment, Antagonism, Disinhibition, Psychoticism</t>
        </is>
      </c>
      <c r="K87" s="24" t="inlineStr">
        <is>
          <t>Domain scores are the sum of 5 items each (0 to 15); total 0 to 75; average item scores can be compared across domains</t>
        </is>
      </c>
      <c r="L87" s="24" t="inlineStr">
        <is>
          <t>free for non commercial or research only</t>
        </is>
      </c>
      <c r="M87" s="24" t="inlineStr">
        <is>
          <t>APA measure PDFs state: "This material can be reproduced without permission by researchers and by clinicians for use with their patients." Site footer: "(c) 2026 American Psychiatric Association. All Rights Reserved."</t>
        </is>
      </c>
      <c r="N87" s="24" t="inlineStr">
        <is>
          <t>https://www.psychiatry.org/psychiatrists/practice/dsm/educational-resources/assessment-measures</t>
        </is>
      </c>
      <c r="O87" s="24" t="inlineStr">
        <is>
          <t>Yes</t>
        </is>
      </c>
      <c r="P87" s="24" t="inlineStr">
        <is>
          <t>https://www.psychiatry.org/File%20Library/Psychiatrists/Practice/DSM/APA_DSM5_The-Personality-Inventory-For-DSM-5-Brief-Form-Adult.pdf</t>
        </is>
      </c>
      <c r="Q87" s="24" t="inlineStr"/>
      <c r="R87" s="24" t="inlineStr">
        <is>
          <t>Clinical trait measure; in coaching the Disinhibition and Negative affect domains can prompt discussion of impulsivity and stress reactivity, but interpretation should be cautious and non diagnostic.</t>
        </is>
      </c>
      <c r="S87" s="24" t="inlineStr">
        <is>
          <t>APA DSM-5-TR Online Assessment Measures</t>
        </is>
      </c>
      <c r="T87" s="24" t="inlineStr">
        <is>
          <t>https://www.psychiatry.org/psychiatrists/practice/dsm/educational-resources/assessment-measures</t>
        </is>
      </c>
      <c r="U87" s="24" t="inlineStr">
        <is>
          <t>Candidate, licence to confirm</t>
        </is>
      </c>
      <c r="V87" s="24" t="inlineStr"/>
      <c r="W87" s="24" t="inlineStr"/>
      <c r="X87" s="24" t="inlineStr"/>
    </row>
    <row r="88">
      <c r="A88" s="24" t="n">
        <v>87</v>
      </c>
      <c r="B88" s="24" t="inlineStr">
        <is>
          <t>Open repositories</t>
        </is>
      </c>
      <c r="C88" s="24" t="inlineStr">
        <is>
          <t>PROMIS Cognitive Function Short Form 8a</t>
        </is>
      </c>
      <c r="D88" s="24" t="inlineStr">
        <is>
          <t>PROMIS Cog Function v2.0 8a</t>
        </is>
      </c>
      <c r="E88" s="24" t="inlineStr">
        <is>
          <t>PROMIS Health Organization / HealthMeasures (NIH funded, Northwestern University)</t>
        </is>
      </c>
      <c r="F88" s="24" t="inlineStr">
        <is>
          <t>2012 (v2.0 2017)</t>
        </is>
      </c>
      <c r="G88" s="24" t="inlineStr">
        <is>
          <t>Perceived everyday cognitive difficulties (concentration, memory, mental slowing, multitasking) over the past 7 days</t>
        </is>
      </c>
      <c r="H88" s="24" t="n">
        <v>8</v>
      </c>
      <c r="I88" s="24" t="inlineStr">
        <is>
          <t>5 point frequency, 1 (very often, several times a day) to 5 (never)</t>
        </is>
      </c>
      <c r="J88" s="24" t="inlineStr"/>
      <c r="K88" s="24" t="inlineStr">
        <is>
          <t>Sum of items converted to a T score (mean 50, SD 10) using the HealthMeasures scoring manual; higher means better cognitive function</t>
        </is>
      </c>
      <c r="L88" s="24" t="inlineStr">
        <is>
          <t>free with attribution (CC or stated)</t>
        </is>
      </c>
      <c r="M88"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t>
        </is>
      </c>
      <c r="N88" s="24" t="inlineStr">
        <is>
          <t>https://healthmeasures.net/implement/steps-to-license/</t>
        </is>
      </c>
      <c r="O88" s="24" t="inlineStr">
        <is>
          <t>Yes</t>
        </is>
      </c>
      <c r="P88" s="24" t="inlineStr">
        <is>
          <t>https://www.healthmeasures.net/search-view-measures</t>
        </is>
      </c>
      <c r="Q88" s="24" t="inlineStr"/>
      <c r="R88" s="24" t="inlineStr">
        <is>
          <t>Core self report proxy for executive functioning in coaching; sensitive to sleep, stress and mood, so interpret alongside those measures. 4a and 6a forms exist.</t>
        </is>
      </c>
      <c r="S88" s="24" t="inlineStr">
        <is>
          <t>HealthMeasures PROMIS</t>
        </is>
      </c>
      <c r="T88" s="24" t="inlineStr">
        <is>
          <t>https://www.healthmeasures.net/explore-measurement-systems/promis</t>
        </is>
      </c>
      <c r="U88" s="24" t="inlineStr">
        <is>
          <t>Candidate, client facing possible</t>
        </is>
      </c>
      <c r="V88" s="24" t="inlineStr">
        <is>
          <t>Check: digital or platform use may need its own licence</t>
        </is>
      </c>
      <c r="W88" s="24" t="inlineStr"/>
      <c r="X88" s="24" t="inlineStr"/>
    </row>
    <row r="89">
      <c r="A89" s="24" t="n">
        <v>88</v>
      </c>
      <c r="B89" s="24" t="inlineStr">
        <is>
          <t>Open repositories</t>
        </is>
      </c>
      <c r="C89" s="24" t="inlineStr">
        <is>
          <t>PROMIS Cognitive Function Abilities Short Form 8a</t>
        </is>
      </c>
      <c r="D89" s="24" t="inlineStr">
        <is>
          <t>PROMIS Cog Abilities v2.0 8a</t>
        </is>
      </c>
      <c r="E89" s="24" t="inlineStr">
        <is>
          <t>PROMIS Health Organization / HealthMeasures (NIH funded, Northwestern University)</t>
        </is>
      </c>
      <c r="F89" s="24" t="inlineStr">
        <is>
          <t>2012 (v2.0 2017)</t>
        </is>
      </c>
      <c r="G89" s="24" t="inlineStr">
        <is>
          <t>Self rated cognitive abilities (ability to concentrate, remember, plan, keep track of tasks) over the past 7 days</t>
        </is>
      </c>
      <c r="H89" s="24" t="n">
        <v>8</v>
      </c>
      <c r="I89" s="24" t="inlineStr">
        <is>
          <t>5 point, 1 (not at all) to 5 (very much)</t>
        </is>
      </c>
      <c r="J89" s="24" t="inlineStr"/>
      <c r="K89" s="24" t="inlineStr">
        <is>
          <t>Sum converted to a T score (mean 50, SD 10); higher means greater perceived ability</t>
        </is>
      </c>
      <c r="L89" s="24" t="inlineStr">
        <is>
          <t>free with attribution (CC or stated)</t>
        </is>
      </c>
      <c r="M89"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t>
        </is>
      </c>
      <c r="N89" s="24" t="inlineStr">
        <is>
          <t>https://healthmeasures.net/implement/steps-to-license/</t>
        </is>
      </c>
      <c r="O89" s="24" t="inlineStr">
        <is>
          <t>Yes</t>
        </is>
      </c>
      <c r="P89" s="24" t="inlineStr">
        <is>
          <t>https://www.healthmeasures.net/search-view-measures</t>
        </is>
      </c>
      <c r="Q89" s="24" t="inlineStr"/>
      <c r="R89" s="24" t="inlineStr">
        <is>
          <t>Positively framed partner to the Cognitive Function form; suits strengths based coaching conversations and repeated measurement across a programme.</t>
        </is>
      </c>
      <c r="S89" s="24" t="inlineStr">
        <is>
          <t>HealthMeasures PROMIS</t>
        </is>
      </c>
      <c r="T89" s="24" t="inlineStr">
        <is>
          <t>https://www.healthmeasures.net/explore-measurement-systems/promis</t>
        </is>
      </c>
      <c r="U89" s="24" t="inlineStr">
        <is>
          <t>Candidate, client facing possible</t>
        </is>
      </c>
      <c r="V89" s="24" t="inlineStr">
        <is>
          <t>Check: digital or platform use may need its own licence</t>
        </is>
      </c>
      <c r="W89" s="24" t="inlineStr"/>
      <c r="X89" s="24" t="inlineStr"/>
    </row>
    <row r="90">
      <c r="A90" s="24" t="n">
        <v>89</v>
      </c>
      <c r="B90" s="24" t="inlineStr">
        <is>
          <t>Open repositories</t>
        </is>
      </c>
      <c r="C90" s="24" t="inlineStr">
        <is>
          <t>PROMIS Sleep Disturbance Short Form 8a</t>
        </is>
      </c>
      <c r="D90" s="24" t="inlineStr">
        <is>
          <t>PROMIS Sleep Disturbance v1.0 8a</t>
        </is>
      </c>
      <c r="E90" s="24" t="inlineStr">
        <is>
          <t>PROMIS Health Organization / HealthMeasures (NIH funded, Northwestern University)</t>
        </is>
      </c>
      <c r="F90" s="24" t="inlineStr">
        <is>
          <t>2010</t>
        </is>
      </c>
      <c r="G90" s="24" t="inlineStr">
        <is>
          <t>Sleep quality, depth and restoration, and difficulty initiating or maintaining sleep over the past 7 days</t>
        </is>
      </c>
      <c r="H90" s="24" t="n">
        <v>8</v>
      </c>
      <c r="I90" s="24" t="inlineStr">
        <is>
          <t>5 point, 1 to 5 with frequency and quality anchors</t>
        </is>
      </c>
      <c r="J90" s="24" t="inlineStr"/>
      <c r="K90" s="24" t="inlineStr">
        <is>
          <t>Sum converted to a T score (mean 50, SD 10); higher means more disturbance</t>
        </is>
      </c>
      <c r="L90" s="24" t="inlineStr">
        <is>
          <t>free with attribution (CC or stated)</t>
        </is>
      </c>
      <c r="M90"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t>
        </is>
      </c>
      <c r="N90" s="24" t="inlineStr">
        <is>
          <t>https://healthmeasures.net/implement/steps-to-license/</t>
        </is>
      </c>
      <c r="O90" s="24" t="inlineStr">
        <is>
          <t>Yes</t>
        </is>
      </c>
      <c r="P90" s="24" t="inlineStr">
        <is>
          <t>https://www.healthmeasures.net/search-view-measures</t>
        </is>
      </c>
      <c r="Q90" s="24" t="inlineStr"/>
      <c r="R90" s="24" t="inlineStr">
        <is>
          <t>Baseline and progress measure for sleep routine goals; 4a and 6a forms are available.</t>
        </is>
      </c>
      <c r="S90" s="24" t="inlineStr">
        <is>
          <t>HealthMeasures PROMIS</t>
        </is>
      </c>
      <c r="T90" s="24" t="inlineStr">
        <is>
          <t>https://www.healthmeasures.net/explore-measurement-systems/promis</t>
        </is>
      </c>
      <c r="U90" s="24" t="inlineStr">
        <is>
          <t>Candidate, client facing possible</t>
        </is>
      </c>
      <c r="V90" s="24" t="inlineStr">
        <is>
          <t>Check: digital or platform use may need its own licence</t>
        </is>
      </c>
      <c r="W90" s="24" t="inlineStr"/>
      <c r="X90" s="24" t="inlineStr"/>
    </row>
    <row r="91">
      <c r="A91" s="24" t="n">
        <v>90</v>
      </c>
      <c r="B91" s="24" t="inlineStr">
        <is>
          <t>Open repositories</t>
        </is>
      </c>
      <c r="C91" s="24" t="inlineStr">
        <is>
          <t>PROMIS Sleep-Related Impairment Short Form 8a</t>
        </is>
      </c>
      <c r="D91" s="24" t="inlineStr">
        <is>
          <t>PROMIS Sleep-Related Impairment v1.0 8a</t>
        </is>
      </c>
      <c r="E91" s="24" t="inlineStr">
        <is>
          <t>PROMIS Health Organization / HealthMeasures (NIH funded, Northwestern University)</t>
        </is>
      </c>
      <c r="F91" s="24" t="inlineStr">
        <is>
          <t>2010</t>
        </is>
      </c>
      <c r="G91" s="24" t="inlineStr">
        <is>
          <t>Daytime consequences of poor sleep, including alertness, sleepiness and tiredness, over the past 7 days</t>
        </is>
      </c>
      <c r="H91" s="24" t="n">
        <v>8</v>
      </c>
      <c r="I91" s="24" t="inlineStr">
        <is>
          <t>5 point, 1 (not at all) to 5 (very much)</t>
        </is>
      </c>
      <c r="J91" s="24" t="inlineStr"/>
      <c r="K91" s="24" t="inlineStr">
        <is>
          <t>Sum converted to a T score (mean 50, SD 10); higher means more impairment</t>
        </is>
      </c>
      <c r="L91" s="24" t="inlineStr">
        <is>
          <t>free with attribution (CC or stated)</t>
        </is>
      </c>
      <c r="M91"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t>
        </is>
      </c>
      <c r="N91" s="24" t="inlineStr">
        <is>
          <t>https://healthmeasures.net/implement/steps-to-license/</t>
        </is>
      </c>
      <c r="O91" s="24" t="inlineStr">
        <is>
          <t>Yes</t>
        </is>
      </c>
      <c r="P91" s="24" t="inlineStr">
        <is>
          <t>https://www.healthmeasures.net/search-view-measures</t>
        </is>
      </c>
      <c r="Q91" s="24" t="inlineStr"/>
      <c r="R91" s="24" t="inlineStr">
        <is>
          <t>Complements Sleep Disturbance by capturing daytime functioning, which is the dimension most relevant to work performance.</t>
        </is>
      </c>
      <c r="S91" s="24" t="inlineStr">
        <is>
          <t>HealthMeasures PROMIS</t>
        </is>
      </c>
      <c r="T91" s="24" t="inlineStr">
        <is>
          <t>https://www.healthmeasures.net/explore-measurement-systems/promis</t>
        </is>
      </c>
      <c r="U91" s="24" t="inlineStr">
        <is>
          <t>Candidate, client facing possible</t>
        </is>
      </c>
      <c r="V91" s="24" t="inlineStr">
        <is>
          <t>Check: digital or platform use may need its own licence</t>
        </is>
      </c>
      <c r="W91" s="24" t="inlineStr"/>
      <c r="X91" s="24" t="inlineStr"/>
    </row>
    <row r="92">
      <c r="A92" s="24" t="n">
        <v>91</v>
      </c>
      <c r="B92" s="24" t="inlineStr">
        <is>
          <t>Open repositories</t>
        </is>
      </c>
      <c r="C92" s="24" t="inlineStr">
        <is>
          <t>PROMIS Fatigue Short Form 8a</t>
        </is>
      </c>
      <c r="D92" s="24" t="inlineStr">
        <is>
          <t>PROMIS Fatigue v1.0 8a</t>
        </is>
      </c>
      <c r="E92" s="24" t="inlineStr">
        <is>
          <t>PROMIS Health Organization / HealthMeasures (NIH funded, Northwestern University)</t>
        </is>
      </c>
      <c r="F92" s="24" t="inlineStr">
        <is>
          <t>2010</t>
        </is>
      </c>
      <c r="G92" s="24" t="inlineStr">
        <is>
          <t>Experience of fatigue and its interference with daily activities over the past 7 days</t>
        </is>
      </c>
      <c r="H92" s="24" t="n">
        <v>8</v>
      </c>
      <c r="I92" s="24" t="inlineStr">
        <is>
          <t>5 point frequency or intensity, 1 to 5</t>
        </is>
      </c>
      <c r="J92" s="24" t="inlineStr"/>
      <c r="K92" s="24" t="inlineStr">
        <is>
          <t>Sum converted to a T score (mean 50, SD 10); higher means more fatigue</t>
        </is>
      </c>
      <c r="L92" s="24" t="inlineStr">
        <is>
          <t>free with attribution (CC or stated)</t>
        </is>
      </c>
      <c r="M92"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t>
        </is>
      </c>
      <c r="N92" s="24" t="inlineStr">
        <is>
          <t>https://healthmeasures.net/implement/steps-to-license/</t>
        </is>
      </c>
      <c r="O92" s="24" t="inlineStr">
        <is>
          <t>Yes</t>
        </is>
      </c>
      <c r="P92" s="24" t="inlineStr">
        <is>
          <t>https://www.healthmeasures.net/search-view-measures</t>
        </is>
      </c>
      <c r="Q92" s="24" t="inlineStr"/>
      <c r="R92" s="24" t="inlineStr">
        <is>
          <t>Useful for burnout and energy management coaching; shorter 4a, 6a and 7a forms exist.</t>
        </is>
      </c>
      <c r="S92" s="24" t="inlineStr">
        <is>
          <t>HealthMeasures PROMIS</t>
        </is>
      </c>
      <c r="T92" s="24" t="inlineStr">
        <is>
          <t>https://www.healthmeasures.net/explore-measurement-systems/promis</t>
        </is>
      </c>
      <c r="U92" s="24" t="inlineStr">
        <is>
          <t>Candidate, client facing possible</t>
        </is>
      </c>
      <c r="V92" s="24" t="inlineStr">
        <is>
          <t>Check: digital or platform use may need its own licence</t>
        </is>
      </c>
      <c r="W92" s="24" t="inlineStr"/>
      <c r="X92" s="24" t="inlineStr"/>
    </row>
    <row r="93">
      <c r="A93" s="24" t="n">
        <v>92</v>
      </c>
      <c r="B93" s="24" t="inlineStr">
        <is>
          <t>Open repositories</t>
        </is>
      </c>
      <c r="C93" s="24" t="inlineStr">
        <is>
          <t>PROMIS General Self-Efficacy Short Form 4a</t>
        </is>
      </c>
      <c r="D93" s="24" t="inlineStr">
        <is>
          <t>PROMIS General Self-Efficacy v1.0 4a</t>
        </is>
      </c>
      <c r="E93" s="24" t="inlineStr">
        <is>
          <t>PROMIS Health Organization / HealthMeasures (NIH funded, Northwestern University)</t>
        </is>
      </c>
      <c r="F93" s="24" t="inlineStr">
        <is>
          <t>2015</t>
        </is>
      </c>
      <c r="G93" s="24" t="inlineStr">
        <is>
          <t>Confidence in one's ability to handle problems and reach goals</t>
        </is>
      </c>
      <c r="H93" s="24" t="n">
        <v>4</v>
      </c>
      <c r="I93" s="24" t="inlineStr">
        <is>
          <t>5 point, 1 (I am not at all confident) to 5 (I am very confident)</t>
        </is>
      </c>
      <c r="J93" s="24" t="inlineStr"/>
      <c r="K93" s="24" t="inlineStr">
        <is>
          <t>Sum 4 to 20 converted to a T score (mean 50, SD 10)</t>
        </is>
      </c>
      <c r="L93" s="24" t="inlineStr">
        <is>
          <t>free with attribution (CC or stated)</t>
        </is>
      </c>
      <c r="M93"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t>
        </is>
      </c>
      <c r="N93" s="24" t="inlineStr">
        <is>
          <t>https://healthmeasures.net/implement/steps-to-license/</t>
        </is>
      </c>
      <c r="O93" s="24" t="inlineStr">
        <is>
          <t>Yes</t>
        </is>
      </c>
      <c r="P93" s="24" t="inlineStr">
        <is>
          <t>https://www.healthmeasures.net/search-view-measures</t>
        </is>
      </c>
      <c r="Q93" s="24" t="inlineStr"/>
      <c r="R93" s="24" t="inlineStr">
        <is>
          <t>Very brief pre and post measure for goal pursuit and confidence building; derived from the Self-Efficacy for Managing Chronic Conditions item banks.</t>
        </is>
      </c>
      <c r="S93" s="24" t="inlineStr">
        <is>
          <t>HealthMeasures PROMIS</t>
        </is>
      </c>
      <c r="T93" s="24" t="inlineStr">
        <is>
          <t>https://www.healthmeasures.net/explore-measurement-systems/promis</t>
        </is>
      </c>
      <c r="U93" s="24" t="inlineStr">
        <is>
          <t>Candidate, client facing possible</t>
        </is>
      </c>
      <c r="V93" s="24" t="inlineStr">
        <is>
          <t>Check: digital or platform use may need its own licence</t>
        </is>
      </c>
      <c r="W93" s="24" t="inlineStr"/>
      <c r="X93" s="24" t="inlineStr"/>
    </row>
    <row r="94">
      <c r="A94" s="24" t="n">
        <v>93</v>
      </c>
      <c r="B94" s="24" t="inlineStr">
        <is>
          <t>Open repositories</t>
        </is>
      </c>
      <c r="C94" s="24" t="inlineStr">
        <is>
          <t>PROMIS Ability to Participate in Social Roles and Activities Short Form 8a</t>
        </is>
      </c>
      <c r="D94" s="24" t="inlineStr">
        <is>
          <t>PROMIS Ability to Participate v2.0 8a</t>
        </is>
      </c>
      <c r="E94" s="24" t="inlineStr">
        <is>
          <t>PROMIS Health Organization / HealthMeasures (NIH funded, Northwestern University)</t>
        </is>
      </c>
      <c r="F94" s="24" t="inlineStr">
        <is>
          <t>2012</t>
        </is>
      </c>
      <c r="G94" s="24" t="inlineStr">
        <is>
          <t>Perceived ability to carry out usual social roles and activities, including work and family responsibilities</t>
        </is>
      </c>
      <c r="H94" s="24" t="n">
        <v>8</v>
      </c>
      <c r="I94" s="24" t="inlineStr">
        <is>
          <t>5 point, 1 (always) to 5 (never) on trouble doing activities</t>
        </is>
      </c>
      <c r="J94" s="24" t="inlineStr"/>
      <c r="K94" s="24" t="inlineStr">
        <is>
          <t>Sum converted to a T score (mean 50, SD 10); higher means better participation</t>
        </is>
      </c>
      <c r="L94" s="24" t="inlineStr">
        <is>
          <t>free with attribution (CC or stated)</t>
        </is>
      </c>
      <c r="M94"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t>
        </is>
      </c>
      <c r="N94" s="24" t="inlineStr">
        <is>
          <t>https://healthmeasures.net/implement/steps-to-license/</t>
        </is>
      </c>
      <c r="O94" s="24" t="inlineStr">
        <is>
          <t>Yes</t>
        </is>
      </c>
      <c r="P94" s="24" t="inlineStr">
        <is>
          <t>https://www.healthmeasures.net/search-view-measures</t>
        </is>
      </c>
      <c r="Q94" s="24" t="inlineStr"/>
      <c r="R94" s="24" t="inlineStr">
        <is>
          <t>Functional outcome measure that captures whether coaching translates into fuller participation in work and life roles.</t>
        </is>
      </c>
      <c r="S94" s="24" t="inlineStr">
        <is>
          <t>HealthMeasures PROMIS</t>
        </is>
      </c>
      <c r="T94" s="24" t="inlineStr">
        <is>
          <t>https://www.healthmeasures.net/explore-measurement-systems/promis</t>
        </is>
      </c>
      <c r="U94" s="24" t="inlineStr">
        <is>
          <t>Candidate, client facing possible</t>
        </is>
      </c>
      <c r="V94" s="24" t="inlineStr">
        <is>
          <t>Check: digital or platform use may need its own licence</t>
        </is>
      </c>
      <c r="W94" s="24" t="inlineStr"/>
      <c r="X94" s="24" t="inlineStr"/>
    </row>
    <row r="95">
      <c r="A95" s="24" t="n">
        <v>94</v>
      </c>
      <c r="B95" s="24" t="inlineStr">
        <is>
          <t>Open repositories</t>
        </is>
      </c>
      <c r="C95" s="24" t="inlineStr">
        <is>
          <t>PROMIS Satisfaction with Social Roles and Activities Short Form 8a</t>
        </is>
      </c>
      <c r="D95" s="24" t="inlineStr">
        <is>
          <t>PROMIS Satisfaction with Social Roles v2.0 8a</t>
        </is>
      </c>
      <c r="E95" s="24" t="inlineStr">
        <is>
          <t>PROMIS Health Organization / HealthMeasures (NIH funded, Northwestern University)</t>
        </is>
      </c>
      <c r="F95" s="24" t="inlineStr">
        <is>
          <t>2012</t>
        </is>
      </c>
      <c r="G95" s="24" t="inlineStr">
        <is>
          <t>Satisfaction with performance of usual social roles, including work and household responsibilities</t>
        </is>
      </c>
      <c r="H95" s="24" t="n">
        <v>8</v>
      </c>
      <c r="I95" s="24" t="inlineStr">
        <is>
          <t>5 point, 1 (not at all) to 5 (very much)</t>
        </is>
      </c>
      <c r="J95" s="24" t="inlineStr"/>
      <c r="K95" s="24" t="inlineStr">
        <is>
          <t>Sum converted to a T score (mean 50, SD 10); higher means greater satisfaction</t>
        </is>
      </c>
      <c r="L95" s="24" t="inlineStr">
        <is>
          <t>free with attribution (CC or stated)</t>
        </is>
      </c>
      <c r="M95"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t>
        </is>
      </c>
      <c r="N95" s="24" t="inlineStr">
        <is>
          <t>https://healthmeasures.net/implement/steps-to-license/</t>
        </is>
      </c>
      <c r="O95" s="24" t="inlineStr">
        <is>
          <t>Yes</t>
        </is>
      </c>
      <c r="P95" s="24" t="inlineStr">
        <is>
          <t>https://www.healthmeasures.net/search-view-measures</t>
        </is>
      </c>
      <c r="Q95" s="24" t="inlineStr"/>
      <c r="R95" s="24" t="inlineStr">
        <is>
          <t>Pairs with the Ability form to separate capacity from satisfaction, a distinction that often drives career and work life coaching goals.</t>
        </is>
      </c>
      <c r="S95" s="24" t="inlineStr">
        <is>
          <t>HealthMeasures PROMIS</t>
        </is>
      </c>
      <c r="T95" s="24" t="inlineStr">
        <is>
          <t>https://www.healthmeasures.net/explore-measurement-systems/promis</t>
        </is>
      </c>
      <c r="U95" s="24" t="inlineStr">
        <is>
          <t>Candidate, client facing possible</t>
        </is>
      </c>
      <c r="V95" s="24" t="inlineStr">
        <is>
          <t>Check: digital or platform use may need its own licence</t>
        </is>
      </c>
      <c r="W95" s="24" t="inlineStr"/>
      <c r="X95" s="24" t="inlineStr"/>
    </row>
    <row r="96">
      <c r="A96" s="24" t="n">
        <v>95</v>
      </c>
      <c r="B96" s="24" t="inlineStr">
        <is>
          <t>Open repositories</t>
        </is>
      </c>
      <c r="C96" s="24" t="inlineStr">
        <is>
          <t>PROMIS Scale v1.2 Global Health</t>
        </is>
      </c>
      <c r="D96" s="24" t="inlineStr">
        <is>
          <t>PROMIS-10 Global Health</t>
        </is>
      </c>
      <c r="E96" s="24" t="inlineStr">
        <is>
          <t>PROMIS Health Organization / HealthMeasures (NIH funded, Northwestern University)</t>
        </is>
      </c>
      <c r="F96" s="24" t="inlineStr">
        <is>
          <t>2009 (v1.2 2017)</t>
        </is>
      </c>
      <c r="G96" s="24" t="inlineStr">
        <is>
          <t>Global physical and mental health, including quality of life, physical function, pain, fatigue, emotional distress and social satisfaction</t>
        </is>
      </c>
      <c r="H96" s="24" t="n">
        <v>10</v>
      </c>
      <c r="I96" s="24" t="inlineStr">
        <is>
          <t>Mostly 5 point rating scales plus a 0 to 10 pain item</t>
        </is>
      </c>
      <c r="J96" s="24" t="inlineStr">
        <is>
          <t>Global Physical Health, Global Mental Health</t>
        </is>
      </c>
      <c r="K96" s="24" t="inlineStr">
        <is>
          <t>Two 4 item component raw scores converted to T scores (mean 50, SD 10); 2 items are not in either component</t>
        </is>
      </c>
      <c r="L96" s="24" t="inlineStr">
        <is>
          <t>free with attribution (CC or stated)</t>
        </is>
      </c>
      <c r="M96"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t>
        </is>
      </c>
      <c r="N96" s="24" t="inlineStr">
        <is>
          <t>https://healthmeasures.net/implement/steps-to-license/</t>
        </is>
      </c>
      <c r="O96" s="24" t="inlineStr">
        <is>
          <t>Yes</t>
        </is>
      </c>
      <c r="P96" s="24" t="inlineStr">
        <is>
          <t>https://www.healthmeasures.net/search-view-measures</t>
        </is>
      </c>
      <c r="Q96" s="24" t="inlineStr"/>
      <c r="R96" s="24" t="inlineStr">
        <is>
          <t>A compact whole person baseline for coaching intake; the Global Mental Health component is a serviceable wellbeing tracker.</t>
        </is>
      </c>
      <c r="S96" s="24" t="inlineStr">
        <is>
          <t>HealthMeasures PROMIS</t>
        </is>
      </c>
      <c r="T96" s="24" t="inlineStr">
        <is>
          <t>https://www.healthmeasures.net/explore-measurement-systems/promis</t>
        </is>
      </c>
      <c r="U96" s="24" t="inlineStr">
        <is>
          <t>Candidate, client facing possible</t>
        </is>
      </c>
      <c r="V96" s="24" t="inlineStr">
        <is>
          <t>Check: digital or platform use may need its own licence</t>
        </is>
      </c>
      <c r="W96" s="24" t="inlineStr"/>
      <c r="X96" s="24" t="inlineStr"/>
    </row>
    <row r="97">
      <c r="A97" s="24" t="n">
        <v>96</v>
      </c>
      <c r="B97" s="24" t="inlineStr">
        <is>
          <t>Open repositories</t>
        </is>
      </c>
      <c r="C97" s="24" t="inlineStr">
        <is>
          <t>PROMIS Meaning and Purpose Short Form 8a</t>
        </is>
      </c>
      <c r="D97" s="24" t="inlineStr">
        <is>
          <t>PROMIS Meaning and Purpose v1.0 8a</t>
        </is>
      </c>
      <c r="E97" s="24" t="inlineStr">
        <is>
          <t>PROMIS Health Organization / HealthMeasures (NIH funded, Northwestern University)</t>
        </is>
      </c>
      <c r="F97" s="24" t="inlineStr">
        <is>
          <t>2018</t>
        </is>
      </c>
      <c r="G97" s="24" t="inlineStr">
        <is>
          <t>Sense that life has meaning, direction and purpose</t>
        </is>
      </c>
      <c r="H97" s="24" t="n">
        <v>8</v>
      </c>
      <c r="I97" s="24" t="inlineStr">
        <is>
          <t>5 point agreement, 1 (strongly disagree) to 5 (strongly agree)</t>
        </is>
      </c>
      <c r="J97" s="24" t="inlineStr"/>
      <c r="K97" s="24" t="inlineStr">
        <is>
          <t>Sum converted to a T score (mean 50, SD 10); higher means stronger sense of meaning</t>
        </is>
      </c>
      <c r="L97" s="24" t="inlineStr">
        <is>
          <t>free with attribution (CC or stated)</t>
        </is>
      </c>
      <c r="M97"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t>
        </is>
      </c>
      <c r="N97" s="24" t="inlineStr">
        <is>
          <t>https://healthmeasures.net/implement/steps-to-license/</t>
        </is>
      </c>
      <c r="O97" s="24" t="inlineStr">
        <is>
          <t>Yes</t>
        </is>
      </c>
      <c r="P97" s="24" t="inlineStr">
        <is>
          <t>https://www.healthmeasures.net/search-view-measures</t>
        </is>
      </c>
      <c r="Q97" s="24" t="inlineStr"/>
      <c r="R97" s="24" t="inlineStr">
        <is>
          <t>Fits values and purpose based coaching; developed within the PROMIS psychological wellbeing item banks alongside Positive Affect and Life Satisfaction.</t>
        </is>
      </c>
      <c r="S97" s="24" t="inlineStr">
        <is>
          <t>HealthMeasures PROMIS</t>
        </is>
      </c>
      <c r="T97" s="24" t="inlineStr">
        <is>
          <t>https://www.healthmeasures.net/explore-measurement-systems/promis</t>
        </is>
      </c>
      <c r="U97" s="24" t="inlineStr">
        <is>
          <t>Candidate, client facing possible</t>
        </is>
      </c>
      <c r="V97" s="24" t="inlineStr">
        <is>
          <t>Check: digital or platform use may need its own licence</t>
        </is>
      </c>
      <c r="W97" s="24" t="inlineStr"/>
      <c r="X97" s="24" t="inlineStr"/>
    </row>
    <row r="98">
      <c r="A98" s="24" t="n">
        <v>97</v>
      </c>
      <c r="B98" s="24" t="inlineStr">
        <is>
          <t>Open repositories</t>
        </is>
      </c>
      <c r="C98" s="24" t="inlineStr">
        <is>
          <t>Adult ADHD Self-Report Scale v1.1 Symptom Checklist (PhenX Attention Deficit Hyperactivity Disorder Symptoms, Adult)</t>
        </is>
      </c>
      <c r="D98" s="24" t="inlineStr">
        <is>
          <t>ASRS-v1.1 / PhenX 121501</t>
        </is>
      </c>
      <c r="E98" s="24" t="inlineStr">
        <is>
          <t>World Health Organization with Kessler, Adler et al.; selected by PhenX Mental Health Research Working Group</t>
        </is>
      </c>
      <c r="F98" s="24" t="inlineStr">
        <is>
          <t>2005</t>
        </is>
      </c>
      <c r="G98" s="24" t="inlineStr">
        <is>
          <t>Frequency of DSM-IV adult ADHD symptoms of inattention and hyperactivity impulsivity over the past 6 months</t>
        </is>
      </c>
      <c r="H98" s="24" t="n">
        <v>18</v>
      </c>
      <c r="I98" s="24" t="inlineStr">
        <is>
          <t>5 point frequency, never to very often</t>
        </is>
      </c>
      <c r="J98" s="24" t="inlineStr">
        <is>
          <t>Part A screener (6 items), Part B (12 items), Inattention, Hyperactivity impulsivity</t>
        </is>
      </c>
      <c r="K98" s="24" t="inlineStr">
        <is>
          <t>Part A: 4 or more shaded responses indicates symptoms highly consistent with adult ADHD and warrants further assessment; Part B items inform clinical follow up. Alternative 0 to 4 sum scoring is also used in research</t>
        </is>
      </c>
      <c r="L98" s="24" t="inlineStr">
        <is>
          <t>free with attribution (CC or stated)</t>
        </is>
      </c>
      <c r="M98" s="24" t="inlineStr">
        <is>
          <t>ASRS v1.1 is WHO copyright and distributed free of charge via Harvard Medical School and the PhenX Toolkit. PhenX documentation is CC BY 4.0.</t>
        </is>
      </c>
      <c r="N98" s="24" t="inlineStr">
        <is>
          <t>https://www.phenxtoolkit.org/help/guidance</t>
        </is>
      </c>
      <c r="O98" s="24" t="inlineStr">
        <is>
          <t>Yes</t>
        </is>
      </c>
      <c r="P98" s="24" t="inlineStr">
        <is>
          <t>https://www.phenxtoolkit.org/protocols/view/121501</t>
        </is>
      </c>
      <c r="Q98" s="24" t="inlineStr"/>
      <c r="R98" s="24" t="inlineStr">
        <is>
          <t>Standard screener for adult ADHD; appropriate for coaching intake to prompt referral for diagnostic assessment, not to confirm ADHD. The 6 item Part A can be used alone.</t>
        </is>
      </c>
      <c r="S98" s="24" t="inlineStr">
        <is>
          <t>PhenX Toolkit (RTI International, NIH funded)</t>
        </is>
      </c>
      <c r="T98" s="24" t="inlineStr">
        <is>
          <t>https://www.phenxtoolkit.org/protocols/view/121501</t>
        </is>
      </c>
      <c r="U98" s="24" t="inlineStr">
        <is>
          <t>Candidate, client facing possible</t>
        </is>
      </c>
      <c r="V98" s="24" t="inlineStr"/>
      <c r="W98" s="24" t="inlineStr"/>
      <c r="X98" s="24" t="inlineStr"/>
    </row>
    <row r="99">
      <c r="A99" s="24" t="n">
        <v>98</v>
      </c>
      <c r="B99" s="24" t="inlineStr">
        <is>
          <t>Open repositories</t>
        </is>
      </c>
      <c r="C99" s="24" t="inlineStr">
        <is>
          <t>Perceived Stress Scale, 10 item (PhenX Perceived Stress)</t>
        </is>
      </c>
      <c r="D99" s="24" t="inlineStr">
        <is>
          <t>PSS-10 / PhenX 180801</t>
        </is>
      </c>
      <c r="E99" s="24" t="inlineStr">
        <is>
          <t>Sheldon Cohen (Cohen and Williamson)</t>
        </is>
      </c>
      <c r="F99" s="24" t="inlineStr">
        <is>
          <t>1983; 10 item 1988</t>
        </is>
      </c>
      <c r="G99" s="24" t="inlineStr">
        <is>
          <t>Degree to which situations in the past month are appraised as unpredictable, uncontrollable and overloaded</t>
        </is>
      </c>
      <c r="H99" s="24" t="n">
        <v>10</v>
      </c>
      <c r="I99" s="24" t="inlineStr">
        <is>
          <t>5 point frequency, 0 (never) to 4 (very often)</t>
        </is>
      </c>
      <c r="J99" s="24" t="inlineStr">
        <is>
          <t>Perceived helplessness, Perceived self efficacy (positively worded items)</t>
        </is>
      </c>
      <c r="K99" s="24" t="inlineStr">
        <is>
          <t>Reverse 4 positive items and sum, 0 to 40; higher means more perceived stress; no clinical cut off, bands of 0 to 13, 14 to 26, 27 to 40 are commonly used</t>
        </is>
      </c>
      <c r="L99" s="24" t="inlineStr">
        <is>
          <t>free for non commercial or research only</t>
        </is>
      </c>
      <c r="M99" s="24" t="inlineStr">
        <is>
          <t>PhenX lists the protocol as freely available. Cohen's laboratory states permission is not required for nonprofit academic research or educational use; other uses should contact the author.</t>
        </is>
      </c>
      <c r="N99" s="24" t="inlineStr">
        <is>
          <t>https://www.cmu.edu/dietrich/psychology/stress-immunity-disease-lab/scales/</t>
        </is>
      </c>
      <c r="O99" s="24" t="inlineStr">
        <is>
          <t>Yes</t>
        </is>
      </c>
      <c r="P99" s="24" t="inlineStr">
        <is>
          <t>https://www.phenxtoolkit.org/protocols/view/180801</t>
        </is>
      </c>
      <c r="Q99" s="24" t="inlineStr"/>
      <c r="R99" s="24" t="inlineStr">
        <is>
          <t>The most widely used generic stress measure; good for tracking stress across a coaching engagement. A coaching business is not nonprofit research, so note the author's permission wording.</t>
        </is>
      </c>
      <c r="S99" s="24" t="inlineStr">
        <is>
          <t>PhenX Toolkit (RTI International, NIH funded)</t>
        </is>
      </c>
      <c r="T99" s="24" t="inlineStr">
        <is>
          <t>https://www.phenxtoolkit.org/protocols/view/180801</t>
        </is>
      </c>
      <c r="U99" s="24" t="inlineStr">
        <is>
          <t>Candidate, licence to confirm</t>
        </is>
      </c>
      <c r="V99" s="24" t="inlineStr"/>
      <c r="W99" s="24" t="inlineStr"/>
      <c r="X99" s="24" t="inlineStr"/>
    </row>
    <row r="100">
      <c r="A100" s="24" t="n">
        <v>99</v>
      </c>
      <c r="B100" s="24" t="inlineStr">
        <is>
          <t>Open repositories</t>
        </is>
      </c>
      <c r="C100" s="24" t="inlineStr">
        <is>
          <t>UCLA Loneliness Scale, Version 3 (PhenX Social Isolation)</t>
        </is>
      </c>
      <c r="D100" s="24" t="inlineStr">
        <is>
          <t>UCLA-LS v3 / PhenX 181001</t>
        </is>
      </c>
      <c r="E100" s="24" t="inlineStr">
        <is>
          <t>Daniel Russell</t>
        </is>
      </c>
      <c r="F100" s="24" t="inlineStr">
        <is>
          <t>1996</t>
        </is>
      </c>
      <c r="G100" s="24" t="inlineStr">
        <is>
          <t>Subjective feelings of loneliness and social isolation</t>
        </is>
      </c>
      <c r="H100" s="24" t="n">
        <v>20</v>
      </c>
      <c r="I100" s="24" t="inlineStr">
        <is>
          <t>4 point frequency, 1 (never) to 4 (always)</t>
        </is>
      </c>
      <c r="J100" s="24" t="inlineStr"/>
      <c r="K100" s="24" t="inlineStr">
        <is>
          <t>Reverse positively worded items and sum, 20 to 80; higher means greater loneliness; 3 item and 8 item short forms exist</t>
        </is>
      </c>
      <c r="L100" s="24" t="inlineStr">
        <is>
          <t>free with attribution (CC or stated)</t>
        </is>
      </c>
      <c r="M100" s="24" t="inlineStr">
        <is>
          <t>PhenX documentation CC BY 4.0. The scale is reproduced in the published article and is generally used freely in research with citation; the author holds copyright.</t>
        </is>
      </c>
      <c r="N100" s="24" t="inlineStr">
        <is>
          <t>https://www.phenxtoolkit.org/help/guidance</t>
        </is>
      </c>
      <c r="O100" s="24" t="inlineStr">
        <is>
          <t>Yes</t>
        </is>
      </c>
      <c r="P100" s="24" t="inlineStr">
        <is>
          <t>https://www.phenxtoolkit.org/protocols/view/181001</t>
        </is>
      </c>
      <c r="Q100" s="24" t="inlineStr"/>
      <c r="R100" s="24" t="inlineStr">
        <is>
          <t>Relevant to remote workers, new leaders and career transition clients; the 3 item version is adequate for a brief check in.</t>
        </is>
      </c>
      <c r="S100" s="24" t="inlineStr">
        <is>
          <t>PhenX Toolkit (RTI International, NIH funded)</t>
        </is>
      </c>
      <c r="T100" s="24" t="inlineStr">
        <is>
          <t>https://www.phenxtoolkit.org/protocols/view/181001</t>
        </is>
      </c>
      <c r="U100" s="24" t="inlineStr">
        <is>
          <t>Candidate, client facing possible</t>
        </is>
      </c>
      <c r="V100" s="24" t="inlineStr"/>
      <c r="W100" s="24" t="inlineStr"/>
      <c r="X100" s="24" t="inlineStr"/>
    </row>
    <row r="101">
      <c r="A101" s="24" t="n">
        <v>100</v>
      </c>
      <c r="B101" s="24" t="inlineStr">
        <is>
          <t>Open repositories</t>
        </is>
      </c>
      <c r="C101" s="24" t="inlineStr">
        <is>
          <t>General Self-Efficacy Scale (PhenX General Self-Efficacy, Adult)</t>
        </is>
      </c>
      <c r="D101" s="24" t="inlineStr">
        <is>
          <t>GSE</t>
        </is>
      </c>
      <c r="E101" s="24" t="inlineStr">
        <is>
          <t>Ralf Schwarzer and Matthias Jerusalem</t>
        </is>
      </c>
      <c r="F101" s="24" t="inlineStr">
        <is>
          <t>1995</t>
        </is>
      </c>
      <c r="G101" s="24" t="inlineStr">
        <is>
          <t>Optimistic self belief in one's competence to cope with demands and novel or difficult situations</t>
        </is>
      </c>
      <c r="H101" s="24" t="n">
        <v>10</v>
      </c>
      <c r="I101" s="24" t="inlineStr">
        <is>
          <t>4 point, 1 (not at all true) to 4 (exactly true)</t>
        </is>
      </c>
      <c r="J101" s="24" t="inlineStr"/>
      <c r="K101" s="24" t="inlineStr">
        <is>
          <t>Sum 10 to 40; higher means stronger general self efficacy; no formal cut offs</t>
        </is>
      </c>
      <c r="L101" s="24" t="inlineStr">
        <is>
          <t>free for non commercial or research only</t>
        </is>
      </c>
      <c r="M101" s="24" t="inlineStr">
        <is>
          <t>PhenX documentation CC BY 4.0. Schwarzer's site states the scale may be used free of charge for non commercial research and development purposes with citation.</t>
        </is>
      </c>
      <c r="N101" s="24" t="inlineStr">
        <is>
          <t>https://userpage.fu-berlin.de/~health/selfscal.htm</t>
        </is>
      </c>
      <c r="O101" s="24" t="inlineStr">
        <is>
          <t>Yes</t>
        </is>
      </c>
      <c r="P101" s="24" t="inlineStr">
        <is>
          <t>https://userpage.fu-berlin.de/~health/engscal.htm</t>
        </is>
      </c>
      <c r="Q101" s="24" t="inlineStr"/>
      <c r="R101" s="24" t="inlineStr">
        <is>
          <t>Standard choice for confidence and goal pursuit coaching; many translations are available from the author's site.</t>
        </is>
      </c>
      <c r="S101" s="24" t="inlineStr">
        <is>
          <t>PhenX Toolkit (RTI International, NIH funded)</t>
        </is>
      </c>
      <c r="T101" s="24" t="inlineStr">
        <is>
          <t>https://www.phenxtoolkit.org/domains/view/180000</t>
        </is>
      </c>
      <c r="U101" s="24" t="inlineStr">
        <is>
          <t>Candidate, licence to confirm</t>
        </is>
      </c>
      <c r="V101" s="24" t="inlineStr"/>
      <c r="W101" s="24" t="inlineStr"/>
      <c r="X101" s="24" t="inlineStr"/>
    </row>
    <row r="102">
      <c r="A102" s="24" t="n">
        <v>101</v>
      </c>
      <c r="B102" s="24" t="inlineStr">
        <is>
          <t>Open repositories</t>
        </is>
      </c>
      <c r="C102" s="24" t="inlineStr">
        <is>
          <t>UPPS-P Impulsive Behavior Scale (PhenX Disinhibiting Behaviors / Impulsivity, Adult)</t>
        </is>
      </c>
      <c r="D102" s="24" t="inlineStr">
        <is>
          <t>UPPS-P</t>
        </is>
      </c>
      <c r="E102" s="24" t="inlineStr">
        <is>
          <t>Whiteside and Lynam; Lynam, Smith, Whiteside and Cyders</t>
        </is>
      </c>
      <c r="F102" s="24" t="inlineStr">
        <is>
          <t>2001; UPPS-P 2006</t>
        </is>
      </c>
      <c r="G102" s="24" t="inlineStr">
        <is>
          <t>Five pathways to impulsive behaviour</t>
        </is>
      </c>
      <c r="H102" s="24" t="n">
        <v>59</v>
      </c>
      <c r="I102" s="24" t="inlineStr">
        <is>
          <t>4 point agreement, 1 (agree strongly) to 4 (disagree strongly)</t>
        </is>
      </c>
      <c r="J102" s="24" t="inlineStr">
        <is>
          <t>Negative urgency, Lack of premeditation, Lack of perseverance, Sensation seeking, Positive urgency</t>
        </is>
      </c>
      <c r="K102" s="24" t="inlineStr">
        <is>
          <t>Subscale means after reverse scoring; higher means more impulsive; a 20 item short form (SUPPS-P) is available</t>
        </is>
      </c>
      <c r="L102" s="24" t="inlineStr">
        <is>
          <t>free for non commercial or research only</t>
        </is>
      </c>
      <c r="M102" s="24" t="inlineStr">
        <is>
          <t>PhenX documentation CC BY 4.0. The UPPS-P is distributed by its authors for research use without charge; commercial use requires author permission.</t>
        </is>
      </c>
      <c r="N102" s="24" t="inlineStr">
        <is>
          <t>https://www.phenxtoolkit.org/help/guidance</t>
        </is>
      </c>
      <c r="O102" s="24" t="inlineStr">
        <is>
          <t>Yes</t>
        </is>
      </c>
      <c r="P102" s="24" t="inlineStr">
        <is>
          <t>https://www.phenxtoolkit.org/domains/view/180000</t>
        </is>
      </c>
      <c r="Q102" s="24" t="inlineStr"/>
      <c r="R102" s="24" t="inlineStr">
        <is>
          <t>Lack of perseverance and Negative urgency are directly relevant to executive functioning and ADHD coaching; the 20 item short form keeps burden low.</t>
        </is>
      </c>
      <c r="S102" s="24" t="inlineStr">
        <is>
          <t>PhenX Toolkit (RTI International, NIH funded)</t>
        </is>
      </c>
      <c r="T102" s="24" t="inlineStr">
        <is>
          <t>https://www.phenxtoolkit.org/domains/view/180000</t>
        </is>
      </c>
      <c r="U102" s="24" t="inlineStr">
        <is>
          <t>Candidate, licence to confirm</t>
        </is>
      </c>
      <c r="V102" s="24" t="inlineStr"/>
      <c r="W102" s="24" t="inlineStr"/>
      <c r="X102" s="24" t="inlineStr"/>
    </row>
    <row r="103">
      <c r="A103" s="24" t="n">
        <v>102</v>
      </c>
      <c r="B103" s="24" t="inlineStr">
        <is>
          <t>Open repositories</t>
        </is>
      </c>
      <c r="C103" s="24" t="inlineStr">
        <is>
          <t>Emotion Regulation Questionnaire</t>
        </is>
      </c>
      <c r="D103" s="24" t="inlineStr">
        <is>
          <t>ERQ</t>
        </is>
      </c>
      <c r="E103" s="24" t="inlineStr">
        <is>
          <t>James Gross and Oliver John</t>
        </is>
      </c>
      <c r="F103" s="24" t="inlineStr">
        <is>
          <t>2003</t>
        </is>
      </c>
      <c r="G103" s="24" t="inlineStr">
        <is>
          <t>Habitual use of two emotion regulation strategies</t>
        </is>
      </c>
      <c r="H103" s="24" t="n">
        <v>10</v>
      </c>
      <c r="I103" s="24" t="inlineStr">
        <is>
          <t>7 point agreement, 1 (strongly disagree) to 7 (strongly agree)</t>
        </is>
      </c>
      <c r="J103" s="24" t="inlineStr">
        <is>
          <t>Cognitive reappraisal (6 items), Expressive suppression (4 items)</t>
        </is>
      </c>
      <c r="K103" s="24" t="inlineStr">
        <is>
          <t>Subscale means; higher reappraisal is generally adaptive, higher suppression is associated with poorer wellbeing</t>
        </is>
      </c>
      <c r="L103" s="24" t="inlineStr">
        <is>
          <t>free for non commercial or research only</t>
        </is>
      </c>
      <c r="M103" s="24" t="inlineStr">
        <is>
          <t>No blanket licence. The NIH SOBC repository catalogues measures with metadata and links to the source; copyright stays with the original authors and their terms apply. Gross's Stanford laboratory makes the ERQ available for non commercial research and clinical use with citation.</t>
        </is>
      </c>
      <c r="N103" s="24" t="inlineStr">
        <is>
          <t>https://spl.stanford.edu/resources</t>
        </is>
      </c>
      <c r="O103" s="24" t="inlineStr">
        <is>
          <t>Yes</t>
        </is>
      </c>
      <c r="P103" s="24" t="inlineStr">
        <is>
          <t>https://spl.stanford.edu/resources</t>
        </is>
      </c>
      <c r="Q103" s="24" t="inlineStr"/>
      <c r="R103" s="24" t="inlineStr">
        <is>
          <t>Useful for leaders and ADHD clients working on emotional regulation at work; distinguishes a reframing style from a bottling up style.</t>
        </is>
      </c>
      <c r="S103" s="24" t="inlineStr">
        <is>
          <t>NIH Science of Behavior Change (SOBC) Measures Repository</t>
        </is>
      </c>
      <c r="T103" s="24" t="inlineStr">
        <is>
          <t>https://scienceofbehaviorchange.org/measures/</t>
        </is>
      </c>
      <c r="U103" s="24" t="inlineStr">
        <is>
          <t>Candidate, licence to confirm</t>
        </is>
      </c>
      <c r="V103" s="24" t="inlineStr"/>
      <c r="W103" s="24" t="inlineStr"/>
      <c r="X103" s="24" t="inlineStr"/>
    </row>
    <row r="104">
      <c r="A104" s="24" t="n">
        <v>103</v>
      </c>
      <c r="B104" s="24" t="inlineStr">
        <is>
          <t>Open repositories</t>
        </is>
      </c>
      <c r="C104" s="24" t="inlineStr">
        <is>
          <t>Consideration of Future Consequences Scale, 14 item</t>
        </is>
      </c>
      <c r="D104" s="24" t="inlineStr">
        <is>
          <t>CFC-14</t>
        </is>
      </c>
      <c r="E104" s="24" t="inlineStr">
        <is>
          <t>Alan Strathman et al.; 14 item revision by Joireman et al.</t>
        </is>
      </c>
      <c r="F104" s="24" t="inlineStr">
        <is>
          <t>1994; 2012</t>
        </is>
      </c>
      <c r="G104" s="24" t="inlineStr">
        <is>
          <t>Extent to which people consider distant versus immediate consequences of their behaviour</t>
        </is>
      </c>
      <c r="H104" s="24" t="n">
        <v>14</v>
      </c>
      <c r="I104" s="24" t="inlineStr">
        <is>
          <t>7 point, 1 (extremely uncharacteristic) to 7 (extremely characteristic)</t>
        </is>
      </c>
      <c r="J104" s="24" t="inlineStr">
        <is>
          <t>CFC Future, CFC Immediate</t>
        </is>
      </c>
      <c r="K104" s="24" t="inlineStr">
        <is>
          <t>Subscale means or total after reverse scoring the Immediate items; higher total means greater future orientation</t>
        </is>
      </c>
      <c r="L104" s="24" t="inlineStr">
        <is>
          <t>free with attribution (CC or stated)</t>
        </is>
      </c>
      <c r="M104" s="24" t="inlineStr">
        <is>
          <t>No blanket licence. The NIH SOBC repository catalogues measures with metadata and links to the source; copyright stays with the original authors and their terms apply. Items are published in the source articles and used freely in research with citation.</t>
        </is>
      </c>
      <c r="N104" s="24" t="inlineStr">
        <is>
          <t>https://scienceofbehaviorchange.org/measures/</t>
        </is>
      </c>
      <c r="O104" s="24" t="inlineStr">
        <is>
          <t>Yes</t>
        </is>
      </c>
      <c r="P104" s="24" t="inlineStr">
        <is>
          <t>https://scienceofbehaviorchange.org/measures/</t>
        </is>
      </c>
      <c r="Q104" s="24" t="inlineStr"/>
      <c r="R104" s="24" t="inlineStr">
        <is>
          <t>Links to procrastination and planning difficulties; a conversation starter about time horizons in goal setting.</t>
        </is>
      </c>
      <c r="S104" s="24" t="inlineStr">
        <is>
          <t>NIH Science of Behavior Change (SOBC) Measures Repository</t>
        </is>
      </c>
      <c r="T104" s="24" t="inlineStr">
        <is>
          <t>https://scienceofbehaviorchange.org/measures/</t>
        </is>
      </c>
      <c r="U104" s="24" t="inlineStr">
        <is>
          <t>Candidate, client facing possible</t>
        </is>
      </c>
      <c r="V104" s="24" t="inlineStr"/>
      <c r="W104" s="24" t="inlineStr"/>
      <c r="X104" s="24" t="inlineStr"/>
    </row>
    <row r="105">
      <c r="A105" s="24" t="n">
        <v>104</v>
      </c>
      <c r="B105" s="24" t="inlineStr">
        <is>
          <t>Open repositories</t>
        </is>
      </c>
      <c r="C105" s="24" t="inlineStr">
        <is>
          <t>IPIP-NEO-120</t>
        </is>
      </c>
      <c r="D105" s="24" t="inlineStr">
        <is>
          <t>IPIP-NEO-120</t>
        </is>
      </c>
      <c r="E105" s="24" t="inlineStr">
        <is>
          <t>John A. Johnson (items from Lewis Goldberg's IPIP)</t>
        </is>
      </c>
      <c r="F105" s="24" t="inlineStr">
        <is>
          <t>2014</t>
        </is>
      </c>
      <c r="G105" s="24" t="inlineStr">
        <is>
          <t>Big Five personality domains and 30 facets, a public domain analogue of the NEO-PI-R</t>
        </is>
      </c>
      <c r="H105" s="24" t="n">
        <v>120</v>
      </c>
      <c r="I105" s="24" t="inlineStr">
        <is>
          <t>5 point, very inaccurate to very accurate</t>
        </is>
      </c>
      <c r="J105" s="24" t="inlineStr">
        <is>
          <t>Neuroticism, Extraversion, Openness, Agreeableness, Conscientiousness, 30 facets (4 items each)</t>
        </is>
      </c>
      <c r="K105" s="24" t="inlineStr">
        <is>
          <t>Sum per facet and domain after reverse keying; Johnson provides norms by age and sex and a free online report</t>
        </is>
      </c>
      <c r="L105" s="24" t="inlineStr">
        <is>
          <t>public domain</t>
        </is>
      </c>
      <c r="M105" s="24" t="inlineStr">
        <is>
          <t>IPIP states: "The items and scales are in the public domain, which means that one can copy, edit, translate, or use them for any purpose".</t>
        </is>
      </c>
      <c r="N105" s="24" t="inlineStr">
        <is>
          <t>https://ipip.ori.org/</t>
        </is>
      </c>
      <c r="O105" s="24" t="inlineStr">
        <is>
          <t>Yes</t>
        </is>
      </c>
      <c r="P105" s="24" t="inlineStr">
        <is>
          <t>https://ipip.ori.org/newNEOKey.htm</t>
        </is>
      </c>
      <c r="Q105" s="24" t="inlineStr"/>
      <c r="R105" s="24" t="inlineStr">
        <is>
          <t>Best free facet level personality profile for coaching; the Conscientiousness facets (self discipline, orderliness, achievement striving) speak directly to executive functioning. Fully modifiable and brandable.</t>
        </is>
      </c>
      <c r="S105" s="24" t="inlineStr">
        <is>
          <t>International Personality Item Pool (IPIP)</t>
        </is>
      </c>
      <c r="T105" s="24" t="inlineStr">
        <is>
          <t>https://ipip.ori.org/newMultipleconstructs.htm</t>
        </is>
      </c>
      <c r="U105" s="24" t="inlineStr">
        <is>
          <t>Candidate, client facing possible</t>
        </is>
      </c>
      <c r="V105" s="24" t="inlineStr"/>
      <c r="W105" s="24" t="inlineStr"/>
      <c r="X105" s="24" t="inlineStr"/>
    </row>
    <row r="106">
      <c r="A106" s="24" t="n">
        <v>105</v>
      </c>
      <c r="B106" s="24" t="inlineStr">
        <is>
          <t>Open repositories</t>
        </is>
      </c>
      <c r="C106" s="24" t="inlineStr">
        <is>
          <t>Big Five Aspect Scales</t>
        </is>
      </c>
      <c r="D106" s="24" t="inlineStr">
        <is>
          <t>BFAS</t>
        </is>
      </c>
      <c r="E106" s="24" t="inlineStr">
        <is>
          <t>Colin DeYoung, Lena Quilty and Jordan Peterson</t>
        </is>
      </c>
      <c r="F106" s="24" t="inlineStr">
        <is>
          <t>2007</t>
        </is>
      </c>
      <c r="G106" s="24" t="inlineStr">
        <is>
          <t>Big Five domains split into 10 aspects, an intermediate level between domains and facets</t>
        </is>
      </c>
      <c r="H106" s="24" t="n">
        <v>100</v>
      </c>
      <c r="I106" s="24" t="inlineStr">
        <is>
          <t>5 point agreement or accuracy</t>
        </is>
      </c>
      <c r="J106" s="24" t="inlineStr">
        <is>
          <t>Volatility, Withdrawal, Compassion, Politeness, Industriousness, Orderliness, Enthusiasm, Assertiveness, Intellect, Openness</t>
        </is>
      </c>
      <c r="K106" s="24" t="inlineStr">
        <is>
          <t>Mean of 10 items per aspect after reverse keying; domain scores average the 2 aspects</t>
        </is>
      </c>
      <c r="L106" s="24" t="inlineStr">
        <is>
          <t>public domain</t>
        </is>
      </c>
      <c r="M106" s="24" t="inlineStr">
        <is>
          <t>IPIP states: "The items and scales are in the public domain, which means that one can copy, edit, translate, or use them for any purpose".</t>
        </is>
      </c>
      <c r="N106" s="24" t="inlineStr">
        <is>
          <t>https://ipip.ori.org/</t>
        </is>
      </c>
      <c r="O106" s="24" t="inlineStr">
        <is>
          <t>Yes</t>
        </is>
      </c>
      <c r="P106" s="24" t="inlineStr">
        <is>
          <t>https://ipip.ori.org/BFASKeys.htm</t>
        </is>
      </c>
      <c r="Q106" s="24" t="inlineStr"/>
      <c r="R106" s="24" t="inlineStr">
        <is>
          <t>Industriousness and Orderliness separate two conscientiousness pathways that matter in ADHD coaching; Withdrawal and Volatility separate anxious from irritable neuroticism.</t>
        </is>
      </c>
      <c r="S106" s="24" t="inlineStr">
        <is>
          <t>International Personality Item Pool (IPIP)</t>
        </is>
      </c>
      <c r="T106" s="24" t="inlineStr">
        <is>
          <t>https://ipip.ori.org/newMultipleconstructs.htm</t>
        </is>
      </c>
      <c r="U106" s="24" t="inlineStr">
        <is>
          <t>Candidate, client facing possible</t>
        </is>
      </c>
      <c r="V106" s="24" t="inlineStr"/>
      <c r="W106" s="24" t="inlineStr"/>
      <c r="X106" s="24" t="inlineStr"/>
    </row>
    <row r="107">
      <c r="A107" s="24" t="n">
        <v>106</v>
      </c>
      <c r="B107" s="24" t="inlineStr">
        <is>
          <t>Open repositories</t>
        </is>
      </c>
      <c r="C107" s="24" t="inlineStr">
        <is>
          <t>PERMA Profiler</t>
        </is>
      </c>
      <c r="D107" s="24" t="inlineStr">
        <is>
          <t>PERMA-Profiler</t>
        </is>
      </c>
      <c r="E107" s="24" t="inlineStr">
        <is>
          <t>Julie Butler and Margaret Kern</t>
        </is>
      </c>
      <c r="F107" s="24" t="inlineStr">
        <is>
          <t>2016</t>
        </is>
      </c>
      <c r="G107" s="24" t="inlineStr">
        <is>
          <t>Flourishing across Seligman's PERMA pillars plus negative emotion, loneliness and physical health</t>
        </is>
      </c>
      <c r="H107" s="24" t="n">
        <v>23</v>
      </c>
      <c r="I107" s="24" t="inlineStr">
        <is>
          <t>11 point, 0 to 10, with anchors varying by block</t>
        </is>
      </c>
      <c r="J107" s="24" t="inlineStr">
        <is>
          <t>Positive emotion, Engagement, Relationships, Meaning, Accomplishment, Negative emotion, Health, Loneliness, Overall wellbeing</t>
        </is>
      </c>
      <c r="K107" s="24" t="inlineStr">
        <is>
          <t>Mean of 3 items per pillar (0 to 10); overall wellbeing averages the 15 pillar items plus the happiness item; a Workplace PERMA Profiler reframes items to work</t>
        </is>
      </c>
      <c r="L107" s="24" t="inlineStr">
        <is>
          <t>free for non commercial or research only</t>
        </is>
      </c>
      <c r="M107" s="24" t="inlineStr">
        <is>
          <t>Site footer: "(c)2026, The Trustees of the University of Pennsylvania. All Rights Reserved." Tests are taken online after free registration; no item download or reuse licence is offered on the site. The authors publish the measure in the International Journal of Wellbeing and state it may be used freely for non commercial purposes with citation.</t>
        </is>
      </c>
      <c r="N107" s="24" t="inlineStr">
        <is>
          <t>https://www.peggykern.org/questionnaires.html</t>
        </is>
      </c>
      <c r="O107" s="24" t="inlineStr">
        <is>
          <t>Yes</t>
        </is>
      </c>
      <c r="P107" s="24" t="inlineStr">
        <is>
          <t>https://www.peggykern.org/questionnaires.html</t>
        </is>
      </c>
      <c r="Q107" s="24" t="inlineStr"/>
      <c r="R107" s="24" t="inlineStr">
        <is>
          <t>Well suited to positive psychology coaching and workplace wellbeing programmes; the Workplace version is available from Kern's site.</t>
        </is>
      </c>
      <c r="S107" s="24" t="inlineStr">
        <is>
          <t>Authentic Happiness (Positive Psychology Center, University of Pennsylvania)</t>
        </is>
      </c>
      <c r="T107" s="24" t="inlineStr">
        <is>
          <t>https://www.authentichappiness.sas.upenn.edu/testcenter</t>
        </is>
      </c>
      <c r="U107" s="24" t="inlineStr">
        <is>
          <t>Candidate, licence to confirm</t>
        </is>
      </c>
      <c r="V107" s="24" t="inlineStr">
        <is>
          <t>Check: digital or platform use may need its own licence</t>
        </is>
      </c>
      <c r="W107" s="24" t="inlineStr"/>
      <c r="X107" s="24" t="inlineStr"/>
    </row>
    <row r="108">
      <c r="A108" s="24" t="n">
        <v>107</v>
      </c>
      <c r="B108" s="24" t="inlineStr">
        <is>
          <t>Open repositories</t>
        </is>
      </c>
      <c r="C108" s="24" t="inlineStr">
        <is>
          <t>Satisfaction with Life Scale</t>
        </is>
      </c>
      <c r="D108" s="24" t="inlineStr">
        <is>
          <t>SWLS</t>
        </is>
      </c>
      <c r="E108" s="24" t="inlineStr">
        <is>
          <t>Ed Diener, Robert Emmons, Randy Larsen and Sharon Griffin</t>
        </is>
      </c>
      <c r="F108" s="24" t="inlineStr">
        <is>
          <t>1985</t>
        </is>
      </c>
      <c r="G108" s="24" t="inlineStr">
        <is>
          <t>Global cognitive judgement of satisfaction with one's life</t>
        </is>
      </c>
      <c r="H108" s="24" t="n">
        <v>5</v>
      </c>
      <c r="I108" s="24" t="inlineStr">
        <is>
          <t>7 point agreement, 1 (strongly disagree) to 7 (strongly agree)</t>
        </is>
      </c>
      <c r="J108" s="24" t="inlineStr"/>
      <c r="K108" s="24" t="inlineStr">
        <is>
          <t>Sum 5 to 35; bands from extremely dissatisfied (5 to 9) to extremely satisfied (31 to 35)</t>
        </is>
      </c>
      <c r="L108" s="24" t="inlineStr">
        <is>
          <t>public domain</t>
        </is>
      </c>
      <c r="M108" s="24" t="inlineStr">
        <is>
          <t>Site footer: "(c)2026, The Trustees of the University of Pennsylvania. All Rights Reserved." Tests are taken online after free registration; no item download or reuse licence is offered on the site. Diener states the SWLS is in the public domain and may be used without permission or charge with citation.</t>
        </is>
      </c>
      <c r="N108" s="24" t="inlineStr">
        <is>
          <t>https://eddiener.com/scales/7</t>
        </is>
      </c>
      <c r="O108" s="24" t="inlineStr">
        <is>
          <t>Yes</t>
        </is>
      </c>
      <c r="P108" s="24" t="inlineStr">
        <is>
          <t>https://eddiener.com/scales/7</t>
        </is>
      </c>
      <c r="Q108" s="24" t="inlineStr"/>
      <c r="R108" s="24" t="inlineStr">
        <is>
          <t>The simplest global wellbeing outcome measure; suitable for every session or quarterly tracking.</t>
        </is>
      </c>
      <c r="S108" s="24" t="inlineStr">
        <is>
          <t>Authentic Happiness (Positive Psychology Center, University of Pennsylvania)</t>
        </is>
      </c>
      <c r="T108" s="24" t="inlineStr">
        <is>
          <t>https://www.authentichappiness.sas.upenn.edu/testcenter</t>
        </is>
      </c>
      <c r="U108" s="24" t="inlineStr">
        <is>
          <t>Candidate, client facing possible</t>
        </is>
      </c>
      <c r="V108" s="24" t="inlineStr">
        <is>
          <t>Check: digital or platform use may need its own licence</t>
        </is>
      </c>
      <c r="W108" s="24" t="inlineStr"/>
      <c r="X108" s="24" t="inlineStr"/>
    </row>
    <row r="109">
      <c r="A109" s="24" t="n">
        <v>108</v>
      </c>
      <c r="B109" s="24" t="inlineStr">
        <is>
          <t>Open repositories</t>
        </is>
      </c>
      <c r="C109" s="24" t="inlineStr">
        <is>
          <t>Grit Scale (12 item) and Short Grit Scale</t>
        </is>
      </c>
      <c r="D109" s="24" t="inlineStr">
        <is>
          <t>Grit-O / Grit-S</t>
        </is>
      </c>
      <c r="E109" s="24" t="inlineStr">
        <is>
          <t>Angela Duckworth and colleagues</t>
        </is>
      </c>
      <c r="F109" s="24" t="inlineStr">
        <is>
          <t>2007; Grit-S 2009</t>
        </is>
      </c>
      <c r="G109" s="24" t="inlineStr">
        <is>
          <t>Perseverance and passion for long term goals</t>
        </is>
      </c>
      <c r="H109" s="24" t="n">
        <v>12</v>
      </c>
      <c r="I109" s="24" t="inlineStr">
        <is>
          <t>5 point, 1 (not like me at all) to 5 (very much like me)</t>
        </is>
      </c>
      <c r="J109" s="24" t="inlineStr">
        <is>
          <t>Consistency of interest, Perseverance of effort</t>
        </is>
      </c>
      <c r="K109" s="24" t="inlineStr">
        <is>
          <t>Mean after reverse scoring, 1 to 5; Grit-S uses 8 items</t>
        </is>
      </c>
      <c r="L109" s="24" t="inlineStr">
        <is>
          <t>free for non commercial or research only</t>
        </is>
      </c>
      <c r="M109" s="24" t="inlineStr">
        <is>
          <t>Site footer: "(c)2026, The Trustees of the University of Pennsylvania. All Rights Reserved." Tests are taken online after free registration; no item download or reuse licence is offered on the site. Duckworth's laboratory provides the scales for non commercial research and educational use with citation; commercial use requires permission.</t>
        </is>
      </c>
      <c r="N109" s="24" t="inlineStr">
        <is>
          <t>https://angeladuckworth.com/grit-scale/</t>
        </is>
      </c>
      <c r="O109" s="24" t="inlineStr">
        <is>
          <t>Yes</t>
        </is>
      </c>
      <c r="P109" s="24" t="inlineStr">
        <is>
          <t>https://angeladuckworth.com/grit-scale/</t>
        </is>
      </c>
      <c r="Q109" s="24" t="inlineStr"/>
      <c r="R109" s="24" t="inlineStr">
        <is>
          <t>Perseverance of effort relates to task completion themes in coaching; interpret with care because grit overlaps substantially with conscientiousness.</t>
        </is>
      </c>
      <c r="S109" s="24" t="inlineStr">
        <is>
          <t>Authentic Happiness (Positive Psychology Center, University of Pennsylvania)</t>
        </is>
      </c>
      <c r="T109" s="24" t="inlineStr">
        <is>
          <t>https://www.authentichappiness.sas.upenn.edu/testcenter</t>
        </is>
      </c>
      <c r="U109" s="24" t="inlineStr">
        <is>
          <t>Candidate, licence to confirm</t>
        </is>
      </c>
      <c r="V109" s="24" t="inlineStr">
        <is>
          <t>Check: digital or platform use may need its own licence</t>
        </is>
      </c>
      <c r="W109" s="24" t="inlineStr"/>
      <c r="X109" s="24" t="inlineStr"/>
    </row>
    <row r="110">
      <c r="A110" s="24" t="n">
        <v>109</v>
      </c>
      <c r="B110" s="24" t="inlineStr">
        <is>
          <t>Open repositories</t>
        </is>
      </c>
      <c r="C110" s="24" t="inlineStr">
        <is>
          <t>Work-Life Questionnaire (Job, Career, Calling orientations)</t>
        </is>
      </c>
      <c r="D110" s="24" t="inlineStr">
        <is>
          <t>WLQ</t>
        </is>
      </c>
      <c r="E110" s="24" t="inlineStr">
        <is>
          <t>Amy Wrzesniewski, Clark McCauley, Paul Rozin and Barry Schwartz</t>
        </is>
      </c>
      <c r="F110" s="24" t="inlineStr">
        <is>
          <t>1997</t>
        </is>
      </c>
      <c r="G110" s="24" t="inlineStr">
        <is>
          <t>Orientation to work as a job, a career or a calling</t>
        </is>
      </c>
      <c r="H110" s="24" t="n">
        <v>21</v>
      </c>
      <c r="I110" s="24" t="inlineStr">
        <is>
          <t>3 paragraph descriptions rated for similarity plus 18 true or false items</t>
        </is>
      </c>
      <c r="J110" s="24" t="inlineStr">
        <is>
          <t>Job, Career, Calling</t>
        </is>
      </c>
      <c r="K110" s="24" t="inlineStr">
        <is>
          <t>Paragraph ratings and item endorsements combined to classify dominant orientation</t>
        </is>
      </c>
      <c r="L110" s="24" t="inlineStr">
        <is>
          <t>not stated</t>
        </is>
      </c>
      <c r="M110" s="24" t="inlineStr">
        <is>
          <t>Site footer: "(c)2026, The Trustees of the University of Pennsylvania. All Rights Reserved." Tests are taken online after free registration; no item download or reuse licence is offered on the site. The paragraphs and items are published in the Journal of Research in Personality and are used in research with citation; no formal licence is stated.</t>
        </is>
      </c>
      <c r="N110" s="24" t="inlineStr">
        <is>
          <t>https://www.authentichappiness.sas.upenn.edu/testcenter</t>
        </is>
      </c>
      <c r="O110" s="24" t="inlineStr">
        <is>
          <t>Yes</t>
        </is>
      </c>
      <c r="P110" s="24" t="inlineStr">
        <is>
          <t>https://doi.org/10.1006/jrpe.1997.2162</t>
        </is>
      </c>
      <c r="Q110" s="24" t="inlineStr"/>
      <c r="R110" s="24" t="inlineStr">
        <is>
          <t>A reflective tool for career coaching conversations rather than a psychometric outcome measure.</t>
        </is>
      </c>
      <c r="S110" s="24" t="inlineStr">
        <is>
          <t>Authentic Happiness (Positive Psychology Center, University of Pennsylvania)</t>
        </is>
      </c>
      <c r="T110" s="24" t="inlineStr">
        <is>
          <t>https://www.authentichappiness.sas.upenn.edu/testcenter</t>
        </is>
      </c>
      <c r="U110" s="24" t="inlineStr">
        <is>
          <t>Candidate, licence to confirm</t>
        </is>
      </c>
      <c r="V110" s="24" t="inlineStr">
        <is>
          <t>Check: digital or platform use may need its own licence</t>
        </is>
      </c>
      <c r="W110" s="24" t="inlineStr"/>
      <c r="X110" s="24" t="inlineStr"/>
    </row>
    <row r="111">
      <c r="A111" s="24" t="n">
        <v>110</v>
      </c>
      <c r="B111" s="24" t="inlineStr">
        <is>
          <t>Open repositories</t>
        </is>
      </c>
      <c r="C111" s="24" t="inlineStr">
        <is>
          <t>VIA Survey of Character Strengths</t>
        </is>
      </c>
      <c r="D111" s="24" t="inlineStr">
        <is>
          <t>VIA-IS (VIA-120 and VIA-240)</t>
        </is>
      </c>
      <c r="E111" s="24" t="inlineStr">
        <is>
          <t>Christopher Peterson and Martin Seligman; VIA Institute on Character</t>
        </is>
      </c>
      <c r="F111" s="24" t="inlineStr">
        <is>
          <t>2004</t>
        </is>
      </c>
      <c r="G111" s="24" t="inlineStr">
        <is>
          <t>24 character strengths organised under 6 virtues</t>
        </is>
      </c>
      <c r="H111" s="24" t="n">
        <v>120</v>
      </c>
      <c r="I111" s="24" t="inlineStr">
        <is>
          <t>5 point, very much unlike me to very much like me</t>
        </is>
      </c>
      <c r="J111" s="24" t="inlineStr">
        <is>
          <t>24 character strengths, Wisdom, Courage, Humanity, Justice, Temperance, Transcendence</t>
        </is>
      </c>
      <c r="K111" s="24" t="inlineStr">
        <is>
          <t>Strength means ranked to produce a signature strengths profile; VIA Institute reports and norms</t>
        </is>
      </c>
      <c r="L111" s="24" t="inlineStr">
        <is>
          <t>permission required</t>
        </is>
      </c>
      <c r="M111" s="24" t="inlineStr">
        <is>
          <t>Site footer: "(c)2026, The Trustees of the University of Pennsylvania. All Rights Reserved." Tests are taken online after free registration; no item download or reuse licence is offered on the site. The VIA Survey is copyright VIA Institute on Character; it is completed online free of charge but items are not released for independent administration.</t>
        </is>
      </c>
      <c r="N111" s="24" t="inlineStr">
        <is>
          <t>https://www.viacharacter.org/</t>
        </is>
      </c>
      <c r="O111" s="24" t="inlineStr">
        <is>
          <t>No</t>
        </is>
      </c>
      <c r="P111" s="24" t="inlineStr"/>
      <c r="Q111" s="24" t="inlineStr"/>
      <c r="R111" s="24" t="inlineStr">
        <is>
          <t>Popular in strengths based coaching; use the free online survey or the IPIP-VIA-R public domain analogue if verbatim items are needed in your own forms.</t>
        </is>
      </c>
      <c r="S111" s="24" t="inlineStr">
        <is>
          <t>Authentic Happiness (Positive Psychology Center, University of Pennsylvania)</t>
        </is>
      </c>
      <c r="T111" s="24" t="inlineStr">
        <is>
          <t>https://www.authentichappiness.sas.upenn.edu/testcenter</t>
        </is>
      </c>
      <c r="U111" s="24" t="inlineStr">
        <is>
          <t>Candidate, licence to confirm</t>
        </is>
      </c>
      <c r="V111" s="24" t="inlineStr">
        <is>
          <t>Check: digital or platform use may need its own licence</t>
        </is>
      </c>
      <c r="W111" s="24" t="inlineStr"/>
      <c r="X111" s="24" t="inlineStr"/>
    </row>
    <row r="112">
      <c r="A112" s="24" t="n">
        <v>111</v>
      </c>
      <c r="B112" s="24" t="inlineStr">
        <is>
          <t>Open repositories</t>
        </is>
      </c>
      <c r="C112" s="24" t="inlineStr">
        <is>
          <t>Basic Psychological Need Satisfaction and Frustration Scale</t>
        </is>
      </c>
      <c r="D112" s="24" t="inlineStr">
        <is>
          <t>BPNSFS</t>
        </is>
      </c>
      <c r="E112" s="24" t="inlineStr">
        <is>
          <t>Beiwen Chen, Maarten Vansteenkiste et al.</t>
        </is>
      </c>
      <c r="F112" s="24" t="inlineStr">
        <is>
          <t>2015</t>
        </is>
      </c>
      <c r="G112" s="24" t="inlineStr">
        <is>
          <t>Satisfaction and frustration of the needs for autonomy, competence and relatedness</t>
        </is>
      </c>
      <c r="H112" s="24" t="n">
        <v>24</v>
      </c>
      <c r="I112" s="24" t="inlineStr">
        <is>
          <t>5 point, 1 (not true at all) to 5 (completely true)</t>
        </is>
      </c>
      <c r="J112" s="24" t="inlineStr">
        <is>
          <t>Autonomy satisfaction, Autonomy frustration, Competence satisfaction, Competence frustration, Relatedness satisfaction, Relatedness frustration</t>
        </is>
      </c>
      <c r="K112" s="24" t="inlineStr">
        <is>
          <t>Mean of 4 items per subscale; satisfaction and frustration composites can be formed</t>
        </is>
      </c>
      <c r="L112" s="24" t="inlineStr">
        <is>
          <t>free for non commercial or research only</t>
        </is>
      </c>
      <c r="M112" s="24" t="inlineStr">
        <is>
          <t>Center for Self-Determination Theory: "All academic use is permitted, but you must obtain permission from the Center for Self-Determination Theory" for commercial use. "To download the copyrighted questionnaires on the CSDT web site, you must agree to our terms and conditions." Download requires stating licensing status and an email.</t>
        </is>
      </c>
      <c r="N112" s="24" t="inlineStr">
        <is>
          <t>https://selfdeterminationtheory.org/questionnaires/</t>
        </is>
      </c>
      <c r="O112" s="24" t="inlineStr">
        <is>
          <t>Yes</t>
        </is>
      </c>
      <c r="P112" s="24" t="inlineStr">
        <is>
          <t>https://selfdeterminationtheory.org/questionnaires/</t>
        </is>
      </c>
      <c r="Q112" s="24" t="inlineStr"/>
      <c r="R112" s="24" t="inlineStr">
        <is>
          <t>Core SDT diagnostic for motivation coaching; a work specific version is available. Download requires agreeing to the research use terms, and commercial use needs Center permission.</t>
        </is>
      </c>
      <c r="S112" s="24" t="inlineStr">
        <is>
          <t>Center for Self-Determination Theory questionnaires</t>
        </is>
      </c>
      <c r="T112" s="24" t="inlineStr">
        <is>
          <t>https://selfdeterminationtheory.org/questionnaires/</t>
        </is>
      </c>
      <c r="U112" s="24" t="inlineStr">
        <is>
          <t>Candidate, licence to confirm</t>
        </is>
      </c>
      <c r="V112" s="24" t="inlineStr"/>
      <c r="W112" s="24" t="inlineStr"/>
      <c r="X112" s="24" t="inlineStr"/>
    </row>
    <row r="113">
      <c r="A113" s="24" t="n">
        <v>112</v>
      </c>
      <c r="B113" s="24" t="inlineStr">
        <is>
          <t>Open repositories</t>
        </is>
      </c>
      <c r="C113" s="24" t="inlineStr">
        <is>
          <t>Work-related Basic Need Satisfaction Scale</t>
        </is>
      </c>
      <c r="D113" s="24" t="inlineStr">
        <is>
          <t>W-BNS</t>
        </is>
      </c>
      <c r="E113" s="24" t="inlineStr">
        <is>
          <t>Anja Van den Broeck, Maarten Vansteenkiste, Hans De Witte, Bart Soenens and Willy Lens</t>
        </is>
      </c>
      <c r="F113" s="24" t="inlineStr">
        <is>
          <t>2010</t>
        </is>
      </c>
      <c r="G113" s="24" t="inlineStr">
        <is>
          <t>Satisfaction of autonomy, competence and relatedness needs at work</t>
        </is>
      </c>
      <c r="H113" s="24" t="n">
        <v>18</v>
      </c>
      <c r="I113" s="24" t="inlineStr">
        <is>
          <t>5 point agreement, 1 (totally disagree) to 5 (totally agree)</t>
        </is>
      </c>
      <c r="J113" s="24" t="inlineStr">
        <is>
          <t>Autonomy, Competence, Relatedness</t>
        </is>
      </c>
      <c r="K113" s="24" t="inlineStr">
        <is>
          <t>Mean of 6 items per need after reverse scoring</t>
        </is>
      </c>
      <c r="L113" s="24" t="inlineStr">
        <is>
          <t>free for non commercial or research only</t>
        </is>
      </c>
      <c r="M113" s="24" t="inlineStr">
        <is>
          <t>Center for Self-Determination Theory: "All academic use is permitted, but you must obtain permission from the Center for Self-Determination Theory" for commercial use. "To download the copyrighted questionnaires on the CSDT web site, you must agree to our terms and conditions." Download requires stating licensing status and an email.</t>
        </is>
      </c>
      <c r="N113" s="24" t="inlineStr">
        <is>
          <t>https://selfdeterminationtheory.org/questionnaires/</t>
        </is>
      </c>
      <c r="O113" s="24" t="inlineStr">
        <is>
          <t>Yes</t>
        </is>
      </c>
      <c r="P113" s="24" t="inlineStr">
        <is>
          <t>https://selfdeterminationtheory.org/questionnaires/</t>
        </is>
      </c>
      <c r="Q113" s="24" t="inlineStr"/>
      <c r="R113" s="24" t="inlineStr">
        <is>
          <t>Useful for diagnosing why a role feels depleting; pairs with the MWMS to link need satisfaction to motivation quality.</t>
        </is>
      </c>
      <c r="S113" s="24" t="inlineStr">
        <is>
          <t>Center for Self-Determination Theory questionnaires</t>
        </is>
      </c>
      <c r="T113" s="24" t="inlineStr">
        <is>
          <t>https://selfdeterminationtheory.org/questionnaires/</t>
        </is>
      </c>
      <c r="U113" s="24" t="inlineStr">
        <is>
          <t>Candidate, licence to confirm</t>
        </is>
      </c>
      <c r="V113" s="24" t="inlineStr"/>
      <c r="W113" s="24" t="inlineStr"/>
      <c r="X113" s="24" t="inlineStr"/>
    </row>
    <row r="114">
      <c r="A114" s="24" t="n">
        <v>113</v>
      </c>
      <c r="B114" s="24" t="inlineStr">
        <is>
          <t>Open repositories</t>
        </is>
      </c>
      <c r="C114" s="24" t="inlineStr">
        <is>
          <t>Work Climate Questionnaire</t>
        </is>
      </c>
      <c r="D114" s="24" t="inlineStr">
        <is>
          <t>WCQ</t>
        </is>
      </c>
      <c r="E114" s="24" t="inlineStr">
        <is>
          <t>Geoffrey Williams and Edward Deci (adapted from the Health Care Climate Questionnaire)</t>
        </is>
      </c>
      <c r="F114" s="24" t="inlineStr">
        <is>
          <t>1996</t>
        </is>
      </c>
      <c r="G114" s="24" t="inlineStr">
        <is>
          <t>Perceived autonomy support from one's manager or supervisor</t>
        </is>
      </c>
      <c r="H114" s="24" t="n">
        <v>15</v>
      </c>
      <c r="I114" s="24" t="inlineStr">
        <is>
          <t>7 point agreement, 1 (strongly disagree) to 7 (strongly agree)</t>
        </is>
      </c>
      <c r="J114" s="24" t="inlineStr"/>
      <c r="K114" s="24" t="inlineStr">
        <is>
          <t>Mean of items after reverse scoring 1 item; a 6 item short form exists; higher means more autonomy supportive climate</t>
        </is>
      </c>
      <c r="L114" s="24" t="inlineStr">
        <is>
          <t>free for non commercial or research only</t>
        </is>
      </c>
      <c r="M114" s="24" t="inlineStr">
        <is>
          <t>Center for Self-Determination Theory: "All academic use is permitted, but you must obtain permission from the Center for Self-Determination Theory" for commercial use. "To download the copyrighted questionnaires on the CSDT web site, you must agree to our terms and conditions." Download requires stating licensing status and an email.</t>
        </is>
      </c>
      <c r="N114" s="24" t="inlineStr">
        <is>
          <t>https://selfdeterminationtheory.org/questionnaires/</t>
        </is>
      </c>
      <c r="O114" s="24" t="inlineStr">
        <is>
          <t>Yes</t>
        </is>
      </c>
      <c r="P114" s="24" t="inlineStr">
        <is>
          <t>https://selfdeterminationtheory.org/questionnaires/</t>
        </is>
      </c>
      <c r="Q114" s="24" t="inlineStr"/>
      <c r="R114" s="24" t="inlineStr">
        <is>
          <t>Gives leaders feedback on how autonomy supportive their reports experience them to be; can be used upward in 360 style coaching.</t>
        </is>
      </c>
      <c r="S114" s="24" t="inlineStr">
        <is>
          <t>Center for Self-Determination Theory questionnaires</t>
        </is>
      </c>
      <c r="T114" s="24" t="inlineStr">
        <is>
          <t>https://selfdeterminationtheory.org/questionnaires/</t>
        </is>
      </c>
      <c r="U114" s="24" t="inlineStr">
        <is>
          <t>Candidate, licence to confirm</t>
        </is>
      </c>
      <c r="V114" s="24" t="inlineStr"/>
      <c r="W114" s="24" t="inlineStr"/>
      <c r="X114" s="24" t="inlineStr"/>
    </row>
    <row r="115">
      <c r="A115" s="24" t="n">
        <v>114</v>
      </c>
      <c r="B115" s="24" t="inlineStr">
        <is>
          <t>Open repositories</t>
        </is>
      </c>
      <c r="C115" s="24" t="inlineStr">
        <is>
          <t>Self-Compassion quiz (adapted from the Self-Compassion Scale)</t>
        </is>
      </c>
      <c r="D115" s="24" t="inlineStr">
        <is>
          <t>GGSC Self-Compassion / SCS</t>
        </is>
      </c>
      <c r="E115" s="24" t="inlineStr">
        <is>
          <t>Greater Good Science Center, adapting Kristin Neff's Self-Compassion Scale</t>
        </is>
      </c>
      <c r="F115" s="24" t="inlineStr">
        <is>
          <t>SCS 2003; quiz 2014</t>
        </is>
      </c>
      <c r="G115" s="24" t="inlineStr">
        <is>
          <t>Kindness toward oneself, sense of common humanity and mindfulness in the face of difficulty</t>
        </is>
      </c>
      <c r="H115" s="24" t="n">
        <v>26</v>
      </c>
      <c r="I115" s="24" t="inlineStr">
        <is>
          <t>5 point frequency, almost never to almost always (SCS); quiz uses a comparable scale</t>
        </is>
      </c>
      <c r="J115" s="24" t="inlineStr">
        <is>
          <t>Self kindness, Self judgement, Common humanity, Isolation, Mindfulness, Over identification</t>
        </is>
      </c>
      <c r="K115" s="24" t="inlineStr">
        <is>
          <t>Quiz returns a banded score with feedback; the SCS itself uses subscale means and a total after reversing negative subscales, with a 12 item short form</t>
        </is>
      </c>
      <c r="L115" s="24" t="inlineStr">
        <is>
          <t>free for non commercial or research only</t>
        </is>
      </c>
      <c r="M115" s="24" t="inlineStr">
        <is>
          <t>Site footer only: "(c) 2026 The Greater Good Science Center at the University of California, Berkeley". No reuse licence is stated and quiz items are not offered for download. Neff makes the SCS freely available for research and clinical use with citation on self-compassion.org.</t>
        </is>
      </c>
      <c r="N115" s="24" t="inlineStr">
        <is>
          <t>https://self-compassion.org/self-compassion-scales-for-researchers/</t>
        </is>
      </c>
      <c r="O115" s="24" t="inlineStr">
        <is>
          <t>Yes</t>
        </is>
      </c>
      <c r="P115" s="24" t="inlineStr">
        <is>
          <t>https://self-compassion.org/self-compassion-scales-for-researchers/</t>
        </is>
      </c>
      <c r="Q115" s="24" t="inlineStr"/>
      <c r="R115" s="24" t="inlineStr">
        <is>
          <t>Use Neff's original SCS or SCS-SF rather than the quiz for a codebook; the quiz is a client facing reflection tool only.</t>
        </is>
      </c>
      <c r="S115" s="24" t="inlineStr">
        <is>
          <t>Greater Good Science Center quizzes (UC Berkeley)</t>
        </is>
      </c>
      <c r="T115" s="24" t="inlineStr">
        <is>
          <t>https://greatergood.berkeley.edu/quizzes/take_quiz/self_compassion</t>
        </is>
      </c>
      <c r="U115" s="24" t="inlineStr">
        <is>
          <t>Candidate, licence to confirm</t>
        </is>
      </c>
      <c r="V115" s="24" t="inlineStr"/>
      <c r="W115" s="24" t="inlineStr"/>
      <c r="X115" s="24" t="inlineStr"/>
    </row>
    <row r="116">
      <c r="A116" s="24" t="n">
        <v>115</v>
      </c>
      <c r="B116" s="24" t="inlineStr">
        <is>
          <t>Open repositories</t>
        </is>
      </c>
      <c r="C116" s="24" t="inlineStr">
        <is>
          <t>Happiness at Work quiz</t>
        </is>
      </c>
      <c r="D116" s="24" t="inlineStr">
        <is>
          <t>GGSC Happiness at Work</t>
        </is>
      </c>
      <c r="E116" s="24" t="inlineStr">
        <is>
          <t>Greater Good Science Center</t>
        </is>
      </c>
      <c r="F116" s="24" t="inlineStr">
        <is>
          <t>2016</t>
        </is>
      </c>
      <c r="G116" s="24" t="inlineStr">
        <is>
          <t>Workplace wellbeing including engagement, meaning, relationships, autonomy and recognition at work</t>
        </is>
      </c>
      <c r="H116" s="24" t="n">
        <v>34</v>
      </c>
      <c r="I116" s="24" t="inlineStr">
        <is>
          <t>5 point agreement or frequency</t>
        </is>
      </c>
      <c r="J116" s="24" t="inlineStr">
        <is>
          <t>Engagement, Meaning, Relationships, Autonomy, Growth and recognition</t>
        </is>
      </c>
      <c r="K116" s="24" t="inlineStr">
        <is>
          <t>Online banded score with feedback and suggested practices; no published psychometric scoring manual</t>
        </is>
      </c>
      <c r="L116" s="24" t="inlineStr">
        <is>
          <t>permission required</t>
        </is>
      </c>
      <c r="M116" s="24" t="inlineStr">
        <is>
          <t>Site footer only: "(c) 2026 The Greater Good Science Center at the University of California, Berkeley". No reuse licence is stated and quiz items are not offered for download.</t>
        </is>
      </c>
      <c r="N116" s="24" t="inlineStr">
        <is>
          <t>https://greatergood.berkeley.edu/quizzes</t>
        </is>
      </c>
      <c r="O116" s="24" t="inlineStr">
        <is>
          <t>No</t>
        </is>
      </c>
      <c r="P116" s="24" t="inlineStr"/>
      <c r="Q116" s="24" t="inlineStr"/>
      <c r="R116" s="24" t="inlineStr">
        <is>
          <t>Engaging client homework before a workplace wellbeing session, but not a validated outcome measure; prefer the Workplace PERMA Profiler or MWMS for the codebook.</t>
        </is>
      </c>
      <c r="S116" s="24" t="inlineStr">
        <is>
          <t>Greater Good Science Center quizzes (UC Berkeley)</t>
        </is>
      </c>
      <c r="T116" s="24" t="inlineStr">
        <is>
          <t>https://greatergood.berkeley.edu/quizzes/take_quiz/happiness_at_work</t>
        </is>
      </c>
      <c r="U116" s="24" t="inlineStr">
        <is>
          <t>Candidate, licence to confirm</t>
        </is>
      </c>
      <c r="V116" s="24" t="inlineStr"/>
      <c r="W116" s="24" t="inlineStr"/>
      <c r="X116" s="24" t="inlineStr"/>
    </row>
    <row r="117">
      <c r="A117" s="24" t="n">
        <v>116</v>
      </c>
      <c r="B117" s="24" t="inlineStr">
        <is>
          <t>Open repositories</t>
        </is>
      </c>
      <c r="C117" s="24" t="inlineStr">
        <is>
          <t>Patient Health Questionnaire 9</t>
        </is>
      </c>
      <c r="D117" s="24" t="inlineStr">
        <is>
          <t>PHQ-9</t>
        </is>
      </c>
      <c r="E117" s="24" t="inlineStr">
        <is>
          <t>Robert Spitzer, Kurt Kroenke and Janet Williams (Pfizer funded)</t>
        </is>
      </c>
      <c r="F117" s="24" t="inlineStr">
        <is>
          <t>1999</t>
        </is>
      </c>
      <c r="G117" s="24" t="inlineStr">
        <is>
          <t>Frequency of the 9 DSM depression symptoms over the past 2 weeks plus a functional impairment item</t>
        </is>
      </c>
      <c r="H117" s="24" t="n">
        <v>9</v>
      </c>
      <c r="I117" s="24" t="inlineStr">
        <is>
          <t>4 point frequency, 0 (not at all) to 3 (nearly every day)</t>
        </is>
      </c>
      <c r="J117" s="24" t="inlineStr"/>
      <c r="K117" s="24" t="inlineStr">
        <is>
          <t>Sum 0 to 27; bands 5 mild, 10 moderate, 15 moderately severe, 20 severe; 10 is the usual case threshold in NHS Talking Therapies</t>
        </is>
      </c>
      <c r="L117" s="24" t="inlineStr">
        <is>
          <t>public domain</t>
        </is>
      </c>
      <c r="M117" s="24" t="inlineStr">
        <is>
          <t>Pfizer statement on PHQ screeners: no permission is required to reproduce, translate, display or distribute the PHQ instruments. Also reproduced on the APA DSM-5-TR site.</t>
        </is>
      </c>
      <c r="N117" s="24" t="inlineStr">
        <is>
          <t>https://www.phqscreeners.com/</t>
        </is>
      </c>
      <c r="O117" s="24" t="inlineStr">
        <is>
          <t>Yes</t>
        </is>
      </c>
      <c r="P117" s="24" t="inlineStr">
        <is>
          <t>https://www.phqscreeners.com/select-screener</t>
        </is>
      </c>
      <c r="Q117" s="24" t="inlineStr"/>
      <c r="R117" s="24" t="inlineStr">
        <is>
          <t>Screening and referral tool; item 9 asks about self harm, so a coaching practice needs a response protocol before using it.</t>
        </is>
      </c>
      <c r="S117" s="24" t="inlineStr">
        <is>
          <t>UK open access outcome measures (Mind toolkit and NHS Talking Therapies minimum data set)</t>
        </is>
      </c>
      <c r="T117" s="24" t="inlineStr">
        <is>
          <t>https://www.mind.org.uk/media/9007/tools-for-measuring-changes-in-mental-health.pdf</t>
        </is>
      </c>
      <c r="U117" s="24" t="inlineStr">
        <is>
          <t>Sarah only if used (screener; never summarised to the client)</t>
        </is>
      </c>
      <c r="V117" s="24" t="inlineStr"/>
      <c r="W117" s="24" t="inlineStr"/>
      <c r="X117" s="24" t="inlineStr"/>
    </row>
    <row r="118">
      <c r="A118" s="24" t="n">
        <v>117</v>
      </c>
      <c r="B118" s="24" t="inlineStr">
        <is>
          <t>Open repositories</t>
        </is>
      </c>
      <c r="C118" s="24" t="inlineStr">
        <is>
          <t>Generalized Anxiety Disorder 7</t>
        </is>
      </c>
      <c r="D118" s="24" t="inlineStr">
        <is>
          <t>GAD-7</t>
        </is>
      </c>
      <c r="E118" s="24" t="inlineStr">
        <is>
          <t>Robert Spitzer, Kurt Kroenke, Janet Williams and Bernd Lowe (Pfizer funded)</t>
        </is>
      </c>
      <c r="F118" s="24" t="inlineStr">
        <is>
          <t>2006</t>
        </is>
      </c>
      <c r="G118" s="24" t="inlineStr">
        <is>
          <t>Frequency of core anxiety symptoms over the past 2 weeks</t>
        </is>
      </c>
      <c r="H118" s="24" t="n">
        <v>7</v>
      </c>
      <c r="I118" s="24" t="inlineStr">
        <is>
          <t>4 point frequency, 0 (not at all) to 3 (nearly every day)</t>
        </is>
      </c>
      <c r="J118" s="24" t="inlineStr"/>
      <c r="K118" s="24" t="inlineStr">
        <is>
          <t>Sum 0 to 21; bands 5 mild, 10 moderate, 15 severe; 8 is the NHS Talking Therapies case threshold</t>
        </is>
      </c>
      <c r="L118" s="24" t="inlineStr">
        <is>
          <t>public domain</t>
        </is>
      </c>
      <c r="M118" s="24" t="inlineStr">
        <is>
          <t>Pfizer statement on PHQ screeners: no permission is required to reproduce, translate, display or distribute the PHQ instruments, which include the GAD-7.</t>
        </is>
      </c>
      <c r="N118" s="24" t="inlineStr">
        <is>
          <t>https://www.phqscreeners.com/</t>
        </is>
      </c>
      <c r="O118" s="24" t="inlineStr">
        <is>
          <t>Yes</t>
        </is>
      </c>
      <c r="P118" s="24" t="inlineStr">
        <is>
          <t>https://www.phqscreeners.com/select-screener</t>
        </is>
      </c>
      <c r="Q118" s="24" t="inlineStr"/>
      <c r="R118" s="24" t="inlineStr">
        <is>
          <t>Brief anxiety screen suitable for intake and for monitoring stress focused coaching; genuinely free for any use.</t>
        </is>
      </c>
      <c r="S118" s="24" t="inlineStr">
        <is>
          <t>UK open access outcome measures (Mind toolkit and NHS Talking Therapies minimum data set)</t>
        </is>
      </c>
      <c r="T118" s="24" t="inlineStr">
        <is>
          <t>https://www.mind.org.uk/media/9007/tools-for-measuring-changes-in-mental-health.pdf</t>
        </is>
      </c>
      <c r="U118" s="24" t="inlineStr">
        <is>
          <t>Candidate, client facing possible</t>
        </is>
      </c>
      <c r="V118" s="24" t="inlineStr"/>
      <c r="W118" s="24" t="inlineStr"/>
      <c r="X118" s="24" t="inlineStr"/>
    </row>
    <row r="119">
      <c r="A119" s="24" t="n">
        <v>118</v>
      </c>
      <c r="B119" s="24" t="inlineStr">
        <is>
          <t>Open repositories</t>
        </is>
      </c>
      <c r="C119" s="24" t="inlineStr">
        <is>
          <t>Work and Social Adjustment Scale</t>
        </is>
      </c>
      <c r="D119" s="24" t="inlineStr">
        <is>
          <t>WSAS</t>
        </is>
      </c>
      <c r="E119" s="24" t="inlineStr">
        <is>
          <t>Isaac Marks; validated by James Mundt et al.</t>
        </is>
      </c>
      <c r="F119" s="24" t="inlineStr">
        <is>
          <t>1986; 2002</t>
        </is>
      </c>
      <c r="G119" s="24" t="inlineStr">
        <is>
          <t>Functional impairment attributable to a problem across work, home management, social leisure, private leisure and relationships</t>
        </is>
      </c>
      <c r="H119" s="24" t="n">
        <v>5</v>
      </c>
      <c r="I119" s="24" t="inlineStr">
        <is>
          <t>9 point, 0 (not at all impaired) to 8 (very severely impaired)</t>
        </is>
      </c>
      <c r="J119" s="24" t="inlineStr"/>
      <c r="K119" s="24" t="inlineStr">
        <is>
          <t>Sum 0 to 40; under 10 subclinical, 10 to 20 significant impairment, over 20 moderately severe or worse</t>
        </is>
      </c>
      <c r="L119" s="24" t="inlineStr">
        <is>
          <t>free with attribution (CC or stated)</t>
        </is>
      </c>
      <c r="M119" s="24" t="inlineStr">
        <is>
          <t>Copyright Isaac Marks; the NHS Talking Therapies manual lists the WSAS as a required free outcome measure and it is reproduced in the Mundt et al. 2002 article. Permission requested for commercial products.</t>
        </is>
      </c>
      <c r="N119" s="24" t="inlineStr">
        <is>
          <t>https://www.england.nhs.uk/publication/the-improving-access-to-psychological-therapies-manual/</t>
        </is>
      </c>
      <c r="O119" s="24" t="inlineStr">
        <is>
          <t>Yes</t>
        </is>
      </c>
      <c r="P119" s="24" t="inlineStr">
        <is>
          <t>https://doi.org/10.1192/bjp.180.5.461</t>
        </is>
      </c>
      <c r="Q119" s="24" t="inlineStr"/>
      <c r="R119" s="24" t="inlineStr">
        <is>
          <t>Arguably the most coaching friendly brief functioning measure, since the work item isolates occupational impact; adaptable by naming the client's presenting issue in the stem.</t>
        </is>
      </c>
      <c r="S119" s="24" t="inlineStr">
        <is>
          <t>UK open access outcome measures (Mind toolkit and NHS Talking Therapies minimum data set)</t>
        </is>
      </c>
      <c r="T119" s="24" t="inlineStr">
        <is>
          <t>https://www.mind.org.uk/media/9007/tools-for-measuring-changes-in-mental-health.pdf</t>
        </is>
      </c>
      <c r="U119" s="24" t="inlineStr">
        <is>
          <t>Candidate, client facing possible</t>
        </is>
      </c>
      <c r="V119" s="24" t="inlineStr"/>
      <c r="W119" s="24" t="inlineStr"/>
      <c r="X119" s="24" t="inlineStr"/>
    </row>
    <row r="120">
      <c r="A120" s="24" t="n">
        <v>119</v>
      </c>
      <c r="B120" s="24" t="inlineStr">
        <is>
          <t>Clinical practice in New Zealand</t>
        </is>
      </c>
      <c r="C120" s="24" t="inlineStr">
        <is>
          <t>Center for Epidemiologic Studies Depression Scale</t>
        </is>
      </c>
      <c r="D120" s="24" t="inlineStr">
        <is>
          <t>CES-D</t>
        </is>
      </c>
      <c r="E120" s="24" t="inlineStr">
        <is>
          <t>Lenore Radloff (NIMH); revised CESD-R by Eaton et al.</t>
        </is>
      </c>
      <c r="F120" s="24" t="inlineStr">
        <is>
          <t>1977 (CESD-R 2004)</t>
        </is>
      </c>
      <c r="G120" s="24" t="inlineStr">
        <is>
          <t>Depressive symptoms in the general population over the past week</t>
        </is>
      </c>
      <c r="H120" s="24" t="n">
        <v>20</v>
      </c>
      <c r="I120" s="24" t="inlineStr">
        <is>
          <t>4 point frequency scale, 0 (rarely or none of the time, under 1 day) to 3 (most or all of the time, 5 to 7 days); 4 positively worded items reverse scored</t>
        </is>
      </c>
      <c r="J120" s="24" t="inlineStr">
        <is>
          <t>Depressed affect, Positive affect, Somatic and retarded activity, Interpersonal</t>
        </is>
      </c>
      <c r="K120" s="24" t="inlineStr">
        <is>
          <t>Sum 0 to 60; higher is more depressed. Conventional cut off 16 or more indicates clinically significant symptoms; some use 20 or more to reduce false positives</t>
        </is>
      </c>
      <c r="L120" s="24" t="inlineStr">
        <is>
          <t>public domain</t>
        </is>
      </c>
      <c r="M120" s="24" t="inlineStr">
        <is>
          <t>CES-D: "This scale is free to use without permission" (NIMH). CESD-R: "The CESD-R is in the public domain so it is free to use in your research."</t>
        </is>
      </c>
      <c r="N120" s="24" t="inlineStr">
        <is>
          <t>https://camcops.readthedocs.io/en/latest/tasks/cesd.html</t>
        </is>
      </c>
      <c r="O120" s="24" t="inlineStr">
        <is>
          <t>Yes</t>
        </is>
      </c>
      <c r="P120" s="24" t="inlineStr">
        <is>
          <t>https://cesd-r.com/cesdr/</t>
        </is>
      </c>
      <c r="Q120" s="24" t="inlineStr">
        <is>
          <t>Te Pou lists it among screening measures but notes it is not used in NZ population surveys; no NZ norms located</t>
        </is>
      </c>
      <c r="R120" s="24" t="inlineStr">
        <is>
          <t>Good free alternative to the PHQ-9 for symptom monitoring; screening only, not diagnostic</t>
        </is>
      </c>
      <c r="S120" s="24" t="inlineStr"/>
      <c r="T120" s="24" t="inlineStr">
        <is>
          <t>https://camcops.readthedocs.io/en/latest/tasks/cesd.html</t>
        </is>
      </c>
      <c r="U120" s="24" t="inlineStr">
        <is>
          <t>Sarah only if used (screener; never summarised to the client)</t>
        </is>
      </c>
      <c r="V120" s="24" t="inlineStr"/>
      <c r="W120" s="24" t="inlineStr"/>
      <c r="X120" s="24" t="inlineStr"/>
    </row>
    <row r="121">
      <c r="A121" s="24" t="n">
        <v>120</v>
      </c>
      <c r="B121" s="24" t="inlineStr">
        <is>
          <t>Clinical practice in New Zealand</t>
        </is>
      </c>
      <c r="C121" s="24" t="inlineStr">
        <is>
          <t>Patient Health Questionnaire 2</t>
        </is>
      </c>
      <c r="D121" s="24" t="inlineStr">
        <is>
          <t>PHQ-2</t>
        </is>
      </c>
      <c r="E121" s="24" t="inlineStr">
        <is>
          <t>Kroenke, Spitzer and Williams (Pfizer educational grant)</t>
        </is>
      </c>
      <c r="F121" s="24" t="inlineStr">
        <is>
          <t>2003</t>
        </is>
      </c>
      <c r="G121" s="24" t="inlineStr">
        <is>
          <t>Ultra brief depression screen: depressed mood and anhedonia over the past 2 weeks</t>
        </is>
      </c>
      <c r="H121" s="24" t="n">
        <v>2</v>
      </c>
      <c r="I121" s="24" t="inlineStr">
        <is>
          <t>4 point frequency scale, 0 (not at all) to 3 (nearly every day)</t>
        </is>
      </c>
      <c r="J121" s="24" t="inlineStr"/>
      <c r="K121" s="24" t="inlineStr">
        <is>
          <t>Sum 0 to 6. Cut off 3 or more is a positive screen; 2 or more increases sensitivity. Positive screens should be followed with the PHQ-9</t>
        </is>
      </c>
      <c r="L121" s="24" t="inlineStr">
        <is>
          <t>public domain</t>
        </is>
      </c>
      <c r="M121" s="24" t="inlineStr">
        <is>
          <t>"No permission required to reproduce, translate, display or distribute."</t>
        </is>
      </c>
      <c r="N121" s="24" t="inlineStr">
        <is>
          <t>https://cde.nida.nih.gov/node/22</t>
        </is>
      </c>
      <c r="O121" s="24" t="inlineStr">
        <is>
          <t>Yes</t>
        </is>
      </c>
      <c r="P121" s="24" t="inlineStr">
        <is>
          <t>https://www.phqscreeners.com/</t>
        </is>
      </c>
      <c r="Q121" s="24" t="inlineStr">
        <is>
          <t>First 2 PHQ-9 items; the PHQ-9 was used in the NZ Health Survey mental health module and NZ primary care</t>
        </is>
      </c>
      <c r="R121" s="24" t="inlineStr">
        <is>
          <t>Use as a first stage gate before the PHQ-9 at intake or in brief check ins</t>
        </is>
      </c>
      <c r="S121" s="24" t="inlineStr"/>
      <c r="T121" s="24" t="inlineStr">
        <is>
          <t>https://cde.nida.nih.gov/node/22</t>
        </is>
      </c>
      <c r="U121" s="24" t="inlineStr">
        <is>
          <t>Sarah only if used (screener; never summarised to the client)</t>
        </is>
      </c>
      <c r="V121" s="24" t="inlineStr"/>
      <c r="W121" s="24" t="inlineStr"/>
      <c r="X121" s="24" t="inlineStr"/>
    </row>
    <row r="122">
      <c r="A122" s="24" t="n">
        <v>121</v>
      </c>
      <c r="B122" s="24" t="inlineStr">
        <is>
          <t>Clinical practice in New Zealand</t>
        </is>
      </c>
      <c r="C122" s="24" t="inlineStr">
        <is>
          <t>Panic Disorder Severity Scale, Self Report</t>
        </is>
      </c>
      <c r="D122" s="24" t="inlineStr">
        <is>
          <t>PDSS-SR</t>
        </is>
      </c>
      <c r="E122" s="24" t="inlineStr">
        <is>
          <t>Shear et al. (clinician version 1997); self report Houck, Spiegel, Shear and Rucci</t>
        </is>
      </c>
      <c r="F122" s="24" t="inlineStr">
        <is>
          <t>2002</t>
        </is>
      </c>
      <c r="G122" s="24" t="inlineStr">
        <is>
          <t>Severity of panic disorder over the past week: frequency, distress, anticipatory anxiety, agoraphobic avoidance, interoceptive avoidance, work and social impairment</t>
        </is>
      </c>
      <c r="H122" s="24" t="n">
        <v>7</v>
      </c>
      <c r="I122" s="24" t="inlineStr">
        <is>
          <t>5 point severity scale, 0 to 4, with item specific anchors</t>
        </is>
      </c>
      <c r="J122" s="24" t="inlineStr"/>
      <c r="K122" s="24" t="inlineStr">
        <is>
          <t>Sum 0 to 28; higher is more severe. Suggested bands 0 to 1 normal, 2 to 5 borderline, 6 to 9 slightly ill, 10 to 13 moderately ill, 14 or more markedly ill; cut off 9 (or 8 with agoraphobia) for likely panic disorder; change of 3 points is clinically meaningful</t>
        </is>
      </c>
      <c r="L122" s="24" t="inlineStr">
        <is>
          <t>free for non commercial or research only</t>
        </is>
      </c>
      <c r="M122" s="24" t="inlineStr">
        <is>
          <t>"Copyrighted to Dr Katherine Shear"; Shear permits clinicians to use the scale in practice and researchers in non industry settings; other uses require contacting Dr Shear. CamCOPS treats reproduction as not clearly permitted</t>
        </is>
      </c>
      <c r="N122" s="24" t="inlineStr">
        <is>
          <t>https://www.goodmedicine.org.uk/goodknowledge/panic-ocd-depersonalization-information-assessment/</t>
        </is>
      </c>
      <c r="O122" s="24" t="inlineStr">
        <is>
          <t>Yes</t>
        </is>
      </c>
      <c r="P122" s="24" t="inlineStr">
        <is>
          <t>https://www.goodmedicine.org.uk/goodknowledge/panic-ocd-depersonalization-information-assessment/</t>
        </is>
      </c>
      <c r="Q122" s="24" t="inlineStr">
        <is>
          <t>No NZ norms located; already hosted on NovoPsych</t>
        </is>
      </c>
      <c r="R122" s="24" t="inlineStr">
        <is>
          <t>Already on NovoPsych; include only if a free paper version is wanted. Avoid embedding in commercial software without written permission</t>
        </is>
      </c>
      <c r="S122" s="24" t="inlineStr"/>
      <c r="T122" s="24" t="inlineStr">
        <is>
          <t>https://camcops.readthedocs.io/en/latest/tasks/pdss.html</t>
        </is>
      </c>
      <c r="U122" s="24" t="inlineStr">
        <is>
          <t>Sarah only if used (screener; never summarised to the client)</t>
        </is>
      </c>
      <c r="V122" s="24" t="inlineStr"/>
      <c r="W122" s="24" t="inlineStr"/>
      <c r="X122" s="24" t="inlineStr"/>
    </row>
    <row r="123">
      <c r="A123" s="24" t="n">
        <v>122</v>
      </c>
      <c r="B123" s="24" t="inlineStr">
        <is>
          <t>Clinical practice in New Zealand</t>
        </is>
      </c>
      <c r="C123" s="24" t="inlineStr">
        <is>
          <t>Severity Measure for Panic Disorder, Adult (DSM-5-TR)</t>
        </is>
      </c>
      <c r="D123" s="24" t="inlineStr">
        <is>
          <t>SMPD</t>
        </is>
      </c>
      <c r="E123" s="24" t="inlineStr">
        <is>
          <t>Craske, Wittchen, Bogels, Stein, Andrews and Lebeu for the American Psychiatric Association</t>
        </is>
      </c>
      <c r="F123" s="24" t="inlineStr">
        <is>
          <t>2013</t>
        </is>
      </c>
      <c r="G123" s="24" t="inlineStr">
        <is>
          <t>Severity of panic symptoms over the past 7 days</t>
        </is>
      </c>
      <c r="H123" s="24" t="n">
        <v>10</v>
      </c>
      <c r="I123" s="24" t="inlineStr">
        <is>
          <t>5 point frequency scale, 0 (never) to 4 (all of the time)</t>
        </is>
      </c>
      <c r="J123" s="24" t="inlineStr"/>
      <c r="K123" s="24" t="inlineStr">
        <is>
          <t>Sum 0 to 40; prorate if 1 or 2 items missing. Average total (sum divided by 10) maps to 0 none, 1 mild, 2 moderate, 3 severe, 4 extreme</t>
        </is>
      </c>
      <c r="L123" s="24" t="inlineStr">
        <is>
          <t>free for non commercial or research only</t>
        </is>
      </c>
      <c r="M123" s="24" t="inlineStr">
        <is>
          <t>"Copyright 2013 American Psychiatric Association. All Rights Reserved. This material can be reproduced without permission by researchers and by clinicians for use with their patients."</t>
        </is>
      </c>
      <c r="N123" s="24" t="inlineStr">
        <is>
          <t>https://www.psychiatry.org/File%20Library/Psychiatrists/Practice/DSM/DSM-5-TR/APA-DSM5TR-SeverityMeasureForPanicDisorderAdult.pdf</t>
        </is>
      </c>
      <c r="O123" s="24" t="inlineStr">
        <is>
          <t>Yes</t>
        </is>
      </c>
      <c r="P123" s="24" t="inlineStr">
        <is>
          <t>https://psychiatry.org/Psychiatrists/Practice/DSM/Educational-Resources/DSM-5-Assessment-Measures</t>
        </is>
      </c>
      <c r="Q123" s="24" t="inlineStr">
        <is>
          <t>No NZ norms; the APA DSM-5 emerging measures set also covers social anxiety, agoraphobia, GAD, specific phobia, PTSD and dissociation on the same licence</t>
        </is>
      </c>
      <c r="R123" s="24" t="inlineStr">
        <is>
          <t>Clean free alternative to the PDSS; the same APA licence makes the whole DSM-5 severity set usable in a clinical codebook</t>
        </is>
      </c>
      <c r="S123" s="24" t="inlineStr"/>
      <c r="T123" s="24" t="inlineStr">
        <is>
          <t>https://psychiatry.org/Psychiatrists/Practice/DSM/Educational-Resources/DSM-5-Assessment-Measures</t>
        </is>
      </c>
      <c r="U123" s="24" t="inlineStr">
        <is>
          <t>Sarah only if used (screener; never summarised to the client)</t>
        </is>
      </c>
      <c r="V123" s="24" t="inlineStr"/>
      <c r="W123" s="24" t="inlineStr"/>
      <c r="X123" s="24" t="inlineStr"/>
    </row>
    <row r="124">
      <c r="A124" s="24" t="n">
        <v>123</v>
      </c>
      <c r="B124" s="24" t="inlineStr">
        <is>
          <t>Clinical practice in New Zealand</t>
        </is>
      </c>
      <c r="C124" s="24" t="inlineStr">
        <is>
          <t>Social Phobia Inventory</t>
        </is>
      </c>
      <c r="D124" s="24" t="inlineStr">
        <is>
          <t>SPIN</t>
        </is>
      </c>
      <c r="E124" s="24" t="inlineStr">
        <is>
          <t>Connor, Davidson, Churchill, Sherwood, Foa and Weisler, Duke University</t>
        </is>
      </c>
      <c r="F124" s="24" t="inlineStr">
        <is>
          <t>2000</t>
        </is>
      </c>
      <c r="G124" s="24" t="inlineStr">
        <is>
          <t>Social anxiety: fear, avoidance and physiological symptoms over the past week</t>
        </is>
      </c>
      <c r="H124" s="24" t="n">
        <v>17</v>
      </c>
      <c r="I124" s="24" t="inlineStr">
        <is>
          <t>5 point scale, 0 (not at all) to 4 (extremely)</t>
        </is>
      </c>
      <c r="J124" s="24" t="inlineStr">
        <is>
          <t>Fear, Avoidance, Physiological arousal</t>
        </is>
      </c>
      <c r="K124" s="24" t="inlineStr">
        <is>
          <t>Sum 0 to 68; cut off 19 or more distinguishes social anxiety disorder from controls. Commonly cited bands (21 to 30 mild, 31 to 40 moderate, 41 to 50 severe, 51 or more very severe) are not from the original paper</t>
        </is>
      </c>
      <c r="L124" s="24" t="inlineStr">
        <is>
          <t>not stated</t>
        </is>
      </c>
      <c r="M124" s="24" t="inlineStr">
        <is>
          <t>"Copyright is held by the authors and Duke University"; widely reproduced for clinical and research use, but no public licence text located; confirm before commercial or digital deployment</t>
        </is>
      </c>
      <c r="N124" s="24" t="inlineStr">
        <is>
          <t>https://www.tacklit.com/assessments/social-phobia-inventory-spin</t>
        </is>
      </c>
      <c r="O124" s="24" t="inlineStr">
        <is>
          <t>Yes</t>
        </is>
      </c>
      <c r="P124" s="24" t="inlineStr">
        <is>
          <t>https://www.cambridge.org/core/journals/the-british-journal-of-psychiatry/article/psychometric-properties-of-the-social-phobia-inventory-spin/9E4A3EE20D2B1A6C222CDB5807AC086A</t>
        </is>
      </c>
      <c r="Q124" s="24" t="inlineStr">
        <is>
          <t>No NZ norms located</t>
        </is>
      </c>
      <c r="R124" s="24" t="inlineStr">
        <is>
          <t>Standard social anxiety outcome measure; pair with the Mini-SPIN for screening</t>
        </is>
      </c>
      <c r="S124" s="24" t="inlineStr"/>
      <c r="T124" s="24" t="inlineStr">
        <is>
          <t>https://www.cambridge.org/core/journals/the-british-journal-of-psychiatry/article/psychometric-properties-of-the-social-phobia-inventory-spin/9E4A3EE20D2B1A6C222CDB5807AC086A</t>
        </is>
      </c>
      <c r="U124" s="24" t="inlineStr">
        <is>
          <t>Sarah only if used (screener; never summarised to the client)</t>
        </is>
      </c>
      <c r="V124" s="24" t="inlineStr">
        <is>
          <t>Check: digital or platform use may need its own licence</t>
        </is>
      </c>
      <c r="W124" s="24" t="inlineStr"/>
      <c r="X124" s="24" t="inlineStr"/>
    </row>
    <row r="125">
      <c r="A125" s="24" t="n">
        <v>124</v>
      </c>
      <c r="B125" s="24" t="inlineStr">
        <is>
          <t>Clinical practice in New Zealand</t>
        </is>
      </c>
      <c r="C125" s="24" t="inlineStr">
        <is>
          <t>Mini Social Phobia Inventory</t>
        </is>
      </c>
      <c r="D125" s="24" t="inlineStr">
        <is>
          <t>Mini-SPIN</t>
        </is>
      </c>
      <c r="E125" s="24" t="inlineStr">
        <is>
          <t>Connor, Kobak, Churchill, Katzelnick and Davidson</t>
        </is>
      </c>
      <c r="F125" s="24" t="inlineStr">
        <is>
          <t>2001</t>
        </is>
      </c>
      <c r="G125" s="24" t="inlineStr">
        <is>
          <t>3 item screen for generalised social anxiety disorder (fear of embarrassment and avoidance)</t>
        </is>
      </c>
      <c r="H125" s="24" t="n">
        <v>3</v>
      </c>
      <c r="I125" s="24" t="inlineStr">
        <is>
          <t>5 point scale, 0 (not at all) to 4 (extremely)</t>
        </is>
      </c>
      <c r="J125" s="24" t="inlineStr"/>
      <c r="K125" s="24" t="inlineStr">
        <is>
          <t>Sum 0 to 12; cut off 6 or more is a positive screen (sensitivity about 89 percent, specificity about 90 percent in Connor 2001; replicated by Seeley-Wait et al. 2009)</t>
        </is>
      </c>
      <c r="L125" s="24" t="inlineStr">
        <is>
          <t>not stated</t>
        </is>
      </c>
      <c r="M125" s="24" t="inlineStr">
        <is>
          <t>Same rights holders as the SPIN (authors and Duke University); no public licence statement located</t>
        </is>
      </c>
      <c r="N125" s="24" t="inlineStr">
        <is>
          <t>https://www.psychiatrist.com/pcc/assessment/diagnostic-tools/psychometric-properties-mini-social-phobia-inventory</t>
        </is>
      </c>
      <c r="O125" s="24" t="inlineStr">
        <is>
          <t>Yes</t>
        </is>
      </c>
      <c r="P125" s="24" t="inlineStr">
        <is>
          <t>https://www.psychiatrist.com/pcc/assessment/diagnostic-tools/psychometric-properties-mini-social-phobia-inventory</t>
        </is>
      </c>
      <c r="Q125" s="24" t="inlineStr">
        <is>
          <t>No NZ norms located</t>
        </is>
      </c>
      <c r="R125" s="24" t="inlineStr">
        <is>
          <t>Fast intake screen; a positive result should lead to the full SPIN or LSAS-SR</t>
        </is>
      </c>
      <c r="S125" s="24" t="inlineStr"/>
      <c r="T125" s="24" t="inlineStr">
        <is>
          <t>https://www.psychiatrist.com/pcc/assessment/diagnostic-tools/psychometric-properties-mini-social-phobia-inventory</t>
        </is>
      </c>
      <c r="U125" s="24" t="inlineStr">
        <is>
          <t>Sarah only if used (screener; never summarised to the client)</t>
        </is>
      </c>
      <c r="V125" s="24" t="inlineStr"/>
      <c r="W125" s="24" t="inlineStr"/>
      <c r="X125" s="24" t="inlineStr"/>
    </row>
    <row r="126">
      <c r="A126" s="24" t="n">
        <v>125</v>
      </c>
      <c r="B126" s="24" t="inlineStr">
        <is>
          <t>Clinical practice in New Zealand</t>
        </is>
      </c>
      <c r="C126" s="24" t="inlineStr">
        <is>
          <t>Liebowitz Social Anxiety Scale, Self Report</t>
        </is>
      </c>
      <c r="D126" s="24" t="inlineStr">
        <is>
          <t>LSAS-SR</t>
        </is>
      </c>
      <c r="E126" s="24" t="inlineStr">
        <is>
          <t>Michael Liebowitz (clinician version 1987); self report validated by Fresco et al. and Baker et al.</t>
        </is>
      </c>
      <c r="F126" s="24" t="inlineStr">
        <is>
          <t>1987 (self report 2001 to 2002)</t>
        </is>
      </c>
      <c r="G126" s="24" t="inlineStr">
        <is>
          <t>Fear and avoidance across 24 social interaction and performance situations over the past week</t>
        </is>
      </c>
      <c r="H126" s="24" t="n">
        <v>24</v>
      </c>
      <c r="I126" s="24" t="inlineStr">
        <is>
          <t>Each situation rated twice: fear 0 (none) to 3 (severe) and avoidance 0 (never) to 3 (usually)</t>
        </is>
      </c>
      <c r="J126" s="24" t="inlineStr">
        <is>
          <t>Fear, Avoidance, Social interaction, Performance</t>
        </is>
      </c>
      <c r="K126" s="24" t="inlineStr">
        <is>
          <t>Total 0 to 144 (fear plus avoidance). Below 30 social anxiety disorder unlikely; 30 to 60 probable; 60 to 90 very probable, generalised type; above 90 highly probable</t>
        </is>
      </c>
      <c r="L126" s="24" t="inlineStr">
        <is>
          <t>not stated</t>
        </is>
      </c>
      <c r="M126" s="24" t="inlineStr">
        <is>
          <t>Copyright held by Michael Liebowitz; reproduced in many clinical resources and treated as free for clinical use, but no explicit public licence statement located. Mapi Research Trust lists the LSAS-SR in its catalogue</t>
        </is>
      </c>
      <c r="N126" s="24" t="inlineStr">
        <is>
          <t>https://fairdata.mapi-trust.org/dataset/liebowitz-social-anxiety-scale-self-report</t>
        </is>
      </c>
      <c r="O126" s="24" t="inlineStr">
        <is>
          <t>Yes</t>
        </is>
      </c>
      <c r="P126" s="24" t="inlineStr">
        <is>
          <t>https://en.wikipedia.org/wiki/Liebowitz_Social_Anxiety_Scale</t>
        </is>
      </c>
      <c r="Q126" s="24" t="inlineStr">
        <is>
          <t>No NZ norms located</t>
        </is>
      </c>
      <c r="R126" s="24" t="inlineStr">
        <is>
          <t>Best for detailed situational profiling and treatment planning; longer than the SPIN</t>
        </is>
      </c>
      <c r="S126" s="24" t="inlineStr"/>
      <c r="T126" s="24" t="inlineStr">
        <is>
          <t>https://en.wikipedia.org/wiki/Liebowitz_Social_Anxiety_Scale</t>
        </is>
      </c>
      <c r="U126" s="24" t="inlineStr">
        <is>
          <t>Sarah only if used (screener; never summarised to the client)</t>
        </is>
      </c>
      <c r="V126" s="24" t="inlineStr">
        <is>
          <t>Check: digital or platform use may need its own licence</t>
        </is>
      </c>
      <c r="W126" s="24" t="inlineStr"/>
      <c r="X126" s="24" t="inlineStr"/>
    </row>
    <row r="127">
      <c r="A127" s="24" t="n">
        <v>126</v>
      </c>
      <c r="B127" s="24" t="inlineStr">
        <is>
          <t>Clinical practice in New Zealand</t>
        </is>
      </c>
      <c r="C127" s="24" t="inlineStr">
        <is>
          <t>Penn State Worry Questionnaire</t>
        </is>
      </c>
      <c r="D127" s="24" t="inlineStr">
        <is>
          <t>PSWQ</t>
        </is>
      </c>
      <c r="E127" s="24" t="inlineStr">
        <is>
          <t>Meyer, Miller, Metzger and Borkovec, Pennsylvania State University</t>
        </is>
      </c>
      <c r="F127" s="24" t="inlineStr">
        <is>
          <t>1990</t>
        </is>
      </c>
      <c r="G127" s="24" t="inlineStr">
        <is>
          <t>Trait pathological worry (excessiveness, generality, uncontrollability)</t>
        </is>
      </c>
      <c r="H127" s="24" t="n">
        <v>16</v>
      </c>
      <c r="I127" s="24" t="inlineStr">
        <is>
          <t>5 point scale, 1 (not at all typical of me) to 5 (very typical of me); 5 items reverse scored</t>
        </is>
      </c>
      <c r="J127" s="24" t="inlineStr"/>
      <c r="K127" s="24" t="inlineStr">
        <is>
          <t>Sum 16 to 80; higher is more worry. Bands often used: 16 to 39 low, 40 to 59 moderate, 60 to 80 high; cut off about 45 for GAD screening in treatment seekers, 62 to 65 in community samples</t>
        </is>
      </c>
      <c r="L127" s="24" t="inlineStr">
        <is>
          <t>public domain</t>
        </is>
      </c>
      <c r="M127" s="24" t="inlineStr">
        <is>
          <t>"In the public domain" (public domain status confirmed with explicit permission by Thomas Borkovec, personal communication to CamCOPS, 2015)</t>
        </is>
      </c>
      <c r="N127" s="24" t="inlineStr">
        <is>
          <t>https://camcops.readthedocs.io/en/latest/tasks/pswq.html</t>
        </is>
      </c>
      <c r="O127" s="24" t="inlineStr">
        <is>
          <t>Yes</t>
        </is>
      </c>
      <c r="P127" s="24" t="inlineStr">
        <is>
          <t>https://arc.psych.wisc.edu/self-report/penn-state-worry-questionnaire-pswq/</t>
        </is>
      </c>
      <c r="Q127" s="24" t="inlineStr">
        <is>
          <t>No NZ norms located</t>
        </is>
      </c>
      <c r="R127" s="24" t="inlineStr">
        <is>
          <t>Gold standard worry measure; complements the GAD-7 by capturing the worry process rather than symptoms</t>
        </is>
      </c>
      <c r="S127" s="24" t="inlineStr"/>
      <c r="T127" s="24" t="inlineStr">
        <is>
          <t>https://camcops.readthedocs.io/en/latest/tasks/pswq.html</t>
        </is>
      </c>
      <c r="U127" s="24" t="inlineStr">
        <is>
          <t>Sarah only if used (screener; never summarised to the client)</t>
        </is>
      </c>
      <c r="V127" s="24" t="inlineStr"/>
      <c r="W127" s="24" t="inlineStr"/>
      <c r="X127" s="24" t="inlineStr"/>
    </row>
    <row r="128">
      <c r="A128" s="24" t="n">
        <v>127</v>
      </c>
      <c r="B128" s="24" t="inlineStr">
        <is>
          <t>Clinical practice in New Zealand</t>
        </is>
      </c>
      <c r="C128" s="24" t="inlineStr">
        <is>
          <t>Whiteley Index</t>
        </is>
      </c>
      <c r="D128" s="24" t="inlineStr">
        <is>
          <t>WI (WI-14, WI-7)</t>
        </is>
      </c>
      <c r="E128" s="24" t="inlineStr">
        <is>
          <t>Issy Pilowsky (14 item); 7 item version Fink et al.</t>
        </is>
      </c>
      <c r="F128" s="24" t="inlineStr">
        <is>
          <t>1967 (WI-7 1999)</t>
        </is>
      </c>
      <c r="G128" s="24" t="inlineStr">
        <is>
          <t>Health anxiety and hypochondriacal attitudes: disease fear, disease conviction, bodily preoccupation</t>
        </is>
      </c>
      <c r="H128" s="24" t="n">
        <v>14</v>
      </c>
      <c r="I128" s="24" t="inlineStr">
        <is>
          <t>Original 14 items yes or no; later versions use a 5 point scale (1 not at all to 5 a great deal); WI-7 uses 7 items</t>
        </is>
      </c>
      <c r="J128" s="24" t="inlineStr">
        <is>
          <t>Disease fear, Disease conviction, Bodily preoccupation</t>
        </is>
      </c>
      <c r="K128" s="24" t="inlineStr">
        <is>
          <t>Yes or no version sum 0 to 14; a cut off of 5 best identified severe health anxiety (Hedman et al. 2015, PLoS ONE). WI-7 on 5 point scale ranges 7 to 35, with 21 or more commonly used</t>
        </is>
      </c>
      <c r="L128" s="24" t="inlineStr">
        <is>
          <t>not stated</t>
        </is>
      </c>
      <c r="M128" s="24" t="inlineStr">
        <is>
          <t>No copyright or licence statement located; the 1967 scale is freely reproduced in open access research and treated as public domain</t>
        </is>
      </c>
      <c r="N128" s="24" t="inlineStr">
        <is>
          <t>https://doaj.org/article/77378a44c9ec41c7bef985f7b2207213</t>
        </is>
      </c>
      <c r="O128" s="24" t="inlineStr">
        <is>
          <t>Yes</t>
        </is>
      </c>
      <c r="P128" s="24" t="inlineStr">
        <is>
          <t>https://doaj.org/article/77378a44c9ec41c7bef985f7b2207213</t>
        </is>
      </c>
      <c r="Q128" s="24" t="inlineStr">
        <is>
          <t>No NZ norms located</t>
        </is>
      </c>
      <c r="R128" s="24" t="inlineStr">
        <is>
          <t>Brief health anxiety screen; the Short Health Anxiety Inventory is the longer alternative but is copyrighted</t>
        </is>
      </c>
      <c r="S128" s="24" t="inlineStr"/>
      <c r="T128" s="24" t="inlineStr">
        <is>
          <t>https://doaj.org/article/77378a44c9ec41c7bef985f7b2207213</t>
        </is>
      </c>
      <c r="U128" s="24" t="inlineStr">
        <is>
          <t>Sarah only if used (screener; never summarised to the client)</t>
        </is>
      </c>
      <c r="V128" s="24" t="inlineStr"/>
      <c r="W128" s="24" t="inlineStr"/>
      <c r="X128" s="24" t="inlineStr"/>
    </row>
    <row r="129">
      <c r="A129" s="24" t="n">
        <v>128</v>
      </c>
      <c r="B129" s="24" t="inlineStr">
        <is>
          <t>Clinical practice in New Zealand</t>
        </is>
      </c>
      <c r="C129" s="24" t="inlineStr">
        <is>
          <t>Brief Trauma Questionnaire</t>
        </is>
      </c>
      <c r="D129" s="24" t="inlineStr">
        <is>
          <t>BTQ</t>
        </is>
      </c>
      <c r="E129" s="24" t="inlineStr">
        <is>
          <t>Schnurr, Vielhauer, Weathers and Findler, US National Center for PTSD</t>
        </is>
      </c>
      <c r="F129" s="24" t="inlineStr">
        <is>
          <t>1999 (from Brief Trauma Interview 1995)</t>
        </is>
      </c>
      <c r="G129" s="24" t="inlineStr">
        <is>
          <t>Lifetime exposure to 10 categories of potentially traumatic events and whether they met DSM Criterion A (life threat or serious injury)</t>
        </is>
      </c>
      <c r="H129" s="24" t="n">
        <v>10</v>
      </c>
      <c r="I129" s="24" t="inlineStr">
        <is>
          <t>Yes or no for each event type, with follow up yes or no on life threat and serious injury</t>
        </is>
      </c>
      <c r="J129" s="24" t="inlineStr"/>
      <c r="K129" s="24" t="inlineStr">
        <is>
          <t>No total score; an event counts as Criterion A exposure if the relevant life threat or injury follow up is endorsed. Used to establish trauma exposure before the PCL-5</t>
        </is>
      </c>
      <c r="L129" s="24" t="inlineStr">
        <is>
          <t>public domain</t>
        </is>
      </c>
      <c r="M129" s="24" t="inlineStr">
        <is>
          <t>Created by National Center for PTSD staff; available as a direct download for qualified mental health professionals and researchers; no fee or permission step</t>
        </is>
      </c>
      <c r="N129" s="24" t="inlineStr">
        <is>
          <t>https://ptsd.va.gov/PTSD/professional/assessment/te-measures/brief_trauma_questionnaire_btq.asp</t>
        </is>
      </c>
      <c r="O129" s="24" t="inlineStr">
        <is>
          <t>Yes</t>
        </is>
      </c>
      <c r="P129" s="24" t="inlineStr">
        <is>
          <t>https://www.ptsd.va.gov/professional/assessment/documents/BTQ.pdf</t>
        </is>
      </c>
      <c r="Q129" s="24" t="inlineStr">
        <is>
          <t>No NZ norms; US government work</t>
        </is>
      </c>
      <c r="R129" s="24" t="inlineStr">
        <is>
          <t>Natural companion to the PCL-5 to document index trauma; review distressing disclosures in session</t>
        </is>
      </c>
      <c r="S129" s="24" t="inlineStr"/>
      <c r="T129" s="24" t="inlineStr">
        <is>
          <t>https://ptsd.va.gov/PTSD/professional/assessment/te-measures/brief_trauma_questionnaire_btq.asp</t>
        </is>
      </c>
      <c r="U129" s="24" t="inlineStr">
        <is>
          <t>Sarah only if used (screener; never summarised to the client)</t>
        </is>
      </c>
      <c r="V129" s="24" t="inlineStr"/>
      <c r="W129" s="24" t="inlineStr"/>
      <c r="X129" s="24" t="inlineStr"/>
    </row>
    <row r="130">
      <c r="A130" s="24" t="n">
        <v>129</v>
      </c>
      <c r="B130" s="24" t="inlineStr">
        <is>
          <t>Clinical practice in New Zealand</t>
        </is>
      </c>
      <c r="C130" s="24" t="inlineStr">
        <is>
          <t>Dissociative Experiences Scale II</t>
        </is>
      </c>
      <c r="D130" s="24" t="inlineStr">
        <is>
          <t>DES-II</t>
        </is>
      </c>
      <c r="E130" s="24" t="inlineStr">
        <is>
          <t>Eve Bernstein Carlson and Frank Putnam (original Bernstein and Putnam 1986)</t>
        </is>
      </c>
      <c r="F130" s="24" t="inlineStr">
        <is>
          <t>1993</t>
        </is>
      </c>
      <c r="G130" s="24" t="inlineStr">
        <is>
          <t>Frequency of dissociative experiences: amnesia, depersonalisation and derealisation, absorption</t>
        </is>
      </c>
      <c r="H130" s="24" t="n">
        <v>28</v>
      </c>
      <c r="I130" s="24" t="inlineStr">
        <is>
          <t>Percentage of time, 0 to 100 in 10 point steps</t>
        </is>
      </c>
      <c r="J130" s="24" t="inlineStr">
        <is>
          <t>Amnesia, Depersonalisation and derealisation, Absorption, DES-Taxon (8 items)</t>
        </is>
      </c>
      <c r="K130" s="24" t="inlineStr">
        <is>
          <t>Mean of 28 item percentages, 0 to 100; 30 or more suggests possible dissociative disorder warranting further assessment; DES-Taxon flags pathological dissociation</t>
        </is>
      </c>
      <c r="L130" s="24" t="inlineStr">
        <is>
          <t>public domain</t>
        </is>
      </c>
      <c r="M130" s="24" t="inlineStr">
        <is>
          <t>"Free for clinical and research use" (Tacklit summary); authors have stated the scale is in the public domain and may be freely copied</t>
        </is>
      </c>
      <c r="N130" s="24" t="inlineStr">
        <is>
          <t>https://www.tacklit.com/assessments/dissociative-experiences-scale-des-ii</t>
        </is>
      </c>
      <c r="O130" s="24" t="inlineStr">
        <is>
          <t>Yes</t>
        </is>
      </c>
      <c r="P130" s="24" t="inlineStr">
        <is>
          <t>https://www.uc.pt/fpce/cineicc/assessment-tools/des-ii</t>
        </is>
      </c>
      <c r="Q130" s="24" t="inlineStr">
        <is>
          <t>No NZ norms located; already hosted on NovoPsych</t>
        </is>
      </c>
      <c r="R130" s="24" t="inlineStr">
        <is>
          <t>Already on NovoPsych; screening only, discuss high scores in session rather than report automatically</t>
        </is>
      </c>
      <c r="S130" s="24" t="inlineStr"/>
      <c r="T130" s="24" t="inlineStr">
        <is>
          <t>https://www.tacklit.com/assessments/dissociative-experiences-scale-des-ii</t>
        </is>
      </c>
      <c r="U130" s="24" t="inlineStr">
        <is>
          <t>Sarah only if used (screener; never summarised to the client)</t>
        </is>
      </c>
      <c r="V130" s="24" t="inlineStr"/>
      <c r="W130" s="24" t="inlineStr"/>
      <c r="X130" s="24" t="inlineStr"/>
    </row>
    <row r="131">
      <c r="A131" s="24" t="n">
        <v>130</v>
      </c>
      <c r="B131" s="24" t="inlineStr">
        <is>
          <t>Clinical practice in New Zealand</t>
        </is>
      </c>
      <c r="C131" s="24" t="inlineStr">
        <is>
          <t>Alcohol Use Disorders Identification Test</t>
        </is>
      </c>
      <c r="D131" s="24" t="inlineStr">
        <is>
          <t>AUDIT</t>
        </is>
      </c>
      <c r="E131" s="24" t="inlineStr">
        <is>
          <t>World Health Organization (Saunders, Babor et al.)</t>
        </is>
      </c>
      <c r="F131" s="24" t="inlineStr">
        <is>
          <t>1993 (manual 2001)</t>
        </is>
      </c>
      <c r="G131" s="24" t="inlineStr">
        <is>
          <t>Hazardous and harmful alcohol use and possible dependence over the past 12 months</t>
        </is>
      </c>
      <c r="H131" s="24" t="n">
        <v>10</v>
      </c>
      <c r="I131" s="24" t="inlineStr">
        <is>
          <t>Items 1 to 8 on 5 point frequency scales scored 0 to 4; items 9 and 10 scored 0, 2 or 4</t>
        </is>
      </c>
      <c r="J131" s="24" t="inlineStr">
        <is>
          <t>Consumption (1 to 3), Dependence (4 to 6), Harm (7 to 10)</t>
        </is>
      </c>
      <c r="K131" s="24" t="inlineStr">
        <is>
          <t>Sum 0 to 40. WHO zones: 0 to 7 low risk, 8 to 15 hazardous (brief advice), 16 to 19 harmful (brief counselling), 20 or more possible dependence (specialist referral)</t>
        </is>
      </c>
      <c r="L131" s="24" t="inlineStr">
        <is>
          <t>free for non commercial or research only</t>
        </is>
      </c>
      <c r="M131" s="24" t="inlineStr">
        <is>
          <t>WHO 2001 manual: may be freely reviewed, abstracted, reproduced and translated "but not for sale or for use in conjunction with commercial purposes"</t>
        </is>
      </c>
      <c r="N131" s="24" t="inlineStr">
        <is>
          <t>https://camcops.readthedocs.io/en/latest/tasks/audit.html</t>
        </is>
      </c>
      <c r="O131" s="24" t="inlineStr">
        <is>
          <t>Yes</t>
        </is>
      </c>
      <c r="P131" s="24" t="inlineStr">
        <is>
          <t>https://www.who.int/publications/i/item/WHO-MSD-MSB-01.6a</t>
        </is>
      </c>
      <c r="Q131" s="24" t="inlineStr">
        <is>
          <t>Core alcohol measure in the NZ Health Survey (8 or more hazardous); used by Te Whatu Ora, Health NZ alcohol resources and NZ primary care</t>
        </is>
      </c>
      <c r="R131" s="24" t="inlineStr">
        <is>
          <t>The NZ standard alcohol screen; a commercial platform should check the WHO non commercial clause</t>
        </is>
      </c>
      <c r="S131" s="24" t="inlineStr"/>
      <c r="T131" s="24" t="inlineStr">
        <is>
          <t>https://camcops.readthedocs.io/en/latest/tasks/audit.html</t>
        </is>
      </c>
      <c r="U131" s="24" t="inlineStr">
        <is>
          <t>Sarah only if used (screener; never summarised to the client)</t>
        </is>
      </c>
      <c r="V131" s="24" t="inlineStr"/>
      <c r="W131" s="24" t="inlineStr"/>
      <c r="X131" s="24" t="inlineStr"/>
    </row>
    <row r="132">
      <c r="A132" s="24" t="n">
        <v>131</v>
      </c>
      <c r="B132" s="24" t="inlineStr">
        <is>
          <t>Clinical practice in New Zealand</t>
        </is>
      </c>
      <c r="C132" s="24" t="inlineStr">
        <is>
          <t>AUDIT Consumption</t>
        </is>
      </c>
      <c r="D132" s="24" t="inlineStr">
        <is>
          <t>AUDIT-C</t>
        </is>
      </c>
      <c r="E132" s="24" t="inlineStr">
        <is>
          <t>Bush, Kivlahan, McDonell, Fihn and Bradley (VA ACQUIP)</t>
        </is>
      </c>
      <c r="F132" s="24" t="inlineStr">
        <is>
          <t>1998</t>
        </is>
      </c>
      <c r="G132" s="24" t="inlineStr">
        <is>
          <t>Brief screen for hazardous drinking using the 3 AUDIT consumption items</t>
        </is>
      </c>
      <c r="H132" s="24" t="n">
        <v>3</v>
      </c>
      <c r="I132" s="24" t="inlineStr">
        <is>
          <t>5 point frequency and quantity scales scored 0 to 4</t>
        </is>
      </c>
      <c r="J132" s="24" t="inlineStr"/>
      <c r="K132" s="24" t="inlineStr">
        <is>
          <t>Sum 0 to 12; positive screen at 4 or more for men and 3 or more for women in US primary care; 5 or more often used in NZ and UK settings</t>
        </is>
      </c>
      <c r="L132" s="24" t="inlineStr">
        <is>
          <t>public domain</t>
        </is>
      </c>
      <c r="M132" s="24" t="inlineStr">
        <is>
          <t>"AUDIT-C is available for use in the public domain." (SAMHSA tool sheet quoted by CamCOPS)</t>
        </is>
      </c>
      <c r="N132" s="24" t="inlineStr">
        <is>
          <t>https://camcops.readthedocs.io/en/latest/tasks/audit.html</t>
        </is>
      </c>
      <c r="O132" s="24" t="inlineStr">
        <is>
          <t>Yes</t>
        </is>
      </c>
      <c r="P132" s="24" t="inlineStr">
        <is>
          <t>https://www.who.int/publications/i/item/WHO-MSD-MSB-01.6a</t>
        </is>
      </c>
      <c r="Q132" s="24" t="inlineStr">
        <is>
          <t>Widely used in NZ primary care and ACC provider intake; same items as the NZ Health Survey AUDIT</t>
        </is>
      </c>
      <c r="R132" s="24" t="inlineStr">
        <is>
          <t>Ideal intake screen; positive screens proceed to the full AUDIT</t>
        </is>
      </c>
      <c r="S132" s="24" t="inlineStr"/>
      <c r="T132" s="24" t="inlineStr">
        <is>
          <t>https://camcops.readthedocs.io/en/latest/tasks/audit.html</t>
        </is>
      </c>
      <c r="U132" s="24" t="inlineStr">
        <is>
          <t>Sarah only if used (screener; never summarised to the client)</t>
        </is>
      </c>
      <c r="V132" s="24" t="inlineStr"/>
      <c r="W132" s="24" t="inlineStr"/>
      <c r="X132" s="24" t="inlineStr"/>
    </row>
    <row r="133">
      <c r="A133" s="24" t="n">
        <v>132</v>
      </c>
      <c r="B133" s="24" t="inlineStr">
        <is>
          <t>Clinical practice in New Zealand</t>
        </is>
      </c>
      <c r="C133" s="24" t="inlineStr">
        <is>
          <t>CAGE Questionnaire</t>
        </is>
      </c>
      <c r="D133" s="24" t="inlineStr">
        <is>
          <t>CAGE</t>
        </is>
      </c>
      <c r="E133" s="24" t="inlineStr">
        <is>
          <t>John Ewing (Ewing and Rouse 1970; published 1984)</t>
        </is>
      </c>
      <c r="F133" s="24" t="inlineStr">
        <is>
          <t>1984</t>
        </is>
      </c>
      <c r="G133" s="24" t="inlineStr">
        <is>
          <t>Lifetime screen for problem drinking: cut down, annoyed, guilty, eye opener</t>
        </is>
      </c>
      <c r="H133" s="24" t="n">
        <v>4</v>
      </c>
      <c r="I133" s="24" t="inlineStr">
        <is>
          <t>Yes or no</t>
        </is>
      </c>
      <c r="J133" s="24" t="inlineStr"/>
      <c r="K133" s="24" t="inlineStr">
        <is>
          <t>Count of yes responses 0 to 4; 2 or more is clinically significant (1 or more in some settings). CAGE-AID adapts the items for drugs</t>
        </is>
      </c>
      <c r="L133" s="24" t="inlineStr">
        <is>
          <t>public domain</t>
        </is>
      </c>
      <c r="M133" s="24" t="inlineStr">
        <is>
          <t>"Believed to be in the public domain" (CamCOPS, citing Ewing 1984 encouraging widespread use)</t>
        </is>
      </c>
      <c r="N133" s="24" t="inlineStr">
        <is>
          <t>https://camcops.readthedocs.io/en/latest/tasks/cage.html</t>
        </is>
      </c>
      <c r="O133" s="24" t="inlineStr">
        <is>
          <t>Yes</t>
        </is>
      </c>
      <c r="P133" s="24" t="inlineStr">
        <is>
          <t>https://camcops.readthedocs.io/en/latest/tasks/cage.html</t>
        </is>
      </c>
      <c r="Q133" s="24" t="inlineStr">
        <is>
          <t>Historically used in NZ general practice; largely superseded by AUDIT-C</t>
        </is>
      </c>
      <c r="R133" s="24" t="inlineStr">
        <is>
          <t>Very quick but insensitive to hazardous non dependent drinking; prefer AUDIT-C where possible</t>
        </is>
      </c>
      <c r="S133" s="24" t="inlineStr"/>
      <c r="T133" s="24" t="inlineStr">
        <is>
          <t>https://camcops.readthedocs.io/en/latest/tasks/cage.html</t>
        </is>
      </c>
      <c r="U133" s="24" t="inlineStr">
        <is>
          <t>Sarah only if used (screener; never summarised to the client)</t>
        </is>
      </c>
      <c r="V133" s="24" t="inlineStr"/>
      <c r="W133" s="24" t="inlineStr"/>
      <c r="X133" s="24" t="inlineStr"/>
    </row>
    <row r="134">
      <c r="A134" s="24" t="n">
        <v>133</v>
      </c>
      <c r="B134" s="24" t="inlineStr">
        <is>
          <t>Clinical practice in New Zealand</t>
        </is>
      </c>
      <c r="C134" s="24" t="inlineStr">
        <is>
          <t>Severity of Dependence Scale</t>
        </is>
      </c>
      <c r="D134" s="24" t="inlineStr">
        <is>
          <t>SDS</t>
        </is>
      </c>
      <c r="E134" s="24" t="inlineStr">
        <is>
          <t>Gossop, Darke, Griffiths, Hando, Powis, Hall and Strang</t>
        </is>
      </c>
      <c r="F134" s="24" t="inlineStr">
        <is>
          <t>1995</t>
        </is>
      </c>
      <c r="G134" s="24" t="inlineStr">
        <is>
          <t>Psychological dependence on a nominated substance over the past 12 months (impaired control, preoccupation, anxiety about use)</t>
        </is>
      </c>
      <c r="H134" s="24" t="n">
        <v>5</v>
      </c>
      <c r="I134" s="24" t="inlineStr">
        <is>
          <t>4 point scales scored 0 to 3 (never or almost never to always or nearly always; item 5 not difficult to impossible)</t>
        </is>
      </c>
      <c r="J134" s="24" t="inlineStr"/>
      <c r="K134" s="24" t="inlineStr">
        <is>
          <t>Sum 0 to 15; higher is more dependent. Cut offs vary by substance: about 3 or more for cannabis and heroin, 4 for amphetamine, 6 or 7 for benzodiazepines</t>
        </is>
      </c>
      <c r="L134" s="24" t="inlineStr">
        <is>
          <t>not stated</t>
        </is>
      </c>
      <c r="M134" s="24" t="inlineStr">
        <is>
          <t>Listed by the WHO and EUDA as an open access research tool; no copyright or permission statement located</t>
        </is>
      </c>
      <c r="N134" s="24" t="inlineStr">
        <is>
          <t>https://www.euda.europa.eu/drugs-library/severity-dependence-scale_en</t>
        </is>
      </c>
      <c r="O134" s="24" t="inlineStr">
        <is>
          <t>Yes</t>
        </is>
      </c>
      <c r="P134" s="24" t="inlineStr">
        <is>
          <t>https://adai.uw.edu/instruments/pdf/Severity_of_Dependence_Scale_397.pdf</t>
        </is>
      </c>
      <c r="Q134" s="24" t="inlineStr">
        <is>
          <t>Used in NZ addiction services and research; no NZ norms located</t>
        </is>
      </c>
      <c r="R134" s="24" t="inlineStr">
        <is>
          <t>Useful substance specific companion to the AUDIT or CUDIT-R for dependence severity</t>
        </is>
      </c>
      <c r="S134" s="24" t="inlineStr"/>
      <c r="T134" s="24" t="inlineStr">
        <is>
          <t>https://www.euda.europa.eu/drugs-library/severity-dependence-scale_en</t>
        </is>
      </c>
      <c r="U134" s="24" t="inlineStr">
        <is>
          <t>Sarah only if used (screener; never summarised to the client)</t>
        </is>
      </c>
      <c r="V134" s="24" t="inlineStr"/>
      <c r="W134" s="24" t="inlineStr"/>
      <c r="X134" s="24" t="inlineStr"/>
    </row>
    <row r="135">
      <c r="A135" s="24" t="n">
        <v>134</v>
      </c>
      <c r="B135" s="24" t="inlineStr">
        <is>
          <t>Clinical practice in New Zealand</t>
        </is>
      </c>
      <c r="C135" s="24" t="inlineStr">
        <is>
          <t>Cannabis Use Disorders Identification Test, Revised</t>
        </is>
      </c>
      <c r="D135" s="24" t="inlineStr">
        <is>
          <t>CUDIT-R</t>
        </is>
      </c>
      <c r="E135" s="24" t="inlineStr">
        <is>
          <t>Adamson, Kay-Lambkin, Baker, Lewin, Thornton, Kelly and Sellman (National Addiction Centre, University of Otago, Christchurch)</t>
        </is>
      </c>
      <c r="F135" s="24" t="inlineStr">
        <is>
          <t>2010</t>
        </is>
      </c>
      <c r="G135" s="24" t="inlineStr">
        <is>
          <t>Hazardous cannabis use and possible cannabis use disorder over the past 6 months</t>
        </is>
      </c>
      <c r="H135" s="24" t="n">
        <v>8</v>
      </c>
      <c r="I135" s="24" t="inlineStr">
        <is>
          <t>Items 1 to 7 on 5 point scales scored 0 to 4; item 8 scored 0, 2 or 4</t>
        </is>
      </c>
      <c r="J135" s="24" t="inlineStr">
        <is>
          <t>Consumption, Cannabis problems, Dependence, Psychological features</t>
        </is>
      </c>
      <c r="K135" s="24" t="inlineStr">
        <is>
          <t>Sum 0 to 32; 8 or more hazardous cannabis use, 12 or more possible cannabis use disorder warranting further assessment</t>
        </is>
      </c>
      <c r="L135" s="24" t="inlineStr">
        <is>
          <t>free with attribution (CC or stated)</t>
        </is>
      </c>
      <c r="M135" s="24" t="inlineStr">
        <is>
          <t>"This protocol is freely available; permission not required for use." (PhenX Toolkit)</t>
        </is>
      </c>
      <c r="N135" s="24" t="inlineStr">
        <is>
          <t>https://phenxtoolkit.org/protocols/view/510310</t>
        </is>
      </c>
      <c r="O135" s="24" t="inlineStr">
        <is>
          <t>Yes</t>
        </is>
      </c>
      <c r="P135" s="24" t="inlineStr">
        <is>
          <t>https://phenxtoolkit.org/protocols/view/510310</t>
        </is>
      </c>
      <c r="Q135" s="24" t="inlineStr">
        <is>
          <t>Developed and validated in New Zealand (Christchurch); widely used by NZ addiction services</t>
        </is>
      </c>
      <c r="R135" s="24" t="inlineStr">
        <is>
          <t>The NZ developed cannabis screen; the obvious choice for this codebook</t>
        </is>
      </c>
      <c r="S135" s="24" t="inlineStr"/>
      <c r="T135" s="24" t="inlineStr">
        <is>
          <t>https://ourarchive.otago.ac.nz/esploro/outputs/journalArticle/An-improved-brief-measure-of-cannabis/9926517104601891</t>
        </is>
      </c>
      <c r="U135" s="24" t="inlineStr">
        <is>
          <t>Sarah only if used (screener; never summarised to the client)</t>
        </is>
      </c>
      <c r="V135" s="24" t="inlineStr"/>
      <c r="W135" s="24" t="inlineStr"/>
      <c r="X135" s="24" t="inlineStr"/>
    </row>
    <row r="136">
      <c r="A136" s="24" t="n">
        <v>135</v>
      </c>
      <c r="B136" s="24" t="inlineStr">
        <is>
          <t>Clinical practice in New Zealand</t>
        </is>
      </c>
      <c r="C136" s="24" t="inlineStr">
        <is>
          <t>Insomnia Severity Index</t>
        </is>
      </c>
      <c r="D136" s="24" t="inlineStr">
        <is>
          <t>ISI</t>
        </is>
      </c>
      <c r="E136" s="24" t="inlineStr">
        <is>
          <t>Charles Morin, Universite Laval</t>
        </is>
      </c>
      <c r="F136" s="24" t="inlineStr">
        <is>
          <t>1993 (validated Bastien et al. 2001; Morin et al. 2011)</t>
        </is>
      </c>
      <c r="G136" s="24" t="inlineStr">
        <is>
          <t>Perceived severity of insomnia over the past 2 weeks: sleep onset, maintenance, early waking, satisfaction, interference, noticeability, distress</t>
        </is>
      </c>
      <c r="H136" s="24" t="n">
        <v>7</v>
      </c>
      <c r="I136" s="24" t="inlineStr">
        <is>
          <t>5 point scale, 0 to 4</t>
        </is>
      </c>
      <c r="J136" s="24" t="inlineStr"/>
      <c r="K136" s="24" t="inlineStr">
        <is>
          <t>Sum 0 to 28: 0 to 7 no clinically significant insomnia, 8 to 14 subthreshold, 15 to 21 moderate, 22 to 28 severe; case finding cut off 10 community, 11 clinical</t>
        </is>
      </c>
      <c r="L136" s="24" t="inlineStr">
        <is>
          <t>permission required</t>
        </is>
      </c>
      <c r="M136" s="24" t="inlineStr">
        <is>
          <t>Copyright Charles Morin, distributed by Mapi Research Trust. Individual clinicians and non funded academics register for direct free access; funded research, healthcare organisations, commercial and IT users need a licence agreement and fees may apply; embedding in software needs separate permission</t>
        </is>
      </c>
      <c r="N136" s="24" t="inlineStr">
        <is>
          <t>https://eprovide.mapi-trust.org/isi-insomnia-severity-index/</t>
        </is>
      </c>
      <c r="O136" s="24" t="inlineStr">
        <is>
          <t>No</t>
        </is>
      </c>
      <c r="P136" s="24" t="inlineStr">
        <is>
          <t>https://eprovide.mapi-trust.org/isi-insomnia-severity-index/</t>
        </is>
      </c>
      <c r="Q136" s="24" t="inlineStr">
        <is>
          <t>No NZ norms located; used in NZ sleep clinics</t>
        </is>
      </c>
      <c r="R136" s="24" t="inlineStr">
        <is>
          <t>Free for an individual clinician on paper via Mapi registration; a platform build requires a licence</t>
        </is>
      </c>
      <c r="S136" s="24" t="inlineStr"/>
      <c r="T136" s="24" t="inlineStr">
        <is>
          <t>https://eprovide.mapi-trust.org/isi-insomnia-severity-index/</t>
        </is>
      </c>
      <c r="U136" s="24" t="inlineStr">
        <is>
          <t>Sarah only if used (screener; never summarised to the client)</t>
        </is>
      </c>
      <c r="V136" s="24" t="inlineStr">
        <is>
          <t>Check: digital or platform use may need its own licence</t>
        </is>
      </c>
      <c r="W136" s="24" t="inlineStr"/>
      <c r="X136" s="24" t="inlineStr"/>
    </row>
    <row r="137">
      <c r="A137" s="24" t="n">
        <v>136</v>
      </c>
      <c r="B137" s="24" t="inlineStr">
        <is>
          <t>Clinical practice in New Zealand</t>
        </is>
      </c>
      <c r="C137" s="24" t="inlineStr">
        <is>
          <t>Eating Disorder Examination Questionnaire 6.0</t>
        </is>
      </c>
      <c r="D137" s="24" t="inlineStr">
        <is>
          <t>EDE-Q</t>
        </is>
      </c>
      <c r="E137" s="24" t="inlineStr">
        <is>
          <t>Christopher Fairburn and Sarah Beglin, CREDO Oxford</t>
        </is>
      </c>
      <c r="F137" s="24" t="inlineStr">
        <is>
          <t>1994 (version 6.0, 2008)</t>
        </is>
      </c>
      <c r="G137" s="24" t="inlineStr">
        <is>
          <t>Eating disorder psychopathology over the past 28 days plus frequency of key behaviours</t>
        </is>
      </c>
      <c r="H137" s="24" t="n">
        <v>28</v>
      </c>
      <c r="I137" s="24" t="inlineStr">
        <is>
          <t>22 attitudinal items on 7 point scales 0 to 6 (no days to every day, or not at all to markedly); 6 items record frequency counts</t>
        </is>
      </c>
      <c r="J137" s="24" t="inlineStr">
        <is>
          <t>Restraint, Eating concern, Shape concern, Weight concern</t>
        </is>
      </c>
      <c r="K137" s="24" t="inlineStr">
        <is>
          <t>Subscale means and a global mean of the 4 subscales, 0 to 6; global 2.3 to 2.8 is often used as a community cut off (about 4.0 in clinical samples); behaviour frequencies reported separately</t>
        </is>
      </c>
      <c r="L137" s="24" t="inlineStr">
        <is>
          <t>free for non commercial or research only</t>
        </is>
      </c>
      <c r="M137" s="24" t="inlineStr">
        <is>
          <t>"The EDE-Q (and its items) is under copyright. It is freely available for non-commercial research use only and no permission need to be sought. For commercial use of the EDE-Q contact: credo@medsci.ox.ac.uk"</t>
        </is>
      </c>
      <c r="N137" s="24" t="inlineStr">
        <is>
          <t>https://camcops.readthedocs.io/en/latest/tasks/edeq.html</t>
        </is>
      </c>
      <c r="O137" s="24" t="inlineStr">
        <is>
          <t>Yes</t>
        </is>
      </c>
      <c r="P137" s="24" t="inlineStr">
        <is>
          <t>https://www.corc.uk.net/media/1273/ede-q_quesionnaire.pdf</t>
        </is>
      </c>
      <c r="Q137" s="24" t="inlineStr">
        <is>
          <t>Used in NZ eating disorder services; no NZ norms located; Australian community norms (Mond et al.) commonly applied</t>
        </is>
      </c>
      <c r="R137" s="24" t="inlineStr">
        <is>
          <t>Clinical use on paper is widely accepted; a paid platform should seek CREDO permission</t>
        </is>
      </c>
      <c r="S137" s="24" t="inlineStr"/>
      <c r="T137" s="24" t="inlineStr">
        <is>
          <t>https://camcops.readthedocs.io/en/latest/tasks/edeq.html</t>
        </is>
      </c>
      <c r="U137" s="24" t="inlineStr">
        <is>
          <t>Sarah only if used (screener; never summarised to the client)</t>
        </is>
      </c>
      <c r="V137" s="24" t="inlineStr"/>
      <c r="W137" s="24" t="inlineStr"/>
      <c r="X137" s="24" t="inlineStr"/>
    </row>
    <row r="138">
      <c r="A138" s="24" t="n">
        <v>137</v>
      </c>
      <c r="B138" s="24" t="inlineStr">
        <is>
          <t>Clinical practice in New Zealand</t>
        </is>
      </c>
      <c r="C138" s="24" t="inlineStr">
        <is>
          <t>SCOFF Questionnaire</t>
        </is>
      </c>
      <c r="D138" s="24" t="inlineStr">
        <is>
          <t>SCOFF</t>
        </is>
      </c>
      <c r="E138" s="24" t="inlineStr">
        <is>
          <t>Morgan, Reid and Lacey, St George's Hospital Medical School</t>
        </is>
      </c>
      <c r="F138" s="24" t="inlineStr">
        <is>
          <t>1999</t>
        </is>
      </c>
      <c r="G138" s="24" t="inlineStr">
        <is>
          <t>Brief screen for anorexia nervosa and bulimia nervosa</t>
        </is>
      </c>
      <c r="H138" s="24" t="n">
        <v>5</v>
      </c>
      <c r="I138" s="24" t="inlineStr">
        <is>
          <t>Yes or no</t>
        </is>
      </c>
      <c r="J138" s="24" t="inlineStr"/>
      <c r="K138" s="24" t="inlineStr">
        <is>
          <t>1 point per yes; 2 or more indicates a likely eating disorder and the need for fuller assessment</t>
        </is>
      </c>
      <c r="L138" s="24" t="inlineStr">
        <is>
          <t>not stated</t>
        </is>
      </c>
      <c r="M138" s="24" t="inlineStr">
        <is>
          <t>No copyright or permission statement located; the full questionnaire was published in the BMJ and is reproduced freely by NHS services</t>
        </is>
      </c>
      <c r="N138" s="24" t="inlineStr">
        <is>
          <t>https://www.bmj.com/content/319/7223/1467</t>
        </is>
      </c>
      <c r="O138" s="24" t="inlineStr">
        <is>
          <t>Yes</t>
        </is>
      </c>
      <c r="P138" s="24" t="inlineStr">
        <is>
          <t>https://www.bmj.com/content/319/7223/1467</t>
        </is>
      </c>
      <c r="Q138" s="24" t="inlineStr">
        <is>
          <t>No NZ validation located</t>
        </is>
      </c>
      <c r="R138" s="24" t="inlineStr">
        <is>
          <t>Intake screen only; follow positives with the EDE-Q and a clinical interview</t>
        </is>
      </c>
      <c r="S138" s="24" t="inlineStr"/>
      <c r="T138" s="24" t="inlineStr">
        <is>
          <t>https://rightdecisions.scot.nhs.uk/media/go5jp0zr/scoff-questionnaire.pdf</t>
        </is>
      </c>
      <c r="U138" s="24" t="inlineStr">
        <is>
          <t>Sarah only if used (screener; never summarised to the client)</t>
        </is>
      </c>
      <c r="V138" s="24" t="inlineStr"/>
      <c r="W138" s="24" t="inlineStr"/>
      <c r="X138" s="24" t="inlineStr"/>
    </row>
    <row r="139">
      <c r="A139" s="24" t="n">
        <v>138</v>
      </c>
      <c r="B139" s="24" t="inlineStr">
        <is>
          <t>Clinical practice in New Zealand</t>
        </is>
      </c>
      <c r="C139" s="24" t="inlineStr">
        <is>
          <t>Hypomania Checklist 32</t>
        </is>
      </c>
      <c r="D139" s="24" t="inlineStr">
        <is>
          <t>HCL-32</t>
        </is>
      </c>
      <c r="E139" s="24" t="inlineStr">
        <is>
          <t>Jules Angst and colleagues, University of Zurich</t>
        </is>
      </c>
      <c r="F139" s="24" t="inlineStr">
        <is>
          <t>2005</t>
        </is>
      </c>
      <c r="G139" s="24" t="inlineStr">
        <is>
          <t>Lifetime hypomanic symptoms to screen for bipolar spectrum in people presenting with depression</t>
        </is>
      </c>
      <c r="H139" s="24" t="n">
        <v>32</v>
      </c>
      <c r="I139" s="24" t="inlineStr">
        <is>
          <t>Yes or no for each symptom (typical of me or not), plus items on duration, impact and others' reactions</t>
        </is>
      </c>
      <c r="J139" s="24" t="inlineStr">
        <is>
          <t>Active or elated, Risk taking or irritable</t>
        </is>
      </c>
      <c r="K139" s="24" t="inlineStr">
        <is>
          <t>Count of yes responses 0 to 32; Angst et al. 2005 proposed 14 or more as a positive screen (sensitivity about 80 percent, specificity about 51 percent); Wikipedia notes a cut off of 8 has also been reported</t>
        </is>
      </c>
      <c r="L139" s="24" t="inlineStr">
        <is>
          <t>free for non commercial or research only</t>
        </is>
      </c>
      <c r="M139" s="24" t="inlineStr">
        <is>
          <t>"The University of Zurich holds the copyright. The HCL-32 is available for use at no charge."</t>
        </is>
      </c>
      <c r="N139" s="24" t="inlineStr">
        <is>
          <t>https://en.wikipedia.org/wiki/Hypomania_Checklist</t>
        </is>
      </c>
      <c r="O139" s="24" t="inlineStr">
        <is>
          <t>Yes</t>
        </is>
      </c>
      <c r="P139" s="24" t="inlineStr">
        <is>
          <t>https://en.wikiversity.org/wiki/Evidence_based_assessment/Instruments/Hypomania_Checklist</t>
        </is>
      </c>
      <c r="Q139" s="24" t="inlineStr">
        <is>
          <t>No NZ norms located</t>
        </is>
      </c>
      <c r="R139" s="24" t="inlineStr">
        <is>
          <t>Free alternative to the MDQ; low specificity means positives need clinical interview</t>
        </is>
      </c>
      <c r="S139" s="24" t="inlineStr"/>
      <c r="T139" s="24" t="inlineStr">
        <is>
          <t>https://en.wikipedia.org/wiki/Hypomania_Checklist</t>
        </is>
      </c>
      <c r="U139" s="24" t="inlineStr">
        <is>
          <t>Sarah only if used (screener; never summarised to the client)</t>
        </is>
      </c>
      <c r="V139" s="24" t="inlineStr"/>
      <c r="W139" s="24" t="inlineStr"/>
      <c r="X139" s="24" t="inlineStr"/>
    </row>
    <row r="140">
      <c r="A140" s="24" t="n">
        <v>139</v>
      </c>
      <c r="B140" s="24" t="inlineStr">
        <is>
          <t>Clinical practice in New Zealand</t>
        </is>
      </c>
      <c r="C140" s="24" t="inlineStr">
        <is>
          <t>Prodromal Questionnaire 16</t>
        </is>
      </c>
      <c r="D140" s="24" t="inlineStr">
        <is>
          <t>PQ-16</t>
        </is>
      </c>
      <c r="E140" s="24" t="inlineStr">
        <is>
          <t>Ising, Veling, Loewy et al. (short form of Loewy's PQ)</t>
        </is>
      </c>
      <c r="F140" s="24" t="inlineStr">
        <is>
          <t>2012</t>
        </is>
      </c>
      <c r="G140" s="24" t="inlineStr">
        <is>
          <t>Screen for psychosis risk: perceptual aberrations, unusual thought content, negative symptoms</t>
        </is>
      </c>
      <c r="H140" s="24" t="n">
        <v>16</v>
      </c>
      <c r="I140" s="24" t="inlineStr">
        <is>
          <t>True or false for each experience; endorsed items rated for distress 0 (none) to 3 (severe)</t>
        </is>
      </c>
      <c r="J140" s="24" t="inlineStr">
        <is>
          <t>Perceptual abnormalities and hallucinations, Unusual thought content and paranoia, Negative symptoms</t>
        </is>
      </c>
      <c r="K140" s="24" t="inlineStr">
        <is>
          <t>Count of true responses 0 to 16; 6 or more indicates need for specialised ultra high risk assessment (CAARMS or SIPS). Distress total 0 to 48 reported separately</t>
        </is>
      </c>
      <c r="L140" s="24" t="inlineStr">
        <is>
          <t>not stated</t>
        </is>
      </c>
      <c r="M140" s="24" t="inlineStr">
        <is>
          <t>No licence statement located; items are published in the open access validation article and the measure is distributed freely by early intervention services</t>
        </is>
      </c>
      <c r="N140" s="24" t="inlineStr">
        <is>
          <t>https://research.vu.nl/ws/files/3068060/Ising%202012%20_2.pdf</t>
        </is>
      </c>
      <c r="O140" s="24" t="inlineStr">
        <is>
          <t>Yes</t>
        </is>
      </c>
      <c r="P140" s="24" t="inlineStr">
        <is>
          <t>https://research.vu.nl/ws/files/3068060/Ising%202012%20_2.pdf</t>
        </is>
      </c>
      <c r="Q140" s="24" t="inlineStr">
        <is>
          <t>No NZ norms; used in some NZ early intervention in psychosis services</t>
        </is>
      </c>
      <c r="R140" s="24" t="inlineStr">
        <is>
          <t>Screening only; positives must be reviewed by the clinician before any feedback</t>
        </is>
      </c>
      <c r="S140" s="24" t="inlineStr"/>
      <c r="T140" s="24" t="inlineStr">
        <is>
          <t>https://research.vu.nl/en/publications/the-validity-of-the-16-item-version-of-the-prodromal-questionnair/</t>
        </is>
      </c>
      <c r="U140" s="24" t="inlineStr">
        <is>
          <t>Risk measure: Sarah to decide; never unattended in the hub</t>
        </is>
      </c>
      <c r="V140" s="24" t="inlineStr"/>
      <c r="W140" s="24" t="inlineStr"/>
      <c r="X140" s="24" t="inlineStr"/>
    </row>
    <row r="141">
      <c r="A141" s="24" t="n">
        <v>140</v>
      </c>
      <c r="B141" s="24" t="inlineStr">
        <is>
          <t>Clinical practice in New Zealand</t>
        </is>
      </c>
      <c r="C141" s="24" t="inlineStr">
        <is>
          <t>Community Assessment of Psychic Experiences</t>
        </is>
      </c>
      <c r="D141" s="24" t="inlineStr">
        <is>
          <t>CAPE-42 (CAPE-P15)</t>
        </is>
      </c>
      <c r="E141" s="24" t="inlineStr">
        <is>
          <t>Stefanis, Hanssen, Smirnis et al. with Jim van Os</t>
        </is>
      </c>
      <c r="F141" s="24" t="inlineStr">
        <is>
          <t>2002</t>
        </is>
      </c>
      <c r="G141" s="24" t="inlineStr">
        <is>
          <t>Lifetime frequency of and distress from psychotic like experiences in the community: positive, negative and depressive dimensions</t>
        </is>
      </c>
      <c r="H141" s="24" t="n">
        <v>42</v>
      </c>
      <c r="I141" s="24" t="inlineStr">
        <is>
          <t>Frequency 1 (never) to 4 (nearly always); each endorsed item rated for distress 1 (not distressed) to 4 (very distressed)</t>
        </is>
      </c>
      <c r="J141" s="24" t="inlineStr">
        <is>
          <t>Positive (20 items), Negative (14 items), Depressive (8 items)</t>
        </is>
      </c>
      <c r="K141" s="24" t="inlineStr">
        <is>
          <t>Dimension frequency and distress sums, usually reported as weighted means (total divided by items answered); no diagnostic cut off; CAPE-P15 positive short form uses 1.47 mean as a risk threshold in some studies</t>
        </is>
      </c>
      <c r="L141" s="24" t="inlineStr">
        <is>
          <t>public domain</t>
        </is>
      </c>
      <c r="M141" s="24" t="inlineStr">
        <is>
          <t>"Public domain/freeware"; Jim van Os described the instrument as "totally freeware" (personal communication to CamCOPS, 2014)</t>
        </is>
      </c>
      <c r="N141" s="24" t="inlineStr">
        <is>
          <t>https://camcops.readthedocs.io/en/latest/tasks/cape.html</t>
        </is>
      </c>
      <c r="O141" s="24" t="inlineStr">
        <is>
          <t>Yes</t>
        </is>
      </c>
      <c r="P141" s="24" t="inlineStr">
        <is>
          <t>http://cape42.homestead.com/</t>
        </is>
      </c>
      <c r="Q141" s="24" t="inlineStr">
        <is>
          <t>No NZ norms located</t>
        </is>
      </c>
      <c r="R141" s="24" t="inlineStr">
        <is>
          <t>Dimensional measure for research and formulation rather than quick screening; the PQ-16 is shorter</t>
        </is>
      </c>
      <c r="S141" s="24" t="inlineStr"/>
      <c r="T141" s="24" t="inlineStr">
        <is>
          <t>https://camcops.readthedocs.io/en/latest/tasks/cape.html</t>
        </is>
      </c>
      <c r="U141" s="24" t="inlineStr">
        <is>
          <t>Sarah only if used (screener; never summarised to the client)</t>
        </is>
      </c>
      <c r="V141" s="24" t="inlineStr"/>
      <c r="W141" s="24" t="inlineStr"/>
      <c r="X141" s="24" t="inlineStr"/>
    </row>
    <row r="142">
      <c r="A142" s="24" t="n">
        <v>141</v>
      </c>
      <c r="B142" s="24" t="inlineStr">
        <is>
          <t>Clinical practice in New Zealand</t>
        </is>
      </c>
      <c r="C142" s="24" t="inlineStr">
        <is>
          <t>Dimensions of Anger Reactions 5</t>
        </is>
      </c>
      <c r="D142" s="24" t="inlineStr">
        <is>
          <t>DAR-5</t>
        </is>
      </c>
      <c r="E142" s="24" t="inlineStr">
        <is>
          <t>Forbes, Alkemade, Mitchell et al. (from Novaco's 7 item DAR)</t>
        </is>
      </c>
      <c r="F142" s="24" t="inlineStr">
        <is>
          <t>2014</t>
        </is>
      </c>
      <c r="G142" s="24" t="inlineStr">
        <is>
          <t>Anger frequency, intensity, duration, aggression and interference over the past 4 weeks</t>
        </is>
      </c>
      <c r="H142" s="24" t="n">
        <v>5</v>
      </c>
      <c r="I142" s="24" t="inlineStr">
        <is>
          <t>5 point scale, 1 (none or almost none of the time) to 5 (all or almost all of the time)</t>
        </is>
      </c>
      <c r="J142" s="24" t="inlineStr"/>
      <c r="K142" s="24" t="inlineStr">
        <is>
          <t>Sum 5 to 25; 12 or more indicates clinically significant anger (Forbes et al. 2014)</t>
        </is>
      </c>
      <c r="L142" s="24" t="inlineStr">
        <is>
          <t>not stated</t>
        </is>
      </c>
      <c r="M142" s="24" t="inlineStr">
        <is>
          <t>No licence or copyright statement located; published in full in peer reviewed articles and hosted free by NovoPsych and others</t>
        </is>
      </c>
      <c r="N142" s="24" t="inlineStr">
        <is>
          <t>https://novopsych.com/assessments/trauma/dar-5/</t>
        </is>
      </c>
      <c r="O142" s="24" t="inlineStr">
        <is>
          <t>Yes</t>
        </is>
      </c>
      <c r="P142" s="24" t="inlineStr">
        <is>
          <t>https://pmc.ncbi.nlm.nih.gov/articles/PMC7067169</t>
        </is>
      </c>
      <c r="Q142" s="24" t="inlineStr">
        <is>
          <t>Australian developed (Phoenix Australia); no NZ norms located; already hosted on NovoPsych</t>
        </is>
      </c>
      <c r="R142" s="24" t="inlineStr">
        <is>
          <t>Already on NovoPsych; brief anger screen well suited to trauma presentations</t>
        </is>
      </c>
      <c r="S142" s="24" t="inlineStr"/>
      <c r="T142" s="24" t="inlineStr">
        <is>
          <t>https://novopsych.com/assessments/trauma/dar-5/</t>
        </is>
      </c>
      <c r="U142" s="24" t="inlineStr">
        <is>
          <t>Sarah only if used (screener; never summarised to the client)</t>
        </is>
      </c>
      <c r="V142" s="24" t="inlineStr"/>
      <c r="W142" s="24" t="inlineStr"/>
      <c r="X142" s="24" t="inlineStr"/>
    </row>
    <row r="143">
      <c r="A143" s="24" t="n">
        <v>142</v>
      </c>
      <c r="B143" s="24" t="inlineStr">
        <is>
          <t>Clinical practice in New Zealand</t>
        </is>
      </c>
      <c r="C143" s="24" t="inlineStr">
        <is>
          <t>Prolonged Grief 13, Revised</t>
        </is>
      </c>
      <c r="D143" s="24" t="inlineStr">
        <is>
          <t>PG-13-R</t>
        </is>
      </c>
      <c r="E143" s="24" t="inlineStr">
        <is>
          <t>Holly Prigerson and Paul Maciejewski, Weill Cornell Medicine</t>
        </is>
      </c>
      <c r="F143" s="24" t="inlineStr">
        <is>
          <t>2021 (PG-13 2009)</t>
        </is>
      </c>
      <c r="G143" s="24" t="inlineStr">
        <is>
          <t>Prolonged grief disorder symptoms aligned with DSM-5-TR and ICD-11 criteria</t>
        </is>
      </c>
      <c r="H143" s="24" t="n">
        <v>13</v>
      </c>
      <c r="I143" s="24" t="inlineStr">
        <is>
          <t>10 symptom items on 5 point frequency or intensity scales 1 to 5, plus items on time since loss, duration and functional impairment</t>
        </is>
      </c>
      <c r="J143" s="24" t="inlineStr"/>
      <c r="K143" s="24" t="inlineStr">
        <is>
          <t>Symptom sum 10 to 50; 30 or more with impairment and at least 12 months since loss suggests prolonged grief disorder (diagnostic algorithm also available)</t>
        </is>
      </c>
      <c r="L143" s="24" t="inlineStr">
        <is>
          <t>permission required</t>
        </is>
      </c>
      <c r="M143" s="24" t="inlineStr">
        <is>
          <t>"Free of charge to use PG-13 in clinical diagnosis and bereavement-related studies"; copyright protected and "should not be reproduced without the permission of the authors"; request via online form</t>
        </is>
      </c>
      <c r="N143" s="24" t="inlineStr">
        <is>
          <t>https://endoflife.weill.cornell.edu/pg-13</t>
        </is>
      </c>
      <c r="O143" s="24" t="inlineStr">
        <is>
          <t>Yes</t>
        </is>
      </c>
      <c r="P143" s="24" t="inlineStr">
        <is>
          <t>https://endoflife.weill.cornell.edu/sites/default/files/file_uploads/prigerson.pdf</t>
        </is>
      </c>
      <c r="Q143" s="24" t="inlineStr">
        <is>
          <t>No NZ norms located</t>
        </is>
      </c>
      <c r="R143" s="24" t="inlineStr">
        <is>
          <t>Submit the Weill Cornell request form before use; the form has a clinical practitioner option</t>
        </is>
      </c>
      <c r="S143" s="24" t="inlineStr"/>
      <c r="T143" s="24" t="inlineStr">
        <is>
          <t>https://endoflife.weill.cornell.edu/pg-13</t>
        </is>
      </c>
      <c r="U143" s="24" t="inlineStr">
        <is>
          <t>Sarah only if used (screener; never summarised to the client)</t>
        </is>
      </c>
      <c r="V143" s="24" t="inlineStr">
        <is>
          <t>Check: digital or platform use may need its own licence</t>
        </is>
      </c>
      <c r="W143" s="24" t="inlineStr"/>
      <c r="X143" s="24" t="inlineStr"/>
    </row>
    <row r="144">
      <c r="A144" s="24" t="n">
        <v>143</v>
      </c>
      <c r="B144" s="24" t="inlineStr">
        <is>
          <t>Clinical practice in New Zealand</t>
        </is>
      </c>
      <c r="C144" s="24" t="inlineStr">
        <is>
          <t>Inventory of Complicated Grief</t>
        </is>
      </c>
      <c r="D144" s="24" t="inlineStr">
        <is>
          <t>ICG</t>
        </is>
      </c>
      <c r="E144" s="24" t="inlineStr">
        <is>
          <t>Prigerson, Maciejewski, Reynolds et al.</t>
        </is>
      </c>
      <c r="F144" s="24" t="inlineStr">
        <is>
          <t>1995</t>
        </is>
      </c>
      <c r="G144" s="24" t="inlineStr">
        <is>
          <t>Maladaptive grief symptoms (yearning, disbelief, anger, avoidance) after bereavement</t>
        </is>
      </c>
      <c r="H144" s="24" t="n">
        <v>19</v>
      </c>
      <c r="I144" s="24" t="inlineStr">
        <is>
          <t>5 point frequency scale, 0 (never) to 4 (always)</t>
        </is>
      </c>
      <c r="J144" s="24" t="inlineStr"/>
      <c r="K144" s="24" t="inlineStr">
        <is>
          <t>Sum 0 to 76; scores above 25 indicate complicated grief with significant impairment</t>
        </is>
      </c>
      <c r="L144" s="24" t="inlineStr">
        <is>
          <t>not stated</t>
        </is>
      </c>
      <c r="M144" s="24" t="inlineStr">
        <is>
          <t>No licence statement located; the full scale is published in the 1995 Psychiatry Research article posted by Weill Cornell; the group now directs users to the PG-13-R request process</t>
        </is>
      </c>
      <c r="N144" s="24" t="inlineStr">
        <is>
          <t>https://endoflife.weill.cornell.edu/sites/default/files/icg_publication.pdf</t>
        </is>
      </c>
      <c r="O144" s="24" t="inlineStr">
        <is>
          <t>Yes</t>
        </is>
      </c>
      <c r="P144" s="24" t="inlineStr">
        <is>
          <t>https://endoflife.weill.cornell.edu/sites/default/files/icg_publication.pdf</t>
        </is>
      </c>
      <c r="Q144" s="24" t="inlineStr">
        <is>
          <t>No NZ norms located</t>
        </is>
      </c>
      <c r="R144" s="24" t="inlineStr">
        <is>
          <t>Older but widely used; PG-13-R is the current preferred measure</t>
        </is>
      </c>
      <c r="S144" s="24" t="inlineStr"/>
      <c r="T144" s="24" t="inlineStr">
        <is>
          <t>https://www.apa.org/pi/about/publications/caregivers/practice-settings/assessment/tools/complicated-grief</t>
        </is>
      </c>
      <c r="U144" s="24" t="inlineStr">
        <is>
          <t>Sarah only if used (screener; never summarised to the client)</t>
        </is>
      </c>
      <c r="V144" s="24" t="inlineStr"/>
      <c r="W144" s="24" t="inlineStr"/>
      <c r="X144" s="24" t="inlineStr"/>
    </row>
    <row r="145">
      <c r="A145" s="24" t="n">
        <v>144</v>
      </c>
      <c r="B145" s="24" t="inlineStr">
        <is>
          <t>Clinical practice in New Zealand</t>
        </is>
      </c>
      <c r="C145" s="24" t="inlineStr">
        <is>
          <t>Edinburgh Postnatal Depression Scale</t>
        </is>
      </c>
      <c r="D145" s="24" t="inlineStr">
        <is>
          <t>EPDS</t>
        </is>
      </c>
      <c r="E145" s="24" t="inlineStr">
        <is>
          <t>Cox, Holden and Sagovsky</t>
        </is>
      </c>
      <c r="F145" s="24" t="inlineStr">
        <is>
          <t>1987</t>
        </is>
      </c>
      <c r="G145" s="24" t="inlineStr">
        <is>
          <t>Depressive and anxious symptoms in the past 7 days during pregnancy and the postnatal period</t>
        </is>
      </c>
      <c r="H145" s="24" t="n">
        <v>10</v>
      </c>
      <c r="I145" s="24" t="inlineStr">
        <is>
          <t>4 point scales scored 0 to 3 (items 3 and 5 to 10 reverse scored)</t>
        </is>
      </c>
      <c r="J145" s="24" t="inlineStr">
        <is>
          <t>Anxiety (items 3 to 5)</t>
        </is>
      </c>
      <c r="K145" s="24" t="inlineStr">
        <is>
          <t>Sum 0 to 30; 13 or more indicates probable depression (10 or more for a sensitive screen); item 10 flags self harm thoughts and always requires follow up</t>
        </is>
      </c>
      <c r="L145" s="24" t="inlineStr">
        <is>
          <t>permission required</t>
        </is>
      </c>
      <c r="M145" s="24" t="inlineStr">
        <is>
          <t>Copyright Royal College of Psychiatrists: the scale "may be photocopied by individual researchers or clinicians for their own use" with acknowledgement of Cox, Holden and Sagovsky (1987); written permission required for distribution to others or republication; RCPsych refused embedding in CamCOPS</t>
        </is>
      </c>
      <c r="N145" s="24" t="inlineStr">
        <is>
          <t>https://camcops.readthedocs.io/en/latest/tasks/epds.html</t>
        </is>
      </c>
      <c r="O145" s="24" t="inlineStr">
        <is>
          <t>Yes</t>
        </is>
      </c>
      <c r="P145" s="24" t="inlineStr">
        <is>
          <t>https://camcops.readthedocs.io/en/latest/tasks/epds.html</t>
        </is>
      </c>
      <c r="Q145" s="24" t="inlineStr">
        <is>
          <t>Standard NZ Well Child Tamariki Ora and maternity screen; validated in NZ Samoan and Tongan women (Ekeroma et al. 2012); translations on Healthify NZ</t>
        </is>
      </c>
      <c r="R145" s="24" t="inlineStr">
        <is>
          <t>Fine for an individual clinician on paper; electronic embedding needs RCPsych permission; item 10 must be practitioner reviewed</t>
        </is>
      </c>
      <c r="S145" s="24" t="inlineStr"/>
      <c r="T145" s="24" t="inlineStr">
        <is>
          <t>https://camcops.readthedocs.io/en/latest/tasks/epds.html</t>
        </is>
      </c>
      <c r="U145" s="24" t="inlineStr">
        <is>
          <t>Sarah only if used (screener; never summarised to the client)</t>
        </is>
      </c>
      <c r="V145" s="24" t="inlineStr"/>
      <c r="W145" s="24" t="inlineStr"/>
      <c r="X145" s="24" t="inlineStr"/>
    </row>
    <row r="146">
      <c r="A146" s="24" t="n">
        <v>145</v>
      </c>
      <c r="B146" s="24" t="inlineStr">
        <is>
          <t>Clinical practice in New Zealand</t>
        </is>
      </c>
      <c r="C146" s="24" t="inlineStr">
        <is>
          <t>Columbia Suicide Severity Rating Scale, Screener</t>
        </is>
      </c>
      <c r="D146" s="24" t="inlineStr">
        <is>
          <t>C-SSRS Screener</t>
        </is>
      </c>
      <c r="E146" s="24" t="inlineStr">
        <is>
          <t>Kelly Posner and colleagues, Columbia University, with the University of Pennsylvania and University of Pittsburgh (NIMH)</t>
        </is>
      </c>
      <c r="F146" s="24" t="inlineStr">
        <is>
          <t>2007 (published 2011)</t>
        </is>
      </c>
      <c r="G146" s="24" t="inlineStr">
        <is>
          <t>Suicidal ideation (5 severity levels) and suicidal behaviour (recent and lifetime) for triage</t>
        </is>
      </c>
      <c r="H146" s="24" t="n">
        <v>6</v>
      </c>
      <c r="I146" s="24" t="inlineStr">
        <is>
          <t>Yes or no; ideation questions 1 to 5 refer to the past month, behaviour question 6 lifetime and past 3 months</t>
        </is>
      </c>
      <c r="J146" s="24" t="inlineStr">
        <is>
          <t>Ideation severity, Behaviour</t>
        </is>
      </c>
      <c r="K146" s="24" t="inlineStr">
        <is>
          <t>No total; yes to questions 4, 5 or 6 (recent) indicates high risk, yes to 3 moderate, yes to 1 or 2 only low risk. Triage thresholds set locally</t>
        </is>
      </c>
      <c r="L146" s="24" t="inlineStr">
        <is>
          <t>free with attribution (CC or stated)</t>
        </is>
      </c>
      <c r="M146" s="24" t="inlineStr">
        <is>
          <t>"You do not need special permission from us to take the Columbia Protocol tools and use them in your setting"; free, including embedding in EHRs, for community, healthcare and non profit or federally funded research; free training</t>
        </is>
      </c>
      <c r="N146" s="24" t="inlineStr">
        <is>
          <t>https://cssrs.columbia.edu/the-columbia-scale-c-ssrs/cssrs-for-communities-and-healthcare/</t>
        </is>
      </c>
      <c r="O146" s="24" t="inlineStr">
        <is>
          <t>Yes</t>
        </is>
      </c>
      <c r="P146" s="24" t="inlineStr">
        <is>
          <t>https://cssrs.columbia.edu/the-columbia-scale-c-ssrs/cssrs-for-communities-and-healthcare/</t>
        </is>
      </c>
      <c r="Q146" s="24" t="inlineStr">
        <is>
          <t>Used in some Te Whatu Ora emergency and crisis services; no NZ norms</t>
        </is>
      </c>
      <c r="R146" s="24" t="inlineStr">
        <is>
          <t>Any self report risk screen must be practitioner reviewed the same day with a clear escalation pathway</t>
        </is>
      </c>
      <c r="S146" s="24" t="inlineStr"/>
      <c r="T146" s="24" t="inlineStr">
        <is>
          <t>https://cssrs.columbia.edu/the-columbia-scale-c-ssrs/about-the-scale/</t>
        </is>
      </c>
      <c r="U146" s="24" t="inlineStr">
        <is>
          <t>Risk measure: Sarah to decide; never unattended in the hub</t>
        </is>
      </c>
      <c r="V146" s="24" t="inlineStr"/>
      <c r="W146" s="24" t="inlineStr"/>
      <c r="X146" s="24" t="inlineStr"/>
    </row>
    <row r="147">
      <c r="A147" s="24" t="n">
        <v>146</v>
      </c>
      <c r="B147" s="24" t="inlineStr">
        <is>
          <t>Clinical practice in New Zealand</t>
        </is>
      </c>
      <c r="C147" s="24" t="inlineStr">
        <is>
          <t>EuroQol 5 Dimension 5 Level</t>
        </is>
      </c>
      <c r="D147" s="24" t="inlineStr">
        <is>
          <t>EQ-5D-5L</t>
        </is>
      </c>
      <c r="E147" s="24" t="inlineStr">
        <is>
          <t>EuroQol Research Foundation (Herdman et al.)</t>
        </is>
      </c>
      <c r="F147" s="24" t="inlineStr">
        <is>
          <t>2011 (EQ-5D 1990)</t>
        </is>
      </c>
      <c r="G147" s="24" t="inlineStr">
        <is>
          <t>Generic health related quality of life today: mobility, self care, usual activities, pain or discomfort, anxiety or depression, plus a health VAS</t>
        </is>
      </c>
      <c r="H147" s="24" t="n">
        <v>6</v>
      </c>
      <c r="I147" s="24" t="inlineStr">
        <is>
          <t>5 levels per dimension (no, slight, moderate, severe, extreme problems) plus a 0 to 100 visual analogue scale</t>
        </is>
      </c>
      <c r="J147" s="24" t="inlineStr">
        <is>
          <t>Descriptive profile, EQ VAS</t>
        </is>
      </c>
      <c r="K147" s="24" t="inlineStr">
        <is>
          <t>5 digit health state profile (11111 to 55555) converted to a utility index using a country value set (NZ has a published 5L value set); VAS reported directly</t>
        </is>
      </c>
      <c r="L147" s="24" t="inlineStr">
        <is>
          <t>permission required</t>
        </is>
      </c>
      <c r="M147" s="24" t="inlineStr">
        <is>
          <t>Copyright EuroQol Research Foundation; prior written consent required to use, reproduce or translate; registration via euroqol.org is free for non commercial use, other digital formats and commercial use require a licence and fee</t>
        </is>
      </c>
      <c r="N147" s="24" t="inlineStr">
        <is>
          <t>https://euroqol.org/support/how-to-obtain-eq-5d/</t>
        </is>
      </c>
      <c r="O147" s="24" t="inlineStr">
        <is>
          <t>No</t>
        </is>
      </c>
      <c r="P147" s="24" t="inlineStr">
        <is>
          <t>https://euroqol.org/information-and-support/euroqol-instruments/eq-5d-5l/</t>
        </is>
      </c>
      <c r="Q147" s="24" t="inlineStr">
        <is>
          <t>Compulsory primary outcome measure in the ACC Sensitive Claims Service for all kiritaki aged 4 and over (5L for adults); used by PHARMAC and NZ health economics</t>
        </is>
      </c>
      <c r="R147" s="24" t="inlineStr">
        <is>
          <t>Register the clinic with EuroQol before use; required anyway for ACC sensitive claims work</t>
        </is>
      </c>
      <c r="S147" s="24" t="inlineStr"/>
      <c r="T147" s="24" t="inlineStr">
        <is>
          <t>https://www.acc.co.nz/assets/provider/Sensitive-Claims-Service-Outcome-Measure-Score-Sheets.pdf</t>
        </is>
      </c>
      <c r="U147" s="24" t="inlineStr">
        <is>
          <t>Sarah only if used (screener; never summarised to the client)</t>
        </is>
      </c>
      <c r="V147" s="24" t="inlineStr">
        <is>
          <t>Check: digital or platform use may need its own licence</t>
        </is>
      </c>
      <c r="W147" s="24" t="inlineStr"/>
      <c r="X147" s="24" t="inlineStr"/>
    </row>
    <row r="148">
      <c r="A148" s="24" t="n">
        <v>147</v>
      </c>
      <c r="B148" s="24" t="inlineStr">
        <is>
          <t>Clinical practice in New Zealand</t>
        </is>
      </c>
      <c r="C148" s="24" t="inlineStr">
        <is>
          <t>12 Item Short Form Health Survey</t>
        </is>
      </c>
      <c r="D148" s="24" t="inlineStr">
        <is>
          <t>SF-12 (SF-12v2)</t>
        </is>
      </c>
      <c r="E148" s="24" t="inlineStr">
        <is>
          <t>Ware, Kosinski and Keller; rights held by QualityMetric (formerly Optum)</t>
        </is>
      </c>
      <c r="F148" s="24" t="inlineStr">
        <is>
          <t>1996 (v2 2002)</t>
        </is>
      </c>
      <c r="G148" s="24" t="inlineStr">
        <is>
          <t>Generic physical and mental health status over the past 4 weeks</t>
        </is>
      </c>
      <c r="H148" s="24" t="n">
        <v>12</v>
      </c>
      <c r="I148" s="24" t="inlineStr">
        <is>
          <t>Mixed 3 and 5 point scales</t>
        </is>
      </c>
      <c r="J148" s="24" t="inlineStr">
        <is>
          <t>Physical Component Summary, Mental Component Summary, 8 health domains</t>
        </is>
      </c>
      <c r="K148" s="24" t="inlineStr">
        <is>
          <t>Norm based T scores (mean 50, SD 10) via proprietary algorithm; lower scores indicate poorer health</t>
        </is>
      </c>
      <c r="L148" s="24" t="inlineStr">
        <is>
          <t>commercial</t>
        </is>
      </c>
      <c r="M148" s="24" t="inlineStr">
        <is>
          <t>Use "is governed by QualityMetric"; a licence agreement and royalty fees apply for most uses, with limited free access for unfunded student research; RAND notes the SF-12 is not public domain unlike the SF-36 v1</t>
        </is>
      </c>
      <c r="N148" s="24" t="inlineStr">
        <is>
          <t>https://www.rand.org/health/surveys/mos/12-item-short-form.html</t>
        </is>
      </c>
      <c r="O148" s="24" t="inlineStr">
        <is>
          <t>No</t>
        </is>
      </c>
      <c r="P148" s="24" t="inlineStr">
        <is>
          <t>https://www.qualitymetric.com/health-surveys/the-sf-12v2-pro-health-survey/</t>
        </is>
      </c>
      <c r="Q148" s="24" t="inlineStr">
        <is>
          <t>Used in the NZ Health Survey until removed in 2023/24 as not cost effective; NZ population norms exist from earlier survey waves</t>
        </is>
      </c>
      <c r="R148" s="24" t="inlineStr">
        <is>
          <t>Not suitable for a free codebook; the EQ-5D-5L or WHO-5 covers the same need</t>
        </is>
      </c>
      <c r="S148" s="24" t="inlineStr"/>
      <c r="T148" s="24" t="inlineStr">
        <is>
          <t>https://www.health.govt.nz/system/files/2025-11/content-guide-2024-25.pdf</t>
        </is>
      </c>
      <c r="U148" s="24" t="inlineStr">
        <is>
          <t>Sarah only if used (screener; never summarised to the client)</t>
        </is>
      </c>
      <c r="V148" s="24" t="inlineStr"/>
      <c r="W148" s="24" t="inlineStr"/>
      <c r="X148" s="24" t="inlineStr"/>
    </row>
    <row r="149">
      <c r="A149" s="24" t="n">
        <v>148</v>
      </c>
      <c r="B149" s="24" t="inlineStr">
        <is>
          <t>Clinical practice in New Zealand</t>
        </is>
      </c>
      <c r="C149" s="24" t="inlineStr">
        <is>
          <t>Recovery Assessment Scale, 24 item (RAS-R)</t>
        </is>
      </c>
      <c r="D149" s="24" t="inlineStr">
        <is>
          <t>RAS-24</t>
        </is>
      </c>
      <c r="E149" s="24" t="inlineStr">
        <is>
          <t>Giffort, Schmook, Woody, Vollendorf and Germain (Illinois Office of Mental Health); shortened by Corrigan et al. 2004</t>
        </is>
      </c>
      <c r="F149" s="24" t="inlineStr">
        <is>
          <t>1995 (RAS-24 2004)</t>
        </is>
      </c>
      <c r="G149" s="24" t="inlineStr">
        <is>
          <t>Personal recovery in mental health: hope, goals, self reliance, help seeking, symptom management</t>
        </is>
      </c>
      <c r="H149" s="24" t="n">
        <v>24</v>
      </c>
      <c r="I149" s="24" t="inlineStr">
        <is>
          <t>5 point agreement scale, 1 (strongly disagree) to 5 (strongly agree)</t>
        </is>
      </c>
      <c r="J149" s="24" t="inlineStr">
        <is>
          <t>Personal confidence and hope, Willingness to ask for help, Goal and success orientation, Reliance on others, Not dominated by symptoms</t>
        </is>
      </c>
      <c r="K149" s="24" t="inlineStr">
        <is>
          <t>Total 24 to 120 or mean item score 1 to 5; higher indicates greater recovery; no clinical cut off</t>
        </is>
      </c>
      <c r="L149" s="24" t="inlineStr">
        <is>
          <t>not stated</t>
        </is>
      </c>
      <c r="M149" s="24" t="inlineStr">
        <is>
          <t>No copyright or licence statement located; the scale is reproduced freely in US state and vendor guides and in open access validation studies. The Australian RAS-DS variant (Hancock et al.) is marked all rights reserved but distributed free by the University of Sydney</t>
        </is>
      </c>
      <c r="N149" s="24" t="inlineStr">
        <is>
          <t>https://valant.helpjuice.com/recovery-assessment-scale-24-item-ras-r</t>
        </is>
      </c>
      <c r="O149" s="24" t="inlineStr">
        <is>
          <t>Yes</t>
        </is>
      </c>
      <c r="P149" s="24" t="inlineStr">
        <is>
          <t>https://valant.helpjuice.com/recovery-assessment-scale-24-item-ras-r</t>
        </is>
      </c>
      <c r="Q149" s="24" t="inlineStr">
        <is>
          <t>Cited in NZ recovery literature; no NZ norms located</t>
        </is>
      </c>
      <c r="R149" s="24" t="inlineStr">
        <is>
          <t>Recovery oriented outcome measure for longer term work; pairs well with Hua Oranga</t>
        </is>
      </c>
      <c r="S149" s="24" t="inlineStr"/>
      <c r="T149" s="24" t="inlineStr">
        <is>
          <t>https://hqlo.biomedcentral.com/articles/10.1186/s12955-018-0849-3</t>
        </is>
      </c>
      <c r="U149" s="24" t="inlineStr">
        <is>
          <t>Sarah only if used (screener; never summarised to the client)</t>
        </is>
      </c>
      <c r="V149" s="24" t="inlineStr"/>
      <c r="W149" s="24" t="inlineStr"/>
      <c r="X149" s="24" t="inlineStr"/>
    </row>
    <row r="150">
      <c r="A150" s="24" t="n">
        <v>149</v>
      </c>
      <c r="B150" s="24" t="inlineStr">
        <is>
          <t>Clinical practice in New Zealand</t>
        </is>
      </c>
      <c r="C150" s="24" t="inlineStr">
        <is>
          <t>Outcome Rating Scale and Session Rating Scale</t>
        </is>
      </c>
      <c r="D150" s="24" t="inlineStr">
        <is>
          <t>ORS and SRS</t>
        </is>
      </c>
      <c r="E150" s="24" t="inlineStr">
        <is>
          <t>Scott Miller and Barry Duncan (ICCE)</t>
        </is>
      </c>
      <c r="F150" s="24" t="inlineStr">
        <is>
          <t>2000 (ORS), 2002 (SRS v3)</t>
        </is>
      </c>
      <c r="G150" s="24" t="inlineStr">
        <is>
          <t>ORS: global distress and functioning (individual, interpersonal, social, overall). SRS: therapeutic alliance for the session</t>
        </is>
      </c>
      <c r="H150" s="24" t="n">
        <v>4</v>
      </c>
      <c r="I150" s="24" t="inlineStr">
        <is>
          <t>4 visual analogue lines of 10 cm, each scored 0 to 10 by measuring the mark</t>
        </is>
      </c>
      <c r="J150" s="24" t="inlineStr">
        <is>
          <t>Individual, Interpersonal, Social, Overall</t>
        </is>
      </c>
      <c r="K150" s="24" t="inlineStr">
        <is>
          <t>Sum 0 to 40 each. ORS clinical cut off 25 (adults); reliable change 5 points. SRS below 36 signals alliance concerns to discuss</t>
        </is>
      </c>
      <c r="L150" s="24" t="inlineStr">
        <is>
          <t>free for non commercial or research only</t>
        </is>
      </c>
      <c r="M150" s="24" t="inlineStr">
        <is>
          <t>Free for individual practitioners in paper and pencil form; group and agency licences from USD 0 (1 provider) to 2,000 (250 providers); "NO ELECTRONIC OR DIGITAL USE OF THE SCALES IS PERMITTED" except via authorised vendors</t>
        </is>
      </c>
      <c r="N150" s="24" t="inlineStr">
        <is>
          <t>https://www.scottdmiller.com/downloadmeasures</t>
        </is>
      </c>
      <c r="O150" s="24" t="inlineStr">
        <is>
          <t>Yes</t>
        </is>
      </c>
      <c r="P150" s="24" t="inlineStr">
        <is>
          <t>https://www.scottdmiller.com/downloadmeasures</t>
        </is>
      </c>
      <c r="Q150" s="24" t="inlineStr">
        <is>
          <t>Used in NZ NGO and youth services (feedback informed treatment); no NZ norms</t>
        </is>
      </c>
      <c r="R150" s="24" t="inlineStr">
        <is>
          <t>Paper only for a solo practitioner; do not build into any digital platform</t>
        </is>
      </c>
      <c r="S150" s="24" t="inlineStr"/>
      <c r="T150" s="24" t="inlineStr">
        <is>
          <t>https://www.scottdmiller.com/downloadmeasures</t>
        </is>
      </c>
      <c r="U150" s="24" t="inlineStr">
        <is>
          <t>Sarah only if used (screener; never summarised to the client)</t>
        </is>
      </c>
      <c r="V150" s="24" t="inlineStr">
        <is>
          <t>Check: digital or platform use may need its own licence</t>
        </is>
      </c>
      <c r="W150" s="24" t="inlineStr"/>
      <c r="X150" s="24" t="inlineStr"/>
    </row>
    <row r="151">
      <c r="A151" s="24" t="n">
        <v>150</v>
      </c>
      <c r="B151" s="24" t="inlineStr">
        <is>
          <t>Clinical practice in New Zealand</t>
        </is>
      </c>
      <c r="C151" s="24" t="inlineStr">
        <is>
          <t>Autism Spectrum Quotient 10</t>
        </is>
      </c>
      <c r="D151" s="24" t="inlineStr">
        <is>
          <t>AQ-10</t>
        </is>
      </c>
      <c r="E151" s="24" t="inlineStr">
        <is>
          <t>Allison, Auyeung and Baron-Cohen, Autism Research Centre, Cambridge</t>
        </is>
      </c>
      <c r="F151" s="24" t="inlineStr">
        <is>
          <t>2012</t>
        </is>
      </c>
      <c r="G151" s="24" t="inlineStr">
        <is>
          <t>Brief screen for autistic traits in adults with normal intelligence</t>
        </is>
      </c>
      <c r="H151" s="24" t="n">
        <v>10</v>
      </c>
      <c r="I151" s="24" t="inlineStr">
        <is>
          <t>4 point agreement scale (definitely agree to definitely disagree), scored 1 or 0 per item in the keyed direction</t>
        </is>
      </c>
      <c r="J151" s="24" t="inlineStr"/>
      <c r="K151" s="24" t="inlineStr">
        <is>
          <t>Sum 0 to 10; 6 or more indicates referral for a full autism assessment (NICE CG142)</t>
        </is>
      </c>
      <c r="L151" s="24" t="inlineStr">
        <is>
          <t>free for non commercial or research only</t>
        </is>
      </c>
      <c r="M151" s="24" t="inlineStr">
        <is>
          <t>ARC makes tests "freely available to the research community or for clinicians" provided they are used for research and not commercial purposes, with acknowledgement of ARC; tests may not be adapted without permission</t>
        </is>
      </c>
      <c r="N151" s="24" t="inlineStr">
        <is>
          <t>https://www.autismresearchcentre.com/tests/</t>
        </is>
      </c>
      <c r="O151" s="24" t="inlineStr">
        <is>
          <t>Yes</t>
        </is>
      </c>
      <c r="P151" s="24" t="inlineStr">
        <is>
          <t>https://docs.autismresearchcentre.com/tests/AQ10.pdf</t>
        </is>
      </c>
      <c r="Q151" s="24" t="inlineStr">
        <is>
          <t>Recommended in the NZ Autism Spectrum Disorder Guideline supplementary papers for adult screening; no NZ norms</t>
        </is>
      </c>
      <c r="R151" s="24" t="inlineStr">
        <is>
          <t>Screening only; known to miss many autistic women and adults who mask</t>
        </is>
      </c>
      <c r="S151" s="24" t="inlineStr"/>
      <c r="T151" s="24" t="inlineStr">
        <is>
          <t>https://www.autismresearchcentre.com/tests/</t>
        </is>
      </c>
      <c r="U151" s="24" t="inlineStr">
        <is>
          <t>Sarah only if used (screener; never summarised to the client)</t>
        </is>
      </c>
      <c r="V151" s="24" t="inlineStr"/>
      <c r="W151" s="24" t="inlineStr"/>
      <c r="X151" s="24" t="inlineStr"/>
    </row>
    <row r="152">
      <c r="A152" s="24" t="n">
        <v>151</v>
      </c>
      <c r="B152" s="24" t="inlineStr">
        <is>
          <t>Clinical practice in New Zealand</t>
        </is>
      </c>
      <c r="C152" s="24" t="inlineStr">
        <is>
          <t>Ritvo Autism Asperger Diagnostic Scale, 14 item Screen</t>
        </is>
      </c>
      <c r="D152" s="24" t="inlineStr">
        <is>
          <t>RAADS-14</t>
        </is>
      </c>
      <c r="E152" s="24" t="inlineStr">
        <is>
          <t>Eriksson, Andersen and Bejerot, Karolinska Institutet (from the RAADS-R)</t>
        </is>
      </c>
      <c r="F152" s="24" t="inlineStr">
        <is>
          <t>2013</t>
        </is>
      </c>
      <c r="G152" s="24" t="inlineStr">
        <is>
          <t>Autistic traits in adult psychiatric populations: mentalising, sensory reactivity, social anxiety</t>
        </is>
      </c>
      <c r="H152" s="24" t="n">
        <v>14</v>
      </c>
      <c r="I152" s="24" t="inlineStr">
        <is>
          <t>4 point scale, 0 (never true) to 3 (true now and when I was young)</t>
        </is>
      </c>
      <c r="J152" s="24" t="inlineStr">
        <is>
          <t>Mentalising deficits, Sensory reactivity, Social anxiety</t>
        </is>
      </c>
      <c r="K152" s="24" t="inlineStr">
        <is>
          <t>Sum 0 to 42; 14 or more is a positive screen (sensitivity 97 percent; specificity 46 percent against ADHD, 64 percent other psychiatric, 95 percent controls)</t>
        </is>
      </c>
      <c r="L152" s="24" t="inlineStr">
        <is>
          <t>free with attribution (CC or stated)</t>
        </is>
      </c>
      <c r="M152" s="24" t="inlineStr">
        <is>
          <t>Published open access in Molecular Autism under the Creative Commons Attribution Licence (CC BY 2.0), with the printable version in Additional file 1</t>
        </is>
      </c>
      <c r="N152" s="24" t="inlineStr">
        <is>
          <t>https://molecularautism.biomedcentral.com/articles/10.1186/2040-2392-4-49</t>
        </is>
      </c>
      <c r="O152" s="24" t="inlineStr">
        <is>
          <t>Yes</t>
        </is>
      </c>
      <c r="P152" s="24" t="inlineStr">
        <is>
          <t>https://molecularautism.biomedcentral.com/articles/10.1186/2040-2392-4-49</t>
        </is>
      </c>
      <c r="Q152" s="24" t="inlineStr">
        <is>
          <t>No NZ norms located</t>
        </is>
      </c>
      <c r="R152" s="24" t="inlineStr">
        <is>
          <t>Good second screen alongside the AQ-10 because it probes developmental history; low specificity in ADHD</t>
        </is>
      </c>
      <c r="S152" s="24" t="inlineStr"/>
      <c r="T152" s="24" t="inlineStr">
        <is>
          <t>https://molecularautism.biomedcentral.com/articles/10.1186/2040-2392-4-49</t>
        </is>
      </c>
      <c r="U152" s="24" t="inlineStr">
        <is>
          <t>Sarah only if used (screener; never summarised to the client)</t>
        </is>
      </c>
      <c r="V152" s="24" t="inlineStr"/>
      <c r="W152" s="24" t="inlineStr"/>
      <c r="X152" s="24" t="inlineStr"/>
    </row>
    <row r="153">
      <c r="A153" s="24" t="n">
        <v>152</v>
      </c>
      <c r="B153" s="24" t="inlineStr">
        <is>
          <t>Clinical practice in New Zealand</t>
        </is>
      </c>
      <c r="C153" s="24" t="inlineStr">
        <is>
          <t>Alcohol and Drug Outcome Measure</t>
        </is>
      </c>
      <c r="D153" s="24" t="inlineStr">
        <is>
          <t>ADOM</t>
        </is>
      </c>
      <c r="E153" s="24" t="inlineStr">
        <is>
          <t>Te Pou with Waitemata DHB and the University of Otago (Pulford, Deering, Galea and others)</t>
        </is>
      </c>
      <c r="F153" s="24" t="inlineStr">
        <is>
          <t>2010 to 2015</t>
        </is>
      </c>
      <c r="G153" s="24" t="inlineStr">
        <is>
          <t>Substance use amount and frequency, lifestyle and wellbeing impacts, and recovery satisfaction for people in NZ addiction services</t>
        </is>
      </c>
      <c r="H153" s="24" t="n">
        <v>20</v>
      </c>
      <c r="I153" s="24" t="inlineStr">
        <is>
          <t>Section 1 days of use in the past 4 weeks and typical amount; section 2 problem items on 5 point scales; section 3 recovery items on 10 and 5 point scales</t>
        </is>
      </c>
      <c r="J153" s="24" t="inlineStr">
        <is>
          <t>Substance use, Lifestyle and wellbeing, Recovery</t>
        </is>
      </c>
      <c r="K153" s="24" t="inlineStr">
        <is>
          <t>No total; items tracked across admission, 6 weekly, 12 weekly and discharge collections; recovery items validated for change over 6 weeks (NZ Journal of Psychology)</t>
        </is>
      </c>
      <c r="L153" s="24" t="inlineStr">
        <is>
          <t>not stated</t>
        </is>
      </c>
      <c r="M153" s="24" t="inlineStr">
        <is>
          <t>Te Pou resource; ADOM Guide for Practitioners downloadable free; no permission statement; designed for collaborative completion by practitioner and tāngata whai ora</t>
        </is>
      </c>
      <c r="N153" s="24" t="inlineStr">
        <is>
          <t>https://www.tepou.co.nz/stories/adom-a-decade-of-measuring-alcohol-and-drug-outcomes</t>
        </is>
      </c>
      <c r="O153" s="24" t="inlineStr">
        <is>
          <t>Yes</t>
        </is>
      </c>
      <c r="P153" s="24" t="inlineStr">
        <is>
          <t>https://www.tepou.co.nz/resources/adom-guide-for-practitioners</t>
        </is>
      </c>
      <c r="Q153" s="24" t="inlineStr">
        <is>
          <t>NZ developed; mandated national outcome measure for community addiction services, collected in PRIMHD since 2015, with Māori making up about a third of the validation sample</t>
        </is>
      </c>
      <c r="R153" s="24" t="inlineStr">
        <is>
          <t>Clinician assisted rather than pure self report; relevant if the practice sees funded AOD clients</t>
        </is>
      </c>
      <c r="S153" s="24" t="inlineStr"/>
      <c r="T153" s="24" t="inlineStr">
        <is>
          <t>https://www.psychology.org.nz/journal-archive/Measuring-Recovery.pdf</t>
        </is>
      </c>
      <c r="U153" s="24" t="inlineStr">
        <is>
          <t>Sarah only if used (screener; never summarised to the client)</t>
        </is>
      </c>
      <c r="V153" s="24" t="inlineStr"/>
      <c r="W153" s="24" t="inlineStr"/>
      <c r="X153" s="24" t="inlineStr"/>
    </row>
    <row r="154">
      <c r="A154" s="24" t="n">
        <v>153</v>
      </c>
      <c r="B154" s="24" t="inlineStr">
        <is>
          <t>Clinical practice in New Zealand</t>
        </is>
      </c>
      <c r="C154" s="24" t="inlineStr">
        <is>
          <t>Health of the Nation Outcome Scales</t>
        </is>
      </c>
      <c r="D154" s="24" t="inlineStr">
        <is>
          <t>HoNOS</t>
        </is>
      </c>
      <c r="E154" s="24" t="inlineStr">
        <is>
          <t>Wing, Curtis and Beevor, Royal College of Psychiatrists Research Unit</t>
        </is>
      </c>
      <c r="F154" s="24" t="inlineStr">
        <is>
          <t>1996</t>
        </is>
      </c>
      <c r="G154" s="24" t="inlineStr">
        <is>
          <t>Clinician rated severity across 12 behavioural, impairment, symptom and social problem domains (HoNOS 65+, HoNOSCA and HoNOS-LD variants)</t>
        </is>
      </c>
      <c r="H154" s="24" t="n">
        <v>12</v>
      </c>
      <c r="I154" s="24" t="inlineStr">
        <is>
          <t>Each item rated by the clinician 0 (no problem) to 4 (severe to very severe problem)</t>
        </is>
      </c>
      <c r="J154" s="24" t="inlineStr">
        <is>
          <t>Behaviour, Impairment, Symptoms, Social</t>
        </is>
      </c>
      <c r="K154" s="24" t="inlineStr">
        <is>
          <t>Total 0 to 48 and item profiles; a rating of 2 or more on an item is clinically significant; no self report version</t>
        </is>
      </c>
      <c r="L154" s="24" t="inlineStr">
        <is>
          <t>permission required</t>
        </is>
      </c>
      <c r="M154" s="24" t="inlineStr">
        <is>
          <t>Copyright Royal College of Psychiatrists; NZ use is through Te Pou national training, with ratings required for PRIMHD reporting</t>
        </is>
      </c>
      <c r="N154" s="24" t="inlineStr">
        <is>
          <t>https://www.tepou.co.nz/resources/using-honos-honos-65-honosca-to-enhance-outcomes-for-tangata-whaiora-motuhake-and-their-whanau-principles-to-guide-practice</t>
        </is>
      </c>
      <c r="O154" s="24" t="inlineStr">
        <is>
          <t>No</t>
        </is>
      </c>
      <c r="P154" s="24" t="inlineStr">
        <is>
          <t>https://www.rcpsych.ac.uk/events/in-house-training/health-of-the-nation-outcome-scales</t>
        </is>
      </c>
      <c r="Q154" s="24" t="inlineStr">
        <is>
          <t>Mandatory clinician rated outcome measure in NZ specialist mental health services (PRIMHD) and an approved secondary measure in the ACC Sensitive Claims Service; Te Pou provides NZ training</t>
        </is>
      </c>
      <c r="R154" s="24" t="inlineStr">
        <is>
          <t>Clinician rated, so it does not belong in a self report codebook; listed for completeness because ACC and Te Whatu Ora require it</t>
        </is>
      </c>
      <c r="S154" s="24" t="inlineStr"/>
      <c r="T154" s="24" t="inlineStr">
        <is>
          <t>https://www.acc.co.nz/assets/provider/Sensitive-Claims-Service-Outcome-Measure-Score-Sheets.pdf</t>
        </is>
      </c>
      <c r="U154" s="24" t="inlineStr">
        <is>
          <t>Sarah only if used (screener; never summarised to the client)</t>
        </is>
      </c>
      <c r="V154" s="24" t="inlineStr"/>
      <c r="W154" s="24" t="inlineStr"/>
      <c r="X154" s="24" t="inlineStr"/>
    </row>
  </sheetData>
  <autoFilter ref="A1:X154"/>
  <pageMargins left="0.75" right="0.75" top="1" bottom="1" header="0.5" footer="0.5"/>
</worksheet>
</file>

<file path=xl/worksheets/sheet6.xml><?xml version="1.0" encoding="utf-8"?>
<worksheet xmlns="http://schemas.openxmlformats.org/spreadsheetml/2006/main">
  <sheetPr filterMode="0">
    <outlinePr summaryBelow="1" summaryRight="1"/>
    <pageSetUpPr fitToPage="0"/>
  </sheetPr>
  <dimension ref="A1:I3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16" min="1" max="1"/>
    <col width="24" customWidth="1" style="16" min="2" max="2"/>
    <col width="20" customWidth="1" style="16" min="3" max="3"/>
    <col width="44" customWidth="1" style="16" min="4" max="4"/>
    <col width="11" customWidth="1" style="16" min="5" max="5"/>
    <col width="40" customWidth="1" style="16" min="6" max="6"/>
    <col width="26" customWidth="1" style="16" min="7" max="7"/>
    <col width="60" customWidth="1" style="16" min="8" max="9"/>
  </cols>
  <sheetData>
    <row r="1" ht="30" customHeight="1" s="17">
      <c r="A1" s="25" t="inlineStr">
        <is>
          <t>Battery (form name)</t>
        </is>
      </c>
      <c r="B1" s="25" t="inlineStr">
        <is>
          <t>Notion tag</t>
        </is>
      </c>
      <c r="C1" s="25" t="inlineStr">
        <is>
          <t>Instrument codes</t>
        </is>
      </c>
      <c r="D1" s="25" t="inlineStr">
        <is>
          <t>Instruments</t>
        </is>
      </c>
      <c r="E1" s="25" t="inlineStr">
        <is>
          <t>Items in battery</t>
        </is>
      </c>
      <c r="F1" s="25" t="inlineStr">
        <is>
          <t>Administration time by instrument</t>
        </is>
      </c>
      <c r="G1" s="25" t="inlineStr">
        <is>
          <t>Report skill</t>
        </is>
      </c>
      <c r="H1" s="25" t="inlineStr">
        <is>
          <t>What it assesses</t>
        </is>
      </c>
      <c r="I1" s="25" t="inlineStr">
        <is>
          <t>Scoring and interpretation notes</t>
        </is>
      </c>
    </row>
    <row r="2" ht="94.5" customHeight="1" s="17">
      <c r="A2" s="26" t="inlineStr">
        <is>
          <t>Executive Function Measures</t>
        </is>
      </c>
      <c r="B2" s="27" t="inlineStr">
        <is>
          <t>Executive Function (NT)</t>
        </is>
      </c>
      <c r="C2" s="27" t="inlineStr">
        <is>
          <t>ESQ-R</t>
        </is>
      </c>
      <c r="D2" s="27" t="inlineStr">
        <is>
          <t>Executive Skills Questionnaire - Revised (ESQ-R)</t>
        </is>
      </c>
      <c r="E2" s="28">
        <f>COUNTIF('Master Item List'!$A:$A,"ESQ-R")</f>
        <v/>
      </c>
      <c r="F2" s="27" t="inlineStr">
        <is>
          <t>ESQ-R: 5 minutes</t>
        </is>
      </c>
      <c r="G2" s="27" t="inlineStr">
        <is>
          <t>ef-measures-report-nt</t>
        </is>
      </c>
      <c r="H2" s="27" t="inlineStr">
        <is>
          <t>Executive skills profile for clients without an ADHD diagnosis, locating difficulty across plan management, time management, organisation, emotional regulation and behavioural regulation.</t>
        </is>
      </c>
      <c r="I2" s="27" t="inlineStr">
        <is>
          <t>Single instrument battery. Higher ESQ-R scores mean more difficulty. The CFI was removed from this battery on 26 September 2026; check the report skill no longer expects it.</t>
        </is>
      </c>
    </row>
    <row r="3" ht="94.5" customHeight="1" s="17">
      <c r="A3" s="26" t="inlineStr">
        <is>
          <t>Executive Function Measures (ADHD)</t>
        </is>
      </c>
      <c r="B3" s="27" t="inlineStr">
        <is>
          <t>Executive Function (ADHD)</t>
        </is>
      </c>
      <c r="C3" s="27" t="inlineStr">
        <is>
          <t>ASRS, ESQ-R</t>
        </is>
      </c>
      <c r="D3" s="27" t="inlineStr">
        <is>
          <t>Adult ADHD Self-Report Scale (ASRS v1.1)
Executive Skills Questionnaire - Revised (ESQ-R)</t>
        </is>
      </c>
      <c r="E3" s="28">
        <f>COUNTIF('Master Item List'!$A:$A,"ASRS")+COUNTIF('Master Item List'!$A:$A,"ESQ-R")</f>
        <v/>
      </c>
      <c r="F3" s="27" t="inlineStr">
        <is>
          <t>ASRS: 3 minutes
ESQ-R: 5 minutes</t>
        </is>
      </c>
      <c r="G3" s="27" t="inlineStr">
        <is>
          <t>ef-measures-report-adhd</t>
        </is>
      </c>
      <c r="H3" s="27" t="inlineStr">
        <is>
          <t>The executive skills profile with current adult ADHD symptom screening added. Use for clients with a diagnosis or where ADHD is a live question.</t>
        </is>
      </c>
      <c r="I3" s="27" t="inlineStr">
        <is>
          <t>ASRS Part A of 14 or more is a positive screen, not a diagnosis. The CFI was removed from this battery on 26 September 2026. The report skill description still names the CFI and the ACOS-Self, neither of which is in this battery now; check the skill matches the form.</t>
        </is>
      </c>
    </row>
    <row r="4" ht="94.5" customHeight="1" s="17">
      <c r="A4" s="26" t="inlineStr">
        <is>
          <t>Strengths Assessment</t>
        </is>
      </c>
      <c r="B4" s="27" t="inlineStr">
        <is>
          <t>Strengths</t>
        </is>
      </c>
      <c r="C4" s="27" t="inlineStr">
        <is>
          <t>SKS, SUS, SSES</t>
        </is>
      </c>
      <c r="D4" s="27" t="inlineStr">
        <is>
          <t>Strengths Knowledge Scale
Strengths Use Scale
Strengths Self-Efficacy Scale</t>
        </is>
      </c>
      <c r="E4" s="28">
        <f>COUNTIF('Master Item List'!$A:$A,"SKS")+COUNTIF('Master Item List'!$A:$A,"SUS")+COUNTIF('Master Item List'!$A:$A,"SSES")</f>
        <v/>
      </c>
      <c r="F4" s="27" t="inlineStr">
        <is>
          <t>SKS: 2-3 minutes
SUS: 3-5 minutes
SSES: 3-5 minutes</t>
        </is>
      </c>
      <c r="G4" s="27" t="inlineStr">
        <is>
          <t>strengths-report</t>
        </is>
      </c>
      <c r="H4" s="27" t="inlineStr">
        <is>
          <t>Whether a client knows their strengths, uses them, and feels confident applying them. Suited to repeat administration to show change across a coaching engagement.</t>
        </is>
      </c>
      <c r="I4" s="27" t="inlineStr">
        <is>
          <t>No population norms; read against the client’s own baseline.</t>
        </is>
      </c>
    </row>
    <row r="5" ht="94.5" customHeight="1" s="17">
      <c r="A5" s="26" t="inlineStr">
        <is>
          <t>Work Mindset Assessment</t>
        </is>
      </c>
      <c r="B5" s="27" t="inlineStr">
        <is>
          <t>Work Mindset</t>
        </is>
      </c>
      <c r="C5" s="27" t="inlineStr">
        <is>
          <t>CSES, PES</t>
        </is>
      </c>
      <c r="D5" s="27" t="inlineStr">
        <is>
          <t>Core Self-Evaluations Scale
Psychological Empowerment Scale</t>
        </is>
      </c>
      <c r="E5" s="28">
        <f>COUNTIF('Master Item List'!$A:$A,"CSES")+COUNTIF('Master Item List'!$A:$A,"PES")</f>
        <v/>
      </c>
      <c r="F5" s="27" t="inlineStr">
        <is>
          <t>CSES: 2-3 minutes
PES: 3-5 minutes</t>
        </is>
      </c>
      <c r="G5" s="27" t="inlineStr">
        <is>
          <t>work-mindset-report</t>
        </is>
      </c>
      <c r="H5" s="27" t="inlineStr">
        <is>
          <t>General positive self appraisal alongside felt empowerment in a work or study role.</t>
        </is>
      </c>
      <c r="I5" s="27" t="inlineStr">
        <is>
          <t>The PES assumes a defined work role, so it suits employed and placement clients better than full time students.</t>
        </is>
      </c>
    </row>
    <row r="6" ht="94.5" customHeight="1" s="17">
      <c r="A6" s="26" t="inlineStr">
        <is>
          <t>DASS-21</t>
        </is>
      </c>
      <c r="B6" s="27" t="inlineStr">
        <is>
          <t>Single Measure</t>
        </is>
      </c>
      <c r="C6" s="27" t="inlineStr">
        <is>
          <t>DASS-21</t>
        </is>
      </c>
      <c r="D6" s="27" t="inlineStr">
        <is>
          <t>Depression Anxiety Stress Scales, 21 item version (DASS-21)</t>
        </is>
      </c>
      <c r="E6" s="28">
        <f>COUNTIF('Master Item List'!$A:$A,"DASS-21")</f>
        <v/>
      </c>
      <c r="F6" s="27" t="inlineStr">
        <is>
          <t>DASS-21: 4 minutes</t>
        </is>
      </c>
      <c r="G6" s="27" t="inlineStr">
        <is>
          <t>dass21-report</t>
        </is>
      </c>
      <c r="H6" s="27" t="inlineStr">
        <is>
          <t>Distress screening over the past week, to establish whether coaching can safely proceed and whether clinical input is needed.</t>
        </is>
      </c>
      <c r="I6" s="27" t="inlineStr">
        <is>
          <t>Screening only. Contains no suicide item and does not assess risk; items 10, 17 and 21 are followed up directly when endorsed at 2 or 3.</t>
        </is>
      </c>
    </row>
    <row r="7" ht="94.5" customHeight="1" s="17">
      <c r="A7" s="26" t="inlineStr">
        <is>
          <t>Thinking Patterns</t>
        </is>
      </c>
      <c r="B7" s="27" t="inlineStr">
        <is>
          <t>Thinking Patterns</t>
        </is>
      </c>
      <c r="C7" s="27" t="inlineStr">
        <is>
          <t>PTQ, RRS</t>
        </is>
      </c>
      <c r="D7" s="27" t="inlineStr">
        <is>
          <t>Perseverative Thinking Questionnaire
Ruminative Responses Scale</t>
        </is>
      </c>
      <c r="E7" s="28">
        <f>COUNTIF('Master Item List'!$A:$A,"PTQ")+COUNTIF('Master Item List'!$A:$A,"RRS")</f>
        <v/>
      </c>
      <c r="F7" s="27" t="inlineStr">
        <is>
          <t>PTQ: Not stated in the source. A brief 15-item self-report measure, typically completed in a few minutes.
RRS: Approximately 2 minutes (per NovoPsych).</t>
        </is>
      </c>
      <c r="G7" s="27" t="inlineStr">
        <is>
          <t>thinking-patterns-report</t>
        </is>
      </c>
      <c r="H7" s="27" t="inlineStr">
        <is>
          <t>The process of repetitive negative thinking rather than the resulting mood: overall perseverative thinking, and brooding versus reflective rumination.</t>
        </is>
      </c>
      <c r="I7" s="27" t="inlineStr">
        <is>
          <t>Only the RRS Brooding and Reflection subscales are recommended for coaching interpretation.</t>
        </is>
      </c>
    </row>
    <row r="8" ht="94.5" customHeight="1" s="17">
      <c r="A8" s="26" t="inlineStr">
        <is>
          <t>Perfectionism</t>
        </is>
      </c>
      <c r="B8" s="27" t="inlineStr">
        <is>
          <t>Perfectionism</t>
        </is>
      </c>
      <c r="C8" s="27" t="inlineStr">
        <is>
          <t>CFI, PCI</t>
        </is>
      </c>
      <c r="D8" s="27" t="inlineStr">
        <is>
          <t>Cognitive Flexibility Inventory (CFI)
Perfectionism Cognitions Inventory</t>
        </is>
      </c>
      <c r="E8" s="28">
        <f>COUNTIF('Master Item List'!$A:$A,"CFI")+COUNTIF('Master Item List'!$A:$A,"PCI")</f>
        <v/>
      </c>
      <c r="F8" s="27" t="inlineStr">
        <is>
          <t>CFI: 3 minutes
PCI: Approximately 4 minutes (per NovoPsych).</t>
        </is>
      </c>
      <c r="G8" s="27" t="inlineStr">
        <is>
          <t>perfectionism-report</t>
        </is>
      </c>
      <c r="H8" s="27" t="inlineStr">
        <is>
          <t>Frequency of perfectionistic self talk, paired with cognitive flexibility as the capacity that loosens it.</t>
        </is>
      </c>
      <c r="I8" s="27" t="inlineStr">
        <is>
          <t>PCI higher means more perfectionistic thinking; CFI higher means more flexibility.</t>
        </is>
      </c>
    </row>
    <row r="9" ht="94.5" customHeight="1" s="17">
      <c r="A9" s="26" t="inlineStr">
        <is>
          <t>Self-Appraisal Assessment</t>
        </is>
      </c>
      <c r="B9" s="27" t="inlineStr">
        <is>
          <t>Self-Appraisal</t>
        </is>
      </c>
      <c r="C9" s="27" t="inlineStr">
        <is>
          <t>FSCRS, SCS-SF</t>
        </is>
      </c>
      <c r="D9" s="27" t="inlineStr">
        <is>
          <t>Forms of Self-Criticising/Attacking and Self-Reassuring Scale
Self-Compassion Scale – Short Form</t>
        </is>
      </c>
      <c r="E9" s="28">
        <f>COUNTIF('Master Item List'!$A:$A,"FSCRS")+COUNTIF('Master Item List'!$A:$A,"SCS-SF")</f>
        <v/>
      </c>
      <c r="F9" s="27" t="inlineStr">
        <is>
          <t>FSCRS: Not stated in the source. A brief 22-item self-report measure, typically completed in a few minutes.
SCS-SF: Approximately 2 minutes (per NovoPsych).</t>
        </is>
      </c>
      <c r="G9" s="27" t="inlineStr">
        <is>
          <t>self-appraisal-report</t>
        </is>
      </c>
      <c r="H9" s="27" t="inlineStr">
        <is>
          <t>How a client talks to themselves when things go wrong: self critical and self reassuring forms from the FSCRS, and self compassion from the SCS-SF.</t>
        </is>
      </c>
      <c r="I9" s="27" t="inlineStr">
        <is>
          <t>FSCRS item 9 sits close to self harm content; frame with care. SCS-SF higher means more self compassion, the opposite direction to the FSCRS Inadequate and Hated Self subscales.</t>
        </is>
      </c>
    </row>
    <row r="10" ht="94.5" customHeight="1" s="17">
      <c r="A10" s="26" t="inlineStr">
        <is>
          <t>Procrastination</t>
        </is>
      </c>
      <c r="B10" s="27" t="inlineStr">
        <is>
          <t>Procrastination</t>
        </is>
      </c>
      <c r="C10" s="27" t="inlineStr">
        <is>
          <t>PPS, IPS</t>
        </is>
      </c>
      <c r="D10" s="27" t="inlineStr">
        <is>
          <t>Pure Procrastination Scale
Irrational Procrastination Scale</t>
        </is>
      </c>
      <c r="E10" s="28">
        <f>COUNTIF('Master Item List'!$A:$A,"PPS")+COUNTIF('Master Item List'!$A:$A,"IPS")</f>
        <v/>
      </c>
      <c r="F10" s="27" t="inlineStr">
        <is>
          <t>PPS: 2-3 minutes
IPS: 1-2 minutes</t>
        </is>
      </c>
      <c r="G10" s="27" t="inlineStr">
        <is>
          <t>procrastination-report</t>
        </is>
      </c>
      <c r="H10" s="27" t="inlineStr">
        <is>
          <t>General delay across decisions and tasks (PPS) and delay that the client recognises as harmful to them (IPS).</t>
        </is>
      </c>
      <c r="I10" s="27" t="inlineStr">
        <is>
          <t>IPS items 2, 6 and 9 are reverse scored.</t>
        </is>
      </c>
    </row>
    <row r="11" ht="94.5" customHeight="1" s="17">
      <c r="A11" s="26" t="inlineStr">
        <is>
          <t>Goal Pursuit</t>
        </is>
      </c>
      <c r="B11" s="27" t="inlineStr">
        <is>
          <t>Goal Pursuit</t>
        </is>
      </c>
      <c r="C11" s="27" t="inlineStr">
        <is>
          <t>GSE, GCS, GADJ</t>
        </is>
      </c>
      <c r="D11" s="27" t="inlineStr">
        <is>
          <t>General Self-Efficacy Scale
Goal Commitment Scale (5-item unidimensional version)
Goal Adjustment Scale</t>
        </is>
      </c>
      <c r="E11" s="28">
        <f>COUNTIF('Master Item List'!$A:$A,"GSE")+COUNTIF('Master Item List'!$A:$A,"GCS")+COUNTIF('Master Item List'!$A:$A,"GADJ")</f>
        <v/>
      </c>
      <c r="F11" s="27" t="inlineStr">
        <is>
          <t>GSE: 4 minutes average (per the official FU Berlin documentation)
GCS: Not stated on source
GADJ: Not stated on source</t>
        </is>
      </c>
      <c r="G11" s="29" t="inlineStr">
        <is>
          <t>No report skill yet</t>
        </is>
      </c>
      <c r="H11" s="27" t="inlineStr">
        <is>
          <t>General confidence in managing difficulty (GSE), commitment to a specific goal the client names (GCS), and the capacity to let go of unattainable goals and take up new ones (GADJ).</t>
        </is>
      </c>
      <c r="I11" s="27" t="inlineStr">
        <is>
          <t>GCS items refer to a goal the client names, so the form must ask for the goal first; GCS items 1, 2 and 4 are reverse scored. Score the 2 GADJ subscales separately; GADJ items 2 and 3 are reverse scored. Both the GCS and GADJ need author permission for paid use.</t>
        </is>
      </c>
    </row>
    <row r="12" ht="94.5" customHeight="1" s="17">
      <c r="A12" s="26" t="inlineStr">
        <is>
          <t>Self-Determination</t>
        </is>
      </c>
      <c r="B12" s="27" t="inlineStr">
        <is>
          <t>Self Determination</t>
        </is>
      </c>
      <c r="C12" s="27" t="inlineStr">
        <is>
          <t>BPNSFS</t>
        </is>
      </c>
      <c r="D12" s="27" t="inlineStr">
        <is>
          <t>Basic Psychological Need Satisfaction and Frustration Scale (BPNSFS)</t>
        </is>
      </c>
      <c r="E12" s="28">
        <f>COUNTIF('Master Item List'!$A:$A,"BPNSFS")</f>
        <v/>
      </c>
      <c r="F12" s="27" t="inlineStr">
        <is>
          <t>BPNSFS: Not stated on source</t>
        </is>
      </c>
      <c r="G12" s="27" t="inlineStr">
        <is>
          <t>self-determination-report</t>
        </is>
      </c>
      <c r="H12" s="27" t="inlineStr">
        <is>
          <t>Satisfaction and frustration of the needs for autonomy, competence and relatedness, to locate whether low motivation reflects unmet needs or actively thwarted ones.</t>
        </is>
      </c>
      <c r="I12" s="27" t="inlineStr">
        <is>
          <t>Keep the 6 subscales separate. Commercial use needs written permission from the Center for Self-Determination Theory.</t>
        </is>
      </c>
    </row>
    <row r="14" ht="15" customHeight="1" s="17">
      <c r="A14" s="30" t="inlineStr">
        <is>
          <t>Instrument to battery map</t>
        </is>
      </c>
    </row>
    <row r="15" ht="15" customHeight="1" s="17">
      <c r="A15" s="25" t="inlineStr">
        <is>
          <t>Instrument code</t>
        </is>
      </c>
      <c r="B15" s="25" t="inlineStr">
        <is>
          <t>Instrument</t>
        </is>
      </c>
      <c r="C15" s="25" t="inlineStr">
        <is>
          <t>Batteries using it</t>
        </is>
      </c>
    </row>
    <row r="16" ht="46.25" customHeight="1" s="17">
      <c r="A16" s="26" t="inlineStr">
        <is>
          <t>ESQ-R</t>
        </is>
      </c>
      <c r="B16" s="27" t="inlineStr">
        <is>
          <t>Executive Skills Questionnaire - Revised (ESQ-R)</t>
        </is>
      </c>
      <c r="C16" s="27" t="inlineStr">
        <is>
          <t>Executive Function Measures
Executive Function Measures (ADHD)</t>
        </is>
      </c>
    </row>
    <row r="17" ht="23.85" customHeight="1" s="17">
      <c r="A17" s="26" t="inlineStr">
        <is>
          <t>CFI</t>
        </is>
      </c>
      <c r="B17" s="27" t="inlineStr">
        <is>
          <t>Cognitive Flexibility Inventory (CFI)</t>
        </is>
      </c>
      <c r="C17" s="27" t="inlineStr">
        <is>
          <t>Perfectionism</t>
        </is>
      </c>
    </row>
    <row r="18" ht="23.85" customHeight="1" s="17">
      <c r="A18" s="26" t="inlineStr">
        <is>
          <t>ASRS</t>
        </is>
      </c>
      <c r="B18" s="27" t="inlineStr">
        <is>
          <t>Adult ADHD Self-Report Scale (ASRS v1.1)</t>
        </is>
      </c>
      <c r="C18" s="27" t="inlineStr">
        <is>
          <t>Executive Function Measures (ADHD)</t>
        </is>
      </c>
    </row>
    <row r="19" ht="15" customHeight="1" s="17">
      <c r="A19" s="26" t="inlineStr">
        <is>
          <t>SKS</t>
        </is>
      </c>
      <c r="B19" s="27" t="inlineStr">
        <is>
          <t>Strengths Knowledge Scale</t>
        </is>
      </c>
      <c r="C19" s="27" t="inlineStr">
        <is>
          <t>Strengths Assessment</t>
        </is>
      </c>
    </row>
    <row r="20" ht="15" customHeight="1" s="17">
      <c r="A20" s="26" t="inlineStr">
        <is>
          <t>SUS</t>
        </is>
      </c>
      <c r="B20" s="27" t="inlineStr">
        <is>
          <t>Strengths Use Scale</t>
        </is>
      </c>
      <c r="C20" s="27" t="inlineStr">
        <is>
          <t>Strengths Assessment</t>
        </is>
      </c>
    </row>
    <row r="21" ht="15" customHeight="1" s="17">
      <c r="A21" s="26" t="inlineStr">
        <is>
          <t>SSES</t>
        </is>
      </c>
      <c r="B21" s="27" t="inlineStr">
        <is>
          <t>Strengths Self-Efficacy Scale</t>
        </is>
      </c>
      <c r="C21" s="27" t="inlineStr">
        <is>
          <t>Strengths Assessment</t>
        </is>
      </c>
    </row>
    <row r="22" ht="23.85" customHeight="1" s="17">
      <c r="A22" s="26" t="inlineStr">
        <is>
          <t>CSES</t>
        </is>
      </c>
      <c r="B22" s="27" t="inlineStr">
        <is>
          <t>Core Self-Evaluations Scale</t>
        </is>
      </c>
      <c r="C22" s="27" t="inlineStr">
        <is>
          <t>Work Mindset Assessment</t>
        </is>
      </c>
    </row>
    <row r="23" ht="23.85" customHeight="1" s="17">
      <c r="A23" s="26" t="inlineStr">
        <is>
          <t>PES</t>
        </is>
      </c>
      <c r="B23" s="27" t="inlineStr">
        <is>
          <t>Psychological Empowerment Scale</t>
        </is>
      </c>
      <c r="C23" s="27" t="inlineStr">
        <is>
          <t>Work Mindset Assessment</t>
        </is>
      </c>
    </row>
    <row r="24" ht="35.05" customHeight="1" s="17">
      <c r="A24" s="26" t="inlineStr">
        <is>
          <t>DASS-21</t>
        </is>
      </c>
      <c r="B24" s="27" t="inlineStr">
        <is>
          <t>Depression Anxiety Stress Scales, 21 item version (DASS-21)</t>
        </is>
      </c>
      <c r="C24" s="27" t="inlineStr">
        <is>
          <t>DASS-21</t>
        </is>
      </c>
    </row>
    <row r="25" ht="23.85" customHeight="1" s="17">
      <c r="A25" s="26" t="inlineStr">
        <is>
          <t>PTQ</t>
        </is>
      </c>
      <c r="B25" s="27" t="inlineStr">
        <is>
          <t>Perseverative Thinking Questionnaire</t>
        </is>
      </c>
      <c r="C25" s="27" t="inlineStr">
        <is>
          <t>Thinking Patterns</t>
        </is>
      </c>
    </row>
    <row r="26" ht="23.85" customHeight="1" s="17">
      <c r="A26" s="26" t="inlineStr">
        <is>
          <t>RRS</t>
        </is>
      </c>
      <c r="B26" s="27" t="inlineStr">
        <is>
          <t>Ruminative Responses Scale</t>
        </is>
      </c>
      <c r="C26" s="27" t="inlineStr">
        <is>
          <t>Thinking Patterns</t>
        </is>
      </c>
    </row>
    <row r="27" ht="35.05" customHeight="1" s="17">
      <c r="A27" s="26" t="inlineStr">
        <is>
          <t>FSCRS</t>
        </is>
      </c>
      <c r="B27" s="27" t="inlineStr">
        <is>
          <t>Forms of Self-Criticising/Attacking and Self-Reassuring Scale</t>
        </is>
      </c>
      <c r="C27" s="27" t="inlineStr">
        <is>
          <t>Self-Appraisal Assessment</t>
        </is>
      </c>
    </row>
    <row r="28" ht="23.85" customHeight="1" s="17">
      <c r="A28" s="26" t="inlineStr">
        <is>
          <t>PCI</t>
        </is>
      </c>
      <c r="B28" s="27" t="inlineStr">
        <is>
          <t>Perfectionism Cognitions Inventory</t>
        </is>
      </c>
      <c r="C28" s="27" t="inlineStr">
        <is>
          <t>Perfectionism</t>
        </is>
      </c>
    </row>
    <row r="29" ht="23.85" customHeight="1" s="17">
      <c r="A29" s="26" t="inlineStr">
        <is>
          <t>SCS-SF</t>
        </is>
      </c>
      <c r="B29" s="27" t="inlineStr">
        <is>
          <t>Self-Compassion Scale – Short Form</t>
        </is>
      </c>
      <c r="C29" s="27" t="inlineStr">
        <is>
          <t>Self-Appraisal Assessment</t>
        </is>
      </c>
    </row>
    <row r="30" ht="35.05" customHeight="1" s="17">
      <c r="A30" s="26" t="inlineStr">
        <is>
          <t>BPNSFS</t>
        </is>
      </c>
      <c r="B30" s="27" t="inlineStr">
        <is>
          <t>Basic Psychological Need Satisfaction and Frustration Scale (BPNSFS)</t>
        </is>
      </c>
      <c r="C30" s="27" t="inlineStr">
        <is>
          <t>Self-Determination</t>
        </is>
      </c>
    </row>
    <row r="31" ht="15" customHeight="1" s="17">
      <c r="A31" s="26" t="inlineStr">
        <is>
          <t>PPS</t>
        </is>
      </c>
      <c r="B31" s="27" t="inlineStr">
        <is>
          <t>Pure Procrastination Scale</t>
        </is>
      </c>
      <c r="C31" s="27" t="inlineStr">
        <is>
          <t>Procrastination</t>
        </is>
      </c>
    </row>
    <row r="32" ht="23.85" customHeight="1" s="17">
      <c r="A32" s="26" t="inlineStr">
        <is>
          <t>IPS</t>
        </is>
      </c>
      <c r="B32" s="27" t="inlineStr">
        <is>
          <t>Irrational Procrastination Scale</t>
        </is>
      </c>
      <c r="C32" s="27" t="inlineStr">
        <is>
          <t>Procrastination</t>
        </is>
      </c>
    </row>
    <row r="33" ht="15" customHeight="1" s="17">
      <c r="A33" s="26" t="inlineStr">
        <is>
          <t>GSE</t>
        </is>
      </c>
      <c r="B33" s="27" t="inlineStr">
        <is>
          <t>General Self-Efficacy Scale</t>
        </is>
      </c>
      <c r="C33" s="27" t="inlineStr">
        <is>
          <t>Goal Pursuit</t>
        </is>
      </c>
    </row>
    <row r="34" ht="23.85" customHeight="1" s="17">
      <c r="A34" s="26" t="inlineStr">
        <is>
          <t>GCS</t>
        </is>
      </c>
      <c r="B34" s="27" t="inlineStr">
        <is>
          <t>Goal Commitment Scale (5-item unidimensional version)</t>
        </is>
      </c>
      <c r="C34" s="27" t="inlineStr">
        <is>
          <t>Goal Pursuit</t>
        </is>
      </c>
    </row>
    <row r="35" ht="15" customHeight="1" s="17">
      <c r="A35" s="26" t="inlineStr">
        <is>
          <t>GADJ</t>
        </is>
      </c>
      <c r="B35" s="27" t="inlineStr">
        <is>
          <t>Goal Adjustment Scale</t>
        </is>
      </c>
      <c r="C35" s="27" t="inlineStr">
        <is>
          <t>Goal Pursuit</t>
        </is>
      </c>
    </row>
  </sheetData>
  <autoFilter ref="A1:I1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A1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6" min="1" max="1"/>
  </cols>
  <sheetData>
    <row r="1" ht="17.35" customHeight="1" s="17">
      <c r="A1" s="31" t="inlineStr">
        <is>
          <t>Tally form conversion prompt</t>
        </is>
      </c>
    </row>
    <row r="2" ht="75" customHeight="1" s="17">
      <c r="A2" s="19" t="inlineStr">
        <is>
          <t>Use this prompt in Tally when converting an existing assessment form to a different battery. Copy the prompt from the single cell in row 5 (select the cell, copy, paste into Tally), then replace the final placeholder with the rows for each instrument in the battery. The Batteries tab lists which instruments belong to each form. For each instrument, paste from the Instrument Summary: Instrument Name and Code, Instructions / prompt, Response options, Reverse-scored items, Filler items, Subscales / structure and Total scoring; and from the Master Item List, all Item Text rows for that code in item number order.</t>
        </is>
      </c>
    </row>
    <row r="4" ht="15" customHeight="1" s="17">
      <c r="A4" s="30" t="inlineStr">
        <is>
          <t>Prompt</t>
        </is>
      </c>
    </row>
    <row r="5" ht="408.75" customHeight="1" s="17">
      <c r="A5" s="32" t="inlineStr">
        <is>
          <t>I want to convert this form to a different psychometric assessment. Keep the existing layout, branding and client details section exactly as they are, and make the following changes.
1. Title
Change the form title to name the construct being measured, for example "Thinking Patterns Assessment". Use the plain construct name rather than instrument acronyms.
2. Introduction
Keep the introductory paragraph, but rewrite its closing sentence so it explains why this assessment is being used and what it will help us understand. Keep the tone warm and plain, avoid clinical or diagnostic language, and write in UK English.
3. Client details
Keep this section, its fields and its position unchanged.
4. Psychometric pages
Delete the existing psychometric questions and replace them with the instruments below, one page per instrument. On each page:
- Use the instrument's full name as the page heading.
- Add the respondent instructions exactly as given.
- Add every item exactly as worded and in the order given. Do not paraphrase, shorten or correct any item, including American spelling.
- Number the items and make every item required.
- Use the same question type for every item within an instrument.
5. Response scales
Use the response scale given for each instrument, with the exact anchor labels and numeric values. Check that the scale fits the wording of the instructions (for example, a "how often" instruction needs a frequency scale, and a "how true" instruction needs an agreement or truth scale). Directly under the instructions on each page, add one sentence explaining how to use the scale and naming its anchors, for example: "Choose 1 if the statement is not at all true of you, through to 5 if it is completely true."
6. Scoring
Add calculated fields that score each instrument according to the scoring information below.
- Reverse score the listed items before adding them up. A reversed score is (scale maximum plus scale minimum) minus the response.
- Record filler items but leave them out of every score.
- Create one calculated field per subscale, plus a total only where the scoring information says a total is used. Where it says subscales are kept separate, do not create a total.
- Name each calculated field with the instrument code and subscale, for example PTQ_Total or RRS_Brooding.
- Keep every calculated field hidden from the respondent, so that no scores appear on the form or the thank you page.
7. Check back
When you have finished, list back to me each page heading, the number of items per instrument, the response scale used, the reverse scored items, and each calculated field with its formula, so that I can check them against my codebook.
Psychometric information:
[Paste the codebook rows for each instrument here: name and code, instructions, response options, items, reverse scored items, filler items, subscales with item numbers, and total scoring.]</t>
        </is>
      </c>
    </row>
    <row r="7" ht="15" customHeight="1" s="17">
      <c r="A7" s="30" t="inlineStr">
        <is>
          <t>Checks after Tally has built the form</t>
        </is>
      </c>
    </row>
    <row r="8" ht="15" customHeight="1" s="17">
      <c r="A8" s="19" t="inlineStr">
        <is>
          <t>Item count on each page matches the Items in instrument column of the Instrument Summary.</t>
        </is>
      </c>
    </row>
    <row r="9" ht="15" customHeight="1" s="17">
      <c r="A9" s="19" t="inlineStr">
        <is>
          <t>Item wording matches the Master Item List exactly, including spelling.</t>
        </is>
      </c>
    </row>
    <row r="10" ht="15" customHeight="1" s="17">
      <c r="A10" s="19" t="inlineStr">
        <is>
          <t>Reverse scored items are reversed in the calculated fields, and filler items are excluded.</t>
        </is>
      </c>
    </row>
    <row r="11" ht="15" customHeight="1" s="17">
      <c r="A11" s="19" t="inlineStr">
        <is>
          <t>The BPNSFS and RRS have subscale fields only, with no combined total.</t>
        </is>
      </c>
    </row>
    <row r="12" ht="15" customHeight="1" s="17">
      <c r="A12" s="19" t="inlineStr">
        <is>
          <t>Calculated fields are hidden, so no scores appear on the form or the thank you page.</t>
        </is>
      </c>
    </row>
    <row r="13" ht="15" customHeight="1" s="17">
      <c r="A13" s="19" t="inlineStr">
        <is>
          <t>Submit a test response and check each calculated field by hand against the scoring rules before sending the form to a client.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Z21"/>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6" customWidth="1" style="16" min="1" max="1"/>
    <col width="36" customWidth="1" style="16" min="2" max="2"/>
    <col width="34" customWidth="1" style="16" min="3" max="3"/>
    <col width="26" customWidth="1" style="16" min="4" max="4"/>
    <col width="13" customWidth="1" style="16" min="5" max="6"/>
    <col width="40" customWidth="1" style="16" min="7" max="7"/>
    <col width="26" customWidth="1" style="16" min="8" max="8"/>
    <col width="16" customWidth="1" style="16" min="9" max="10"/>
    <col width="60" customWidth="1" style="16" min="11" max="12"/>
    <col width="58" customWidth="1" style="16" min="13" max="13"/>
    <col width="56" customWidth="1" style="16" min="14" max="14"/>
    <col width="46" customWidth="1" style="16" min="15" max="15"/>
    <col width="14" customWidth="1" style="16" min="16" max="17"/>
    <col width="58" customWidth="1" style="16" min="18" max="20"/>
    <col width="52" customWidth="1" style="16" min="21" max="21"/>
    <col width="58" customWidth="1" style="16" min="22" max="22"/>
    <col width="60" customWidth="1" style="16" min="23" max="23"/>
    <col width="58" customWidth="1" style="16" min="24" max="24"/>
    <col width="56" customWidth="1" style="16" min="25" max="25"/>
    <col width="52" customWidth="1" style="16" min="26" max="26"/>
  </cols>
  <sheetData>
    <row r="1" ht="30" customHeight="1" s="17">
      <c r="A1" s="25" t="inlineStr">
        <is>
          <t>Code</t>
        </is>
      </c>
      <c r="B1" s="25" t="inlineStr">
        <is>
          <t>Instrument Name</t>
        </is>
      </c>
      <c r="C1" s="25" t="inlineStr">
        <is>
          <t>Domain</t>
        </is>
      </c>
      <c r="D1" s="25" t="inlineStr">
        <is>
          <t>Availability</t>
        </is>
      </c>
      <c r="E1" s="25" t="inlineStr">
        <is>
          <t>Items in instrument</t>
        </is>
      </c>
      <c r="F1" s="25" t="inlineStr">
        <is>
          <t>Items in this codebook</t>
        </is>
      </c>
      <c r="G1" s="25" t="inlineStr">
        <is>
          <t>Construct measured</t>
        </is>
      </c>
      <c r="H1" s="25" t="inlineStr">
        <is>
          <t>Respondent</t>
        </is>
      </c>
      <c r="I1" s="25" t="inlineStr">
        <is>
          <t>Age range</t>
        </is>
      </c>
      <c r="J1" s="25" t="inlineStr">
        <is>
          <t>Administration time</t>
        </is>
      </c>
      <c r="K1" s="25" t="inlineStr">
        <is>
          <t>Cost and access</t>
        </is>
      </c>
      <c r="L1" s="25" t="inlineStr">
        <is>
          <t>Coaching application</t>
        </is>
      </c>
      <c r="M1" s="25" t="inlineStr">
        <is>
          <t>Purpose</t>
        </is>
      </c>
      <c r="N1" s="25" t="inlineStr">
        <is>
          <t>Instructions / prompt</t>
        </is>
      </c>
      <c r="O1" s="25" t="inlineStr">
        <is>
          <t>Response options</t>
        </is>
      </c>
      <c r="P1" s="25" t="inlineStr">
        <is>
          <t>Reverse-scored items</t>
        </is>
      </c>
      <c r="Q1" s="25" t="inlineStr">
        <is>
          <t>Filler items (not scored)</t>
        </is>
      </c>
      <c r="R1" s="25" t="inlineStr">
        <is>
          <t>Subscales / structure</t>
        </is>
      </c>
      <c r="S1" s="25" t="inlineStr">
        <is>
          <t>Total scoring</t>
        </is>
      </c>
      <c r="T1" s="25" t="inlineStr">
        <is>
          <t>Interpretation bands</t>
        </is>
      </c>
      <c r="U1" s="25" t="inlineStr">
        <is>
          <t>Cut-offs</t>
        </is>
      </c>
      <c r="V1" s="25" t="inlineStr">
        <is>
          <t>Normative data</t>
        </is>
      </c>
      <c r="W1" s="25" t="inlineStr">
        <is>
          <t>Psychometric properties</t>
        </is>
      </c>
      <c r="X1" s="25" t="inlineStr">
        <is>
          <t>Developer citation</t>
        </is>
      </c>
      <c r="Y1" s="25" t="inlineStr">
        <is>
          <t>Copyright and licensing</t>
        </is>
      </c>
      <c r="Z1" s="25" t="inlineStr">
        <is>
          <t>Source URL</t>
        </is>
      </c>
    </row>
    <row r="2" ht="169.5" customHeight="1" s="17">
      <c r="A2" s="26" t="inlineStr">
        <is>
          <t>ESQ-R</t>
        </is>
      </c>
      <c r="B2" s="27" t="inlineStr">
        <is>
          <t>Executive Skills Questionnaire - Revised (ESQ-R)</t>
        </is>
      </c>
      <c r="C2" s="27" t="inlineStr">
        <is>
          <t>1. Executive functioning and ADHD</t>
        </is>
      </c>
      <c r="D2" s="27" t="inlineStr">
        <is>
          <t>Free / open access</t>
        </is>
      </c>
      <c r="E2" s="28" t="n">
        <v>25</v>
      </c>
      <c r="F2" s="28">
        <f>COUNTIF('Master Item List'!$A:$A,$A2)</f>
        <v/>
      </c>
      <c r="G2" s="27" t="inlineStr">
        <is>
          <t>Executive functioning skills, including plan and time management, organization, and emotional and behavioral regulation</t>
        </is>
      </c>
      <c r="H2" s="27" t="inlineStr">
        <is>
          <t>Self-report</t>
        </is>
      </c>
      <c r="I2" s="27" t="inlineStr">
        <is>
          <t>14+</t>
        </is>
      </c>
      <c r="J2" s="27" t="inlineStr">
        <is>
          <t>5 minutes</t>
        </is>
      </c>
      <c r="K2" s="27" t="inlineStr">
        <is>
          <t>Included on NovoPsych with the permission of Dr Peg Dawson; blank form hosted free. Scoring and percentiles need a NovoPsych account.</t>
        </is>
      </c>
      <c r="L2" s="27" t="inlineStr">
        <is>
          <t>The core executive skills profile for coaching; the five subscales map directly onto coaching targets. Measures higher order skills rather than core executive functions.</t>
        </is>
      </c>
      <c r="M2" s="27" t="inlineStr">
        <is>
          <t>The ESQ-R is a 25-item self-report measure of executive functioning skills, including plan and time management, organization, and emotional and behavioral regulation. It was developed and published by Strait et al. (2020) and is included on NovoPsych with permission from Dr. Peg Dawson. It is intended to help identify specific areas of executive skill difficulty across five domains.</t>
        </is>
      </c>
      <c r="N2" s="27" t="inlineStr">
        <is>
          <t>Read each item and decide how often it's a problem for you.</t>
        </is>
      </c>
      <c r="O2" s="27" t="inlineStr">
        <is>
          <t>Never or rarely = 0 | Sometimes = 1 | Often = 2 | Very often = 3</t>
        </is>
      </c>
      <c r="P2" s="27" t="inlineStr">
        <is>
          <t>None</t>
        </is>
      </c>
      <c r="Q2" s="27" t="inlineStr">
        <is>
          <t>None</t>
        </is>
      </c>
      <c r="R2" s="27" t="inlineStr">
        <is>
          <t>Plan Management (items 6-7, 12-14, 16-18, 22-24; n=11; range 0-33)
Time Management (items 10-11, 15, 20; n=4; range 0-12)
Organization (items 3, 8-9; n=3; range 0-9)
Emotional Regulation (items 4-5, 21; n=3; range 0-9)
Behavioral Regulation (items 1-2, 19, 25; n=4; range 0-12)</t>
        </is>
      </c>
      <c r="S2" s="27" t="inlineStr">
        <is>
          <t>Each item is rated on a 4-point Likert-type scale from 0 to 3 reflecting the frequency with which a respondent experiences a specific difficulty. Item scores are summed to produce a total score (range 0-75) and five subscale scores (Plan Management 0-33, Time Management 0-12, Organization 0-9, Emotional Regulation 0-9, Behavioral Regulation 0-12). Higher scores indicate more difficulties with executive functioning. No reverse-scored items were identified in the retrieved source material.</t>
        </is>
      </c>
      <c r="T2" s="27" t="inlineStr">
        <is>
          <t>Low Difficulties: ≤10th percentile - Low difficulties with executive functioning skills relative to the normative sample.
Below Average Difficulties: 10th-24th percentile - Below average difficulties with executive functioning skills relative to the normative sample.
Average Difficulties: 25th-75th percentile - Average difficulties with executive functioning skills relative to the normative sample.
Above Average Difficulties: 76th-89th percentile - Above average difficulties with executive functioning skills relative to the normative sample.
High Difficulties: ≥90th percentile - High difficulties with executive functioning skills relative to the normative sample.</t>
        </is>
      </c>
      <c r="U2" s="27" t="inlineStr">
        <is>
          <t>No diagnostic cut-off. Total score percentile bands: Low Difficulties (&lt;=10th), Below Average (11th-24th), Average (25th-75th), Above Average (76th-89th), High (&gt;=90th). Above Average or High suggests clinically significant executive functioning challenges. Subscale average ratings: No or Low Difficulty 0-1; Moderate Difficulty 1.01-1.99; High Difficulty 2-3. A change of 5 or more points on the total score is a Minimally Important Difference.</t>
        </is>
      </c>
      <c r="V2" s="27" t="inlineStr">
        <is>
          <t>Sample of 327 working adults in Malaysia (153 male, 171 female, 1 unknown; aged 23-80, M = 40.34, SD = 10.39) completing a modified ESQ-R (Nasir et al., 2021). Total M = 20.54 (SD 10.27); Plan Management M = 7.59 (SD 5.08); Time Management M = 3.03 (SD 2.24); Organization M = 2.57 (SD 1.96); Emotional Regulation M = 3.02 (SD 1.88); Behavioral Regulation M = 4.32 (SD 2.08). These means and SDs convert raw scores to percentiles.</t>
        </is>
      </c>
      <c r="W2" s="27" t="inlineStr">
        <is>
          <t>Internal consistency Cronbach's alpha = .91; test-retest reliability r = .70 (Strait et al., 2020). Factor alphas: Plan Management .89 (11 items), Time Management .74 (4), Organization .76 (3), Emotional Regulation .75 (3), Behavioral Regulation .65 (4). Convergent validity: Current Behavior Scale r = .74; Adult Executive Functioning Inventory r = .69. Discriminant validity: DASS-21 Depression r = .48, Anxiety r = .38, Stress r = .44; GAD-7 r = .45; PSS-10 r = .55. Academic engagement r = -.40.</t>
        </is>
      </c>
      <c r="X2" s="27" t="inlineStr">
        <is>
          <t>Developed by Dr. Peg Dawson (Smart But Scattered Kids). Original citation: Strait, J. E., Dawson, P., Walther, C. A. P., Strait, G. G., Barton, A. K., &amp; McClain, M. B. (2020). Refinement and psychometric evaluation of the Executive Skills Questionnaire-Revised. Contemporary School Psychology, 24, 378-388. https://doi.org/10.1007/s40688-018-00224-x</t>
        </is>
      </c>
      <c r="Y2" s="27" t="inlineStr">
        <is>
          <t>© 2026 Copyright – NovoPsych – All rights reserved. The ESQ-R was developed and published by Strait et al. (2020) and is included on NovoPsych with permission from Dr. Peg Dawson.</t>
        </is>
      </c>
      <c r="Z2" s="27" t="inlineStr">
        <is>
          <t>https://novopsych.com/assessments/formulation/executive-skills-questionnaire-revised-esq-r/</t>
        </is>
      </c>
    </row>
    <row r="3" ht="169.5" customHeight="1" s="17">
      <c r="A3" s="26" t="inlineStr">
        <is>
          <t>CFI</t>
        </is>
      </c>
      <c r="B3" s="27" t="inlineStr">
        <is>
          <t>Cognitive Flexibility Inventory (CFI)</t>
        </is>
      </c>
      <c r="C3" s="27" t="inlineStr">
        <is>
          <t>1. Executive functioning and ADHD</t>
        </is>
      </c>
      <c r="D3" s="27" t="inlineStr">
        <is>
          <t>Free / open access</t>
        </is>
      </c>
      <c r="E3" s="28" t="n">
        <v>20</v>
      </c>
      <c r="F3" s="28">
        <f>COUNTIF('Master Item List'!$A:$A,$A3)</f>
        <v/>
      </c>
      <c r="G3" s="27" t="inlineStr">
        <is>
          <t>Cognitive flexibility - the ability to perceive multiple alternative explanations for life occurrences and human behaviour, generate multiple alternative solutions to difficult situations, and perceive difficult situations as controllable</t>
        </is>
      </c>
      <c r="H3" s="27" t="inlineStr">
        <is>
          <t>Self-report</t>
        </is>
      </c>
      <c r="I3" s="27" t="inlineStr">
        <is>
          <t>18+</t>
        </is>
      </c>
      <c r="J3" s="27" t="inlineStr">
        <is>
          <t>3 minutes</t>
        </is>
      </c>
      <c r="K3" s="27" t="inlineStr">
        <is>
          <t>Published in Dennis and Vander Wal (2010); blank form hosted free on NovoPsych.</t>
        </is>
      </c>
      <c r="L3" s="27" t="inlineStr">
        <is>
          <t>Measures cognitive flexibility, useful for tracking response to reframing and problem solving work. Scored in the opposite direction to the ESQ-R.</t>
        </is>
      </c>
      <c r="M3" s="27" t="inlineStr">
        <is>
          <t>The CFI is a 20-item self-report measure used to monitor how often individuals engaged in cognitive behavioural thought challenging interventions. Cognitive flexibility is a core skill targeted in cognitive behavioral therapy that enables adaptive thinking during stressful life events and helps individuals avoid maladaptive thinking patterns.</t>
        </is>
      </c>
      <c r="N3" s="27" t="inlineStr">
        <is>
          <t>Please use the scale below to indicate the extent to which you agree or disagree with the following statements.</t>
        </is>
      </c>
      <c r="O3" s="27" t="inlineStr">
        <is>
          <t>Strongly disagree = 1 | Disagree = 2 | Somewhat disagree = 3 | Neutral = 4 | Somewhat agree = 5 | Agree = 6 | Strongly agree = 7</t>
        </is>
      </c>
      <c r="P3" s="27" t="inlineStr">
        <is>
          <t>2, 4, 7, 9, 11, 17</t>
        </is>
      </c>
      <c r="Q3" s="27" t="inlineStr">
        <is>
          <t>None</t>
        </is>
      </c>
      <c r="R3" s="27" t="inlineStr">
        <is>
          <t>Alternatives (items 1, 3, 5-6, 8, 10, 12-14, 16, 18-20; n=13; range 13-91)
Control (items 2, 4, 7, 9, 11, 15, 17; n=7; range 7-49)</t>
        </is>
      </c>
      <c r="S3" s="27" t="inlineStr">
        <is>
          <t>Each item is rated on a 7-point Likert scale from 1 (Strongly disagree) to 7 (Strongly agree). Items 2, 4, 7, 9, 11, and 17 are reverse scored. Item scores are summed to produce a total CFI score and two subscale scores (Alternatives and Control). A higher score indicates more cognitive flexibility.</t>
        </is>
      </c>
      <c r="T3" s="27" t="inlineStr">
        <is>
          <t>Clinically significant inflexibility: Below approximately the 25th percentile - Cognitive inflexibility of clinical significance; a target for CBT.
Average: Around the 50th percentile - More cognitive flexibility than 50 per cent of the normative sample.
High flexibility: Upper percentiles - Higher likelihood of adaptive responses to difficult life experiences.</t>
        </is>
      </c>
      <c r="U3" s="27" t="inlineStr">
        <is>
          <t>No formal diagnostic cut-off. Percentiles below approximately 25 represent clinically significant cognitive inflexibility, which would be important to target within cognitive behavioural therapy.</t>
        </is>
      </c>
      <c r="V3" s="27" t="inlineStr">
        <is>
          <t>Sample of 196 university students (Dennis &amp; Vander Wal, 2010): CFI total M = 102.98 (SD = 13.91); Alternatives M = 67.59 (SD = 9.41); Control M = 35.35 (SD = 7.02).</t>
        </is>
      </c>
      <c r="W3" s="27" t="inlineStr">
        <is>
          <t>Test-retest reliability: total r = .81; Alternatives r = .75; Control r = .77 (Dennis &amp; Vander Wal, 2010). Internal consistency: Alternatives alpha = .91; Control alpha = .86; total alpha = .90. Convergent construct validity established through associations with other measures of cognitive flexibility, depressive symptomatology and coping (Dennis &amp; Vander Wal, 2010). The CFI differentiates a clinical group (anxiety and depression) from a non-clinical sample, with the clinical group scoring significantly lower on total and subscale scores (Johnco, Wuthrich, &amp; Rapee, 2014).</t>
        </is>
      </c>
      <c r="X3" s="27" t="inlineStr">
        <is>
          <t>Dennis, J. P., &amp; Vander Wal, J. S. (2010). The cognitive flexibility inventory: Instrument development and estimates of reliability and validity. Cognitive Therapy and Research, 34(3), 241-253. https://doi.org/10.1007/s10608-009-9276-4</t>
        </is>
      </c>
      <c r="Y3" s="27" t="inlineStr">
        <is>
          <t>© 2026 Copyright – NovoPsych – All rights reserved. Sample report footer: Copyright 2022 NovoPsych Pty Ltd.</t>
        </is>
      </c>
      <c r="Z3" s="27" t="inlineStr">
        <is>
          <t>https://novopsych.com/assessments/formulation/cognitive-flexibility-inventory-cfi/</t>
        </is>
      </c>
    </row>
    <row r="4" ht="169.5" customHeight="1" s="17">
      <c r="A4" s="26" t="inlineStr">
        <is>
          <t>ASRS</t>
        </is>
      </c>
      <c r="B4" s="27" t="inlineStr">
        <is>
          <t>Adult ADHD Self-Report Scale (ASRS v1.1)</t>
        </is>
      </c>
      <c r="C4" s="27" t="inlineStr">
        <is>
          <t>1. Executive functioning and ADHD</t>
        </is>
      </c>
      <c r="D4" s="27" t="inlineStr">
        <is>
          <t>Free / open access</t>
        </is>
      </c>
      <c r="E4" s="28" t="n">
        <v>18</v>
      </c>
      <c r="F4" s="28">
        <f>COUNTIF('Master Item List'!$A:$A,$A4)</f>
        <v/>
      </c>
      <c r="G4" s="27" t="inlineStr">
        <is>
          <t>Attention Deficit Hyperactivity Disorder (ADHD) symptoms in adults, spanning inattentiveness and hyperactivity/impulsivity (including motor and verbal components)</t>
        </is>
      </c>
      <c r="H4" s="27" t="inlineStr">
        <is>
          <t>self-report</t>
        </is>
      </c>
      <c r="I4" s="27" t="inlineStr">
        <is>
          <t>18+</t>
        </is>
      </c>
      <c r="J4" s="27" t="inlineStr">
        <is>
          <t>3 minutes</t>
        </is>
      </c>
      <c r="K4" s="27" t="inlineStr">
        <is>
          <t>Public domain WHO instrument. Blank form hosted free on NovoPsych; scoring and reports need a NovoPsych account.</t>
        </is>
      </c>
      <c r="L4" s="27" t="inlineStr">
        <is>
          <t>Screening and severity measure for current adult ADHD symptoms; pairs with the WURS-25 for childhood history. Not a diagnostic instrument on its own.</t>
        </is>
      </c>
      <c r="M4" s="27" t="inlineStr">
        <is>
          <t>The ASRS v1.1 is an 18-item self-report questionnaire designed to assess ADHD symptoms in adults. It is based on the World Health Organization Composite International Diagnostic Interview (2001) and is worded to be consistent with both DSM-IV and DSM-5-TR criteria as they manifest in adults. It is intended as a screening tool used alongside clinical interview and other measures (e.g. the WURS for childhood history) rather than as a standalone diagnostic instrument.</t>
        </is>
      </c>
      <c r="N4" s="27" t="inlineStr">
        <is>
          <t>Please answer the questions below, rating yourself on each of the criteria shown. As you answer each question, select the box that best describes how you have felt and conducted yourself over the past 6 months.</t>
        </is>
      </c>
      <c r="O4" s="27" t="inlineStr">
        <is>
          <t>Never = 0 | Rarely = 1 | Sometimes = 2 | Often = 3 | Very Often = 4</t>
        </is>
      </c>
      <c r="P4" s="27" t="inlineStr">
        <is>
          <t>None</t>
        </is>
      </c>
      <c r="Q4" s="27" t="inlineStr">
        <is>
          <t>None</t>
        </is>
      </c>
      <c r="R4" s="27" t="inlineStr">
        <is>
          <t>Part A (Criterion / Screener) (items 1-6; n=6; range 0-24)
Part B (Additional Symptoms) (items 7-18; n=12; range 0-48)
Inattentiveness (items 1-4, 7-11; n=9; range 0-9 (dichotomous symptom count))
Hyperactivity/Impulsivity - Motor (items 5-6, 12-14; n=5; range 0-5 (dichotomous symptom count))
Hyperactivity/Impulsivity - Verbal (items 15-18; n=4; range 0-4 (dichotomous symptom count))</t>
        </is>
      </c>
      <c r="S4" s="27" t="inlineStr">
        <is>
          <t>As of the 2024 update, each of the 18 items is scored on a 5-point Likert scale (Never=0, Rarely=1, Sometimes=2, Often=3, Very Often=4). Part A = sum of items 1-6 (range 0-24). Part B = sum of items 7-18 (range 0-48). Total = sum of all 18 items (range 0-72). The original dichotomous (0/1) scoring is still used separately to calculate the 'percent of symptoms endorsed' for subtype/subscale reporting.</t>
        </is>
      </c>
      <c r="T4" s="27" t="inlineStr">
        <is>
          <t>Part A - Low: 0-9 - Not consistent with an ADHD diagnosis.
Part A - Mild to Moderate: 10-13 - Below the screening threshold; some symptoms reported.
Part A - High: 14-17 - Clinically significant. Symptom profile consistent with a DSM-5-TR ADHD diagnosis in adults.
Part A - Very High: 18-24 - Clinically significant; symptoms endorsed at high frequency.
Part B - Low: 0-19 - Low additional symptom burden.
Part B - Mild to Moderate: 20-26 - Below the clinically significant range.
Part B - High: 27-32 - Clinically significant.
Part B - Very High: 33-48 - Clinically significant; high additional symptom burden.
Total - Low: 0-30 - Low overall symptom burden.
Total - Mild to Moderate: 31-39 - Below the range typical of adults with ADHD.
Total - High: 40-49 - At or above the 79th percentile; in most cases someone with ADHD will score in this range or above.
Total - Very High: 50-72 - Very high overall symptom burden.</t>
        </is>
      </c>
      <c r="U4" s="27" t="inlineStr">
        <is>
          <t>Part A &gt;= 14 constitutes a positive screen and a symptom profile consistent with a DSM-5-TR adult ADHD diagnosis (Adler et al., 2006; Kessler et al., 2007; Harvard Medical School, 2024). Part B &gt;= 27 is clinically significant. A total score at or above the 79th percentile (raw &gt;= 40) typically indicates ADHD. Kessler et al. (2007) four-level Part A classification: 0-9, 10-13, 14-17, 18-24 (AUC = 0.90). Always use alongside clinical interview.</t>
        </is>
      </c>
      <c r="V4" s="27" t="inlineStr">
        <is>
          <t>Adler et al. (2018/2019) sample of 22,397 adults, 465 (2.1%) self-reporting a physician ADHD diagnosis. NovoPsych recalculated summed means/SDs (Likert scoring), accounting for inter-item correlations (r = 0.32 within parts, r = 0.74 between Parts A and B). ADHD group (n = 465): Part A M = 16.71 (SD 5.07); Part B M = 32.74 (SD 9.16); Total M = 49.45 (SD 13.36). Community sample (n = 21,932): Part A M = 10.88 (SD 3.76); Part B M = 21.60 (SD 6.69); Total M = 32.48 (SD 9.80).</t>
        </is>
      </c>
      <c r="W4" s="27" t="inlineStr">
        <is>
          <t>Internal consistency: Cronbach's alpha = .88 in adult ADHD patients (Adler et al., 2006); .952 for the full scale (Brevik et al., 2020). Concurrent validity with clinician-rated symptoms r = .84 (Adler et al., 2006). Diagnostic accuracy: AUC = .904 for the 18-item scale and .903 for the six Part A items (Brevik et al., 2020); AUC = .90 for the Kessler et al. (2007) four-level Part A classification. Under the previous scoring convention, sensitivity 1.0, specificity .71, PPP .52, NPP 1.0 (Hines, King &amp; Curry, 2012). Combined with the WURS-25, AUC = .964. Factor structure: CFA in over 1,000 adults identified three factors - Inattentiveness, Motor Hyperactivity/Impulsivity, Verbal Hyperactivity/Impulsivity (Stanton et al., 2018).</t>
        </is>
      </c>
      <c r="X4" s="27" t="inlineStr">
        <is>
          <t>Kessler, R. C., Adler, L., Ames, M., Demler, O., Faraone, S., Hiripi, E., Howes, M. J., Jin, R., Secnik, K., Spencer, T., Ustun, T. B., &amp; Walters, E. E. (2005). The World Health Organization Adult ADHD Self-Report Scale (ASRS): a short screening scale for use in the general population. Psychological Medicine, 35(2), 245-256. https://doi.org/10.1017/s0033291704002892</t>
        </is>
      </c>
      <c r="Y4" s="27" t="inlineStr">
        <is>
          <t>Public-domain WHO instrument (ASRS v1.1 Symptom Checklist). Freely reproducible for clinical and research use; NovoPsych hosts the blank form as a public PDF.</t>
        </is>
      </c>
      <c r="Z4" s="27" t="inlineStr">
        <is>
          <t>https://novopsych.com/assessments/diagnosis/adult-adhd-self-report-scale-asrs/</t>
        </is>
      </c>
    </row>
    <row r="5" ht="169.5" customHeight="1" s="17">
      <c r="A5" s="26" t="inlineStr">
        <is>
          <t>SKS</t>
        </is>
      </c>
      <c r="B5" s="27" t="inlineStr">
        <is>
          <t>Strengths Knowledge Scale</t>
        </is>
      </c>
      <c r="C5" s="27" t="inlineStr">
        <is>
          <t>2. Strengths knowledge, use and support at work</t>
        </is>
      </c>
      <c r="D5" s="27" t="inlineStr">
        <is>
          <t>Free / open access</t>
        </is>
      </c>
      <c r="E5" s="28" t="n">
        <v>8</v>
      </c>
      <c r="F5" s="28">
        <f>COUNTIF('Master Item List'!$A:$A,$A5)</f>
        <v/>
      </c>
      <c r="G5" s="27" t="inlineStr">
        <is>
          <t>Perceived self-knowledge of one's own personal strengths, i.e. the extent to which a person is aware of what they do best.</t>
        </is>
      </c>
      <c r="H5" s="27" t="inlineStr">
        <is>
          <t>Self-report</t>
        </is>
      </c>
      <c r="I5" s="27" t="inlineStr">
        <is>
          <t>Adults and university students; used in adolescent samples (secondary school age) in later validations, but the original 2007 development sample was working adults</t>
        </is>
      </c>
      <c r="J5" s="27" t="inlineStr">
        <is>
          <t>2-3 minutes</t>
        </is>
      </c>
      <c r="K5" s="27" t="inlineStr">
        <is>
          <t>No licence fee or permission is required to use the SKS in coaching practice. The scale was published in full within the original journal article (Govindji &amp; Linley, 2007, International Coaching Psychology Review, a BPS Special Group in Coaching Psychology publication) and has since been reproduced verbatim in several open-access peer-reviewed validation papers (e.g. the Frontiers in Psychology 2023 Spanish validation used as the source for this record). A practitioner can administer it as a simple paper or online 7-point rating form; no test manual, scoring software or purchase is needed. The original 2007 article itself is not reliably available as an open PDF (International Coaching Psychology Review back issues are not consistently hosted online), so items here were transcribed from an open-access reproduction rather than the original publication.</t>
        </is>
      </c>
      <c r="L5" s="27" t="inlineStr">
        <is>
          <t>The SKS is useful early in strengths coaching to establish a baseline of how well a client can already name and recognise their own best qualities, which shapes whether initial sessions should focus on strength identification (e.g. via VIA or Realise2) before moving to strengths use. Low scores flag clients who may benefit from structured strength-spotting exercises, feedback from others, or a formal strengths assessment before goal-setting. Its main limit is that it only captures self-perceived awareness, not accuracy of that self-knowledge, so it should be paired with an objective strengths measure or 360-degree feedback rather than used alone to confirm what a client's real strengths are.</t>
        </is>
      </c>
      <c r="M5" s="27" t="inlineStr">
        <is>
          <t>The SKS was developed by Govindji and Linley (2007) to measure the degree to which individuals know their own strengths, as a companion construct to strengths use. It was designed for use in positive psychology and coaching research examining how strengths knowledge and strengths use relate to well-being outcomes (subjective well-being, psychological well-being and vitality).</t>
        </is>
      </c>
      <c r="N5" s="27" t="inlineStr">
        <is>
          <t>Not stated on source</t>
        </is>
      </c>
      <c r="O5" s="27" t="inlineStr">
        <is>
          <t>Strongly disagree = 1 | 2 = 2 | 3 = 3 | 4 = 4 | 5 = 5 | 6 = 6 | Strongly agree = 7</t>
        </is>
      </c>
      <c r="P5" s="27" t="inlineStr">
        <is>
          <t>None</t>
        </is>
      </c>
      <c r="Q5" s="27" t="inlineStr">
        <is>
          <t>None</t>
        </is>
      </c>
      <c r="R5" s="27" t="inlineStr">
        <is>
          <t>Strengths Knowledge (total scale) (items 1-8; n=8; range 8-56)</t>
        </is>
      </c>
      <c r="S5" s="27" t="inlineStr">
        <is>
          <t>Sum (or mean) of the 8 item ratings. Higher total scores indicate greater self-perceived knowledge of one's own strengths. No published reverse-scored items were identified for this scale in the sources reviewed.</t>
        </is>
      </c>
      <c r="T5" s="27" t="inlineStr">
        <is>
          <t>Not stated on source</t>
        </is>
      </c>
      <c r="U5" s="27" t="inlineStr">
        <is>
          <t>No clinical or normative cut-off scores have been published for the SKS. It is used as a continuous research/coaching variable, typically compared against a client's own baseline over time rather than against population norms.</t>
        </is>
      </c>
      <c r="V5" s="27" t="inlineStr">
        <is>
          <t>No formal normative tables were located. Reported sample means come from individual studies using varied populations (e.g. UK working adults in the original 2007 study; Chinese adolescents in Duan, Li &amp; Mu, 2018, Journal of Happiness Studies; Spanish-speaking adults in the 2023 Frontiers validation) and are not interchangeable as norms.</t>
        </is>
      </c>
      <c r="W5" s="27" t="inlineStr">
        <is>
          <t>Internal consistency has repeatedly been reported as high: Cronbach's alpha = .90 for the English-language items in a 2023 Spanish validation study (Frontiers in Psychology, fpsyg.2023.1086510), which also confirmed a single-factor structure. The original Govindji &amp; Linley (2007) paper is reported in secondary sources to have found good reliability and significant positive correlations between strengths knowledge, strengths use, subjective well-being, psychological well-being and vitality, but the exact original alpha coefficient could not be independently confirmed from a source directly accessed for this record.</t>
        </is>
      </c>
      <c r="X5" s="27" t="inlineStr">
        <is>
          <t>Govindji, R., &amp; Linley, P. A. (2007). Strengths use, self-concordance and well-being: Implications for strengths coaching and coaching psychologists. International Coaching Psychology Review, 2(2), 143-153.</t>
        </is>
      </c>
      <c r="Y5" s="27" t="inlineStr">
        <is>
          <t>No explicit copyright statement, licence, or restriction on use was found for the SKS in any source reviewed. It is a short academic research scale that has been freely reprinted in full within multiple peer-reviewed, open-access journal articles without any stated permission requirement; practitioners typically cite Govindji and Linley (2007) as the source when using it. This should not be taken as a formal confirmation of public-domain status, only as the licensing position actually found.</t>
        </is>
      </c>
      <c r="Z5" s="27" t="inlineStr">
        <is>
          <t>https://www.frontiersin.org/journals/psychology/articles/10.3389/fpsyg.2023.1086510/full</t>
        </is>
      </c>
    </row>
    <row r="6" ht="169.5" customHeight="1" s="17">
      <c r="A6" s="26" t="inlineStr">
        <is>
          <t>SUS</t>
        </is>
      </c>
      <c r="B6" s="27" t="inlineStr">
        <is>
          <t>Strengths Use Scale</t>
        </is>
      </c>
      <c r="C6" s="27" t="inlineStr">
        <is>
          <t>2. Strengths knowledge, use and support at work</t>
        </is>
      </c>
      <c r="D6" s="27" t="inlineStr">
        <is>
          <t>Free / open access</t>
        </is>
      </c>
      <c r="E6" s="28" t="n">
        <v>14</v>
      </c>
      <c r="F6" s="28">
        <f>COUNTIF('Master Item List'!$A:$A,$A6)</f>
        <v/>
      </c>
      <c r="G6" s="27" t="inlineStr">
        <is>
          <t>Perceived deployment of one's own personal strengths in daily life, i.e. the extent to which a person actively uses what they do best across situations.</t>
        </is>
      </c>
      <c r="H6" s="27" t="inlineStr">
        <is>
          <t>Self-report</t>
        </is>
      </c>
      <c r="I6" s="27" t="inlineStr">
        <is>
          <t>Adults and university students; used in adolescent samples (secondary school age) in later validations, but the original 2007 development sample was working adults</t>
        </is>
      </c>
      <c r="J6" s="27" t="inlineStr">
        <is>
          <t>3-5 minutes</t>
        </is>
      </c>
      <c r="K6" s="27" t="inlineStr">
        <is>
          <t>No licence fee or permission is required to use the SUS in coaching practice. The scale was published in full within the original journal article (Govindji &amp; Linley, 2007, International Coaching Psychology Review, a BPS Special Group in Coaching Psychology publication) and has since been reproduced verbatim in several open-access peer-reviewed validation papers (e.g. the Frontiers in Psychology 2023 Spanish validation used as the source for this record). It can be administered as a simple paper or online 7-point rating form; no manual, scoring software or purchase is needed. The original 2007 article itself is not reliably available as an open PDF (International Coaching Psychology Review back issues are not consistently hosted online), so items here were transcribed from an open-access reproduction rather than the original publication.</t>
        </is>
      </c>
      <c r="L6" s="27" t="inlineStr">
        <is>
          <t>The SUS is well suited to tracking a client's progress in strengths coaching over time, since it directly measures how often and how naturally strengths are being deployed at work, study and in life generally, which is the practical outcome most strengths coaching aims to move. It works well as a short pre/post measure around a block of coaching focused on applying identified strengths to goals. Its limit is that it assumes the client already knows what their strengths are (it should usually follow, not replace, a strengths-identification step such as VIA or the SKS) and it captures frequency and ease of use rather than the fit or appropriateness of how strengths are being applied.</t>
        </is>
      </c>
      <c r="M6" s="27" t="inlineStr">
        <is>
          <t>The SUS was developed by Govindji and Linley (2007) to measure the degree to which individuals use their strengths in everyday life, for use in positive psychology and coaching research examining how strengths use relates to self-concordance and to well-being outcomes (subjective well-being, psychological well-being and vitality).</t>
        </is>
      </c>
      <c r="N6" s="27" t="inlineStr">
        <is>
          <t>The following 14 questions ask about your strengths, that is, the things that you can do well or do best.</t>
        </is>
      </c>
      <c r="O6" s="27" t="inlineStr">
        <is>
          <t>Strongly disagree = 1 | 2 = 2 | 3 = 3 | 4 = 4 | 5 = 5 | 6 = 6 | Strongly agree = 7</t>
        </is>
      </c>
      <c r="P6" s="27" t="inlineStr">
        <is>
          <t>None</t>
        </is>
      </c>
      <c r="Q6" s="27" t="inlineStr">
        <is>
          <t>None</t>
        </is>
      </c>
      <c r="R6" s="27" t="inlineStr">
        <is>
          <t>Strengths Use (total scale) (items 1-14; n=14; range 14-98)</t>
        </is>
      </c>
      <c r="S6" s="27" t="inlineStr">
        <is>
          <t>Sum (or mean) of the 14 item ratings. Higher total scores indicate greater self-reported use of personal strengths in daily life. No reverse-scored items were identified for this scale in the sources reviewed.</t>
        </is>
      </c>
      <c r="T6" s="27" t="inlineStr">
        <is>
          <t>Not stated on source</t>
        </is>
      </c>
      <c r="U6" s="27" t="inlineStr">
        <is>
          <t>No clinical or normative cut-off scores have been published for the SUS. It is used as a continuous research/coaching variable, typically tracked against a client's own baseline over time rather than against population norms.</t>
        </is>
      </c>
      <c r="V6" s="27" t="inlineStr">
        <is>
          <t>No formal normative tables were located. Reported sample means come from individual studies using varied populations (e.g. UK working adults in the original 2007 study; Chinese adolescents in Duan, Li &amp; Mu, 2018, Journal of Happiness Studies; Spanish-speaking adults in the 2023 Frontiers validation) and are not interchangeable as norms.</t>
        </is>
      </c>
      <c r="W6" s="27" t="inlineStr">
        <is>
          <t>Internal consistency has repeatedly been reported as very high: Cronbach's alpha = .95 for the English-language items in a 2023 Spanish validation study (Frontiers in Psychology, fpsyg.2023.1086510), which also confirmed a single-factor structure. The original Govindji &amp; Linley (2007) paper is reported in secondary sources to have found good reliability and significant positive correlations between strengths use, self-concordance, subjective well-being, psychological well-being and vitality, but the exact original alpha coefficient could not be independently confirmed from a source directly accessed for this record.</t>
        </is>
      </c>
      <c r="X6" s="27" t="inlineStr">
        <is>
          <t>Govindji, R., &amp; Linley, P. A. (2007). Strengths use, self-concordance and well-being: Implications for strengths coaching and coaching psychologists. International Coaching Psychology Review, 2(2), 143-153.</t>
        </is>
      </c>
      <c r="Y6" s="27" t="inlineStr">
        <is>
          <t>No explicit copyright statement, licence, or restriction on use was found for the SUS in any source reviewed. It is a short academic research scale that has been freely reprinted in full within multiple peer-reviewed, open-access journal articles without any stated permission requirement; practitioners typically cite Govindji and Linley (2007) as the source when using it. This should not be taken as a formal confirmation of public-domain status, only as the licensing position actually found.</t>
        </is>
      </c>
      <c r="Z6" s="27" t="inlineStr">
        <is>
          <t>https://www.frontiersin.org/journals/psychology/articles/10.3389/fpsyg.2023.1086510/full</t>
        </is>
      </c>
    </row>
    <row r="7" ht="169.5" customHeight="1" s="17">
      <c r="A7" s="26" t="inlineStr">
        <is>
          <t>SSES</t>
        </is>
      </c>
      <c r="B7" s="27" t="inlineStr">
        <is>
          <t>Strengths Self-Efficacy Scale</t>
        </is>
      </c>
      <c r="C7" s="27" t="inlineStr">
        <is>
          <t>2. Strengths knowledge, use and support at work</t>
        </is>
      </c>
      <c r="D7" s="27" t="inlineStr">
        <is>
          <t>Free / open access</t>
        </is>
      </c>
      <c r="E7" s="28" t="n">
        <v>11</v>
      </c>
      <c r="F7" s="28">
        <f>COUNTIF('Master Item List'!$A:$A,$A7)</f>
        <v/>
      </c>
      <c r="G7" s="27" t="inlineStr">
        <is>
          <t>Perceived self-efficacy (confidence) in one's ability to identify, apply and use one's personal strengths across everyday situations, at work or study, and in pursuit of goals.</t>
        </is>
      </c>
      <c r="H7" s="27" t="inlineStr">
        <is>
          <t>Self-report</t>
        </is>
      </c>
      <c r="I7" s="27" t="inlineStr">
        <is>
          <t>Adults; validated with U.S. college students and working adults, applicable to late-secondary and university-age coaching clients</t>
        </is>
      </c>
      <c r="J7" s="27" t="inlineStr">
        <is>
          <t>3-5 minutes</t>
        </is>
      </c>
      <c r="K7" s="27" t="inlineStr">
        <is>
          <t>The SSES is free to use for practice and research; the full 11-item form (with its instructions, five-signature-strengths preamble, and 10-point response scale) is published as an open-access downloadable PDF by PositivePsychology.com, and the same item wording is corroborated by an independent academic reproduction. No licence fee or formal permission is required, though practitioners should cite Tsai, Chaichanasakul, Zhao, Flores and Lopez (2014) as the scale's developers. The original peer-reviewed validation article is behind a SAGE subscription paywall (Journal of Career Assessment).</t>
        </is>
      </c>
      <c r="L7" s="27" t="inlineStr">
        <is>
          <t>The SSES is a good fit for strengths-based career and academic coaching because it measures confidence in actually applying strengths, which is the practical skill most coaching aims to build, and it can be re-administered after a coaching block to check whether a client's confidence in using their strengths has shifted. Because it asks respondents to first name their own five signature strengths, it works well paired with a prior strengths-identification step (VIA, Realise2, or the SKS/SUS above). Its limit is that it measures perceived confidence rather than actual competent strengths use, so a client can score highly while still using strengths in an unhelpful or overextended way, and low scores need follow-up to distinguish a genuine skills gap from low self-belief alone.</t>
        </is>
      </c>
      <c r="M7" s="27" t="inlineStr">
        <is>
          <t>The SSES was developed by Tsai, Chaichanasakul, Zhao, Flores and Lopez (2014) to give career counsellors, educators and researchers a brief measure of an individual's confidence in their ability to build on and apply their personal strengths in daily life, extending Bandura's self-efficacy framework to the strengths domain.</t>
        </is>
      </c>
      <c r="N7" s="27" t="inlineStr">
        <is>
          <t>First, please list your 5 signature strengths below: [space for 5 strengths]. How confident are you in your ability to ....</t>
        </is>
      </c>
      <c r="O7" s="27" t="inlineStr">
        <is>
          <t>Not confident at all = 1 | 2 = 2 | 3 = 3 | 4 = 4 | Moderately confident = 5 | 6 = 6 | 7 = 7 | 8 = 8 | 9 = 9 | Extremely confident = 10</t>
        </is>
      </c>
      <c r="P7" s="27" t="inlineStr">
        <is>
          <t>None</t>
        </is>
      </c>
      <c r="Q7" s="27" t="inlineStr">
        <is>
          <t>None</t>
        </is>
      </c>
      <c r="R7" s="27" t="inlineStr">
        <is>
          <t>Strengths Self-Efficacy (total scale) (items 1-11; n=11; range 11-110)</t>
        </is>
      </c>
      <c r="S7" s="27" t="inlineStr">
        <is>
          <t>Sum the 11 item scores for a total (range 11-110); a weighted/mean score can also be calculated by dividing the total by 11. Higher scores indicate greater confidence in using one's strengths. No items are reverse-scored.</t>
        </is>
      </c>
      <c r="T7" s="27" t="inlineStr">
        <is>
          <t>Not stated on source</t>
        </is>
      </c>
      <c r="U7" s="27" t="inlineStr">
        <is>
          <t>No clinical or normative cut-off scores have been published for the SSES. It is intended as a continuous measure for research and for tracking an individual's own change over time, not for categorical classification.</t>
        </is>
      </c>
      <c r="V7" s="27" t="inlineStr">
        <is>
          <t>No published normative tables were located. The original validation samples were U.S. adults: 275 in the exploratory factor analysis phase, 302 in the confirmatory phase, and 36 in a 3-week test-retest reliability subsample.</t>
        </is>
      </c>
      <c r="W7" s="27" t="inlineStr">
        <is>
          <t>In the original validation (Tsai et al., 2014), exploratory factor analysis on the first adult sample (n = 275) supported a single general strengths-self-efficacy factor with internal consistency of alpha = .96; confirmatory factor analysis on a second sample (n = 302) confirmed the one-factor structure with alpha = .95. A 3-week test-retest reliability check (n = 36) showed stable scores over time. Validity evidence included moderate positive correlations with self-esteem and life satisfaction, and a weak relationship with social desirability, supporting discriminant validity from mere impression management.</t>
        </is>
      </c>
      <c r="X7" s="27" t="inlineStr">
        <is>
          <t>Tsai, C.-L., Chaichanasakul, A., Zhao, R., Flores, L. Y., &amp; Lopez, S. J. (2014). Development and validation of the Strengths Self-Efficacy Scale (SSES). Journal of Career Assessment, 22(2), 221-232. https://doi.org/10.1177/1069072713493761</t>
        </is>
      </c>
      <c r="Y7" s="27" t="inlineStr">
        <is>
          <t>No explicit copyright restriction or paid-licence requirement was found; PositivePsychology.com distributes the full instrument as a free downloadable PDF for practitioner use, and an independent academic reproduction (academia.edu) carries identical item wording, both without a stated permissions requirement beyond citing the original authors. The peer-reviewed source article remains behind a SAGE subscription paywall. This reflects the licensing position actually found, not a confirmed public-domain status.</t>
        </is>
      </c>
      <c r="Z7" s="27" t="inlineStr">
        <is>
          <t>https://positivepsychology.com/wp-content/uploads/The-Strengths-Self-efficacy-Scale.pdf</t>
        </is>
      </c>
    </row>
    <row r="8" ht="169.5" customHeight="1" s="17">
      <c r="A8" s="26" t="inlineStr">
        <is>
          <t>CSES</t>
        </is>
      </c>
      <c r="B8" s="27" t="inlineStr">
        <is>
          <t>Core Self-Evaluations Scale</t>
        </is>
      </c>
      <c r="C8" s="27" t="inlineStr">
        <is>
          <t>3. Adjacent occupational and wellbeing</t>
        </is>
      </c>
      <c r="D8" s="27" t="inlineStr">
        <is>
          <t>Free / open access</t>
        </is>
      </c>
      <c r="E8" s="28" t="n">
        <v>12</v>
      </c>
      <c r="F8" s="28">
        <f>COUNTIF('Master Item List'!$A:$A,$A8)</f>
        <v/>
      </c>
      <c r="G8" s="27" t="inlineStr">
        <is>
          <t>Core self-evaluations: a broad, fundamental positive self-appraisal trait combining self-esteem, generalised self-efficacy, internal locus of control and low neuroticism (emotional stability).</t>
        </is>
      </c>
      <c r="H8" s="27" t="inlineStr">
        <is>
          <t>Self-report</t>
        </is>
      </c>
      <c r="I8" s="27" t="inlineStr">
        <is>
          <t>Working adults (Samples 1-2 of the original validation); also validated with university undergraduates (Samples 3-4). Suitable for university-age and early-career coaching clients.</t>
        </is>
      </c>
      <c r="J8" s="27" t="inlineStr">
        <is>
          <t>2-3 minutes</t>
        </is>
      </c>
      <c r="K8" s="27" t="inlineStr">
        <is>
          <t>The scale is explicitly stated by the developers to be non-proprietary and free to use without permission. The full 12-item scale, with response format and scoring key, is reproduced in an open PDF of the original SIOP conference/journal materials.</t>
        </is>
      </c>
      <c r="L8" s="27" t="inlineStr">
        <is>
          <t>The CSES is useful as a brief baseline measure of a student or early-career client's general positive self-appraisal (self-esteem, self-efficacy, sense of control) at the start of a coaching relationship, and can flag when low scores on 'control' or 'competence' items point to executive-function or confidence work rather than a skills gap. It is not a strengths-identification tool and should not be presented to a client as diagnostic; its brevity and free licence make it practical for repeat use, but coaches should be alert that several reverse-scored items touch on depressed mood and hopelessness, which needs sensitive framing with any client where wellbeing is a live concern.</t>
        </is>
      </c>
      <c r="M8" s="27" t="inlineStr">
        <is>
          <t>Judge, Erez, Bono and Thoresen developed the CSES to provide a direct, parsimonious measure of core self-evaluations, a higher-order trait they argued underlies self-esteem, generalised self-efficacy, locus of control and neuroticism, and which predicts job and life satisfaction and job performance.</t>
        </is>
      </c>
      <c r="N8" s="27" t="inlineStr">
        <is>
          <t>Not retrieved verbatim from a fetched source; the CSES PDF reproduces the item table and response scale but the source fetched did not include a printed respondent-facing preamble/instruction sentence.</t>
        </is>
      </c>
      <c r="O8" s="27" t="inlineStr">
        <is>
          <t>Strongly Disagree = 1 | Disagree = 2 | Neutral = 3 | Agree = 4 | Strongly Agree = 5</t>
        </is>
      </c>
      <c r="P8" s="27" t="inlineStr">
        <is>
          <t>2, 4, 6, 8, 10, 12</t>
        </is>
      </c>
      <c r="Q8" s="27" t="inlineStr">
        <is>
          <t>None</t>
        </is>
      </c>
      <c r="R8" s="27" t="inlineStr">
        <is>
          <t>Core Self-Evaluations (total scale, unidimensional) (items 1-12; n=12; range 12-60)</t>
        </is>
      </c>
      <c r="S8" s="27" t="inlineStr">
        <is>
          <t>Reverse-score items 2, 4, 6, 8, 10 and 12 (6 minus the raw response on the 1-5 scale), then sum or average all 12 items. Higher scores indicate more positive core self-evaluations.</t>
        </is>
      </c>
      <c r="T8" s="27" t="inlineStr">
        <is>
          <t>Not stated on source</t>
        </is>
      </c>
      <c r="U8" s="27" t="inlineStr">
        <is>
          <t>No published clinical or normative cut-off scores; intended as a continuous individual-differences measure for research and comparison, not categorical classification.</t>
        </is>
      </c>
      <c r="V8" s="27" t="inlineStr">
        <is>
          <t>No population percentile norm tables were retrieved. Original validation means/SDs by sample were not reproduced in the source fetched; sample sizes and composition were: Sample 1, N = 280, US food-service company employees (roles from truck driver to manager); Sample 2, N = 175, pharmaceutical sales representatives, mean age 42.1; Sample 3, N = 265 (T1) and 205 (T2), undergraduates; Sample 4, N = 126, undergraduates.</t>
        </is>
      </c>
      <c r="W8" s="27" t="inlineStr">
        <is>
          <t>Internal consistency (Cronbach's alpha): Sample 1 = .85; Sample 2 = .83; Sample 3 T1 = .85, T2 = .87; Sample 4 (self-report) = .83, (other-report) = .81. Test-retest reliability over one month (Sample 3) = .81. Inter-rater (self/significant-other) agreement ICC = .43. Convergent validity (corrected correlations): self-esteem .80-.92, generalised self-efficacy .78-.90, neuroticism -.67 to -.84, locus of control .41-.62. Criterion validity (corrected correlations): job satisfaction .49-.59, job performance .26-.27, life satisfaction .53-.66. (Judge, Erez, Bono &amp; Thoresen, 2003, Table 4.)</t>
        </is>
      </c>
      <c r="X8" s="27" t="inlineStr">
        <is>
          <t>Judge, T. A., Erez, A., Bono, J. E., &amp; Thoresen, C. J. (2003). The Core Self-Evaluations Scale: Development of a measure. Personnel Psychology, 56(2), 303-331. https://doi.org/10.1111/j.1744-6570.2003.tb00152.x</t>
        </is>
      </c>
      <c r="Y8" s="27" t="inlineStr">
        <is>
          <t>"This measure is non-proprietary (free) and may be used without permission," as stated in the source fetched.</t>
        </is>
      </c>
      <c r="Z8" s="27" t="inlineStr">
        <is>
          <t>http://ionilies.com/SIOP03/Files/CSES.pdf</t>
        </is>
      </c>
    </row>
    <row r="9" ht="169.5" customHeight="1" s="17">
      <c r="A9" s="26" t="inlineStr">
        <is>
          <t>PES</t>
        </is>
      </c>
      <c r="B9" s="27" t="inlineStr">
        <is>
          <t>Psychological Empowerment Scale</t>
        </is>
      </c>
      <c r="C9" s="27" t="inlineStr">
        <is>
          <t>3. Adjacent occupational and wellbeing</t>
        </is>
      </c>
      <c r="D9" s="27" t="inlineStr">
        <is>
          <t>Free / open access</t>
        </is>
      </c>
      <c r="E9" s="28" t="n">
        <v>12</v>
      </c>
      <c r="F9" s="28">
        <f>COUNTIF('Master Item List'!$A:$A,$A9)</f>
        <v/>
      </c>
      <c r="G9" s="27" t="inlineStr">
        <is>
          <t>Psychological empowerment at work, a motivational construct with four cognitive dimensions: meaning, competence, self-determination and impact.</t>
        </is>
      </c>
      <c r="H9" s="27" t="inlineStr">
        <is>
          <t>Self-report, employed adults</t>
        </is>
      </c>
      <c r="I9" s="27" t="inlineStr">
        <is>
          <t>Working adults; original validation used middle managers and industrial-firm employees. Applicable to early-career and internship-stage clients holding a defined work role.</t>
        </is>
      </c>
      <c r="J9" s="27" t="inlineStr">
        <is>
          <t>3-5 minutes</t>
        </is>
      </c>
      <c r="K9" s="27" t="inlineStr">
        <is>
          <t>The instrument is hosted freely by the developer, Gretchen Spreitzer, on her own university web page for research and practice use, with no stated fee or formal permission process.</t>
        </is>
      </c>
      <c r="L9" s="27" t="inlineStr">
        <is>
          <t>This scale works well in coaching to make explicit which of the four empowerment dimensions (meaning, competence, self-determination, impact) is weakest for a client in a job, internship or leadership role, giving a concrete focus for goal-setting. It is designed for someone already in a defined work role with a 'department' or team, so it fits early-career and placement clients better than full-time students without paid work, and it measures a felt cognitive state rather than actual job conditions, so a low score should prompt exploration of both the client's perception and the realities of their role rather than being taken as a fixed trait.</t>
        </is>
      </c>
      <c r="M9" s="27" t="inlineStr">
        <is>
          <t>Spreitzer (1995) developed this scale to operationalise and measure psychological empowerment as a multidimensional motivational construct in the workplace, validating it as an antecedent of managerial effectiveness and innovation.</t>
        </is>
      </c>
      <c r="N9" s="27" t="inlineStr">
        <is>
          <t>Listed below are a number of self-orientations that people may have with regard to their work role. Using the following scale, please indicate the extent to which you agree or disagree that each one describes your self-orientation.</t>
        </is>
      </c>
      <c r="O9" s="27" t="inlineStr">
        <is>
          <t>Very Strongly Disagree = 1 | Strongly Disagree = 2 | Disagree = 3 | Neutral = 4 | Agree = 5 | Strongly Agree = 6 | Very Strongly Agree = 7</t>
        </is>
      </c>
      <c r="P9" s="27" t="inlineStr">
        <is>
          <t>None</t>
        </is>
      </c>
      <c r="Q9" s="27" t="inlineStr">
        <is>
          <t>None</t>
        </is>
      </c>
      <c r="R9" s="27" t="inlineStr">
        <is>
          <t>Meaning (items 1-3; n=3; range 3-21 (mean 1-7))
Competence (items 4-6; n=3; range 3-21 (mean 1-7))
Self-Determination (items 7-9; n=3; range 3-21 (mean 1-7))
Impact (items 10-12; n=3; range 3-21 (mean 1-7))</t>
        </is>
      </c>
      <c r="S9" s="27" t="inlineStr">
        <is>
          <t>Each subscale is scored as the mean of its 3 items (range 1-7). An overall empowerment score can be computed as the mean of the four subscale means, as the source document itself instructs: "You may use the subdimensions individually (taking the mean of the 3 items measuring one dimension) or take the mean of the 4 subdimension means to create an overall empowerment score."</t>
        </is>
      </c>
      <c r="T9" s="27" t="inlineStr">
        <is>
          <t>Not stated on source</t>
        </is>
      </c>
      <c r="U9" s="27" t="inlineStr">
        <is>
          <t>No published clinical or normative cut-off scores; intended as a continuous research and diagnostic measure, not categorical classification.</t>
        </is>
      </c>
      <c r="V9" s="27" t="inlineStr">
        <is>
          <t>No specific normative table (means/SDs) was retrieved. The instrument page states the scale has been "used successfully in more than 50 different studies" since the original 1995 validation, which used two working-adult field samples (insurance-company middle managers and a Fortune 50 industrial firm), with typical test-retest reliability and validity coefficients around .80 across studies.</t>
        </is>
      </c>
      <c r="W9" s="27" t="inlineStr">
        <is>
          <t>Test-retest reliability described on the source page as "strong," with validity estimates for the four dimensions "typically around .80" across the more than 50 studies that have used the scale. Exact original-validation alpha coefficients per subscale were not reproduced on the instrument page fetched.</t>
        </is>
      </c>
      <c r="X9" s="27" t="inlineStr">
        <is>
          <t>Spreitzer, G. M. (1995). Psychological empowerment in the workplace: Dimensions, measurement, and validation. Academy of Management Journal, 38(5), 1442-1465. https://doi.org/10.2307/256865</t>
        </is>
      </c>
      <c r="Y9" s="27" t="inlineStr">
        <is>
          <t>Hosted freely by the author for research and practice use; no explicit restriction or fee is stated on the page.</t>
        </is>
      </c>
      <c r="Z9" s="27" t="inlineStr">
        <is>
          <t>https://webuser.bus.umich.edu/spreitze/Pdfs/EmpowerInstrument.pdf</t>
        </is>
      </c>
    </row>
    <row r="10" ht="169.5" customHeight="1" s="17">
      <c r="A10" s="26" t="inlineStr">
        <is>
          <t>DASS-21</t>
        </is>
      </c>
      <c r="B10" s="27" t="inlineStr">
        <is>
          <t>Depression Anxiety Stress Scales, 21 item version (DASS-21)</t>
        </is>
      </c>
      <c r="C10" s="27" t="inlineStr">
        <is>
          <t>4. Psychological distress screening</t>
        </is>
      </c>
      <c r="D10" s="27" t="inlineStr">
        <is>
          <t>Free / open access</t>
        </is>
      </c>
      <c r="E10" s="28" t="n">
        <v>21</v>
      </c>
      <c r="F10" s="28">
        <f>COUNTIF('Master Item List'!$A:$A,$A10)</f>
        <v/>
      </c>
      <c r="G10" s="27" t="inlineStr">
        <is>
          <t>Three related negative emotional states over the past week: depression (dysphoria, hopelessness, devaluation of life, self deprecation, lack of interest or involvement, anhedonia, inertia), anxiety (autonomic arousal, skeletal muscle effects, situational anxiety, subjective experience of anxious affect) and stress (difficulty relaxing, nervous arousal, being easily upset or agitated, irritable or over reactive, impatient). Built on a dimensional rather than a categorical model of distress.</t>
        </is>
      </c>
      <c r="H10" s="27" t="inlineStr">
        <is>
          <t>Self-report</t>
        </is>
      </c>
      <c r="I10" s="27" t="inlineStr">
        <is>
          <t>17+ (NovoPsych); adults and older adolescents</t>
        </is>
      </c>
      <c r="J10" s="27" t="inlineStr">
        <is>
          <t>4 minutes</t>
        </is>
      </c>
      <c r="K10" s="27" t="inlineStr">
        <is>
          <t>Public domain. The University of New South Wales DASS site states that the DASS questionnaire is in the public domain and may be downloaded from the site without charge. The form, scoring template and translations are free; only the printed manual is sold (AUD 55). NovoPsych also hosts the DASS-21 with automated scoring and reports for account holders. Charlotte Price Consulting administers it through a Tally form and scores it with the practice DASS-21 report builder.</t>
        </is>
      </c>
      <c r="L10" s="27" t="inlineStr">
        <is>
          <t>A brief screening measure to establish whether a client's current distress sits within the range coaching can safely hold, or whether a general practitioner or registered mental health practitioner should be involved before or alongside coaching. Scores describe the past week only, so a repeat administration is needed to separate a difficult week from a developing pattern. It is not a diagnostic instrument and does not assess suicide risk; items 10, 17 and 21 are followed up directly when endorsed at 2 or 3, as the practice report builder does.</t>
        </is>
      </c>
      <c r="M10" s="27" t="inlineStr">
        <is>
          <t>The DASS was developed by Lovibond and Lovibond (1995) to measure the three related negative emotional states of depression, anxiety and stress, and to discriminate between them as fully as possible. The 21 item short form takes 7 items from each of the three 14 item scales of the full DASS-42. It is used across clinical, research and non clinical settings to describe current symptom severity and to track change over time, rather than to assign diagnostic categories.</t>
        </is>
      </c>
      <c r="N10" s="27" t="inlineStr">
        <is>
          <t>Please read each statement and circle a number 0, 1, 2 or 3 which indicates how much the statement applied to you over the past week. There are no right or wrong answers. Do not spend too much time on any statement.</t>
        </is>
      </c>
      <c r="O10" s="27" t="inlineStr">
        <is>
          <t>Did not apply to me at all = 0 | Applied to me to some degree, or some of the time = 1 | Applied to me to a considerable degree, or a good part of time = 2 | Applied to me very much, or most of the time = 3</t>
        </is>
      </c>
      <c r="P10" s="27" t="inlineStr">
        <is>
          <t>None</t>
        </is>
      </c>
      <c r="Q10" s="27" t="inlineStr">
        <is>
          <t>None</t>
        </is>
      </c>
      <c r="R10" s="27" t="inlineStr">
        <is>
          <t>Depression (items 3, 5, 10, 13, 16-17, 21; n=7; range 0-21 raw; 0-42 after doubling)
Anxiety (items 2, 4, 7, 9, 15, 19-20; n=7; range 0-21 raw; 0-42 after doubling)
Stress (items 1, 6, 8, 11-12, 14, 18; n=7; range 0-21 raw; 0-42 after doubling)</t>
        </is>
      </c>
      <c r="S10" s="27" t="inlineStr">
        <is>
          <t>Each item is rated 0 to 3 for the past week. The 7 items of each subscale are summed (raw range 0 to 21) and the sum is multiplied by 2, placing each subscale on the same 0 to 42 range as the full DASS-42 so that the published severity labels can be applied. No items are reverse scored. A total distress score (sum of all 21 items, doubled) is sometimes reported but the three subscales are the primary outputs.</t>
        </is>
      </c>
      <c r="T10" s="27" t="inlineStr">
        <is>
          <t>Depression - Normal: 0-9 - Within the normal range for the general adult population.
Depression - Mild: 10-13 - Above the population mean; conventionally labelled mild.
Depression - Moderate: 14-20 - Clearly above the normal range; duration is the key clinical question.
Depression - Severe: 21-27 - Well above the normal range; clinical involvement is indicated.
Depression - Extremely severe: 28-42 - Highest severity band; clinical contact is the first step.
Anxiety - Normal: 0-7 - Within the normal range.
Anxiety - Mild: 8-9 - Above the population mean.
Anxiety - Moderate: 10-14 - Clearly above the normal range.
Anxiety - Severe: 15-19 - Well above the normal range; general practitioner review is also useful because several items are physical symptoms.
Anxiety - Extremely severe: 20-42 - Highest severity band.
Stress - Normal: 0-14 - Within the normal range.
Stress - Mild: 15-18 - Above the population mean.
Stress - Moderate: 19-25 - Clearly above the normal range; most responsive of the three to workload and structure.
Stress - Severe: 26-33 - Well above the normal range; sustained arousal at this level commonly precedes exhaustion.
Stress - Extremely severe: 34-42 - Highest severity band.</t>
        </is>
      </c>
      <c r="U10" s="27" t="inlineStr">
        <is>
          <t>Severity labels (Lovibond &amp; Lovibond, 1995) applied to the doubled subscale score. Depression: Normal 0-9, Mild 10-13, Moderate 14-20, Severe 21-27, Extremely severe 28+. Anxiety: Normal 0-7, Mild 8-9, Moderate 10-14, Severe 15-19, Extremely severe 20+. Stress: Normal 0-14, Mild 15-18, Moderate 19-25, Severe 26-33, Extremely severe 34+. These are conventional descriptors of position relative to the population distribution (Normal to approximately the 78th percentile, Mild 78th to 87th, Moderate 87th to 95th, Severe 95th to 98th, Extremely severe 98th and above), not diagnostic thresholds. The DASS-21 contains no item on suicidal thinking and does not assess risk.</t>
        </is>
      </c>
      <c r="V10" s="27" t="inlineStr">
        <is>
          <t>Henry and Crawford (2005): non clinical UK adult sample, n = 1,794, provided normative data for the DASS-21 and supported use of the three subscales plus a general distress factor. Antony et al. (1998): clinical groups and a community sample comparing the 42 and 21 item versions. The severity labels derive from the Australian normative work reported in the Lovibond and Lovibond (1995) manual.</t>
        </is>
      </c>
      <c r="W10" s="27" t="inlineStr">
        <is>
          <t>Internal consistency in the Henry and Crawford (2005) non clinical sample of 1,794 adults: Depression alpha = .88, Anxiety alpha = .82, Stress alpha = .90, total scale alpha = .93. Confirmatory factor analysis supported a quadripartite structure: three correlated specific factors plus a general negative affectivity factor. Antony et al. (1998) found the DASS-21 subscales reproduced the three factor structure of the full DASS in clinical and community samples, with alphas of .94 (Depression), .87 (Anxiety) and .91 (Stress), and the 21 item version showed a cleaner factor structure than the 42 item version. Brown et al. (1997) supported the three factor structure and discriminant validity in clinical samples.</t>
        </is>
      </c>
      <c r="X10" s="27" t="inlineStr">
        <is>
          <t>Lovibond, S. H., &amp; Lovibond, P. F. (1995). Manual for the Depression Anxiety Stress Scales (2nd ed.). Sydney: Psychology Foundation of Australia.</t>
        </is>
      </c>
      <c r="Y10" s="27" t="inlineStr">
        <is>
          <t>Public domain. The developers state on the official UNSW DASS site that the questionnaire is in the public domain and may be downloaded and used freely; the printed manual is the only priced item. Items reproduced here verbatim from the official DASS-21 form PDF.</t>
        </is>
      </c>
      <c r="Z10" s="27" t="inlineStr">
        <is>
          <t>https://www2.psy.unsw.edu.au/dass/</t>
        </is>
      </c>
    </row>
    <row r="11" ht="169.5" customHeight="1" s="17">
      <c r="A11" s="26" t="inlineStr">
        <is>
          <t>PTQ</t>
        </is>
      </c>
      <c r="B11" s="27" t="inlineStr">
        <is>
          <t>Perseverative Thinking Questionnaire</t>
        </is>
      </c>
      <c r="C11" s="27" t="inlineStr">
        <is>
          <t>5. Repetitive negative thinking and self talk</t>
        </is>
      </c>
      <c r="D11" s="27" t="inlineStr">
        <is>
          <t>Free / open access</t>
        </is>
      </c>
      <c r="E11" s="28" t="n">
        <v>15</v>
      </c>
      <c r="F11" s="28">
        <f>COUNTIF('Master Item List'!$A:$A,$A11)</f>
        <v/>
      </c>
      <c r="G11" s="27" t="inlineStr">
        <is>
          <t>Repetitive negative thinking (RNT), measured as a content-independent process (applies equally to worry, rumination, or any other form of repetitive negative thought about problems), rather than a specific symptom or diagnostic construct.</t>
        </is>
      </c>
      <c r="H11" s="27" t="inlineStr">
        <is>
          <t>Adult self-report</t>
        </is>
      </c>
      <c r="I11" s="27" t="inlineStr">
        <is>
          <t>Not stated in the source article. Validation samples were adult (internet, non-clinical, clinical, and English-language) populations; no minimum/maximum age is specified in the text retrieved.</t>
        </is>
      </c>
      <c r="J11" s="27" t="inlineStr">
        <is>
          <t>Not stated in the source. A brief 15-item self-report measure, typically completed in a few minutes.</t>
        </is>
      </c>
      <c r="K11" s="27" t="inlineStr">
        <is>
          <t>No formal licensing or fee-for-use process was found. The hosted PDF (via OxCADAT Resources, a University of Oxford-affiliated trauma/CBT resource site) carries the standard journal notice "© 2010 Elsevier Ltd. All rights reserved." from Journal of Behavior Therapy and Experimental Psychiatry. No explicit blanket grant for commercial or paid-coaching administration was found in the source, but equally no restriction on non-research/practitioner use was stated; the measure is very widely reproduced in open clinical and training materials without visible enforcement. For a paid coaching practice, treat as reasonably low-risk to administer informally with citation, but not as a confirmed formal commercial licence. Licensing note: Free / open access, with a standard journal copyright notice</t>
        </is>
      </c>
      <c r="L11" s="27" t="inlineStr">
        <is>
          <t>The PTQ is useful in coaching as a transdiagnostic check on whether a student or early-career client is getting cognitively "stuck" in repetitive negative thinking about study, performance or career worries, independent of the topic they are ruminating on. Its brevity and content-neutral wording make it easy to reuse across sessions to track whether coaching strategies are reducing the repetitive, unproductive quality of the thinking rather than the topic itself. It is a process measure, not a diagnostic or symptom-severity tool, so elevated scores should prompt a coaching conversation about thinking patterns rather than a clinical judgement, and persistent high scores alongside distress should prompt referral consideration.</t>
        </is>
      </c>
      <c r="M11" s="27" t="inlineStr">
        <is>
          <t>The PTQ was developed to measure repetitive negative thinking (RNT) as a content-independent process common to worry, rumination and related forms of perseverative thought, rather than measuring a specific content domain (e.g. depressive rumination or anxious worry). It captures three lower-order aspects of RNT: its core repetitive/intrusive characteristics, its perceived unproductiveness, and the degree to which it captures mental capacity. It was designed to be usable across clinical and research contexts where a single content-independent RNT measure is needed.</t>
        </is>
      </c>
      <c r="N11" s="27" t="inlineStr">
        <is>
          <t>In this questionnaire, you will be asked to describe how you typically think about negative experiences or problems. Please read the following statements and rate the extent to which they apply to you when you think about negative experiences or problems.</t>
        </is>
      </c>
      <c r="O11" s="27" t="inlineStr">
        <is>
          <t>never = 0 | rarely = 1 | sometimes = 2 | often = 3 | almost always = 4</t>
        </is>
      </c>
      <c r="P11" s="27" t="inlineStr">
        <is>
          <t>None</t>
        </is>
      </c>
      <c r="Q11" s="27" t="inlineStr">
        <is>
          <t>None</t>
        </is>
      </c>
      <c r="R11" s="27" t="inlineStr">
        <is>
          <t>Core Characteristics of Repetitive Negative Thinking (items 1-3, 6-8, 11-13; n=9; range 0-36)
Unproductiveness (items 4, 9, 14; n=3; range 0-12)
Capturing Mental Capacity (items 5, 10, 15; n=3; range 0-12)</t>
        </is>
      </c>
      <c r="S11" s="27" t="inlineStr">
        <is>
          <t>Total PTQ score is the sum of all 15 items (range 0-60), computed as recommended in the source article. Each of the three subscale scores is the sum of its own items (each subscale range 0-36 for Core Characteristics, 0-12 for the other two).</t>
        </is>
      </c>
      <c r="T11" s="27" t="inlineStr">
        <is>
          <t>Not stated on source</t>
        </is>
      </c>
      <c r="U11" s="27" t="inlineStr">
        <is>
          <t>No clinical cutoff scores or interpretive bands were reported in the source article that was fetched.</t>
        </is>
      </c>
      <c r="V11" s="27" t="inlineStr">
        <is>
          <t>No published normative means/SDs by population were reported in the source article beyond describing four validation samples: an internet sample, a German non-clinical sample, a German clinical sample, and an English-language sample, totalling N = 1,832 across Study 1 and Study 2. Exact per-sample means/SDs were not extractable from the fetched text.</t>
        </is>
      </c>
      <c r="W11" s="27" t="inlineStr">
        <is>
          <t>Internal consistency: Cronbach's alpha = .95 (Study 1, internet sample), .94 (Study 1, non-clinical sample), .95 (Study 1, clinical sample), .95 (Study 2, English-language sample). Test-retest reliability over a 4-week interval: r = .69, p &lt; .001 (n = 186). (Ehring et al., 2011.)</t>
        </is>
      </c>
      <c r="X11" s="27" t="inlineStr">
        <is>
          <t>Ehring, T., Zetsche, U., Weidacker, K., Wahl, K., Schönfeld, S., &amp; Ehlers, A. (2011). The Perseverative Thinking Questionnaire (PTQ): Validation of a content-independent measure of repetitive negative thinking. Journal of Behavior Therapy and Experimental Psychiatry, 42(2), 225–232. https://doi.org/10.1016/j.jbtep.2010.12.003</t>
        </is>
      </c>
      <c r="Y11" s="27" t="inlineStr">
        <is>
          <t>© 2010 Elsevier Ltd. All rights reserved. (Copyright notice appears on the hosted article/PDF; no separate explicit permission statement for reproduction, non-commercial use, or commercial/coaching administration was found in the fetched source.)</t>
        </is>
      </c>
      <c r="Z11" s="27" t="inlineStr">
        <is>
          <t>https://oxcadatresources.com/wp-content/uploads/2020/09/EhringetalRuminationQuestionnaire.2011.pdf</t>
        </is>
      </c>
    </row>
    <row r="12" ht="169.5" customHeight="1" s="17">
      <c r="A12" s="26" t="inlineStr">
        <is>
          <t>RRS</t>
        </is>
      </c>
      <c r="B12" s="27" t="inlineStr">
        <is>
          <t>Ruminative Responses Scale</t>
        </is>
      </c>
      <c r="C12" s="27" t="inlineStr">
        <is>
          <t>5. Repetitive negative thinking and self talk</t>
        </is>
      </c>
      <c r="D12" s="27" t="inlineStr">
        <is>
          <t>Free / open access</t>
        </is>
      </c>
      <c r="E12" s="28" t="n">
        <v>22</v>
      </c>
      <c r="F12" s="28">
        <f>COUNTIF('Master Item List'!$A:$A,$A12)</f>
        <v/>
      </c>
      <c r="G12" s="27" t="inlineStr">
        <is>
          <t>Trait rumination in response to low mood: the tendency to repetitively focus attention on the symptoms and possible causes/consequences of one's depressed mood. The Treynor et al. (2003) refinement splits this into a passive, self-critical/moody-pondering component (Brooding) and a more deliberate, analytic component (Reflection), leaving 12 items that overlap with depressive symptoms unscored in either subscale.</t>
        </is>
      </c>
      <c r="H12" s="27" t="inlineStr">
        <is>
          <t>Adult self-report</t>
        </is>
      </c>
      <c r="I12" s="27" t="inlineStr">
        <is>
          <t>NovoPsych lists 18 years and older. The original Nolen-Hoeksema &amp; Morrow (1991) and Treynor et al. (2003) sources do not themselves state an age range in the text retrieved.</t>
        </is>
      </c>
      <c r="J12" s="27" t="inlineStr">
        <is>
          <t>Approximately 2 minutes (per NovoPsych).</t>
        </is>
      </c>
      <c r="K12" s="27" t="inlineStr">
        <is>
          <t>The 22 items and simple summed scoring are freely available from the developer-hosted PDFs (Susan Nolen-Hoeksema's own item sheet, and the Treynor et al. subscale-mapping paper), with no explicit copyright or commercial-use restriction stated on either document. NovoPsych also hosts the RRS with automated scoring, but its scoring/psychometrics detail is gated behind NovoPsych's paid professional-access platform (app.novopsych.com registration required); this session could not retrieve NovoPsych's own cutoff, norm or psychometric text for the RRS specifically (its RRS page did not expose that content, and no NovoPsych-hosted RRS blank-form or sample-results PDF could be located). For manual/paper administration in coaching, the items may be used and hand-scored directly from the developer sources with citation; for automated scoring, reporting and any NovoPsych-specific norms, a NovoPsych subscription would be required. Licensing note: Free / open access for the item content and scoring algorithm (no restriction found in the developer sources); full scoring, norms and psychometrics on the NovoPsych platform sit behind NovoPsych's professional/paid clinician access.</t>
        </is>
      </c>
      <c r="L12" s="27" t="inlineStr">
        <is>
          <t>The RRS, and the Brooding subscale in particular, is well suited to coaching conversations with students and early-career clients about unhelpful dwelling on setbacks (e.g. "why can't I handle things better") versus more adaptive, problem-focused reflection. Distinguishing Brooding from Reflection lets Charlotte target the maladaptive pattern directly (as a coaching focus) while validating that some analytic self-reflection is normal and can be constructive. Because 12 of the 22 items closely track depressive symptoms rather than rumination style, the total 22-item score should be interpreted cautiously in a non-clinical coaching context and the Brooding/Reflection subscales are generally the more directly actionable pickup.</t>
        </is>
      </c>
      <c r="M12" s="27" t="inlineStr">
        <is>
          <t>The RRS was originally developed by Nolen-Hoeksema and Morrow (1991) to assess ruminative responses to depressed mood as part of the Response Styles Questionnaire. Treynor, Gonzalez and Nolen-Hoeksema (2003) later re-analysed the scale and identified two "pure" 5-item subscales within it, Brooding (passive, self-critical comparison of one's current state to an unachieved standard) and Reflection (deliberate, analytic turning inward to understand one's low mood), while the remaining 12 items were found to overlap substantially with depressive symptoms themselves and are not used in either subscale score.</t>
        </is>
      </c>
      <c r="N12" s="27" t="inlineStr">
        <is>
          <t>Please read each of the items below and indicate whether you almost never, sometimes, often, or almost always think or do each one when you feel down, sad, or depressed. Please indicate what you generally do, not what you think you should do.</t>
        </is>
      </c>
      <c r="O12" s="27" t="inlineStr">
        <is>
          <t>almost never = 1 | sometimes = 2 | often = 3 | almost always = 4</t>
        </is>
      </c>
      <c r="P12" s="27" t="inlineStr">
        <is>
          <t>None</t>
        </is>
      </c>
      <c r="Q12" s="27" t="inlineStr">
        <is>
          <t>None</t>
        </is>
      </c>
      <c r="R12" s="27" t="inlineStr">
        <is>
          <t>Brooding (items 5, 10, 13, 15-16; n=5; range 5-20)
Reflection (items 7, 11-12, 20-21; n=5; range 5-20)
Depression-related items (not scored as a subscale) (items 1-4, 6, 8-9, 14, 17-19, 22; n=12; range 12-48)</t>
        </is>
      </c>
      <c r="S12" s="27" t="inlineStr">
        <is>
          <t>Full-scale total: sum of all 22 items (range 22-88), per Nolen-Hoeksema's own scoring note ("simply sum the scores on the 22 items"). Brooding and Reflection subscale scores are each the sum of their 5 items (range 5-20 each), per Treynor et al. (2003).</t>
        </is>
      </c>
      <c r="T12" s="27" t="inlineStr">
        <is>
          <t>Not stated on source</t>
        </is>
      </c>
      <c r="U12" s="27" t="inlineStr">
        <is>
          <t>No clinical cutoff scores were found in the developer sources (Nolen-Hoeksema &amp; Morrow, 1991; Treynor et al., 2003) or retrievable from the NovoPsych RRS page, which itself does not display specific score ranges or interpretation bands in the content that could be fetched this session.</t>
        </is>
      </c>
      <c r="V12" s="27" t="inlineStr">
        <is>
          <t>Treynor et al. (2003) used a community sample of N = 1,130 adults assessed at two time points approximately one year apart, but exact normative means/SDs were not extractable from the fetched text. NovoPsych's own normative data for the RRS could not be retrieved this session (its scoring/psychometrics content did not come through fetch, and no NovoPsych-hosted RRS blank-form or sample-results PDF could be located via search).</t>
        </is>
      </c>
      <c r="W12" s="27" t="inlineStr">
        <is>
          <t>Full 22-item scale: Cronbach's alpha = .90 (Time 1); test-retest r = .67 across the ~1-year interval. Brooding subscale: alpha = .77 (Time 1); test-retest r = .62. Reflection subscale: alpha = .72 (Time 1); test-retest r = .60. Sample: N = 1,130 community adults (Treynor, Gonzalez, &amp; Nolen-Hoeksema, 2003).</t>
        </is>
      </c>
      <c r="X12" s="27" t="inlineStr">
        <is>
          <t>Nolen-Hoeksema, S., &amp; Morrow, J. (1991). A prospective study of depression and posttraumatic stress symptoms after a natural disaster: The 1989 Loma Prieta earthquake. Journal of Personality and Social Psychology, 61(1), 115–121. https://doi.org/10.1037/0022-3514.61.1.115</t>
        </is>
      </c>
      <c r="Y12" s="27" t="inlineStr">
        <is>
          <t>The Nolen-Hoeksema item PDF carries no explicit copyright/licence statement beyond her name and Yale University letter header in the source fetched; no blanket free-for-commercial-use grant nor an explicit restriction was found in either developer source. NovoPsych's own terms govern use of its platform-hosted administration and scoring, which was not accessible in full this session.</t>
        </is>
      </c>
      <c r="Z12" s="27" t="inlineStr">
        <is>
          <t>https://novopsych.com/assessments/formulation/ruminative-responses-scale-rrs/</t>
        </is>
      </c>
    </row>
    <row r="13" ht="169.5" customHeight="1" s="17">
      <c r="A13" s="26" t="inlineStr">
        <is>
          <t>FSCRS</t>
        </is>
      </c>
      <c r="B13" s="27" t="inlineStr">
        <is>
          <t>Forms of Self-Criticising/Attacking and Self-Reassuring Scale</t>
        </is>
      </c>
      <c r="C13" s="27" t="inlineStr">
        <is>
          <t>5. Repetitive negative thinking and self talk</t>
        </is>
      </c>
      <c r="D13" s="27" t="inlineStr">
        <is>
          <t>Free / open access</t>
        </is>
      </c>
      <c r="E13" s="28" t="n">
        <v>22</v>
      </c>
      <c r="F13" s="28">
        <f>COUNTIF('Master Item List'!$A:$A,$A13)</f>
        <v/>
      </c>
      <c r="G13" s="27" t="inlineStr">
        <is>
          <t>Self-criticism and self-reassurance as distinct forms of self-relating that people use when things go wrong: an inadequacy-focused form of self-criticism, a more punitive, self-disgust-based (hated-self) form of self-criticism, and the capacity to be self-reassuring/self-supportive.</t>
        </is>
      </c>
      <c r="H13" s="27" t="inlineStr">
        <is>
          <t>Adult self-report</t>
        </is>
      </c>
      <c r="I13" s="27" t="inlineStr">
        <is>
          <t>Not stated on the source document. The original 2004 development sample was female university students; the scale has since been used across adult clinical and non-clinical populations, but no formal age range is specified in the fetched source.</t>
        </is>
      </c>
      <c r="J13" s="27" t="inlineStr">
        <is>
          <t>Not stated in the source. A brief 22-item self-report measure, typically completed in a few minutes.</t>
        </is>
      </c>
      <c r="K13" s="27" t="inlineStr">
        <is>
          <t>The scale is freely downloadable (e.g. via the Portland Psychotherapy Clinic hosting used here) and is very widely used in clinical, compassion-focused therapy and coaching-adjacent contexts without a reported paywall or licensing fee. The document carries the notice "© Gilbert et al., 2004" but no explicit statement granting or restricting commercial/paid-coaching use. Treat as reasonably safe to administer with citation, but not as a confirmed formal commercial licence; a courtesy email to the authors would close this gap before large-scale paid use. Licensing note: Free / open access, with an author copyright notice</t>
        </is>
      </c>
      <c r="L13" s="27" t="inlineStr">
        <is>
          <t>The FSCRS is one of the strongest available tools for identifying harsh, punitive self-talk under academic or early-career performance pressure, and it usefully separates self-criticism (Inadequate Self, Hated Self) from the client's existing capacity to self-reassure (Reassured Self), which is directly actionable as a coaching target. Because item 9 references wanting to hurt or injure oneself, it needs careful, consent-based framing in a non-clinical coaching setting, with a clear plan for what happens if it is endorsed, and should be introduced only once appropriate rapport and safety-checking practices are in place. As a self-report measure of self-relating style rather than a diagnostic tool, elevated Hated Self scores should prompt sensitive follow-up and, where indicated, referral rather than being worked with in coaching alone.</t>
        </is>
      </c>
      <c r="M13" s="27" t="inlineStr">
        <is>
          <t>The FSCRS was developed by Gilbert, Clarke, Hempel, Miles and Irons (2004) to explore the different forms, styles and functions of self-criticism and self-reassurance that people use when they feel they have fallen short or things have gone wrong. It distinguishes an inadequacy-focused form of self-attacking from a more hostile, punitive, self-disgust/self-hatred form, and separately measures the person's capacity to respond to setbacks with self-support and self-reassurance.</t>
        </is>
      </c>
      <c r="N13" s="27" t="inlineStr">
        <is>
          <t>When things go wrong in our lives or don't work out as we hoped, and we feel we could have done better, we sometimes have negative and self-critical thoughts and feelings. These may take the form of feeling worthless, useless or inferior etc. However, people can also try to be supportive of themselves. Below are a series of thoughts and feelings that people sometimes have. Read each statement carefully and circle the number that best describes how much each statement is true for you. Please use the scale below.</t>
        </is>
      </c>
      <c r="O13" s="27" t="inlineStr">
        <is>
          <t>Not at all like me = 0 | A little bit like me = 1 | Moderately like me = 2 | Quite a bit like me = 3 | Extremely like me = 4</t>
        </is>
      </c>
      <c r="P13" s="27" t="inlineStr">
        <is>
          <t>None</t>
        </is>
      </c>
      <c r="Q13" s="27" t="inlineStr">
        <is>
          <t>None</t>
        </is>
      </c>
      <c r="R13" s="27" t="inlineStr">
        <is>
          <t>Inadequate Self (items 1-2, 4, 6-7, 14, 17-18, 20; n=9; range 0-36)
Hated Self (items 9-10, 12, 15, 22; n=5; range 0-20)
Reassured Self (items 3, 5, 8, 11, 13, 16, 19, 21; n=8; range 0-32)</t>
        </is>
      </c>
      <c r="S13" s="27" t="inlineStr">
        <is>
          <t>Each subscale is scored as the sum of its own items: Inadequate Self (9 items, range 0-36), Hated Self (5 items, range 0-20), Reassured Self (8 items, range 0-32). There is no single overall FSCRS total; the three subscales are interpreted separately (Gilbert et al., 2004).</t>
        </is>
      </c>
      <c r="T13" s="27" t="inlineStr">
        <is>
          <t>Not stated on source</t>
        </is>
      </c>
      <c r="U13" s="27" t="inlineStr">
        <is>
          <t>No clinical cutoff scores were reported in the fetched source.</t>
        </is>
      </c>
      <c r="V13" s="27" t="inlineStr">
        <is>
          <t>No normative means/SDs by population were extractable from the fetched source. The original development sample was female university students (UK); the source notes the scale has since been re-validated across thirteen countries (Baíao et al., 2015 normative study), but that paper was not directly fetched this session.</t>
        </is>
      </c>
      <c r="W13" s="27" t="inlineStr">
        <is>
          <t>Cronbach's alpha = .90 (Inadequate Self), .86 (Hated Self), .86 (Reassured Self), as reported in the fetched source document (Gilbert et al., 2004).</t>
        </is>
      </c>
      <c r="X13" s="27" t="inlineStr">
        <is>
          <t>Gilbert, P., Clarke, M., Hempel, S., Miles, J. N. V., &amp; Irons, C. (2004). Criticizing and reassuring oneself: An exploration of forms, styles and reasons in female students. British Journal of Clinical Psychology, 43(1), 31–50. https://doi.org/10.1348/014466504772812959</t>
        </is>
      </c>
      <c r="Y13" s="27" t="inlineStr">
        <is>
          <t>© Gilbert et al., 2004 (notice appears on the source document). No explicit commercial-use grant or restriction was found beyond this author copyright notice.</t>
        </is>
      </c>
      <c r="Z13" s="27" t="inlineStr">
        <is>
          <t>https://d3n8a8pro7vhmx.cloudfront.net/portlandpsychotherapy/pages/21/attachments/original/1438799410/Forms_of_self-criticising_and_self_reassuring_scale.pdf</t>
        </is>
      </c>
    </row>
    <row r="14" ht="169.5" customHeight="1" s="17">
      <c r="A14" s="26" t="inlineStr">
        <is>
          <t>PCI</t>
        </is>
      </c>
      <c r="B14" s="27" t="inlineStr">
        <is>
          <t>Perfectionism Cognitions Inventory</t>
        </is>
      </c>
      <c r="C14" s="27" t="inlineStr">
        <is>
          <t>5. Repetitive negative thinking and self talk</t>
        </is>
      </c>
      <c r="D14" s="27" t="inlineStr">
        <is>
          <t>Free / open access</t>
        </is>
      </c>
      <c r="E14" s="28" t="n">
        <v>25</v>
      </c>
      <c r="F14" s="28">
        <f>COUNTIF('Master Item List'!$A:$A,$A14)</f>
        <v/>
      </c>
      <c r="G14" s="27" t="inlineStr">
        <is>
          <t>Frequency of perfectionism-related automatic thoughts (perfectionistic cognitions) over the preceding week, e.g. thoughts such as "Why can't I be perfect" or "My work should be flawless", as distinct from trait perfectionism itself.</t>
        </is>
      </c>
      <c r="H14" s="27" t="inlineStr">
        <is>
          <t>Self-report</t>
        </is>
      </c>
      <c r="I14" s="27" t="inlineStr">
        <is>
          <t>NovoPsych lists the PCI as suitable from age 15 and up. The original Flett, Hewitt, Blankstein &amp; Gray (1998) development/validation samples were adult (psychiatric patients, adults recovering from alcoholism, and university students).</t>
        </is>
      </c>
      <c r="J14" s="27" t="inlineStr">
        <is>
          <t>Approximately 4 minutes (per NovoPsych).</t>
        </is>
      </c>
      <c r="K14" s="27" t="inlineStr">
        <is>
          <t>The 25 items, respondent instructions and simple 0-100 summed scoring are freely reproduced across the psychometric literature and hosted by the original authors' own lab (Hewitt Lab, UBC) with no visible paywall or explicit commercial restriction. NovoPsych also hosts the PCI with automated scoring against community and clinical percentile norms; its sample results report was retrievable and used for the norm/interpretation detail below, but full access to run and score the instrument on the platform requires a NovoPsych professional registration (app.novopsych.com). For manual/paper administration in coaching, the items may be used and hand-scored directly with citation. Licensing note: Free / open access for the items and scoring algorithm (no restriction found in the developer sources); NovoPsych's own norms/percentiles are presented through NovoPsych's professional-access platform.</t>
        </is>
      </c>
      <c r="L14" s="27" t="inlineStr">
        <is>
          <t>The PCI is the clearest "automatic thoughts of perfectionism" instrument among the measures reviewed, making it a natural session-opener for university students and early-career professionals whose main presenting issue is perfectionistic self-talk (e.g. around assignments, exams or performance reviews) rather than general worry or low mood. Because it measures frequency of thoughts over the past week, it can be re-administered across a coaching programme to track whether strategies are reducing how often these thoughts intrude, which is directly useful for session-to-session progress tracking. As with all self-report frequency measures, a high score identifies a thinking pattern to work with in coaching, not a diagnosis, and very high or distressing scores should prompt a broader wellbeing check.</t>
        </is>
      </c>
      <c r="M14" s="27" t="inlineStr">
        <is>
          <t>The PCI was developed by Flett, Hewitt, Blankstein and Gray (1998) as a 25-item measure of the frequency of automatic thoughts with perfectionistic themes (e.g. the need to be perfect, self-criticism for falling short of perfection) occurring over the preceding week. It was designed to capture perfectionism at the level of momentary automatic cognition, complementing trait-level perfectionism measures, and has been used to study links between perfectionistic thinking and psychological distress.</t>
        </is>
      </c>
      <c r="N14" s="27" t="inlineStr">
        <is>
          <t>Listed below are a variety of thoughts about perfectionism that sometimes pop into people's heads. Please read each thought and indicate how frequently, if at all, the thoughts occurred to you over the last week.</t>
        </is>
      </c>
      <c r="O14" s="27" t="inlineStr">
        <is>
          <t>Not At All = 0 | Sometimes = 1 | Moderately Often = 2 | Often = 3 | All of the time = 4</t>
        </is>
      </c>
      <c r="P14" s="27" t="inlineStr">
        <is>
          <t>None</t>
        </is>
      </c>
      <c r="Q14" s="27" t="inlineStr">
        <is>
          <t>None</t>
        </is>
      </c>
      <c r="R14" s="27" t="inlineStr">
        <is>
          <t>Not stated on source</t>
        </is>
      </c>
      <c r="S14" s="27" t="inlineStr">
        <is>
          <t>Total score is the sum of all 25 items, converted/reported on a 0-100 scale, with higher scores indicating a greater frequency of perfectionistic cognitions (per NovoPsych's automatic scoring report). The instrument is unidimensional; no subscales are used.</t>
        </is>
      </c>
      <c r="T14" s="27" t="inlineStr">
        <is>
          <t>Typical: around the 50th percentile of the community reference sample - Frequency of perfectionistic thinking broadly typical of the community normative sample (NovoPsych).
Clinically elevated: 85th percentile and above - Frequency of perfectionistic cognitions notably higher than the community reference sample, described by NovoPsych as clinically elevated (exact score-to-percentile mapping not further specified in the retrieved report excerpt).</t>
        </is>
      </c>
      <c r="U14" s="27" t="inlineStr">
        <is>
          <t>NovoPsych's sample scoring report references percentile bands (50th percentile as typical, 85th percentile and above as clinically elevated) against a community/clinical reference sample, but did not provide the underlying raw-score-to-percentile table in the content retrieved this session.</t>
        </is>
      </c>
      <c r="V14" s="27" t="inlineStr">
        <is>
          <t>NovoPsych's sample report states that community and clinical normative samples are used, with a reference age group of 26-45 years, but exact sample sizes and means/SDs were not retrievable from the content fetched this session. The original Flett et al. (1998) development sample was N = 747 university students, with subsequent validation in N = 258 psychiatric patients (Study 1) and N = 80 adults recovering from alcoholism (Study 2).</t>
        </is>
      </c>
      <c r="W14" s="27" t="inlineStr">
        <is>
          <t>Cronbach's alpha = .95 in both the psychiatric patient sample (N = 258, Study 1) and the recovering-alcoholism sample (N = 80, Study 2); mean inter-item correlation = .44. An earlier reported sample (N = 62 psychiatric patients) gave alpha = .95 with 3-month test-retest reliability = .85 (Flett, Hewitt, Blankstein, &amp; Gray, 1998).</t>
        </is>
      </c>
      <c r="X14" s="27" t="inlineStr">
        <is>
          <t>Flett, G. L., Hewitt, P. L., Blankstein, K. R., &amp; Gray, L. (1998). Psychological distress and the frequency of perfectionistic thinking. Journal of Personality and Social Psychology, 75(5), 1363–1381. https://doi.org/10.1037/0022-3514.75.5.1363</t>
        </is>
      </c>
      <c r="Y14" s="27" t="inlineStr">
        <is>
          <t>No explicit copyright or commercial-use restriction was found on the fetched sources (Hewitt Lab-hosted document, db.arabpsychology.com scale database, or the NovoPsych sample scoring report).</t>
        </is>
      </c>
      <c r="Z14" s="27" t="inlineStr">
        <is>
          <t>https://novopsych.com/assessments/formulation/perfectionistic-cognitions-inventory-pci/</t>
        </is>
      </c>
    </row>
    <row r="15" ht="169.5" customHeight="1" s="17">
      <c r="A15" s="26" t="inlineStr">
        <is>
          <t>SCS-SF</t>
        </is>
      </c>
      <c r="B15" s="27" t="inlineStr">
        <is>
          <t>Self-Compassion Scale – Short Form</t>
        </is>
      </c>
      <c r="C15" s="27" t="inlineStr">
        <is>
          <t>5. Repetitive negative thinking and self talk</t>
        </is>
      </c>
      <c r="D15" s="27" t="inlineStr">
        <is>
          <t>Free / open access</t>
        </is>
      </c>
      <c r="E15" s="28" t="n">
        <v>12</v>
      </c>
      <c r="F15" s="28">
        <f>COUNTIF('Master Item List'!$A:$A,$A15)</f>
        <v/>
      </c>
      <c r="G15" s="27" t="inlineStr">
        <is>
          <t>Self-compassion: treating oneself with kindness during difficult times, recognising one's experience as part shared common humanity, and holding painful thoughts/feelings in mindful awareness, versus self-judgment, isolation and over-identification with negative emotion.</t>
        </is>
      </c>
      <c r="H15" s="27" t="inlineStr">
        <is>
          <t>Self-report</t>
        </is>
      </c>
      <c r="I15" s="27" t="inlineStr">
        <is>
          <t>NovoPsych lists 18 years and over. The English validation sample was University of Texas at Austin students; construction samples were Dutch/Belgian adults.</t>
        </is>
      </c>
      <c r="J15" s="27" t="inlineStr">
        <is>
          <t>Approximately 2 minutes (per NovoPsych).</t>
        </is>
      </c>
      <c r="K15" s="27" t="inlineStr">
        <is>
          <t>The author's own distribution site (self-compassion.org, Kristin Neff's official scale page) states explicitly: "Please feel free to use the Self-Compassion Scale – Short Form in your research," and does not gate clinical or coaching use; the standard Wiley 2010 journal copyright notice applies to the validation article itself, not to use of the instrument. NovoPsych also hosts the SCS-SF with automated scoring against normative comparison groups, with full scoring/psychometric detail sitting behind NovoPsych's professional-access platform (app.novopsych.com); NovoPsych's blank form and sample scoring report were both retrieved and used below. For manual/paper administration in coaching, the items and mean-based scoring can be used and hand-scored directly with citation.</t>
        </is>
      </c>
      <c r="L15" s="27" t="inlineStr">
        <is>
          <t>The SCS-SF is the natural "what to build" counterpart to a self-criticism measure like the FSCRS: rather than only identifying harsh self-talk, it measures the client's existing capacity for self-kindness, common humanity and mindful acceptance, which coaching can then work to strengthen. It is well suited to university students and early-career professionals navigating academic or performance setbacks, as a light, explicitly open-licensed check-in that pairs naturally with perfectionism- or rumination-focused work. As with all brief self-report scales, low scores flag a coaching target rather than a diagnosis, and very low scores alongside signs of distress should prompt a broader wellbeing conversation.</t>
        </is>
      </c>
      <c r="M15" s="27" t="inlineStr">
        <is>
          <t>The SCS-SF was developed by Raes, Pommier, Neff and Van Gucht (2011) as a 12-item short form of Neff's original 26-item Self-Compassion Scale, designed to be a more time-efficient measure for use when the longer scale is impractical, while preserving the same six-facet structure (Self-Kindness, Self-Judgment, Common Humanity, Isolation, Mindfulness, Over-Identification) and strongly correlating with the long-form total score.</t>
        </is>
      </c>
      <c r="N15" s="27" t="inlineStr">
        <is>
          <t>Please read each statement carefully before answering. Indicate how often you behave in the stated manner.</t>
        </is>
      </c>
      <c r="O15" s="27" t="inlineStr">
        <is>
          <t>Almost never = 1 | 2 = 2 | 3 = 3 | 4 = 4 | Almost always = 5</t>
        </is>
      </c>
      <c r="P15" s="27" t="inlineStr">
        <is>
          <t>1, 4, 8-9, 11-12</t>
        </is>
      </c>
      <c r="Q15" s="27" t="inlineStr">
        <is>
          <t>None</t>
        </is>
      </c>
      <c r="R15" s="27" t="inlineStr">
        <is>
          <t>Self-Kindness (items 2, 6; n=2; range 1-5 (mean of 2 items))
Self-Judgment (items 11-12; n=2; range 1-5 (mean of 2 items, reverse scored))
Common Humanity (items 5, 10; n=2; range 1-5 (mean of 2 items))
Isolation (items 4, 8; n=2; range 1-5 (mean of 2 items, reverse scored))
Mindfulness (items 3, 7; n=2; range 1-5 (mean of 2 items))
Over-Identification (items 1, 9; n=2; range 1-5 (mean of 2 items, reverse scored))</t>
        </is>
      </c>
      <c r="S15" s="27" t="inlineStr">
        <is>
          <t>Reverse score the six negative-subscale items (1, 4, 8, 9, 11, 12) using 1=5, 2=4, 3=3, 4=2, 5=1. Each of the six subscale scores is the mean of its 2 items (range 1-5). The total self-compassion score is the mean of all 12 item scores after reverse-scoring (range 1-5), as stated in the source (self-compassion.org). NovoPsych additionally reports two composite groupings from its own sample scoring report: Self-Care (the 6 positively-worded items: 2, 3, 5, 6, 7, 10) and Self-Disparagement (the 6 negatively-worded items: 1, 4, 8, 9, 11, 12, unreversed), with total self-compassion characterised as high Self-Care combined with low Self-Disparagement.</t>
        </is>
      </c>
      <c r="T15" s="27" t="inlineStr">
        <is>
          <t>Average: around the 50th percentile - Level of self-compassion broadly typical of NovoPsych's comparison group (per NovoPsych's sample scoring report, which compares individual scores to a clinical/psychotherapy-client reference group).</t>
        </is>
      </c>
      <c r="U15" s="27" t="inlineStr">
        <is>
          <t>No formal clinical cutoff scores were found in the developer source (self-compassion.org). NovoPsych's sample scoring report presents results as percentiles against a normative comparison group but did not provide a specific raw-score cutoff table in the content retrieved this session.</t>
        </is>
      </c>
      <c r="V15" s="27" t="inlineStr">
        <is>
          <t>NovoPsych's sample scoring report states norms are presented in comparison to a clinical group with no previous suicidal ideation, citing Hayes et al. (2016); exact sample size and means/SDs were not retrievable from the content fetched this session. The original short-form validation (Raes et al., 2011) used Dutch/Belgian construction samples plus an English validation sample of N = 415 University of Texas at Austin students.</t>
        </is>
      </c>
      <c r="W15" s="27" t="inlineStr">
        <is>
          <t>Total-score Cronbach's alpha = .86 across the construction samples and the N = 415 English-language student validation sample (Raes, Pommier, Neff, &amp; Van Gucht, 2011). No additional subscale-level reliability coefficients were extractable from the sources fetched this session.</t>
        </is>
      </c>
      <c r="X15" s="27" t="inlineStr">
        <is>
          <t>Raes, F., Pommier, E., Neff, K. D., &amp; Van Gucht, D. (2011). Construction and factorial validation of a short form of the Self-Compassion Scale. Clinical Psychology &amp; Psychotherapy, 18(3), 250–255. https://doi.org/10.1002/cpp.702</t>
        </is>
      </c>
      <c r="Y15" s="27" t="inlineStr">
        <is>
          <t>self-compassion.org (Kristin Neff's official scale page) states: "Please feel free to use the Self-Compassion Scale – Short Form in your research." Standard journal copyright (Wiley, 2010) applies to the Raes et al. validation article itself, not to use of the instrument.</t>
        </is>
      </c>
      <c r="Z15" s="27" t="inlineStr">
        <is>
          <t>https://self-compassion.org/wp-content/uploads/2015/02/ShortSCS.pdf</t>
        </is>
      </c>
    </row>
    <row r="16" ht="169.5" customHeight="1" s="17">
      <c r="A16" s="26" t="inlineStr">
        <is>
          <t>BPNSFS</t>
        </is>
      </c>
      <c r="B16" s="27" t="inlineStr">
        <is>
          <t>Basic Psychological Need Satisfaction and Frustration Scale (BPNSFS)</t>
        </is>
      </c>
      <c r="C16" s="27" t="inlineStr">
        <is>
          <t>6. Motivation, self determination and goal pursuit</t>
        </is>
      </c>
      <c r="D16" s="33" t="inlineStr">
        <is>
          <t>Free for research; permission needed for commercial use</t>
        </is>
      </c>
      <c r="E16" s="28" t="n">
        <v>24</v>
      </c>
      <c r="F16" s="28">
        <f>COUNTIF('Master Item List'!$A:$A,$A16)</f>
        <v/>
      </c>
      <c r="G16" s="27" t="inlineStr">
        <is>
          <t>The satisfaction and the frustration of the three basic psychological needs identified in self-determination theory: autonomy, competence and relatedness. The scale distinguishes need satisfaction (the needs being met) from need frustration (the needs being actively thwarted, not merely unmet), producing six subscale scores rather than three.</t>
        </is>
      </c>
      <c r="H16" s="27" t="inlineStr">
        <is>
          <t>General adult respondents (self-report). The Center for Self-Determination Theory also publishes separate BPNSFS versions for children and for adults with intellectual disabilities, and domain-specific adaptations (e.g. school, work, sport, physical education, exercise, relationships, motherhood) in numerous languages; this record documents the general, life-wide, English adult version.</t>
        </is>
      </c>
      <c r="I16" s="27" t="inlineStr">
        <is>
          <t>Not stated precisely in the source; the general version is written for adults. Separate child and intellectual-disability versions exist but were not transcribed here.</t>
        </is>
      </c>
      <c r="J16" s="27" t="inlineStr">
        <is>
          <t>Not stated on source</t>
        </is>
      </c>
      <c r="K16" s="27" t="inlineStr">
        <is>
          <t>The form is downloaded free of charge from the Center for Self-Determination Theory website (selfdeterminationtheory.org), which requires agreeing to terms before download. The Questionnaires page (https://selfdeterminationtheory.org/questionnaires/) states: 'You are welcome to use the instruments for academic (non-commercial) research projects.' and 'However, you may not use any of them for any commercial purposes without written permission to do so from the Center for Self-Determination Theory.' It also states: 'Please note that all questionnaires on this web site, developed for research on self-determination theory, are copyrighted.' No fee is specified for research use; commercial use requires contacting the Center for written permission.</t>
        </is>
      </c>
      <c r="L16" s="27" t="inlineStr">
        <is>
          <t>In coaching university students and early-career professionals, the BPNSFS is useful because it separates need satisfaction from need frustration rather than collapsing autonomy, competence and relatedness onto a single dimension each, so a client can show low satisfaction with no active frustration (an unmet need, e.g. a quiet sense that study choices are not their own) or high frustration (an actively thwarted need, e.g. feeling coerced or excluded), which point to different interventions. This distinction is well suited to conversations about study or career direction, workload and belonging during placements or early jobs. Its limits are that it is a general self-report measure not normed for coaching or clinical decision-making, carries no published cutoffs, and (per Chen et al., 2015) shows lower and more variable reliability for some subscales outside Western samples, so scores should inform discussion rather than stand as a diagnostic result.</t>
        </is>
      </c>
      <c r="M16" s="27" t="inlineStr">
        <is>
          <t>The BPNSFS was developed to measure the degree to which people experience their basic psychological needs for autonomy, competence and relatedness as satisfied in their life, and separately, the degree to which those needs are actively frustrated. It was designed to test self-determination theory's proposition that need frustration is not simply the absence of need satisfaction but a distinct experience with its own consequences for ill-being. The general version asks about need satisfaction and frustration in life as a whole, while domain-specific versions ask about the same six constructs within a particular context such as work, school, sport or relationships.</t>
        </is>
      </c>
      <c r="N16" s="27" t="inlineStr">
        <is>
          <t>Below, we ask you about the kind of experiences you actually have in your life. Please read each of the following items carefully. You can choose from 1 to 5 to indicate the degree to which the statement is true for you at this point in your life.</t>
        </is>
      </c>
      <c r="O16" s="27" t="inlineStr">
        <is>
          <t>Not true at all = 1 | 2 = 2 | 3 = 3 | 4 = 4 | Completely true = 5</t>
        </is>
      </c>
      <c r="P16" s="27" t="inlineStr">
        <is>
          <t>None</t>
        </is>
      </c>
      <c r="Q16" s="27" t="inlineStr">
        <is>
          <t>None</t>
        </is>
      </c>
      <c r="R16" s="27" t="inlineStr">
        <is>
          <t>Autonomy satisfaction (items 1, 7, 13, 19; n=4; range 4-20)
Autonomy frustration (items 2, 8, 14, 20; n=4; range 4-20)
Relatedness satisfaction (items 3, 9, 15, 21; n=4; range 4-20)
Relatedness frustration (items 4, 10, 16, 22; n=4; range 4-20)
Competence satisfaction (items 5, 11, 17, 23; n=4; range 4-20)
Competence frustration (items 6, 12, 18, 24; n=4; range 4-20)</t>
        </is>
      </c>
      <c r="S16" s="27" t="inlineStr">
        <is>
          <t>The BPNSFS manual (BPNSFS_Complete_2020.pdf) specifies only which four items belong to each of the six subscales; it does not itself print an explicit averaging or summing instruction. The Center for Self-Determination Theory manual discusses more than one scoring approach used in the literature, including subscale scores kept separate, and composite need-satisfaction and need-frustration scores formed by combining the three relevant subscales; it does not state that combining is prohibited. The standard and most commonly reported approach in the validation literature (Chen et al., 2015) is to score the six four-item subscales separately (mean or sum of their four items) and, where a broader summary is wanted, to form composite satisfaction and composite frustration scores from the three satisfaction and three frustration subscales respectively, keeping satisfaction and frustration as two separate scores rather than collapsing them into one overall index, because Chen et al. (2015) found satisfaction and frustration had 'relatively unique associations' with well-being and ill-being outcomes respectively.</t>
        </is>
      </c>
      <c r="T16" s="27" t="inlineStr">
        <is>
          <t>Not stated on source</t>
        </is>
      </c>
      <c r="U16" s="27" t="inlineStr">
        <is>
          <t>Not stated on source</t>
        </is>
      </c>
      <c r="V16" s="27" t="inlineStr">
        <is>
          <t>Not stated on source</t>
        </is>
      </c>
      <c r="W16" s="27" t="inlineStr">
        <is>
          <t>Chen et al. (2015), Study 2 (N = 525 across four countries), reported Cronbach's alpha internal consistencies for the six subscales as follows (extracted from an open-access full-text copy of the article, since the publisher (Springer) version and the Center for Self-Determination Theory's own hosted copy required login/subscription and could not be opened directly): United States - autonomy satisfaction .81, autonomy frustration .71, relatedness satisfaction .83, relatedness frustration .81, competence satisfaction .88, competence frustration .86; China - autonomy satisfaction .69, autonomy frustration .72, relatedness satisfaction .65, relatedness frustration .73, competence satisfaction .74, competence frustration .76; Peru - autonomy satisfaction .74, autonomy frustration .77, relatedness satisfaction .75, relatedness frustration .64, competence satisfaction .78, competence frustration .67; Belgium - autonomy satisfaction .82, autonomy frustration .77, relatedness satisfaction .83, relatedness frustration .67, competence satisfaction .82, competence frustration .84. The source text also describes the overall set of alphas as ranging 'between 0.64 and 0.89' across the four countries, a fractionally wider range than the highest individual subscale value located (.88, US competence satisfaction), which may reflect a composite need-satisfaction or need-frustration score not itemised in the extracted table. Chen, B., et al. (2015), Motivation and Emotion, 39, 216-236, https://doi.org/10.1007/s11031-014-9450-1.</t>
        </is>
      </c>
      <c r="X16" s="27" t="inlineStr">
        <is>
          <t>Chen, B., Vansteenkiste, M., Beyers, W., Boone, L., Deci, E. L., Van der Kaap-Deeder, J., Duriez, B., Lens, W., Matos, L., Mouratidis, A., Ryan, R. M., Sheldon, K. M., Soenens, B., Van Petegem, S., &amp; Verstuyf, J. (2015). Basic psychological need satisfaction, need frustration, and need strength across four cultures. Motivation and Emotion, 39(2), 216-236. https://doi.org/10.1007/s11031-014-9450-1</t>
        </is>
      </c>
      <c r="Y16" s="27" t="inlineStr">
        <is>
          <t>All questionnaires on selfdeterminationtheory.org, including the BPNSFS, are stated to be copyrighted. Free for academic, non-commercial research use. Written permission from the Center for Self-Determination Theory is required for any commercial use.</t>
        </is>
      </c>
      <c r="Z16" s="27" t="inlineStr">
        <is>
          <t>https://selfdeterminationtheory.org/basic-psychological-need-satisfaction-and-frustration-scale/</t>
        </is>
      </c>
    </row>
    <row r="17" ht="169.5" customHeight="1" s="17">
      <c r="A17" s="26" t="inlineStr">
        <is>
          <t>PPS</t>
        </is>
      </c>
      <c r="B17" s="27" t="inlineStr">
        <is>
          <t>Pure Procrastination Scale</t>
        </is>
      </c>
      <c r="C17" s="27" t="inlineStr">
        <is>
          <t>6. Motivation, self determination and goal pursuit</t>
        </is>
      </c>
      <c r="D17" s="27" t="inlineStr">
        <is>
          <t>Free / open access</t>
        </is>
      </c>
      <c r="E17" s="28" t="n">
        <v>12</v>
      </c>
      <c r="F17" s="28">
        <f>COUNTIF('Master Item List'!$A:$A,$A17)</f>
        <v/>
      </c>
      <c r="G17" s="27" t="inlineStr">
        <is>
          <t>Trait (general) procrastination, i.e. the tendency to voluntarily delay an intended course of action despite expecting to be worse off for the delay. The PPS is a distilled, 12-item unidimensional measure combining items drawn from three earlier procrastination scales (the Decisional Procrastination Scale, the General Procrastination Scale, and the Adult Inventory of Procrastination).</t>
        </is>
      </c>
      <c r="H17" s="27" t="inlineStr">
        <is>
          <t>Self-report</t>
        </is>
      </c>
      <c r="I17" s="27" t="inlineStr">
        <is>
          <t>Adults; validated in a global cross-national adult sample (used with university students and working adults)</t>
        </is>
      </c>
      <c r="J17" s="27" t="inlineStr">
        <is>
          <t>2-3 minutes</t>
        </is>
      </c>
      <c r="K17" s="27" t="inlineStr">
        <is>
          <t>No licence fee or permission is required to use the PPS in coaching practice. The scale is reproduced in full in Table 1 of Svartdal and Steel (2017), which is published under a Creative Commons Attribution License (CC BY), explicitly permitting reuse including commercial use with attribution. Separately, on his own measure page (procrastinus.com), the scale's co-developer Piers Steel states: "Feel free to use it for any research purpose or clinical purposes and adjust the scale length or anchors as you see fit," and invites practitioners to email him (steel@ucalgary.ca) for norms and scoring materials. A practitioner can administer it as a simple 1-5 rating form; no test manual, scoring software or purchase is needed.</t>
        </is>
      </c>
      <c r="L17" s="27" t="inlineStr">
        <is>
          <t>The PPS is a strong short screening tool for executive-function coaching with university students and early-career professionals, giving a quick trait-level read on how pervasive delay and avoidance behaviour is before goal-setting or study-skills work begins. It pairs well with the shorter Irrational Procrastination Scale and the Brief Self-Control Scale for a "what's actually driving the delay" conversation. Its main limit is that it is a broad trait measure rather than a task-specific or state measure, so it should be framed as a starting-point reflection tool rather than a diagnostic instrument, and re-administration over a coaching programme should be treated as indicative rather than clinically validated change tracking.</t>
        </is>
      </c>
      <c r="M17" s="27" t="inlineStr">
        <is>
          <t>The PPS was developed by Piers Steel to provide a short, psychometrically distilled trait measure of procrastination for research and applied use, drawing together the strongest items from three earlier scales (Decisional Procrastination Scale, General Procrastination Scale, Adult Inventory of Procrastination). Svartdal and Steel (2017) re-examined the PPS alongside four other procrastination scales, including the companion Irrational Procrastination Scale, across a large multi-country adult sample to compare their measurement properties.</t>
        </is>
      </c>
      <c r="N17" s="27" t="inlineStr">
        <is>
          <t>Not stated on source</t>
        </is>
      </c>
      <c r="O17" s="27" t="inlineStr">
        <is>
          <t>Very seldom or not true of me = 1 | 2 = 2 | 3 = 3 | 4 = 4 | Very often true, or true of me = 5</t>
        </is>
      </c>
      <c r="P17" s="27" t="inlineStr">
        <is>
          <t>None</t>
        </is>
      </c>
      <c r="Q17" s="27" t="inlineStr">
        <is>
          <t>None</t>
        </is>
      </c>
      <c r="R17" s="27" t="inlineStr">
        <is>
          <t>Pure Procrastination (total scale) (items 1-12; n=12; range 12-60)</t>
        </is>
      </c>
      <c r="S17" s="27" t="inlineStr">
        <is>
          <t>Sum (or mean) of the 12 item ratings. Higher total scores indicate greater trait procrastination. No reverse-scored items are indicated for the PPS in the source table (unlike the companion IPS, which has three reverse-scored items).</t>
        </is>
      </c>
      <c r="T17" s="27" t="inlineStr">
        <is>
          <t>Not stated on source</t>
        </is>
      </c>
      <c r="U17" s="27" t="inlineStr">
        <is>
          <t>No clinical or normative cut-off scores were given in the fetched source. It is used as a continuous research/coaching variable.</t>
        </is>
      </c>
      <c r="V17" s="27" t="inlineStr">
        <is>
          <t>No normative table was printed in the fetched excerpt of the source article. Piers Steel's own measure page invites direct contact for norms and scoring materials.</t>
        </is>
      </c>
      <c r="W17" s="27" t="inlineStr">
        <is>
          <t>Svartdal and Steel (2017) report Cronbach's alpha = .92 for the 12-item PPS in their multi-country sample, and alpha = .87 for the abbreviated 5-item PPS version (items 4-8) reported separately in the article. The article states psychometric adequacy for the scale across the six European countries sampled, in a comparison of five procrastination scales.</t>
        </is>
      </c>
      <c r="X17" s="27" t="inlineStr">
        <is>
          <t>Svartdal, F., &amp; Steel, P. (2017). Irrational delay revisited: Examining five procrastination scales in a global sample. Frontiers in Psychology, 8, 1927. https://doi.org/10.3389/fpsyg.2017.01927</t>
        </is>
      </c>
      <c r="Y17" s="27" t="inlineStr">
        <is>
          <t>The source article (Svartdal &amp; Steel, 2017) is published under the Creative Commons Attribution License (CC BY): "Copyright © 2017 Svartdal and Steel. This is an open-access article distributed under the terms of the Creative Commons Attribution License (CC BY)." Piers Steel's own measure page (procrastinus.com/piers-steel/about-the-measure/) additionally states: "Feel free to use it for any research purpose or clinical purposes and adjust the scale length or anchors as you see fit."</t>
        </is>
      </c>
      <c r="Z17" s="27" t="inlineStr">
        <is>
          <t>https://www.frontiersin.org/articles/10.3389/fpsyg.2017.01927/full</t>
        </is>
      </c>
    </row>
    <row r="18" ht="169.5" customHeight="1" s="17">
      <c r="A18" s="26" t="inlineStr">
        <is>
          <t>IPS</t>
        </is>
      </c>
      <c r="B18" s="27" t="inlineStr">
        <is>
          <t>Irrational Procrastination Scale</t>
        </is>
      </c>
      <c r="C18" s="27" t="inlineStr">
        <is>
          <t>6. Motivation, self determination and goal pursuit</t>
        </is>
      </c>
      <c r="D18" s="27" t="inlineStr">
        <is>
          <t>Free / open access</t>
        </is>
      </c>
      <c r="E18" s="28" t="n">
        <v>9</v>
      </c>
      <c r="F18" s="28">
        <f>COUNTIF('Master Item List'!$A:$A,$A18)</f>
        <v/>
      </c>
      <c r="G18" s="27" t="inlineStr">
        <is>
          <t>Irrational procrastination, i.e. the tendency to delay in a way that is knowingly counterproductive to one's own well-being or efficiency, distinguishing procrastination proper from merely intentional or strategic delay.</t>
        </is>
      </c>
      <c r="H18" s="27" t="inlineStr">
        <is>
          <t>Self-report</t>
        </is>
      </c>
      <c r="I18" s="27" t="inlineStr">
        <is>
          <t>Adults; validated in a global cross-national adult sample (16,413 adults across multiple languages per Steel's own measure page)</t>
        </is>
      </c>
      <c r="J18" s="27" t="inlineStr">
        <is>
          <t>1-2 minutes</t>
        </is>
      </c>
      <c r="K18" s="27" t="inlineStr">
        <is>
          <t>No licence fee or permission is required to use the IPS in coaching practice. The scale is reproduced in full in Table 1 of Svartdal and Steel (2017), which is published under a Creative Commons Attribution License (CC BY), explicitly permitting reuse including commercial use with attribution. Separately, on his own measure page (procrastinus.com), the scale's co-developer Piers Steel states: "Feel free to use it for any research purpose or clinical purposes and adjust the scale length or anchors as you see fit," and invites practitioners to email him (steel@ucalgary.ca) for norms and scoring materials. A practitioner can administer it as a simple 1-5 rating form; no test manual, scoring software or purchase is needed.</t>
        </is>
      </c>
      <c r="L18" s="27" t="inlineStr">
        <is>
          <t>The IPS is a compact, unidimensional measure well suited to opening an executive-function coaching conversation with university students and early-career professionals, quickly surfacing whether a client's delay is experienced as genuinely counterproductive rather than a considered choice. It pairs well with the longer Pure Procrastination Scale and the Brief Self-Control Scale for exploring what is driving the delay. Its main limit is that, like the PPS, it is a broad trait measure rather than task-specific, so it should support reflection and goal-setting rather than serve as a clinical or diagnostic tool.</t>
        </is>
      </c>
      <c r="M18" s="27" t="inlineStr">
        <is>
          <t>The IPS was developed by Piers Steel as a short, unidimensional companion measure to the Pure Procrastination Scale, targeting the irrational, self-defeating core of procrastination rather than delay in general. Svartdal and Steel (2017) re-examined the IPS alongside four other procrastination scales across a large multi-country adult sample to compare their measurement properties.</t>
        </is>
      </c>
      <c r="N18" s="27" t="inlineStr">
        <is>
          <t>Not stated on source</t>
        </is>
      </c>
      <c r="O18" s="27" t="inlineStr">
        <is>
          <t>Very seldom or not true of me = 1 | 2 = 2 | 3 = 3 | 4 = 4 | Very often true, or true of me = 5</t>
        </is>
      </c>
      <c r="P18" s="27" t="inlineStr">
        <is>
          <t>2, 6, 9</t>
        </is>
      </c>
      <c r="Q18" s="27" t="inlineStr">
        <is>
          <t>None</t>
        </is>
      </c>
      <c r="R18" s="27" t="inlineStr">
        <is>
          <t>Irrational Procrastination (total scale) (items 1-9; n=9; range 9-45)</t>
        </is>
      </c>
      <c r="S18" s="27" t="inlineStr">
        <is>
          <t>Reverse-code items 2, 6 and 9, then sum (or mean) all 9 item ratings. Higher total scores indicate greater irrational procrastination.</t>
        </is>
      </c>
      <c r="T18" s="27" t="inlineStr">
        <is>
          <t>Not stated on source</t>
        </is>
      </c>
      <c r="U18" s="27" t="inlineStr">
        <is>
          <t>No clinical or normative cut-off scores were given in the fetched source. It is used as a continuous research/coaching variable.</t>
        </is>
      </c>
      <c r="V18" s="27" t="inlineStr">
        <is>
          <t>No normative table was printed in the fetched excerpt of the source article. Piers Steel's own measure page states the IPS has been validated across international samples totalling 16,413 adults and invites direct contact for norms and scoring materials.</t>
        </is>
      </c>
      <c r="W18" s="27" t="inlineStr">
        <is>
          <t>Svartdal and Steel (2017) report Cronbach's alpha = .91 for the 9-item IPS in their multi-country sample. The article states psychometric adequacy for the scale across the six European countries sampled, in a comparison of five procrastination scales.</t>
        </is>
      </c>
      <c r="X18" s="27" t="inlineStr">
        <is>
          <t>Svartdal, F., &amp; Steel, P. (2017). Irrational delay revisited: Examining five procrastination scales in a global sample. Frontiers in Psychology, 8, 1927. https://doi.org/10.3389/fpsyg.2017.01927</t>
        </is>
      </c>
      <c r="Y18" s="27" t="inlineStr">
        <is>
          <t>The source article (Svartdal &amp; Steel, 2017) is published under the Creative Commons Attribution License (CC BY): "Copyright © 2017 Svartdal and Steel. This is an open-access article distributed under the terms of the Creative Commons Attribution License (CC BY)." Piers Steel's own measure page (procrastinus.com/piers-steel/about-the-measure/) additionally states: "Feel free to use it for any research purpose or clinical purposes and adjust the scale length or anchors as you see fit."</t>
        </is>
      </c>
      <c r="Z18" s="27" t="inlineStr">
        <is>
          <t>https://www.frontiersin.org/articles/10.3389/fpsyg.2017.01927/full</t>
        </is>
      </c>
    </row>
    <row r="19" ht="169.5" customHeight="1" s="17">
      <c r="A19" s="26" t="inlineStr">
        <is>
          <t>GSE</t>
        </is>
      </c>
      <c r="B19" s="27" t="inlineStr">
        <is>
          <t>General Self-Efficacy Scale</t>
        </is>
      </c>
      <c r="C19" s="27" t="inlineStr">
        <is>
          <t>6. Motivation, self determination and goal pursuit</t>
        </is>
      </c>
      <c r="D19" s="27" t="inlineStr">
        <is>
          <t>Free / open access</t>
        </is>
      </c>
      <c r="E19" s="28" t="n">
        <v>10</v>
      </c>
      <c r="F19" s="28">
        <f>COUNTIF('Master Item List'!$A:$A,$A19)</f>
        <v/>
      </c>
      <c r="G19" s="27" t="inlineStr">
        <is>
          <t>Generalized self-efficacy, i.e. a broad and stable sense of personal competence to deal effectively with a variety of stressful or difficult situations, treated as a unidimensional trait rather than task-specific self-efficacy.</t>
        </is>
      </c>
      <c r="H19" s="27" t="inlineStr">
        <is>
          <t>Self-report</t>
        </is>
      </c>
      <c r="I19" s="27" t="inlineStr">
        <is>
          <t>Adolescents through adults; validated across 23 nations in general population and student samples</t>
        </is>
      </c>
      <c r="J19" s="27" t="inlineStr">
        <is>
          <t>4 minutes average (per the official FU Berlin documentation)</t>
        </is>
      </c>
      <c r="K19" s="27" t="inlineStr">
        <is>
          <t>No licence fee or permission is required to use the GSE in coaching practice. The official documentation (faq_gse.pdf, hosted on the developers' own Freie Universität Berlin page) states explicitly: "You do not need our explicit permission to utilize the scale in your research studies. We hereby grant you permission to use and reproduce the General Self-Efficacy Scale for your study, given that appropriate recognition of the source of the scale is made." No commercial-use exclusion is stated anywhere on the official site. Items and instructions are freely viewable on the official page; no purchase, manual or scoring software is required.</t>
        </is>
      </c>
      <c r="L19" s="27" t="inlineStr">
        <is>
          <t>The GSE is a strong short default confidence measure for university students and early-career professionals in executive-function, study-skills and career coaching, giving a quick read on a client's general belief in their capacity to handle difficult or unfamiliar academic and career tasks, which is directly actionable in goal-setting and in framing setbacks. Its limits are that it measures a broad, stable trait rather than confidence in a specific task or domain (such as a particular assignment or job search step), so a low score should prompt further, more specific exploration rather than be treated as a complete picture of a client's confidence.</t>
        </is>
      </c>
      <c r="M19" s="27" t="inlineStr">
        <is>
          <t>The GSE was developed by Schwarzer and Jerusalem to provide a short, psychometrically robust measure of a person's general sense of perceived self-efficacy, intended to predict how well people cope with daily hassles and adapt after experiencing stressful life events, across cultures and languages.</t>
        </is>
      </c>
      <c r="N19" s="27" t="inlineStr">
        <is>
          <t>Not stated on source</t>
        </is>
      </c>
      <c r="O19" s="27" t="inlineStr">
        <is>
          <t>Not at all true = 1 | Hardly true = 2 | Moderately true = 3 | Exactly true = 4</t>
        </is>
      </c>
      <c r="P19" s="27" t="inlineStr">
        <is>
          <t>None</t>
        </is>
      </c>
      <c r="Q19" s="27" t="inlineStr">
        <is>
          <t>None</t>
        </is>
      </c>
      <c r="R19" s="27" t="inlineStr">
        <is>
          <t>General Self-Efficacy (total scale) (items 1-10; n=10; range 10-40)</t>
        </is>
      </c>
      <c r="S19" s="27" t="inlineStr">
        <is>
          <t>Sum of the 10 item ratings, giving a total score ranging from 10 to 40. Higher scores indicate greater generalized self-efficacy. No items are reverse-scored.</t>
        </is>
      </c>
      <c r="T19" s="27" t="inlineStr">
        <is>
          <t>Not stated on source</t>
        </is>
      </c>
      <c r="U19" s="27" t="inlineStr">
        <is>
          <t>No clinical cut-off scores are given on the official page; it is used as a continuous variable.</t>
        </is>
      </c>
      <c r="V19" s="27" t="inlineStr">
        <is>
          <t>The official page states the scale has been validated in samples from 23 nations. No specific mean/SD norm tables were printed in the fetched page text, though the page indicates such information is discussed in the accompanying FAQ documentation.</t>
        </is>
      </c>
      <c r="W19" s="27" t="inlineStr">
        <is>
          <t>Cronbach's alpha coefficients ranged from .76 to .90 across the 23-nation samples, with the majority in the high .80s, per the official FU Berlin documentation.</t>
        </is>
      </c>
      <c r="X19" s="27" t="inlineStr">
        <is>
          <t>Schwarzer, R., &amp; Jerusalem, M. (1995). Generalized Self-Efficacy scale. In J. Weinman, S. Wright, &amp; M. Johnston, Measures in health psychology: A user's portfolio. Causal and control beliefs (pp. 35-37). NFER-NELSON.</t>
        </is>
      </c>
      <c r="Y19" s="27" t="inlineStr">
        <is>
          <t>The official FAQ documentation (faq_gse.pdf) states: "You do not need our explicit permission to utilize the scale in your research studies. We hereby grant you permission to use and reproduce the General Self-Efficacy Scale for your study, given that appropriate recognition of the source of the scale is made." No copyright or permission statement restricting commercial use appears on the item-hosting page itself.</t>
        </is>
      </c>
      <c r="Z19" s="27" t="inlineStr">
        <is>
          <t>https://userpage.fu-berlin.de/~health/engscal.htm</t>
        </is>
      </c>
    </row>
    <row r="20" ht="169.5" customHeight="1" s="17">
      <c r="A20" s="26" t="inlineStr">
        <is>
          <t>GCS</t>
        </is>
      </c>
      <c r="B20" s="27" t="inlineStr">
        <is>
          <t>Goal Commitment Scale (5-item unidimensional version)</t>
        </is>
      </c>
      <c r="C20" s="27" t="inlineStr">
        <is>
          <t>6. Motivation, self determination and goal pursuit</t>
        </is>
      </c>
      <c r="D20" s="33" t="inlineStr">
        <is>
          <t>Free for research; permission needed for commercial use</t>
        </is>
      </c>
      <c r="E20" s="28" t="n">
        <v>5</v>
      </c>
      <c r="F20" s="28">
        <f>COUNTIF('Master Item List'!$A:$A,$A20)</f>
        <v/>
      </c>
      <c r="G20" s="27" t="inlineStr">
        <is>
          <t>Unidimensional goal commitment, i.e. the degree of attachment to, and determination to reach, a specific goal the respondent has in mind, independent of the goal's difficulty or content.</t>
        </is>
      </c>
      <c r="H20" s="27" t="inlineStr">
        <is>
          <t>Self-report, completed with reference to a specific goal the respondent names or is given (items are worded around "this goal"); used with working adults and students across the many studies aggregated in the 2001 meta-analysis.</t>
        </is>
      </c>
      <c r="I20" s="27" t="inlineStr">
        <is>
          <t>Adult (18+) in the studies identified; no child or adolescent validation located in the sources fetched.</t>
        </is>
      </c>
      <c r="J20" s="27" t="inlineStr">
        <is>
          <t>Not stated on source</t>
        </is>
      </c>
      <c r="K20" s="27" t="inlineStr">
        <is>
          <t>No purchase, licence fee, manual, or scoring software is needed to administer the 5 items themselves. The item text is reproduced by an aggregator (scales.arabpsychology.com and its sister site db.arabpsychology.com, both fetched and cross-checked against each other in this session) which states verbatim: "Generally utilized freely for non-commercial academic research, provided proper attribution and citation are given to the original authors. Commercial use or modifications may require explicit permission." This is the aggregator's own licensing note, not a statement issued by Klein et al. or by Elsevier/Organizational Behavior and Human Decision Processes, and no author contact address was found on either aggregator page. The original 2001 article itself is behind the ScienceDirect paywall, so no publisher-issued licence text could be checked directly. Recommend written confirmation from Howard J. Klein (Ohio State University) before using the scale as a scored instrument within a paid coaching product; low-risk for informal, unscored use as a single reflective rating within an individual coaching session. Licensing detail: Free to view for research and academic use; the hosting database states commercial use or modification may require explicit permission from the original authors (position as stated by the aggregator, not by the original publisher, Elsevier)</t>
        </is>
      </c>
      <c r="L20" s="27" t="inlineStr">
        <is>
          <t>The 5-item Goal Commitment Scale is a well-validated, quick diagnostic for how genuinely committed a client is to a goal they have just set, which is useful before investing coaching effort in goal-setting or accountability work with university students or early-career professionals. It works best as a short check-in on a specific, named goal (e.g. a study goal or a career-transition goal) rather than as a general trait measure, and because it was developed and validated in organisational/laboratory goal-setting research rather than in coaching or clinical samples, any score interpretation should stay descriptive and conversational rather than being presented as a validated clinical cut-off.</t>
        </is>
      </c>
      <c r="M20" s="27" t="inlineStr">
        <is>
          <t>The Goal Commitment Scale was originally developed by Hollenbeck, Williams and Klein (1989) as a 9-item measure of commitment to a specific, often difficult, goal, extending earlier single-item approaches used in goal-setting research. Klein, Wesson, Hollenbeck, Wright and DeShon (2001) conducted a measurement-model meta-analysis of goal commitment measures across the accumulated literature and concluded that a unidimensional, 5-item subset of the original 9 items (items 1 to 5 below) provided the best-fitting and most parsimonious measurement model, recommending it over the full 9-item version and over the other item combinations tested.</t>
        </is>
      </c>
      <c r="N20" s="27" t="inlineStr">
        <is>
          <t>Not retrieved verbatim from a published source. The items refer to 'this goal', so the respondent must first name the goal being rated; a practitioner instruction such as asking the client to write down the goal and rate each statement about it is needed on the form.</t>
        </is>
      </c>
      <c r="O20" s="27" t="inlineStr">
        <is>
          <t>Strongly Disagree = 1 | Moderately Disagree = 2 | Neutral = 3 | Moderately Agree = 4 | Strongly Agree = 5</t>
        </is>
      </c>
      <c r="P20" s="27" t="inlineStr">
        <is>
          <t>1-2, 4</t>
        </is>
      </c>
      <c r="Q20" s="27" t="inlineStr">
        <is>
          <t>None</t>
        </is>
      </c>
      <c r="R20" s="27" t="inlineStr">
        <is>
          <t>Goal Commitment (items 1-5; n=5; range 5-25 (sum) or 1-5 (mean) on a 5 point scale)</t>
        </is>
      </c>
      <c r="S20" s="27" t="inlineStr">
        <is>
          <t>Reverse score items 1, 2 and 4 (6 minus the response on a 1 to 5 scale), then sum or average all 5 items. Higher scores indicate stronger commitment to the named goal. Klein et al. (2001) recommended these 5 items from the 9 item Hollenbeck, Williams and Klein (1989) scale on the basis of their meta-analytic measurement model; the scale is unidimensional.</t>
        </is>
      </c>
      <c r="T20" s="27" t="inlineStr">
        <is>
          <t>Not stated on source</t>
        </is>
      </c>
      <c r="U20" s="27" t="inlineStr">
        <is>
          <t>Not stated on source</t>
        </is>
      </c>
      <c r="V20" s="27" t="inlineStr">
        <is>
          <t>Not stated on source</t>
        </is>
      </c>
      <c r="W20" s="27" t="inlineStr">
        <is>
          <t>The original Klein et al. (2001) primary-source alpha for the 5-item scale could not be independently retrieved in this session (ScienceDirect paywall). A secondary source that cites Klein et al. (2001) directly (Examination of Goal Commitment and Subjective..., ERIC document EJ1263534, fetched in this session) states: "the internal consistency coefficient of the scale was found to be 0.74," attributed to the Klein et al. (2001) 5-item version, but this figure is a secondary citation, not a quote taken from the original 2001 article itself. A separate, unrelated study using the same 5-item scale (fetched via PMC8490751, a feedback-and-goal-commitment study) reports Cronbach's alpha ranging from .80 to .88 across experimental conditions at Time 1, again not from the original 2001 source. A later, related 4-item unidimensional target-free measure derived from this tradition (the KUT; Klein, Cooper, Molloy &amp; Swanson, 2014, cited in a secondary dissertation source fetched in this session) is reported with alpha = .92, but this is a different, shorter instrument, not the Klein et al. (2001) 5-item GCS itself, and is included here only for context. No alpha figure could be confirmed as coming directly from the text of Klein et al. (2001). Correction note: an earlier draft of this record, taken from an aggregator site, listed two items from the 9 item parent scale ('It's unrealistic for me to expect to reach this goal' and 'It is quite likely that this goal may need to be revised') in place of 2 of the 5 recommended items. The items were corrected against Klein et al. (2001, p. 34) as quoted in an independent thesis; reliability figures quoted above from sources using the aggregator's set should be treated with caution.</t>
        </is>
      </c>
      <c r="X20" s="27" t="inlineStr">
        <is>
          <t>Klein, H. J., Wesson, M. J., Hollenbeck, J. R., Wright, P. M., &amp; DeShon, R. P. (2001). The assessment of goal commitment: A measurement model meta-analysis. Organizational Behavior and Human Decision Processes, 85(1), 32-55.</t>
        </is>
      </c>
      <c r="Y20" s="27" t="inlineStr">
        <is>
          <t>No copyright or licence statement was found on the original publisher's own materials (the article is paywalled at Elsevier/ScienceDirect and no author-hosted copy was located). The item-hosting aggregator (arabpsychology.com, both scales. and db. subdomains, cross-checked against each other) states verbatim: "Generally utilized freely for non-commercial academic research, provided proper attribution and citation are given to the original authors. Commercial use or modifications may require explicit permission." One of the two aggregator pages additionally attributes the underlying construct to a different 1989 citation (Hollenbeck, Klein, O'Leary &amp; Wright, 1989, Journal of Applied Psychology, 74, 951-956, "Investigation of the construct validity of a self-report measure of goal commitment") rather than to the Hollenbeck, Williams &amp; Klein (1989) citation specified in this record's brief; both 1989 papers exist in the literature and this discrepancy between the two aggregator pages should be treated as an aggregator inconsistency, not a confirmed fact about the scale's origin.</t>
        </is>
      </c>
      <c r="Z20" s="27" t="inlineStr">
        <is>
          <t>https://bearworks.missouristate.edu/cgi/viewcontent.cgi?article=4229&amp;context=theses</t>
        </is>
      </c>
    </row>
    <row r="21" ht="169.5" customHeight="1" s="17">
      <c r="A21" s="26" t="inlineStr">
        <is>
          <t>GADJ</t>
        </is>
      </c>
      <c r="B21" s="27" t="inlineStr">
        <is>
          <t>Goal Adjustment Scale</t>
        </is>
      </c>
      <c r="C21" s="27" t="inlineStr">
        <is>
          <t>6. Motivation, self determination and goal pursuit</t>
        </is>
      </c>
      <c r="D21" s="33" t="inlineStr">
        <is>
          <t>Free for research; permission needed for commercial use</t>
        </is>
      </c>
      <c r="E21" s="28" t="n">
        <v>10</v>
      </c>
      <c r="F21" s="28">
        <f>COUNTIF('Master Item List'!$A:$A,$A21)</f>
        <v/>
      </c>
      <c r="G21" s="27" t="inlineStr">
        <is>
          <t>Adaptive self-regulation in the face of unattainable goals, comprising two related capacities: Goal Disengagement (the ability to withdraw effort and commitment from a goal that can no longer be reached) and Goal Reengagement (the ability to identify, commit to, and pursue new goals after disengaging from an old one).</t>
        </is>
      </c>
      <c r="H21" s="27" t="inlineStr">
        <is>
          <t>Self-report, answered with respect to a general stem about an important, unattainable goal in the respondent's own life (not a goal supplied by an interviewer).</t>
        </is>
      </c>
      <c r="I21" s="27" t="inlineStr">
        <is>
          <t>Validated across three studies spanning young adulthood to old age: Study 1, undergraduates aged 17-23 (M = 19.35, SD = 1.08); Study 2, young adults aged 19-35 (M = 22.47) and older adults aged 55-89 (M = 69.67); Study 3, parents in their mid-30s to mid-40s (M around 36.9-37.6). No dedicated adolescent (under 17) validation was located.</t>
        </is>
      </c>
      <c r="J21" s="27" t="inlineStr">
        <is>
          <t>Not stated on source</t>
        </is>
      </c>
      <c r="K21" s="27" t="inlineStr">
        <is>
          <t>No purchase or licence fee is required to view the 10 items; they are reproduced in Table 1 of the original journal article, re-hosted at https://www.cmu.edu/dietrich/psychology/pdf/scales/GAS_article.pdf (fetched and confirmed in this session; this is the original 2003 Personality and Social Psychology Bulletin article, carrying the line "\u00a9 2003 by the Society for Personality and Social Psychology, Inc."). Carnegie Mellon's psychology department also hosts what its filename indicates is a standalone scale-only document at https://www.cmu.edu/dietrich/psychology/pdf/scales/GAS_scale.pdf; this URL was fetched in this session but returned no machine-readable text ("This PDF is empty or contains no machine-readable text"), so it could not be used to confirm a separate administration-ready form, and its existence as a genuinely standalone form is unconfirmed. No copyright, licence, or commercial-use statement appears anywhere in the original article itself. A third-party aggregator, Psychology Roots (https://psychologyroots.com/goal-adjustment-scale/, fetched and quoted directly in this session), states: "Psychology Roots does not have the right to grant permission for the use of any psychological scales or assessments listed on its website. To use any scale or assessment, you must obtain permission directly from the author or translator of the tool," naming the original authors (Wrosch, Scheier, Miller, Schulz, Carver) as the people to contact. Recommend written permission from Carsten Wrosch or Michael F. Scheier before using the GAS as a scored instrument in a commercial coaching product. Licensing detail: Free to view via a university-hosted copy of the original journal article; commercial/paid use is not explicitly addressed by the original authors or publisher, and a third-party scale-listing site states that permission must be obtained directly from the authors</t>
        </is>
      </c>
      <c r="L21" s="27" t="inlineStr">
        <is>
          <t>The Goal Adjustment Scale is directly useful in goal-setting coaching with university students and early-career professionals when the presenting issue is a stalled, blocked, or no-longer-realistic goal, such as a failed course, a missed graduate-entry pathway, or a career plan overtaken by events, because it separates the client's capacity to let go of that goal from their capacity to reinvest energy in a new one. Its main limits for this population are that it was validated primarily on undergraduates, community adults, and parents of ill children rather than on a coaching-specific sample, and that a low Reengagement score in a young client may reflect a genuinely open-ended transitional life stage rather than a self-regulatory deficit, so scores should inform conversation rather than be treated as a fixed trait diagnosis.</t>
        </is>
      </c>
      <c r="M21" s="27" t="inlineStr">
        <is>
          <t>The Goal Adjustment Scale was developed by Wrosch, Scheier, Miller, Schulz and Carver (2003) to measure two theoretically distinct components of adaptive self-regulation when a personal goal becomes unattainable: disengaging from the blocked goal, and reengaging with new, attainable goals. The scale was validated across three studies (university students, a community sample of young and older adults, and parents of children with or without cancer) and used to test whether disengagement and reengagement independently predict subjective well-being and physical health symptoms.</t>
        </is>
      </c>
      <c r="N21" s="27" t="inlineStr">
        <is>
          <t>"If I have to stop pursuing an important goal in my life . . ." This is the generic item stem used for all 10 items in Study 2 and Study 3, quoted verbatim from a footnote to Table 1 of Wrosch et al. (2003), fetched and confirmed in this session. In Study 1, the goal disengagement items only were instead presented against three separate situational stems, one of which is quoted verbatim in the article as: "If it becomes likely that I have to stop pursuing an important goal because I no longer have the opportunity to realize it . . ."</t>
        </is>
      </c>
      <c r="O21" s="27" t="inlineStr">
        <is>
          <t>Almost never true = 1 | 2 = 2 | 3 = 3 | 4 = 4 | Almost always true = 5</t>
        </is>
      </c>
      <c r="P21" s="27" t="inlineStr">
        <is>
          <t>2-3</t>
        </is>
      </c>
      <c r="Q21" s="27" t="inlineStr">
        <is>
          <t>None</t>
        </is>
      </c>
      <c r="R21" s="27" t="inlineStr">
        <is>
          <t>Goal Disengagement (items 1-4; n=4; range 4-20 (sum) or 1-5 (mean))
Goal Reengagement (items 5-10; n=6; range 6-30 (sum) or 1-5 (mean))</t>
        </is>
      </c>
      <c r="S21" s="27" t="inlineStr">
        <is>
          <t>Score the two subscales separately; the instrument does not sum to a single overall score. For Goal Disengagement, reverse-score items 2 and 3, then average (or sum) all 4 items; higher scores indicate greater ability to disengage from an unattainable goal. For Goal Reengagement, average (or sum) all 6 items with no reversal; higher scores indicate greater capacity to reengage with new goals.</t>
        </is>
      </c>
      <c r="T21" s="27" t="inlineStr">
        <is>
          <t>Not stated on source</t>
        </is>
      </c>
      <c r="U21" s="27" t="inlineStr">
        <is>
          <t>Not stated on source</t>
        </is>
      </c>
      <c r="V21" s="27" t="inlineStr">
        <is>
          <t>Not stated on source</t>
        </is>
      </c>
      <c r="W21" s="27" t="inlineStr">
        <is>
          <t>Cronbach's alpha values quoted verbatim from Wrosch et al. (2003), fetched and confirmed in this session: Study 1 (N = 115 undergraduates), Goal Disengagement α = .84, Goal Reengagement α = .86; Study 2 (N = 120 community adults), Goal Disengagement α = .76, Goal Reengagement α = .89; Study 3 (N = 45 parents), Goal Disengagement α = .79, Goal Reengagement α = .86. Note that a third-party aggregator page (Psychology Roots) states the Study 1 figures (.84 disengagement / .86 reengagement) as if they were the scale's single reliability figures and separately describes the response scale as "1 (Strongly Disagree) to 5 (Strongly Agree)," which conflicts with the "almost never true" to "almost always true" anchors confirmed directly from the primary article's Table 1 footnote; the primary-source anchors are used in this record and the aggregator's anchor wording should be treated as an error.</t>
        </is>
      </c>
      <c r="X21" s="27" t="inlineStr">
        <is>
          <t>Wrosch, C., Scheier, M. F., Miller, G. E., Schulz, R., &amp; Carver, C. S. (2003). Adaptive self-regulation of unattainable goals: Goal disengagement, goal reengagement, and subjective well-being. Personality and Social Psychology Bulletin, 29(12), 1494-1508.</t>
        </is>
      </c>
      <c r="Y21" s="27" t="inlineStr">
        <is>
          <t>The original article carries the line "\u00a9 2003 by the Society for Personality and Social Psychology, Inc." but no explicit statement about permission to reproduce or use the scale for research, clinical, or commercial purposes appears anywhere in the fetched text. Psychology Roots (third-party aggregator, quoted verbatim above) states that permission must be sought directly from the original authors and that the aggregator itself has no right to grant use permission.</t>
        </is>
      </c>
      <c r="Z21" s="27" t="inlineStr">
        <is>
          <t>https://www.cmu.edu/dietrich/psychology/pdf/scales/GAS_article.pdf</t>
        </is>
      </c>
    </row>
  </sheetData>
  <autoFilter ref="A1:Z2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K308"/>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4" customWidth="1" style="16" min="1" max="1"/>
    <col width="34" customWidth="1" style="16" min="2" max="3"/>
    <col width="9" customWidth="1" style="16" min="4" max="4"/>
    <col width="78" customWidth="1" style="16" min="5" max="5"/>
    <col width="34" customWidth="1" style="16" min="6" max="6"/>
    <col width="10" customWidth="1" style="16" min="7" max="7"/>
    <col width="12" customWidth="1" style="16" min="8" max="8"/>
    <col width="44" customWidth="1" style="16" min="9" max="9"/>
    <col width="60" customWidth="1" style="16" min="10" max="10"/>
    <col width="46" customWidth="1" style="16" min="11" max="11"/>
  </cols>
  <sheetData>
    <row r="1" ht="30" customHeight="1" s="17">
      <c r="A1" s="25" t="inlineStr">
        <is>
          <t>Code</t>
        </is>
      </c>
      <c r="B1" s="25" t="inlineStr">
        <is>
          <t>Instrument Name</t>
        </is>
      </c>
      <c r="C1" s="25" t="inlineStr">
        <is>
          <t>Domain</t>
        </is>
      </c>
      <c r="D1" s="25" t="inlineStr">
        <is>
          <t>Item Number</t>
        </is>
      </c>
      <c r="E1" s="25" t="inlineStr">
        <is>
          <t>Item Text (verbatim)</t>
        </is>
      </c>
      <c r="F1" s="25" t="inlineStr">
        <is>
          <t>Subscale / Domain</t>
        </is>
      </c>
      <c r="G1" s="25" t="inlineStr">
        <is>
          <t>Reverse Scored</t>
        </is>
      </c>
      <c r="H1" s="25" t="inlineStr">
        <is>
          <t>Filler (not scored)</t>
        </is>
      </c>
      <c r="I1" s="25" t="inlineStr">
        <is>
          <t>Response Options</t>
        </is>
      </c>
      <c r="J1" s="25" t="inlineStr">
        <is>
          <t>Item Notes</t>
        </is>
      </c>
      <c r="K1" s="25" t="inlineStr">
        <is>
          <t>Source URL</t>
        </is>
      </c>
    </row>
    <row r="2" ht="23.85" customHeight="1" s="17">
      <c r="A2" s="27" t="inlineStr">
        <is>
          <t>ESQ-R</t>
        </is>
      </c>
      <c r="B2" s="27" t="inlineStr">
        <is>
          <t>Executive Skills Questionnaire - Revised (ESQ-R)</t>
        </is>
      </c>
      <c r="C2" s="27" t="inlineStr">
        <is>
          <t>1. Executive functioning and ADHD</t>
        </is>
      </c>
      <c r="D2" s="28" t="n">
        <v>1</v>
      </c>
      <c r="E2" s="27" t="inlineStr">
        <is>
          <t>I act on impulse.</t>
        </is>
      </c>
      <c r="F2" s="27" t="inlineStr">
        <is>
          <t>Behavioral Regulation</t>
        </is>
      </c>
      <c r="G2" s="27" t="inlineStr">
        <is>
          <t>FALSE</t>
        </is>
      </c>
      <c r="H2" s="27" t="inlineStr">
        <is>
          <t>FALSE</t>
        </is>
      </c>
      <c r="I2" s="27" t="inlineStr">
        <is>
          <t>Never or rarely = 0 | Sometimes = 1 | Often = 2 | Very often = 3</t>
        </is>
      </c>
      <c r="J2" s="27" t="n"/>
      <c r="K2" s="27" t="inlineStr">
        <is>
          <t>https://novopsych.com/assessments/formulation/executive-skills-questionnaire-revised-esq-r/</t>
        </is>
      </c>
    </row>
    <row r="3" ht="23.85" customHeight="1" s="17">
      <c r="A3" s="27" t="inlineStr">
        <is>
          <t>ESQ-R</t>
        </is>
      </c>
      <c r="B3" s="27" t="inlineStr">
        <is>
          <t>Executive Skills Questionnaire - Revised (ESQ-R)</t>
        </is>
      </c>
      <c r="C3" s="27" t="inlineStr">
        <is>
          <t>1. Executive functioning and ADHD</t>
        </is>
      </c>
      <c r="D3" s="28" t="n">
        <v>2</v>
      </c>
      <c r="E3" s="27" t="inlineStr">
        <is>
          <t>I say things without thinking.</t>
        </is>
      </c>
      <c r="F3" s="27" t="inlineStr">
        <is>
          <t>Behavioral Regulation</t>
        </is>
      </c>
      <c r="G3" s="27" t="inlineStr">
        <is>
          <t>FALSE</t>
        </is>
      </c>
      <c r="H3" s="27" t="inlineStr">
        <is>
          <t>FALSE</t>
        </is>
      </c>
      <c r="I3" s="27" t="inlineStr">
        <is>
          <t>Never or rarely = 0 | Sometimes = 1 | Often = 2 | Very often = 3</t>
        </is>
      </c>
      <c r="J3" s="27" t="n"/>
      <c r="K3" s="27" t="inlineStr">
        <is>
          <t>https://novopsych.com/assessments/formulation/executive-skills-questionnaire-revised-esq-r/</t>
        </is>
      </c>
    </row>
    <row r="4" ht="23.85" customHeight="1" s="17">
      <c r="A4" s="27" t="inlineStr">
        <is>
          <t>ESQ-R</t>
        </is>
      </c>
      <c r="B4" s="27" t="inlineStr">
        <is>
          <t>Executive Skills Questionnaire - Revised (ESQ-R)</t>
        </is>
      </c>
      <c r="C4" s="27" t="inlineStr">
        <is>
          <t>1. Executive functioning and ADHD</t>
        </is>
      </c>
      <c r="D4" s="28" t="n">
        <v>3</v>
      </c>
      <c r="E4" s="27" t="inlineStr">
        <is>
          <t>I lose things.</t>
        </is>
      </c>
      <c r="F4" s="27" t="inlineStr">
        <is>
          <t>Organization</t>
        </is>
      </c>
      <c r="G4" s="27" t="inlineStr">
        <is>
          <t>FALSE</t>
        </is>
      </c>
      <c r="H4" s="27" t="inlineStr">
        <is>
          <t>FALSE</t>
        </is>
      </c>
      <c r="I4" s="27" t="inlineStr">
        <is>
          <t>Never or rarely = 0 | Sometimes = 1 | Often = 2 | Very often = 3</t>
        </is>
      </c>
      <c r="J4" s="27" t="n"/>
      <c r="K4" s="27" t="inlineStr">
        <is>
          <t>https://novopsych.com/assessments/formulation/executive-skills-questionnaire-revised-esq-r/</t>
        </is>
      </c>
    </row>
    <row r="5" ht="23.85" customHeight="1" s="17">
      <c r="A5" s="27" t="inlineStr">
        <is>
          <t>ESQ-R</t>
        </is>
      </c>
      <c r="B5" s="27" t="inlineStr">
        <is>
          <t>Executive Skills Questionnaire - Revised (ESQ-R)</t>
        </is>
      </c>
      <c r="C5" s="27" t="inlineStr">
        <is>
          <t>1. Executive functioning and ADHD</t>
        </is>
      </c>
      <c r="D5" s="28" t="n">
        <v>4</v>
      </c>
      <c r="E5" s="27" t="inlineStr">
        <is>
          <t>I have a short fuse.</t>
        </is>
      </c>
      <c r="F5" s="27" t="inlineStr">
        <is>
          <t>Emotional Regulation</t>
        </is>
      </c>
      <c r="G5" s="27" t="inlineStr">
        <is>
          <t>FALSE</t>
        </is>
      </c>
      <c r="H5" s="27" t="inlineStr">
        <is>
          <t>FALSE</t>
        </is>
      </c>
      <c r="I5" s="27" t="inlineStr">
        <is>
          <t>Never or rarely = 0 | Sometimes = 1 | Often = 2 | Very often = 3</t>
        </is>
      </c>
      <c r="J5" s="27" t="n"/>
      <c r="K5" s="27" t="inlineStr">
        <is>
          <t>https://novopsych.com/assessments/formulation/executive-skills-questionnaire-revised-esq-r/</t>
        </is>
      </c>
    </row>
    <row r="6" ht="23.85" customHeight="1" s="17">
      <c r="A6" s="27" t="inlineStr">
        <is>
          <t>ESQ-R</t>
        </is>
      </c>
      <c r="B6" s="27" t="inlineStr">
        <is>
          <t>Executive Skills Questionnaire - Revised (ESQ-R)</t>
        </is>
      </c>
      <c r="C6" s="27" t="inlineStr">
        <is>
          <t>1. Executive functioning and ADHD</t>
        </is>
      </c>
      <c r="D6" s="28" t="n">
        <v>5</v>
      </c>
      <c r="E6" s="27" t="inlineStr">
        <is>
          <t>I get upset when things don't go as planned.</t>
        </is>
      </c>
      <c r="F6" s="27" t="inlineStr">
        <is>
          <t>Emotional Regulation</t>
        </is>
      </c>
      <c r="G6" s="27" t="inlineStr">
        <is>
          <t>FALSE</t>
        </is>
      </c>
      <c r="H6" s="27" t="inlineStr">
        <is>
          <t>FALSE</t>
        </is>
      </c>
      <c r="I6" s="27" t="inlineStr">
        <is>
          <t>Never or rarely = 0 | Sometimes = 1 | Often = 2 | Very often = 3</t>
        </is>
      </c>
      <c r="J6" s="27" t="n"/>
      <c r="K6" s="27" t="inlineStr">
        <is>
          <t>https://novopsych.com/assessments/formulation/executive-skills-questionnaire-revised-esq-r/</t>
        </is>
      </c>
    </row>
    <row r="7" ht="23.85" customHeight="1" s="17">
      <c r="A7" s="27" t="inlineStr">
        <is>
          <t>ESQ-R</t>
        </is>
      </c>
      <c r="B7" s="27" t="inlineStr">
        <is>
          <t>Executive Skills Questionnaire - Revised (ESQ-R)</t>
        </is>
      </c>
      <c r="C7" s="27" t="inlineStr">
        <is>
          <t>1. Executive functioning and ADHD</t>
        </is>
      </c>
      <c r="D7" s="28" t="n">
        <v>6</v>
      </c>
      <c r="E7" s="27" t="inlineStr">
        <is>
          <t>I run out of steam before finishing a task.</t>
        </is>
      </c>
      <c r="F7" s="27" t="inlineStr">
        <is>
          <t>Plan Management</t>
        </is>
      </c>
      <c r="G7" s="27" t="inlineStr">
        <is>
          <t>FALSE</t>
        </is>
      </c>
      <c r="H7" s="27" t="inlineStr">
        <is>
          <t>FALSE</t>
        </is>
      </c>
      <c r="I7" s="27" t="inlineStr">
        <is>
          <t>Never or rarely = 0 | Sometimes = 1 | Often = 2 | Very often = 3</t>
        </is>
      </c>
      <c r="J7" s="27" t="n"/>
      <c r="K7" s="27" t="inlineStr">
        <is>
          <t>https://novopsych.com/assessments/formulation/executive-skills-questionnaire-revised-esq-r/</t>
        </is>
      </c>
    </row>
    <row r="8" ht="23.85" customHeight="1" s="17">
      <c r="A8" s="27" t="inlineStr">
        <is>
          <t>ESQ-R</t>
        </is>
      </c>
      <c r="B8" s="27" t="inlineStr">
        <is>
          <t>Executive Skills Questionnaire - Revised (ESQ-R)</t>
        </is>
      </c>
      <c r="C8" s="27" t="inlineStr">
        <is>
          <t>1. Executive functioning and ADHD</t>
        </is>
      </c>
      <c r="D8" s="28" t="n">
        <v>7</v>
      </c>
      <c r="E8" s="27" t="inlineStr">
        <is>
          <t>It's hard for me to set priorities when I have a lot of things to do.</t>
        </is>
      </c>
      <c r="F8" s="27" t="inlineStr">
        <is>
          <t>Plan Management</t>
        </is>
      </c>
      <c r="G8" s="27" t="inlineStr">
        <is>
          <t>FALSE</t>
        </is>
      </c>
      <c r="H8" s="27" t="inlineStr">
        <is>
          <t>FALSE</t>
        </is>
      </c>
      <c r="I8" s="27" t="inlineStr">
        <is>
          <t>Never or rarely = 0 | Sometimes = 1 | Often = 2 | Very often = 3</t>
        </is>
      </c>
      <c r="J8" s="27" t="n"/>
      <c r="K8" s="27" t="inlineStr">
        <is>
          <t>https://novopsych.com/assessments/formulation/executive-skills-questionnaire-revised-esq-r/</t>
        </is>
      </c>
    </row>
    <row r="9" ht="23.85" customHeight="1" s="17">
      <c r="A9" s="27" t="inlineStr">
        <is>
          <t>ESQ-R</t>
        </is>
      </c>
      <c r="B9" s="27" t="inlineStr">
        <is>
          <t>Executive Skills Questionnaire - Revised (ESQ-R)</t>
        </is>
      </c>
      <c r="C9" s="27" t="inlineStr">
        <is>
          <t>1. Executive functioning and ADHD</t>
        </is>
      </c>
      <c r="D9" s="28" t="n">
        <v>8</v>
      </c>
      <c r="E9" s="27" t="inlineStr">
        <is>
          <t>My desk or workspace is a mess.</t>
        </is>
      </c>
      <c r="F9" s="27" t="inlineStr">
        <is>
          <t>Organization</t>
        </is>
      </c>
      <c r="G9" s="27" t="inlineStr">
        <is>
          <t>FALSE</t>
        </is>
      </c>
      <c r="H9" s="27" t="inlineStr">
        <is>
          <t>FALSE</t>
        </is>
      </c>
      <c r="I9" s="27" t="inlineStr">
        <is>
          <t>Never or rarely = 0 | Sometimes = 1 | Often = 2 | Very often = 3</t>
        </is>
      </c>
      <c r="J9" s="27" t="n"/>
      <c r="K9" s="27" t="inlineStr">
        <is>
          <t>https://novopsych.com/assessments/formulation/executive-skills-questionnaire-revised-esq-r/</t>
        </is>
      </c>
    </row>
    <row r="10" ht="23.85" customHeight="1" s="17">
      <c r="A10" s="27" t="inlineStr">
        <is>
          <t>ESQ-R</t>
        </is>
      </c>
      <c r="B10" s="27" t="inlineStr">
        <is>
          <t>Executive Skills Questionnaire - Revised (ESQ-R)</t>
        </is>
      </c>
      <c r="C10" s="27" t="inlineStr">
        <is>
          <t>1. Executive functioning and ADHD</t>
        </is>
      </c>
      <c r="D10" s="28" t="n">
        <v>9</v>
      </c>
      <c r="E10" s="27" t="inlineStr">
        <is>
          <t>I have trouble keeping my house or room clean.</t>
        </is>
      </c>
      <c r="F10" s="27" t="inlineStr">
        <is>
          <t>Organization</t>
        </is>
      </c>
      <c r="G10" s="27" t="inlineStr">
        <is>
          <t>FALSE</t>
        </is>
      </c>
      <c r="H10" s="27" t="inlineStr">
        <is>
          <t>FALSE</t>
        </is>
      </c>
      <c r="I10" s="27" t="inlineStr">
        <is>
          <t>Never or rarely = 0 | Sometimes = 1 | Often = 2 | Very often = 3</t>
        </is>
      </c>
      <c r="J10" s="27" t="n"/>
      <c r="K10" s="27" t="inlineStr">
        <is>
          <t>https://novopsych.com/assessments/formulation/executive-skills-questionnaire-revised-esq-r/</t>
        </is>
      </c>
    </row>
    <row r="11" ht="23.85" customHeight="1" s="17">
      <c r="A11" s="27" t="inlineStr">
        <is>
          <t>ESQ-R</t>
        </is>
      </c>
      <c r="B11" s="27" t="inlineStr">
        <is>
          <t>Executive Skills Questionnaire - Revised (ESQ-R)</t>
        </is>
      </c>
      <c r="C11" s="27" t="inlineStr">
        <is>
          <t>1. Executive functioning and ADHD</t>
        </is>
      </c>
      <c r="D11" s="28" t="n">
        <v>10</v>
      </c>
      <c r="E11" s="27" t="inlineStr">
        <is>
          <t>I have trouble estimating how long it will take to complete a task.</t>
        </is>
      </c>
      <c r="F11" s="27" t="inlineStr">
        <is>
          <t>Time Management</t>
        </is>
      </c>
      <c r="G11" s="27" t="inlineStr">
        <is>
          <t>FALSE</t>
        </is>
      </c>
      <c r="H11" s="27" t="inlineStr">
        <is>
          <t>FALSE</t>
        </is>
      </c>
      <c r="I11" s="27" t="inlineStr">
        <is>
          <t>Never or rarely = 0 | Sometimes = 1 | Often = 2 | Very often = 3</t>
        </is>
      </c>
      <c r="J11" s="27" t="n"/>
      <c r="K11" s="27" t="inlineStr">
        <is>
          <t>https://novopsych.com/assessments/formulation/executive-skills-questionnaire-revised-esq-r/</t>
        </is>
      </c>
    </row>
    <row r="12" ht="23.85" customHeight="1" s="17">
      <c r="A12" s="27" t="inlineStr">
        <is>
          <t>ESQ-R</t>
        </is>
      </c>
      <c r="B12" s="27" t="inlineStr">
        <is>
          <t>Executive Skills Questionnaire - Revised (ESQ-R)</t>
        </is>
      </c>
      <c r="C12" s="27" t="inlineStr">
        <is>
          <t>1. Executive functioning and ADHD</t>
        </is>
      </c>
      <c r="D12" s="28" t="n">
        <v>11</v>
      </c>
      <c r="E12" s="27" t="inlineStr">
        <is>
          <t>I'm slow at getting ready for school, work, or appointments.</t>
        </is>
      </c>
      <c r="F12" s="27" t="inlineStr">
        <is>
          <t>Time Management</t>
        </is>
      </c>
      <c r="G12" s="27" t="inlineStr">
        <is>
          <t>FALSE</t>
        </is>
      </c>
      <c r="H12" s="27" t="inlineStr">
        <is>
          <t>FALSE</t>
        </is>
      </c>
      <c r="I12" s="27" t="inlineStr">
        <is>
          <t>Never or rarely = 0 | Sometimes = 1 | Often = 2 | Very often = 3</t>
        </is>
      </c>
      <c r="J12" s="27" t="n"/>
      <c r="K12" s="27" t="inlineStr">
        <is>
          <t>https://novopsych.com/assessments/formulation/executive-skills-questionnaire-revised-esq-r/</t>
        </is>
      </c>
    </row>
    <row r="13" ht="23.85" customHeight="1" s="17">
      <c r="A13" s="27" t="inlineStr">
        <is>
          <t>ESQ-R</t>
        </is>
      </c>
      <c r="B13" s="27" t="inlineStr">
        <is>
          <t>Executive Skills Questionnaire - Revised (ESQ-R)</t>
        </is>
      </c>
      <c r="C13" s="27" t="inlineStr">
        <is>
          <t>1. Executive functioning and ADHD</t>
        </is>
      </c>
      <c r="D13" s="28" t="n">
        <v>12</v>
      </c>
      <c r="E13" s="27" t="inlineStr">
        <is>
          <t>If the first solution to a problem doesn't work, I have trouble thinking of a different one.</t>
        </is>
      </c>
      <c r="F13" s="27" t="inlineStr">
        <is>
          <t>Plan Management</t>
        </is>
      </c>
      <c r="G13" s="27" t="inlineStr">
        <is>
          <t>FALSE</t>
        </is>
      </c>
      <c r="H13" s="27" t="inlineStr">
        <is>
          <t>FALSE</t>
        </is>
      </c>
      <c r="I13" s="27" t="inlineStr">
        <is>
          <t>Never or rarely = 0 | Sometimes = 1 | Often = 2 | Very often = 3</t>
        </is>
      </c>
      <c r="J13" s="27" t="n"/>
      <c r="K13" s="27" t="inlineStr">
        <is>
          <t>https://novopsych.com/assessments/formulation/executive-skills-questionnaire-revised-esq-r/</t>
        </is>
      </c>
    </row>
    <row r="14" ht="23.85" customHeight="1" s="17">
      <c r="A14" s="27" t="inlineStr">
        <is>
          <t>ESQ-R</t>
        </is>
      </c>
      <c r="B14" s="27" t="inlineStr">
        <is>
          <t>Executive Skills Questionnaire - Revised (ESQ-R)</t>
        </is>
      </c>
      <c r="C14" s="27" t="inlineStr">
        <is>
          <t>1. Executive functioning and ADHD</t>
        </is>
      </c>
      <c r="D14" s="28" t="n">
        <v>13</v>
      </c>
      <c r="E14" s="27" t="inlineStr">
        <is>
          <t>I skip checking my work for mistakes, even when the stakes are high.</t>
        </is>
      </c>
      <c r="F14" s="27" t="inlineStr">
        <is>
          <t>Plan Management</t>
        </is>
      </c>
      <c r="G14" s="27" t="inlineStr">
        <is>
          <t>FALSE</t>
        </is>
      </c>
      <c r="H14" s="27" t="inlineStr">
        <is>
          <t>FALSE</t>
        </is>
      </c>
      <c r="I14" s="27" t="inlineStr">
        <is>
          <t>Never or rarely = 0 | Sometimes = 1 | Often = 2 | Very often = 3</t>
        </is>
      </c>
      <c r="J14" s="27" t="n"/>
      <c r="K14" s="27" t="inlineStr">
        <is>
          <t>https://novopsych.com/assessments/formulation/executive-skills-questionnaire-revised-esq-r/</t>
        </is>
      </c>
    </row>
    <row r="15" ht="23.85" customHeight="1" s="17">
      <c r="A15" s="27" t="inlineStr">
        <is>
          <t>ESQ-R</t>
        </is>
      </c>
      <c r="B15" s="27" t="inlineStr">
        <is>
          <t>Executive Skills Questionnaire - Revised (ESQ-R)</t>
        </is>
      </c>
      <c r="C15" s="27" t="inlineStr">
        <is>
          <t>1. Executive functioning and ADHD</t>
        </is>
      </c>
      <c r="D15" s="28" t="n">
        <v>14</v>
      </c>
      <c r="E15" s="27" t="inlineStr">
        <is>
          <t>I get annoyed when tasks are too hard.</t>
        </is>
      </c>
      <c r="F15" s="27" t="inlineStr">
        <is>
          <t>Plan Management</t>
        </is>
      </c>
      <c r="G15" s="27" t="inlineStr">
        <is>
          <t>FALSE</t>
        </is>
      </c>
      <c r="H15" s="27" t="inlineStr">
        <is>
          <t>FALSE</t>
        </is>
      </c>
      <c r="I15" s="27" t="inlineStr">
        <is>
          <t>Never or rarely = 0 | Sometimes = 1 | Often = 2 | Very often = 3</t>
        </is>
      </c>
      <c r="J15" s="27" t="n"/>
      <c r="K15" s="27" t="inlineStr">
        <is>
          <t>https://novopsych.com/assessments/formulation/executive-skills-questionnaire-revised-esq-r/</t>
        </is>
      </c>
    </row>
    <row r="16" ht="23.85" customHeight="1" s="17">
      <c r="A16" s="27" t="inlineStr">
        <is>
          <t>ESQ-R</t>
        </is>
      </c>
      <c r="B16" s="27" t="inlineStr">
        <is>
          <t>Executive Skills Questionnaire - Revised (ESQ-R)</t>
        </is>
      </c>
      <c r="C16" s="27" t="inlineStr">
        <is>
          <t>1. Executive functioning and ADHD</t>
        </is>
      </c>
      <c r="D16" s="28" t="n">
        <v>15</v>
      </c>
      <c r="E16" s="27" t="inlineStr">
        <is>
          <t>It's hard for me to put aside fun activities to start things I know I need to do.</t>
        </is>
      </c>
      <c r="F16" s="27" t="inlineStr">
        <is>
          <t>Time Management</t>
        </is>
      </c>
      <c r="G16" s="27" t="inlineStr">
        <is>
          <t>FALSE</t>
        </is>
      </c>
      <c r="H16" s="27" t="inlineStr">
        <is>
          <t>FALSE</t>
        </is>
      </c>
      <c r="I16" s="27" t="inlineStr">
        <is>
          <t>Never or rarely = 0 | Sometimes = 1 | Often = 2 | Very often = 3</t>
        </is>
      </c>
      <c r="J16" s="27" t="n"/>
      <c r="K16" s="27" t="inlineStr">
        <is>
          <t>https://novopsych.com/assessments/formulation/executive-skills-questionnaire-revised-esq-r/</t>
        </is>
      </c>
    </row>
    <row r="17" ht="23.85" customHeight="1" s="17">
      <c r="A17" s="27" t="inlineStr">
        <is>
          <t>ESQ-R</t>
        </is>
      </c>
      <c r="B17" s="27" t="inlineStr">
        <is>
          <t>Executive Skills Questionnaire - Revised (ESQ-R)</t>
        </is>
      </c>
      <c r="C17" s="27" t="inlineStr">
        <is>
          <t>1. Executive functioning and ADHD</t>
        </is>
      </c>
      <c r="D17" s="28" t="n">
        <v>16</v>
      </c>
      <c r="E17" s="27" t="inlineStr">
        <is>
          <t>I have trouble with tasks where I have to come up with my own ideas.</t>
        </is>
      </c>
      <c r="F17" s="27" t="inlineStr">
        <is>
          <t>Plan Management</t>
        </is>
      </c>
      <c r="G17" s="27" t="inlineStr">
        <is>
          <t>FALSE</t>
        </is>
      </c>
      <c r="H17" s="27" t="inlineStr">
        <is>
          <t>FALSE</t>
        </is>
      </c>
      <c r="I17" s="27" t="inlineStr">
        <is>
          <t>Never or rarely = 0 | Sometimes = 1 | Often = 2 | Very often = 3</t>
        </is>
      </c>
      <c r="J17" s="27" t="n"/>
      <c r="K17" s="27" t="inlineStr">
        <is>
          <t>https://novopsych.com/assessments/formulation/executive-skills-questionnaire-revised-esq-r/</t>
        </is>
      </c>
    </row>
    <row r="18" ht="23.85" customHeight="1" s="17">
      <c r="A18" s="27" t="inlineStr">
        <is>
          <t>ESQ-R</t>
        </is>
      </c>
      <c r="B18" s="27" t="inlineStr">
        <is>
          <t>Executive Skills Questionnaire - Revised (ESQ-R)</t>
        </is>
      </c>
      <c r="C18" s="27" t="inlineStr">
        <is>
          <t>1. Executive functioning and ADHD</t>
        </is>
      </c>
      <c r="D18" s="28" t="n">
        <v>17</v>
      </c>
      <c r="E18" s="27" t="inlineStr">
        <is>
          <t>It's hard for me to tell how well I'm doing on a task.</t>
        </is>
      </c>
      <c r="F18" s="27" t="inlineStr">
        <is>
          <t>Plan Management</t>
        </is>
      </c>
      <c r="G18" s="27" t="inlineStr">
        <is>
          <t>FALSE</t>
        </is>
      </c>
      <c r="H18" s="27" t="inlineStr">
        <is>
          <t>FALSE</t>
        </is>
      </c>
      <c r="I18" s="27" t="inlineStr">
        <is>
          <t>Never or rarely = 0 | Sometimes = 1 | Often = 2 | Very often = 3</t>
        </is>
      </c>
      <c r="J18" s="27" t="n"/>
      <c r="K18" s="27" t="inlineStr">
        <is>
          <t>https://novopsych.com/assessments/formulation/executive-skills-questionnaire-revised-esq-r/</t>
        </is>
      </c>
    </row>
    <row r="19" ht="23.85" customHeight="1" s="17">
      <c r="A19" s="27" t="inlineStr">
        <is>
          <t>ESQ-R</t>
        </is>
      </c>
      <c r="B19" s="27" t="inlineStr">
        <is>
          <t>Executive Skills Questionnaire - Revised (ESQ-R)</t>
        </is>
      </c>
      <c r="C19" s="27" t="inlineStr">
        <is>
          <t>1. Executive functioning and ADHD</t>
        </is>
      </c>
      <c r="D19" s="28" t="n">
        <v>18</v>
      </c>
      <c r="E19" s="27" t="inlineStr">
        <is>
          <t>I have trouble reaching long-term goals.</t>
        </is>
      </c>
      <c r="F19" s="27" t="inlineStr">
        <is>
          <t>Plan Management</t>
        </is>
      </c>
      <c r="G19" s="27" t="inlineStr">
        <is>
          <t>FALSE</t>
        </is>
      </c>
      <c r="H19" s="27" t="inlineStr">
        <is>
          <t>FALSE</t>
        </is>
      </c>
      <c r="I19" s="27" t="inlineStr">
        <is>
          <t>Never or rarely = 0 | Sometimes = 1 | Often = 2 | Very often = 3</t>
        </is>
      </c>
      <c r="J19" s="27" t="n"/>
      <c r="K19" s="27" t="inlineStr">
        <is>
          <t>https://novopsych.com/assessments/formulation/executive-skills-questionnaire-revised-esq-r/</t>
        </is>
      </c>
    </row>
    <row r="20" ht="23.85" customHeight="1" s="17">
      <c r="A20" s="27" t="inlineStr">
        <is>
          <t>ESQ-R</t>
        </is>
      </c>
      <c r="B20" s="27" t="inlineStr">
        <is>
          <t>Executive Skills Questionnaire - Revised (ESQ-R)</t>
        </is>
      </c>
      <c r="C20" s="27" t="inlineStr">
        <is>
          <t>1. Executive functioning and ADHD</t>
        </is>
      </c>
      <c r="D20" s="28" t="n">
        <v>19</v>
      </c>
      <c r="E20" s="27" t="inlineStr">
        <is>
          <t>I "go with my gut" when making decisions.</t>
        </is>
      </c>
      <c r="F20" s="27" t="inlineStr">
        <is>
          <t>Behavioral Regulation</t>
        </is>
      </c>
      <c r="G20" s="27" t="inlineStr">
        <is>
          <t>FALSE</t>
        </is>
      </c>
      <c r="H20" s="27" t="inlineStr">
        <is>
          <t>FALSE</t>
        </is>
      </c>
      <c r="I20" s="27" t="inlineStr">
        <is>
          <t>Never or rarely = 0 | Sometimes = 1 | Often = 2 | Very often = 3</t>
        </is>
      </c>
      <c r="J20" s="27" t="n"/>
      <c r="K20" s="27" t="inlineStr">
        <is>
          <t>https://novopsych.com/assessments/formulation/executive-skills-questionnaire-revised-esq-r/</t>
        </is>
      </c>
    </row>
    <row r="21" ht="23.85" customHeight="1" s="17">
      <c r="A21" s="27" t="inlineStr">
        <is>
          <t>ESQ-R</t>
        </is>
      </c>
      <c r="B21" s="27" t="inlineStr">
        <is>
          <t>Executive Skills Questionnaire - Revised (ESQ-R)</t>
        </is>
      </c>
      <c r="C21" s="27" t="inlineStr">
        <is>
          <t>1. Executive functioning and ADHD</t>
        </is>
      </c>
      <c r="D21" s="28" t="n">
        <v>20</v>
      </c>
      <c r="E21" s="27" t="inlineStr">
        <is>
          <t>I get so wrapped up in what I'm doing that I forget about other things I need to do.</t>
        </is>
      </c>
      <c r="F21" s="27" t="inlineStr">
        <is>
          <t>Time Management</t>
        </is>
      </c>
      <c r="G21" s="27" t="inlineStr">
        <is>
          <t>FALSE</t>
        </is>
      </c>
      <c r="H21" s="27" t="inlineStr">
        <is>
          <t>FALSE</t>
        </is>
      </c>
      <c r="I21" s="27" t="inlineStr">
        <is>
          <t>Never or rarely = 0 | Sometimes = 1 | Often = 2 | Very often = 3</t>
        </is>
      </c>
      <c r="J21" s="27" t="n"/>
      <c r="K21" s="27" t="inlineStr">
        <is>
          <t>https://novopsych.com/assessments/formulation/executive-skills-questionnaire-revised-esq-r/</t>
        </is>
      </c>
    </row>
    <row r="22" ht="23.85" customHeight="1" s="17">
      <c r="A22" s="27" t="inlineStr">
        <is>
          <t>ESQ-R</t>
        </is>
      </c>
      <c r="B22" s="27" t="inlineStr">
        <is>
          <t>Executive Skills Questionnaire - Revised (ESQ-R)</t>
        </is>
      </c>
      <c r="C22" s="27" t="inlineStr">
        <is>
          <t>1. Executive functioning and ADHD</t>
        </is>
      </c>
      <c r="D22" s="28" t="n">
        <v>21</v>
      </c>
      <c r="E22" s="27" t="inlineStr">
        <is>
          <t>Little things frustrate me.</t>
        </is>
      </c>
      <c r="F22" s="27" t="inlineStr">
        <is>
          <t>Emotional Regulation</t>
        </is>
      </c>
      <c r="G22" s="27" t="inlineStr">
        <is>
          <t>FALSE</t>
        </is>
      </c>
      <c r="H22" s="27" t="inlineStr">
        <is>
          <t>FALSE</t>
        </is>
      </c>
      <c r="I22" s="27" t="inlineStr">
        <is>
          <t>Never or rarely = 0 | Sometimes = 1 | Often = 2 | Very often = 3</t>
        </is>
      </c>
      <c r="J22" s="27" t="n"/>
      <c r="K22" s="27" t="inlineStr">
        <is>
          <t>https://novopsych.com/assessments/formulation/executive-skills-questionnaire-revised-esq-r/</t>
        </is>
      </c>
    </row>
    <row r="23" ht="23.85" customHeight="1" s="17">
      <c r="A23" s="27" t="inlineStr">
        <is>
          <t>ESQ-R</t>
        </is>
      </c>
      <c r="B23" s="27" t="inlineStr">
        <is>
          <t>Executive Skills Questionnaire - Revised (ESQ-R)</t>
        </is>
      </c>
      <c r="C23" s="27" t="inlineStr">
        <is>
          <t>1. Executive functioning and ADHD</t>
        </is>
      </c>
      <c r="D23" s="28" t="n">
        <v>22</v>
      </c>
      <c r="E23" s="27" t="inlineStr">
        <is>
          <t>I have trouble getting back on track if I'm interrupted.</t>
        </is>
      </c>
      <c r="F23" s="27" t="inlineStr">
        <is>
          <t>Plan Management</t>
        </is>
      </c>
      <c r="G23" s="27" t="inlineStr">
        <is>
          <t>FALSE</t>
        </is>
      </c>
      <c r="H23" s="27" t="inlineStr">
        <is>
          <t>FALSE</t>
        </is>
      </c>
      <c r="I23" s="27" t="inlineStr">
        <is>
          <t>Never or rarely = 0 | Sometimes = 1 | Often = 2 | Very often = 3</t>
        </is>
      </c>
      <c r="J23" s="27" t="n"/>
      <c r="K23" s="27" t="inlineStr">
        <is>
          <t>https://novopsych.com/assessments/formulation/executive-skills-questionnaire-revised-esq-r/</t>
        </is>
      </c>
    </row>
    <row r="24" ht="23.85" customHeight="1" s="17">
      <c r="A24" s="27" t="inlineStr">
        <is>
          <t>ESQ-R</t>
        </is>
      </c>
      <c r="B24" s="27" t="inlineStr">
        <is>
          <t>Executive Skills Questionnaire - Revised (ESQ-R)</t>
        </is>
      </c>
      <c r="C24" s="27" t="inlineStr">
        <is>
          <t>1. Executive functioning and ADHD</t>
        </is>
      </c>
      <c r="D24" s="28" t="n">
        <v>23</v>
      </c>
      <c r="E24" s="27" t="inlineStr">
        <is>
          <t>I have trouble making a plan.</t>
        </is>
      </c>
      <c r="F24" s="27" t="inlineStr">
        <is>
          <t>Plan Management</t>
        </is>
      </c>
      <c r="G24" s="27" t="inlineStr">
        <is>
          <t>FALSE</t>
        </is>
      </c>
      <c r="H24" s="27" t="inlineStr">
        <is>
          <t>FALSE</t>
        </is>
      </c>
      <c r="I24" s="27" t="inlineStr">
        <is>
          <t>Never or rarely = 0 | Sometimes = 1 | Often = 2 | Very often = 3</t>
        </is>
      </c>
      <c r="J24" s="27" t="n"/>
      <c r="K24" s="27" t="inlineStr">
        <is>
          <t>https://novopsych.com/assessments/formulation/executive-skills-questionnaire-revised-esq-r/</t>
        </is>
      </c>
    </row>
    <row r="25" ht="23.85" customHeight="1" s="17">
      <c r="A25" s="27" t="inlineStr">
        <is>
          <t>ESQ-R</t>
        </is>
      </c>
      <c r="B25" s="27" t="inlineStr">
        <is>
          <t>Executive Skills Questionnaire - Revised (ESQ-R)</t>
        </is>
      </c>
      <c r="C25" s="27" t="inlineStr">
        <is>
          <t>1. Executive functioning and ADHD</t>
        </is>
      </c>
      <c r="D25" s="28" t="n">
        <v>24</v>
      </c>
      <c r="E25" s="27" t="inlineStr">
        <is>
          <t>I miss the big picture.</t>
        </is>
      </c>
      <c r="F25" s="27" t="inlineStr">
        <is>
          <t>Plan Management</t>
        </is>
      </c>
      <c r="G25" s="27" t="inlineStr">
        <is>
          <t>FALSE</t>
        </is>
      </c>
      <c r="H25" s="27" t="inlineStr">
        <is>
          <t>FALSE</t>
        </is>
      </c>
      <c r="I25" s="27" t="inlineStr">
        <is>
          <t>Never or rarely = 0 | Sometimes = 1 | Often = 2 | Very often = 3</t>
        </is>
      </c>
      <c r="J25" s="27" t="n"/>
      <c r="K25" s="27" t="inlineStr">
        <is>
          <t>https://novopsych.com/assessments/formulation/executive-skills-questionnaire-revised-esq-r/</t>
        </is>
      </c>
    </row>
    <row r="26" ht="23.85" customHeight="1" s="17">
      <c r="A26" s="27" t="inlineStr">
        <is>
          <t>ESQ-R</t>
        </is>
      </c>
      <c r="B26" s="27" t="inlineStr">
        <is>
          <t>Executive Skills Questionnaire - Revised (ESQ-R)</t>
        </is>
      </c>
      <c r="C26" s="27" t="inlineStr">
        <is>
          <t>1. Executive functioning and ADHD</t>
        </is>
      </c>
      <c r="D26" s="28" t="n">
        <v>25</v>
      </c>
      <c r="E26" s="27" t="inlineStr">
        <is>
          <t>I live for the moment.</t>
        </is>
      </c>
      <c r="F26" s="27" t="inlineStr">
        <is>
          <t>Behavioral Regulation</t>
        </is>
      </c>
      <c r="G26" s="27" t="inlineStr">
        <is>
          <t>FALSE</t>
        </is>
      </c>
      <c r="H26" s="27" t="inlineStr">
        <is>
          <t>FALSE</t>
        </is>
      </c>
      <c r="I26" s="27" t="inlineStr">
        <is>
          <t>Never or rarely = 0 | Sometimes = 1 | Often = 2 | Very often = 3</t>
        </is>
      </c>
      <c r="J26" s="27" t="n"/>
      <c r="K26" s="27" t="inlineStr">
        <is>
          <t>https://novopsych.com/assessments/formulation/executive-skills-questionnaire-revised-esq-r/</t>
        </is>
      </c>
    </row>
    <row r="27" ht="35.05" customHeight="1" s="17">
      <c r="A27" s="27" t="inlineStr">
        <is>
          <t>CFI</t>
        </is>
      </c>
      <c r="B27" s="27" t="inlineStr">
        <is>
          <t>Cognitive Flexibility Inventory (CFI)</t>
        </is>
      </c>
      <c r="C27" s="27" t="inlineStr">
        <is>
          <t>1. Executive functioning and ADHD</t>
        </is>
      </c>
      <c r="D27" s="28" t="n">
        <v>1</v>
      </c>
      <c r="E27" s="27" t="inlineStr">
        <is>
          <t>I am good at "sizing up" situations.</t>
        </is>
      </c>
      <c r="F27" s="27" t="inlineStr">
        <is>
          <t>Alternatives</t>
        </is>
      </c>
      <c r="G27" s="27" t="inlineStr">
        <is>
          <t>FALSE</t>
        </is>
      </c>
      <c r="H27" s="27" t="inlineStr">
        <is>
          <t>FALSE</t>
        </is>
      </c>
      <c r="I27" s="27" t="inlineStr">
        <is>
          <t>Strongly disagree = 1 | Disagree = 2 | Somewhat disagree = 3 | Neutral = 4 | Somewhat agree = 5 | Agree = 6 | Strongly agree = 7</t>
        </is>
      </c>
      <c r="J27" s="27" t="n"/>
      <c r="K27" s="27" t="inlineStr">
        <is>
          <t>https://novopsych.com/assessments/formulation/cognitive-flexibility-inventory-cfi/</t>
        </is>
      </c>
    </row>
    <row r="28" ht="35.05" customHeight="1" s="17">
      <c r="A28" s="27" t="inlineStr">
        <is>
          <t>CFI</t>
        </is>
      </c>
      <c r="B28" s="27" t="inlineStr">
        <is>
          <t>Cognitive Flexibility Inventory (CFI)</t>
        </is>
      </c>
      <c r="C28" s="27" t="inlineStr">
        <is>
          <t>1. Executive functioning and ADHD</t>
        </is>
      </c>
      <c r="D28" s="28" t="n">
        <v>2</v>
      </c>
      <c r="E28" s="27" t="inlineStr">
        <is>
          <t>I have a hard time making decisions when faced with difficult situations.</t>
        </is>
      </c>
      <c r="F28" s="27" t="inlineStr">
        <is>
          <t>Control</t>
        </is>
      </c>
      <c r="G28" s="34" t="inlineStr">
        <is>
          <t>TRUE</t>
        </is>
      </c>
      <c r="H28" s="27" t="inlineStr">
        <is>
          <t>FALSE</t>
        </is>
      </c>
      <c r="I28" s="27" t="inlineStr">
        <is>
          <t>Strongly disagree = 1 | Disagree = 2 | Somewhat disagree = 3 | Neutral = 4 | Somewhat agree = 5 | Agree = 6 | Strongly agree = 7</t>
        </is>
      </c>
      <c r="J28" s="27" t="n"/>
      <c r="K28" s="27" t="inlineStr">
        <is>
          <t>https://novopsych.com/assessments/formulation/cognitive-flexibility-inventory-cfi/</t>
        </is>
      </c>
    </row>
    <row r="29" ht="35.05" customHeight="1" s="17">
      <c r="A29" s="27" t="inlineStr">
        <is>
          <t>CFI</t>
        </is>
      </c>
      <c r="B29" s="27" t="inlineStr">
        <is>
          <t>Cognitive Flexibility Inventory (CFI)</t>
        </is>
      </c>
      <c r="C29" s="27" t="inlineStr">
        <is>
          <t>1. Executive functioning and ADHD</t>
        </is>
      </c>
      <c r="D29" s="28" t="n">
        <v>3</v>
      </c>
      <c r="E29" s="27" t="inlineStr">
        <is>
          <t>I consider multiple options before making a decision.</t>
        </is>
      </c>
      <c r="F29" s="27" t="inlineStr">
        <is>
          <t>Alternatives</t>
        </is>
      </c>
      <c r="G29" s="27" t="inlineStr">
        <is>
          <t>FALSE</t>
        </is>
      </c>
      <c r="H29" s="27" t="inlineStr">
        <is>
          <t>FALSE</t>
        </is>
      </c>
      <c r="I29" s="27" t="inlineStr">
        <is>
          <t>Strongly disagree = 1 | Disagree = 2 | Somewhat disagree = 3 | Neutral = 4 | Somewhat agree = 5 | Agree = 6 | Strongly agree = 7</t>
        </is>
      </c>
      <c r="J29" s="27" t="n"/>
      <c r="K29" s="27" t="inlineStr">
        <is>
          <t>https://novopsych.com/assessments/formulation/cognitive-flexibility-inventory-cfi/</t>
        </is>
      </c>
    </row>
    <row r="30" ht="35.05" customHeight="1" s="17">
      <c r="A30" s="27" t="inlineStr">
        <is>
          <t>CFI</t>
        </is>
      </c>
      <c r="B30" s="27" t="inlineStr">
        <is>
          <t>Cognitive Flexibility Inventory (CFI)</t>
        </is>
      </c>
      <c r="C30" s="27" t="inlineStr">
        <is>
          <t>1. Executive functioning and ADHD</t>
        </is>
      </c>
      <c r="D30" s="28" t="n">
        <v>4</v>
      </c>
      <c r="E30" s="27" t="inlineStr">
        <is>
          <t>When I encounter difficult situations, I feel like I am losing control.</t>
        </is>
      </c>
      <c r="F30" s="27" t="inlineStr">
        <is>
          <t>Control</t>
        </is>
      </c>
      <c r="G30" s="34" t="inlineStr">
        <is>
          <t>TRUE</t>
        </is>
      </c>
      <c r="H30" s="27" t="inlineStr">
        <is>
          <t>FALSE</t>
        </is>
      </c>
      <c r="I30" s="27" t="inlineStr">
        <is>
          <t>Strongly disagree = 1 | Disagree = 2 | Somewhat disagree = 3 | Neutral = 4 | Somewhat agree = 5 | Agree = 6 | Strongly agree = 7</t>
        </is>
      </c>
      <c r="J30" s="27" t="n"/>
      <c r="K30" s="27" t="inlineStr">
        <is>
          <t>https://novopsych.com/assessments/formulation/cognitive-flexibility-inventory-cfi/</t>
        </is>
      </c>
    </row>
    <row r="31" ht="35.05" customHeight="1" s="17">
      <c r="A31" s="27" t="inlineStr">
        <is>
          <t>CFI</t>
        </is>
      </c>
      <c r="B31" s="27" t="inlineStr">
        <is>
          <t>Cognitive Flexibility Inventory (CFI)</t>
        </is>
      </c>
      <c r="C31" s="27" t="inlineStr">
        <is>
          <t>1. Executive functioning and ADHD</t>
        </is>
      </c>
      <c r="D31" s="28" t="n">
        <v>5</v>
      </c>
      <c r="E31" s="27" t="inlineStr">
        <is>
          <t>I like to look at difficult situations from many different angles.</t>
        </is>
      </c>
      <c r="F31" s="27" t="inlineStr">
        <is>
          <t>Alternatives</t>
        </is>
      </c>
      <c r="G31" s="27" t="inlineStr">
        <is>
          <t>FALSE</t>
        </is>
      </c>
      <c r="H31" s="27" t="inlineStr">
        <is>
          <t>FALSE</t>
        </is>
      </c>
      <c r="I31" s="27" t="inlineStr">
        <is>
          <t>Strongly disagree = 1 | Disagree = 2 | Somewhat disagree = 3 | Neutral = 4 | Somewhat agree = 5 | Agree = 6 | Strongly agree = 7</t>
        </is>
      </c>
      <c r="J31" s="27" t="n"/>
      <c r="K31" s="27" t="inlineStr">
        <is>
          <t>https://novopsych.com/assessments/formulation/cognitive-flexibility-inventory-cfi/</t>
        </is>
      </c>
    </row>
    <row r="32" ht="35.05" customHeight="1" s="17">
      <c r="A32" s="27" t="inlineStr">
        <is>
          <t>CFI</t>
        </is>
      </c>
      <c r="B32" s="27" t="inlineStr">
        <is>
          <t>Cognitive Flexibility Inventory (CFI)</t>
        </is>
      </c>
      <c r="C32" s="27" t="inlineStr">
        <is>
          <t>1. Executive functioning and ADHD</t>
        </is>
      </c>
      <c r="D32" s="28" t="n">
        <v>6</v>
      </c>
      <c r="E32" s="27" t="inlineStr">
        <is>
          <t>I seek additional information not immediately available before attributing causes to behaviour.</t>
        </is>
      </c>
      <c r="F32" s="27" t="inlineStr">
        <is>
          <t>Alternatives</t>
        </is>
      </c>
      <c r="G32" s="27" t="inlineStr">
        <is>
          <t>FALSE</t>
        </is>
      </c>
      <c r="H32" s="27" t="inlineStr">
        <is>
          <t>FALSE</t>
        </is>
      </c>
      <c r="I32" s="27" t="inlineStr">
        <is>
          <t>Strongly disagree = 1 | Disagree = 2 | Somewhat disagree = 3 | Neutral = 4 | Somewhat agree = 5 | Agree = 6 | Strongly agree = 7</t>
        </is>
      </c>
      <c r="J32" s="27" t="n"/>
      <c r="K32" s="27" t="inlineStr">
        <is>
          <t>https://novopsych.com/assessments/formulation/cognitive-flexibility-inventory-cfi/</t>
        </is>
      </c>
    </row>
    <row r="33" ht="35.05" customHeight="1" s="17">
      <c r="A33" s="27" t="inlineStr">
        <is>
          <t>CFI</t>
        </is>
      </c>
      <c r="B33" s="27" t="inlineStr">
        <is>
          <t>Cognitive Flexibility Inventory (CFI)</t>
        </is>
      </c>
      <c r="C33" s="27" t="inlineStr">
        <is>
          <t>1. Executive functioning and ADHD</t>
        </is>
      </c>
      <c r="D33" s="28" t="n">
        <v>7</v>
      </c>
      <c r="E33" s="27" t="inlineStr">
        <is>
          <t>When encountering difficult situations, I become so stressed that I can not think of a way to resolve the situation.</t>
        </is>
      </c>
      <c r="F33" s="27" t="inlineStr">
        <is>
          <t>Control</t>
        </is>
      </c>
      <c r="G33" s="34" t="inlineStr">
        <is>
          <t>TRUE</t>
        </is>
      </c>
      <c r="H33" s="27" t="inlineStr">
        <is>
          <t>FALSE</t>
        </is>
      </c>
      <c r="I33" s="27" t="inlineStr">
        <is>
          <t>Strongly disagree = 1 | Disagree = 2 | Somewhat disagree = 3 | Neutral = 4 | Somewhat agree = 5 | Agree = 6 | Strongly agree = 7</t>
        </is>
      </c>
      <c r="J33" s="27" t="n"/>
      <c r="K33" s="27" t="inlineStr">
        <is>
          <t>https://novopsych.com/assessments/formulation/cognitive-flexibility-inventory-cfi/</t>
        </is>
      </c>
    </row>
    <row r="34" ht="35.05" customHeight="1" s="17">
      <c r="A34" s="27" t="inlineStr">
        <is>
          <t>CFI</t>
        </is>
      </c>
      <c r="B34" s="27" t="inlineStr">
        <is>
          <t>Cognitive Flexibility Inventory (CFI)</t>
        </is>
      </c>
      <c r="C34" s="27" t="inlineStr">
        <is>
          <t>1. Executive functioning and ADHD</t>
        </is>
      </c>
      <c r="D34" s="28" t="n">
        <v>8</v>
      </c>
      <c r="E34" s="27" t="inlineStr">
        <is>
          <t>I try to think about things from another person's point of view.</t>
        </is>
      </c>
      <c r="F34" s="27" t="inlineStr">
        <is>
          <t>Alternatives</t>
        </is>
      </c>
      <c r="G34" s="27" t="inlineStr">
        <is>
          <t>FALSE</t>
        </is>
      </c>
      <c r="H34" s="27" t="inlineStr">
        <is>
          <t>FALSE</t>
        </is>
      </c>
      <c r="I34" s="27" t="inlineStr">
        <is>
          <t>Strongly disagree = 1 | Disagree = 2 | Somewhat disagree = 3 | Neutral = 4 | Somewhat agree = 5 | Agree = 6 | Strongly agree = 7</t>
        </is>
      </c>
      <c r="J34" s="27" t="n"/>
      <c r="K34" s="27" t="inlineStr">
        <is>
          <t>https://novopsych.com/assessments/formulation/cognitive-flexibility-inventory-cfi/</t>
        </is>
      </c>
    </row>
    <row r="35" ht="35.05" customHeight="1" s="17">
      <c r="A35" s="27" t="inlineStr">
        <is>
          <t>CFI</t>
        </is>
      </c>
      <c r="B35" s="27" t="inlineStr">
        <is>
          <t>Cognitive Flexibility Inventory (CFI)</t>
        </is>
      </c>
      <c r="C35" s="27" t="inlineStr">
        <is>
          <t>1. Executive functioning and ADHD</t>
        </is>
      </c>
      <c r="D35" s="28" t="n">
        <v>9</v>
      </c>
      <c r="E35" s="27" t="inlineStr">
        <is>
          <t>I find it troublesome that there are so many different ways to deal with difficult situations.</t>
        </is>
      </c>
      <c r="F35" s="27" t="inlineStr">
        <is>
          <t>Control</t>
        </is>
      </c>
      <c r="G35" s="34" t="inlineStr">
        <is>
          <t>TRUE</t>
        </is>
      </c>
      <c r="H35" s="27" t="inlineStr">
        <is>
          <t>FALSE</t>
        </is>
      </c>
      <c r="I35" s="27" t="inlineStr">
        <is>
          <t>Strongly disagree = 1 | Disagree = 2 | Somewhat disagree = 3 | Neutral = 4 | Somewhat agree = 5 | Agree = 6 | Strongly agree = 7</t>
        </is>
      </c>
      <c r="J35" s="27" t="n"/>
      <c r="K35" s="27" t="inlineStr">
        <is>
          <t>https://novopsych.com/assessments/formulation/cognitive-flexibility-inventory-cfi/</t>
        </is>
      </c>
    </row>
    <row r="36" ht="35.05" customHeight="1" s="17">
      <c r="A36" s="27" t="inlineStr">
        <is>
          <t>CFI</t>
        </is>
      </c>
      <c r="B36" s="27" t="inlineStr">
        <is>
          <t>Cognitive Flexibility Inventory (CFI)</t>
        </is>
      </c>
      <c r="C36" s="27" t="inlineStr">
        <is>
          <t>1. Executive functioning and ADHD</t>
        </is>
      </c>
      <c r="D36" s="28" t="n">
        <v>10</v>
      </c>
      <c r="E36" s="27" t="inlineStr">
        <is>
          <t>I am good at putting myself in others' shoes.</t>
        </is>
      </c>
      <c r="F36" s="27" t="inlineStr">
        <is>
          <t>Alternatives</t>
        </is>
      </c>
      <c r="G36" s="27" t="inlineStr">
        <is>
          <t>FALSE</t>
        </is>
      </c>
      <c r="H36" s="27" t="inlineStr">
        <is>
          <t>FALSE</t>
        </is>
      </c>
      <c r="I36" s="27" t="inlineStr">
        <is>
          <t>Strongly disagree = 1 | Disagree = 2 | Somewhat disagree = 3 | Neutral = 4 | Somewhat agree = 5 | Agree = 6 | Strongly agree = 7</t>
        </is>
      </c>
      <c r="J36" s="27" t="n"/>
      <c r="K36" s="27" t="inlineStr">
        <is>
          <t>https://novopsych.com/assessments/formulation/cognitive-flexibility-inventory-cfi/</t>
        </is>
      </c>
    </row>
    <row r="37" ht="35.05" customHeight="1" s="17">
      <c r="A37" s="27" t="inlineStr">
        <is>
          <t>CFI</t>
        </is>
      </c>
      <c r="B37" s="27" t="inlineStr">
        <is>
          <t>Cognitive Flexibility Inventory (CFI)</t>
        </is>
      </c>
      <c r="C37" s="27" t="inlineStr">
        <is>
          <t>1. Executive functioning and ADHD</t>
        </is>
      </c>
      <c r="D37" s="28" t="n">
        <v>11</v>
      </c>
      <c r="E37" s="27" t="inlineStr">
        <is>
          <t>When I encounter difficult situations, I just don't know what to do.</t>
        </is>
      </c>
      <c r="F37" s="27" t="inlineStr">
        <is>
          <t>Control</t>
        </is>
      </c>
      <c r="G37" s="34" t="inlineStr">
        <is>
          <t>TRUE</t>
        </is>
      </c>
      <c r="H37" s="27" t="inlineStr">
        <is>
          <t>FALSE</t>
        </is>
      </c>
      <c r="I37" s="27" t="inlineStr">
        <is>
          <t>Strongly disagree = 1 | Disagree = 2 | Somewhat disagree = 3 | Neutral = 4 | Somewhat agree = 5 | Agree = 6 | Strongly agree = 7</t>
        </is>
      </c>
      <c r="J37" s="27" t="n"/>
      <c r="K37" s="27" t="inlineStr">
        <is>
          <t>https://novopsych.com/assessments/formulation/cognitive-flexibility-inventory-cfi/</t>
        </is>
      </c>
    </row>
    <row r="38" ht="35.05" customHeight="1" s="17">
      <c r="A38" s="27" t="inlineStr">
        <is>
          <t>CFI</t>
        </is>
      </c>
      <c r="B38" s="27" t="inlineStr">
        <is>
          <t>Cognitive Flexibility Inventory (CFI)</t>
        </is>
      </c>
      <c r="C38" s="27" t="inlineStr">
        <is>
          <t>1. Executive functioning and ADHD</t>
        </is>
      </c>
      <c r="D38" s="28" t="n">
        <v>12</v>
      </c>
      <c r="E38" s="27" t="inlineStr">
        <is>
          <t>It is important to look at difficult situations from many angles.</t>
        </is>
      </c>
      <c r="F38" s="27" t="inlineStr">
        <is>
          <t>Alternatives</t>
        </is>
      </c>
      <c r="G38" s="27" t="inlineStr">
        <is>
          <t>FALSE</t>
        </is>
      </c>
      <c r="H38" s="27" t="inlineStr">
        <is>
          <t>FALSE</t>
        </is>
      </c>
      <c r="I38" s="27" t="inlineStr">
        <is>
          <t>Strongly disagree = 1 | Disagree = 2 | Somewhat disagree = 3 | Neutral = 4 | Somewhat agree = 5 | Agree = 6 | Strongly agree = 7</t>
        </is>
      </c>
      <c r="J38" s="27" t="n"/>
      <c r="K38" s="27" t="inlineStr">
        <is>
          <t>https://novopsych.com/assessments/formulation/cognitive-flexibility-inventory-cfi/</t>
        </is>
      </c>
    </row>
    <row r="39" ht="35.05" customHeight="1" s="17">
      <c r="A39" s="27" t="inlineStr">
        <is>
          <t>CFI</t>
        </is>
      </c>
      <c r="B39" s="27" t="inlineStr">
        <is>
          <t>Cognitive Flexibility Inventory (CFI)</t>
        </is>
      </c>
      <c r="C39" s="27" t="inlineStr">
        <is>
          <t>1. Executive functioning and ADHD</t>
        </is>
      </c>
      <c r="D39" s="28" t="n">
        <v>13</v>
      </c>
      <c r="E39" s="27" t="inlineStr">
        <is>
          <t>When in difficult situations, I consider multiple options before deciding how to behave.</t>
        </is>
      </c>
      <c r="F39" s="27" t="inlineStr">
        <is>
          <t>Alternatives</t>
        </is>
      </c>
      <c r="G39" s="27" t="inlineStr">
        <is>
          <t>FALSE</t>
        </is>
      </c>
      <c r="H39" s="27" t="inlineStr">
        <is>
          <t>FALSE</t>
        </is>
      </c>
      <c r="I39" s="27" t="inlineStr">
        <is>
          <t>Strongly disagree = 1 | Disagree = 2 | Somewhat disagree = 3 | Neutral = 4 | Somewhat agree = 5 | Agree = 6 | Strongly agree = 7</t>
        </is>
      </c>
      <c r="J39" s="27" t="n"/>
      <c r="K39" s="27" t="inlineStr">
        <is>
          <t>https://novopsych.com/assessments/formulation/cognitive-flexibility-inventory-cfi/</t>
        </is>
      </c>
    </row>
    <row r="40" ht="35.05" customHeight="1" s="17">
      <c r="A40" s="27" t="inlineStr">
        <is>
          <t>CFI</t>
        </is>
      </c>
      <c r="B40" s="27" t="inlineStr">
        <is>
          <t>Cognitive Flexibility Inventory (CFI)</t>
        </is>
      </c>
      <c r="C40" s="27" t="inlineStr">
        <is>
          <t>1. Executive functioning and ADHD</t>
        </is>
      </c>
      <c r="D40" s="28" t="n">
        <v>14</v>
      </c>
      <c r="E40" s="27" t="inlineStr">
        <is>
          <t>I often look at a situation from different view-points.</t>
        </is>
      </c>
      <c r="F40" s="27" t="inlineStr">
        <is>
          <t>Alternatives</t>
        </is>
      </c>
      <c r="G40" s="27" t="inlineStr">
        <is>
          <t>FALSE</t>
        </is>
      </c>
      <c r="H40" s="27" t="inlineStr">
        <is>
          <t>FALSE</t>
        </is>
      </c>
      <c r="I40" s="27" t="inlineStr">
        <is>
          <t>Strongly disagree = 1 | Disagree = 2 | Somewhat disagree = 3 | Neutral = 4 | Somewhat agree = 5 | Agree = 6 | Strongly agree = 7</t>
        </is>
      </c>
      <c r="J40" s="27" t="n"/>
      <c r="K40" s="27" t="inlineStr">
        <is>
          <t>https://novopsych.com/assessments/formulation/cognitive-flexibility-inventory-cfi/</t>
        </is>
      </c>
    </row>
    <row r="41" ht="35.05" customHeight="1" s="17">
      <c r="A41" s="27" t="inlineStr">
        <is>
          <t>CFI</t>
        </is>
      </c>
      <c r="B41" s="27" t="inlineStr">
        <is>
          <t>Cognitive Flexibility Inventory (CFI)</t>
        </is>
      </c>
      <c r="C41" s="27" t="inlineStr">
        <is>
          <t>1. Executive functioning and ADHD</t>
        </is>
      </c>
      <c r="D41" s="28" t="n">
        <v>15</v>
      </c>
      <c r="E41" s="27" t="inlineStr">
        <is>
          <t>I am capable of overcoming the difficulties in life that I face.</t>
        </is>
      </c>
      <c r="F41" s="27" t="inlineStr">
        <is>
          <t>Control</t>
        </is>
      </c>
      <c r="G41" s="27" t="inlineStr">
        <is>
          <t>FALSE</t>
        </is>
      </c>
      <c r="H41" s="27" t="inlineStr">
        <is>
          <t>FALSE</t>
        </is>
      </c>
      <c r="I41" s="27" t="inlineStr">
        <is>
          <t>Strongly disagree = 1 | Disagree = 2 | Somewhat disagree = 3 | Neutral = 4 | Somewhat agree = 5 | Agree = 6 | Strongly agree = 7</t>
        </is>
      </c>
      <c r="J41" s="27" t="n"/>
      <c r="K41" s="27" t="inlineStr">
        <is>
          <t>https://novopsych.com/assessments/formulation/cognitive-flexibility-inventory-cfi/</t>
        </is>
      </c>
    </row>
    <row r="42" ht="35.05" customHeight="1" s="17">
      <c r="A42" s="27" t="inlineStr">
        <is>
          <t>CFI</t>
        </is>
      </c>
      <c r="B42" s="27" t="inlineStr">
        <is>
          <t>Cognitive Flexibility Inventory (CFI)</t>
        </is>
      </c>
      <c r="C42" s="27" t="inlineStr">
        <is>
          <t>1. Executive functioning and ADHD</t>
        </is>
      </c>
      <c r="D42" s="28" t="n">
        <v>16</v>
      </c>
      <c r="E42" s="27" t="inlineStr">
        <is>
          <t>I consider all the available facts and information when attributing causes to behaviour.</t>
        </is>
      </c>
      <c r="F42" s="27" t="inlineStr">
        <is>
          <t>Alternatives</t>
        </is>
      </c>
      <c r="G42" s="27" t="inlineStr">
        <is>
          <t>FALSE</t>
        </is>
      </c>
      <c r="H42" s="27" t="inlineStr">
        <is>
          <t>FALSE</t>
        </is>
      </c>
      <c r="I42" s="27" t="inlineStr">
        <is>
          <t>Strongly disagree = 1 | Disagree = 2 | Somewhat disagree = 3 | Neutral = 4 | Somewhat agree = 5 | Agree = 6 | Strongly agree = 7</t>
        </is>
      </c>
      <c r="J42" s="27" t="n"/>
      <c r="K42" s="27" t="inlineStr">
        <is>
          <t>https://novopsych.com/assessments/formulation/cognitive-flexibility-inventory-cfi/</t>
        </is>
      </c>
    </row>
    <row r="43" ht="35.05" customHeight="1" s="17">
      <c r="A43" s="27" t="inlineStr">
        <is>
          <t>CFI</t>
        </is>
      </c>
      <c r="B43" s="27" t="inlineStr">
        <is>
          <t>Cognitive Flexibility Inventory (CFI)</t>
        </is>
      </c>
      <c r="C43" s="27" t="inlineStr">
        <is>
          <t>1. Executive functioning and ADHD</t>
        </is>
      </c>
      <c r="D43" s="28" t="n">
        <v>17</v>
      </c>
      <c r="E43" s="27" t="inlineStr">
        <is>
          <t>I feel I have no power to change things in difficult situations.</t>
        </is>
      </c>
      <c r="F43" s="27" t="inlineStr">
        <is>
          <t>Control</t>
        </is>
      </c>
      <c r="G43" s="34" t="inlineStr">
        <is>
          <t>TRUE</t>
        </is>
      </c>
      <c r="H43" s="27" t="inlineStr">
        <is>
          <t>FALSE</t>
        </is>
      </c>
      <c r="I43" s="27" t="inlineStr">
        <is>
          <t>Strongly disagree = 1 | Disagree = 2 | Somewhat disagree = 3 | Neutral = 4 | Somewhat agree = 5 | Agree = 6 | Strongly agree = 7</t>
        </is>
      </c>
      <c r="J43" s="27" t="n"/>
      <c r="K43" s="27" t="inlineStr">
        <is>
          <t>https://novopsych.com/assessments/formulation/cognitive-flexibility-inventory-cfi/</t>
        </is>
      </c>
    </row>
    <row r="44" ht="35.05" customHeight="1" s="17">
      <c r="A44" s="27" t="inlineStr">
        <is>
          <t>CFI</t>
        </is>
      </c>
      <c r="B44" s="27" t="inlineStr">
        <is>
          <t>Cognitive Flexibility Inventory (CFI)</t>
        </is>
      </c>
      <c r="C44" s="27" t="inlineStr">
        <is>
          <t>1. Executive functioning and ADHD</t>
        </is>
      </c>
      <c r="D44" s="28" t="n">
        <v>18</v>
      </c>
      <c r="E44" s="27" t="inlineStr">
        <is>
          <t>When I encounter difficult situations, I stop and try to think of several ways to resolve it.</t>
        </is>
      </c>
      <c r="F44" s="27" t="inlineStr">
        <is>
          <t>Alternatives</t>
        </is>
      </c>
      <c r="G44" s="27" t="inlineStr">
        <is>
          <t>FALSE</t>
        </is>
      </c>
      <c r="H44" s="27" t="inlineStr">
        <is>
          <t>FALSE</t>
        </is>
      </c>
      <c r="I44" s="27" t="inlineStr">
        <is>
          <t>Strongly disagree = 1 | Disagree = 2 | Somewhat disagree = 3 | Neutral = 4 | Somewhat agree = 5 | Agree = 6 | Strongly agree = 7</t>
        </is>
      </c>
      <c r="J44" s="27" t="n"/>
      <c r="K44" s="27" t="inlineStr">
        <is>
          <t>https://novopsych.com/assessments/formulation/cognitive-flexibility-inventory-cfi/</t>
        </is>
      </c>
    </row>
    <row r="45" ht="35.05" customHeight="1" s="17">
      <c r="A45" s="27" t="inlineStr">
        <is>
          <t>CFI</t>
        </is>
      </c>
      <c r="B45" s="27" t="inlineStr">
        <is>
          <t>Cognitive Flexibility Inventory (CFI)</t>
        </is>
      </c>
      <c r="C45" s="27" t="inlineStr">
        <is>
          <t>1. Executive functioning and ADHD</t>
        </is>
      </c>
      <c r="D45" s="28" t="n">
        <v>19</v>
      </c>
      <c r="E45" s="27" t="inlineStr">
        <is>
          <t>I can think of more than one way to resolve a difficult situation I'm confronted with.</t>
        </is>
      </c>
      <c r="F45" s="27" t="inlineStr">
        <is>
          <t>Alternatives</t>
        </is>
      </c>
      <c r="G45" s="27" t="inlineStr">
        <is>
          <t>FALSE</t>
        </is>
      </c>
      <c r="H45" s="27" t="inlineStr">
        <is>
          <t>FALSE</t>
        </is>
      </c>
      <c r="I45" s="27" t="inlineStr">
        <is>
          <t>Strongly disagree = 1 | Disagree = 2 | Somewhat disagree = 3 | Neutral = 4 | Somewhat agree = 5 | Agree = 6 | Strongly agree = 7</t>
        </is>
      </c>
      <c r="J45" s="27" t="n"/>
      <c r="K45" s="27" t="inlineStr">
        <is>
          <t>https://novopsych.com/assessments/formulation/cognitive-flexibility-inventory-cfi/</t>
        </is>
      </c>
    </row>
    <row r="46" ht="35.05" customHeight="1" s="17">
      <c r="A46" s="27" t="inlineStr">
        <is>
          <t>CFI</t>
        </is>
      </c>
      <c r="B46" s="27" t="inlineStr">
        <is>
          <t>Cognitive Flexibility Inventory (CFI)</t>
        </is>
      </c>
      <c r="C46" s="27" t="inlineStr">
        <is>
          <t>1. Executive functioning and ADHD</t>
        </is>
      </c>
      <c r="D46" s="28" t="n">
        <v>20</v>
      </c>
      <c r="E46" s="27" t="inlineStr">
        <is>
          <t>I consider multiple options before responding to difficult situations.</t>
        </is>
      </c>
      <c r="F46" s="27" t="inlineStr">
        <is>
          <t>Alternatives</t>
        </is>
      </c>
      <c r="G46" s="27" t="inlineStr">
        <is>
          <t>FALSE</t>
        </is>
      </c>
      <c r="H46" s="27" t="inlineStr">
        <is>
          <t>FALSE</t>
        </is>
      </c>
      <c r="I46" s="27" t="inlineStr">
        <is>
          <t>Strongly disagree = 1 | Disagree = 2 | Somewhat disagree = 3 | Neutral = 4 | Somewhat agree = 5 | Agree = 6 | Strongly agree = 7</t>
        </is>
      </c>
      <c r="J46" s="27" t="n"/>
      <c r="K46" s="27" t="inlineStr">
        <is>
          <t>https://novopsych.com/assessments/formulation/cognitive-flexibility-inventory-cfi/</t>
        </is>
      </c>
    </row>
    <row r="47" ht="23.85" customHeight="1" s="17">
      <c r="A47" s="27" t="inlineStr">
        <is>
          <t>ASRS</t>
        </is>
      </c>
      <c r="B47" s="27" t="inlineStr">
        <is>
          <t>Adult ADHD Self-Report Scale (ASRS v1.1)</t>
        </is>
      </c>
      <c r="C47" s="27" t="inlineStr">
        <is>
          <t>1. Executive functioning and ADHD</t>
        </is>
      </c>
      <c r="D47" s="28" t="n">
        <v>1</v>
      </c>
      <c r="E47" s="27" t="inlineStr">
        <is>
          <t>How often do you have trouble wrapping up the final details of a project, once the challenging parts have been done?</t>
        </is>
      </c>
      <c r="F47" s="27" t="inlineStr">
        <is>
          <t>Part A | Inattentiveness</t>
        </is>
      </c>
      <c r="G47" s="27" t="inlineStr">
        <is>
          <t>FALSE</t>
        </is>
      </c>
      <c r="H47" s="27" t="inlineStr">
        <is>
          <t>FALSE</t>
        </is>
      </c>
      <c r="I47" s="27" t="inlineStr">
        <is>
          <t>Never = 0 | Rarely = 1 | Sometimes = 2 | Often = 3 | Very Often = 4</t>
        </is>
      </c>
      <c r="J47" s="27" t="n"/>
      <c r="K47" s="27" t="inlineStr">
        <is>
          <t>https://novopsych.com/assessments/diagnosis/adult-adhd-self-report-scale-asrs/</t>
        </is>
      </c>
    </row>
    <row r="48" ht="23.85" customHeight="1" s="17">
      <c r="A48" s="27" t="inlineStr">
        <is>
          <t>ASRS</t>
        </is>
      </c>
      <c r="B48" s="27" t="inlineStr">
        <is>
          <t>Adult ADHD Self-Report Scale (ASRS v1.1)</t>
        </is>
      </c>
      <c r="C48" s="27" t="inlineStr">
        <is>
          <t>1. Executive functioning and ADHD</t>
        </is>
      </c>
      <c r="D48" s="28" t="n">
        <v>2</v>
      </c>
      <c r="E48" s="27" t="inlineStr">
        <is>
          <t>How often do you have difficulty getting things in order when you have to do a task that requires organisation?</t>
        </is>
      </c>
      <c r="F48" s="27" t="inlineStr">
        <is>
          <t>Part A | Inattentiveness</t>
        </is>
      </c>
      <c r="G48" s="27" t="inlineStr">
        <is>
          <t>FALSE</t>
        </is>
      </c>
      <c r="H48" s="27" t="inlineStr">
        <is>
          <t>FALSE</t>
        </is>
      </c>
      <c r="I48" s="27" t="inlineStr">
        <is>
          <t>Never = 0 | Rarely = 1 | Sometimes = 2 | Often = 3 | Very Often = 4</t>
        </is>
      </c>
      <c r="J48" s="27" t="n"/>
      <c r="K48" s="27" t="inlineStr">
        <is>
          <t>https://novopsych.com/assessments/diagnosis/adult-adhd-self-report-scale-asrs/</t>
        </is>
      </c>
    </row>
    <row r="49" ht="23.85" customHeight="1" s="17">
      <c r="A49" s="27" t="inlineStr">
        <is>
          <t>ASRS</t>
        </is>
      </c>
      <c r="B49" s="27" t="inlineStr">
        <is>
          <t>Adult ADHD Self-Report Scale (ASRS v1.1)</t>
        </is>
      </c>
      <c r="C49" s="27" t="inlineStr">
        <is>
          <t>1. Executive functioning and ADHD</t>
        </is>
      </c>
      <c r="D49" s="28" t="n">
        <v>3</v>
      </c>
      <c r="E49" s="27" t="inlineStr">
        <is>
          <t>How often do you have problems remembering appointments or obligations?</t>
        </is>
      </c>
      <c r="F49" s="27" t="inlineStr">
        <is>
          <t>Part A | Inattentiveness</t>
        </is>
      </c>
      <c r="G49" s="27" t="inlineStr">
        <is>
          <t>FALSE</t>
        </is>
      </c>
      <c r="H49" s="27" t="inlineStr">
        <is>
          <t>FALSE</t>
        </is>
      </c>
      <c r="I49" s="27" t="inlineStr">
        <is>
          <t>Never = 0 | Rarely = 1 | Sometimes = 2 | Often = 3 | Very Often = 4</t>
        </is>
      </c>
      <c r="J49" s="27" t="n"/>
      <c r="K49" s="27" t="inlineStr">
        <is>
          <t>https://novopsych.com/assessments/diagnosis/adult-adhd-self-report-scale-asrs/</t>
        </is>
      </c>
    </row>
    <row r="50" ht="23.85" customHeight="1" s="17">
      <c r="A50" s="27" t="inlineStr">
        <is>
          <t>ASRS</t>
        </is>
      </c>
      <c r="B50" s="27" t="inlineStr">
        <is>
          <t>Adult ADHD Self-Report Scale (ASRS v1.1)</t>
        </is>
      </c>
      <c r="C50" s="27" t="inlineStr">
        <is>
          <t>1. Executive functioning and ADHD</t>
        </is>
      </c>
      <c r="D50" s="28" t="n">
        <v>4</v>
      </c>
      <c r="E50" s="27" t="inlineStr">
        <is>
          <t>When you have a task that requires a lot of thought, how often do you avoid or delay getting started?</t>
        </is>
      </c>
      <c r="F50" s="27" t="inlineStr">
        <is>
          <t>Part A | Inattentiveness</t>
        </is>
      </c>
      <c r="G50" s="27" t="inlineStr">
        <is>
          <t>FALSE</t>
        </is>
      </c>
      <c r="H50" s="27" t="inlineStr">
        <is>
          <t>FALSE</t>
        </is>
      </c>
      <c r="I50" s="27" t="inlineStr">
        <is>
          <t>Never = 0 | Rarely = 1 | Sometimes = 2 | Often = 3 | Very Often = 4</t>
        </is>
      </c>
      <c r="J50" s="27" t="n"/>
      <c r="K50" s="27" t="inlineStr">
        <is>
          <t>https://novopsych.com/assessments/diagnosis/adult-adhd-self-report-scale-asrs/</t>
        </is>
      </c>
    </row>
    <row r="51" ht="23.85" customHeight="1" s="17">
      <c r="A51" s="27" t="inlineStr">
        <is>
          <t>ASRS</t>
        </is>
      </c>
      <c r="B51" s="27" t="inlineStr">
        <is>
          <t>Adult ADHD Self-Report Scale (ASRS v1.1)</t>
        </is>
      </c>
      <c r="C51" s="27" t="inlineStr">
        <is>
          <t>1. Executive functioning and ADHD</t>
        </is>
      </c>
      <c r="D51" s="28" t="n">
        <v>5</v>
      </c>
      <c r="E51" s="27" t="inlineStr">
        <is>
          <t>How often do you fidget or squirm with your hands or feet when you have to sit down for a long time?</t>
        </is>
      </c>
      <c r="F51" s="27" t="inlineStr">
        <is>
          <t>Part A | Hyperactivity/Impulsivity - Motor</t>
        </is>
      </c>
      <c r="G51" s="27" t="inlineStr">
        <is>
          <t>FALSE</t>
        </is>
      </c>
      <c r="H51" s="27" t="inlineStr">
        <is>
          <t>FALSE</t>
        </is>
      </c>
      <c r="I51" s="27" t="inlineStr">
        <is>
          <t>Never = 0 | Rarely = 1 | Sometimes = 2 | Often = 3 | Very Often = 4</t>
        </is>
      </c>
      <c r="J51" s="27" t="n"/>
      <c r="K51" s="27" t="inlineStr">
        <is>
          <t>https://novopsych.com/assessments/diagnosis/adult-adhd-self-report-scale-asrs/</t>
        </is>
      </c>
    </row>
    <row r="52" ht="23.85" customHeight="1" s="17">
      <c r="A52" s="27" t="inlineStr">
        <is>
          <t>ASRS</t>
        </is>
      </c>
      <c r="B52" s="27" t="inlineStr">
        <is>
          <t>Adult ADHD Self-Report Scale (ASRS v1.1)</t>
        </is>
      </c>
      <c r="C52" s="27" t="inlineStr">
        <is>
          <t>1. Executive functioning and ADHD</t>
        </is>
      </c>
      <c r="D52" s="28" t="n">
        <v>6</v>
      </c>
      <c r="E52" s="27" t="inlineStr">
        <is>
          <t>How often do you feel overly active and compelled to do things, like you were driven by a motor?</t>
        </is>
      </c>
      <c r="F52" s="27" t="inlineStr">
        <is>
          <t>Part A | Hyperactivity/Impulsivity - Motor</t>
        </is>
      </c>
      <c r="G52" s="27" t="inlineStr">
        <is>
          <t>FALSE</t>
        </is>
      </c>
      <c r="H52" s="27" t="inlineStr">
        <is>
          <t>FALSE</t>
        </is>
      </c>
      <c r="I52" s="27" t="inlineStr">
        <is>
          <t>Never = 0 | Rarely = 1 | Sometimes = 2 | Often = 3 | Very Often = 4</t>
        </is>
      </c>
      <c r="J52" s="27" t="n"/>
      <c r="K52" s="27" t="inlineStr">
        <is>
          <t>https://novopsych.com/assessments/diagnosis/adult-adhd-self-report-scale-asrs/</t>
        </is>
      </c>
    </row>
    <row r="53" ht="23.85" customHeight="1" s="17">
      <c r="A53" s="27" t="inlineStr">
        <is>
          <t>ASRS</t>
        </is>
      </c>
      <c r="B53" s="27" t="inlineStr">
        <is>
          <t>Adult ADHD Self-Report Scale (ASRS v1.1)</t>
        </is>
      </c>
      <c r="C53" s="27" t="inlineStr">
        <is>
          <t>1. Executive functioning and ADHD</t>
        </is>
      </c>
      <c r="D53" s="28" t="n">
        <v>7</v>
      </c>
      <c r="E53" s="27" t="inlineStr">
        <is>
          <t>How often do you make careless mistakes when you have to work on a boring or difficult project?</t>
        </is>
      </c>
      <c r="F53" s="27" t="inlineStr">
        <is>
          <t>Part B | Inattentiveness</t>
        </is>
      </c>
      <c r="G53" s="27" t="inlineStr">
        <is>
          <t>FALSE</t>
        </is>
      </c>
      <c r="H53" s="27" t="inlineStr">
        <is>
          <t>FALSE</t>
        </is>
      </c>
      <c r="I53" s="27" t="inlineStr">
        <is>
          <t>Never = 0 | Rarely = 1 | Sometimes = 2 | Often = 3 | Very Often = 4</t>
        </is>
      </c>
      <c r="J53" s="27" t="n"/>
      <c r="K53" s="27" t="inlineStr">
        <is>
          <t>https://novopsych.com/assessments/diagnosis/adult-adhd-self-report-scale-asrs/</t>
        </is>
      </c>
    </row>
    <row r="54" ht="23.85" customHeight="1" s="17">
      <c r="A54" s="27" t="inlineStr">
        <is>
          <t>ASRS</t>
        </is>
      </c>
      <c r="B54" s="27" t="inlineStr">
        <is>
          <t>Adult ADHD Self-Report Scale (ASRS v1.1)</t>
        </is>
      </c>
      <c r="C54" s="27" t="inlineStr">
        <is>
          <t>1. Executive functioning and ADHD</t>
        </is>
      </c>
      <c r="D54" s="28" t="n">
        <v>8</v>
      </c>
      <c r="E54" s="27" t="inlineStr">
        <is>
          <t>How often do you have difficulty keeping your attention when you are doing boring or repetitive work?</t>
        </is>
      </c>
      <c r="F54" s="27" t="inlineStr">
        <is>
          <t>Part B | Inattentiveness</t>
        </is>
      </c>
      <c r="G54" s="27" t="inlineStr">
        <is>
          <t>FALSE</t>
        </is>
      </c>
      <c r="H54" s="27" t="inlineStr">
        <is>
          <t>FALSE</t>
        </is>
      </c>
      <c r="I54" s="27" t="inlineStr">
        <is>
          <t>Never = 0 | Rarely = 1 | Sometimes = 2 | Often = 3 | Very Often = 4</t>
        </is>
      </c>
      <c r="J54" s="27" t="n"/>
      <c r="K54" s="27" t="inlineStr">
        <is>
          <t>https://novopsych.com/assessments/diagnosis/adult-adhd-self-report-scale-asrs/</t>
        </is>
      </c>
    </row>
    <row r="55" ht="23.85" customHeight="1" s="17">
      <c r="A55" s="27" t="inlineStr">
        <is>
          <t>ASRS</t>
        </is>
      </c>
      <c r="B55" s="27" t="inlineStr">
        <is>
          <t>Adult ADHD Self-Report Scale (ASRS v1.1)</t>
        </is>
      </c>
      <c r="C55" s="27" t="inlineStr">
        <is>
          <t>1. Executive functioning and ADHD</t>
        </is>
      </c>
      <c r="D55" s="28" t="n">
        <v>9</v>
      </c>
      <c r="E55" s="27" t="inlineStr">
        <is>
          <t>How often do you have difficulty concentrating on what people say to you, even when they are speaking to you directly?</t>
        </is>
      </c>
      <c r="F55" s="27" t="inlineStr">
        <is>
          <t>Part B | Inattentiveness</t>
        </is>
      </c>
      <c r="G55" s="27" t="inlineStr">
        <is>
          <t>FALSE</t>
        </is>
      </c>
      <c r="H55" s="27" t="inlineStr">
        <is>
          <t>FALSE</t>
        </is>
      </c>
      <c r="I55" s="27" t="inlineStr">
        <is>
          <t>Never = 0 | Rarely = 1 | Sometimes = 2 | Often = 3 | Very Often = 4</t>
        </is>
      </c>
      <c r="J55" s="27" t="n"/>
      <c r="K55" s="27" t="inlineStr">
        <is>
          <t>https://novopsych.com/assessments/diagnosis/adult-adhd-self-report-scale-asrs/</t>
        </is>
      </c>
    </row>
    <row r="56" ht="23.85" customHeight="1" s="17">
      <c r="A56" s="27" t="inlineStr">
        <is>
          <t>ASRS</t>
        </is>
      </c>
      <c r="B56" s="27" t="inlineStr">
        <is>
          <t>Adult ADHD Self-Report Scale (ASRS v1.1)</t>
        </is>
      </c>
      <c r="C56" s="27" t="inlineStr">
        <is>
          <t>1. Executive functioning and ADHD</t>
        </is>
      </c>
      <c r="D56" s="28" t="n">
        <v>10</v>
      </c>
      <c r="E56" s="27" t="inlineStr">
        <is>
          <t>How often do you misplace or have difficulty finding things at home or at work?</t>
        </is>
      </c>
      <c r="F56" s="27" t="inlineStr">
        <is>
          <t>Part B | Inattentiveness</t>
        </is>
      </c>
      <c r="G56" s="27" t="inlineStr">
        <is>
          <t>FALSE</t>
        </is>
      </c>
      <c r="H56" s="27" t="inlineStr">
        <is>
          <t>FALSE</t>
        </is>
      </c>
      <c r="I56" s="27" t="inlineStr">
        <is>
          <t>Never = 0 | Rarely = 1 | Sometimes = 2 | Often = 3 | Very Often = 4</t>
        </is>
      </c>
      <c r="J56" s="27" t="n"/>
      <c r="K56" s="27" t="inlineStr">
        <is>
          <t>https://novopsych.com/assessments/diagnosis/adult-adhd-self-report-scale-asrs/</t>
        </is>
      </c>
    </row>
    <row r="57" ht="23.85" customHeight="1" s="17">
      <c r="A57" s="27" t="inlineStr">
        <is>
          <t>ASRS</t>
        </is>
      </c>
      <c r="B57" s="27" t="inlineStr">
        <is>
          <t>Adult ADHD Self-Report Scale (ASRS v1.1)</t>
        </is>
      </c>
      <c r="C57" s="27" t="inlineStr">
        <is>
          <t>1. Executive functioning and ADHD</t>
        </is>
      </c>
      <c r="D57" s="28" t="n">
        <v>11</v>
      </c>
      <c r="E57" s="27" t="inlineStr">
        <is>
          <t>How often are you distracted by activity or noise around you?</t>
        </is>
      </c>
      <c r="F57" s="27" t="inlineStr">
        <is>
          <t>Part B | Inattentiveness</t>
        </is>
      </c>
      <c r="G57" s="27" t="inlineStr">
        <is>
          <t>FALSE</t>
        </is>
      </c>
      <c r="H57" s="27" t="inlineStr">
        <is>
          <t>FALSE</t>
        </is>
      </c>
      <c r="I57" s="27" t="inlineStr">
        <is>
          <t>Never = 0 | Rarely = 1 | Sometimes = 2 | Often = 3 | Very Often = 4</t>
        </is>
      </c>
      <c r="J57" s="27" t="n"/>
      <c r="K57" s="27" t="inlineStr">
        <is>
          <t>https://novopsych.com/assessments/diagnosis/adult-adhd-self-report-scale-asrs/</t>
        </is>
      </c>
    </row>
    <row r="58" ht="23.85" customHeight="1" s="17">
      <c r="A58" s="27" t="inlineStr">
        <is>
          <t>ASRS</t>
        </is>
      </c>
      <c r="B58" s="27" t="inlineStr">
        <is>
          <t>Adult ADHD Self-Report Scale (ASRS v1.1)</t>
        </is>
      </c>
      <c r="C58" s="27" t="inlineStr">
        <is>
          <t>1. Executive functioning and ADHD</t>
        </is>
      </c>
      <c r="D58" s="28" t="n">
        <v>12</v>
      </c>
      <c r="E58" s="27" t="inlineStr">
        <is>
          <t>How often do you leave your seat in meetings or other situations in which you are expected to remain seated?</t>
        </is>
      </c>
      <c r="F58" s="27" t="inlineStr">
        <is>
          <t>Part B | Hyperactivity/Impulsivity - Motor</t>
        </is>
      </c>
      <c r="G58" s="27" t="inlineStr">
        <is>
          <t>FALSE</t>
        </is>
      </c>
      <c r="H58" s="27" t="inlineStr">
        <is>
          <t>FALSE</t>
        </is>
      </c>
      <c r="I58" s="27" t="inlineStr">
        <is>
          <t>Never = 0 | Rarely = 1 | Sometimes = 2 | Often = 3 | Very Often = 4</t>
        </is>
      </c>
      <c r="J58" s="27" t="n"/>
      <c r="K58" s="27" t="inlineStr">
        <is>
          <t>https://novopsych.com/assessments/diagnosis/adult-adhd-self-report-scale-asrs/</t>
        </is>
      </c>
    </row>
    <row r="59" ht="23.85" customHeight="1" s="17">
      <c r="A59" s="27" t="inlineStr">
        <is>
          <t>ASRS</t>
        </is>
      </c>
      <c r="B59" s="27" t="inlineStr">
        <is>
          <t>Adult ADHD Self-Report Scale (ASRS v1.1)</t>
        </is>
      </c>
      <c r="C59" s="27" t="inlineStr">
        <is>
          <t>1. Executive functioning and ADHD</t>
        </is>
      </c>
      <c r="D59" s="28" t="n">
        <v>13</v>
      </c>
      <c r="E59" s="27" t="inlineStr">
        <is>
          <t>How often do you feel restless or fidgety?</t>
        </is>
      </c>
      <c r="F59" s="27" t="inlineStr">
        <is>
          <t>Part B | Hyperactivity/Impulsivity - Motor</t>
        </is>
      </c>
      <c r="G59" s="27" t="inlineStr">
        <is>
          <t>FALSE</t>
        </is>
      </c>
      <c r="H59" s="27" t="inlineStr">
        <is>
          <t>FALSE</t>
        </is>
      </c>
      <c r="I59" s="27" t="inlineStr">
        <is>
          <t>Never = 0 | Rarely = 1 | Sometimes = 2 | Often = 3 | Very Often = 4</t>
        </is>
      </c>
      <c r="J59" s="27" t="n"/>
      <c r="K59" s="27" t="inlineStr">
        <is>
          <t>https://novopsych.com/assessments/diagnosis/adult-adhd-self-report-scale-asrs/</t>
        </is>
      </c>
    </row>
    <row r="60" ht="23.85" customHeight="1" s="17">
      <c r="A60" s="27" t="inlineStr">
        <is>
          <t>ASRS</t>
        </is>
      </c>
      <c r="B60" s="27" t="inlineStr">
        <is>
          <t>Adult ADHD Self-Report Scale (ASRS v1.1)</t>
        </is>
      </c>
      <c r="C60" s="27" t="inlineStr">
        <is>
          <t>1. Executive functioning and ADHD</t>
        </is>
      </c>
      <c r="D60" s="28" t="n">
        <v>14</v>
      </c>
      <c r="E60" s="27" t="inlineStr">
        <is>
          <t>How often do you have difficulty unwinding and relaxing when you have time to yourself?</t>
        </is>
      </c>
      <c r="F60" s="27" t="inlineStr">
        <is>
          <t>Part B | Hyperactivity/Impulsivity - Motor</t>
        </is>
      </c>
      <c r="G60" s="27" t="inlineStr">
        <is>
          <t>FALSE</t>
        </is>
      </c>
      <c r="H60" s="27" t="inlineStr">
        <is>
          <t>FALSE</t>
        </is>
      </c>
      <c r="I60" s="27" t="inlineStr">
        <is>
          <t>Never = 0 | Rarely = 1 | Sometimes = 2 | Often = 3 | Very Often = 4</t>
        </is>
      </c>
      <c r="J60" s="27" t="n"/>
      <c r="K60" s="27" t="inlineStr">
        <is>
          <t>https://novopsych.com/assessments/diagnosis/adult-adhd-self-report-scale-asrs/</t>
        </is>
      </c>
    </row>
    <row r="61" ht="23.85" customHeight="1" s="17">
      <c r="A61" s="27" t="inlineStr">
        <is>
          <t>ASRS</t>
        </is>
      </c>
      <c r="B61" s="27" t="inlineStr">
        <is>
          <t>Adult ADHD Self-Report Scale (ASRS v1.1)</t>
        </is>
      </c>
      <c r="C61" s="27" t="inlineStr">
        <is>
          <t>1. Executive functioning and ADHD</t>
        </is>
      </c>
      <c r="D61" s="28" t="n">
        <v>15</v>
      </c>
      <c r="E61" s="27" t="inlineStr">
        <is>
          <t>How often do you find yourself talking too much when you are in social situations?</t>
        </is>
      </c>
      <c r="F61" s="27" t="inlineStr">
        <is>
          <t>Part B | Hyperactivity/Impulsivity - Verbal</t>
        </is>
      </c>
      <c r="G61" s="27" t="inlineStr">
        <is>
          <t>FALSE</t>
        </is>
      </c>
      <c r="H61" s="27" t="inlineStr">
        <is>
          <t>FALSE</t>
        </is>
      </c>
      <c r="I61" s="27" t="inlineStr">
        <is>
          <t>Never = 0 | Rarely = 1 | Sometimes = 2 | Often = 3 | Very Often = 4</t>
        </is>
      </c>
      <c r="J61" s="27" t="n"/>
      <c r="K61" s="27" t="inlineStr">
        <is>
          <t>https://novopsych.com/assessments/diagnosis/adult-adhd-self-report-scale-asrs/</t>
        </is>
      </c>
    </row>
    <row r="62" ht="23.85" customHeight="1" s="17">
      <c r="A62" s="27" t="inlineStr">
        <is>
          <t>ASRS</t>
        </is>
      </c>
      <c r="B62" s="27" t="inlineStr">
        <is>
          <t>Adult ADHD Self-Report Scale (ASRS v1.1)</t>
        </is>
      </c>
      <c r="C62" s="27" t="inlineStr">
        <is>
          <t>1. Executive functioning and ADHD</t>
        </is>
      </c>
      <c r="D62" s="28" t="n">
        <v>16</v>
      </c>
      <c r="E62" s="27" t="inlineStr">
        <is>
          <t>When you're in a conversation, how often do you find yourself finishing the sentences of the people you are talking to, before they can finish them themselves?</t>
        </is>
      </c>
      <c r="F62" s="27" t="inlineStr">
        <is>
          <t>Part B | Hyperactivity/Impulsivity - Verbal</t>
        </is>
      </c>
      <c r="G62" s="27" t="inlineStr">
        <is>
          <t>FALSE</t>
        </is>
      </c>
      <c r="H62" s="27" t="inlineStr">
        <is>
          <t>FALSE</t>
        </is>
      </c>
      <c r="I62" s="27" t="inlineStr">
        <is>
          <t>Never = 0 | Rarely = 1 | Sometimes = 2 | Often = 3 | Very Often = 4</t>
        </is>
      </c>
      <c r="J62" s="27" t="n"/>
      <c r="K62" s="27" t="inlineStr">
        <is>
          <t>https://novopsych.com/assessments/diagnosis/adult-adhd-self-report-scale-asrs/</t>
        </is>
      </c>
    </row>
    <row r="63" ht="23.85" customHeight="1" s="17">
      <c r="A63" s="27" t="inlineStr">
        <is>
          <t>ASRS</t>
        </is>
      </c>
      <c r="B63" s="27" t="inlineStr">
        <is>
          <t>Adult ADHD Self-Report Scale (ASRS v1.1)</t>
        </is>
      </c>
      <c r="C63" s="27" t="inlineStr">
        <is>
          <t>1. Executive functioning and ADHD</t>
        </is>
      </c>
      <c r="D63" s="28" t="n">
        <v>17</v>
      </c>
      <c r="E63" s="27" t="inlineStr">
        <is>
          <t>How often do you have difficulty waiting your turn in situations when turn taking is required?</t>
        </is>
      </c>
      <c r="F63" s="27" t="inlineStr">
        <is>
          <t>Part B | Hyperactivity/Impulsivity - Verbal</t>
        </is>
      </c>
      <c r="G63" s="27" t="inlineStr">
        <is>
          <t>FALSE</t>
        </is>
      </c>
      <c r="H63" s="27" t="inlineStr">
        <is>
          <t>FALSE</t>
        </is>
      </c>
      <c r="I63" s="27" t="inlineStr">
        <is>
          <t>Never = 0 | Rarely = 1 | Sometimes = 2 | Often = 3 | Very Often = 4</t>
        </is>
      </c>
      <c r="J63" s="27" t="n"/>
      <c r="K63" s="27" t="inlineStr">
        <is>
          <t>https://novopsych.com/assessments/diagnosis/adult-adhd-self-report-scale-asrs/</t>
        </is>
      </c>
    </row>
    <row r="64" ht="23.85" customHeight="1" s="17">
      <c r="A64" s="27" t="inlineStr">
        <is>
          <t>ASRS</t>
        </is>
      </c>
      <c r="B64" s="27" t="inlineStr">
        <is>
          <t>Adult ADHD Self-Report Scale (ASRS v1.1)</t>
        </is>
      </c>
      <c r="C64" s="27" t="inlineStr">
        <is>
          <t>1. Executive functioning and ADHD</t>
        </is>
      </c>
      <c r="D64" s="28" t="n">
        <v>18</v>
      </c>
      <c r="E64" s="27" t="inlineStr">
        <is>
          <t>How often do you interrupt others when they are busy?</t>
        </is>
      </c>
      <c r="F64" s="27" t="inlineStr">
        <is>
          <t>Part B | Hyperactivity/Impulsivity - Verbal</t>
        </is>
      </c>
      <c r="G64" s="27" t="inlineStr">
        <is>
          <t>FALSE</t>
        </is>
      </c>
      <c r="H64" s="27" t="inlineStr">
        <is>
          <t>FALSE</t>
        </is>
      </c>
      <c r="I64" s="27" t="inlineStr">
        <is>
          <t>Never = 0 | Rarely = 1 | Sometimes = 2 | Often = 3 | Very Often = 4</t>
        </is>
      </c>
      <c r="J64" s="27" t="n"/>
      <c r="K64" s="27" t="inlineStr">
        <is>
          <t>https://novopsych.com/assessments/diagnosis/adult-adhd-self-report-scale-asrs/</t>
        </is>
      </c>
    </row>
    <row r="65" ht="23.85" customHeight="1" s="17">
      <c r="A65" s="27" t="inlineStr">
        <is>
          <t>SKS</t>
        </is>
      </c>
      <c r="B65" s="27" t="inlineStr">
        <is>
          <t>Strengths Knowledge Scale</t>
        </is>
      </c>
      <c r="C65" s="27" t="inlineStr">
        <is>
          <t>2. Strengths knowledge, use and support at work</t>
        </is>
      </c>
      <c r="D65" s="28" t="n">
        <v>1</v>
      </c>
      <c r="E65" s="27" t="inlineStr">
        <is>
          <t>Other people see the strengths that I have</t>
        </is>
      </c>
      <c r="F65" s="27" t="inlineStr">
        <is>
          <t>Strengths Knowledge (total scale)</t>
        </is>
      </c>
      <c r="G65" s="27" t="inlineStr">
        <is>
          <t>FALSE</t>
        </is>
      </c>
      <c r="H65" s="27" t="inlineStr">
        <is>
          <t>FALSE</t>
        </is>
      </c>
      <c r="I65" s="27" t="inlineStr">
        <is>
          <t>Strongly disagree = 1 | 2 = 2 | 3 = 3 | 4 = 4 | 5 = 5 | 6 = 6 | Strongly agree = 7</t>
        </is>
      </c>
      <c r="J65" s="27" t="inlineStr">
        <is>
          <t>Verbatim as reproduced in Frontiers in Psychology (2023), Table 5, citing Govindji &amp; Linley (2007).</t>
        </is>
      </c>
      <c r="K65" s="27" t="inlineStr">
        <is>
          <t>https://www.frontiersin.org/journals/psychology/articles/10.3389/fpsyg.2023.1086510/full</t>
        </is>
      </c>
    </row>
    <row r="66" ht="79.84999999999999" customHeight="1" s="17">
      <c r="A66" s="27" t="inlineStr">
        <is>
          <t>SKS</t>
        </is>
      </c>
      <c r="B66" s="27" t="inlineStr">
        <is>
          <t>Strengths Knowledge Scale</t>
        </is>
      </c>
      <c r="C66" s="27" t="inlineStr">
        <is>
          <t>2. Strengths knowledge, use and support at work</t>
        </is>
      </c>
      <c r="D66" s="28" t="n">
        <v>2</v>
      </c>
      <c r="E66" s="27" t="inlineStr">
        <is>
          <t>I have to think hard about what my strengths are</t>
        </is>
      </c>
      <c r="F66" s="27" t="inlineStr">
        <is>
          <t>Strengths Knowledge (total scale)</t>
        </is>
      </c>
      <c r="G66" s="27" t="inlineStr">
        <is>
          <t>FALSE</t>
        </is>
      </c>
      <c r="H66" s="27" t="inlineStr">
        <is>
          <t>FALSE</t>
        </is>
      </c>
      <c r="I66" s="27" t="inlineStr">
        <is>
          <t>Strongly disagree = 1 | 2 = 2 | 3 = 3 | 4 = 4 | 5 = 5 | 6 = 6 | Strongly agree = 7</t>
        </is>
      </c>
      <c r="J66" s="27" t="inlineStr">
        <is>
          <t>Verbatim as reproduced in Frontiers in Psychology (2023), Table 5. One secondary aggregator source (db.arabpsychology.com) describes this item as reverse-scored, but the Frontiers (2023) reproduction directly consulted for this record states no reverse-scored items are present for either scale, so reverse scoring for this item could not be independently confirmed and is left unmarked pending sight of the original 2007 scoring key.</t>
        </is>
      </c>
      <c r="K66" s="27" t="inlineStr">
        <is>
          <t>https://www.frontiersin.org/journals/psychology/articles/10.3389/fpsyg.2023.1086510/full</t>
        </is>
      </c>
    </row>
    <row r="67" ht="23.85" customHeight="1" s="17">
      <c r="A67" s="27" t="inlineStr">
        <is>
          <t>SKS</t>
        </is>
      </c>
      <c r="B67" s="27" t="inlineStr">
        <is>
          <t>Strengths Knowledge Scale</t>
        </is>
      </c>
      <c r="C67" s="27" t="inlineStr">
        <is>
          <t>2. Strengths knowledge, use and support at work</t>
        </is>
      </c>
      <c r="D67" s="28" t="n">
        <v>3</v>
      </c>
      <c r="E67" s="27" t="inlineStr">
        <is>
          <t>I know what I do best</t>
        </is>
      </c>
      <c r="F67" s="27" t="inlineStr">
        <is>
          <t>Strengths Knowledge (total scale)</t>
        </is>
      </c>
      <c r="G67" s="27" t="inlineStr">
        <is>
          <t>FALSE</t>
        </is>
      </c>
      <c r="H67" s="27" t="inlineStr">
        <is>
          <t>FALSE</t>
        </is>
      </c>
      <c r="I67" s="27" t="inlineStr">
        <is>
          <t>Strongly disagree = 1 | 2 = 2 | 3 = 3 | 4 = 4 | 5 = 5 | 6 = 6 | Strongly agree = 7</t>
        </is>
      </c>
      <c r="J67" s="27" t="inlineStr">
        <is>
          <t>Verbatim as reproduced in Frontiers in Psychology (2023), Table 5.</t>
        </is>
      </c>
      <c r="K67" s="27" t="inlineStr">
        <is>
          <t>https://www.frontiersin.org/journals/psychology/articles/10.3389/fpsyg.2023.1086510/full</t>
        </is>
      </c>
    </row>
    <row r="68" ht="23.85" customHeight="1" s="17">
      <c r="A68" s="27" t="inlineStr">
        <is>
          <t>SKS</t>
        </is>
      </c>
      <c r="B68" s="27" t="inlineStr">
        <is>
          <t>Strengths Knowledge Scale</t>
        </is>
      </c>
      <c r="C68" s="27" t="inlineStr">
        <is>
          <t>2. Strengths knowledge, use and support at work</t>
        </is>
      </c>
      <c r="D68" s="28" t="n">
        <v>4</v>
      </c>
      <c r="E68" s="27" t="inlineStr">
        <is>
          <t>I am aware of my strengths</t>
        </is>
      </c>
      <c r="F68" s="27" t="inlineStr">
        <is>
          <t>Strengths Knowledge (total scale)</t>
        </is>
      </c>
      <c r="G68" s="27" t="inlineStr">
        <is>
          <t>FALSE</t>
        </is>
      </c>
      <c r="H68" s="27" t="inlineStr">
        <is>
          <t>FALSE</t>
        </is>
      </c>
      <c r="I68" s="27" t="inlineStr">
        <is>
          <t>Strongly disagree = 1 | 2 = 2 | 3 = 3 | 4 = 4 | 5 = 5 | 6 = 6 | Strongly agree = 7</t>
        </is>
      </c>
      <c r="J68" s="27" t="inlineStr">
        <is>
          <t>Verbatim as reproduced in Frontiers in Psychology (2023), Table 5.</t>
        </is>
      </c>
      <c r="K68" s="27" t="inlineStr">
        <is>
          <t>https://www.frontiersin.org/journals/psychology/articles/10.3389/fpsyg.2023.1086510/full</t>
        </is>
      </c>
    </row>
    <row r="69" ht="23.85" customHeight="1" s="17">
      <c r="A69" s="27" t="inlineStr">
        <is>
          <t>SKS</t>
        </is>
      </c>
      <c r="B69" s="27" t="inlineStr">
        <is>
          <t>Strengths Knowledge Scale</t>
        </is>
      </c>
      <c r="C69" s="27" t="inlineStr">
        <is>
          <t>2. Strengths knowledge, use and support at work</t>
        </is>
      </c>
      <c r="D69" s="28" t="n">
        <v>5</v>
      </c>
      <c r="E69" s="27" t="inlineStr">
        <is>
          <t>I know the things I am good at doing</t>
        </is>
      </c>
      <c r="F69" s="27" t="inlineStr">
        <is>
          <t>Strengths Knowledge (total scale)</t>
        </is>
      </c>
      <c r="G69" s="27" t="inlineStr">
        <is>
          <t>FALSE</t>
        </is>
      </c>
      <c r="H69" s="27" t="inlineStr">
        <is>
          <t>FALSE</t>
        </is>
      </c>
      <c r="I69" s="27" t="inlineStr">
        <is>
          <t>Strongly disagree = 1 | 2 = 2 | 3 = 3 | 4 = 4 | 5 = 5 | 6 = 6 | Strongly agree = 7</t>
        </is>
      </c>
      <c r="J69" s="27" t="inlineStr">
        <is>
          <t>Verbatim as reproduced in Frontiers in Psychology (2023), Table 5.</t>
        </is>
      </c>
      <c r="K69" s="27" t="inlineStr">
        <is>
          <t>https://www.frontiersin.org/journals/psychology/articles/10.3389/fpsyg.2023.1086510/full</t>
        </is>
      </c>
    </row>
    <row r="70" ht="23.85" customHeight="1" s="17">
      <c r="A70" s="27" t="inlineStr">
        <is>
          <t>SKS</t>
        </is>
      </c>
      <c r="B70" s="27" t="inlineStr">
        <is>
          <t>Strengths Knowledge Scale</t>
        </is>
      </c>
      <c r="C70" s="27" t="inlineStr">
        <is>
          <t>2. Strengths knowledge, use and support at work</t>
        </is>
      </c>
      <c r="D70" s="28" t="n">
        <v>6</v>
      </c>
      <c r="E70" s="27" t="inlineStr">
        <is>
          <t>I know my strengths well</t>
        </is>
      </c>
      <c r="F70" s="27" t="inlineStr">
        <is>
          <t>Strengths Knowledge (total scale)</t>
        </is>
      </c>
      <c r="G70" s="27" t="inlineStr">
        <is>
          <t>FALSE</t>
        </is>
      </c>
      <c r="H70" s="27" t="inlineStr">
        <is>
          <t>FALSE</t>
        </is>
      </c>
      <c r="I70" s="27" t="inlineStr">
        <is>
          <t>Strongly disagree = 1 | 2 = 2 | 3 = 3 | 4 = 4 | 5 = 5 | 6 = 6 | Strongly agree = 7</t>
        </is>
      </c>
      <c r="J70" s="27" t="inlineStr">
        <is>
          <t>Verbatim as reproduced in Frontiers in Psychology (2023), Table 5.</t>
        </is>
      </c>
      <c r="K70" s="27" t="inlineStr">
        <is>
          <t>https://www.frontiersin.org/journals/psychology/articles/10.3389/fpsyg.2023.1086510/full</t>
        </is>
      </c>
    </row>
    <row r="71" ht="23.85" customHeight="1" s="17">
      <c r="A71" s="27" t="inlineStr">
        <is>
          <t>SKS</t>
        </is>
      </c>
      <c r="B71" s="27" t="inlineStr">
        <is>
          <t>Strengths Knowledge Scale</t>
        </is>
      </c>
      <c r="C71" s="27" t="inlineStr">
        <is>
          <t>2. Strengths knowledge, use and support at work</t>
        </is>
      </c>
      <c r="D71" s="28" t="n">
        <v>7</v>
      </c>
      <c r="E71" s="27" t="inlineStr">
        <is>
          <t>I know the things I do best</t>
        </is>
      </c>
      <c r="F71" s="27" t="inlineStr">
        <is>
          <t>Strengths Knowledge (total scale)</t>
        </is>
      </c>
      <c r="G71" s="27" t="inlineStr">
        <is>
          <t>FALSE</t>
        </is>
      </c>
      <c r="H71" s="27" t="inlineStr">
        <is>
          <t>FALSE</t>
        </is>
      </c>
      <c r="I71" s="27" t="inlineStr">
        <is>
          <t>Strongly disagree = 1 | 2 = 2 | 3 = 3 | 4 = 4 | 5 = 5 | 6 = 6 | Strongly agree = 7</t>
        </is>
      </c>
      <c r="J71" s="27" t="inlineStr">
        <is>
          <t>Verbatim as reproduced in Frontiers in Psychology (2023), Table 5.</t>
        </is>
      </c>
      <c r="K71" s="27" t="inlineStr">
        <is>
          <t>https://www.frontiersin.org/journals/psychology/articles/10.3389/fpsyg.2023.1086510/full</t>
        </is>
      </c>
    </row>
    <row r="72" ht="23.85" customHeight="1" s="17">
      <c r="A72" s="27" t="inlineStr">
        <is>
          <t>SKS</t>
        </is>
      </c>
      <c r="B72" s="27" t="inlineStr">
        <is>
          <t>Strengths Knowledge Scale</t>
        </is>
      </c>
      <c r="C72" s="27" t="inlineStr">
        <is>
          <t>2. Strengths knowledge, use and support at work</t>
        </is>
      </c>
      <c r="D72" s="28" t="n">
        <v>8</v>
      </c>
      <c r="E72" s="27" t="inlineStr">
        <is>
          <t>I know when I am at my best</t>
        </is>
      </c>
      <c r="F72" s="27" t="inlineStr">
        <is>
          <t>Strengths Knowledge (total scale)</t>
        </is>
      </c>
      <c r="G72" s="27" t="inlineStr">
        <is>
          <t>FALSE</t>
        </is>
      </c>
      <c r="H72" s="27" t="inlineStr">
        <is>
          <t>FALSE</t>
        </is>
      </c>
      <c r="I72" s="27" t="inlineStr">
        <is>
          <t>Strongly disagree = 1 | 2 = 2 | 3 = 3 | 4 = 4 | 5 = 5 | 6 = 6 | Strongly agree = 7</t>
        </is>
      </c>
      <c r="J72" s="27" t="inlineStr">
        <is>
          <t>Verbatim as reproduced in Frontiers in Psychology (2023), Table 5.</t>
        </is>
      </c>
      <c r="K72" s="27" t="inlineStr">
        <is>
          <t>https://www.frontiersin.org/journals/psychology/articles/10.3389/fpsyg.2023.1086510/full</t>
        </is>
      </c>
    </row>
    <row r="73" ht="23.85" customHeight="1" s="17">
      <c r="A73" s="27" t="inlineStr">
        <is>
          <t>SUS</t>
        </is>
      </c>
      <c r="B73" s="27" t="inlineStr">
        <is>
          <t>Strengths Use Scale</t>
        </is>
      </c>
      <c r="C73" s="27" t="inlineStr">
        <is>
          <t>2. Strengths knowledge, use and support at work</t>
        </is>
      </c>
      <c r="D73" s="28" t="n">
        <v>1</v>
      </c>
      <c r="E73" s="27" t="inlineStr">
        <is>
          <t>I am regularly able to do what I do best.</t>
        </is>
      </c>
      <c r="F73" s="27" t="inlineStr">
        <is>
          <t>Strengths Use (total scale)</t>
        </is>
      </c>
      <c r="G73" s="27" t="inlineStr">
        <is>
          <t>FALSE</t>
        </is>
      </c>
      <c r="H73" s="27" t="inlineStr">
        <is>
          <t>FALSE</t>
        </is>
      </c>
      <c r="I73" s="27" t="inlineStr">
        <is>
          <t>Strongly disagree = 1 | 2 = 2 | 3 = 3 | 4 = 4 | 5 = 5 | 6 = 6 | Strongly agree = 7</t>
        </is>
      </c>
      <c r="J73" s="27" t="inlineStr">
        <is>
          <t>Verbatim as reproduced in Frontiers in Psychology (2023), Table 2, citing Govindji &amp; Linley (2007).</t>
        </is>
      </c>
      <c r="K73" s="27" t="inlineStr">
        <is>
          <t>https://www.frontiersin.org/journals/psychology/articles/10.3389/fpsyg.2023.1086510/full</t>
        </is>
      </c>
    </row>
    <row r="74" ht="23.85" customHeight="1" s="17">
      <c r="A74" s="27" t="inlineStr">
        <is>
          <t>SUS</t>
        </is>
      </c>
      <c r="B74" s="27" t="inlineStr">
        <is>
          <t>Strengths Use Scale</t>
        </is>
      </c>
      <c r="C74" s="27" t="inlineStr">
        <is>
          <t>2. Strengths knowledge, use and support at work</t>
        </is>
      </c>
      <c r="D74" s="28" t="n">
        <v>2</v>
      </c>
      <c r="E74" s="27" t="inlineStr">
        <is>
          <t>I always play to my strengths.</t>
        </is>
      </c>
      <c r="F74" s="27" t="inlineStr">
        <is>
          <t>Strengths Use (total scale)</t>
        </is>
      </c>
      <c r="G74" s="27" t="inlineStr">
        <is>
          <t>FALSE</t>
        </is>
      </c>
      <c r="H74" s="27" t="inlineStr">
        <is>
          <t>FALSE</t>
        </is>
      </c>
      <c r="I74" s="27" t="inlineStr">
        <is>
          <t>Strongly disagree = 1 | 2 = 2 | 3 = 3 | 4 = 4 | 5 = 5 | 6 = 6 | Strongly agree = 7</t>
        </is>
      </c>
      <c r="J74" s="27" t="inlineStr">
        <is>
          <t>Verbatim as reproduced in Frontiers in Psychology (2023), Table 2.</t>
        </is>
      </c>
      <c r="K74" s="27" t="inlineStr">
        <is>
          <t>https://www.frontiersin.org/journals/psychology/articles/10.3389/fpsyg.2023.1086510/full</t>
        </is>
      </c>
    </row>
    <row r="75" ht="23.85" customHeight="1" s="17">
      <c r="A75" s="27" t="inlineStr">
        <is>
          <t>SUS</t>
        </is>
      </c>
      <c r="B75" s="27" t="inlineStr">
        <is>
          <t>Strengths Use Scale</t>
        </is>
      </c>
      <c r="C75" s="27" t="inlineStr">
        <is>
          <t>2. Strengths knowledge, use and support at work</t>
        </is>
      </c>
      <c r="D75" s="28" t="n">
        <v>3</v>
      </c>
      <c r="E75" s="27" t="inlineStr">
        <is>
          <t>I always try to use my strengths.</t>
        </is>
      </c>
      <c r="F75" s="27" t="inlineStr">
        <is>
          <t>Strengths Use (total scale)</t>
        </is>
      </c>
      <c r="G75" s="27" t="inlineStr">
        <is>
          <t>FALSE</t>
        </is>
      </c>
      <c r="H75" s="27" t="inlineStr">
        <is>
          <t>FALSE</t>
        </is>
      </c>
      <c r="I75" s="27" t="inlineStr">
        <is>
          <t>Strongly disagree = 1 | 2 = 2 | 3 = 3 | 4 = 4 | 5 = 5 | 6 = 6 | Strongly agree = 7</t>
        </is>
      </c>
      <c r="J75" s="27" t="inlineStr">
        <is>
          <t>Verbatim as reproduced in Frontiers in Psychology (2023), Table 2.</t>
        </is>
      </c>
      <c r="K75" s="27" t="inlineStr">
        <is>
          <t>https://www.frontiersin.org/journals/psychology/articles/10.3389/fpsyg.2023.1086510/full</t>
        </is>
      </c>
    </row>
    <row r="76" ht="23.85" customHeight="1" s="17">
      <c r="A76" s="27" t="inlineStr">
        <is>
          <t>SUS</t>
        </is>
      </c>
      <c r="B76" s="27" t="inlineStr">
        <is>
          <t>Strengths Use Scale</t>
        </is>
      </c>
      <c r="C76" s="27" t="inlineStr">
        <is>
          <t>2. Strengths knowledge, use and support at work</t>
        </is>
      </c>
      <c r="D76" s="28" t="n">
        <v>4</v>
      </c>
      <c r="E76" s="27" t="inlineStr">
        <is>
          <t>I achieve what I want by using my strengths.</t>
        </is>
      </c>
      <c r="F76" s="27" t="inlineStr">
        <is>
          <t>Strengths Use (total scale)</t>
        </is>
      </c>
      <c r="G76" s="27" t="inlineStr">
        <is>
          <t>FALSE</t>
        </is>
      </c>
      <c r="H76" s="27" t="inlineStr">
        <is>
          <t>FALSE</t>
        </is>
      </c>
      <c r="I76" s="27" t="inlineStr">
        <is>
          <t>Strongly disagree = 1 | 2 = 2 | 3 = 3 | 4 = 4 | 5 = 5 | 6 = 6 | Strongly agree = 7</t>
        </is>
      </c>
      <c r="J76" s="27" t="inlineStr">
        <is>
          <t>Verbatim as reproduced in Frontiers in Psychology (2023), Table 2.</t>
        </is>
      </c>
      <c r="K76" s="27" t="inlineStr">
        <is>
          <t>https://www.frontiersin.org/journals/psychology/articles/10.3389/fpsyg.2023.1086510/full</t>
        </is>
      </c>
    </row>
    <row r="77" ht="23.85" customHeight="1" s="17">
      <c r="A77" s="27" t="inlineStr">
        <is>
          <t>SUS</t>
        </is>
      </c>
      <c r="B77" s="27" t="inlineStr">
        <is>
          <t>Strengths Use Scale</t>
        </is>
      </c>
      <c r="C77" s="27" t="inlineStr">
        <is>
          <t>2. Strengths knowledge, use and support at work</t>
        </is>
      </c>
      <c r="D77" s="28" t="n">
        <v>5</v>
      </c>
      <c r="E77" s="27" t="inlineStr">
        <is>
          <t>I use my strengths every day.</t>
        </is>
      </c>
      <c r="F77" s="27" t="inlineStr">
        <is>
          <t>Strengths Use (total scale)</t>
        </is>
      </c>
      <c r="G77" s="27" t="inlineStr">
        <is>
          <t>FALSE</t>
        </is>
      </c>
      <c r="H77" s="27" t="inlineStr">
        <is>
          <t>FALSE</t>
        </is>
      </c>
      <c r="I77" s="27" t="inlineStr">
        <is>
          <t>Strongly disagree = 1 | 2 = 2 | 3 = 3 | 4 = 4 | 5 = 5 | 6 = 6 | Strongly agree = 7</t>
        </is>
      </c>
      <c r="J77" s="27" t="inlineStr">
        <is>
          <t>Verbatim as reproduced in Frontiers in Psychology (2023), Table 2.</t>
        </is>
      </c>
      <c r="K77" s="27" t="inlineStr">
        <is>
          <t>https://www.frontiersin.org/journals/psychology/articles/10.3389/fpsyg.2023.1086510/full</t>
        </is>
      </c>
    </row>
    <row r="78" ht="23.85" customHeight="1" s="17">
      <c r="A78" s="27" t="inlineStr">
        <is>
          <t>SUS</t>
        </is>
      </c>
      <c r="B78" s="27" t="inlineStr">
        <is>
          <t>Strengths Use Scale</t>
        </is>
      </c>
      <c r="C78" s="27" t="inlineStr">
        <is>
          <t>2. Strengths knowledge, use and support at work</t>
        </is>
      </c>
      <c r="D78" s="28" t="n">
        <v>6</v>
      </c>
      <c r="E78" s="27" t="inlineStr">
        <is>
          <t>I use my strengths to get what I want out of life.</t>
        </is>
      </c>
      <c r="F78" s="27" t="inlineStr">
        <is>
          <t>Strengths Use (total scale)</t>
        </is>
      </c>
      <c r="G78" s="27" t="inlineStr">
        <is>
          <t>FALSE</t>
        </is>
      </c>
      <c r="H78" s="27" t="inlineStr">
        <is>
          <t>FALSE</t>
        </is>
      </c>
      <c r="I78" s="27" t="inlineStr">
        <is>
          <t>Strongly disagree = 1 | 2 = 2 | 3 = 3 | 4 = 4 | 5 = 5 | 6 = 6 | Strongly agree = 7</t>
        </is>
      </c>
      <c r="J78" s="27" t="inlineStr">
        <is>
          <t>Verbatim as reproduced in Frontiers in Psychology (2023), Table 2.</t>
        </is>
      </c>
      <c r="K78" s="27" t="inlineStr">
        <is>
          <t>https://www.frontiersin.org/journals/psychology/articles/10.3389/fpsyg.2023.1086510/full</t>
        </is>
      </c>
    </row>
    <row r="79" ht="23.85" customHeight="1" s="17">
      <c r="A79" s="27" t="inlineStr">
        <is>
          <t>SUS</t>
        </is>
      </c>
      <c r="B79" s="27" t="inlineStr">
        <is>
          <t>Strengths Use Scale</t>
        </is>
      </c>
      <c r="C79" s="27" t="inlineStr">
        <is>
          <t>2. Strengths knowledge, use and support at work</t>
        </is>
      </c>
      <c r="D79" s="28" t="n">
        <v>7</v>
      </c>
      <c r="E79" s="27" t="inlineStr">
        <is>
          <t>My work gives me lots of opportunities to use my strengths.</t>
        </is>
      </c>
      <c r="F79" s="27" t="inlineStr">
        <is>
          <t>Strengths Use (total scale)</t>
        </is>
      </c>
      <c r="G79" s="27" t="inlineStr">
        <is>
          <t>FALSE</t>
        </is>
      </c>
      <c r="H79" s="27" t="inlineStr">
        <is>
          <t>FALSE</t>
        </is>
      </c>
      <c r="I79" s="27" t="inlineStr">
        <is>
          <t>Strongly disagree = 1 | 2 = 2 | 3 = 3 | 4 = 4 | 5 = 5 | 6 = 6 | Strongly agree = 7</t>
        </is>
      </c>
      <c r="J79" s="27" t="inlineStr">
        <is>
          <t>Verbatim as reproduced in Frontiers in Psychology (2023), Table 2.</t>
        </is>
      </c>
      <c r="K79" s="27" t="inlineStr">
        <is>
          <t>https://www.frontiersin.org/journals/psychology/articles/10.3389/fpsyg.2023.1086510/full</t>
        </is>
      </c>
    </row>
    <row r="80" ht="23.85" customHeight="1" s="17">
      <c r="A80" s="27" t="inlineStr">
        <is>
          <t>SUS</t>
        </is>
      </c>
      <c r="B80" s="27" t="inlineStr">
        <is>
          <t>Strengths Use Scale</t>
        </is>
      </c>
      <c r="C80" s="27" t="inlineStr">
        <is>
          <t>2. Strengths knowledge, use and support at work</t>
        </is>
      </c>
      <c r="D80" s="28" t="n">
        <v>8</v>
      </c>
      <c r="E80" s="27" t="inlineStr">
        <is>
          <t>My life presents me with lots of different ways to use my strengths.</t>
        </is>
      </c>
      <c r="F80" s="27" t="inlineStr">
        <is>
          <t>Strengths Use (total scale)</t>
        </is>
      </c>
      <c r="G80" s="27" t="inlineStr">
        <is>
          <t>FALSE</t>
        </is>
      </c>
      <c r="H80" s="27" t="inlineStr">
        <is>
          <t>FALSE</t>
        </is>
      </c>
      <c r="I80" s="27" t="inlineStr">
        <is>
          <t>Strongly disagree = 1 | 2 = 2 | 3 = 3 | 4 = 4 | 5 = 5 | 6 = 6 | Strongly agree = 7</t>
        </is>
      </c>
      <c r="J80" s="27" t="inlineStr">
        <is>
          <t>Verbatim as reproduced in Frontiers in Psychology (2023), Table 2.</t>
        </is>
      </c>
      <c r="K80" s="27" t="inlineStr">
        <is>
          <t>https://www.frontiersin.org/journals/psychology/articles/10.3389/fpsyg.2023.1086510/full</t>
        </is>
      </c>
    </row>
    <row r="81" ht="23.85" customHeight="1" s="17">
      <c r="A81" s="27" t="inlineStr">
        <is>
          <t>SUS</t>
        </is>
      </c>
      <c r="B81" s="27" t="inlineStr">
        <is>
          <t>Strengths Use Scale</t>
        </is>
      </c>
      <c r="C81" s="27" t="inlineStr">
        <is>
          <t>2. Strengths knowledge, use and support at work</t>
        </is>
      </c>
      <c r="D81" s="28" t="n">
        <v>9</v>
      </c>
      <c r="E81" s="27" t="inlineStr">
        <is>
          <t>Using my strengths comes naturally to me.</t>
        </is>
      </c>
      <c r="F81" s="27" t="inlineStr">
        <is>
          <t>Strengths Use (total scale)</t>
        </is>
      </c>
      <c r="G81" s="27" t="inlineStr">
        <is>
          <t>FALSE</t>
        </is>
      </c>
      <c r="H81" s="27" t="inlineStr">
        <is>
          <t>FALSE</t>
        </is>
      </c>
      <c r="I81" s="27" t="inlineStr">
        <is>
          <t>Strongly disagree = 1 | 2 = 2 | 3 = 3 | 4 = 4 | 5 = 5 | 6 = 6 | Strongly agree = 7</t>
        </is>
      </c>
      <c r="J81" s="27" t="inlineStr">
        <is>
          <t>Verbatim as reproduced in Frontiers in Psychology (2023), Table 2.</t>
        </is>
      </c>
      <c r="K81" s="27" t="inlineStr">
        <is>
          <t>https://www.frontiersin.org/journals/psychology/articles/10.3389/fpsyg.2023.1086510/full</t>
        </is>
      </c>
    </row>
    <row r="82" ht="23.85" customHeight="1" s="17">
      <c r="A82" s="27" t="inlineStr">
        <is>
          <t>SUS</t>
        </is>
      </c>
      <c r="B82" s="27" t="inlineStr">
        <is>
          <t>Strengths Use Scale</t>
        </is>
      </c>
      <c r="C82" s="27" t="inlineStr">
        <is>
          <t>2. Strengths knowledge, use and support at work</t>
        </is>
      </c>
      <c r="D82" s="28" t="n">
        <v>10</v>
      </c>
      <c r="E82" s="27" t="inlineStr">
        <is>
          <t>I find it easy to use my strengths in the things I do.</t>
        </is>
      </c>
      <c r="F82" s="27" t="inlineStr">
        <is>
          <t>Strengths Use (total scale)</t>
        </is>
      </c>
      <c r="G82" s="27" t="inlineStr">
        <is>
          <t>FALSE</t>
        </is>
      </c>
      <c r="H82" s="27" t="inlineStr">
        <is>
          <t>FALSE</t>
        </is>
      </c>
      <c r="I82" s="27" t="inlineStr">
        <is>
          <t>Strongly disagree = 1 | 2 = 2 | 3 = 3 | 4 = 4 | 5 = 5 | 6 = 6 | Strongly agree = 7</t>
        </is>
      </c>
      <c r="J82" s="27" t="inlineStr">
        <is>
          <t>Verbatim as reproduced in Frontiers in Psychology (2023), Table 2.</t>
        </is>
      </c>
      <c r="K82" s="27" t="inlineStr">
        <is>
          <t>https://www.frontiersin.org/journals/psychology/articles/10.3389/fpsyg.2023.1086510/full</t>
        </is>
      </c>
    </row>
    <row r="83" ht="23.85" customHeight="1" s="17">
      <c r="A83" s="27" t="inlineStr">
        <is>
          <t>SUS</t>
        </is>
      </c>
      <c r="B83" s="27" t="inlineStr">
        <is>
          <t>Strengths Use Scale</t>
        </is>
      </c>
      <c r="C83" s="27" t="inlineStr">
        <is>
          <t>2. Strengths knowledge, use and support at work</t>
        </is>
      </c>
      <c r="D83" s="28" t="n">
        <v>11</v>
      </c>
      <c r="E83" s="27" t="inlineStr">
        <is>
          <t>I am able to use my strengths in lots of different situations.</t>
        </is>
      </c>
      <c r="F83" s="27" t="inlineStr">
        <is>
          <t>Strengths Use (total scale)</t>
        </is>
      </c>
      <c r="G83" s="27" t="inlineStr">
        <is>
          <t>FALSE</t>
        </is>
      </c>
      <c r="H83" s="27" t="inlineStr">
        <is>
          <t>FALSE</t>
        </is>
      </c>
      <c r="I83" s="27" t="inlineStr">
        <is>
          <t>Strongly disagree = 1 | 2 = 2 | 3 = 3 | 4 = 4 | 5 = 5 | 6 = 6 | Strongly agree = 7</t>
        </is>
      </c>
      <c r="J83" s="27" t="inlineStr">
        <is>
          <t>Verbatim as reproduced in Frontiers in Psychology (2023), Table 2.</t>
        </is>
      </c>
      <c r="K83" s="27" t="inlineStr">
        <is>
          <t>https://www.frontiersin.org/journals/psychology/articles/10.3389/fpsyg.2023.1086510/full</t>
        </is>
      </c>
    </row>
    <row r="84" ht="23.85" customHeight="1" s="17">
      <c r="A84" s="27" t="inlineStr">
        <is>
          <t>SUS</t>
        </is>
      </c>
      <c r="B84" s="27" t="inlineStr">
        <is>
          <t>Strengths Use Scale</t>
        </is>
      </c>
      <c r="C84" s="27" t="inlineStr">
        <is>
          <t>2. Strengths knowledge, use and support at work</t>
        </is>
      </c>
      <c r="D84" s="28" t="n">
        <v>12</v>
      </c>
      <c r="E84" s="27" t="inlineStr">
        <is>
          <t>Most of my time is spent doing the things that I am good at doing.</t>
        </is>
      </c>
      <c r="F84" s="27" t="inlineStr">
        <is>
          <t>Strengths Use (total scale)</t>
        </is>
      </c>
      <c r="G84" s="27" t="inlineStr">
        <is>
          <t>FALSE</t>
        </is>
      </c>
      <c r="H84" s="27" t="inlineStr">
        <is>
          <t>FALSE</t>
        </is>
      </c>
      <c r="I84" s="27" t="inlineStr">
        <is>
          <t>Strongly disagree = 1 | 2 = 2 | 3 = 3 | 4 = 4 | 5 = 5 | 6 = 6 | Strongly agree = 7</t>
        </is>
      </c>
      <c r="J84" s="27" t="inlineStr">
        <is>
          <t>Verbatim as reproduced in Frontiers in Psychology (2023), Table 2.</t>
        </is>
      </c>
      <c r="K84" s="27" t="inlineStr">
        <is>
          <t>https://www.frontiersin.org/journals/psychology/articles/10.3389/fpsyg.2023.1086510/full</t>
        </is>
      </c>
    </row>
    <row r="85" ht="23.85" customHeight="1" s="17">
      <c r="A85" s="27" t="inlineStr">
        <is>
          <t>SUS</t>
        </is>
      </c>
      <c r="B85" s="27" t="inlineStr">
        <is>
          <t>Strengths Use Scale</t>
        </is>
      </c>
      <c r="C85" s="27" t="inlineStr">
        <is>
          <t>2. Strengths knowledge, use and support at work</t>
        </is>
      </c>
      <c r="D85" s="28" t="n">
        <v>13</v>
      </c>
      <c r="E85" s="27" t="inlineStr">
        <is>
          <t>Using my strengths is something I am familiar with.</t>
        </is>
      </c>
      <c r="F85" s="27" t="inlineStr">
        <is>
          <t>Strengths Use (total scale)</t>
        </is>
      </c>
      <c r="G85" s="27" t="inlineStr">
        <is>
          <t>FALSE</t>
        </is>
      </c>
      <c r="H85" s="27" t="inlineStr">
        <is>
          <t>FALSE</t>
        </is>
      </c>
      <c r="I85" s="27" t="inlineStr">
        <is>
          <t>Strongly disagree = 1 | 2 = 2 | 3 = 3 | 4 = 4 | 5 = 5 | 6 = 6 | Strongly agree = 7</t>
        </is>
      </c>
      <c r="J85" s="27" t="inlineStr">
        <is>
          <t>Verbatim as reproduced in Frontiers in Psychology (2023), Table 2.</t>
        </is>
      </c>
      <c r="K85" s="27" t="inlineStr">
        <is>
          <t>https://www.frontiersin.org/journals/psychology/articles/10.3389/fpsyg.2023.1086510/full</t>
        </is>
      </c>
    </row>
    <row r="86" ht="23.85" customHeight="1" s="17">
      <c r="A86" s="27" t="inlineStr">
        <is>
          <t>SUS</t>
        </is>
      </c>
      <c r="B86" s="27" t="inlineStr">
        <is>
          <t>Strengths Use Scale</t>
        </is>
      </c>
      <c r="C86" s="27" t="inlineStr">
        <is>
          <t>2. Strengths knowledge, use and support at work</t>
        </is>
      </c>
      <c r="D86" s="28" t="n">
        <v>14</v>
      </c>
      <c r="E86" s="27" t="inlineStr">
        <is>
          <t>I am able to use my strengths in lots of different ways.</t>
        </is>
      </c>
      <c r="F86" s="27" t="inlineStr">
        <is>
          <t>Strengths Use (total scale)</t>
        </is>
      </c>
      <c r="G86" s="27" t="inlineStr">
        <is>
          <t>FALSE</t>
        </is>
      </c>
      <c r="H86" s="27" t="inlineStr">
        <is>
          <t>FALSE</t>
        </is>
      </c>
      <c r="I86" s="27" t="inlineStr">
        <is>
          <t>Strongly disagree = 1 | 2 = 2 | 3 = 3 | 4 = 4 | 5 = 5 | 6 = 6 | Strongly agree = 7</t>
        </is>
      </c>
      <c r="J86" s="27" t="inlineStr">
        <is>
          <t>Verbatim as reproduced in Frontiers in Psychology (2023), Table 2.</t>
        </is>
      </c>
      <c r="K86" s="27" t="inlineStr">
        <is>
          <t>https://www.frontiersin.org/journals/psychology/articles/10.3389/fpsyg.2023.1086510/full</t>
        </is>
      </c>
    </row>
    <row r="87" ht="35.05" customHeight="1" s="17">
      <c r="A87" s="27" t="inlineStr">
        <is>
          <t>SSES</t>
        </is>
      </c>
      <c r="B87" s="27" t="inlineStr">
        <is>
          <t>Strengths Self-Efficacy Scale</t>
        </is>
      </c>
      <c r="C87" s="27" t="inlineStr">
        <is>
          <t>2. Strengths knowledge, use and support at work</t>
        </is>
      </c>
      <c r="D87" s="28" t="n">
        <v>1</v>
      </c>
      <c r="E87" s="27" t="inlineStr">
        <is>
          <t>Use your strengths at work?</t>
        </is>
      </c>
      <c r="F87" s="27" t="inlineStr">
        <is>
          <t>Strengths Self-Efficacy (total scale)</t>
        </is>
      </c>
      <c r="G87" s="27" t="inlineStr">
        <is>
          <t>FALSE</t>
        </is>
      </c>
      <c r="H87" s="27" t="inlineStr">
        <is>
          <t>FALSE</t>
        </is>
      </c>
      <c r="I87" s="27" t="inlineStr">
        <is>
          <t>Not confident at all = 1 | 2 = 2 | 3 = 3 | 4 = 4 | Moderately confident = 5 | 6 = 6 | 7 = 7 | 8 = 8 | 9 = 9 | Extremely confident = 10</t>
        </is>
      </c>
      <c r="J87" s="27" t="inlineStr">
        <is>
          <t>Verbatim as reproduced in the PositivePsychology.com PDF and corroborated by an independent academia.edu reproduction, both stemmed from "How confident are you in your ability to ...."</t>
        </is>
      </c>
      <c r="K87" s="27" t="inlineStr">
        <is>
          <t>https://positivepsychology.com/wp-content/uploads/The-Strengths-Self-efficacy-Scale.pdf</t>
        </is>
      </c>
    </row>
    <row r="88" ht="35.05" customHeight="1" s="17">
      <c r="A88" s="27" t="inlineStr">
        <is>
          <t>SSES</t>
        </is>
      </c>
      <c r="B88" s="27" t="inlineStr">
        <is>
          <t>Strengths Self-Efficacy Scale</t>
        </is>
      </c>
      <c r="C88" s="27" t="inlineStr">
        <is>
          <t>2. Strengths knowledge, use and support at work</t>
        </is>
      </c>
      <c r="D88" s="28" t="n">
        <v>2</v>
      </c>
      <c r="E88" s="27" t="inlineStr">
        <is>
          <t>Use your strengths without any struggles?</t>
        </is>
      </c>
      <c r="F88" s="27" t="inlineStr">
        <is>
          <t>Strengths Self-Efficacy (total scale)</t>
        </is>
      </c>
      <c r="G88" s="27" t="inlineStr">
        <is>
          <t>FALSE</t>
        </is>
      </c>
      <c r="H88" s="27" t="inlineStr">
        <is>
          <t>FALSE</t>
        </is>
      </c>
      <c r="I88" s="27" t="inlineStr">
        <is>
          <t>Not confident at all = 1 | 2 = 2 | 3 = 3 | 4 = 4 | Moderately confident = 5 | 6 = 6 | 7 = 7 | 8 = 8 | 9 = 9 | Extremely confident = 10</t>
        </is>
      </c>
      <c r="J88" s="27" t="inlineStr">
        <is>
          <t>Verbatim as reproduced in the PositivePsychology.com PDF, corroborated by academia.edu reproduction.</t>
        </is>
      </c>
      <c r="K88" s="27" t="inlineStr">
        <is>
          <t>https://positivepsychology.com/wp-content/uploads/The-Strengths-Self-efficacy-Scale.pdf</t>
        </is>
      </c>
    </row>
    <row r="89" ht="35.05" customHeight="1" s="17">
      <c r="A89" s="27" t="inlineStr">
        <is>
          <t>SSES</t>
        </is>
      </c>
      <c r="B89" s="27" t="inlineStr">
        <is>
          <t>Strengths Self-Efficacy Scale</t>
        </is>
      </c>
      <c r="C89" s="27" t="inlineStr">
        <is>
          <t>2. Strengths knowledge, use and support at work</t>
        </is>
      </c>
      <c r="D89" s="28" t="n">
        <v>3</v>
      </c>
      <c r="E89" s="27" t="inlineStr">
        <is>
          <t>Find ways to apply your strengths in the things you do everyday?</t>
        </is>
      </c>
      <c r="F89" s="27" t="inlineStr">
        <is>
          <t>Strengths Self-Efficacy (total scale)</t>
        </is>
      </c>
      <c r="G89" s="27" t="inlineStr">
        <is>
          <t>FALSE</t>
        </is>
      </c>
      <c r="H89" s="27" t="inlineStr">
        <is>
          <t>FALSE</t>
        </is>
      </c>
      <c r="I89" s="27" t="inlineStr">
        <is>
          <t>Not confident at all = 1 | 2 = 2 | 3 = 3 | 4 = 4 | Moderately confident = 5 | 6 = 6 | 7 = 7 | 8 = 8 | 9 = 9 | Extremely confident = 10</t>
        </is>
      </c>
      <c r="J89" s="27" t="inlineStr">
        <is>
          <t>Verbatim as reproduced in the PositivePsychology.com PDF, corroborated by academia.edu reproduction.</t>
        </is>
      </c>
      <c r="K89" s="27" t="inlineStr">
        <is>
          <t>https://positivepsychology.com/wp-content/uploads/The-Strengths-Self-efficacy-Scale.pdf</t>
        </is>
      </c>
    </row>
    <row r="90" ht="35.05" customHeight="1" s="17">
      <c r="A90" s="27" t="inlineStr">
        <is>
          <t>SSES</t>
        </is>
      </c>
      <c r="B90" s="27" t="inlineStr">
        <is>
          <t>Strengths Self-Efficacy Scale</t>
        </is>
      </c>
      <c r="C90" s="27" t="inlineStr">
        <is>
          <t>2. Strengths knowledge, use and support at work</t>
        </is>
      </c>
      <c r="D90" s="28" t="n">
        <v>4</v>
      </c>
      <c r="E90" s="27" t="inlineStr">
        <is>
          <t>Accomplish a lot using your strengths?</t>
        </is>
      </c>
      <c r="F90" s="27" t="inlineStr">
        <is>
          <t>Strengths Self-Efficacy (total scale)</t>
        </is>
      </c>
      <c r="G90" s="27" t="inlineStr">
        <is>
          <t>FALSE</t>
        </is>
      </c>
      <c r="H90" s="27" t="inlineStr">
        <is>
          <t>FALSE</t>
        </is>
      </c>
      <c r="I90" s="27" t="inlineStr">
        <is>
          <t>Not confident at all = 1 | 2 = 2 | 3 = 3 | 4 = 4 | Moderately confident = 5 | 6 = 6 | 7 = 7 | 8 = 8 | 9 = 9 | Extremely confident = 10</t>
        </is>
      </c>
      <c r="J90" s="27" t="inlineStr">
        <is>
          <t>Verbatim as reproduced in the PositivePsychology.com PDF, corroborated by academia.edu reproduction.</t>
        </is>
      </c>
      <c r="K90" s="27" t="inlineStr">
        <is>
          <t>https://positivepsychology.com/wp-content/uploads/The-Strengths-Self-efficacy-Scale.pdf</t>
        </is>
      </c>
    </row>
    <row r="91" ht="35.05" customHeight="1" s="17">
      <c r="A91" s="27" t="inlineStr">
        <is>
          <t>SSES</t>
        </is>
      </c>
      <c r="B91" s="27" t="inlineStr">
        <is>
          <t>Strengths Self-Efficacy Scale</t>
        </is>
      </c>
      <c r="C91" s="27" t="inlineStr">
        <is>
          <t>2. Strengths knowledge, use and support at work</t>
        </is>
      </c>
      <c r="D91" s="28" t="n">
        <v>5</v>
      </c>
      <c r="E91" s="27" t="inlineStr">
        <is>
          <t>Apply your strengths at work/school?</t>
        </is>
      </c>
      <c r="F91" s="27" t="inlineStr">
        <is>
          <t>Strengths Self-Efficacy (total scale)</t>
        </is>
      </c>
      <c r="G91" s="27" t="inlineStr">
        <is>
          <t>FALSE</t>
        </is>
      </c>
      <c r="H91" s="27" t="inlineStr">
        <is>
          <t>FALSE</t>
        </is>
      </c>
      <c r="I91" s="27" t="inlineStr">
        <is>
          <t>Not confident at all = 1 | 2 = 2 | 3 = 3 | 4 = 4 | Moderately confident = 5 | 6 = 6 | 7 = 7 | 8 = 8 | 9 = 9 | Extremely confident = 10</t>
        </is>
      </c>
      <c r="J91" s="27" t="inlineStr">
        <is>
          <t>Verbatim as reproduced in the PositivePsychology.com PDF, corroborated by academia.edu reproduction.</t>
        </is>
      </c>
      <c r="K91" s="27" t="inlineStr">
        <is>
          <t>https://positivepsychology.com/wp-content/uploads/The-Strengths-Self-efficacy-Scale.pdf</t>
        </is>
      </c>
    </row>
    <row r="92" ht="35.05" customHeight="1" s="17">
      <c r="A92" s="27" t="inlineStr">
        <is>
          <t>SSES</t>
        </is>
      </c>
      <c r="B92" s="27" t="inlineStr">
        <is>
          <t>Strengths Self-Efficacy Scale</t>
        </is>
      </c>
      <c r="C92" s="27" t="inlineStr">
        <is>
          <t>2. Strengths knowledge, use and support at work</t>
        </is>
      </c>
      <c r="D92" s="28" t="n">
        <v>6</v>
      </c>
      <c r="E92" s="27" t="inlineStr">
        <is>
          <t>Use your strengths in many situations?</t>
        </is>
      </c>
      <c r="F92" s="27" t="inlineStr">
        <is>
          <t>Strengths Self-Efficacy (total scale)</t>
        </is>
      </c>
      <c r="G92" s="27" t="inlineStr">
        <is>
          <t>FALSE</t>
        </is>
      </c>
      <c r="H92" s="27" t="inlineStr">
        <is>
          <t>FALSE</t>
        </is>
      </c>
      <c r="I92" s="27" t="inlineStr">
        <is>
          <t>Not confident at all = 1 | 2 = 2 | 3 = 3 | 4 = 4 | Moderately confident = 5 | 6 = 6 | 7 = 7 | 8 = 8 | 9 = 9 | Extremely confident = 10</t>
        </is>
      </c>
      <c r="J92" s="27" t="inlineStr">
        <is>
          <t>Verbatim as reproduced in the PositivePsychology.com PDF, corroborated by academia.edu reproduction.</t>
        </is>
      </c>
      <c r="K92" s="27" t="inlineStr">
        <is>
          <t>https://positivepsychology.com/wp-content/uploads/The-Strengths-Self-efficacy-Scale.pdf</t>
        </is>
      </c>
    </row>
    <row r="93" ht="35.05" customHeight="1" s="17">
      <c r="A93" s="27" t="inlineStr">
        <is>
          <t>SSES</t>
        </is>
      </c>
      <c r="B93" s="27" t="inlineStr">
        <is>
          <t>Strengths Self-Efficacy Scale</t>
        </is>
      </c>
      <c r="C93" s="27" t="inlineStr">
        <is>
          <t>2. Strengths knowledge, use and support at work</t>
        </is>
      </c>
      <c r="D93" s="28" t="n">
        <v>7</v>
      </c>
      <c r="E93" s="27" t="inlineStr">
        <is>
          <t>Use your strengths to succeed?</t>
        </is>
      </c>
      <c r="F93" s="27" t="inlineStr">
        <is>
          <t>Strengths Self-Efficacy (total scale)</t>
        </is>
      </c>
      <c r="G93" s="27" t="inlineStr">
        <is>
          <t>FALSE</t>
        </is>
      </c>
      <c r="H93" s="27" t="inlineStr">
        <is>
          <t>FALSE</t>
        </is>
      </c>
      <c r="I93" s="27" t="inlineStr">
        <is>
          <t>Not confident at all = 1 | 2 = 2 | 3 = 3 | 4 = 4 | Moderately confident = 5 | 6 = 6 | 7 = 7 | 8 = 8 | 9 = 9 | Extremely confident = 10</t>
        </is>
      </c>
      <c r="J93" s="27" t="inlineStr">
        <is>
          <t>Verbatim as reproduced in the PositivePsychology.com PDF, corroborated by academia.edu reproduction.</t>
        </is>
      </c>
      <c r="K93" s="27" t="inlineStr">
        <is>
          <t>https://positivepsychology.com/wp-content/uploads/The-Strengths-Self-efficacy-Scale.pdf</t>
        </is>
      </c>
    </row>
    <row r="94" ht="35.05" customHeight="1" s="17">
      <c r="A94" s="27" t="inlineStr">
        <is>
          <t>SSES</t>
        </is>
      </c>
      <c r="B94" s="27" t="inlineStr">
        <is>
          <t>Strengths Self-Efficacy Scale</t>
        </is>
      </c>
      <c r="C94" s="27" t="inlineStr">
        <is>
          <t>2. Strengths knowledge, use and support at work</t>
        </is>
      </c>
      <c r="D94" s="28" t="n">
        <v>8</v>
      </c>
      <c r="E94" s="27" t="inlineStr">
        <is>
          <t>Find ways to use your strengths at work/school everyday?</t>
        </is>
      </c>
      <c r="F94" s="27" t="inlineStr">
        <is>
          <t>Strengths Self-Efficacy (total scale)</t>
        </is>
      </c>
      <c r="G94" s="27" t="inlineStr">
        <is>
          <t>FALSE</t>
        </is>
      </c>
      <c r="H94" s="27" t="inlineStr">
        <is>
          <t>FALSE</t>
        </is>
      </c>
      <c r="I94" s="27" t="inlineStr">
        <is>
          <t>Not confident at all = 1 | 2 = 2 | 3 = 3 | 4 = 4 | Moderately confident = 5 | 6 = 6 | 7 = 7 | 8 = 8 | 9 = 9 | Extremely confident = 10</t>
        </is>
      </c>
      <c r="J94" s="27" t="inlineStr">
        <is>
          <t>Verbatim as reproduced in the PositivePsychology.com PDF, corroborated by academia.edu reproduction.</t>
        </is>
      </c>
      <c r="K94" s="27" t="inlineStr">
        <is>
          <t>https://positivepsychology.com/wp-content/uploads/The-Strengths-Self-efficacy-Scale.pdf</t>
        </is>
      </c>
    </row>
    <row r="95" ht="35.05" customHeight="1" s="17">
      <c r="A95" s="27" t="inlineStr">
        <is>
          <t>SSES</t>
        </is>
      </c>
      <c r="B95" s="27" t="inlineStr">
        <is>
          <t>Strengths Self-Efficacy Scale</t>
        </is>
      </c>
      <c r="C95" s="27" t="inlineStr">
        <is>
          <t>2. Strengths knowledge, use and support at work</t>
        </is>
      </c>
      <c r="D95" s="28" t="n">
        <v>9</v>
      </c>
      <c r="E95" s="27" t="inlineStr">
        <is>
          <t>Use your strengths at any time?</t>
        </is>
      </c>
      <c r="F95" s="27" t="inlineStr">
        <is>
          <t>Strengths Self-Efficacy (total scale)</t>
        </is>
      </c>
      <c r="G95" s="27" t="inlineStr">
        <is>
          <t>FALSE</t>
        </is>
      </c>
      <c r="H95" s="27" t="inlineStr">
        <is>
          <t>FALSE</t>
        </is>
      </c>
      <c r="I95" s="27" t="inlineStr">
        <is>
          <t>Not confident at all = 1 | 2 = 2 | 3 = 3 | 4 = 4 | Moderately confident = 5 | 6 = 6 | 7 = 7 | 8 = 8 | 9 = 9 | Extremely confident = 10</t>
        </is>
      </c>
      <c r="J95" s="27" t="inlineStr">
        <is>
          <t>Verbatim as reproduced in the PositivePsychology.com PDF, corroborated by academia.edu reproduction.</t>
        </is>
      </c>
      <c r="K95" s="27" t="inlineStr">
        <is>
          <t>https://positivepsychology.com/wp-content/uploads/The-Strengths-Self-efficacy-Scale.pdf</t>
        </is>
      </c>
    </row>
    <row r="96" ht="35.05" customHeight="1" s="17">
      <c r="A96" s="27" t="inlineStr">
        <is>
          <t>SSES</t>
        </is>
      </c>
      <c r="B96" s="27" t="inlineStr">
        <is>
          <t>Strengths Self-Efficacy Scale</t>
        </is>
      </c>
      <c r="C96" s="27" t="inlineStr">
        <is>
          <t>2. Strengths knowledge, use and support at work</t>
        </is>
      </c>
      <c r="D96" s="28" t="n">
        <v>10</v>
      </c>
      <c r="E96" s="27" t="inlineStr">
        <is>
          <t>Use your strengths to help you achieve your goals in life?</t>
        </is>
      </c>
      <c r="F96" s="27" t="inlineStr">
        <is>
          <t>Strengths Self-Efficacy (total scale)</t>
        </is>
      </c>
      <c r="G96" s="27" t="inlineStr">
        <is>
          <t>FALSE</t>
        </is>
      </c>
      <c r="H96" s="27" t="inlineStr">
        <is>
          <t>FALSE</t>
        </is>
      </c>
      <c r="I96" s="27" t="inlineStr">
        <is>
          <t>Not confident at all = 1 | 2 = 2 | 3 = 3 | 4 = 4 | Moderately confident = 5 | 6 = 6 | 7 = 7 | 8 = 8 | 9 = 9 | Extremely confident = 10</t>
        </is>
      </c>
      <c r="J96" s="27" t="inlineStr">
        <is>
          <t>Verbatim as reproduced in the PositivePsychology.com PDF, corroborated by academia.edu reproduction.</t>
        </is>
      </c>
      <c r="K96" s="27" t="inlineStr">
        <is>
          <t>https://positivepsychology.com/wp-content/uploads/The-Strengths-Self-efficacy-Scale.pdf</t>
        </is>
      </c>
    </row>
    <row r="97" ht="35.05" customHeight="1" s="17">
      <c r="A97" s="27" t="inlineStr">
        <is>
          <t>SSES</t>
        </is>
      </c>
      <c r="B97" s="27" t="inlineStr">
        <is>
          <t>Strengths Self-Efficacy Scale</t>
        </is>
      </c>
      <c r="C97" s="27" t="inlineStr">
        <is>
          <t>2. Strengths knowledge, use and support at work</t>
        </is>
      </c>
      <c r="D97" s="28" t="n">
        <v>11</v>
      </c>
      <c r="E97" s="27" t="inlineStr">
        <is>
          <t>Practice your strengths in areas where you excel?</t>
        </is>
      </c>
      <c r="F97" s="27" t="inlineStr">
        <is>
          <t>Strengths Self-Efficacy (total scale)</t>
        </is>
      </c>
      <c r="G97" s="27" t="inlineStr">
        <is>
          <t>FALSE</t>
        </is>
      </c>
      <c r="H97" s="27" t="inlineStr">
        <is>
          <t>FALSE</t>
        </is>
      </c>
      <c r="I97" s="27" t="inlineStr">
        <is>
          <t>Not confident at all = 1 | 2 = 2 | 3 = 3 | 4 = 4 | Moderately confident = 5 | 6 = 6 | 7 = 7 | 8 = 8 | 9 = 9 | Extremely confident = 10</t>
        </is>
      </c>
      <c r="J97" s="27" t="inlineStr">
        <is>
          <t>Verbatim as reproduced in the PositivePsychology.com PDF, corroborated by academia.edu reproduction.</t>
        </is>
      </c>
      <c r="K97" s="27" t="inlineStr">
        <is>
          <t>https://positivepsychology.com/wp-content/uploads/The-Strengths-Self-efficacy-Scale.pdf</t>
        </is>
      </c>
    </row>
    <row r="98" ht="23.85" customHeight="1" s="17">
      <c r="A98" s="27" t="inlineStr">
        <is>
          <t>CSES</t>
        </is>
      </c>
      <c r="B98" s="27" t="inlineStr">
        <is>
          <t>Core Self-Evaluations Scale</t>
        </is>
      </c>
      <c r="C98" s="27" t="inlineStr">
        <is>
          <t>3. Adjacent occupational and wellbeing</t>
        </is>
      </c>
      <c r="D98" s="28" t="n">
        <v>1</v>
      </c>
      <c r="E98" s="27" t="inlineStr">
        <is>
          <t>I am confident I get the success I deserve in life.</t>
        </is>
      </c>
      <c r="F98" s="27" t="inlineStr">
        <is>
          <t>Core Self-Evaluations (total scale, unidimensional)</t>
        </is>
      </c>
      <c r="G98" s="27" t="inlineStr">
        <is>
          <t>FALSE</t>
        </is>
      </c>
      <c r="H98" s="27" t="inlineStr">
        <is>
          <t>FALSE</t>
        </is>
      </c>
      <c r="I98" s="27" t="inlineStr">
        <is>
          <t>Strongly Disagree = 1 | Disagree = 2 | Neutral = 3 | Agree = 4 | Strongly Agree = 5</t>
        </is>
      </c>
      <c r="J98" s="27" t="n"/>
      <c r="K98" s="27" t="inlineStr">
        <is>
          <t>http://ionilies.com/SIOP03/Files/CSES.pdf</t>
        </is>
      </c>
    </row>
    <row r="99" ht="23.85" customHeight="1" s="17">
      <c r="A99" s="27" t="inlineStr">
        <is>
          <t>CSES</t>
        </is>
      </c>
      <c r="B99" s="27" t="inlineStr">
        <is>
          <t>Core Self-Evaluations Scale</t>
        </is>
      </c>
      <c r="C99" s="27" t="inlineStr">
        <is>
          <t>3. Adjacent occupational and wellbeing</t>
        </is>
      </c>
      <c r="D99" s="28" t="n">
        <v>2</v>
      </c>
      <c r="E99" s="27" t="inlineStr">
        <is>
          <t>Sometimes I feel depressed.</t>
        </is>
      </c>
      <c r="F99" s="27" t="inlineStr">
        <is>
          <t>Core Self-Evaluations (total scale, unidimensional)</t>
        </is>
      </c>
      <c r="G99" s="34" t="inlineStr">
        <is>
          <t>TRUE</t>
        </is>
      </c>
      <c r="H99" s="27" t="inlineStr">
        <is>
          <t>FALSE</t>
        </is>
      </c>
      <c r="I99" s="27" t="inlineStr">
        <is>
          <t>Strongly Disagree = 1 | Disagree = 2 | Neutral = 3 | Agree = 4 | Strongly Agree = 5</t>
        </is>
      </c>
      <c r="J99" s="27" t="inlineStr">
        <is>
          <t>Touches on depressed mood; use sensitively with clients where wellbeing is a live concern.</t>
        </is>
      </c>
      <c r="K99" s="27" t="inlineStr">
        <is>
          <t>http://ionilies.com/SIOP03/Files/CSES.pdf</t>
        </is>
      </c>
    </row>
    <row r="100" ht="23.85" customHeight="1" s="17">
      <c r="A100" s="27" t="inlineStr">
        <is>
          <t>CSES</t>
        </is>
      </c>
      <c r="B100" s="27" t="inlineStr">
        <is>
          <t>Core Self-Evaluations Scale</t>
        </is>
      </c>
      <c r="C100" s="27" t="inlineStr">
        <is>
          <t>3. Adjacent occupational and wellbeing</t>
        </is>
      </c>
      <c r="D100" s="28" t="n">
        <v>3</v>
      </c>
      <c r="E100" s="27" t="inlineStr">
        <is>
          <t>When I try, I generally succeed.</t>
        </is>
      </c>
      <c r="F100" s="27" t="inlineStr">
        <is>
          <t>Core Self-Evaluations (total scale, unidimensional)</t>
        </is>
      </c>
      <c r="G100" s="27" t="inlineStr">
        <is>
          <t>FALSE</t>
        </is>
      </c>
      <c r="H100" s="27" t="inlineStr">
        <is>
          <t>FALSE</t>
        </is>
      </c>
      <c r="I100" s="27" t="inlineStr">
        <is>
          <t>Strongly Disagree = 1 | Disagree = 2 | Neutral = 3 | Agree = 4 | Strongly Agree = 5</t>
        </is>
      </c>
      <c r="J100" s="27" t="n"/>
      <c r="K100" s="27" t="inlineStr">
        <is>
          <t>http://ionilies.com/SIOP03/Files/CSES.pdf</t>
        </is>
      </c>
    </row>
    <row r="101" ht="23.85" customHeight="1" s="17">
      <c r="A101" s="27" t="inlineStr">
        <is>
          <t>CSES</t>
        </is>
      </c>
      <c r="B101" s="27" t="inlineStr">
        <is>
          <t>Core Self-Evaluations Scale</t>
        </is>
      </c>
      <c r="C101" s="27" t="inlineStr">
        <is>
          <t>3. Adjacent occupational and wellbeing</t>
        </is>
      </c>
      <c r="D101" s="28" t="n">
        <v>4</v>
      </c>
      <c r="E101" s="27" t="inlineStr">
        <is>
          <t>Sometimes when I fail I feel worthless.</t>
        </is>
      </c>
      <c r="F101" s="27" t="inlineStr">
        <is>
          <t>Core Self-Evaluations (total scale, unidimensional)</t>
        </is>
      </c>
      <c r="G101" s="34" t="inlineStr">
        <is>
          <t>TRUE</t>
        </is>
      </c>
      <c r="H101" s="27" t="inlineStr">
        <is>
          <t>FALSE</t>
        </is>
      </c>
      <c r="I101" s="27" t="inlineStr">
        <is>
          <t>Strongly Disagree = 1 | Disagree = 2 | Neutral = 3 | Agree = 4 | Strongly Agree = 5</t>
        </is>
      </c>
      <c r="J101" s="27" t="n"/>
      <c r="K101" s="27" t="inlineStr">
        <is>
          <t>http://ionilies.com/SIOP03/Files/CSES.pdf</t>
        </is>
      </c>
    </row>
    <row r="102" ht="23.85" customHeight="1" s="17">
      <c r="A102" s="27" t="inlineStr">
        <is>
          <t>CSES</t>
        </is>
      </c>
      <c r="B102" s="27" t="inlineStr">
        <is>
          <t>Core Self-Evaluations Scale</t>
        </is>
      </c>
      <c r="C102" s="27" t="inlineStr">
        <is>
          <t>3. Adjacent occupational and wellbeing</t>
        </is>
      </c>
      <c r="D102" s="28" t="n">
        <v>5</v>
      </c>
      <c r="E102" s="27" t="inlineStr">
        <is>
          <t>I complete tasks successfully.</t>
        </is>
      </c>
      <c r="F102" s="27" t="inlineStr">
        <is>
          <t>Core Self-Evaluations (total scale, unidimensional)</t>
        </is>
      </c>
      <c r="G102" s="27" t="inlineStr">
        <is>
          <t>FALSE</t>
        </is>
      </c>
      <c r="H102" s="27" t="inlineStr">
        <is>
          <t>FALSE</t>
        </is>
      </c>
      <c r="I102" s="27" t="inlineStr">
        <is>
          <t>Strongly Disagree = 1 | Disagree = 2 | Neutral = 3 | Agree = 4 | Strongly Agree = 5</t>
        </is>
      </c>
      <c r="J102" s="27" t="n"/>
      <c r="K102" s="27" t="inlineStr">
        <is>
          <t>http://ionilies.com/SIOP03/Files/CSES.pdf</t>
        </is>
      </c>
    </row>
    <row r="103" ht="23.85" customHeight="1" s="17">
      <c r="A103" s="27" t="inlineStr">
        <is>
          <t>CSES</t>
        </is>
      </c>
      <c r="B103" s="27" t="inlineStr">
        <is>
          <t>Core Self-Evaluations Scale</t>
        </is>
      </c>
      <c r="C103" s="27" t="inlineStr">
        <is>
          <t>3. Adjacent occupational and wellbeing</t>
        </is>
      </c>
      <c r="D103" s="28" t="n">
        <v>6</v>
      </c>
      <c r="E103" s="27" t="inlineStr">
        <is>
          <t>Sometimes, I do not feel in control of my work.</t>
        </is>
      </c>
      <c r="F103" s="27" t="inlineStr">
        <is>
          <t>Core Self-Evaluations (total scale, unidimensional)</t>
        </is>
      </c>
      <c r="G103" s="34" t="inlineStr">
        <is>
          <t>TRUE</t>
        </is>
      </c>
      <c r="H103" s="27" t="inlineStr">
        <is>
          <t>FALSE</t>
        </is>
      </c>
      <c r="I103" s="27" t="inlineStr">
        <is>
          <t>Strongly Disagree = 1 | Disagree = 2 | Neutral = 3 | Agree = 4 | Strongly Agree = 5</t>
        </is>
      </c>
      <c r="J103" s="27" t="n"/>
      <c r="K103" s="27" t="inlineStr">
        <is>
          <t>http://ionilies.com/SIOP03/Files/CSES.pdf</t>
        </is>
      </c>
    </row>
    <row r="104" ht="23.85" customHeight="1" s="17">
      <c r="A104" s="27" t="inlineStr">
        <is>
          <t>CSES</t>
        </is>
      </c>
      <c r="B104" s="27" t="inlineStr">
        <is>
          <t>Core Self-Evaluations Scale</t>
        </is>
      </c>
      <c r="C104" s="27" t="inlineStr">
        <is>
          <t>3. Adjacent occupational and wellbeing</t>
        </is>
      </c>
      <c r="D104" s="28" t="n">
        <v>7</v>
      </c>
      <c r="E104" s="27" t="inlineStr">
        <is>
          <t>Overall, I am satisfied with myself.</t>
        </is>
      </c>
      <c r="F104" s="27" t="inlineStr">
        <is>
          <t>Core Self-Evaluations (total scale, unidimensional)</t>
        </is>
      </c>
      <c r="G104" s="27" t="inlineStr">
        <is>
          <t>FALSE</t>
        </is>
      </c>
      <c r="H104" s="27" t="inlineStr">
        <is>
          <t>FALSE</t>
        </is>
      </c>
      <c r="I104" s="27" t="inlineStr">
        <is>
          <t>Strongly Disagree = 1 | Disagree = 2 | Neutral = 3 | Agree = 4 | Strongly Agree = 5</t>
        </is>
      </c>
      <c r="J104" s="27" t="n"/>
      <c r="K104" s="27" t="inlineStr">
        <is>
          <t>http://ionilies.com/SIOP03/Files/CSES.pdf</t>
        </is>
      </c>
    </row>
    <row r="105" ht="23.85" customHeight="1" s="17">
      <c r="A105" s="27" t="inlineStr">
        <is>
          <t>CSES</t>
        </is>
      </c>
      <c r="B105" s="27" t="inlineStr">
        <is>
          <t>Core Self-Evaluations Scale</t>
        </is>
      </c>
      <c r="C105" s="27" t="inlineStr">
        <is>
          <t>3. Adjacent occupational and wellbeing</t>
        </is>
      </c>
      <c r="D105" s="28" t="n">
        <v>8</v>
      </c>
      <c r="E105" s="27" t="inlineStr">
        <is>
          <t>I am filled with doubts about my competence.</t>
        </is>
      </c>
      <c r="F105" s="27" t="inlineStr">
        <is>
          <t>Core Self-Evaluations (total scale, unidimensional)</t>
        </is>
      </c>
      <c r="G105" s="34" t="inlineStr">
        <is>
          <t>TRUE</t>
        </is>
      </c>
      <c r="H105" s="27" t="inlineStr">
        <is>
          <t>FALSE</t>
        </is>
      </c>
      <c r="I105" s="27" t="inlineStr">
        <is>
          <t>Strongly Disagree = 1 | Disagree = 2 | Neutral = 3 | Agree = 4 | Strongly Agree = 5</t>
        </is>
      </c>
      <c r="J105" s="27" t="n"/>
      <c r="K105" s="27" t="inlineStr">
        <is>
          <t>http://ionilies.com/SIOP03/Files/CSES.pdf</t>
        </is>
      </c>
    </row>
    <row r="106" ht="23.85" customHeight="1" s="17">
      <c r="A106" s="27" t="inlineStr">
        <is>
          <t>CSES</t>
        </is>
      </c>
      <c r="B106" s="27" t="inlineStr">
        <is>
          <t>Core Self-Evaluations Scale</t>
        </is>
      </c>
      <c r="C106" s="27" t="inlineStr">
        <is>
          <t>3. Adjacent occupational and wellbeing</t>
        </is>
      </c>
      <c r="D106" s="28" t="n">
        <v>9</v>
      </c>
      <c r="E106" s="27" t="inlineStr">
        <is>
          <t>I determine what will happen in my life.</t>
        </is>
      </c>
      <c r="F106" s="27" t="inlineStr">
        <is>
          <t>Core Self-Evaluations (total scale, unidimensional)</t>
        </is>
      </c>
      <c r="G106" s="27" t="inlineStr">
        <is>
          <t>FALSE</t>
        </is>
      </c>
      <c r="H106" s="27" t="inlineStr">
        <is>
          <t>FALSE</t>
        </is>
      </c>
      <c r="I106" s="27" t="inlineStr">
        <is>
          <t>Strongly Disagree = 1 | Disagree = 2 | Neutral = 3 | Agree = 4 | Strongly Agree = 5</t>
        </is>
      </c>
      <c r="J106" s="27" t="n"/>
      <c r="K106" s="27" t="inlineStr">
        <is>
          <t>http://ionilies.com/SIOP03/Files/CSES.pdf</t>
        </is>
      </c>
    </row>
    <row r="107" ht="23.85" customHeight="1" s="17">
      <c r="A107" s="27" t="inlineStr">
        <is>
          <t>CSES</t>
        </is>
      </c>
      <c r="B107" s="27" t="inlineStr">
        <is>
          <t>Core Self-Evaluations Scale</t>
        </is>
      </c>
      <c r="C107" s="27" t="inlineStr">
        <is>
          <t>3. Adjacent occupational and wellbeing</t>
        </is>
      </c>
      <c r="D107" s="28" t="n">
        <v>10</v>
      </c>
      <c r="E107" s="27" t="inlineStr">
        <is>
          <t>I do not feel in control of my success in my career.</t>
        </is>
      </c>
      <c r="F107" s="27" t="inlineStr">
        <is>
          <t>Core Self-Evaluations (total scale, unidimensional)</t>
        </is>
      </c>
      <c r="G107" s="34" t="inlineStr">
        <is>
          <t>TRUE</t>
        </is>
      </c>
      <c r="H107" s="27" t="inlineStr">
        <is>
          <t>FALSE</t>
        </is>
      </c>
      <c r="I107" s="27" t="inlineStr">
        <is>
          <t>Strongly Disagree = 1 | Disagree = 2 | Neutral = 3 | Agree = 4 | Strongly Agree = 5</t>
        </is>
      </c>
      <c r="J107" s="27" t="n"/>
      <c r="K107" s="27" t="inlineStr">
        <is>
          <t>http://ionilies.com/SIOP03/Files/CSES.pdf</t>
        </is>
      </c>
    </row>
    <row r="108" ht="23.85" customHeight="1" s="17">
      <c r="A108" s="27" t="inlineStr">
        <is>
          <t>CSES</t>
        </is>
      </c>
      <c r="B108" s="27" t="inlineStr">
        <is>
          <t>Core Self-Evaluations Scale</t>
        </is>
      </c>
      <c r="C108" s="27" t="inlineStr">
        <is>
          <t>3. Adjacent occupational and wellbeing</t>
        </is>
      </c>
      <c r="D108" s="28" t="n">
        <v>11</v>
      </c>
      <c r="E108" s="27" t="inlineStr">
        <is>
          <t>I am capable of coping with most of my problems.</t>
        </is>
      </c>
      <c r="F108" s="27" t="inlineStr">
        <is>
          <t>Core Self-Evaluations (total scale, unidimensional)</t>
        </is>
      </c>
      <c r="G108" s="27" t="inlineStr">
        <is>
          <t>FALSE</t>
        </is>
      </c>
      <c r="H108" s="27" t="inlineStr">
        <is>
          <t>FALSE</t>
        </is>
      </c>
      <c r="I108" s="27" t="inlineStr">
        <is>
          <t>Strongly Disagree = 1 | Disagree = 2 | Neutral = 3 | Agree = 4 | Strongly Agree = 5</t>
        </is>
      </c>
      <c r="J108" s="27" t="n"/>
      <c r="K108" s="27" t="inlineStr">
        <is>
          <t>http://ionilies.com/SIOP03/Files/CSES.pdf</t>
        </is>
      </c>
    </row>
    <row r="109" ht="23.85" customHeight="1" s="17">
      <c r="A109" s="27" t="inlineStr">
        <is>
          <t>CSES</t>
        </is>
      </c>
      <c r="B109" s="27" t="inlineStr">
        <is>
          <t>Core Self-Evaluations Scale</t>
        </is>
      </c>
      <c r="C109" s="27" t="inlineStr">
        <is>
          <t>3. Adjacent occupational and wellbeing</t>
        </is>
      </c>
      <c r="D109" s="28" t="n">
        <v>12</v>
      </c>
      <c r="E109" s="27" t="inlineStr">
        <is>
          <t>There are times when things look pretty bleak and hopeless to me.</t>
        </is>
      </c>
      <c r="F109" s="27" t="inlineStr">
        <is>
          <t>Core Self-Evaluations (total scale, unidimensional)</t>
        </is>
      </c>
      <c r="G109" s="34" t="inlineStr">
        <is>
          <t>TRUE</t>
        </is>
      </c>
      <c r="H109" s="27" t="inlineStr">
        <is>
          <t>FALSE</t>
        </is>
      </c>
      <c r="I109" s="27" t="inlineStr">
        <is>
          <t>Strongly Disagree = 1 | Disagree = 2 | Neutral = 3 | Agree = 4 | Strongly Agree = 5</t>
        </is>
      </c>
      <c r="J109" s="27" t="inlineStr">
        <is>
          <t>Touches on hopelessness; use sensitively with clients where wellbeing is a live concern.</t>
        </is>
      </c>
      <c r="K109" s="27" t="inlineStr">
        <is>
          <t>http://ionilies.com/SIOP03/Files/CSES.pdf</t>
        </is>
      </c>
    </row>
    <row r="110" ht="35.05" customHeight="1" s="17">
      <c r="A110" s="27" t="inlineStr">
        <is>
          <t>PES</t>
        </is>
      </c>
      <c r="B110" s="27" t="inlineStr">
        <is>
          <t>Psychological Empowerment Scale</t>
        </is>
      </c>
      <c r="C110" s="27" t="inlineStr">
        <is>
          <t>3. Adjacent occupational and wellbeing</t>
        </is>
      </c>
      <c r="D110" s="28" t="n">
        <v>1</v>
      </c>
      <c r="E110" s="27" t="inlineStr">
        <is>
          <t>The work that I do is important to me.</t>
        </is>
      </c>
      <c r="F110" s="27" t="inlineStr">
        <is>
          <t>Meaning</t>
        </is>
      </c>
      <c r="G110" s="27" t="inlineStr">
        <is>
          <t>FALSE</t>
        </is>
      </c>
      <c r="H110" s="27" t="inlineStr">
        <is>
          <t>FALSE</t>
        </is>
      </c>
      <c r="I110" s="27" t="inlineStr">
        <is>
          <t>Very Strongly Disagree = 1 | Strongly Disagree = 2 | Disagree = 3 | Neutral = 4 | Agree = 5 | Strongly Agree = 6 | Very Strongly Agree = 7</t>
        </is>
      </c>
      <c r="J110" s="27" t="n"/>
      <c r="K110" s="27" t="inlineStr">
        <is>
          <t>https://webuser.bus.umich.edu/spreitze/Pdfs/EmpowerInstrument.pdf</t>
        </is>
      </c>
    </row>
    <row r="111" ht="35.05" customHeight="1" s="17">
      <c r="A111" s="27" t="inlineStr">
        <is>
          <t>PES</t>
        </is>
      </c>
      <c r="B111" s="27" t="inlineStr">
        <is>
          <t>Psychological Empowerment Scale</t>
        </is>
      </c>
      <c r="C111" s="27" t="inlineStr">
        <is>
          <t>3. Adjacent occupational and wellbeing</t>
        </is>
      </c>
      <c r="D111" s="28" t="n">
        <v>2</v>
      </c>
      <c r="E111" s="27" t="inlineStr">
        <is>
          <t>My job activities are personally meaningful to me.</t>
        </is>
      </c>
      <c r="F111" s="27" t="inlineStr">
        <is>
          <t>Meaning</t>
        </is>
      </c>
      <c r="G111" s="27" t="inlineStr">
        <is>
          <t>FALSE</t>
        </is>
      </c>
      <c r="H111" s="27" t="inlineStr">
        <is>
          <t>FALSE</t>
        </is>
      </c>
      <c r="I111" s="27" t="inlineStr">
        <is>
          <t>Very Strongly Disagree = 1 | Strongly Disagree = 2 | Disagree = 3 | Neutral = 4 | Agree = 5 | Strongly Agree = 6 | Very Strongly Agree = 7</t>
        </is>
      </c>
      <c r="J111" s="27" t="n"/>
      <c r="K111" s="27" t="inlineStr">
        <is>
          <t>https://webuser.bus.umich.edu/spreitze/Pdfs/EmpowerInstrument.pdf</t>
        </is>
      </c>
    </row>
    <row r="112" ht="35.05" customHeight="1" s="17">
      <c r="A112" s="27" t="inlineStr">
        <is>
          <t>PES</t>
        </is>
      </c>
      <c r="B112" s="27" t="inlineStr">
        <is>
          <t>Psychological Empowerment Scale</t>
        </is>
      </c>
      <c r="C112" s="27" t="inlineStr">
        <is>
          <t>3. Adjacent occupational and wellbeing</t>
        </is>
      </c>
      <c r="D112" s="28" t="n">
        <v>3</v>
      </c>
      <c r="E112" s="27" t="inlineStr">
        <is>
          <t>The work I do is meaningful to me.</t>
        </is>
      </c>
      <c r="F112" s="27" t="inlineStr">
        <is>
          <t>Meaning</t>
        </is>
      </c>
      <c r="G112" s="27" t="inlineStr">
        <is>
          <t>FALSE</t>
        </is>
      </c>
      <c r="H112" s="27" t="inlineStr">
        <is>
          <t>FALSE</t>
        </is>
      </c>
      <c r="I112" s="27" t="inlineStr">
        <is>
          <t>Very Strongly Disagree = 1 | Strongly Disagree = 2 | Disagree = 3 | Neutral = 4 | Agree = 5 | Strongly Agree = 6 | Very Strongly Agree = 7</t>
        </is>
      </c>
      <c r="J112" s="27" t="n"/>
      <c r="K112" s="27" t="inlineStr">
        <is>
          <t>https://webuser.bus.umich.edu/spreitze/Pdfs/EmpowerInstrument.pdf</t>
        </is>
      </c>
    </row>
    <row r="113" ht="35.05" customHeight="1" s="17">
      <c r="A113" s="27" t="inlineStr">
        <is>
          <t>PES</t>
        </is>
      </c>
      <c r="B113" s="27" t="inlineStr">
        <is>
          <t>Psychological Empowerment Scale</t>
        </is>
      </c>
      <c r="C113" s="27" t="inlineStr">
        <is>
          <t>3. Adjacent occupational and wellbeing</t>
        </is>
      </c>
      <c r="D113" s="28" t="n">
        <v>4</v>
      </c>
      <c r="E113" s="27" t="inlineStr">
        <is>
          <t>I am confident about my ability to do my job.</t>
        </is>
      </c>
      <c r="F113" s="27" t="inlineStr">
        <is>
          <t>Competence</t>
        </is>
      </c>
      <c r="G113" s="27" t="inlineStr">
        <is>
          <t>FALSE</t>
        </is>
      </c>
      <c r="H113" s="27" t="inlineStr">
        <is>
          <t>FALSE</t>
        </is>
      </c>
      <c r="I113" s="27" t="inlineStr">
        <is>
          <t>Very Strongly Disagree = 1 | Strongly Disagree = 2 | Disagree = 3 | Neutral = 4 | Agree = 5 | Strongly Agree = 6 | Very Strongly Agree = 7</t>
        </is>
      </c>
      <c r="J113" s="27" t="n"/>
      <c r="K113" s="27" t="inlineStr">
        <is>
          <t>https://webuser.bus.umich.edu/spreitze/Pdfs/EmpowerInstrument.pdf</t>
        </is>
      </c>
    </row>
    <row r="114" ht="35.05" customHeight="1" s="17">
      <c r="A114" s="27" t="inlineStr">
        <is>
          <t>PES</t>
        </is>
      </c>
      <c r="B114" s="27" t="inlineStr">
        <is>
          <t>Psychological Empowerment Scale</t>
        </is>
      </c>
      <c r="C114" s="27" t="inlineStr">
        <is>
          <t>3. Adjacent occupational and wellbeing</t>
        </is>
      </c>
      <c r="D114" s="28" t="n">
        <v>5</v>
      </c>
      <c r="E114" s="27" t="inlineStr">
        <is>
          <t>I have mastered the skills necessary for my job.</t>
        </is>
      </c>
      <c r="F114" s="27" t="inlineStr">
        <is>
          <t>Competence</t>
        </is>
      </c>
      <c r="G114" s="27" t="inlineStr">
        <is>
          <t>FALSE</t>
        </is>
      </c>
      <c r="H114" s="27" t="inlineStr">
        <is>
          <t>FALSE</t>
        </is>
      </c>
      <c r="I114" s="27" t="inlineStr">
        <is>
          <t>Very Strongly Disagree = 1 | Strongly Disagree = 2 | Disagree = 3 | Neutral = 4 | Agree = 5 | Strongly Agree = 6 | Very Strongly Agree = 7</t>
        </is>
      </c>
      <c r="J114" s="27" t="n"/>
      <c r="K114" s="27" t="inlineStr">
        <is>
          <t>https://webuser.bus.umich.edu/spreitze/Pdfs/EmpowerInstrument.pdf</t>
        </is>
      </c>
    </row>
    <row r="115" ht="35.05" customHeight="1" s="17">
      <c r="A115" s="27" t="inlineStr">
        <is>
          <t>PES</t>
        </is>
      </c>
      <c r="B115" s="27" t="inlineStr">
        <is>
          <t>Psychological Empowerment Scale</t>
        </is>
      </c>
      <c r="C115" s="27" t="inlineStr">
        <is>
          <t>3. Adjacent occupational and wellbeing</t>
        </is>
      </c>
      <c r="D115" s="28" t="n">
        <v>6</v>
      </c>
      <c r="E115" s="27" t="inlineStr">
        <is>
          <t>I am self-assured about my capabilities to perform my work activities.</t>
        </is>
      </c>
      <c r="F115" s="27" t="inlineStr">
        <is>
          <t>Competence</t>
        </is>
      </c>
      <c r="G115" s="27" t="inlineStr">
        <is>
          <t>FALSE</t>
        </is>
      </c>
      <c r="H115" s="27" t="inlineStr">
        <is>
          <t>FALSE</t>
        </is>
      </c>
      <c r="I115" s="27" t="inlineStr">
        <is>
          <t>Very Strongly Disagree = 1 | Strongly Disagree = 2 | Disagree = 3 | Neutral = 4 | Agree = 5 | Strongly Agree = 6 | Very Strongly Agree = 7</t>
        </is>
      </c>
      <c r="J115" s="27" t="n"/>
      <c r="K115" s="27" t="inlineStr">
        <is>
          <t>https://webuser.bus.umich.edu/spreitze/Pdfs/EmpowerInstrument.pdf</t>
        </is>
      </c>
    </row>
    <row r="116" ht="35.05" customHeight="1" s="17">
      <c r="A116" s="27" t="inlineStr">
        <is>
          <t>PES</t>
        </is>
      </c>
      <c r="B116" s="27" t="inlineStr">
        <is>
          <t>Psychological Empowerment Scale</t>
        </is>
      </c>
      <c r="C116" s="27" t="inlineStr">
        <is>
          <t>3. Adjacent occupational and wellbeing</t>
        </is>
      </c>
      <c r="D116" s="28" t="n">
        <v>7</v>
      </c>
      <c r="E116" s="27" t="inlineStr">
        <is>
          <t>I have significant autonomy in determining how I do my job.</t>
        </is>
      </c>
      <c r="F116" s="27" t="inlineStr">
        <is>
          <t>Self-Determination</t>
        </is>
      </c>
      <c r="G116" s="27" t="inlineStr">
        <is>
          <t>FALSE</t>
        </is>
      </c>
      <c r="H116" s="27" t="inlineStr">
        <is>
          <t>FALSE</t>
        </is>
      </c>
      <c r="I116" s="27" t="inlineStr">
        <is>
          <t>Very Strongly Disagree = 1 | Strongly Disagree = 2 | Disagree = 3 | Neutral = 4 | Agree = 5 | Strongly Agree = 6 | Very Strongly Agree = 7</t>
        </is>
      </c>
      <c r="J116" s="27" t="n"/>
      <c r="K116" s="27" t="inlineStr">
        <is>
          <t>https://webuser.bus.umich.edu/spreitze/Pdfs/EmpowerInstrument.pdf</t>
        </is>
      </c>
    </row>
    <row r="117" ht="35.05" customHeight="1" s="17">
      <c r="A117" s="27" t="inlineStr">
        <is>
          <t>PES</t>
        </is>
      </c>
      <c r="B117" s="27" t="inlineStr">
        <is>
          <t>Psychological Empowerment Scale</t>
        </is>
      </c>
      <c r="C117" s="27" t="inlineStr">
        <is>
          <t>3. Adjacent occupational and wellbeing</t>
        </is>
      </c>
      <c r="D117" s="28" t="n">
        <v>8</v>
      </c>
      <c r="E117" s="27" t="inlineStr">
        <is>
          <t>I can decide on my own how to go about doing my own work.</t>
        </is>
      </c>
      <c r="F117" s="27" t="inlineStr">
        <is>
          <t>Self-Determination</t>
        </is>
      </c>
      <c r="G117" s="27" t="inlineStr">
        <is>
          <t>FALSE</t>
        </is>
      </c>
      <c r="H117" s="27" t="inlineStr">
        <is>
          <t>FALSE</t>
        </is>
      </c>
      <c r="I117" s="27" t="inlineStr">
        <is>
          <t>Very Strongly Disagree = 1 | Strongly Disagree = 2 | Disagree = 3 | Neutral = 4 | Agree = 5 | Strongly Agree = 6 | Very Strongly Agree = 7</t>
        </is>
      </c>
      <c r="J117" s="27" t="n"/>
      <c r="K117" s="27" t="inlineStr">
        <is>
          <t>https://webuser.bus.umich.edu/spreitze/Pdfs/EmpowerInstrument.pdf</t>
        </is>
      </c>
    </row>
    <row r="118" ht="35.05" customHeight="1" s="17">
      <c r="A118" s="27" t="inlineStr">
        <is>
          <t>PES</t>
        </is>
      </c>
      <c r="B118" s="27" t="inlineStr">
        <is>
          <t>Psychological Empowerment Scale</t>
        </is>
      </c>
      <c r="C118" s="27" t="inlineStr">
        <is>
          <t>3. Adjacent occupational and wellbeing</t>
        </is>
      </c>
      <c r="D118" s="28" t="n">
        <v>9</v>
      </c>
      <c r="E118" s="27" t="inlineStr">
        <is>
          <t>I have considerable opportunity for independence and freedom in how I do my job.</t>
        </is>
      </c>
      <c r="F118" s="27" t="inlineStr">
        <is>
          <t>Self-Determination</t>
        </is>
      </c>
      <c r="G118" s="27" t="inlineStr">
        <is>
          <t>FALSE</t>
        </is>
      </c>
      <c r="H118" s="27" t="inlineStr">
        <is>
          <t>FALSE</t>
        </is>
      </c>
      <c r="I118" s="27" t="inlineStr">
        <is>
          <t>Very Strongly Disagree = 1 | Strongly Disagree = 2 | Disagree = 3 | Neutral = 4 | Agree = 5 | Strongly Agree = 6 | Very Strongly Agree = 7</t>
        </is>
      </c>
      <c r="J118" s="27" t="n"/>
      <c r="K118" s="27" t="inlineStr">
        <is>
          <t>https://webuser.bus.umich.edu/spreitze/Pdfs/EmpowerInstrument.pdf</t>
        </is>
      </c>
    </row>
    <row r="119" ht="35.05" customHeight="1" s="17">
      <c r="A119" s="27" t="inlineStr">
        <is>
          <t>PES</t>
        </is>
      </c>
      <c r="B119" s="27" t="inlineStr">
        <is>
          <t>Psychological Empowerment Scale</t>
        </is>
      </c>
      <c r="C119" s="27" t="inlineStr">
        <is>
          <t>3. Adjacent occupational and wellbeing</t>
        </is>
      </c>
      <c r="D119" s="28" t="n">
        <v>10</v>
      </c>
      <c r="E119" s="27" t="inlineStr">
        <is>
          <t>My impact on what happens in my department is large.</t>
        </is>
      </c>
      <c r="F119" s="27" t="inlineStr">
        <is>
          <t>Impact</t>
        </is>
      </c>
      <c r="G119" s="27" t="inlineStr">
        <is>
          <t>FALSE</t>
        </is>
      </c>
      <c r="H119" s="27" t="inlineStr">
        <is>
          <t>FALSE</t>
        </is>
      </c>
      <c r="I119" s="27" t="inlineStr">
        <is>
          <t>Very Strongly Disagree = 1 | Strongly Disagree = 2 | Disagree = 3 | Neutral = 4 | Agree = 5 | Strongly Agree = 6 | Very Strongly Agree = 7</t>
        </is>
      </c>
      <c r="J119" s="27" t="n"/>
      <c r="K119" s="27" t="inlineStr">
        <is>
          <t>https://webuser.bus.umich.edu/spreitze/Pdfs/EmpowerInstrument.pdf</t>
        </is>
      </c>
    </row>
    <row r="120" ht="35.05" customHeight="1" s="17">
      <c r="A120" s="27" t="inlineStr">
        <is>
          <t>PES</t>
        </is>
      </c>
      <c r="B120" s="27" t="inlineStr">
        <is>
          <t>Psychological Empowerment Scale</t>
        </is>
      </c>
      <c r="C120" s="27" t="inlineStr">
        <is>
          <t>3. Adjacent occupational and wellbeing</t>
        </is>
      </c>
      <c r="D120" s="28" t="n">
        <v>11</v>
      </c>
      <c r="E120" s="27" t="inlineStr">
        <is>
          <t>I have a great deal of control over what happens in my department.</t>
        </is>
      </c>
      <c r="F120" s="27" t="inlineStr">
        <is>
          <t>Impact</t>
        </is>
      </c>
      <c r="G120" s="27" t="inlineStr">
        <is>
          <t>FALSE</t>
        </is>
      </c>
      <c r="H120" s="27" t="inlineStr">
        <is>
          <t>FALSE</t>
        </is>
      </c>
      <c r="I120" s="27" t="inlineStr">
        <is>
          <t>Very Strongly Disagree = 1 | Strongly Disagree = 2 | Disagree = 3 | Neutral = 4 | Agree = 5 | Strongly Agree = 6 | Very Strongly Agree = 7</t>
        </is>
      </c>
      <c r="J120" s="27" t="n"/>
      <c r="K120" s="27" t="inlineStr">
        <is>
          <t>https://webuser.bus.umich.edu/spreitze/Pdfs/EmpowerInstrument.pdf</t>
        </is>
      </c>
    </row>
    <row r="121" ht="35.05" customHeight="1" s="17">
      <c r="A121" s="27" t="inlineStr">
        <is>
          <t>PES</t>
        </is>
      </c>
      <c r="B121" s="27" t="inlineStr">
        <is>
          <t>Psychological Empowerment Scale</t>
        </is>
      </c>
      <c r="C121" s="27" t="inlineStr">
        <is>
          <t>3. Adjacent occupational and wellbeing</t>
        </is>
      </c>
      <c r="D121" s="28" t="n">
        <v>12</v>
      </c>
      <c r="E121" s="27" t="inlineStr">
        <is>
          <t>I have significant influence over what happens in my department.</t>
        </is>
      </c>
      <c r="F121" s="27" t="inlineStr">
        <is>
          <t>Impact</t>
        </is>
      </c>
      <c r="G121" s="27" t="inlineStr">
        <is>
          <t>FALSE</t>
        </is>
      </c>
      <c r="H121" s="27" t="inlineStr">
        <is>
          <t>FALSE</t>
        </is>
      </c>
      <c r="I121" s="27" t="inlineStr">
        <is>
          <t>Very Strongly Disagree = 1 | Strongly Disagree = 2 | Disagree = 3 | Neutral = 4 | Agree = 5 | Strongly Agree = 6 | Very Strongly Agree = 7</t>
        </is>
      </c>
      <c r="J121" s="27" t="n"/>
      <c r="K121" s="27" t="inlineStr">
        <is>
          <t>https://webuser.bus.umich.edu/spreitze/Pdfs/EmpowerInstrument.pdf</t>
        </is>
      </c>
    </row>
    <row r="122" ht="46.25" customHeight="1" s="17">
      <c r="A122" s="27" t="inlineStr">
        <is>
          <t>DASS-21</t>
        </is>
      </c>
      <c r="B122" s="27" t="inlineStr">
        <is>
          <t>Depression Anxiety Stress Scales, 21 item version (DASS-21)</t>
        </is>
      </c>
      <c r="C122" s="27" t="inlineStr">
        <is>
          <t>4. Psychological distress screening</t>
        </is>
      </c>
      <c r="D122" s="28" t="n">
        <v>1</v>
      </c>
      <c r="E122" s="27" t="inlineStr">
        <is>
          <t>I found it hard to wind down</t>
        </is>
      </c>
      <c r="F122" s="27" t="inlineStr">
        <is>
          <t>Stress</t>
        </is>
      </c>
      <c r="G122" s="27" t="inlineStr">
        <is>
          <t>FALSE</t>
        </is>
      </c>
      <c r="H122" s="27" t="inlineStr">
        <is>
          <t>FALSE</t>
        </is>
      </c>
      <c r="I122" s="27" t="inlineStr">
        <is>
          <t>Did not apply to me at all = 0 | Applied to me to some degree, or some of the time = 1 | Applied to me to a considerable degree, or a good part of time = 2 | Applied to me very much, or most of the time = 3</t>
        </is>
      </c>
      <c r="J122" s="27" t="n"/>
      <c r="K122" s="27" t="inlineStr">
        <is>
          <t>https://www2.psy.unsw.edu.au/dass/</t>
        </is>
      </c>
    </row>
    <row r="123" ht="46.25" customHeight="1" s="17">
      <c r="A123" s="27" t="inlineStr">
        <is>
          <t>DASS-21</t>
        </is>
      </c>
      <c r="B123" s="27" t="inlineStr">
        <is>
          <t>Depression Anxiety Stress Scales, 21 item version (DASS-21)</t>
        </is>
      </c>
      <c r="C123" s="27" t="inlineStr">
        <is>
          <t>4. Psychological distress screening</t>
        </is>
      </c>
      <c r="D123" s="28" t="n">
        <v>2</v>
      </c>
      <c r="E123" s="27" t="inlineStr">
        <is>
          <t>I was aware of dryness of my mouth</t>
        </is>
      </c>
      <c r="F123" s="27" t="inlineStr">
        <is>
          <t>Anxiety</t>
        </is>
      </c>
      <c r="G123" s="27" t="inlineStr">
        <is>
          <t>FALSE</t>
        </is>
      </c>
      <c r="H123" s="27" t="inlineStr">
        <is>
          <t>FALSE</t>
        </is>
      </c>
      <c r="I123" s="27" t="inlineStr">
        <is>
          <t>Did not apply to me at all = 0 | Applied to me to some degree, or some of the time = 1 | Applied to me to a considerable degree, or a good part of time = 2 | Applied to me very much, or most of the time = 3</t>
        </is>
      </c>
      <c r="J123" s="27" t="n"/>
      <c r="K123" s="27" t="inlineStr">
        <is>
          <t>https://www2.psy.unsw.edu.au/dass/</t>
        </is>
      </c>
    </row>
    <row r="124" ht="46.25" customHeight="1" s="17">
      <c r="A124" s="27" t="inlineStr">
        <is>
          <t>DASS-21</t>
        </is>
      </c>
      <c r="B124" s="27" t="inlineStr">
        <is>
          <t>Depression Anxiety Stress Scales, 21 item version (DASS-21)</t>
        </is>
      </c>
      <c r="C124" s="27" t="inlineStr">
        <is>
          <t>4. Psychological distress screening</t>
        </is>
      </c>
      <c r="D124" s="28" t="n">
        <v>3</v>
      </c>
      <c r="E124" s="27" t="inlineStr">
        <is>
          <t>I couldn't seem to experience any positive feeling at all</t>
        </is>
      </c>
      <c r="F124" s="27" t="inlineStr">
        <is>
          <t>Depression</t>
        </is>
      </c>
      <c r="G124" s="27" t="inlineStr">
        <is>
          <t>FALSE</t>
        </is>
      </c>
      <c r="H124" s="27" t="inlineStr">
        <is>
          <t>FALSE</t>
        </is>
      </c>
      <c r="I124" s="27" t="inlineStr">
        <is>
          <t>Did not apply to me at all = 0 | Applied to me to some degree, or some of the time = 1 | Applied to me to a considerable degree, or a good part of time = 2 | Applied to me very much, or most of the time = 3</t>
        </is>
      </c>
      <c r="J124" s="27" t="n"/>
      <c r="K124" s="27" t="inlineStr">
        <is>
          <t>https://www2.psy.unsw.edu.au/dass/</t>
        </is>
      </c>
    </row>
    <row r="125" ht="46.25" customHeight="1" s="17">
      <c r="A125" s="27" t="inlineStr">
        <is>
          <t>DASS-21</t>
        </is>
      </c>
      <c r="B125" s="27" t="inlineStr">
        <is>
          <t>Depression Anxiety Stress Scales, 21 item version (DASS-21)</t>
        </is>
      </c>
      <c r="C125" s="27" t="inlineStr">
        <is>
          <t>4. Psychological distress screening</t>
        </is>
      </c>
      <c r="D125" s="28" t="n">
        <v>4</v>
      </c>
      <c r="E125" s="27" t="inlineStr">
        <is>
          <t>I experienced breathing difficulty (eg, excessively rapid breathing, breathlessness in the absence of physical exertion)</t>
        </is>
      </c>
      <c r="F125" s="27" t="inlineStr">
        <is>
          <t>Anxiety</t>
        </is>
      </c>
      <c r="G125" s="27" t="inlineStr">
        <is>
          <t>FALSE</t>
        </is>
      </c>
      <c r="H125" s="27" t="inlineStr">
        <is>
          <t>FALSE</t>
        </is>
      </c>
      <c r="I125" s="27" t="inlineStr">
        <is>
          <t>Did not apply to me at all = 0 | Applied to me to some degree, or some of the time = 1 | Applied to me to a considerable degree, or a good part of time = 2 | Applied to me very much, or most of the time = 3</t>
        </is>
      </c>
      <c r="J125" s="27" t="n"/>
      <c r="K125" s="27" t="inlineStr">
        <is>
          <t>https://www2.psy.unsw.edu.au/dass/</t>
        </is>
      </c>
    </row>
    <row r="126" ht="46.25" customHeight="1" s="17">
      <c r="A126" s="27" t="inlineStr">
        <is>
          <t>DASS-21</t>
        </is>
      </c>
      <c r="B126" s="27" t="inlineStr">
        <is>
          <t>Depression Anxiety Stress Scales, 21 item version (DASS-21)</t>
        </is>
      </c>
      <c r="C126" s="27" t="inlineStr">
        <is>
          <t>4. Psychological distress screening</t>
        </is>
      </c>
      <c r="D126" s="28" t="n">
        <v>5</v>
      </c>
      <c r="E126" s="27" t="inlineStr">
        <is>
          <t>I found it difficult to work up the initiative to do things</t>
        </is>
      </c>
      <c r="F126" s="27" t="inlineStr">
        <is>
          <t>Depression</t>
        </is>
      </c>
      <c r="G126" s="27" t="inlineStr">
        <is>
          <t>FALSE</t>
        </is>
      </c>
      <c r="H126" s="27" t="inlineStr">
        <is>
          <t>FALSE</t>
        </is>
      </c>
      <c r="I126" s="27" t="inlineStr">
        <is>
          <t>Did not apply to me at all = 0 | Applied to me to some degree, or some of the time = 1 | Applied to me to a considerable degree, or a good part of time = 2 | Applied to me very much, or most of the time = 3</t>
        </is>
      </c>
      <c r="J126" s="27" t="n"/>
      <c r="K126" s="27" t="inlineStr">
        <is>
          <t>https://www2.psy.unsw.edu.au/dass/</t>
        </is>
      </c>
    </row>
    <row r="127" ht="46.25" customHeight="1" s="17">
      <c r="A127" s="27" t="inlineStr">
        <is>
          <t>DASS-21</t>
        </is>
      </c>
      <c r="B127" s="27" t="inlineStr">
        <is>
          <t>Depression Anxiety Stress Scales, 21 item version (DASS-21)</t>
        </is>
      </c>
      <c r="C127" s="27" t="inlineStr">
        <is>
          <t>4. Psychological distress screening</t>
        </is>
      </c>
      <c r="D127" s="28" t="n">
        <v>6</v>
      </c>
      <c r="E127" s="27" t="inlineStr">
        <is>
          <t>I tended to over-react to situations</t>
        </is>
      </c>
      <c r="F127" s="27" t="inlineStr">
        <is>
          <t>Stress</t>
        </is>
      </c>
      <c r="G127" s="27" t="inlineStr">
        <is>
          <t>FALSE</t>
        </is>
      </c>
      <c r="H127" s="27" t="inlineStr">
        <is>
          <t>FALSE</t>
        </is>
      </c>
      <c r="I127" s="27" t="inlineStr">
        <is>
          <t>Did not apply to me at all = 0 | Applied to me to some degree, or some of the time = 1 | Applied to me to a considerable degree, or a good part of time = 2 | Applied to me very much, or most of the time = 3</t>
        </is>
      </c>
      <c r="J127" s="27" t="n"/>
      <c r="K127" s="27" t="inlineStr">
        <is>
          <t>https://www2.psy.unsw.edu.au/dass/</t>
        </is>
      </c>
    </row>
    <row r="128" ht="46.25" customHeight="1" s="17">
      <c r="A128" s="27" t="inlineStr">
        <is>
          <t>DASS-21</t>
        </is>
      </c>
      <c r="B128" s="27" t="inlineStr">
        <is>
          <t>Depression Anxiety Stress Scales, 21 item version (DASS-21)</t>
        </is>
      </c>
      <c r="C128" s="27" t="inlineStr">
        <is>
          <t>4. Psychological distress screening</t>
        </is>
      </c>
      <c r="D128" s="28" t="n">
        <v>7</v>
      </c>
      <c r="E128" s="27" t="inlineStr">
        <is>
          <t>I experienced trembling (eg, in the hands)</t>
        </is>
      </c>
      <c r="F128" s="27" t="inlineStr">
        <is>
          <t>Anxiety</t>
        </is>
      </c>
      <c r="G128" s="27" t="inlineStr">
        <is>
          <t>FALSE</t>
        </is>
      </c>
      <c r="H128" s="27" t="inlineStr">
        <is>
          <t>FALSE</t>
        </is>
      </c>
      <c r="I128" s="27" t="inlineStr">
        <is>
          <t>Did not apply to me at all = 0 | Applied to me to some degree, or some of the time = 1 | Applied to me to a considerable degree, or a good part of time = 2 | Applied to me very much, or most of the time = 3</t>
        </is>
      </c>
      <c r="J128" s="27" t="n"/>
      <c r="K128" s="27" t="inlineStr">
        <is>
          <t>https://www2.psy.unsw.edu.au/dass/</t>
        </is>
      </c>
    </row>
    <row r="129" ht="46.25" customHeight="1" s="17">
      <c r="A129" s="27" t="inlineStr">
        <is>
          <t>DASS-21</t>
        </is>
      </c>
      <c r="B129" s="27" t="inlineStr">
        <is>
          <t>Depression Anxiety Stress Scales, 21 item version (DASS-21)</t>
        </is>
      </c>
      <c r="C129" s="27" t="inlineStr">
        <is>
          <t>4. Psychological distress screening</t>
        </is>
      </c>
      <c r="D129" s="28" t="n">
        <v>8</v>
      </c>
      <c r="E129" s="27" t="inlineStr">
        <is>
          <t>I felt that I was using a lot of nervous energy</t>
        </is>
      </c>
      <c r="F129" s="27" t="inlineStr">
        <is>
          <t>Stress</t>
        </is>
      </c>
      <c r="G129" s="27" t="inlineStr">
        <is>
          <t>FALSE</t>
        </is>
      </c>
      <c r="H129" s="27" t="inlineStr">
        <is>
          <t>FALSE</t>
        </is>
      </c>
      <c r="I129" s="27" t="inlineStr">
        <is>
          <t>Did not apply to me at all = 0 | Applied to me to some degree, or some of the time = 1 | Applied to me to a considerable degree, or a good part of time = 2 | Applied to me very much, or most of the time = 3</t>
        </is>
      </c>
      <c r="J129" s="27" t="n"/>
      <c r="K129" s="27" t="inlineStr">
        <is>
          <t>https://www2.psy.unsw.edu.au/dass/</t>
        </is>
      </c>
    </row>
    <row r="130" ht="46.25" customHeight="1" s="17">
      <c r="A130" s="27" t="inlineStr">
        <is>
          <t>DASS-21</t>
        </is>
      </c>
      <c r="B130" s="27" t="inlineStr">
        <is>
          <t>Depression Anxiety Stress Scales, 21 item version (DASS-21)</t>
        </is>
      </c>
      <c r="C130" s="27" t="inlineStr">
        <is>
          <t>4. Psychological distress screening</t>
        </is>
      </c>
      <c r="D130" s="28" t="n">
        <v>9</v>
      </c>
      <c r="E130" s="27" t="inlineStr">
        <is>
          <t>I was worried about situations in which I might panic and make a fool of myself</t>
        </is>
      </c>
      <c r="F130" s="27" t="inlineStr">
        <is>
          <t>Anxiety</t>
        </is>
      </c>
      <c r="G130" s="27" t="inlineStr">
        <is>
          <t>FALSE</t>
        </is>
      </c>
      <c r="H130" s="27" t="inlineStr">
        <is>
          <t>FALSE</t>
        </is>
      </c>
      <c r="I130" s="27" t="inlineStr">
        <is>
          <t>Did not apply to me at all = 0 | Applied to me to some degree, or some of the time = 1 | Applied to me to a considerable degree, or a good part of time = 2 | Applied to me very much, or most of the time = 3</t>
        </is>
      </c>
      <c r="J130" s="27" t="n"/>
      <c r="K130" s="27" t="inlineStr">
        <is>
          <t>https://www2.psy.unsw.edu.au/dass/</t>
        </is>
      </c>
    </row>
    <row r="131" ht="46.25" customHeight="1" s="17">
      <c r="A131" s="27" t="inlineStr">
        <is>
          <t>DASS-21</t>
        </is>
      </c>
      <c r="B131" s="27" t="inlineStr">
        <is>
          <t>Depression Anxiety Stress Scales, 21 item version (DASS-21)</t>
        </is>
      </c>
      <c r="C131" s="27" t="inlineStr">
        <is>
          <t>4. Psychological distress screening</t>
        </is>
      </c>
      <c r="D131" s="28" t="n">
        <v>10</v>
      </c>
      <c r="E131" s="27" t="inlineStr">
        <is>
          <t>I felt that I had nothing to look forward to</t>
        </is>
      </c>
      <c r="F131" s="27" t="inlineStr">
        <is>
          <t>Depression</t>
        </is>
      </c>
      <c r="G131" s="27" t="inlineStr">
        <is>
          <t>FALSE</t>
        </is>
      </c>
      <c r="H131" s="27" t="inlineStr">
        <is>
          <t>FALSE</t>
        </is>
      </c>
      <c r="I131" s="27" t="inlineStr">
        <is>
          <t>Did not apply to me at all = 0 | Applied to me to some degree, or some of the time = 1 | Applied to me to a considerable degree, or a good part of time = 2 | Applied to me very much, or most of the time = 3</t>
        </is>
      </c>
      <c r="J131" s="27" t="inlineStr">
        <is>
          <t>Followed up directly when endorsed at 2 or 3 (practice protocol).</t>
        </is>
      </c>
      <c r="K131" s="27" t="inlineStr">
        <is>
          <t>https://www2.psy.unsw.edu.au/dass/</t>
        </is>
      </c>
    </row>
    <row r="132" ht="46.25" customHeight="1" s="17">
      <c r="A132" s="27" t="inlineStr">
        <is>
          <t>DASS-21</t>
        </is>
      </c>
      <c r="B132" s="27" t="inlineStr">
        <is>
          <t>Depression Anxiety Stress Scales, 21 item version (DASS-21)</t>
        </is>
      </c>
      <c r="C132" s="27" t="inlineStr">
        <is>
          <t>4. Psychological distress screening</t>
        </is>
      </c>
      <c r="D132" s="28" t="n">
        <v>11</v>
      </c>
      <c r="E132" s="27" t="inlineStr">
        <is>
          <t>I found myself getting agitated</t>
        </is>
      </c>
      <c r="F132" s="27" t="inlineStr">
        <is>
          <t>Stress</t>
        </is>
      </c>
      <c r="G132" s="27" t="inlineStr">
        <is>
          <t>FALSE</t>
        </is>
      </c>
      <c r="H132" s="27" t="inlineStr">
        <is>
          <t>FALSE</t>
        </is>
      </c>
      <c r="I132" s="27" t="inlineStr">
        <is>
          <t>Did not apply to me at all = 0 | Applied to me to some degree, or some of the time = 1 | Applied to me to a considerable degree, or a good part of time = 2 | Applied to me very much, or most of the time = 3</t>
        </is>
      </c>
      <c r="J132" s="27" t="n"/>
      <c r="K132" s="27" t="inlineStr">
        <is>
          <t>https://www2.psy.unsw.edu.au/dass/</t>
        </is>
      </c>
    </row>
    <row r="133" ht="46.25" customHeight="1" s="17">
      <c r="A133" s="27" t="inlineStr">
        <is>
          <t>DASS-21</t>
        </is>
      </c>
      <c r="B133" s="27" t="inlineStr">
        <is>
          <t>Depression Anxiety Stress Scales, 21 item version (DASS-21)</t>
        </is>
      </c>
      <c r="C133" s="27" t="inlineStr">
        <is>
          <t>4. Psychological distress screening</t>
        </is>
      </c>
      <c r="D133" s="28" t="n">
        <v>12</v>
      </c>
      <c r="E133" s="27" t="inlineStr">
        <is>
          <t>I found it difficult to relax</t>
        </is>
      </c>
      <c r="F133" s="27" t="inlineStr">
        <is>
          <t>Stress</t>
        </is>
      </c>
      <c r="G133" s="27" t="inlineStr">
        <is>
          <t>FALSE</t>
        </is>
      </c>
      <c r="H133" s="27" t="inlineStr">
        <is>
          <t>FALSE</t>
        </is>
      </c>
      <c r="I133" s="27" t="inlineStr">
        <is>
          <t>Did not apply to me at all = 0 | Applied to me to some degree, or some of the time = 1 | Applied to me to a considerable degree, or a good part of time = 2 | Applied to me very much, or most of the time = 3</t>
        </is>
      </c>
      <c r="J133" s="27" t="n"/>
      <c r="K133" s="27" t="inlineStr">
        <is>
          <t>https://www2.psy.unsw.edu.au/dass/</t>
        </is>
      </c>
    </row>
    <row r="134" ht="46.25" customHeight="1" s="17">
      <c r="A134" s="27" t="inlineStr">
        <is>
          <t>DASS-21</t>
        </is>
      </c>
      <c r="B134" s="27" t="inlineStr">
        <is>
          <t>Depression Anxiety Stress Scales, 21 item version (DASS-21)</t>
        </is>
      </c>
      <c r="C134" s="27" t="inlineStr">
        <is>
          <t>4. Psychological distress screening</t>
        </is>
      </c>
      <c r="D134" s="28" t="n">
        <v>13</v>
      </c>
      <c r="E134" s="27" t="inlineStr">
        <is>
          <t>I felt down-hearted and blue</t>
        </is>
      </c>
      <c r="F134" s="27" t="inlineStr">
        <is>
          <t>Depression</t>
        </is>
      </c>
      <c r="G134" s="27" t="inlineStr">
        <is>
          <t>FALSE</t>
        </is>
      </c>
      <c r="H134" s="27" t="inlineStr">
        <is>
          <t>FALSE</t>
        </is>
      </c>
      <c r="I134" s="27" t="inlineStr">
        <is>
          <t>Did not apply to me at all = 0 | Applied to me to some degree, or some of the time = 1 | Applied to me to a considerable degree, or a good part of time = 2 | Applied to me very much, or most of the time = 3</t>
        </is>
      </c>
      <c r="J134" s="27" t="n"/>
      <c r="K134" s="27" t="inlineStr">
        <is>
          <t>https://www2.psy.unsw.edu.au/dass/</t>
        </is>
      </c>
    </row>
    <row r="135" ht="46.25" customHeight="1" s="17">
      <c r="A135" s="27" t="inlineStr">
        <is>
          <t>DASS-21</t>
        </is>
      </c>
      <c r="B135" s="27" t="inlineStr">
        <is>
          <t>Depression Anxiety Stress Scales, 21 item version (DASS-21)</t>
        </is>
      </c>
      <c r="C135" s="27" t="inlineStr">
        <is>
          <t>4. Psychological distress screening</t>
        </is>
      </c>
      <c r="D135" s="28" t="n">
        <v>14</v>
      </c>
      <c r="E135" s="27" t="inlineStr">
        <is>
          <t>I was intolerant of anything that kept me from getting on with what I was doing</t>
        </is>
      </c>
      <c r="F135" s="27" t="inlineStr">
        <is>
          <t>Stress</t>
        </is>
      </c>
      <c r="G135" s="27" t="inlineStr">
        <is>
          <t>FALSE</t>
        </is>
      </c>
      <c r="H135" s="27" t="inlineStr">
        <is>
          <t>FALSE</t>
        </is>
      </c>
      <c r="I135" s="27" t="inlineStr">
        <is>
          <t>Did not apply to me at all = 0 | Applied to me to some degree, or some of the time = 1 | Applied to me to a considerable degree, or a good part of time = 2 | Applied to me very much, or most of the time = 3</t>
        </is>
      </c>
      <c r="J135" s="27" t="n"/>
      <c r="K135" s="27" t="inlineStr">
        <is>
          <t>https://www2.psy.unsw.edu.au/dass/</t>
        </is>
      </c>
    </row>
    <row r="136" ht="46.25" customHeight="1" s="17">
      <c r="A136" s="27" t="inlineStr">
        <is>
          <t>DASS-21</t>
        </is>
      </c>
      <c r="B136" s="27" t="inlineStr">
        <is>
          <t>Depression Anxiety Stress Scales, 21 item version (DASS-21)</t>
        </is>
      </c>
      <c r="C136" s="27" t="inlineStr">
        <is>
          <t>4. Psychological distress screening</t>
        </is>
      </c>
      <c r="D136" s="28" t="n">
        <v>15</v>
      </c>
      <c r="E136" s="27" t="inlineStr">
        <is>
          <t>I felt I was close to panic</t>
        </is>
      </c>
      <c r="F136" s="27" t="inlineStr">
        <is>
          <t>Anxiety</t>
        </is>
      </c>
      <c r="G136" s="27" t="inlineStr">
        <is>
          <t>FALSE</t>
        </is>
      </c>
      <c r="H136" s="27" t="inlineStr">
        <is>
          <t>FALSE</t>
        </is>
      </c>
      <c r="I136" s="27" t="inlineStr">
        <is>
          <t>Did not apply to me at all = 0 | Applied to me to some degree, or some of the time = 1 | Applied to me to a considerable degree, or a good part of time = 2 | Applied to me very much, or most of the time = 3</t>
        </is>
      </c>
      <c r="J136" s="27" t="n"/>
      <c r="K136" s="27" t="inlineStr">
        <is>
          <t>https://www2.psy.unsw.edu.au/dass/</t>
        </is>
      </c>
    </row>
    <row r="137" ht="46.25" customHeight="1" s="17">
      <c r="A137" s="27" t="inlineStr">
        <is>
          <t>DASS-21</t>
        </is>
      </c>
      <c r="B137" s="27" t="inlineStr">
        <is>
          <t>Depression Anxiety Stress Scales, 21 item version (DASS-21)</t>
        </is>
      </c>
      <c r="C137" s="27" t="inlineStr">
        <is>
          <t>4. Psychological distress screening</t>
        </is>
      </c>
      <c r="D137" s="28" t="n">
        <v>16</v>
      </c>
      <c r="E137" s="27" t="inlineStr">
        <is>
          <t>I was unable to become enthusiastic about anything</t>
        </is>
      </c>
      <c r="F137" s="27" t="inlineStr">
        <is>
          <t>Depression</t>
        </is>
      </c>
      <c r="G137" s="27" t="inlineStr">
        <is>
          <t>FALSE</t>
        </is>
      </c>
      <c r="H137" s="27" t="inlineStr">
        <is>
          <t>FALSE</t>
        </is>
      </c>
      <c r="I137" s="27" t="inlineStr">
        <is>
          <t>Did not apply to me at all = 0 | Applied to me to some degree, or some of the time = 1 | Applied to me to a considerable degree, or a good part of time = 2 | Applied to me very much, or most of the time = 3</t>
        </is>
      </c>
      <c r="J137" s="27" t="n"/>
      <c r="K137" s="27" t="inlineStr">
        <is>
          <t>https://www2.psy.unsw.edu.au/dass/</t>
        </is>
      </c>
    </row>
    <row r="138" ht="46.25" customHeight="1" s="17">
      <c r="A138" s="27" t="inlineStr">
        <is>
          <t>DASS-21</t>
        </is>
      </c>
      <c r="B138" s="27" t="inlineStr">
        <is>
          <t>Depression Anxiety Stress Scales, 21 item version (DASS-21)</t>
        </is>
      </c>
      <c r="C138" s="27" t="inlineStr">
        <is>
          <t>4. Psychological distress screening</t>
        </is>
      </c>
      <c r="D138" s="28" t="n">
        <v>17</v>
      </c>
      <c r="E138" s="27" t="inlineStr">
        <is>
          <t>I felt I wasn't worth much as a person</t>
        </is>
      </c>
      <c r="F138" s="27" t="inlineStr">
        <is>
          <t>Depression</t>
        </is>
      </c>
      <c r="G138" s="27" t="inlineStr">
        <is>
          <t>FALSE</t>
        </is>
      </c>
      <c r="H138" s="27" t="inlineStr">
        <is>
          <t>FALSE</t>
        </is>
      </c>
      <c r="I138" s="27" t="inlineStr">
        <is>
          <t>Did not apply to me at all = 0 | Applied to me to some degree, or some of the time = 1 | Applied to me to a considerable degree, or a good part of time = 2 | Applied to me very much, or most of the time = 3</t>
        </is>
      </c>
      <c r="J138" s="27" t="inlineStr">
        <is>
          <t>Followed up directly when endorsed at 2 or 3 (practice protocol).</t>
        </is>
      </c>
      <c r="K138" s="27" t="inlineStr">
        <is>
          <t>https://www2.psy.unsw.edu.au/dass/</t>
        </is>
      </c>
    </row>
    <row r="139" ht="46.25" customHeight="1" s="17">
      <c r="A139" s="27" t="inlineStr">
        <is>
          <t>DASS-21</t>
        </is>
      </c>
      <c r="B139" s="27" t="inlineStr">
        <is>
          <t>Depression Anxiety Stress Scales, 21 item version (DASS-21)</t>
        </is>
      </c>
      <c r="C139" s="27" t="inlineStr">
        <is>
          <t>4. Psychological distress screening</t>
        </is>
      </c>
      <c r="D139" s="28" t="n">
        <v>18</v>
      </c>
      <c r="E139" s="27" t="inlineStr">
        <is>
          <t>I felt that I was rather touchy</t>
        </is>
      </c>
      <c r="F139" s="27" t="inlineStr">
        <is>
          <t>Stress</t>
        </is>
      </c>
      <c r="G139" s="27" t="inlineStr">
        <is>
          <t>FALSE</t>
        </is>
      </c>
      <c r="H139" s="27" t="inlineStr">
        <is>
          <t>FALSE</t>
        </is>
      </c>
      <c r="I139" s="27" t="inlineStr">
        <is>
          <t>Did not apply to me at all = 0 | Applied to me to some degree, or some of the time = 1 | Applied to me to a considerable degree, or a good part of time = 2 | Applied to me very much, or most of the time = 3</t>
        </is>
      </c>
      <c r="J139" s="27" t="n"/>
      <c r="K139" s="27" t="inlineStr">
        <is>
          <t>https://www2.psy.unsw.edu.au/dass/</t>
        </is>
      </c>
    </row>
    <row r="140" ht="46.25" customHeight="1" s="17">
      <c r="A140" s="27" t="inlineStr">
        <is>
          <t>DASS-21</t>
        </is>
      </c>
      <c r="B140" s="27" t="inlineStr">
        <is>
          <t>Depression Anxiety Stress Scales, 21 item version (DASS-21)</t>
        </is>
      </c>
      <c r="C140" s="27" t="inlineStr">
        <is>
          <t>4. Psychological distress screening</t>
        </is>
      </c>
      <c r="D140" s="28" t="n">
        <v>19</v>
      </c>
      <c r="E140" s="27" t="inlineStr">
        <is>
          <t>I was aware of the action of my heart in the absence of physical exertion (eg, sense of heart rate increase, heart missing a beat)</t>
        </is>
      </c>
      <c r="F140" s="27" t="inlineStr">
        <is>
          <t>Anxiety</t>
        </is>
      </c>
      <c r="G140" s="27" t="inlineStr">
        <is>
          <t>FALSE</t>
        </is>
      </c>
      <c r="H140" s="27" t="inlineStr">
        <is>
          <t>FALSE</t>
        </is>
      </c>
      <c r="I140" s="27" t="inlineStr">
        <is>
          <t>Did not apply to me at all = 0 | Applied to me to some degree, or some of the time = 1 | Applied to me to a considerable degree, or a good part of time = 2 | Applied to me very much, or most of the time = 3</t>
        </is>
      </c>
      <c r="J140" s="27" t="n"/>
      <c r="K140" s="27" t="inlineStr">
        <is>
          <t>https://www2.psy.unsw.edu.au/dass/</t>
        </is>
      </c>
    </row>
    <row r="141" ht="46.25" customHeight="1" s="17">
      <c r="A141" s="27" t="inlineStr">
        <is>
          <t>DASS-21</t>
        </is>
      </c>
      <c r="B141" s="27" t="inlineStr">
        <is>
          <t>Depression Anxiety Stress Scales, 21 item version (DASS-21)</t>
        </is>
      </c>
      <c r="C141" s="27" t="inlineStr">
        <is>
          <t>4. Psychological distress screening</t>
        </is>
      </c>
      <c r="D141" s="28" t="n">
        <v>20</v>
      </c>
      <c r="E141" s="27" t="inlineStr">
        <is>
          <t>I felt scared without any good reason</t>
        </is>
      </c>
      <c r="F141" s="27" t="inlineStr">
        <is>
          <t>Anxiety</t>
        </is>
      </c>
      <c r="G141" s="27" t="inlineStr">
        <is>
          <t>FALSE</t>
        </is>
      </c>
      <c r="H141" s="27" t="inlineStr">
        <is>
          <t>FALSE</t>
        </is>
      </c>
      <c r="I141" s="27" t="inlineStr">
        <is>
          <t>Did not apply to me at all = 0 | Applied to me to some degree, or some of the time = 1 | Applied to me to a considerable degree, or a good part of time = 2 | Applied to me very much, or most of the time = 3</t>
        </is>
      </c>
      <c r="J141" s="27" t="n"/>
      <c r="K141" s="27" t="inlineStr">
        <is>
          <t>https://www2.psy.unsw.edu.au/dass/</t>
        </is>
      </c>
    </row>
    <row r="142" ht="46.25" customHeight="1" s="17">
      <c r="A142" s="27" t="inlineStr">
        <is>
          <t>DASS-21</t>
        </is>
      </c>
      <c r="B142" s="27" t="inlineStr">
        <is>
          <t>Depression Anxiety Stress Scales, 21 item version (DASS-21)</t>
        </is>
      </c>
      <c r="C142" s="27" t="inlineStr">
        <is>
          <t>4. Psychological distress screening</t>
        </is>
      </c>
      <c r="D142" s="28" t="n">
        <v>21</v>
      </c>
      <c r="E142" s="27" t="inlineStr">
        <is>
          <t>I felt that life was meaningless</t>
        </is>
      </c>
      <c r="F142" s="27" t="inlineStr">
        <is>
          <t>Depression</t>
        </is>
      </c>
      <c r="G142" s="27" t="inlineStr">
        <is>
          <t>FALSE</t>
        </is>
      </c>
      <c r="H142" s="27" t="inlineStr">
        <is>
          <t>FALSE</t>
        </is>
      </c>
      <c r="I142" s="27" t="inlineStr">
        <is>
          <t>Did not apply to me at all = 0 | Applied to me to some degree, or some of the time = 1 | Applied to me to a considerable degree, or a good part of time = 2 | Applied to me very much, or most of the time = 3</t>
        </is>
      </c>
      <c r="J142" s="27" t="inlineStr">
        <is>
          <t>Followed up directly when endorsed at 2 or 3 (practice protocol).</t>
        </is>
      </c>
      <c r="K142" s="27" t="inlineStr">
        <is>
          <t>https://www2.psy.unsw.edu.au/dass/</t>
        </is>
      </c>
    </row>
    <row r="143" ht="23.85" customHeight="1" s="17">
      <c r="A143" s="27" t="inlineStr">
        <is>
          <t>PTQ</t>
        </is>
      </c>
      <c r="B143" s="27" t="inlineStr">
        <is>
          <t>Perseverative Thinking Questionnaire</t>
        </is>
      </c>
      <c r="C143" s="27" t="inlineStr">
        <is>
          <t>5. Repetitive negative thinking and self talk</t>
        </is>
      </c>
      <c r="D143" s="28" t="n">
        <v>1</v>
      </c>
      <c r="E143" s="27" t="inlineStr">
        <is>
          <t>The same thoughts keep going through my mind again and again.</t>
        </is>
      </c>
      <c r="F143" s="27" t="inlineStr">
        <is>
          <t>Core Characteristics of Repetitive Negative Thinking</t>
        </is>
      </c>
      <c r="G143" s="27" t="inlineStr">
        <is>
          <t>FALSE</t>
        </is>
      </c>
      <c r="H143" s="27" t="inlineStr">
        <is>
          <t>FALSE</t>
        </is>
      </c>
      <c r="I143" s="27" t="inlineStr">
        <is>
          <t>never = 0 | rarely = 1 | sometimes = 2 | often = 3 | almost always = 4</t>
        </is>
      </c>
      <c r="J143" s="27" t="n"/>
      <c r="K143" s="27" t="inlineStr">
        <is>
          <t>https://oxcadatresources.com/wp-content/uploads/2020/09/EhringetalRuminationQuestionnaire.2011.pdf</t>
        </is>
      </c>
    </row>
    <row r="144" ht="23.85" customHeight="1" s="17">
      <c r="A144" s="27" t="inlineStr">
        <is>
          <t>PTQ</t>
        </is>
      </c>
      <c r="B144" s="27" t="inlineStr">
        <is>
          <t>Perseverative Thinking Questionnaire</t>
        </is>
      </c>
      <c r="C144" s="27" t="inlineStr">
        <is>
          <t>5. Repetitive negative thinking and self talk</t>
        </is>
      </c>
      <c r="D144" s="28" t="n">
        <v>2</v>
      </c>
      <c r="E144" s="27" t="inlineStr">
        <is>
          <t>Thoughts intrude into my mind.</t>
        </is>
      </c>
      <c r="F144" s="27" t="inlineStr">
        <is>
          <t>Core Characteristics of Repetitive Negative Thinking</t>
        </is>
      </c>
      <c r="G144" s="27" t="inlineStr">
        <is>
          <t>FALSE</t>
        </is>
      </c>
      <c r="H144" s="27" t="inlineStr">
        <is>
          <t>FALSE</t>
        </is>
      </c>
      <c r="I144" s="27" t="inlineStr">
        <is>
          <t>never = 0 | rarely = 1 | sometimes = 2 | often = 3 | almost always = 4</t>
        </is>
      </c>
      <c r="J144" s="27" t="n"/>
      <c r="K144" s="27" t="inlineStr">
        <is>
          <t>https://oxcadatresources.com/wp-content/uploads/2020/09/EhringetalRuminationQuestionnaire.2011.pdf</t>
        </is>
      </c>
    </row>
    <row r="145" ht="23.85" customHeight="1" s="17">
      <c r="A145" s="27" t="inlineStr">
        <is>
          <t>PTQ</t>
        </is>
      </c>
      <c r="B145" s="27" t="inlineStr">
        <is>
          <t>Perseverative Thinking Questionnaire</t>
        </is>
      </c>
      <c r="C145" s="27" t="inlineStr">
        <is>
          <t>5. Repetitive negative thinking and self talk</t>
        </is>
      </c>
      <c r="D145" s="28" t="n">
        <v>3</v>
      </c>
      <c r="E145" s="27" t="inlineStr">
        <is>
          <t>I can't stop dwelling on them.</t>
        </is>
      </c>
      <c r="F145" s="27" t="inlineStr">
        <is>
          <t>Core Characteristics of Repetitive Negative Thinking</t>
        </is>
      </c>
      <c r="G145" s="27" t="inlineStr">
        <is>
          <t>FALSE</t>
        </is>
      </c>
      <c r="H145" s="27" t="inlineStr">
        <is>
          <t>FALSE</t>
        </is>
      </c>
      <c r="I145" s="27" t="inlineStr">
        <is>
          <t>never = 0 | rarely = 1 | sometimes = 2 | often = 3 | almost always = 4</t>
        </is>
      </c>
      <c r="J145" s="27" t="n"/>
      <c r="K145" s="27" t="inlineStr">
        <is>
          <t>https://oxcadatresources.com/wp-content/uploads/2020/09/EhringetalRuminationQuestionnaire.2011.pdf</t>
        </is>
      </c>
    </row>
    <row r="146" ht="23.85" customHeight="1" s="17">
      <c r="A146" s="27" t="inlineStr">
        <is>
          <t>PTQ</t>
        </is>
      </c>
      <c r="B146" s="27" t="inlineStr">
        <is>
          <t>Perseverative Thinking Questionnaire</t>
        </is>
      </c>
      <c r="C146" s="27" t="inlineStr">
        <is>
          <t>5. Repetitive negative thinking and self talk</t>
        </is>
      </c>
      <c r="D146" s="28" t="n">
        <v>4</v>
      </c>
      <c r="E146" s="27" t="inlineStr">
        <is>
          <t>I think about many problems without solving any of them.</t>
        </is>
      </c>
      <c r="F146" s="27" t="inlineStr">
        <is>
          <t>Unproductiveness</t>
        </is>
      </c>
      <c r="G146" s="27" t="inlineStr">
        <is>
          <t>FALSE</t>
        </is>
      </c>
      <c r="H146" s="27" t="inlineStr">
        <is>
          <t>FALSE</t>
        </is>
      </c>
      <c r="I146" s="27" t="inlineStr">
        <is>
          <t>never = 0 | rarely = 1 | sometimes = 2 | often = 3 | almost always = 4</t>
        </is>
      </c>
      <c r="J146" s="27" t="n"/>
      <c r="K146" s="27" t="inlineStr">
        <is>
          <t>https://oxcadatresources.com/wp-content/uploads/2020/09/EhringetalRuminationQuestionnaire.2011.pdf</t>
        </is>
      </c>
    </row>
    <row r="147" ht="23.85" customHeight="1" s="17">
      <c r="A147" s="27" t="inlineStr">
        <is>
          <t>PTQ</t>
        </is>
      </c>
      <c r="B147" s="27" t="inlineStr">
        <is>
          <t>Perseverative Thinking Questionnaire</t>
        </is>
      </c>
      <c r="C147" s="27" t="inlineStr">
        <is>
          <t>5. Repetitive negative thinking and self talk</t>
        </is>
      </c>
      <c r="D147" s="28" t="n">
        <v>5</v>
      </c>
      <c r="E147" s="27" t="inlineStr">
        <is>
          <t>I can't do anything else while thinking about my problems.</t>
        </is>
      </c>
      <c r="F147" s="27" t="inlineStr">
        <is>
          <t>Capturing Mental Capacity</t>
        </is>
      </c>
      <c r="G147" s="27" t="inlineStr">
        <is>
          <t>FALSE</t>
        </is>
      </c>
      <c r="H147" s="27" t="inlineStr">
        <is>
          <t>FALSE</t>
        </is>
      </c>
      <c r="I147" s="27" t="inlineStr">
        <is>
          <t>never = 0 | rarely = 1 | sometimes = 2 | often = 3 | almost always = 4</t>
        </is>
      </c>
      <c r="J147" s="27" t="n"/>
      <c r="K147" s="27" t="inlineStr">
        <is>
          <t>https://oxcadatresources.com/wp-content/uploads/2020/09/EhringetalRuminationQuestionnaire.2011.pdf</t>
        </is>
      </c>
    </row>
    <row r="148" ht="23.85" customHeight="1" s="17">
      <c r="A148" s="27" t="inlineStr">
        <is>
          <t>PTQ</t>
        </is>
      </c>
      <c r="B148" s="27" t="inlineStr">
        <is>
          <t>Perseverative Thinking Questionnaire</t>
        </is>
      </c>
      <c r="C148" s="27" t="inlineStr">
        <is>
          <t>5. Repetitive negative thinking and self talk</t>
        </is>
      </c>
      <c r="D148" s="28" t="n">
        <v>6</v>
      </c>
      <c r="E148" s="27" t="inlineStr">
        <is>
          <t>My thoughts repeat themselves.</t>
        </is>
      </c>
      <c r="F148" s="27" t="inlineStr">
        <is>
          <t>Core Characteristics of Repetitive Negative Thinking</t>
        </is>
      </c>
      <c r="G148" s="27" t="inlineStr">
        <is>
          <t>FALSE</t>
        </is>
      </c>
      <c r="H148" s="27" t="inlineStr">
        <is>
          <t>FALSE</t>
        </is>
      </c>
      <c r="I148" s="27" t="inlineStr">
        <is>
          <t>never = 0 | rarely = 1 | sometimes = 2 | often = 3 | almost always = 4</t>
        </is>
      </c>
      <c r="J148" s="27" t="n"/>
      <c r="K148" s="27" t="inlineStr">
        <is>
          <t>https://oxcadatresources.com/wp-content/uploads/2020/09/EhringetalRuminationQuestionnaire.2011.pdf</t>
        </is>
      </c>
    </row>
    <row r="149" ht="23.85" customHeight="1" s="17">
      <c r="A149" s="27" t="inlineStr">
        <is>
          <t>PTQ</t>
        </is>
      </c>
      <c r="B149" s="27" t="inlineStr">
        <is>
          <t>Perseverative Thinking Questionnaire</t>
        </is>
      </c>
      <c r="C149" s="27" t="inlineStr">
        <is>
          <t>5. Repetitive negative thinking and self talk</t>
        </is>
      </c>
      <c r="D149" s="28" t="n">
        <v>7</v>
      </c>
      <c r="E149" s="27" t="inlineStr">
        <is>
          <t>Thoughts come to my mind without me wanting them to.</t>
        </is>
      </c>
      <c r="F149" s="27" t="inlineStr">
        <is>
          <t>Core Characteristics of Repetitive Negative Thinking</t>
        </is>
      </c>
      <c r="G149" s="27" t="inlineStr">
        <is>
          <t>FALSE</t>
        </is>
      </c>
      <c r="H149" s="27" t="inlineStr">
        <is>
          <t>FALSE</t>
        </is>
      </c>
      <c r="I149" s="27" t="inlineStr">
        <is>
          <t>never = 0 | rarely = 1 | sometimes = 2 | often = 3 | almost always = 4</t>
        </is>
      </c>
      <c r="J149" s="27" t="n"/>
      <c r="K149" s="27" t="inlineStr">
        <is>
          <t>https://oxcadatresources.com/wp-content/uploads/2020/09/EhringetalRuminationQuestionnaire.2011.pdf</t>
        </is>
      </c>
    </row>
    <row r="150" ht="23.85" customHeight="1" s="17">
      <c r="A150" s="27" t="inlineStr">
        <is>
          <t>PTQ</t>
        </is>
      </c>
      <c r="B150" s="27" t="inlineStr">
        <is>
          <t>Perseverative Thinking Questionnaire</t>
        </is>
      </c>
      <c r="C150" s="27" t="inlineStr">
        <is>
          <t>5. Repetitive negative thinking and self talk</t>
        </is>
      </c>
      <c r="D150" s="28" t="n">
        <v>8</v>
      </c>
      <c r="E150" s="27" t="inlineStr">
        <is>
          <t>I get stuck on certain issues and can't move on.</t>
        </is>
      </c>
      <c r="F150" s="27" t="inlineStr">
        <is>
          <t>Core Characteristics of Repetitive Negative Thinking</t>
        </is>
      </c>
      <c r="G150" s="27" t="inlineStr">
        <is>
          <t>FALSE</t>
        </is>
      </c>
      <c r="H150" s="27" t="inlineStr">
        <is>
          <t>FALSE</t>
        </is>
      </c>
      <c r="I150" s="27" t="inlineStr">
        <is>
          <t>never = 0 | rarely = 1 | sometimes = 2 | often = 3 | almost always = 4</t>
        </is>
      </c>
      <c r="J150" s="27" t="n"/>
      <c r="K150" s="27" t="inlineStr">
        <is>
          <t>https://oxcadatresources.com/wp-content/uploads/2020/09/EhringetalRuminationQuestionnaire.2011.pdf</t>
        </is>
      </c>
    </row>
    <row r="151" ht="23.85" customHeight="1" s="17">
      <c r="A151" s="27" t="inlineStr">
        <is>
          <t>PTQ</t>
        </is>
      </c>
      <c r="B151" s="27" t="inlineStr">
        <is>
          <t>Perseverative Thinking Questionnaire</t>
        </is>
      </c>
      <c r="C151" s="27" t="inlineStr">
        <is>
          <t>5. Repetitive negative thinking and self talk</t>
        </is>
      </c>
      <c r="D151" s="28" t="n">
        <v>9</v>
      </c>
      <c r="E151" s="27" t="inlineStr">
        <is>
          <t>I keep asking myself questions without finding an answer.</t>
        </is>
      </c>
      <c r="F151" s="27" t="inlineStr">
        <is>
          <t>Unproductiveness</t>
        </is>
      </c>
      <c r="G151" s="27" t="inlineStr">
        <is>
          <t>FALSE</t>
        </is>
      </c>
      <c r="H151" s="27" t="inlineStr">
        <is>
          <t>FALSE</t>
        </is>
      </c>
      <c r="I151" s="27" t="inlineStr">
        <is>
          <t>never = 0 | rarely = 1 | sometimes = 2 | often = 3 | almost always = 4</t>
        </is>
      </c>
      <c r="J151" s="27" t="n"/>
      <c r="K151" s="27" t="inlineStr">
        <is>
          <t>https://oxcadatresources.com/wp-content/uploads/2020/09/EhringetalRuminationQuestionnaire.2011.pdf</t>
        </is>
      </c>
    </row>
    <row r="152" ht="23.85" customHeight="1" s="17">
      <c r="A152" s="27" t="inlineStr">
        <is>
          <t>PTQ</t>
        </is>
      </c>
      <c r="B152" s="27" t="inlineStr">
        <is>
          <t>Perseverative Thinking Questionnaire</t>
        </is>
      </c>
      <c r="C152" s="27" t="inlineStr">
        <is>
          <t>5. Repetitive negative thinking and self talk</t>
        </is>
      </c>
      <c r="D152" s="28" t="n">
        <v>10</v>
      </c>
      <c r="E152" s="27" t="inlineStr">
        <is>
          <t>My thoughts prevent me from focusing on other things.</t>
        </is>
      </c>
      <c r="F152" s="27" t="inlineStr">
        <is>
          <t>Capturing Mental Capacity</t>
        </is>
      </c>
      <c r="G152" s="27" t="inlineStr">
        <is>
          <t>FALSE</t>
        </is>
      </c>
      <c r="H152" s="27" t="inlineStr">
        <is>
          <t>FALSE</t>
        </is>
      </c>
      <c r="I152" s="27" t="inlineStr">
        <is>
          <t>never = 0 | rarely = 1 | sometimes = 2 | often = 3 | almost always = 4</t>
        </is>
      </c>
      <c r="J152" s="27" t="n"/>
      <c r="K152" s="27" t="inlineStr">
        <is>
          <t>https://oxcadatresources.com/wp-content/uploads/2020/09/EhringetalRuminationQuestionnaire.2011.pdf</t>
        </is>
      </c>
    </row>
    <row r="153" ht="23.85" customHeight="1" s="17">
      <c r="A153" s="27" t="inlineStr">
        <is>
          <t>PTQ</t>
        </is>
      </c>
      <c r="B153" s="27" t="inlineStr">
        <is>
          <t>Perseverative Thinking Questionnaire</t>
        </is>
      </c>
      <c r="C153" s="27" t="inlineStr">
        <is>
          <t>5. Repetitive negative thinking and self talk</t>
        </is>
      </c>
      <c r="D153" s="28" t="n">
        <v>11</v>
      </c>
      <c r="E153" s="27" t="inlineStr">
        <is>
          <t>I keep thinking about the same issue all the time.</t>
        </is>
      </c>
      <c r="F153" s="27" t="inlineStr">
        <is>
          <t>Core Characteristics of Repetitive Negative Thinking</t>
        </is>
      </c>
      <c r="G153" s="27" t="inlineStr">
        <is>
          <t>FALSE</t>
        </is>
      </c>
      <c r="H153" s="27" t="inlineStr">
        <is>
          <t>FALSE</t>
        </is>
      </c>
      <c r="I153" s="27" t="inlineStr">
        <is>
          <t>never = 0 | rarely = 1 | sometimes = 2 | often = 3 | almost always = 4</t>
        </is>
      </c>
      <c r="J153" s="27" t="n"/>
      <c r="K153" s="27" t="inlineStr">
        <is>
          <t>https://oxcadatresources.com/wp-content/uploads/2020/09/EhringetalRuminationQuestionnaire.2011.pdf</t>
        </is>
      </c>
    </row>
    <row r="154" ht="23.85" customHeight="1" s="17">
      <c r="A154" s="27" t="inlineStr">
        <is>
          <t>PTQ</t>
        </is>
      </c>
      <c r="B154" s="27" t="inlineStr">
        <is>
          <t>Perseverative Thinking Questionnaire</t>
        </is>
      </c>
      <c r="C154" s="27" t="inlineStr">
        <is>
          <t>5. Repetitive negative thinking and self talk</t>
        </is>
      </c>
      <c r="D154" s="28" t="n">
        <v>12</v>
      </c>
      <c r="E154" s="27" t="inlineStr">
        <is>
          <t>Thoughts just pop into my mind.</t>
        </is>
      </c>
      <c r="F154" s="27" t="inlineStr">
        <is>
          <t>Core Characteristics of Repetitive Negative Thinking</t>
        </is>
      </c>
      <c r="G154" s="27" t="inlineStr">
        <is>
          <t>FALSE</t>
        </is>
      </c>
      <c r="H154" s="27" t="inlineStr">
        <is>
          <t>FALSE</t>
        </is>
      </c>
      <c r="I154" s="27" t="inlineStr">
        <is>
          <t>never = 0 | rarely = 1 | sometimes = 2 | often = 3 | almost always = 4</t>
        </is>
      </c>
      <c r="J154" s="27" t="n"/>
      <c r="K154" s="27" t="inlineStr">
        <is>
          <t>https://oxcadatresources.com/wp-content/uploads/2020/09/EhringetalRuminationQuestionnaire.2011.pdf</t>
        </is>
      </c>
    </row>
    <row r="155" ht="23.85" customHeight="1" s="17">
      <c r="A155" s="27" t="inlineStr">
        <is>
          <t>PTQ</t>
        </is>
      </c>
      <c r="B155" s="27" t="inlineStr">
        <is>
          <t>Perseverative Thinking Questionnaire</t>
        </is>
      </c>
      <c r="C155" s="27" t="inlineStr">
        <is>
          <t>5. Repetitive negative thinking and self talk</t>
        </is>
      </c>
      <c r="D155" s="28" t="n">
        <v>13</v>
      </c>
      <c r="E155" s="27" t="inlineStr">
        <is>
          <t>I feel driven to continue dwelling on the same issue.</t>
        </is>
      </c>
      <c r="F155" s="27" t="inlineStr">
        <is>
          <t>Core Characteristics of Repetitive Negative Thinking</t>
        </is>
      </c>
      <c r="G155" s="27" t="inlineStr">
        <is>
          <t>FALSE</t>
        </is>
      </c>
      <c r="H155" s="27" t="inlineStr">
        <is>
          <t>FALSE</t>
        </is>
      </c>
      <c r="I155" s="27" t="inlineStr">
        <is>
          <t>never = 0 | rarely = 1 | sometimes = 2 | often = 3 | almost always = 4</t>
        </is>
      </c>
      <c r="J155" s="27" t="n"/>
      <c r="K155" s="27" t="inlineStr">
        <is>
          <t>https://oxcadatresources.com/wp-content/uploads/2020/09/EhringetalRuminationQuestionnaire.2011.pdf</t>
        </is>
      </c>
    </row>
    <row r="156" ht="23.85" customHeight="1" s="17">
      <c r="A156" s="27" t="inlineStr">
        <is>
          <t>PTQ</t>
        </is>
      </c>
      <c r="B156" s="27" t="inlineStr">
        <is>
          <t>Perseverative Thinking Questionnaire</t>
        </is>
      </c>
      <c r="C156" s="27" t="inlineStr">
        <is>
          <t>5. Repetitive negative thinking and self talk</t>
        </is>
      </c>
      <c r="D156" s="28" t="n">
        <v>14</v>
      </c>
      <c r="E156" s="27" t="inlineStr">
        <is>
          <t>My thoughts are not much help to me.</t>
        </is>
      </c>
      <c r="F156" s="27" t="inlineStr">
        <is>
          <t>Unproductiveness</t>
        </is>
      </c>
      <c r="G156" s="27" t="inlineStr">
        <is>
          <t>FALSE</t>
        </is>
      </c>
      <c r="H156" s="27" t="inlineStr">
        <is>
          <t>FALSE</t>
        </is>
      </c>
      <c r="I156" s="27" t="inlineStr">
        <is>
          <t>never = 0 | rarely = 1 | sometimes = 2 | often = 3 | almost always = 4</t>
        </is>
      </c>
      <c r="J156" s="27" t="n"/>
      <c r="K156" s="27" t="inlineStr">
        <is>
          <t>https://oxcadatresources.com/wp-content/uploads/2020/09/EhringetalRuminationQuestionnaire.2011.pdf</t>
        </is>
      </c>
    </row>
    <row r="157" ht="23.85" customHeight="1" s="17">
      <c r="A157" s="27" t="inlineStr">
        <is>
          <t>PTQ</t>
        </is>
      </c>
      <c r="B157" s="27" t="inlineStr">
        <is>
          <t>Perseverative Thinking Questionnaire</t>
        </is>
      </c>
      <c r="C157" s="27" t="inlineStr">
        <is>
          <t>5. Repetitive negative thinking and self talk</t>
        </is>
      </c>
      <c r="D157" s="28" t="n">
        <v>15</v>
      </c>
      <c r="E157" s="27" t="inlineStr">
        <is>
          <t>My thoughts take up all my attention.</t>
        </is>
      </c>
      <c r="F157" s="27" t="inlineStr">
        <is>
          <t>Capturing Mental Capacity</t>
        </is>
      </c>
      <c r="G157" s="27" t="inlineStr">
        <is>
          <t>FALSE</t>
        </is>
      </c>
      <c r="H157" s="27" t="inlineStr">
        <is>
          <t>FALSE</t>
        </is>
      </c>
      <c r="I157" s="27" t="inlineStr">
        <is>
          <t>never = 0 | rarely = 1 | sometimes = 2 | often = 3 | almost always = 4</t>
        </is>
      </c>
      <c r="J157" s="27" t="n"/>
      <c r="K157" s="27" t="inlineStr">
        <is>
          <t>https://oxcadatresources.com/wp-content/uploads/2020/09/EhringetalRuminationQuestionnaire.2011.pdf</t>
        </is>
      </c>
    </row>
    <row r="158" ht="23.85" customHeight="1" s="17">
      <c r="A158" s="27" t="inlineStr">
        <is>
          <t>RRS</t>
        </is>
      </c>
      <c r="B158" s="27" t="inlineStr">
        <is>
          <t>Ruminative Responses Scale</t>
        </is>
      </c>
      <c r="C158" s="27" t="inlineStr">
        <is>
          <t>5. Repetitive negative thinking and self talk</t>
        </is>
      </c>
      <c r="D158" s="28" t="n">
        <v>1</v>
      </c>
      <c r="E158" s="27" t="inlineStr">
        <is>
          <t>Think about how alone you feel</t>
        </is>
      </c>
      <c r="F158" s="27" t="inlineStr">
        <is>
          <t>Depression-related items (not scored as a subscale)</t>
        </is>
      </c>
      <c r="G158" s="27" t="inlineStr">
        <is>
          <t>FALSE</t>
        </is>
      </c>
      <c r="H158" s="27" t="inlineStr">
        <is>
          <t>FALSE</t>
        </is>
      </c>
      <c r="I158" s="27" t="inlineStr">
        <is>
          <t>almost never = 1 | sometimes = 2 | often = 3 | almost always = 4</t>
        </is>
      </c>
      <c r="J158" s="27" t="n"/>
      <c r="K158" s="27" t="inlineStr">
        <is>
          <t>https://novopsych.com/assessments/formulation/ruminative-responses-scale-rrs/</t>
        </is>
      </c>
    </row>
    <row r="159" ht="23.85" customHeight="1" s="17">
      <c r="A159" s="27" t="inlineStr">
        <is>
          <t>RRS</t>
        </is>
      </c>
      <c r="B159" s="27" t="inlineStr">
        <is>
          <t>Ruminative Responses Scale</t>
        </is>
      </c>
      <c r="C159" s="27" t="inlineStr">
        <is>
          <t>5. Repetitive negative thinking and self talk</t>
        </is>
      </c>
      <c r="D159" s="28" t="n">
        <v>2</v>
      </c>
      <c r="E159" s="27" t="inlineStr">
        <is>
          <t>Think "I won't be able to do my job if I don't snap out of this"</t>
        </is>
      </c>
      <c r="F159" s="27" t="inlineStr">
        <is>
          <t>Depression-related items (not scored as a subscale)</t>
        </is>
      </c>
      <c r="G159" s="27" t="inlineStr">
        <is>
          <t>FALSE</t>
        </is>
      </c>
      <c r="H159" s="27" t="inlineStr">
        <is>
          <t>FALSE</t>
        </is>
      </c>
      <c r="I159" s="27" t="inlineStr">
        <is>
          <t>almost never = 1 | sometimes = 2 | often = 3 | almost always = 4</t>
        </is>
      </c>
      <c r="J159" s="27" t="n"/>
      <c r="K159" s="27" t="inlineStr">
        <is>
          <t>https://novopsych.com/assessments/formulation/ruminative-responses-scale-rrs/</t>
        </is>
      </c>
    </row>
    <row r="160" ht="23.85" customHeight="1" s="17">
      <c r="A160" s="27" t="inlineStr">
        <is>
          <t>RRS</t>
        </is>
      </c>
      <c r="B160" s="27" t="inlineStr">
        <is>
          <t>Ruminative Responses Scale</t>
        </is>
      </c>
      <c r="C160" s="27" t="inlineStr">
        <is>
          <t>5. Repetitive negative thinking and self talk</t>
        </is>
      </c>
      <c r="D160" s="28" t="n">
        <v>3</v>
      </c>
      <c r="E160" s="27" t="inlineStr">
        <is>
          <t>Think about your feelings of fatigue and achiness</t>
        </is>
      </c>
      <c r="F160" s="27" t="inlineStr">
        <is>
          <t>Depression-related items (not scored as a subscale)</t>
        </is>
      </c>
      <c r="G160" s="27" t="inlineStr">
        <is>
          <t>FALSE</t>
        </is>
      </c>
      <c r="H160" s="27" t="inlineStr">
        <is>
          <t>FALSE</t>
        </is>
      </c>
      <c r="I160" s="27" t="inlineStr">
        <is>
          <t>almost never = 1 | sometimes = 2 | often = 3 | almost always = 4</t>
        </is>
      </c>
      <c r="J160" s="27" t="n"/>
      <c r="K160" s="27" t="inlineStr">
        <is>
          <t>https://novopsych.com/assessments/formulation/ruminative-responses-scale-rrs/</t>
        </is>
      </c>
    </row>
    <row r="161" ht="23.85" customHeight="1" s="17">
      <c r="A161" s="27" t="inlineStr">
        <is>
          <t>RRS</t>
        </is>
      </c>
      <c r="B161" s="27" t="inlineStr">
        <is>
          <t>Ruminative Responses Scale</t>
        </is>
      </c>
      <c r="C161" s="27" t="inlineStr">
        <is>
          <t>5. Repetitive negative thinking and self talk</t>
        </is>
      </c>
      <c r="D161" s="28" t="n">
        <v>4</v>
      </c>
      <c r="E161" s="27" t="inlineStr">
        <is>
          <t>Think about how hard it is to concentrate</t>
        </is>
      </c>
      <c r="F161" s="27" t="inlineStr">
        <is>
          <t>Depression-related items (not scored as a subscale)</t>
        </is>
      </c>
      <c r="G161" s="27" t="inlineStr">
        <is>
          <t>FALSE</t>
        </is>
      </c>
      <c r="H161" s="27" t="inlineStr">
        <is>
          <t>FALSE</t>
        </is>
      </c>
      <c r="I161" s="27" t="inlineStr">
        <is>
          <t>almost never = 1 | sometimes = 2 | often = 3 | almost always = 4</t>
        </is>
      </c>
      <c r="J161" s="27" t="n"/>
      <c r="K161" s="27" t="inlineStr">
        <is>
          <t>https://novopsych.com/assessments/formulation/ruminative-responses-scale-rrs/</t>
        </is>
      </c>
    </row>
    <row r="162" ht="23.85" customHeight="1" s="17">
      <c r="A162" s="27" t="inlineStr">
        <is>
          <t>RRS</t>
        </is>
      </c>
      <c r="B162" s="27" t="inlineStr">
        <is>
          <t>Ruminative Responses Scale</t>
        </is>
      </c>
      <c r="C162" s="27" t="inlineStr">
        <is>
          <t>5. Repetitive negative thinking and self talk</t>
        </is>
      </c>
      <c r="D162" s="28" t="n">
        <v>5</v>
      </c>
      <c r="E162" s="27" t="inlineStr">
        <is>
          <t>Think "What am I doing to deserve this?"</t>
        </is>
      </c>
      <c r="F162" s="27" t="inlineStr">
        <is>
          <t>Brooding</t>
        </is>
      </c>
      <c r="G162" s="27" t="inlineStr">
        <is>
          <t>FALSE</t>
        </is>
      </c>
      <c r="H162" s="27" t="inlineStr">
        <is>
          <t>FALSE</t>
        </is>
      </c>
      <c r="I162" s="27" t="inlineStr">
        <is>
          <t>almost never = 1 | sometimes = 2 | often = 3 | almost always = 4</t>
        </is>
      </c>
      <c r="J162" s="27" t="n"/>
      <c r="K162" s="27" t="inlineStr">
        <is>
          <t>https://novopsych.com/assessments/formulation/ruminative-responses-scale-rrs/</t>
        </is>
      </c>
    </row>
    <row r="163" ht="23.85" customHeight="1" s="17">
      <c r="A163" s="27" t="inlineStr">
        <is>
          <t>RRS</t>
        </is>
      </c>
      <c r="B163" s="27" t="inlineStr">
        <is>
          <t>Ruminative Responses Scale</t>
        </is>
      </c>
      <c r="C163" s="27" t="inlineStr">
        <is>
          <t>5. Repetitive negative thinking and self talk</t>
        </is>
      </c>
      <c r="D163" s="28" t="n">
        <v>6</v>
      </c>
      <c r="E163" s="27" t="inlineStr">
        <is>
          <t>Think about how passive and unmotivated you feel</t>
        </is>
      </c>
      <c r="F163" s="27" t="inlineStr">
        <is>
          <t>Depression-related items (not scored as a subscale)</t>
        </is>
      </c>
      <c r="G163" s="27" t="inlineStr">
        <is>
          <t>FALSE</t>
        </is>
      </c>
      <c r="H163" s="27" t="inlineStr">
        <is>
          <t>FALSE</t>
        </is>
      </c>
      <c r="I163" s="27" t="inlineStr">
        <is>
          <t>almost never = 1 | sometimes = 2 | often = 3 | almost always = 4</t>
        </is>
      </c>
      <c r="J163" s="27" t="n"/>
      <c r="K163" s="27" t="inlineStr">
        <is>
          <t>https://novopsych.com/assessments/formulation/ruminative-responses-scale-rrs/</t>
        </is>
      </c>
    </row>
    <row r="164" ht="23.85" customHeight="1" s="17">
      <c r="A164" s="27" t="inlineStr">
        <is>
          <t>RRS</t>
        </is>
      </c>
      <c r="B164" s="27" t="inlineStr">
        <is>
          <t>Ruminative Responses Scale</t>
        </is>
      </c>
      <c r="C164" s="27" t="inlineStr">
        <is>
          <t>5. Repetitive negative thinking and self talk</t>
        </is>
      </c>
      <c r="D164" s="28" t="n">
        <v>7</v>
      </c>
      <c r="E164" s="27" t="inlineStr">
        <is>
          <t>Analyze recent events to try to understand why you are depressed</t>
        </is>
      </c>
      <c r="F164" s="27" t="inlineStr">
        <is>
          <t>Reflection</t>
        </is>
      </c>
      <c r="G164" s="27" t="inlineStr">
        <is>
          <t>FALSE</t>
        </is>
      </c>
      <c r="H164" s="27" t="inlineStr">
        <is>
          <t>FALSE</t>
        </is>
      </c>
      <c r="I164" s="27" t="inlineStr">
        <is>
          <t>almost never = 1 | sometimes = 2 | often = 3 | almost always = 4</t>
        </is>
      </c>
      <c r="J164" s="27" t="n"/>
      <c r="K164" s="27" t="inlineStr">
        <is>
          <t>https://novopsych.com/assessments/formulation/ruminative-responses-scale-rrs/</t>
        </is>
      </c>
    </row>
    <row r="165" ht="23.85" customHeight="1" s="17">
      <c r="A165" s="27" t="inlineStr">
        <is>
          <t>RRS</t>
        </is>
      </c>
      <c r="B165" s="27" t="inlineStr">
        <is>
          <t>Ruminative Responses Scale</t>
        </is>
      </c>
      <c r="C165" s="27" t="inlineStr">
        <is>
          <t>5. Repetitive negative thinking and self talk</t>
        </is>
      </c>
      <c r="D165" s="28" t="n">
        <v>8</v>
      </c>
      <c r="E165" s="27" t="inlineStr">
        <is>
          <t>Think about how you don't seem to feel anything anymore</t>
        </is>
      </c>
      <c r="F165" s="27" t="inlineStr">
        <is>
          <t>Depression-related items (not scored as a subscale)</t>
        </is>
      </c>
      <c r="G165" s="27" t="inlineStr">
        <is>
          <t>FALSE</t>
        </is>
      </c>
      <c r="H165" s="27" t="inlineStr">
        <is>
          <t>FALSE</t>
        </is>
      </c>
      <c r="I165" s="27" t="inlineStr">
        <is>
          <t>almost never = 1 | sometimes = 2 | often = 3 | almost always = 4</t>
        </is>
      </c>
      <c r="J165" s="27" t="n"/>
      <c r="K165" s="27" t="inlineStr">
        <is>
          <t>https://novopsych.com/assessments/formulation/ruminative-responses-scale-rrs/</t>
        </is>
      </c>
    </row>
    <row r="166" ht="23.85" customHeight="1" s="17">
      <c r="A166" s="27" t="inlineStr">
        <is>
          <t>RRS</t>
        </is>
      </c>
      <c r="B166" s="27" t="inlineStr">
        <is>
          <t>Ruminative Responses Scale</t>
        </is>
      </c>
      <c r="C166" s="27" t="inlineStr">
        <is>
          <t>5. Repetitive negative thinking and self talk</t>
        </is>
      </c>
      <c r="D166" s="28" t="n">
        <v>9</v>
      </c>
      <c r="E166" s="27" t="inlineStr">
        <is>
          <t>Think "Why can't I get going?"</t>
        </is>
      </c>
      <c r="F166" s="27" t="inlineStr">
        <is>
          <t>Depression-related items (not scored as a subscale)</t>
        </is>
      </c>
      <c r="G166" s="27" t="inlineStr">
        <is>
          <t>FALSE</t>
        </is>
      </c>
      <c r="H166" s="27" t="inlineStr">
        <is>
          <t>FALSE</t>
        </is>
      </c>
      <c r="I166" s="27" t="inlineStr">
        <is>
          <t>almost never = 1 | sometimes = 2 | often = 3 | almost always = 4</t>
        </is>
      </c>
      <c r="J166" s="27" t="n"/>
      <c r="K166" s="27" t="inlineStr">
        <is>
          <t>https://novopsych.com/assessments/formulation/ruminative-responses-scale-rrs/</t>
        </is>
      </c>
    </row>
    <row r="167" ht="23.85" customHeight="1" s="17">
      <c r="A167" s="27" t="inlineStr">
        <is>
          <t>RRS</t>
        </is>
      </c>
      <c r="B167" s="27" t="inlineStr">
        <is>
          <t>Ruminative Responses Scale</t>
        </is>
      </c>
      <c r="C167" s="27" t="inlineStr">
        <is>
          <t>5. Repetitive negative thinking and self talk</t>
        </is>
      </c>
      <c r="D167" s="28" t="n">
        <v>10</v>
      </c>
      <c r="E167" s="27" t="inlineStr">
        <is>
          <t>Think "Why do I always react this way?"</t>
        </is>
      </c>
      <c r="F167" s="27" t="inlineStr">
        <is>
          <t>Brooding</t>
        </is>
      </c>
      <c r="G167" s="27" t="inlineStr">
        <is>
          <t>FALSE</t>
        </is>
      </c>
      <c r="H167" s="27" t="inlineStr">
        <is>
          <t>FALSE</t>
        </is>
      </c>
      <c r="I167" s="27" t="inlineStr">
        <is>
          <t>almost never = 1 | sometimes = 2 | often = 3 | almost always = 4</t>
        </is>
      </c>
      <c r="J167" s="27" t="n"/>
      <c r="K167" s="27" t="inlineStr">
        <is>
          <t>https://novopsych.com/assessments/formulation/ruminative-responses-scale-rrs/</t>
        </is>
      </c>
    </row>
    <row r="168" ht="23.85" customHeight="1" s="17">
      <c r="A168" s="27" t="inlineStr">
        <is>
          <t>RRS</t>
        </is>
      </c>
      <c r="B168" s="27" t="inlineStr">
        <is>
          <t>Ruminative Responses Scale</t>
        </is>
      </c>
      <c r="C168" s="27" t="inlineStr">
        <is>
          <t>5. Repetitive negative thinking and self talk</t>
        </is>
      </c>
      <c r="D168" s="28" t="n">
        <v>11</v>
      </c>
      <c r="E168" s="27" t="inlineStr">
        <is>
          <t>Go away by yourself and think about why you feel this way</t>
        </is>
      </c>
      <c r="F168" s="27" t="inlineStr">
        <is>
          <t>Reflection</t>
        </is>
      </c>
      <c r="G168" s="27" t="inlineStr">
        <is>
          <t>FALSE</t>
        </is>
      </c>
      <c r="H168" s="27" t="inlineStr">
        <is>
          <t>FALSE</t>
        </is>
      </c>
      <c r="I168" s="27" t="inlineStr">
        <is>
          <t>almost never = 1 | sometimes = 2 | often = 3 | almost always = 4</t>
        </is>
      </c>
      <c r="J168" s="27" t="n"/>
      <c r="K168" s="27" t="inlineStr">
        <is>
          <t>https://novopsych.com/assessments/formulation/ruminative-responses-scale-rrs/</t>
        </is>
      </c>
    </row>
    <row r="169" ht="57.45" customHeight="1" s="17">
      <c r="A169" s="27" t="inlineStr">
        <is>
          <t>RRS</t>
        </is>
      </c>
      <c r="B169" s="27" t="inlineStr">
        <is>
          <t>Ruminative Responses Scale</t>
        </is>
      </c>
      <c r="C169" s="27" t="inlineStr">
        <is>
          <t>5. Repetitive negative thinking and self talk</t>
        </is>
      </c>
      <c r="D169" s="28" t="n">
        <v>12</v>
      </c>
      <c r="E169" s="27" t="inlineStr">
        <is>
          <t>Write down what you are thinking about and analyze it</t>
        </is>
      </c>
      <c r="F169" s="27" t="inlineStr">
        <is>
          <t>Reflection</t>
        </is>
      </c>
      <c r="G169" s="27" t="inlineStr">
        <is>
          <t>FALSE</t>
        </is>
      </c>
      <c r="H169" s="27" t="inlineStr">
        <is>
          <t>FALSE</t>
        </is>
      </c>
      <c r="I169" s="27" t="inlineStr">
        <is>
          <t>almost never = 1 | sometimes = 2 | often = 3 | almost always = 4</t>
        </is>
      </c>
      <c r="J169" s="27" t="inlineStr">
        <is>
          <t>Text as given in the original Nolen-Hoeksema item sheet (websites.umich.edu/~gonzo/RuminationScale.pdf). The Treynor et al. (2003) subscale-mapping paper quotes this item slightly differently, without "about" ("Write down what you are thinking and analyze it") — flagging the minor wording discrepancy between the two fetched sources.</t>
        </is>
      </c>
      <c r="K169" s="27" t="inlineStr">
        <is>
          <t>https://novopsych.com/assessments/formulation/ruminative-responses-scale-rrs/</t>
        </is>
      </c>
    </row>
    <row r="170" ht="23.85" customHeight="1" s="17">
      <c r="A170" s="27" t="inlineStr">
        <is>
          <t>RRS</t>
        </is>
      </c>
      <c r="B170" s="27" t="inlineStr">
        <is>
          <t>Ruminative Responses Scale</t>
        </is>
      </c>
      <c r="C170" s="27" t="inlineStr">
        <is>
          <t>5. Repetitive negative thinking and self talk</t>
        </is>
      </c>
      <c r="D170" s="28" t="n">
        <v>13</v>
      </c>
      <c r="E170" s="27" t="inlineStr">
        <is>
          <t>Think about a recent situation, wishing it had gone better</t>
        </is>
      </c>
      <c r="F170" s="27" t="inlineStr">
        <is>
          <t>Brooding</t>
        </is>
      </c>
      <c r="G170" s="27" t="inlineStr">
        <is>
          <t>FALSE</t>
        </is>
      </c>
      <c r="H170" s="27" t="inlineStr">
        <is>
          <t>FALSE</t>
        </is>
      </c>
      <c r="I170" s="27" t="inlineStr">
        <is>
          <t>almost never = 1 | sometimes = 2 | often = 3 | almost always = 4</t>
        </is>
      </c>
      <c r="J170" s="27" t="n"/>
      <c r="K170" s="27" t="inlineStr">
        <is>
          <t>https://novopsych.com/assessments/formulation/ruminative-responses-scale-rrs/</t>
        </is>
      </c>
    </row>
    <row r="171" ht="23.85" customHeight="1" s="17">
      <c r="A171" s="27" t="inlineStr">
        <is>
          <t>RRS</t>
        </is>
      </c>
      <c r="B171" s="27" t="inlineStr">
        <is>
          <t>Ruminative Responses Scale</t>
        </is>
      </c>
      <c r="C171" s="27" t="inlineStr">
        <is>
          <t>5. Repetitive negative thinking and self talk</t>
        </is>
      </c>
      <c r="D171" s="28" t="n">
        <v>14</v>
      </c>
      <c r="E171" s="27" t="inlineStr">
        <is>
          <t>Think "I won't be able to concentrate if I keep feeling this way"</t>
        </is>
      </c>
      <c r="F171" s="27" t="inlineStr">
        <is>
          <t>Depression-related items (not scored as a subscale)</t>
        </is>
      </c>
      <c r="G171" s="27" t="inlineStr">
        <is>
          <t>FALSE</t>
        </is>
      </c>
      <c r="H171" s="27" t="inlineStr">
        <is>
          <t>FALSE</t>
        </is>
      </c>
      <c r="I171" s="27" t="inlineStr">
        <is>
          <t>almost never = 1 | sometimes = 2 | often = 3 | almost always = 4</t>
        </is>
      </c>
      <c r="J171" s="27" t="n"/>
      <c r="K171" s="27" t="inlineStr">
        <is>
          <t>https://novopsych.com/assessments/formulation/ruminative-responses-scale-rrs/</t>
        </is>
      </c>
    </row>
    <row r="172" ht="23.85" customHeight="1" s="17">
      <c r="A172" s="27" t="inlineStr">
        <is>
          <t>RRS</t>
        </is>
      </c>
      <c r="B172" s="27" t="inlineStr">
        <is>
          <t>Ruminative Responses Scale</t>
        </is>
      </c>
      <c r="C172" s="27" t="inlineStr">
        <is>
          <t>5. Repetitive negative thinking and self talk</t>
        </is>
      </c>
      <c r="D172" s="28" t="n">
        <v>15</v>
      </c>
      <c r="E172" s="27" t="inlineStr">
        <is>
          <t>Think "Why do I have problems other people don't have?"</t>
        </is>
      </c>
      <c r="F172" s="27" t="inlineStr">
        <is>
          <t>Brooding</t>
        </is>
      </c>
      <c r="G172" s="27" t="inlineStr">
        <is>
          <t>FALSE</t>
        </is>
      </c>
      <c r="H172" s="27" t="inlineStr">
        <is>
          <t>FALSE</t>
        </is>
      </c>
      <c r="I172" s="27" t="inlineStr">
        <is>
          <t>almost never = 1 | sometimes = 2 | often = 3 | almost always = 4</t>
        </is>
      </c>
      <c r="J172" s="27" t="n"/>
      <c r="K172" s="27" t="inlineStr">
        <is>
          <t>https://novopsych.com/assessments/formulation/ruminative-responses-scale-rrs/</t>
        </is>
      </c>
    </row>
    <row r="173" ht="23.85" customHeight="1" s="17">
      <c r="A173" s="27" t="inlineStr">
        <is>
          <t>RRS</t>
        </is>
      </c>
      <c r="B173" s="27" t="inlineStr">
        <is>
          <t>Ruminative Responses Scale</t>
        </is>
      </c>
      <c r="C173" s="27" t="inlineStr">
        <is>
          <t>5. Repetitive negative thinking and self talk</t>
        </is>
      </c>
      <c r="D173" s="28" t="n">
        <v>16</v>
      </c>
      <c r="E173" s="27" t="inlineStr">
        <is>
          <t>Think "Why can't I handle things better?"</t>
        </is>
      </c>
      <c r="F173" s="27" t="inlineStr">
        <is>
          <t>Brooding</t>
        </is>
      </c>
      <c r="G173" s="27" t="inlineStr">
        <is>
          <t>FALSE</t>
        </is>
      </c>
      <c r="H173" s="27" t="inlineStr">
        <is>
          <t>FALSE</t>
        </is>
      </c>
      <c r="I173" s="27" t="inlineStr">
        <is>
          <t>almost never = 1 | sometimes = 2 | often = 3 | almost always = 4</t>
        </is>
      </c>
      <c r="J173" s="27" t="n"/>
      <c r="K173" s="27" t="inlineStr">
        <is>
          <t>https://novopsych.com/assessments/formulation/ruminative-responses-scale-rrs/</t>
        </is>
      </c>
    </row>
    <row r="174" ht="23.85" customHeight="1" s="17">
      <c r="A174" s="27" t="inlineStr">
        <is>
          <t>RRS</t>
        </is>
      </c>
      <c r="B174" s="27" t="inlineStr">
        <is>
          <t>Ruminative Responses Scale</t>
        </is>
      </c>
      <c r="C174" s="27" t="inlineStr">
        <is>
          <t>5. Repetitive negative thinking and self talk</t>
        </is>
      </c>
      <c r="D174" s="28" t="n">
        <v>17</v>
      </c>
      <c r="E174" s="27" t="inlineStr">
        <is>
          <t>Think about how sad you feel</t>
        </is>
      </c>
      <c r="F174" s="27" t="inlineStr">
        <is>
          <t>Depression-related items (not scored as a subscale)</t>
        </is>
      </c>
      <c r="G174" s="27" t="inlineStr">
        <is>
          <t>FALSE</t>
        </is>
      </c>
      <c r="H174" s="27" t="inlineStr">
        <is>
          <t>FALSE</t>
        </is>
      </c>
      <c r="I174" s="27" t="inlineStr">
        <is>
          <t>almost never = 1 | sometimes = 2 | often = 3 | almost always = 4</t>
        </is>
      </c>
      <c r="J174" s="27" t="n"/>
      <c r="K174" s="27" t="inlineStr">
        <is>
          <t>https://novopsych.com/assessments/formulation/ruminative-responses-scale-rrs/</t>
        </is>
      </c>
    </row>
    <row r="175" ht="23.85" customHeight="1" s="17">
      <c r="A175" s="27" t="inlineStr">
        <is>
          <t>RRS</t>
        </is>
      </c>
      <c r="B175" s="27" t="inlineStr">
        <is>
          <t>Ruminative Responses Scale</t>
        </is>
      </c>
      <c r="C175" s="27" t="inlineStr">
        <is>
          <t>5. Repetitive negative thinking and self talk</t>
        </is>
      </c>
      <c r="D175" s="28" t="n">
        <v>18</v>
      </c>
      <c r="E175" s="27" t="inlineStr">
        <is>
          <t>Think about all your shortcomings, failings, faults, mistakes</t>
        </is>
      </c>
      <c r="F175" s="27" t="inlineStr">
        <is>
          <t>Depression-related items (not scored as a subscale)</t>
        </is>
      </c>
      <c r="G175" s="27" t="inlineStr">
        <is>
          <t>FALSE</t>
        </is>
      </c>
      <c r="H175" s="27" t="inlineStr">
        <is>
          <t>FALSE</t>
        </is>
      </c>
      <c r="I175" s="27" t="inlineStr">
        <is>
          <t>almost never = 1 | sometimes = 2 | often = 3 | almost always = 4</t>
        </is>
      </c>
      <c r="J175" s="27" t="n"/>
      <c r="K175" s="27" t="inlineStr">
        <is>
          <t>https://novopsych.com/assessments/formulation/ruminative-responses-scale-rrs/</t>
        </is>
      </c>
    </row>
    <row r="176" ht="23.85" customHeight="1" s="17">
      <c r="A176" s="27" t="inlineStr">
        <is>
          <t>RRS</t>
        </is>
      </c>
      <c r="B176" s="27" t="inlineStr">
        <is>
          <t>Ruminative Responses Scale</t>
        </is>
      </c>
      <c r="C176" s="27" t="inlineStr">
        <is>
          <t>5. Repetitive negative thinking and self talk</t>
        </is>
      </c>
      <c r="D176" s="28" t="n">
        <v>19</v>
      </c>
      <c r="E176" s="27" t="inlineStr">
        <is>
          <t>Think about how you don't feel up to doing anything</t>
        </is>
      </c>
      <c r="F176" s="27" t="inlineStr">
        <is>
          <t>Depression-related items (not scored as a subscale)</t>
        </is>
      </c>
      <c r="G176" s="27" t="inlineStr">
        <is>
          <t>FALSE</t>
        </is>
      </c>
      <c r="H176" s="27" t="inlineStr">
        <is>
          <t>FALSE</t>
        </is>
      </c>
      <c r="I176" s="27" t="inlineStr">
        <is>
          <t>almost never = 1 | sometimes = 2 | often = 3 | almost always = 4</t>
        </is>
      </c>
      <c r="J176" s="27" t="n"/>
      <c r="K176" s="27" t="inlineStr">
        <is>
          <t>https://novopsych.com/assessments/formulation/ruminative-responses-scale-rrs/</t>
        </is>
      </c>
    </row>
    <row r="177" ht="23.85" customHeight="1" s="17">
      <c r="A177" s="27" t="inlineStr">
        <is>
          <t>RRS</t>
        </is>
      </c>
      <c r="B177" s="27" t="inlineStr">
        <is>
          <t>Ruminative Responses Scale</t>
        </is>
      </c>
      <c r="C177" s="27" t="inlineStr">
        <is>
          <t>5. Repetitive negative thinking and self talk</t>
        </is>
      </c>
      <c r="D177" s="28" t="n">
        <v>20</v>
      </c>
      <c r="E177" s="27" t="inlineStr">
        <is>
          <t>Analyze your personality to try to understand why you are depressed</t>
        </is>
      </c>
      <c r="F177" s="27" t="inlineStr">
        <is>
          <t>Reflection</t>
        </is>
      </c>
      <c r="G177" s="27" t="inlineStr">
        <is>
          <t>FALSE</t>
        </is>
      </c>
      <c r="H177" s="27" t="inlineStr">
        <is>
          <t>FALSE</t>
        </is>
      </c>
      <c r="I177" s="27" t="inlineStr">
        <is>
          <t>almost never = 1 | sometimes = 2 | often = 3 | almost always = 4</t>
        </is>
      </c>
      <c r="J177" s="27" t="n"/>
      <c r="K177" s="27" t="inlineStr">
        <is>
          <t>https://novopsych.com/assessments/formulation/ruminative-responses-scale-rrs/</t>
        </is>
      </c>
    </row>
    <row r="178" ht="23.85" customHeight="1" s="17">
      <c r="A178" s="27" t="inlineStr">
        <is>
          <t>RRS</t>
        </is>
      </c>
      <c r="B178" s="27" t="inlineStr">
        <is>
          <t>Ruminative Responses Scale</t>
        </is>
      </c>
      <c r="C178" s="27" t="inlineStr">
        <is>
          <t>5. Repetitive negative thinking and self talk</t>
        </is>
      </c>
      <c r="D178" s="28" t="n">
        <v>21</v>
      </c>
      <c r="E178" s="27" t="inlineStr">
        <is>
          <t>Go someplace alone to think about your feelings</t>
        </is>
      </c>
      <c r="F178" s="27" t="inlineStr">
        <is>
          <t>Reflection</t>
        </is>
      </c>
      <c r="G178" s="27" t="inlineStr">
        <is>
          <t>FALSE</t>
        </is>
      </c>
      <c r="H178" s="27" t="inlineStr">
        <is>
          <t>FALSE</t>
        </is>
      </c>
      <c r="I178" s="27" t="inlineStr">
        <is>
          <t>almost never = 1 | sometimes = 2 | often = 3 | almost always = 4</t>
        </is>
      </c>
      <c r="J178" s="27" t="n"/>
      <c r="K178" s="27" t="inlineStr">
        <is>
          <t>https://novopsych.com/assessments/formulation/ruminative-responses-scale-rrs/</t>
        </is>
      </c>
    </row>
    <row r="179" ht="23.85" customHeight="1" s="17">
      <c r="A179" s="27" t="inlineStr">
        <is>
          <t>RRS</t>
        </is>
      </c>
      <c r="B179" s="27" t="inlineStr">
        <is>
          <t>Ruminative Responses Scale</t>
        </is>
      </c>
      <c r="C179" s="27" t="inlineStr">
        <is>
          <t>5. Repetitive negative thinking and self talk</t>
        </is>
      </c>
      <c r="D179" s="28" t="n">
        <v>22</v>
      </c>
      <c r="E179" s="27" t="inlineStr">
        <is>
          <t>Think about how angry you are with yourself</t>
        </is>
      </c>
      <c r="F179" s="27" t="inlineStr">
        <is>
          <t>Depression-related items (not scored as a subscale)</t>
        </is>
      </c>
      <c r="G179" s="27" t="inlineStr">
        <is>
          <t>FALSE</t>
        </is>
      </c>
      <c r="H179" s="27" t="inlineStr">
        <is>
          <t>FALSE</t>
        </is>
      </c>
      <c r="I179" s="27" t="inlineStr">
        <is>
          <t>almost never = 1 | sometimes = 2 | often = 3 | almost always = 4</t>
        </is>
      </c>
      <c r="J179" s="27" t="n"/>
      <c r="K179" s="27" t="inlineStr">
        <is>
          <t>https://novopsych.com/assessments/formulation/ruminative-responses-scale-rrs/</t>
        </is>
      </c>
    </row>
    <row r="180" ht="46.25" customHeight="1" s="17">
      <c r="A180" s="27" t="inlineStr">
        <is>
          <t>FSCRS</t>
        </is>
      </c>
      <c r="B180" s="27" t="inlineStr">
        <is>
          <t>Forms of Self-Criticising/Attacking and Self-Reassuring Scale</t>
        </is>
      </c>
      <c r="C180" s="27" t="inlineStr">
        <is>
          <t>5. Repetitive negative thinking and self talk</t>
        </is>
      </c>
      <c r="D180" s="28" t="n">
        <v>1</v>
      </c>
      <c r="E180" s="27" t="inlineStr">
        <is>
          <t>I am easily disappointed with myself.</t>
        </is>
      </c>
      <c r="F180" s="27" t="inlineStr">
        <is>
          <t>Inadequate Self</t>
        </is>
      </c>
      <c r="G180" s="27" t="inlineStr">
        <is>
          <t>FALSE</t>
        </is>
      </c>
      <c r="H180" s="27" t="inlineStr">
        <is>
          <t>FALSE</t>
        </is>
      </c>
      <c r="I180" s="27" t="inlineStr">
        <is>
          <t>Not at all like me = 0 | A little bit like me = 1 | Moderately like me = 2 | Quite a bit like me = 3 | Extremely like me = 4</t>
        </is>
      </c>
      <c r="J180" s="27" t="n"/>
      <c r="K180" s="27" t="inlineStr">
        <is>
          <t>https://d3n8a8pro7vhmx.cloudfront.net/portlandpsychotherapy/pages/21/attachments/original/1438799410/Forms_of_self-criticising_and_self_reassuring_scale.pdf</t>
        </is>
      </c>
    </row>
    <row r="181" ht="46.25" customHeight="1" s="17">
      <c r="A181" s="27" t="inlineStr">
        <is>
          <t>FSCRS</t>
        </is>
      </c>
      <c r="B181" s="27" t="inlineStr">
        <is>
          <t>Forms of Self-Criticising/Attacking and Self-Reassuring Scale</t>
        </is>
      </c>
      <c r="C181" s="27" t="inlineStr">
        <is>
          <t>5. Repetitive negative thinking and self talk</t>
        </is>
      </c>
      <c r="D181" s="28" t="n">
        <v>2</v>
      </c>
      <c r="E181" s="27" t="inlineStr">
        <is>
          <t>There is a part of me that puts me down.</t>
        </is>
      </c>
      <c r="F181" s="27" t="inlineStr">
        <is>
          <t>Inadequate Self</t>
        </is>
      </c>
      <c r="G181" s="27" t="inlineStr">
        <is>
          <t>FALSE</t>
        </is>
      </c>
      <c r="H181" s="27" t="inlineStr">
        <is>
          <t>FALSE</t>
        </is>
      </c>
      <c r="I181" s="27" t="inlineStr">
        <is>
          <t>Not at all like me = 0 | A little bit like me = 1 | Moderately like me = 2 | Quite a bit like me = 3 | Extremely like me = 4</t>
        </is>
      </c>
      <c r="J181" s="27" t="n"/>
      <c r="K181" s="27" t="inlineStr">
        <is>
          <t>https://d3n8a8pro7vhmx.cloudfront.net/portlandpsychotherapy/pages/21/attachments/original/1438799410/Forms_of_self-criticising_and_self_reassuring_scale.pdf</t>
        </is>
      </c>
    </row>
    <row r="182" ht="46.25" customHeight="1" s="17">
      <c r="A182" s="27" t="inlineStr">
        <is>
          <t>FSCRS</t>
        </is>
      </c>
      <c r="B182" s="27" t="inlineStr">
        <is>
          <t>Forms of Self-Criticising/Attacking and Self-Reassuring Scale</t>
        </is>
      </c>
      <c r="C182" s="27" t="inlineStr">
        <is>
          <t>5. Repetitive negative thinking and self talk</t>
        </is>
      </c>
      <c r="D182" s="28" t="n">
        <v>3</v>
      </c>
      <c r="E182" s="27" t="inlineStr">
        <is>
          <t>I am able to remind myself of positive things about myself.</t>
        </is>
      </c>
      <c r="F182" s="27" t="inlineStr">
        <is>
          <t>Reassured Self</t>
        </is>
      </c>
      <c r="G182" s="27" t="inlineStr">
        <is>
          <t>FALSE</t>
        </is>
      </c>
      <c r="H182" s="27" t="inlineStr">
        <is>
          <t>FALSE</t>
        </is>
      </c>
      <c r="I182" s="27" t="inlineStr">
        <is>
          <t>Not at all like me = 0 | A little bit like me = 1 | Moderately like me = 2 | Quite a bit like me = 3 | Extremely like me = 4</t>
        </is>
      </c>
      <c r="J182" s="27" t="n"/>
      <c r="K182" s="27" t="inlineStr">
        <is>
          <t>https://d3n8a8pro7vhmx.cloudfront.net/portlandpsychotherapy/pages/21/attachments/original/1438799410/Forms_of_self-criticising_and_self_reassuring_scale.pdf</t>
        </is>
      </c>
    </row>
    <row r="183" ht="46.25" customHeight="1" s="17">
      <c r="A183" s="27" t="inlineStr">
        <is>
          <t>FSCRS</t>
        </is>
      </c>
      <c r="B183" s="27" t="inlineStr">
        <is>
          <t>Forms of Self-Criticising/Attacking and Self-Reassuring Scale</t>
        </is>
      </c>
      <c r="C183" s="27" t="inlineStr">
        <is>
          <t>5. Repetitive negative thinking and self talk</t>
        </is>
      </c>
      <c r="D183" s="28" t="n">
        <v>4</v>
      </c>
      <c r="E183" s="27" t="inlineStr">
        <is>
          <t>I find it difficult to control my anger and frustration at myself.</t>
        </is>
      </c>
      <c r="F183" s="27" t="inlineStr">
        <is>
          <t>Inadequate Self</t>
        </is>
      </c>
      <c r="G183" s="27" t="inlineStr">
        <is>
          <t>FALSE</t>
        </is>
      </c>
      <c r="H183" s="27" t="inlineStr">
        <is>
          <t>FALSE</t>
        </is>
      </c>
      <c r="I183" s="27" t="inlineStr">
        <is>
          <t>Not at all like me = 0 | A little bit like me = 1 | Moderately like me = 2 | Quite a bit like me = 3 | Extremely like me = 4</t>
        </is>
      </c>
      <c r="J183" s="27" t="n"/>
      <c r="K183" s="27" t="inlineStr">
        <is>
          <t>https://d3n8a8pro7vhmx.cloudfront.net/portlandpsychotherapy/pages/21/attachments/original/1438799410/Forms_of_self-criticising_and_self_reassuring_scale.pdf</t>
        </is>
      </c>
    </row>
    <row r="184" ht="46.25" customHeight="1" s="17">
      <c r="A184" s="27" t="inlineStr">
        <is>
          <t>FSCRS</t>
        </is>
      </c>
      <c r="B184" s="27" t="inlineStr">
        <is>
          <t>Forms of Self-Criticising/Attacking and Self-Reassuring Scale</t>
        </is>
      </c>
      <c r="C184" s="27" t="inlineStr">
        <is>
          <t>5. Repetitive negative thinking and self talk</t>
        </is>
      </c>
      <c r="D184" s="28" t="n">
        <v>5</v>
      </c>
      <c r="E184" s="27" t="inlineStr">
        <is>
          <t>I find it easy to forgive myself.</t>
        </is>
      </c>
      <c r="F184" s="27" t="inlineStr">
        <is>
          <t>Reassured Self</t>
        </is>
      </c>
      <c r="G184" s="27" t="inlineStr">
        <is>
          <t>FALSE</t>
        </is>
      </c>
      <c r="H184" s="27" t="inlineStr">
        <is>
          <t>FALSE</t>
        </is>
      </c>
      <c r="I184" s="27" t="inlineStr">
        <is>
          <t>Not at all like me = 0 | A little bit like me = 1 | Moderately like me = 2 | Quite a bit like me = 3 | Extremely like me = 4</t>
        </is>
      </c>
      <c r="J184" s="27" t="n"/>
      <c r="K184" s="27" t="inlineStr">
        <is>
          <t>https://d3n8a8pro7vhmx.cloudfront.net/portlandpsychotherapy/pages/21/attachments/original/1438799410/Forms_of_self-criticising_and_self_reassuring_scale.pdf</t>
        </is>
      </c>
    </row>
    <row r="185" ht="46.25" customHeight="1" s="17">
      <c r="A185" s="27" t="inlineStr">
        <is>
          <t>FSCRS</t>
        </is>
      </c>
      <c r="B185" s="27" t="inlineStr">
        <is>
          <t>Forms of Self-Criticising/Attacking and Self-Reassuring Scale</t>
        </is>
      </c>
      <c r="C185" s="27" t="inlineStr">
        <is>
          <t>5. Repetitive negative thinking and self talk</t>
        </is>
      </c>
      <c r="D185" s="28" t="n">
        <v>6</v>
      </c>
      <c r="E185" s="27" t="inlineStr">
        <is>
          <t>There is a part of me that feels I am not good enough.</t>
        </is>
      </c>
      <c r="F185" s="27" t="inlineStr">
        <is>
          <t>Inadequate Self</t>
        </is>
      </c>
      <c r="G185" s="27" t="inlineStr">
        <is>
          <t>FALSE</t>
        </is>
      </c>
      <c r="H185" s="27" t="inlineStr">
        <is>
          <t>FALSE</t>
        </is>
      </c>
      <c r="I185" s="27" t="inlineStr">
        <is>
          <t>Not at all like me = 0 | A little bit like me = 1 | Moderately like me = 2 | Quite a bit like me = 3 | Extremely like me = 4</t>
        </is>
      </c>
      <c r="J185" s="27" t="n"/>
      <c r="K185" s="27" t="inlineStr">
        <is>
          <t>https://d3n8a8pro7vhmx.cloudfront.net/portlandpsychotherapy/pages/21/attachments/original/1438799410/Forms_of_self-criticising_and_self_reassuring_scale.pdf</t>
        </is>
      </c>
    </row>
    <row r="186" ht="46.25" customHeight="1" s="17">
      <c r="A186" s="27" t="inlineStr">
        <is>
          <t>FSCRS</t>
        </is>
      </c>
      <c r="B186" s="27" t="inlineStr">
        <is>
          <t>Forms of Self-Criticising/Attacking and Self-Reassuring Scale</t>
        </is>
      </c>
      <c r="C186" s="27" t="inlineStr">
        <is>
          <t>5. Repetitive negative thinking and self talk</t>
        </is>
      </c>
      <c r="D186" s="28" t="n">
        <v>7</v>
      </c>
      <c r="E186" s="27" t="inlineStr">
        <is>
          <t>I feel beaten down by my own self-critical thoughts.</t>
        </is>
      </c>
      <c r="F186" s="27" t="inlineStr">
        <is>
          <t>Inadequate Self</t>
        </is>
      </c>
      <c r="G186" s="27" t="inlineStr">
        <is>
          <t>FALSE</t>
        </is>
      </c>
      <c r="H186" s="27" t="inlineStr">
        <is>
          <t>FALSE</t>
        </is>
      </c>
      <c r="I186" s="27" t="inlineStr">
        <is>
          <t>Not at all like me = 0 | A little bit like me = 1 | Moderately like me = 2 | Quite a bit like me = 3 | Extremely like me = 4</t>
        </is>
      </c>
      <c r="J186" s="27" t="n"/>
      <c r="K186" s="27" t="inlineStr">
        <is>
          <t>https://d3n8a8pro7vhmx.cloudfront.net/portlandpsychotherapy/pages/21/attachments/original/1438799410/Forms_of_self-criticising_and_self_reassuring_scale.pdf</t>
        </is>
      </c>
    </row>
    <row r="187" ht="46.25" customHeight="1" s="17">
      <c r="A187" s="27" t="inlineStr">
        <is>
          <t>FSCRS</t>
        </is>
      </c>
      <c r="B187" s="27" t="inlineStr">
        <is>
          <t>Forms of Self-Criticising/Attacking and Self-Reassuring Scale</t>
        </is>
      </c>
      <c r="C187" s="27" t="inlineStr">
        <is>
          <t>5. Repetitive negative thinking and self talk</t>
        </is>
      </c>
      <c r="D187" s="28" t="n">
        <v>8</v>
      </c>
      <c r="E187" s="27" t="inlineStr">
        <is>
          <t>I still like being me.</t>
        </is>
      </c>
      <c r="F187" s="27" t="inlineStr">
        <is>
          <t>Reassured Self</t>
        </is>
      </c>
      <c r="G187" s="27" t="inlineStr">
        <is>
          <t>FALSE</t>
        </is>
      </c>
      <c r="H187" s="27" t="inlineStr">
        <is>
          <t>FALSE</t>
        </is>
      </c>
      <c r="I187" s="27" t="inlineStr">
        <is>
          <t>Not at all like me = 0 | A little bit like me = 1 | Moderately like me = 2 | Quite a bit like me = 3 | Extremely like me = 4</t>
        </is>
      </c>
      <c r="J187" s="27" t="n"/>
      <c r="K187" s="27" t="inlineStr">
        <is>
          <t>https://d3n8a8pro7vhmx.cloudfront.net/portlandpsychotherapy/pages/21/attachments/original/1438799410/Forms_of_self-criticising_and_self_reassuring_scale.pdf</t>
        </is>
      </c>
    </row>
    <row r="188" ht="57.45" customHeight="1" s="17">
      <c r="A188" s="27" t="inlineStr">
        <is>
          <t>FSCRS</t>
        </is>
      </c>
      <c r="B188" s="27" t="inlineStr">
        <is>
          <t>Forms of Self-Criticising/Attacking and Self-Reassuring Scale</t>
        </is>
      </c>
      <c r="C188" s="27" t="inlineStr">
        <is>
          <t>5. Repetitive negative thinking and self talk</t>
        </is>
      </c>
      <c r="D188" s="28" t="n">
        <v>9</v>
      </c>
      <c r="E188" s="27" t="inlineStr">
        <is>
          <t>I have become so angry with myself that I want to hurt or injure myself.</t>
        </is>
      </c>
      <c r="F188" s="27" t="inlineStr">
        <is>
          <t>Hated Self</t>
        </is>
      </c>
      <c r="G188" s="27" t="inlineStr">
        <is>
          <t>FALSE</t>
        </is>
      </c>
      <c r="H188" s="27" t="inlineStr">
        <is>
          <t>FALSE</t>
        </is>
      </c>
      <c r="I188" s="27" t="inlineStr">
        <is>
          <t>Not at all like me = 0 | A little bit like me = 1 | Moderately like me = 2 | Quite a bit like me = 3 | Extremely like me = 4</t>
        </is>
      </c>
      <c r="J188" s="27" t="inlineStr">
        <is>
          <t>Sits close to self-harm content. Needs careful, consent-based framing in coaching: introduce only with appropriate rapport and a clear safety-checking plan for what happens if this item is endorsed, and treat any endorsement as a prompt for sensitive follow-up and referral consideration rather than something to work with in coaching alone.</t>
        </is>
      </c>
      <c r="K188" s="27" t="inlineStr">
        <is>
          <t>https://d3n8a8pro7vhmx.cloudfront.net/portlandpsychotherapy/pages/21/attachments/original/1438799410/Forms_of_self-criticising_and_self_reassuring_scale.pdf</t>
        </is>
      </c>
    </row>
    <row r="189" ht="46.25" customHeight="1" s="17">
      <c r="A189" s="27" t="inlineStr">
        <is>
          <t>FSCRS</t>
        </is>
      </c>
      <c r="B189" s="27" t="inlineStr">
        <is>
          <t>Forms of Self-Criticising/Attacking and Self-Reassuring Scale</t>
        </is>
      </c>
      <c r="C189" s="27" t="inlineStr">
        <is>
          <t>5. Repetitive negative thinking and self talk</t>
        </is>
      </c>
      <c r="D189" s="28" t="n">
        <v>10</v>
      </c>
      <c r="E189" s="27" t="inlineStr">
        <is>
          <t>I have a sense of disgust with myself.</t>
        </is>
      </c>
      <c r="F189" s="27" t="inlineStr">
        <is>
          <t>Hated Self</t>
        </is>
      </c>
      <c r="G189" s="27" t="inlineStr">
        <is>
          <t>FALSE</t>
        </is>
      </c>
      <c r="H189" s="27" t="inlineStr">
        <is>
          <t>FALSE</t>
        </is>
      </c>
      <c r="I189" s="27" t="inlineStr">
        <is>
          <t>Not at all like me = 0 | A little bit like me = 1 | Moderately like me = 2 | Quite a bit like me = 3 | Extremely like me = 4</t>
        </is>
      </c>
      <c r="J189" s="27" t="n"/>
      <c r="K189" s="27" t="inlineStr">
        <is>
          <t>https://d3n8a8pro7vhmx.cloudfront.net/portlandpsychotherapy/pages/21/attachments/original/1438799410/Forms_of_self-criticising_and_self_reassuring_scale.pdf</t>
        </is>
      </c>
    </row>
    <row r="190" ht="46.25" customHeight="1" s="17">
      <c r="A190" s="27" t="inlineStr">
        <is>
          <t>FSCRS</t>
        </is>
      </c>
      <c r="B190" s="27" t="inlineStr">
        <is>
          <t>Forms of Self-Criticising/Attacking and Self-Reassuring Scale</t>
        </is>
      </c>
      <c r="C190" s="27" t="inlineStr">
        <is>
          <t>5. Repetitive negative thinking and self talk</t>
        </is>
      </c>
      <c r="D190" s="28" t="n">
        <v>11</v>
      </c>
      <c r="E190" s="27" t="inlineStr">
        <is>
          <t>I can still feel lovable and acceptable.</t>
        </is>
      </c>
      <c r="F190" s="27" t="inlineStr">
        <is>
          <t>Reassured Self</t>
        </is>
      </c>
      <c r="G190" s="27" t="inlineStr">
        <is>
          <t>FALSE</t>
        </is>
      </c>
      <c r="H190" s="27" t="inlineStr">
        <is>
          <t>FALSE</t>
        </is>
      </c>
      <c r="I190" s="27" t="inlineStr">
        <is>
          <t>Not at all like me = 0 | A little bit like me = 1 | Moderately like me = 2 | Quite a bit like me = 3 | Extremely like me = 4</t>
        </is>
      </c>
      <c r="J190" s="27" t="n"/>
      <c r="K190" s="27" t="inlineStr">
        <is>
          <t>https://d3n8a8pro7vhmx.cloudfront.net/portlandpsychotherapy/pages/21/attachments/original/1438799410/Forms_of_self-criticising_and_self_reassuring_scale.pdf</t>
        </is>
      </c>
    </row>
    <row r="191" ht="46.25" customHeight="1" s="17">
      <c r="A191" s="27" t="inlineStr">
        <is>
          <t>FSCRS</t>
        </is>
      </c>
      <c r="B191" s="27" t="inlineStr">
        <is>
          <t>Forms of Self-Criticising/Attacking and Self-Reassuring Scale</t>
        </is>
      </c>
      <c r="C191" s="27" t="inlineStr">
        <is>
          <t>5. Repetitive negative thinking and self talk</t>
        </is>
      </c>
      <c r="D191" s="28" t="n">
        <v>12</v>
      </c>
      <c r="E191" s="27" t="inlineStr">
        <is>
          <t>I stop caring about myself.</t>
        </is>
      </c>
      <c r="F191" s="27" t="inlineStr">
        <is>
          <t>Hated Self</t>
        </is>
      </c>
      <c r="G191" s="27" t="inlineStr">
        <is>
          <t>FALSE</t>
        </is>
      </c>
      <c r="H191" s="27" t="inlineStr">
        <is>
          <t>FALSE</t>
        </is>
      </c>
      <c r="I191" s="27" t="inlineStr">
        <is>
          <t>Not at all like me = 0 | A little bit like me = 1 | Moderately like me = 2 | Quite a bit like me = 3 | Extremely like me = 4</t>
        </is>
      </c>
      <c r="J191" s="27" t="n"/>
      <c r="K191" s="27" t="inlineStr">
        <is>
          <t>https://d3n8a8pro7vhmx.cloudfront.net/portlandpsychotherapy/pages/21/attachments/original/1438799410/Forms_of_self-criticising_and_self_reassuring_scale.pdf</t>
        </is>
      </c>
    </row>
    <row r="192" ht="46.25" customHeight="1" s="17">
      <c r="A192" s="27" t="inlineStr">
        <is>
          <t>FSCRS</t>
        </is>
      </c>
      <c r="B192" s="27" t="inlineStr">
        <is>
          <t>Forms of Self-Criticising/Attacking and Self-Reassuring Scale</t>
        </is>
      </c>
      <c r="C192" s="27" t="inlineStr">
        <is>
          <t>5. Repetitive negative thinking and self talk</t>
        </is>
      </c>
      <c r="D192" s="28" t="n">
        <v>13</v>
      </c>
      <c r="E192" s="27" t="inlineStr">
        <is>
          <t>I find it easy to like myself.</t>
        </is>
      </c>
      <c r="F192" s="27" t="inlineStr">
        <is>
          <t>Reassured Self</t>
        </is>
      </c>
      <c r="G192" s="27" t="inlineStr">
        <is>
          <t>FALSE</t>
        </is>
      </c>
      <c r="H192" s="27" t="inlineStr">
        <is>
          <t>FALSE</t>
        </is>
      </c>
      <c r="I192" s="27" t="inlineStr">
        <is>
          <t>Not at all like me = 0 | A little bit like me = 1 | Moderately like me = 2 | Quite a bit like me = 3 | Extremely like me = 4</t>
        </is>
      </c>
      <c r="J192" s="27" t="n"/>
      <c r="K192" s="27" t="inlineStr">
        <is>
          <t>https://d3n8a8pro7vhmx.cloudfront.net/portlandpsychotherapy/pages/21/attachments/original/1438799410/Forms_of_self-criticising_and_self_reassuring_scale.pdf</t>
        </is>
      </c>
    </row>
    <row r="193" ht="46.25" customHeight="1" s="17">
      <c r="A193" s="27" t="inlineStr">
        <is>
          <t>FSCRS</t>
        </is>
      </c>
      <c r="B193" s="27" t="inlineStr">
        <is>
          <t>Forms of Self-Criticising/Attacking and Self-Reassuring Scale</t>
        </is>
      </c>
      <c r="C193" s="27" t="inlineStr">
        <is>
          <t>5. Repetitive negative thinking and self talk</t>
        </is>
      </c>
      <c r="D193" s="28" t="n">
        <v>14</v>
      </c>
      <c r="E193" s="27" t="inlineStr">
        <is>
          <t>I remember and dwell on my failings.</t>
        </is>
      </c>
      <c r="F193" s="27" t="inlineStr">
        <is>
          <t>Inadequate Self</t>
        </is>
      </c>
      <c r="G193" s="27" t="inlineStr">
        <is>
          <t>FALSE</t>
        </is>
      </c>
      <c r="H193" s="27" t="inlineStr">
        <is>
          <t>FALSE</t>
        </is>
      </c>
      <c r="I193" s="27" t="inlineStr">
        <is>
          <t>Not at all like me = 0 | A little bit like me = 1 | Moderately like me = 2 | Quite a bit like me = 3 | Extremely like me = 4</t>
        </is>
      </c>
      <c r="J193" s="27" t="n"/>
      <c r="K193" s="27" t="inlineStr">
        <is>
          <t>https://d3n8a8pro7vhmx.cloudfront.net/portlandpsychotherapy/pages/21/attachments/original/1438799410/Forms_of_self-criticising_and_self_reassuring_scale.pdf</t>
        </is>
      </c>
    </row>
    <row r="194" ht="46.25" customHeight="1" s="17">
      <c r="A194" s="27" t="inlineStr">
        <is>
          <t>FSCRS</t>
        </is>
      </c>
      <c r="B194" s="27" t="inlineStr">
        <is>
          <t>Forms of Self-Criticising/Attacking and Self-Reassuring Scale</t>
        </is>
      </c>
      <c r="C194" s="27" t="inlineStr">
        <is>
          <t>5. Repetitive negative thinking and self talk</t>
        </is>
      </c>
      <c r="D194" s="28" t="n">
        <v>15</v>
      </c>
      <c r="E194" s="27" t="inlineStr">
        <is>
          <t>I call myself names.</t>
        </is>
      </c>
      <c r="F194" s="27" t="inlineStr">
        <is>
          <t>Hated Self</t>
        </is>
      </c>
      <c r="G194" s="27" t="inlineStr">
        <is>
          <t>FALSE</t>
        </is>
      </c>
      <c r="H194" s="27" t="inlineStr">
        <is>
          <t>FALSE</t>
        </is>
      </c>
      <c r="I194" s="27" t="inlineStr">
        <is>
          <t>Not at all like me = 0 | A little bit like me = 1 | Moderately like me = 2 | Quite a bit like me = 3 | Extremely like me = 4</t>
        </is>
      </c>
      <c r="J194" s="27" t="n"/>
      <c r="K194" s="27" t="inlineStr">
        <is>
          <t>https://d3n8a8pro7vhmx.cloudfront.net/portlandpsychotherapy/pages/21/attachments/original/1438799410/Forms_of_self-criticising_and_self_reassuring_scale.pdf</t>
        </is>
      </c>
    </row>
    <row r="195" ht="46.25" customHeight="1" s="17">
      <c r="A195" s="27" t="inlineStr">
        <is>
          <t>FSCRS</t>
        </is>
      </c>
      <c r="B195" s="27" t="inlineStr">
        <is>
          <t>Forms of Self-Criticising/Attacking and Self-Reassuring Scale</t>
        </is>
      </c>
      <c r="C195" s="27" t="inlineStr">
        <is>
          <t>5. Repetitive negative thinking and self talk</t>
        </is>
      </c>
      <c r="D195" s="28" t="n">
        <v>16</v>
      </c>
      <c r="E195" s="27" t="inlineStr">
        <is>
          <t>I am gentle and supportive with myself.</t>
        </is>
      </c>
      <c r="F195" s="27" t="inlineStr">
        <is>
          <t>Reassured Self</t>
        </is>
      </c>
      <c r="G195" s="27" t="inlineStr">
        <is>
          <t>FALSE</t>
        </is>
      </c>
      <c r="H195" s="27" t="inlineStr">
        <is>
          <t>FALSE</t>
        </is>
      </c>
      <c r="I195" s="27" t="inlineStr">
        <is>
          <t>Not at all like me = 0 | A little bit like me = 1 | Moderately like me = 2 | Quite a bit like me = 3 | Extremely like me = 4</t>
        </is>
      </c>
      <c r="J195" s="27" t="n"/>
      <c r="K195" s="27" t="inlineStr">
        <is>
          <t>https://d3n8a8pro7vhmx.cloudfront.net/portlandpsychotherapy/pages/21/attachments/original/1438799410/Forms_of_self-criticising_and_self_reassuring_scale.pdf</t>
        </is>
      </c>
    </row>
    <row r="196" ht="46.25" customHeight="1" s="17">
      <c r="A196" s="27" t="inlineStr">
        <is>
          <t>FSCRS</t>
        </is>
      </c>
      <c r="B196" s="27" t="inlineStr">
        <is>
          <t>Forms of Self-Criticising/Attacking and Self-Reassuring Scale</t>
        </is>
      </c>
      <c r="C196" s="27" t="inlineStr">
        <is>
          <t>5. Repetitive negative thinking and self talk</t>
        </is>
      </c>
      <c r="D196" s="28" t="n">
        <v>17</v>
      </c>
      <c r="E196" s="27" t="inlineStr">
        <is>
          <t>I can't accept failures and setbacks without feeling inadequate.</t>
        </is>
      </c>
      <c r="F196" s="27" t="inlineStr">
        <is>
          <t>Inadequate Self</t>
        </is>
      </c>
      <c r="G196" s="27" t="inlineStr">
        <is>
          <t>FALSE</t>
        </is>
      </c>
      <c r="H196" s="27" t="inlineStr">
        <is>
          <t>FALSE</t>
        </is>
      </c>
      <c r="I196" s="27" t="inlineStr">
        <is>
          <t>Not at all like me = 0 | A little bit like me = 1 | Moderately like me = 2 | Quite a bit like me = 3 | Extremely like me = 4</t>
        </is>
      </c>
      <c r="J196" s="27" t="n"/>
      <c r="K196" s="27" t="inlineStr">
        <is>
          <t>https://d3n8a8pro7vhmx.cloudfront.net/portlandpsychotherapy/pages/21/attachments/original/1438799410/Forms_of_self-criticising_and_self_reassuring_scale.pdf</t>
        </is>
      </c>
    </row>
    <row r="197" ht="46.25" customHeight="1" s="17">
      <c r="A197" s="27" t="inlineStr">
        <is>
          <t>FSCRS</t>
        </is>
      </c>
      <c r="B197" s="27" t="inlineStr">
        <is>
          <t>Forms of Self-Criticising/Attacking and Self-Reassuring Scale</t>
        </is>
      </c>
      <c r="C197" s="27" t="inlineStr">
        <is>
          <t>5. Repetitive negative thinking and self talk</t>
        </is>
      </c>
      <c r="D197" s="28" t="n">
        <v>18</v>
      </c>
      <c r="E197" s="27" t="inlineStr">
        <is>
          <t>I think I deserve my self-criticism.</t>
        </is>
      </c>
      <c r="F197" s="27" t="inlineStr">
        <is>
          <t>Inadequate Self</t>
        </is>
      </c>
      <c r="G197" s="27" t="inlineStr">
        <is>
          <t>FALSE</t>
        </is>
      </c>
      <c r="H197" s="27" t="inlineStr">
        <is>
          <t>FALSE</t>
        </is>
      </c>
      <c r="I197" s="27" t="inlineStr">
        <is>
          <t>Not at all like me = 0 | A little bit like me = 1 | Moderately like me = 2 | Quite a bit like me = 3 | Extremely like me = 4</t>
        </is>
      </c>
      <c r="J197" s="27" t="n"/>
      <c r="K197" s="27" t="inlineStr">
        <is>
          <t>https://d3n8a8pro7vhmx.cloudfront.net/portlandpsychotherapy/pages/21/attachments/original/1438799410/Forms_of_self-criticising_and_self_reassuring_scale.pdf</t>
        </is>
      </c>
    </row>
    <row r="198" ht="46.25" customHeight="1" s="17">
      <c r="A198" s="27" t="inlineStr">
        <is>
          <t>FSCRS</t>
        </is>
      </c>
      <c r="B198" s="27" t="inlineStr">
        <is>
          <t>Forms of Self-Criticising/Attacking and Self-Reassuring Scale</t>
        </is>
      </c>
      <c r="C198" s="27" t="inlineStr">
        <is>
          <t>5. Repetitive negative thinking and self talk</t>
        </is>
      </c>
      <c r="D198" s="28" t="n">
        <v>19</v>
      </c>
      <c r="E198" s="27" t="inlineStr">
        <is>
          <t>I am able to care and look after myself.</t>
        </is>
      </c>
      <c r="F198" s="27" t="inlineStr">
        <is>
          <t>Reassured Self</t>
        </is>
      </c>
      <c r="G198" s="27" t="inlineStr">
        <is>
          <t>FALSE</t>
        </is>
      </c>
      <c r="H198" s="27" t="inlineStr">
        <is>
          <t>FALSE</t>
        </is>
      </c>
      <c r="I198" s="27" t="inlineStr">
        <is>
          <t>Not at all like me = 0 | A little bit like me = 1 | Moderately like me = 2 | Quite a bit like me = 3 | Extremely like me = 4</t>
        </is>
      </c>
      <c r="J198" s="27" t="n"/>
      <c r="K198" s="27" t="inlineStr">
        <is>
          <t>https://d3n8a8pro7vhmx.cloudfront.net/portlandpsychotherapy/pages/21/attachments/original/1438799410/Forms_of_self-criticising_and_self_reassuring_scale.pdf</t>
        </is>
      </c>
    </row>
    <row r="199" ht="46.25" customHeight="1" s="17">
      <c r="A199" s="27" t="inlineStr">
        <is>
          <t>FSCRS</t>
        </is>
      </c>
      <c r="B199" s="27" t="inlineStr">
        <is>
          <t>Forms of Self-Criticising/Attacking and Self-Reassuring Scale</t>
        </is>
      </c>
      <c r="C199" s="27" t="inlineStr">
        <is>
          <t>5. Repetitive negative thinking and self talk</t>
        </is>
      </c>
      <c r="D199" s="28" t="n">
        <v>20</v>
      </c>
      <c r="E199" s="27" t="inlineStr">
        <is>
          <t>There is a part of me that wants to get rid of the bits I don't like.</t>
        </is>
      </c>
      <c r="F199" s="27" t="inlineStr">
        <is>
          <t>Inadequate Self</t>
        </is>
      </c>
      <c r="G199" s="27" t="inlineStr">
        <is>
          <t>FALSE</t>
        </is>
      </c>
      <c r="H199" s="27" t="inlineStr">
        <is>
          <t>FALSE</t>
        </is>
      </c>
      <c r="I199" s="27" t="inlineStr">
        <is>
          <t>Not at all like me = 0 | A little bit like me = 1 | Moderately like me = 2 | Quite a bit like me = 3 | Extremely like me = 4</t>
        </is>
      </c>
      <c r="J199" s="27" t="n"/>
      <c r="K199" s="27" t="inlineStr">
        <is>
          <t>https://d3n8a8pro7vhmx.cloudfront.net/portlandpsychotherapy/pages/21/attachments/original/1438799410/Forms_of_self-criticising_and_self_reassuring_scale.pdf</t>
        </is>
      </c>
    </row>
    <row r="200" ht="46.25" customHeight="1" s="17">
      <c r="A200" s="27" t="inlineStr">
        <is>
          <t>FSCRS</t>
        </is>
      </c>
      <c r="B200" s="27" t="inlineStr">
        <is>
          <t>Forms of Self-Criticising/Attacking and Self-Reassuring Scale</t>
        </is>
      </c>
      <c r="C200" s="27" t="inlineStr">
        <is>
          <t>5. Repetitive negative thinking and self talk</t>
        </is>
      </c>
      <c r="D200" s="28" t="n">
        <v>21</v>
      </c>
      <c r="E200" s="27" t="inlineStr">
        <is>
          <t>I encourage myself for the future.</t>
        </is>
      </c>
      <c r="F200" s="27" t="inlineStr">
        <is>
          <t>Reassured Self</t>
        </is>
      </c>
      <c r="G200" s="27" t="inlineStr">
        <is>
          <t>FALSE</t>
        </is>
      </c>
      <c r="H200" s="27" t="inlineStr">
        <is>
          <t>FALSE</t>
        </is>
      </c>
      <c r="I200" s="27" t="inlineStr">
        <is>
          <t>Not at all like me = 0 | A little bit like me = 1 | Moderately like me = 2 | Quite a bit like me = 3 | Extremely like me = 4</t>
        </is>
      </c>
      <c r="J200" s="27" t="n"/>
      <c r="K200" s="27" t="inlineStr">
        <is>
          <t>https://d3n8a8pro7vhmx.cloudfront.net/portlandpsychotherapy/pages/21/attachments/original/1438799410/Forms_of_self-criticising_and_self_reassuring_scale.pdf</t>
        </is>
      </c>
    </row>
    <row r="201" ht="46.25" customHeight="1" s="17">
      <c r="A201" s="27" t="inlineStr">
        <is>
          <t>FSCRS</t>
        </is>
      </c>
      <c r="B201" s="27" t="inlineStr">
        <is>
          <t>Forms of Self-Criticising/Attacking and Self-Reassuring Scale</t>
        </is>
      </c>
      <c r="C201" s="27" t="inlineStr">
        <is>
          <t>5. Repetitive negative thinking and self talk</t>
        </is>
      </c>
      <c r="D201" s="28" t="n">
        <v>22</v>
      </c>
      <c r="E201" s="27" t="inlineStr">
        <is>
          <t>I do not like being me.</t>
        </is>
      </c>
      <c r="F201" s="27" t="inlineStr">
        <is>
          <t>Hated Self</t>
        </is>
      </c>
      <c r="G201" s="27" t="inlineStr">
        <is>
          <t>FALSE</t>
        </is>
      </c>
      <c r="H201" s="27" t="inlineStr">
        <is>
          <t>FALSE</t>
        </is>
      </c>
      <c r="I201" s="27" t="inlineStr">
        <is>
          <t>Not at all like me = 0 | A little bit like me = 1 | Moderately like me = 2 | Quite a bit like me = 3 | Extremely like me = 4</t>
        </is>
      </c>
      <c r="J201" s="27" t="n"/>
      <c r="K201" s="27" t="inlineStr">
        <is>
          <t>https://d3n8a8pro7vhmx.cloudfront.net/portlandpsychotherapy/pages/21/attachments/original/1438799410/Forms_of_self-criticising_and_self_reassuring_scale.pdf</t>
        </is>
      </c>
    </row>
    <row r="202" ht="23.85" customHeight="1" s="17">
      <c r="A202" s="27" t="inlineStr">
        <is>
          <t>PCI</t>
        </is>
      </c>
      <c r="B202" s="27" t="inlineStr">
        <is>
          <t>Perfectionism Cognitions Inventory</t>
        </is>
      </c>
      <c r="C202" s="27" t="inlineStr">
        <is>
          <t>5. Repetitive negative thinking and self talk</t>
        </is>
      </c>
      <c r="D202" s="28" t="n">
        <v>1</v>
      </c>
      <c r="E202" s="27" t="inlineStr">
        <is>
          <t>Why can't I be perfect</t>
        </is>
      </c>
      <c r="F202" s="27" t="inlineStr">
        <is>
          <t>Not stated on source</t>
        </is>
      </c>
      <c r="G202" s="27" t="inlineStr">
        <is>
          <t>FALSE</t>
        </is>
      </c>
      <c r="H202" s="27" t="inlineStr">
        <is>
          <t>FALSE</t>
        </is>
      </c>
      <c r="I202" s="27" t="inlineStr">
        <is>
          <t>Not At All = 0 | Sometimes = 1 | Moderately Often = 2 | Often = 3 | All of the time = 4</t>
        </is>
      </c>
      <c r="J202" s="27" t="n"/>
      <c r="K202" s="27" t="inlineStr">
        <is>
          <t>https://novopsych.com/assessments/formulation/perfectionistic-cognitions-inventory-pci/</t>
        </is>
      </c>
    </row>
    <row r="203" ht="23.85" customHeight="1" s="17">
      <c r="A203" s="27" t="inlineStr">
        <is>
          <t>PCI</t>
        </is>
      </c>
      <c r="B203" s="27" t="inlineStr">
        <is>
          <t>Perfectionism Cognitions Inventory</t>
        </is>
      </c>
      <c r="C203" s="27" t="inlineStr">
        <is>
          <t>5. Repetitive negative thinking and self talk</t>
        </is>
      </c>
      <c r="D203" s="28" t="n">
        <v>2</v>
      </c>
      <c r="E203" s="27" t="inlineStr">
        <is>
          <t>I need to do better</t>
        </is>
      </c>
      <c r="F203" s="27" t="inlineStr">
        <is>
          <t>Not stated on source</t>
        </is>
      </c>
      <c r="G203" s="27" t="inlineStr">
        <is>
          <t>FALSE</t>
        </is>
      </c>
      <c r="H203" s="27" t="inlineStr">
        <is>
          <t>FALSE</t>
        </is>
      </c>
      <c r="I203" s="27" t="inlineStr">
        <is>
          <t>Not At All = 0 | Sometimes = 1 | Moderately Often = 2 | Often = 3 | All of the time = 4</t>
        </is>
      </c>
      <c r="J203" s="27" t="n"/>
      <c r="K203" s="27" t="inlineStr">
        <is>
          <t>https://novopsych.com/assessments/formulation/perfectionistic-cognitions-inventory-pci/</t>
        </is>
      </c>
    </row>
    <row r="204" ht="23.85" customHeight="1" s="17">
      <c r="A204" s="27" t="inlineStr">
        <is>
          <t>PCI</t>
        </is>
      </c>
      <c r="B204" s="27" t="inlineStr">
        <is>
          <t>Perfectionism Cognitions Inventory</t>
        </is>
      </c>
      <c r="C204" s="27" t="inlineStr">
        <is>
          <t>5. Repetitive negative thinking and self talk</t>
        </is>
      </c>
      <c r="D204" s="28" t="n">
        <v>3</v>
      </c>
      <c r="E204" s="27" t="inlineStr">
        <is>
          <t>I should be perfect</t>
        </is>
      </c>
      <c r="F204" s="27" t="inlineStr">
        <is>
          <t>Not stated on source</t>
        </is>
      </c>
      <c r="G204" s="27" t="inlineStr">
        <is>
          <t>FALSE</t>
        </is>
      </c>
      <c r="H204" s="27" t="inlineStr">
        <is>
          <t>FALSE</t>
        </is>
      </c>
      <c r="I204" s="27" t="inlineStr">
        <is>
          <t>Not At All = 0 | Sometimes = 1 | Moderately Often = 2 | Often = 3 | All of the time = 4</t>
        </is>
      </c>
      <c r="J204" s="27" t="n"/>
      <c r="K204" s="27" t="inlineStr">
        <is>
          <t>https://novopsych.com/assessments/formulation/perfectionistic-cognitions-inventory-pci/</t>
        </is>
      </c>
    </row>
    <row r="205" ht="23.85" customHeight="1" s="17">
      <c r="A205" s="27" t="inlineStr">
        <is>
          <t>PCI</t>
        </is>
      </c>
      <c r="B205" s="27" t="inlineStr">
        <is>
          <t>Perfectionism Cognitions Inventory</t>
        </is>
      </c>
      <c r="C205" s="27" t="inlineStr">
        <is>
          <t>5. Repetitive negative thinking and self talk</t>
        </is>
      </c>
      <c r="D205" s="28" t="n">
        <v>4</v>
      </c>
      <c r="E205" s="27" t="inlineStr">
        <is>
          <t>I should never make the same mistake twice</t>
        </is>
      </c>
      <c r="F205" s="27" t="inlineStr">
        <is>
          <t>Not stated on source</t>
        </is>
      </c>
      <c r="G205" s="27" t="inlineStr">
        <is>
          <t>FALSE</t>
        </is>
      </c>
      <c r="H205" s="27" t="inlineStr">
        <is>
          <t>FALSE</t>
        </is>
      </c>
      <c r="I205" s="27" t="inlineStr">
        <is>
          <t>Not At All = 0 | Sometimes = 1 | Moderately Often = 2 | Often = 3 | All of the time = 4</t>
        </is>
      </c>
      <c r="J205" s="27" t="n"/>
      <c r="K205" s="27" t="inlineStr">
        <is>
          <t>https://novopsych.com/assessments/formulation/perfectionistic-cognitions-inventory-pci/</t>
        </is>
      </c>
    </row>
    <row r="206" ht="23.85" customHeight="1" s="17">
      <c r="A206" s="27" t="inlineStr">
        <is>
          <t>PCI</t>
        </is>
      </c>
      <c r="B206" s="27" t="inlineStr">
        <is>
          <t>Perfectionism Cognitions Inventory</t>
        </is>
      </c>
      <c r="C206" s="27" t="inlineStr">
        <is>
          <t>5. Repetitive negative thinking and self talk</t>
        </is>
      </c>
      <c r="D206" s="28" t="n">
        <v>5</v>
      </c>
      <c r="E206" s="27" t="inlineStr">
        <is>
          <t>I've got to keep working on my goals</t>
        </is>
      </c>
      <c r="F206" s="27" t="inlineStr">
        <is>
          <t>Not stated on source</t>
        </is>
      </c>
      <c r="G206" s="27" t="inlineStr">
        <is>
          <t>FALSE</t>
        </is>
      </c>
      <c r="H206" s="27" t="inlineStr">
        <is>
          <t>FALSE</t>
        </is>
      </c>
      <c r="I206" s="27" t="inlineStr">
        <is>
          <t>Not At All = 0 | Sometimes = 1 | Moderately Often = 2 | Often = 3 | All of the time = 4</t>
        </is>
      </c>
      <c r="J206" s="27" t="n"/>
      <c r="K206" s="27" t="inlineStr">
        <is>
          <t>https://novopsych.com/assessments/formulation/perfectionistic-cognitions-inventory-pci/</t>
        </is>
      </c>
    </row>
    <row r="207" ht="23.85" customHeight="1" s="17">
      <c r="A207" s="27" t="inlineStr">
        <is>
          <t>PCI</t>
        </is>
      </c>
      <c r="B207" s="27" t="inlineStr">
        <is>
          <t>Perfectionism Cognitions Inventory</t>
        </is>
      </c>
      <c r="C207" s="27" t="inlineStr">
        <is>
          <t>5. Repetitive negative thinking and self talk</t>
        </is>
      </c>
      <c r="D207" s="28" t="n">
        <v>6</v>
      </c>
      <c r="E207" s="27" t="inlineStr">
        <is>
          <t>I have to be the best</t>
        </is>
      </c>
      <c r="F207" s="27" t="inlineStr">
        <is>
          <t>Not stated on source</t>
        </is>
      </c>
      <c r="G207" s="27" t="inlineStr">
        <is>
          <t>FALSE</t>
        </is>
      </c>
      <c r="H207" s="27" t="inlineStr">
        <is>
          <t>FALSE</t>
        </is>
      </c>
      <c r="I207" s="27" t="inlineStr">
        <is>
          <t>Not At All = 0 | Sometimes = 1 | Moderately Often = 2 | Often = 3 | All of the time = 4</t>
        </is>
      </c>
      <c r="J207" s="27" t="n"/>
      <c r="K207" s="27" t="inlineStr">
        <is>
          <t>https://novopsych.com/assessments/formulation/perfectionistic-cognitions-inventory-pci/</t>
        </is>
      </c>
    </row>
    <row r="208" ht="23.85" customHeight="1" s="17">
      <c r="A208" s="27" t="inlineStr">
        <is>
          <t>PCI</t>
        </is>
      </c>
      <c r="B208" s="27" t="inlineStr">
        <is>
          <t>Perfectionism Cognitions Inventory</t>
        </is>
      </c>
      <c r="C208" s="27" t="inlineStr">
        <is>
          <t>5. Repetitive negative thinking and self talk</t>
        </is>
      </c>
      <c r="D208" s="28" t="n">
        <v>7</v>
      </c>
      <c r="E208" s="27" t="inlineStr">
        <is>
          <t>I should be doing more</t>
        </is>
      </c>
      <c r="F208" s="27" t="inlineStr">
        <is>
          <t>Not stated on source</t>
        </is>
      </c>
      <c r="G208" s="27" t="inlineStr">
        <is>
          <t>FALSE</t>
        </is>
      </c>
      <c r="H208" s="27" t="inlineStr">
        <is>
          <t>FALSE</t>
        </is>
      </c>
      <c r="I208" s="27" t="inlineStr">
        <is>
          <t>Not At All = 0 | Sometimes = 1 | Moderately Often = 2 | Often = 3 | All of the time = 4</t>
        </is>
      </c>
      <c r="J208" s="27" t="n"/>
      <c r="K208" s="27" t="inlineStr">
        <is>
          <t>https://novopsych.com/assessments/formulation/perfectionistic-cognitions-inventory-pci/</t>
        </is>
      </c>
    </row>
    <row r="209" ht="23.85" customHeight="1" s="17">
      <c r="A209" s="27" t="inlineStr">
        <is>
          <t>PCI</t>
        </is>
      </c>
      <c r="B209" s="27" t="inlineStr">
        <is>
          <t>Perfectionism Cognitions Inventory</t>
        </is>
      </c>
      <c r="C209" s="27" t="inlineStr">
        <is>
          <t>5. Repetitive negative thinking and self talk</t>
        </is>
      </c>
      <c r="D209" s="28" t="n">
        <v>8</v>
      </c>
      <c r="E209" s="27" t="inlineStr">
        <is>
          <t>I can't stand to make mistakes</t>
        </is>
      </c>
      <c r="F209" s="27" t="inlineStr">
        <is>
          <t>Not stated on source</t>
        </is>
      </c>
      <c r="G209" s="27" t="inlineStr">
        <is>
          <t>FALSE</t>
        </is>
      </c>
      <c r="H209" s="27" t="inlineStr">
        <is>
          <t>FALSE</t>
        </is>
      </c>
      <c r="I209" s="27" t="inlineStr">
        <is>
          <t>Not At All = 0 | Sometimes = 1 | Moderately Often = 2 | Often = 3 | All of the time = 4</t>
        </is>
      </c>
      <c r="J209" s="27" t="n"/>
      <c r="K209" s="27" t="inlineStr">
        <is>
          <t>https://novopsych.com/assessments/formulation/perfectionistic-cognitions-inventory-pci/</t>
        </is>
      </c>
    </row>
    <row r="210" ht="23.85" customHeight="1" s="17">
      <c r="A210" s="27" t="inlineStr">
        <is>
          <t>PCI</t>
        </is>
      </c>
      <c r="B210" s="27" t="inlineStr">
        <is>
          <t>Perfectionism Cognitions Inventory</t>
        </is>
      </c>
      <c r="C210" s="27" t="inlineStr">
        <is>
          <t>5. Repetitive negative thinking and self talk</t>
        </is>
      </c>
      <c r="D210" s="28" t="n">
        <v>9</v>
      </c>
      <c r="E210" s="27" t="inlineStr">
        <is>
          <t>I have to work hard all the time</t>
        </is>
      </c>
      <c r="F210" s="27" t="inlineStr">
        <is>
          <t>Not stated on source</t>
        </is>
      </c>
      <c r="G210" s="27" t="inlineStr">
        <is>
          <t>FALSE</t>
        </is>
      </c>
      <c r="H210" s="27" t="inlineStr">
        <is>
          <t>FALSE</t>
        </is>
      </c>
      <c r="I210" s="27" t="inlineStr">
        <is>
          <t>Not At All = 0 | Sometimes = 1 | Moderately Often = 2 | Often = 3 | All of the time = 4</t>
        </is>
      </c>
      <c r="J210" s="27" t="n"/>
      <c r="K210" s="27" t="inlineStr">
        <is>
          <t>https://novopsych.com/assessments/formulation/perfectionistic-cognitions-inventory-pci/</t>
        </is>
      </c>
    </row>
    <row r="211" ht="23.85" customHeight="1" s="17">
      <c r="A211" s="27" t="inlineStr">
        <is>
          <t>PCI</t>
        </is>
      </c>
      <c r="B211" s="27" t="inlineStr">
        <is>
          <t>Perfectionism Cognitions Inventory</t>
        </is>
      </c>
      <c r="C211" s="27" t="inlineStr">
        <is>
          <t>5. Repetitive negative thinking and self talk</t>
        </is>
      </c>
      <c r="D211" s="28" t="n">
        <v>10</v>
      </c>
      <c r="E211" s="27" t="inlineStr">
        <is>
          <t>No matter how much I do, it's never enough</t>
        </is>
      </c>
      <c r="F211" s="27" t="inlineStr">
        <is>
          <t>Not stated on source</t>
        </is>
      </c>
      <c r="G211" s="27" t="inlineStr">
        <is>
          <t>FALSE</t>
        </is>
      </c>
      <c r="H211" s="27" t="inlineStr">
        <is>
          <t>FALSE</t>
        </is>
      </c>
      <c r="I211" s="27" t="inlineStr">
        <is>
          <t>Not At All = 0 | Sometimes = 1 | Moderately Often = 2 | Often = 3 | All of the time = 4</t>
        </is>
      </c>
      <c r="J211" s="27" t="n"/>
      <c r="K211" s="27" t="inlineStr">
        <is>
          <t>https://novopsych.com/assessments/formulation/perfectionistic-cognitions-inventory-pci/</t>
        </is>
      </c>
    </row>
    <row r="212" ht="23.85" customHeight="1" s="17">
      <c r="A212" s="27" t="inlineStr">
        <is>
          <t>PCI</t>
        </is>
      </c>
      <c r="B212" s="27" t="inlineStr">
        <is>
          <t>Perfectionism Cognitions Inventory</t>
        </is>
      </c>
      <c r="C212" s="27" t="inlineStr">
        <is>
          <t>5. Repetitive negative thinking and self talk</t>
        </is>
      </c>
      <c r="D212" s="28" t="n">
        <v>11</v>
      </c>
      <c r="E212" s="27" t="inlineStr">
        <is>
          <t>People expect me to be perfect</t>
        </is>
      </c>
      <c r="F212" s="27" t="inlineStr">
        <is>
          <t>Not stated on source</t>
        </is>
      </c>
      <c r="G212" s="27" t="inlineStr">
        <is>
          <t>FALSE</t>
        </is>
      </c>
      <c r="H212" s="27" t="inlineStr">
        <is>
          <t>FALSE</t>
        </is>
      </c>
      <c r="I212" s="27" t="inlineStr">
        <is>
          <t>Not At All = 0 | Sometimes = 1 | Moderately Often = 2 | Often = 3 | All of the time = 4</t>
        </is>
      </c>
      <c r="J212" s="27" t="n"/>
      <c r="K212" s="27" t="inlineStr">
        <is>
          <t>https://novopsych.com/assessments/formulation/perfectionistic-cognitions-inventory-pci/</t>
        </is>
      </c>
    </row>
    <row r="213" ht="23.85" customHeight="1" s="17">
      <c r="A213" s="27" t="inlineStr">
        <is>
          <t>PCI</t>
        </is>
      </c>
      <c r="B213" s="27" t="inlineStr">
        <is>
          <t>Perfectionism Cognitions Inventory</t>
        </is>
      </c>
      <c r="C213" s="27" t="inlineStr">
        <is>
          <t>5. Repetitive negative thinking and self talk</t>
        </is>
      </c>
      <c r="D213" s="28" t="n">
        <v>12</v>
      </c>
      <c r="E213" s="27" t="inlineStr">
        <is>
          <t>I must be efficient at all times</t>
        </is>
      </c>
      <c r="F213" s="27" t="inlineStr">
        <is>
          <t>Not stated on source</t>
        </is>
      </c>
      <c r="G213" s="27" t="inlineStr">
        <is>
          <t>FALSE</t>
        </is>
      </c>
      <c r="H213" s="27" t="inlineStr">
        <is>
          <t>FALSE</t>
        </is>
      </c>
      <c r="I213" s="27" t="inlineStr">
        <is>
          <t>Not At All = 0 | Sometimes = 1 | Moderately Often = 2 | Often = 3 | All of the time = 4</t>
        </is>
      </c>
      <c r="J213" s="27" t="n"/>
      <c r="K213" s="27" t="inlineStr">
        <is>
          <t>https://novopsych.com/assessments/formulation/perfectionistic-cognitions-inventory-pci/</t>
        </is>
      </c>
    </row>
    <row r="214" ht="23.85" customHeight="1" s="17">
      <c r="A214" s="27" t="inlineStr">
        <is>
          <t>PCI</t>
        </is>
      </c>
      <c r="B214" s="27" t="inlineStr">
        <is>
          <t>Perfectionism Cognitions Inventory</t>
        </is>
      </c>
      <c r="C214" s="27" t="inlineStr">
        <is>
          <t>5. Repetitive negative thinking and self talk</t>
        </is>
      </c>
      <c r="D214" s="28" t="n">
        <v>13</v>
      </c>
      <c r="E214" s="27" t="inlineStr">
        <is>
          <t>My goals are very high</t>
        </is>
      </c>
      <c r="F214" s="27" t="inlineStr">
        <is>
          <t>Not stated on source</t>
        </is>
      </c>
      <c r="G214" s="27" t="inlineStr">
        <is>
          <t>FALSE</t>
        </is>
      </c>
      <c r="H214" s="27" t="inlineStr">
        <is>
          <t>FALSE</t>
        </is>
      </c>
      <c r="I214" s="27" t="inlineStr">
        <is>
          <t>Not At All = 0 | Sometimes = 1 | Moderately Often = 2 | Often = 3 | All of the time = 4</t>
        </is>
      </c>
      <c r="J214" s="27" t="n"/>
      <c r="K214" s="27" t="inlineStr">
        <is>
          <t>https://novopsych.com/assessments/formulation/perfectionistic-cognitions-inventory-pci/</t>
        </is>
      </c>
    </row>
    <row r="215" ht="23.85" customHeight="1" s="17">
      <c r="A215" s="27" t="inlineStr">
        <is>
          <t>PCI</t>
        </is>
      </c>
      <c r="B215" s="27" t="inlineStr">
        <is>
          <t>Perfectionism Cognitions Inventory</t>
        </is>
      </c>
      <c r="C215" s="27" t="inlineStr">
        <is>
          <t>5. Repetitive negative thinking and self talk</t>
        </is>
      </c>
      <c r="D215" s="28" t="n">
        <v>14</v>
      </c>
      <c r="E215" s="27" t="inlineStr">
        <is>
          <t>I can always do better, even if things are almost perfect</t>
        </is>
      </c>
      <c r="F215" s="27" t="inlineStr">
        <is>
          <t>Not stated on source</t>
        </is>
      </c>
      <c r="G215" s="27" t="inlineStr">
        <is>
          <t>FALSE</t>
        </is>
      </c>
      <c r="H215" s="27" t="inlineStr">
        <is>
          <t>FALSE</t>
        </is>
      </c>
      <c r="I215" s="27" t="inlineStr">
        <is>
          <t>Not At All = 0 | Sometimes = 1 | Moderately Often = 2 | Often = 3 | All of the time = 4</t>
        </is>
      </c>
      <c r="J215" s="27" t="n"/>
      <c r="K215" s="27" t="inlineStr">
        <is>
          <t>https://novopsych.com/assessments/formulation/perfectionistic-cognitions-inventory-pci/</t>
        </is>
      </c>
    </row>
    <row r="216" ht="23.85" customHeight="1" s="17">
      <c r="A216" s="27" t="inlineStr">
        <is>
          <t>PCI</t>
        </is>
      </c>
      <c r="B216" s="27" t="inlineStr">
        <is>
          <t>Perfectionism Cognitions Inventory</t>
        </is>
      </c>
      <c r="C216" s="27" t="inlineStr">
        <is>
          <t>5. Repetitive negative thinking and self talk</t>
        </is>
      </c>
      <c r="D216" s="28" t="n">
        <v>15</v>
      </c>
      <c r="E216" s="27" t="inlineStr">
        <is>
          <t>I expect to be perfect</t>
        </is>
      </c>
      <c r="F216" s="27" t="inlineStr">
        <is>
          <t>Not stated on source</t>
        </is>
      </c>
      <c r="G216" s="27" t="inlineStr">
        <is>
          <t>FALSE</t>
        </is>
      </c>
      <c r="H216" s="27" t="inlineStr">
        <is>
          <t>FALSE</t>
        </is>
      </c>
      <c r="I216" s="27" t="inlineStr">
        <is>
          <t>Not At All = 0 | Sometimes = 1 | Moderately Often = 2 | Often = 3 | All of the time = 4</t>
        </is>
      </c>
      <c r="J216" s="27" t="n"/>
      <c r="K216" s="27" t="inlineStr">
        <is>
          <t>https://novopsych.com/assessments/formulation/perfectionistic-cognitions-inventory-pci/</t>
        </is>
      </c>
    </row>
    <row r="217" ht="23.85" customHeight="1" s="17">
      <c r="A217" s="27" t="inlineStr">
        <is>
          <t>PCI</t>
        </is>
      </c>
      <c r="B217" s="27" t="inlineStr">
        <is>
          <t>Perfectionism Cognitions Inventory</t>
        </is>
      </c>
      <c r="C217" s="27" t="inlineStr">
        <is>
          <t>5. Repetitive negative thinking and self talk</t>
        </is>
      </c>
      <c r="D217" s="28" t="n">
        <v>16</v>
      </c>
      <c r="E217" s="27" t="inlineStr">
        <is>
          <t>Why can't things be perfect?</t>
        </is>
      </c>
      <c r="F217" s="27" t="inlineStr">
        <is>
          <t>Not stated on source</t>
        </is>
      </c>
      <c r="G217" s="27" t="inlineStr">
        <is>
          <t>FALSE</t>
        </is>
      </c>
      <c r="H217" s="27" t="inlineStr">
        <is>
          <t>FALSE</t>
        </is>
      </c>
      <c r="I217" s="27" t="inlineStr">
        <is>
          <t>Not At All = 0 | Sometimes = 1 | Moderately Often = 2 | Often = 3 | All of the time = 4</t>
        </is>
      </c>
      <c r="J217" s="27" t="n"/>
      <c r="K217" s="27" t="inlineStr">
        <is>
          <t>https://novopsych.com/assessments/formulation/perfectionistic-cognitions-inventory-pci/</t>
        </is>
      </c>
    </row>
    <row r="218" ht="23.85" customHeight="1" s="17">
      <c r="A218" s="27" t="inlineStr">
        <is>
          <t>PCI</t>
        </is>
      </c>
      <c r="B218" s="27" t="inlineStr">
        <is>
          <t>Perfectionism Cognitions Inventory</t>
        </is>
      </c>
      <c r="C218" s="27" t="inlineStr">
        <is>
          <t>5. Repetitive negative thinking and self talk</t>
        </is>
      </c>
      <c r="D218" s="28" t="n">
        <v>17</v>
      </c>
      <c r="E218" s="27" t="inlineStr">
        <is>
          <t>My work has to be superior</t>
        </is>
      </c>
      <c r="F218" s="27" t="inlineStr">
        <is>
          <t>Not stated on source</t>
        </is>
      </c>
      <c r="G218" s="27" t="inlineStr">
        <is>
          <t>FALSE</t>
        </is>
      </c>
      <c r="H218" s="27" t="inlineStr">
        <is>
          <t>FALSE</t>
        </is>
      </c>
      <c r="I218" s="27" t="inlineStr">
        <is>
          <t>Not At All = 0 | Sometimes = 1 | Moderately Often = 2 | Often = 3 | All of the time = 4</t>
        </is>
      </c>
      <c r="J218" s="27" t="n"/>
      <c r="K218" s="27" t="inlineStr">
        <is>
          <t>https://novopsych.com/assessments/formulation/perfectionistic-cognitions-inventory-pci/</t>
        </is>
      </c>
    </row>
    <row r="219" ht="23.85" customHeight="1" s="17">
      <c r="A219" s="27" t="inlineStr">
        <is>
          <t>PCI</t>
        </is>
      </c>
      <c r="B219" s="27" t="inlineStr">
        <is>
          <t>Perfectionism Cognitions Inventory</t>
        </is>
      </c>
      <c r="C219" s="27" t="inlineStr">
        <is>
          <t>5. Repetitive negative thinking and self talk</t>
        </is>
      </c>
      <c r="D219" s="28" t="n">
        <v>18</v>
      </c>
      <c r="E219" s="27" t="inlineStr">
        <is>
          <t>It would be great if everything in my life was perfect</t>
        </is>
      </c>
      <c r="F219" s="27" t="inlineStr">
        <is>
          <t>Not stated on source</t>
        </is>
      </c>
      <c r="G219" s="27" t="inlineStr">
        <is>
          <t>FALSE</t>
        </is>
      </c>
      <c r="H219" s="27" t="inlineStr">
        <is>
          <t>FALSE</t>
        </is>
      </c>
      <c r="I219" s="27" t="inlineStr">
        <is>
          <t>Not At All = 0 | Sometimes = 1 | Moderately Often = 2 | Often = 3 | All of the time = 4</t>
        </is>
      </c>
      <c r="J219" s="27" t="n"/>
      <c r="K219" s="27" t="inlineStr">
        <is>
          <t>https://novopsych.com/assessments/formulation/perfectionistic-cognitions-inventory-pci/</t>
        </is>
      </c>
    </row>
    <row r="220" ht="23.85" customHeight="1" s="17">
      <c r="A220" s="27" t="inlineStr">
        <is>
          <t>PCI</t>
        </is>
      </c>
      <c r="B220" s="27" t="inlineStr">
        <is>
          <t>Perfectionism Cognitions Inventory</t>
        </is>
      </c>
      <c r="C220" s="27" t="inlineStr">
        <is>
          <t>5. Repetitive negative thinking and self talk</t>
        </is>
      </c>
      <c r="D220" s="28" t="n">
        <v>19</v>
      </c>
      <c r="E220" s="27" t="inlineStr">
        <is>
          <t>My work should be flawless</t>
        </is>
      </c>
      <c r="F220" s="27" t="inlineStr">
        <is>
          <t>Not stated on source</t>
        </is>
      </c>
      <c r="G220" s="27" t="inlineStr">
        <is>
          <t>FALSE</t>
        </is>
      </c>
      <c r="H220" s="27" t="inlineStr">
        <is>
          <t>FALSE</t>
        </is>
      </c>
      <c r="I220" s="27" t="inlineStr">
        <is>
          <t>Not At All = 0 | Sometimes = 1 | Moderately Often = 2 | Often = 3 | All of the time = 4</t>
        </is>
      </c>
      <c r="J220" s="27" t="n"/>
      <c r="K220" s="27" t="inlineStr">
        <is>
          <t>https://novopsych.com/assessments/formulation/perfectionistic-cognitions-inventory-pci/</t>
        </is>
      </c>
    </row>
    <row r="221" ht="23.85" customHeight="1" s="17">
      <c r="A221" s="27" t="inlineStr">
        <is>
          <t>PCI</t>
        </is>
      </c>
      <c r="B221" s="27" t="inlineStr">
        <is>
          <t>Perfectionism Cognitions Inventory</t>
        </is>
      </c>
      <c r="C221" s="27" t="inlineStr">
        <is>
          <t>5. Repetitive negative thinking and self talk</t>
        </is>
      </c>
      <c r="D221" s="28" t="n">
        <v>20</v>
      </c>
      <c r="E221" s="27" t="inlineStr">
        <is>
          <t>Things are seldom ideal</t>
        </is>
      </c>
      <c r="F221" s="27" t="inlineStr">
        <is>
          <t>Not stated on source</t>
        </is>
      </c>
      <c r="G221" s="27" t="inlineStr">
        <is>
          <t>FALSE</t>
        </is>
      </c>
      <c r="H221" s="27" t="inlineStr">
        <is>
          <t>FALSE</t>
        </is>
      </c>
      <c r="I221" s="27" t="inlineStr">
        <is>
          <t>Not At All = 0 | Sometimes = 1 | Moderately Often = 2 | Often = 3 | All of the time = 4</t>
        </is>
      </c>
      <c r="J221" s="27" t="n"/>
      <c r="K221" s="27" t="inlineStr">
        <is>
          <t>https://novopsych.com/assessments/formulation/perfectionistic-cognitions-inventory-pci/</t>
        </is>
      </c>
    </row>
    <row r="222" ht="23.85" customHeight="1" s="17">
      <c r="A222" s="27" t="inlineStr">
        <is>
          <t>PCI</t>
        </is>
      </c>
      <c r="B222" s="27" t="inlineStr">
        <is>
          <t>Perfectionism Cognitions Inventory</t>
        </is>
      </c>
      <c r="C222" s="27" t="inlineStr">
        <is>
          <t>5. Repetitive negative thinking and self talk</t>
        </is>
      </c>
      <c r="D222" s="28" t="n">
        <v>21</v>
      </c>
      <c r="E222" s="27" t="inlineStr">
        <is>
          <t>How well am I doing?</t>
        </is>
      </c>
      <c r="F222" s="27" t="inlineStr">
        <is>
          <t>Not stated on source</t>
        </is>
      </c>
      <c r="G222" s="27" t="inlineStr">
        <is>
          <t>FALSE</t>
        </is>
      </c>
      <c r="H222" s="27" t="inlineStr">
        <is>
          <t>FALSE</t>
        </is>
      </c>
      <c r="I222" s="27" t="inlineStr">
        <is>
          <t>Not At All = 0 | Sometimes = 1 | Moderately Often = 2 | Often = 3 | All of the time = 4</t>
        </is>
      </c>
      <c r="J222" s="27" t="n"/>
      <c r="K222" s="27" t="inlineStr">
        <is>
          <t>https://novopsych.com/assessments/formulation/perfectionistic-cognitions-inventory-pci/</t>
        </is>
      </c>
    </row>
    <row r="223" ht="23.85" customHeight="1" s="17">
      <c r="A223" s="27" t="inlineStr">
        <is>
          <t>PCI</t>
        </is>
      </c>
      <c r="B223" s="27" t="inlineStr">
        <is>
          <t>Perfectionism Cognitions Inventory</t>
        </is>
      </c>
      <c r="C223" s="27" t="inlineStr">
        <is>
          <t>5. Repetitive negative thinking and self talk</t>
        </is>
      </c>
      <c r="D223" s="28" t="n">
        <v>22</v>
      </c>
      <c r="E223" s="27" t="inlineStr">
        <is>
          <t>I can't do this perfectly</t>
        </is>
      </c>
      <c r="F223" s="27" t="inlineStr">
        <is>
          <t>Not stated on source</t>
        </is>
      </c>
      <c r="G223" s="27" t="inlineStr">
        <is>
          <t>FALSE</t>
        </is>
      </c>
      <c r="H223" s="27" t="inlineStr">
        <is>
          <t>FALSE</t>
        </is>
      </c>
      <c r="I223" s="27" t="inlineStr">
        <is>
          <t>Not At All = 0 | Sometimes = 1 | Moderately Often = 2 | Often = 3 | All of the time = 4</t>
        </is>
      </c>
      <c r="J223" s="27" t="n"/>
      <c r="K223" s="27" t="inlineStr">
        <is>
          <t>https://novopsych.com/assessments/formulation/perfectionistic-cognitions-inventory-pci/</t>
        </is>
      </c>
    </row>
    <row r="224" ht="23.85" customHeight="1" s="17">
      <c r="A224" s="27" t="inlineStr">
        <is>
          <t>PCI</t>
        </is>
      </c>
      <c r="B224" s="27" t="inlineStr">
        <is>
          <t>Perfectionism Cognitions Inventory</t>
        </is>
      </c>
      <c r="C224" s="27" t="inlineStr">
        <is>
          <t>5. Repetitive negative thinking and self talk</t>
        </is>
      </c>
      <c r="D224" s="28" t="n">
        <v>23</v>
      </c>
      <c r="E224" s="27" t="inlineStr">
        <is>
          <t>I certainly have high standards</t>
        </is>
      </c>
      <c r="F224" s="27" t="inlineStr">
        <is>
          <t>Not stated on source</t>
        </is>
      </c>
      <c r="G224" s="27" t="inlineStr">
        <is>
          <t>FALSE</t>
        </is>
      </c>
      <c r="H224" s="27" t="inlineStr">
        <is>
          <t>FALSE</t>
        </is>
      </c>
      <c r="I224" s="27" t="inlineStr">
        <is>
          <t>Not At All = 0 | Sometimes = 1 | Moderately Often = 2 | Often = 3 | All of the time = 4</t>
        </is>
      </c>
      <c r="J224" s="27" t="n"/>
      <c r="K224" s="27" t="inlineStr">
        <is>
          <t>https://novopsych.com/assessments/formulation/perfectionistic-cognitions-inventory-pci/</t>
        </is>
      </c>
    </row>
    <row r="225" ht="23.85" customHeight="1" s="17">
      <c r="A225" s="27" t="inlineStr">
        <is>
          <t>PCI</t>
        </is>
      </c>
      <c r="B225" s="27" t="inlineStr">
        <is>
          <t>Perfectionism Cognitions Inventory</t>
        </is>
      </c>
      <c r="C225" s="27" t="inlineStr">
        <is>
          <t>5. Repetitive negative thinking and self talk</t>
        </is>
      </c>
      <c r="D225" s="28" t="n">
        <v>24</v>
      </c>
      <c r="E225" s="27" t="inlineStr">
        <is>
          <t>Maybe I should lower my goals</t>
        </is>
      </c>
      <c r="F225" s="27" t="inlineStr">
        <is>
          <t>Not stated on source</t>
        </is>
      </c>
      <c r="G225" s="27" t="inlineStr">
        <is>
          <t>FALSE</t>
        </is>
      </c>
      <c r="H225" s="27" t="inlineStr">
        <is>
          <t>FALSE</t>
        </is>
      </c>
      <c r="I225" s="27" t="inlineStr">
        <is>
          <t>Not At All = 0 | Sometimes = 1 | Moderately Often = 2 | Often = 3 | All of the time = 4</t>
        </is>
      </c>
      <c r="J225" s="27" t="n"/>
      <c r="K225" s="27" t="inlineStr">
        <is>
          <t>https://novopsych.com/assessments/formulation/perfectionistic-cognitions-inventory-pci/</t>
        </is>
      </c>
    </row>
    <row r="226" ht="23.85" customHeight="1" s="17">
      <c r="A226" s="27" t="inlineStr">
        <is>
          <t>PCI</t>
        </is>
      </c>
      <c r="B226" s="27" t="inlineStr">
        <is>
          <t>Perfectionism Cognitions Inventory</t>
        </is>
      </c>
      <c r="C226" s="27" t="inlineStr">
        <is>
          <t>5. Repetitive negative thinking and self talk</t>
        </is>
      </c>
      <c r="D226" s="28" t="n">
        <v>25</v>
      </c>
      <c r="E226" s="27" t="inlineStr">
        <is>
          <t>I am too much of a perfectionist</t>
        </is>
      </c>
      <c r="F226" s="27" t="inlineStr">
        <is>
          <t>Not stated on source</t>
        </is>
      </c>
      <c r="G226" s="27" t="inlineStr">
        <is>
          <t>FALSE</t>
        </is>
      </c>
      <c r="H226" s="27" t="inlineStr">
        <is>
          <t>FALSE</t>
        </is>
      </c>
      <c r="I226" s="27" t="inlineStr">
        <is>
          <t>Not At All = 0 | Sometimes = 1 | Moderately Often = 2 | Often = 3 | All of the time = 4</t>
        </is>
      </c>
      <c r="J226" s="27" t="n"/>
      <c r="K226" s="27" t="inlineStr">
        <is>
          <t>https://novopsych.com/assessments/formulation/perfectionistic-cognitions-inventory-pci/</t>
        </is>
      </c>
    </row>
    <row r="227" ht="23.85" customHeight="1" s="17">
      <c r="A227" s="27" t="inlineStr">
        <is>
          <t>SCS-SF</t>
        </is>
      </c>
      <c r="B227" s="27" t="inlineStr">
        <is>
          <t>Self-Compassion Scale – Short Form</t>
        </is>
      </c>
      <c r="C227" s="27" t="inlineStr">
        <is>
          <t>5. Repetitive negative thinking and self talk</t>
        </is>
      </c>
      <c r="D227" s="28" t="n">
        <v>1</v>
      </c>
      <c r="E227" s="27" t="inlineStr">
        <is>
          <t>When I fail at something important to me I become consumed by feelings of inadequacy.</t>
        </is>
      </c>
      <c r="F227" s="27" t="inlineStr">
        <is>
          <t>Over-Identification</t>
        </is>
      </c>
      <c r="G227" s="34" t="inlineStr">
        <is>
          <t>TRUE</t>
        </is>
      </c>
      <c r="H227" s="27" t="inlineStr">
        <is>
          <t>FALSE</t>
        </is>
      </c>
      <c r="I227" s="27" t="inlineStr">
        <is>
          <t>Almost never = 1 | 2 = 2 | 3 = 3 | 4 = 4 | Almost always = 5</t>
        </is>
      </c>
      <c r="J227" s="27" t="n"/>
      <c r="K227" s="27" t="inlineStr">
        <is>
          <t>https://self-compassion.org/wp-content/uploads/2015/02/ShortSCS.pdf</t>
        </is>
      </c>
    </row>
    <row r="228" ht="23.85" customHeight="1" s="17">
      <c r="A228" s="27" t="inlineStr">
        <is>
          <t>SCS-SF</t>
        </is>
      </c>
      <c r="B228" s="27" t="inlineStr">
        <is>
          <t>Self-Compassion Scale – Short Form</t>
        </is>
      </c>
      <c r="C228" s="27" t="inlineStr">
        <is>
          <t>5. Repetitive negative thinking and self talk</t>
        </is>
      </c>
      <c r="D228" s="28" t="n">
        <v>2</v>
      </c>
      <c r="E228" s="27" t="inlineStr">
        <is>
          <t>I try to be understanding and patient towards those aspects of my personality I don't like.</t>
        </is>
      </c>
      <c r="F228" s="27" t="inlineStr">
        <is>
          <t>Self-Kindness</t>
        </is>
      </c>
      <c r="G228" s="27" t="inlineStr">
        <is>
          <t>FALSE</t>
        </is>
      </c>
      <c r="H228" s="27" t="inlineStr">
        <is>
          <t>FALSE</t>
        </is>
      </c>
      <c r="I228" s="27" t="inlineStr">
        <is>
          <t>Almost never = 1 | 2 = 2 | 3 = 3 | 4 = 4 | Almost always = 5</t>
        </is>
      </c>
      <c r="J228" s="27" t="n"/>
      <c r="K228" s="27" t="inlineStr">
        <is>
          <t>https://self-compassion.org/wp-content/uploads/2015/02/ShortSCS.pdf</t>
        </is>
      </c>
    </row>
    <row r="229" ht="23.85" customHeight="1" s="17">
      <c r="A229" s="27" t="inlineStr">
        <is>
          <t>SCS-SF</t>
        </is>
      </c>
      <c r="B229" s="27" t="inlineStr">
        <is>
          <t>Self-Compassion Scale – Short Form</t>
        </is>
      </c>
      <c r="C229" s="27" t="inlineStr">
        <is>
          <t>5. Repetitive negative thinking and self talk</t>
        </is>
      </c>
      <c r="D229" s="28" t="n">
        <v>3</v>
      </c>
      <c r="E229" s="27" t="inlineStr">
        <is>
          <t>When something painful happens I try to take a balanced view of the situation.</t>
        </is>
      </c>
      <c r="F229" s="27" t="inlineStr">
        <is>
          <t>Mindfulness</t>
        </is>
      </c>
      <c r="G229" s="27" t="inlineStr">
        <is>
          <t>FALSE</t>
        </is>
      </c>
      <c r="H229" s="27" t="inlineStr">
        <is>
          <t>FALSE</t>
        </is>
      </c>
      <c r="I229" s="27" t="inlineStr">
        <is>
          <t>Almost never = 1 | 2 = 2 | 3 = 3 | 4 = 4 | Almost always = 5</t>
        </is>
      </c>
      <c r="J229" s="27" t="n"/>
      <c r="K229" s="27" t="inlineStr">
        <is>
          <t>https://self-compassion.org/wp-content/uploads/2015/02/ShortSCS.pdf</t>
        </is>
      </c>
    </row>
    <row r="230" ht="23.85" customHeight="1" s="17">
      <c r="A230" s="27" t="inlineStr">
        <is>
          <t>SCS-SF</t>
        </is>
      </c>
      <c r="B230" s="27" t="inlineStr">
        <is>
          <t>Self-Compassion Scale – Short Form</t>
        </is>
      </c>
      <c r="C230" s="27" t="inlineStr">
        <is>
          <t>5. Repetitive negative thinking and self talk</t>
        </is>
      </c>
      <c r="D230" s="28" t="n">
        <v>4</v>
      </c>
      <c r="E230" s="27" t="inlineStr">
        <is>
          <t>When I'm feeling down, I tend to feel like most other people are probably happier than I am.</t>
        </is>
      </c>
      <c r="F230" s="27" t="inlineStr">
        <is>
          <t>Isolation</t>
        </is>
      </c>
      <c r="G230" s="34" t="inlineStr">
        <is>
          <t>TRUE</t>
        </is>
      </c>
      <c r="H230" s="27" t="inlineStr">
        <is>
          <t>FALSE</t>
        </is>
      </c>
      <c r="I230" s="27" t="inlineStr">
        <is>
          <t>Almost never = 1 | 2 = 2 | 3 = 3 | 4 = 4 | Almost always = 5</t>
        </is>
      </c>
      <c r="J230" s="27" t="n"/>
      <c r="K230" s="27" t="inlineStr">
        <is>
          <t>https://self-compassion.org/wp-content/uploads/2015/02/ShortSCS.pdf</t>
        </is>
      </c>
    </row>
    <row r="231" ht="23.85" customHeight="1" s="17">
      <c r="A231" s="27" t="inlineStr">
        <is>
          <t>SCS-SF</t>
        </is>
      </c>
      <c r="B231" s="27" t="inlineStr">
        <is>
          <t>Self-Compassion Scale – Short Form</t>
        </is>
      </c>
      <c r="C231" s="27" t="inlineStr">
        <is>
          <t>5. Repetitive negative thinking and self talk</t>
        </is>
      </c>
      <c r="D231" s="28" t="n">
        <v>5</v>
      </c>
      <c r="E231" s="27" t="inlineStr">
        <is>
          <t>I try to see my failings as part of the human condition.</t>
        </is>
      </c>
      <c r="F231" s="27" t="inlineStr">
        <is>
          <t>Common Humanity</t>
        </is>
      </c>
      <c r="G231" s="27" t="inlineStr">
        <is>
          <t>FALSE</t>
        </is>
      </c>
      <c r="H231" s="27" t="inlineStr">
        <is>
          <t>FALSE</t>
        </is>
      </c>
      <c r="I231" s="27" t="inlineStr">
        <is>
          <t>Almost never = 1 | 2 = 2 | 3 = 3 | 4 = 4 | Almost always = 5</t>
        </is>
      </c>
      <c r="J231" s="27" t="n"/>
      <c r="K231" s="27" t="inlineStr">
        <is>
          <t>https://self-compassion.org/wp-content/uploads/2015/02/ShortSCS.pdf</t>
        </is>
      </c>
    </row>
    <row r="232" ht="23.85" customHeight="1" s="17">
      <c r="A232" s="27" t="inlineStr">
        <is>
          <t>SCS-SF</t>
        </is>
      </c>
      <c r="B232" s="27" t="inlineStr">
        <is>
          <t>Self-Compassion Scale – Short Form</t>
        </is>
      </c>
      <c r="C232" s="27" t="inlineStr">
        <is>
          <t>5. Repetitive negative thinking and self talk</t>
        </is>
      </c>
      <c r="D232" s="28" t="n">
        <v>6</v>
      </c>
      <c r="E232" s="27" t="inlineStr">
        <is>
          <t>When I'm going through a very hard time, I give myself the caring and tenderness I need.</t>
        </is>
      </c>
      <c r="F232" s="27" t="inlineStr">
        <is>
          <t>Self-Kindness</t>
        </is>
      </c>
      <c r="G232" s="27" t="inlineStr">
        <is>
          <t>FALSE</t>
        </is>
      </c>
      <c r="H232" s="27" t="inlineStr">
        <is>
          <t>FALSE</t>
        </is>
      </c>
      <c r="I232" s="27" t="inlineStr">
        <is>
          <t>Almost never = 1 | 2 = 2 | 3 = 3 | 4 = 4 | Almost always = 5</t>
        </is>
      </c>
      <c r="J232" s="27" t="n"/>
      <c r="K232" s="27" t="inlineStr">
        <is>
          <t>https://self-compassion.org/wp-content/uploads/2015/02/ShortSCS.pdf</t>
        </is>
      </c>
    </row>
    <row r="233" ht="23.85" customHeight="1" s="17">
      <c r="A233" s="27" t="inlineStr">
        <is>
          <t>SCS-SF</t>
        </is>
      </c>
      <c r="B233" s="27" t="inlineStr">
        <is>
          <t>Self-Compassion Scale – Short Form</t>
        </is>
      </c>
      <c r="C233" s="27" t="inlineStr">
        <is>
          <t>5. Repetitive negative thinking and self talk</t>
        </is>
      </c>
      <c r="D233" s="28" t="n">
        <v>7</v>
      </c>
      <c r="E233" s="27" t="inlineStr">
        <is>
          <t>When something upsets me I try to keep my emotions in balance.</t>
        </is>
      </c>
      <c r="F233" s="27" t="inlineStr">
        <is>
          <t>Mindfulness</t>
        </is>
      </c>
      <c r="G233" s="27" t="inlineStr">
        <is>
          <t>FALSE</t>
        </is>
      </c>
      <c r="H233" s="27" t="inlineStr">
        <is>
          <t>FALSE</t>
        </is>
      </c>
      <c r="I233" s="27" t="inlineStr">
        <is>
          <t>Almost never = 1 | 2 = 2 | 3 = 3 | 4 = 4 | Almost always = 5</t>
        </is>
      </c>
      <c r="J233" s="27" t="n"/>
      <c r="K233" s="27" t="inlineStr">
        <is>
          <t>https://self-compassion.org/wp-content/uploads/2015/02/ShortSCS.pdf</t>
        </is>
      </c>
    </row>
    <row r="234" ht="23.85" customHeight="1" s="17">
      <c r="A234" s="27" t="inlineStr">
        <is>
          <t>SCS-SF</t>
        </is>
      </c>
      <c r="B234" s="27" t="inlineStr">
        <is>
          <t>Self-Compassion Scale – Short Form</t>
        </is>
      </c>
      <c r="C234" s="27" t="inlineStr">
        <is>
          <t>5. Repetitive negative thinking and self talk</t>
        </is>
      </c>
      <c r="D234" s="28" t="n">
        <v>8</v>
      </c>
      <c r="E234" s="27" t="inlineStr">
        <is>
          <t>When I fail at something that's important to me, I tend to feel alone in my failure.</t>
        </is>
      </c>
      <c r="F234" s="27" t="inlineStr">
        <is>
          <t>Isolation</t>
        </is>
      </c>
      <c r="G234" s="34" t="inlineStr">
        <is>
          <t>TRUE</t>
        </is>
      </c>
      <c r="H234" s="27" t="inlineStr">
        <is>
          <t>FALSE</t>
        </is>
      </c>
      <c r="I234" s="27" t="inlineStr">
        <is>
          <t>Almost never = 1 | 2 = 2 | 3 = 3 | 4 = 4 | Almost always = 5</t>
        </is>
      </c>
      <c r="J234" s="27" t="n"/>
      <c r="K234" s="27" t="inlineStr">
        <is>
          <t>https://self-compassion.org/wp-content/uploads/2015/02/ShortSCS.pdf</t>
        </is>
      </c>
    </row>
    <row r="235" ht="23.85" customHeight="1" s="17">
      <c r="A235" s="27" t="inlineStr">
        <is>
          <t>SCS-SF</t>
        </is>
      </c>
      <c r="B235" s="27" t="inlineStr">
        <is>
          <t>Self-Compassion Scale – Short Form</t>
        </is>
      </c>
      <c r="C235" s="27" t="inlineStr">
        <is>
          <t>5. Repetitive negative thinking and self talk</t>
        </is>
      </c>
      <c r="D235" s="28" t="n">
        <v>9</v>
      </c>
      <c r="E235" s="27" t="inlineStr">
        <is>
          <t>When I'm feeling down I tend to obsess and fixate on everything that's wrong.</t>
        </is>
      </c>
      <c r="F235" s="27" t="inlineStr">
        <is>
          <t>Over-Identification</t>
        </is>
      </c>
      <c r="G235" s="34" t="inlineStr">
        <is>
          <t>TRUE</t>
        </is>
      </c>
      <c r="H235" s="27" t="inlineStr">
        <is>
          <t>FALSE</t>
        </is>
      </c>
      <c r="I235" s="27" t="inlineStr">
        <is>
          <t>Almost never = 1 | 2 = 2 | 3 = 3 | 4 = 4 | Almost always = 5</t>
        </is>
      </c>
      <c r="J235" s="27" t="n"/>
      <c r="K235" s="27" t="inlineStr">
        <is>
          <t>https://self-compassion.org/wp-content/uploads/2015/02/ShortSCS.pdf</t>
        </is>
      </c>
    </row>
    <row r="236" ht="23.85" customHeight="1" s="17">
      <c r="A236" s="27" t="inlineStr">
        <is>
          <t>SCS-SF</t>
        </is>
      </c>
      <c r="B236" s="27" t="inlineStr">
        <is>
          <t>Self-Compassion Scale – Short Form</t>
        </is>
      </c>
      <c r="C236" s="27" t="inlineStr">
        <is>
          <t>5. Repetitive negative thinking and self talk</t>
        </is>
      </c>
      <c r="D236" s="28" t="n">
        <v>10</v>
      </c>
      <c r="E236" s="27" t="inlineStr">
        <is>
          <t>When I feel inadequate in some way, I try to remind myself that feelings of inadequacy are shared by most people.</t>
        </is>
      </c>
      <c r="F236" s="27" t="inlineStr">
        <is>
          <t>Common Humanity</t>
        </is>
      </c>
      <c r="G236" s="27" t="inlineStr">
        <is>
          <t>FALSE</t>
        </is>
      </c>
      <c r="H236" s="27" t="inlineStr">
        <is>
          <t>FALSE</t>
        </is>
      </c>
      <c r="I236" s="27" t="inlineStr">
        <is>
          <t>Almost never = 1 | 2 = 2 | 3 = 3 | 4 = 4 | Almost always = 5</t>
        </is>
      </c>
      <c r="J236" s="27" t="n"/>
      <c r="K236" s="27" t="inlineStr">
        <is>
          <t>https://self-compassion.org/wp-content/uploads/2015/02/ShortSCS.pdf</t>
        </is>
      </c>
    </row>
    <row r="237" ht="23.85" customHeight="1" s="17">
      <c r="A237" s="27" t="inlineStr">
        <is>
          <t>SCS-SF</t>
        </is>
      </c>
      <c r="B237" s="27" t="inlineStr">
        <is>
          <t>Self-Compassion Scale – Short Form</t>
        </is>
      </c>
      <c r="C237" s="27" t="inlineStr">
        <is>
          <t>5. Repetitive negative thinking and self talk</t>
        </is>
      </c>
      <c r="D237" s="28" t="n">
        <v>11</v>
      </c>
      <c r="E237" s="27" t="inlineStr">
        <is>
          <t>I'm disapproving and judgmental about my own flaws and inadequacies.</t>
        </is>
      </c>
      <c r="F237" s="27" t="inlineStr">
        <is>
          <t>Self-Judgment</t>
        </is>
      </c>
      <c r="G237" s="34" t="inlineStr">
        <is>
          <t>TRUE</t>
        </is>
      </c>
      <c r="H237" s="27" t="inlineStr">
        <is>
          <t>FALSE</t>
        </is>
      </c>
      <c r="I237" s="27" t="inlineStr">
        <is>
          <t>Almost never = 1 | 2 = 2 | 3 = 3 | 4 = 4 | Almost always = 5</t>
        </is>
      </c>
      <c r="J237" s="27" t="n"/>
      <c r="K237" s="27" t="inlineStr">
        <is>
          <t>https://self-compassion.org/wp-content/uploads/2015/02/ShortSCS.pdf</t>
        </is>
      </c>
    </row>
    <row r="238" ht="23.85" customHeight="1" s="17">
      <c r="A238" s="27" t="inlineStr">
        <is>
          <t>SCS-SF</t>
        </is>
      </c>
      <c r="B238" s="27" t="inlineStr">
        <is>
          <t>Self-Compassion Scale – Short Form</t>
        </is>
      </c>
      <c r="C238" s="27" t="inlineStr">
        <is>
          <t>5. Repetitive negative thinking and self talk</t>
        </is>
      </c>
      <c r="D238" s="28" t="n">
        <v>12</v>
      </c>
      <c r="E238" s="27" t="inlineStr">
        <is>
          <t>I'm intolerant and impatient towards those aspects of my personality I don't like.</t>
        </is>
      </c>
      <c r="F238" s="27" t="inlineStr">
        <is>
          <t>Self-Judgment</t>
        </is>
      </c>
      <c r="G238" s="34" t="inlineStr">
        <is>
          <t>TRUE</t>
        </is>
      </c>
      <c r="H238" s="27" t="inlineStr">
        <is>
          <t>FALSE</t>
        </is>
      </c>
      <c r="I238" s="27" t="inlineStr">
        <is>
          <t>Almost never = 1 | 2 = 2 | 3 = 3 | 4 = 4 | Almost always = 5</t>
        </is>
      </c>
      <c r="J238" s="27" t="n"/>
      <c r="K238" s="27" t="inlineStr">
        <is>
          <t>https://self-compassion.org/wp-content/uploads/2015/02/ShortSCS.pdf</t>
        </is>
      </c>
    </row>
    <row r="239" ht="23.85" customHeight="1" s="17">
      <c r="A239" s="27" t="inlineStr">
        <is>
          <t>BPNSFS</t>
        </is>
      </c>
      <c r="B239" s="27" t="inlineStr">
        <is>
          <t>Basic Psychological Need Satisfaction and Frustration Scale (BPNSFS)</t>
        </is>
      </c>
      <c r="C239" s="27" t="inlineStr">
        <is>
          <t>6. Motivation, self determination and goal pursuit</t>
        </is>
      </c>
      <c r="D239" s="28" t="n">
        <v>1</v>
      </c>
      <c r="E239" s="27" t="inlineStr">
        <is>
          <t>I feel a sense of choice and freedom in the things I undertake.</t>
        </is>
      </c>
      <c r="F239" s="27" t="inlineStr">
        <is>
          <t>Autonomy satisfaction</t>
        </is>
      </c>
      <c r="G239" s="27" t="inlineStr">
        <is>
          <t>FALSE</t>
        </is>
      </c>
      <c r="H239" s="27" t="inlineStr">
        <is>
          <t>FALSE</t>
        </is>
      </c>
      <c r="I239" s="27" t="inlineStr">
        <is>
          <t>Not true at all = 1 | 2 = 2 | 3 = 3 | 4 = 4 | Completely true = 5</t>
        </is>
      </c>
      <c r="J239" s="27" t="n"/>
      <c r="K239" s="27" t="inlineStr">
        <is>
          <t>https://selfdeterminationtheory.org/basic-psychological-need-satisfaction-and-frustration-scale/</t>
        </is>
      </c>
    </row>
    <row r="240" ht="23.85" customHeight="1" s="17">
      <c r="A240" s="27" t="inlineStr">
        <is>
          <t>BPNSFS</t>
        </is>
      </c>
      <c r="B240" s="27" t="inlineStr">
        <is>
          <t>Basic Psychological Need Satisfaction and Frustration Scale (BPNSFS)</t>
        </is>
      </c>
      <c r="C240" s="27" t="inlineStr">
        <is>
          <t>6. Motivation, self determination and goal pursuit</t>
        </is>
      </c>
      <c r="D240" s="28" t="n">
        <v>2</v>
      </c>
      <c r="E240" s="27" t="inlineStr">
        <is>
          <t>Most of the things I do feel like "I have to".</t>
        </is>
      </c>
      <c r="F240" s="27" t="inlineStr">
        <is>
          <t>Autonomy frustration</t>
        </is>
      </c>
      <c r="G240" s="27" t="inlineStr">
        <is>
          <t>FALSE</t>
        </is>
      </c>
      <c r="H240" s="27" t="inlineStr">
        <is>
          <t>FALSE</t>
        </is>
      </c>
      <c r="I240" s="27" t="inlineStr">
        <is>
          <t>Not true at all = 1 | 2 = 2 | 3 = 3 | 4 = 4 | Completely true = 5</t>
        </is>
      </c>
      <c r="J240" s="27" t="n"/>
      <c r="K240" s="27" t="inlineStr">
        <is>
          <t>https://selfdeterminationtheory.org/basic-psychological-need-satisfaction-and-frustration-scale/</t>
        </is>
      </c>
    </row>
    <row r="241" ht="23.85" customHeight="1" s="17">
      <c r="A241" s="27" t="inlineStr">
        <is>
          <t>BPNSFS</t>
        </is>
      </c>
      <c r="B241" s="27" t="inlineStr">
        <is>
          <t>Basic Psychological Need Satisfaction and Frustration Scale (BPNSFS)</t>
        </is>
      </c>
      <c r="C241" s="27" t="inlineStr">
        <is>
          <t>6. Motivation, self determination and goal pursuit</t>
        </is>
      </c>
      <c r="D241" s="28" t="n">
        <v>3</v>
      </c>
      <c r="E241" s="27" t="inlineStr">
        <is>
          <t>I feel that the people I care about also care about me.</t>
        </is>
      </c>
      <c r="F241" s="27" t="inlineStr">
        <is>
          <t>Relatedness satisfaction</t>
        </is>
      </c>
      <c r="G241" s="27" t="inlineStr">
        <is>
          <t>FALSE</t>
        </is>
      </c>
      <c r="H241" s="27" t="inlineStr">
        <is>
          <t>FALSE</t>
        </is>
      </c>
      <c r="I241" s="27" t="inlineStr">
        <is>
          <t>Not true at all = 1 | 2 = 2 | 3 = 3 | 4 = 4 | Completely true = 5</t>
        </is>
      </c>
      <c r="J241" s="27" t="n"/>
      <c r="K241" s="27" t="inlineStr">
        <is>
          <t>https://selfdeterminationtheory.org/basic-psychological-need-satisfaction-and-frustration-scale/</t>
        </is>
      </c>
    </row>
    <row r="242" ht="23.85" customHeight="1" s="17">
      <c r="A242" s="27" t="inlineStr">
        <is>
          <t>BPNSFS</t>
        </is>
      </c>
      <c r="B242" s="27" t="inlineStr">
        <is>
          <t>Basic Psychological Need Satisfaction and Frustration Scale (BPNSFS)</t>
        </is>
      </c>
      <c r="C242" s="27" t="inlineStr">
        <is>
          <t>6. Motivation, self determination and goal pursuit</t>
        </is>
      </c>
      <c r="D242" s="28" t="n">
        <v>4</v>
      </c>
      <c r="E242" s="27" t="inlineStr">
        <is>
          <t>I feel excluded from the group I want to belong to.</t>
        </is>
      </c>
      <c r="F242" s="27" t="inlineStr">
        <is>
          <t>Relatedness frustration</t>
        </is>
      </c>
      <c r="G242" s="27" t="inlineStr">
        <is>
          <t>FALSE</t>
        </is>
      </c>
      <c r="H242" s="27" t="inlineStr">
        <is>
          <t>FALSE</t>
        </is>
      </c>
      <c r="I242" s="27" t="inlineStr">
        <is>
          <t>Not true at all = 1 | 2 = 2 | 3 = 3 | 4 = 4 | Completely true = 5</t>
        </is>
      </c>
      <c r="J242" s="27" t="n"/>
      <c r="K242" s="27" t="inlineStr">
        <is>
          <t>https://selfdeterminationtheory.org/basic-psychological-need-satisfaction-and-frustration-scale/</t>
        </is>
      </c>
    </row>
    <row r="243" ht="23.85" customHeight="1" s="17">
      <c r="A243" s="27" t="inlineStr">
        <is>
          <t>BPNSFS</t>
        </is>
      </c>
      <c r="B243" s="27" t="inlineStr">
        <is>
          <t>Basic Psychological Need Satisfaction and Frustration Scale (BPNSFS)</t>
        </is>
      </c>
      <c r="C243" s="27" t="inlineStr">
        <is>
          <t>6. Motivation, self determination and goal pursuit</t>
        </is>
      </c>
      <c r="D243" s="28" t="n">
        <v>5</v>
      </c>
      <c r="E243" s="27" t="inlineStr">
        <is>
          <t>I feel confident that I can do things well.</t>
        </is>
      </c>
      <c r="F243" s="27" t="inlineStr">
        <is>
          <t>Competence satisfaction</t>
        </is>
      </c>
      <c r="G243" s="27" t="inlineStr">
        <is>
          <t>FALSE</t>
        </is>
      </c>
      <c r="H243" s="27" t="inlineStr">
        <is>
          <t>FALSE</t>
        </is>
      </c>
      <c r="I243" s="27" t="inlineStr">
        <is>
          <t>Not true at all = 1 | 2 = 2 | 3 = 3 | 4 = 4 | Completely true = 5</t>
        </is>
      </c>
      <c r="J243" s="27" t="n"/>
      <c r="K243" s="27" t="inlineStr">
        <is>
          <t>https://selfdeterminationtheory.org/basic-psychological-need-satisfaction-and-frustration-scale/</t>
        </is>
      </c>
    </row>
    <row r="244" ht="23.85" customHeight="1" s="17">
      <c r="A244" s="27" t="inlineStr">
        <is>
          <t>BPNSFS</t>
        </is>
      </c>
      <c r="B244" s="27" t="inlineStr">
        <is>
          <t>Basic Psychological Need Satisfaction and Frustration Scale (BPNSFS)</t>
        </is>
      </c>
      <c r="C244" s="27" t="inlineStr">
        <is>
          <t>6. Motivation, self determination and goal pursuit</t>
        </is>
      </c>
      <c r="D244" s="28" t="n">
        <v>6</v>
      </c>
      <c r="E244" s="27" t="inlineStr">
        <is>
          <t>I have serious doubts about whether I can do things well.</t>
        </is>
      </c>
      <c r="F244" s="27" t="inlineStr">
        <is>
          <t>Competence frustration</t>
        </is>
      </c>
      <c r="G244" s="27" t="inlineStr">
        <is>
          <t>FALSE</t>
        </is>
      </c>
      <c r="H244" s="27" t="inlineStr">
        <is>
          <t>FALSE</t>
        </is>
      </c>
      <c r="I244" s="27" t="inlineStr">
        <is>
          <t>Not true at all = 1 | 2 = 2 | 3 = 3 | 4 = 4 | Completely true = 5</t>
        </is>
      </c>
      <c r="J244" s="27" t="n"/>
      <c r="K244" s="27" t="inlineStr">
        <is>
          <t>https://selfdeterminationtheory.org/basic-psychological-need-satisfaction-and-frustration-scale/</t>
        </is>
      </c>
    </row>
    <row r="245" ht="23.85" customHeight="1" s="17">
      <c r="A245" s="27" t="inlineStr">
        <is>
          <t>BPNSFS</t>
        </is>
      </c>
      <c r="B245" s="27" t="inlineStr">
        <is>
          <t>Basic Psychological Need Satisfaction and Frustration Scale (BPNSFS)</t>
        </is>
      </c>
      <c r="C245" s="27" t="inlineStr">
        <is>
          <t>6. Motivation, self determination and goal pursuit</t>
        </is>
      </c>
      <c r="D245" s="28" t="n">
        <v>7</v>
      </c>
      <c r="E245" s="27" t="inlineStr">
        <is>
          <t>I feel that my decisions reflect what I really want.</t>
        </is>
      </c>
      <c r="F245" s="27" t="inlineStr">
        <is>
          <t>Autonomy satisfaction</t>
        </is>
      </c>
      <c r="G245" s="27" t="inlineStr">
        <is>
          <t>FALSE</t>
        </is>
      </c>
      <c r="H245" s="27" t="inlineStr">
        <is>
          <t>FALSE</t>
        </is>
      </c>
      <c r="I245" s="27" t="inlineStr">
        <is>
          <t>Not true at all = 1 | 2 = 2 | 3 = 3 | 4 = 4 | Completely true = 5</t>
        </is>
      </c>
      <c r="J245" s="27" t="n"/>
      <c r="K245" s="27" t="inlineStr">
        <is>
          <t>https://selfdeterminationtheory.org/basic-psychological-need-satisfaction-and-frustration-scale/</t>
        </is>
      </c>
    </row>
    <row r="246" ht="23.85" customHeight="1" s="17">
      <c r="A246" s="27" t="inlineStr">
        <is>
          <t>BPNSFS</t>
        </is>
      </c>
      <c r="B246" s="27" t="inlineStr">
        <is>
          <t>Basic Psychological Need Satisfaction and Frustration Scale (BPNSFS)</t>
        </is>
      </c>
      <c r="C246" s="27" t="inlineStr">
        <is>
          <t>6. Motivation, self determination and goal pursuit</t>
        </is>
      </c>
      <c r="D246" s="28" t="n">
        <v>8</v>
      </c>
      <c r="E246" s="27" t="inlineStr">
        <is>
          <t>I feel forced to do many things I wouldn't choose to do.</t>
        </is>
      </c>
      <c r="F246" s="27" t="inlineStr">
        <is>
          <t>Autonomy frustration</t>
        </is>
      </c>
      <c r="G246" s="27" t="inlineStr">
        <is>
          <t>FALSE</t>
        </is>
      </c>
      <c r="H246" s="27" t="inlineStr">
        <is>
          <t>FALSE</t>
        </is>
      </c>
      <c r="I246" s="27" t="inlineStr">
        <is>
          <t>Not true at all = 1 | 2 = 2 | 3 = 3 | 4 = 4 | Completely true = 5</t>
        </is>
      </c>
      <c r="J246" s="27" t="n"/>
      <c r="K246" s="27" t="inlineStr">
        <is>
          <t>https://selfdeterminationtheory.org/basic-psychological-need-satisfaction-and-frustration-scale/</t>
        </is>
      </c>
    </row>
    <row r="247" ht="23.85" customHeight="1" s="17">
      <c r="A247" s="27" t="inlineStr">
        <is>
          <t>BPNSFS</t>
        </is>
      </c>
      <c r="B247" s="27" t="inlineStr">
        <is>
          <t>Basic Psychological Need Satisfaction and Frustration Scale (BPNSFS)</t>
        </is>
      </c>
      <c r="C247" s="27" t="inlineStr">
        <is>
          <t>6. Motivation, self determination and goal pursuit</t>
        </is>
      </c>
      <c r="D247" s="28" t="n">
        <v>9</v>
      </c>
      <c r="E247" s="27" t="inlineStr">
        <is>
          <t>I feel connected with people who care for me, and for whom I care.</t>
        </is>
      </c>
      <c r="F247" s="27" t="inlineStr">
        <is>
          <t>Relatedness satisfaction</t>
        </is>
      </c>
      <c r="G247" s="27" t="inlineStr">
        <is>
          <t>FALSE</t>
        </is>
      </c>
      <c r="H247" s="27" t="inlineStr">
        <is>
          <t>FALSE</t>
        </is>
      </c>
      <c r="I247" s="27" t="inlineStr">
        <is>
          <t>Not true at all = 1 | 2 = 2 | 3 = 3 | 4 = 4 | Completely true = 5</t>
        </is>
      </c>
      <c r="J247" s="27" t="n"/>
      <c r="K247" s="27" t="inlineStr">
        <is>
          <t>https://selfdeterminationtheory.org/basic-psychological-need-satisfaction-and-frustration-scale/</t>
        </is>
      </c>
    </row>
    <row r="248" ht="23.85" customHeight="1" s="17">
      <c r="A248" s="27" t="inlineStr">
        <is>
          <t>BPNSFS</t>
        </is>
      </c>
      <c r="B248" s="27" t="inlineStr">
        <is>
          <t>Basic Psychological Need Satisfaction and Frustration Scale (BPNSFS)</t>
        </is>
      </c>
      <c r="C248" s="27" t="inlineStr">
        <is>
          <t>6. Motivation, self determination and goal pursuit</t>
        </is>
      </c>
      <c r="D248" s="28" t="n">
        <v>10</v>
      </c>
      <c r="E248" s="27" t="inlineStr">
        <is>
          <t>I feel that people who are important to me are cold and distant towards me.</t>
        </is>
      </c>
      <c r="F248" s="27" t="inlineStr">
        <is>
          <t>Relatedness frustration</t>
        </is>
      </c>
      <c r="G248" s="27" t="inlineStr">
        <is>
          <t>FALSE</t>
        </is>
      </c>
      <c r="H248" s="27" t="inlineStr">
        <is>
          <t>FALSE</t>
        </is>
      </c>
      <c r="I248" s="27" t="inlineStr">
        <is>
          <t>Not true at all = 1 | 2 = 2 | 3 = 3 | 4 = 4 | Completely true = 5</t>
        </is>
      </c>
      <c r="J248" s="27" t="n"/>
      <c r="K248" s="27" t="inlineStr">
        <is>
          <t>https://selfdeterminationtheory.org/basic-psychological-need-satisfaction-and-frustration-scale/</t>
        </is>
      </c>
    </row>
    <row r="249" ht="23.85" customHeight="1" s="17">
      <c r="A249" s="27" t="inlineStr">
        <is>
          <t>BPNSFS</t>
        </is>
      </c>
      <c r="B249" s="27" t="inlineStr">
        <is>
          <t>Basic Psychological Need Satisfaction and Frustration Scale (BPNSFS)</t>
        </is>
      </c>
      <c r="C249" s="27" t="inlineStr">
        <is>
          <t>6. Motivation, self determination and goal pursuit</t>
        </is>
      </c>
      <c r="D249" s="28" t="n">
        <v>11</v>
      </c>
      <c r="E249" s="27" t="inlineStr">
        <is>
          <t>I feel capable at what I do.</t>
        </is>
      </c>
      <c r="F249" s="27" t="inlineStr">
        <is>
          <t>Competence satisfaction</t>
        </is>
      </c>
      <c r="G249" s="27" t="inlineStr">
        <is>
          <t>FALSE</t>
        </is>
      </c>
      <c r="H249" s="27" t="inlineStr">
        <is>
          <t>FALSE</t>
        </is>
      </c>
      <c r="I249" s="27" t="inlineStr">
        <is>
          <t>Not true at all = 1 | 2 = 2 | 3 = 3 | 4 = 4 | Completely true = 5</t>
        </is>
      </c>
      <c r="J249" s="27" t="n"/>
      <c r="K249" s="27" t="inlineStr">
        <is>
          <t>https://selfdeterminationtheory.org/basic-psychological-need-satisfaction-and-frustration-scale/</t>
        </is>
      </c>
    </row>
    <row r="250" ht="23.85" customHeight="1" s="17">
      <c r="A250" s="27" t="inlineStr">
        <is>
          <t>BPNSFS</t>
        </is>
      </c>
      <c r="B250" s="27" t="inlineStr">
        <is>
          <t>Basic Psychological Need Satisfaction and Frustration Scale (BPNSFS)</t>
        </is>
      </c>
      <c r="C250" s="27" t="inlineStr">
        <is>
          <t>6. Motivation, self determination and goal pursuit</t>
        </is>
      </c>
      <c r="D250" s="28" t="n">
        <v>12</v>
      </c>
      <c r="E250" s="27" t="inlineStr">
        <is>
          <t>I feel disappointed with many of my performances.</t>
        </is>
      </c>
      <c r="F250" s="27" t="inlineStr">
        <is>
          <t>Competence frustration</t>
        </is>
      </c>
      <c r="G250" s="27" t="inlineStr">
        <is>
          <t>FALSE</t>
        </is>
      </c>
      <c r="H250" s="27" t="inlineStr">
        <is>
          <t>FALSE</t>
        </is>
      </c>
      <c r="I250" s="27" t="inlineStr">
        <is>
          <t>Not true at all = 1 | 2 = 2 | 3 = 3 | 4 = 4 | Completely true = 5</t>
        </is>
      </c>
      <c r="J250" s="27" t="n"/>
      <c r="K250" s="27" t="inlineStr">
        <is>
          <t>https://selfdeterminationtheory.org/basic-psychological-need-satisfaction-and-frustration-scale/</t>
        </is>
      </c>
    </row>
    <row r="251" ht="23.85" customHeight="1" s="17">
      <c r="A251" s="27" t="inlineStr">
        <is>
          <t>BPNSFS</t>
        </is>
      </c>
      <c r="B251" s="27" t="inlineStr">
        <is>
          <t>Basic Psychological Need Satisfaction and Frustration Scale (BPNSFS)</t>
        </is>
      </c>
      <c r="C251" s="27" t="inlineStr">
        <is>
          <t>6. Motivation, self determination and goal pursuit</t>
        </is>
      </c>
      <c r="D251" s="28" t="n">
        <v>13</v>
      </c>
      <c r="E251" s="27" t="inlineStr">
        <is>
          <t>I feel my choices express who I really am.</t>
        </is>
      </c>
      <c r="F251" s="27" t="inlineStr">
        <is>
          <t>Autonomy satisfaction</t>
        </is>
      </c>
      <c r="G251" s="27" t="inlineStr">
        <is>
          <t>FALSE</t>
        </is>
      </c>
      <c r="H251" s="27" t="inlineStr">
        <is>
          <t>FALSE</t>
        </is>
      </c>
      <c r="I251" s="27" t="inlineStr">
        <is>
          <t>Not true at all = 1 | 2 = 2 | 3 = 3 | 4 = 4 | Completely true = 5</t>
        </is>
      </c>
      <c r="J251" s="27" t="n"/>
      <c r="K251" s="27" t="inlineStr">
        <is>
          <t>https://selfdeterminationtheory.org/basic-psychological-need-satisfaction-and-frustration-scale/</t>
        </is>
      </c>
    </row>
    <row r="252" ht="23.85" customHeight="1" s="17">
      <c r="A252" s="27" t="inlineStr">
        <is>
          <t>BPNSFS</t>
        </is>
      </c>
      <c r="B252" s="27" t="inlineStr">
        <is>
          <t>Basic Psychological Need Satisfaction and Frustration Scale (BPNSFS)</t>
        </is>
      </c>
      <c r="C252" s="27" t="inlineStr">
        <is>
          <t>6. Motivation, self determination and goal pursuit</t>
        </is>
      </c>
      <c r="D252" s="28" t="n">
        <v>14</v>
      </c>
      <c r="E252" s="27" t="inlineStr">
        <is>
          <t>I feel pressured to do too many things.</t>
        </is>
      </c>
      <c r="F252" s="27" t="inlineStr">
        <is>
          <t>Autonomy frustration</t>
        </is>
      </c>
      <c r="G252" s="27" t="inlineStr">
        <is>
          <t>FALSE</t>
        </is>
      </c>
      <c r="H252" s="27" t="inlineStr">
        <is>
          <t>FALSE</t>
        </is>
      </c>
      <c r="I252" s="27" t="inlineStr">
        <is>
          <t>Not true at all = 1 | 2 = 2 | 3 = 3 | 4 = 4 | Completely true = 5</t>
        </is>
      </c>
      <c r="J252" s="27" t="n"/>
      <c r="K252" s="27" t="inlineStr">
        <is>
          <t>https://selfdeterminationtheory.org/basic-psychological-need-satisfaction-and-frustration-scale/</t>
        </is>
      </c>
    </row>
    <row r="253" ht="23.85" customHeight="1" s="17">
      <c r="A253" s="27" t="inlineStr">
        <is>
          <t>BPNSFS</t>
        </is>
      </c>
      <c r="B253" s="27" t="inlineStr">
        <is>
          <t>Basic Psychological Need Satisfaction and Frustration Scale (BPNSFS)</t>
        </is>
      </c>
      <c r="C253" s="27" t="inlineStr">
        <is>
          <t>6. Motivation, self determination and goal pursuit</t>
        </is>
      </c>
      <c r="D253" s="28" t="n">
        <v>15</v>
      </c>
      <c r="E253" s="27" t="inlineStr">
        <is>
          <t>I feel close and connected with other people who are important to me.</t>
        </is>
      </c>
      <c r="F253" s="27" t="inlineStr">
        <is>
          <t>Relatedness satisfaction</t>
        </is>
      </c>
      <c r="G253" s="27" t="inlineStr">
        <is>
          <t>FALSE</t>
        </is>
      </c>
      <c r="H253" s="27" t="inlineStr">
        <is>
          <t>FALSE</t>
        </is>
      </c>
      <c r="I253" s="27" t="inlineStr">
        <is>
          <t>Not true at all = 1 | 2 = 2 | 3 = 3 | 4 = 4 | Completely true = 5</t>
        </is>
      </c>
      <c r="J253" s="27" t="n"/>
      <c r="K253" s="27" t="inlineStr">
        <is>
          <t>https://selfdeterminationtheory.org/basic-psychological-need-satisfaction-and-frustration-scale/</t>
        </is>
      </c>
    </row>
    <row r="254" ht="23.85" customHeight="1" s="17">
      <c r="A254" s="27" t="inlineStr">
        <is>
          <t>BPNSFS</t>
        </is>
      </c>
      <c r="B254" s="27" t="inlineStr">
        <is>
          <t>Basic Psychological Need Satisfaction and Frustration Scale (BPNSFS)</t>
        </is>
      </c>
      <c r="C254" s="27" t="inlineStr">
        <is>
          <t>6. Motivation, self determination and goal pursuit</t>
        </is>
      </c>
      <c r="D254" s="28" t="n">
        <v>16</v>
      </c>
      <c r="E254" s="27" t="inlineStr">
        <is>
          <t>I have the impression that people I spend time with dislike me.</t>
        </is>
      </c>
      <c r="F254" s="27" t="inlineStr">
        <is>
          <t>Relatedness frustration</t>
        </is>
      </c>
      <c r="G254" s="27" t="inlineStr">
        <is>
          <t>FALSE</t>
        </is>
      </c>
      <c r="H254" s="27" t="inlineStr">
        <is>
          <t>FALSE</t>
        </is>
      </c>
      <c r="I254" s="27" t="inlineStr">
        <is>
          <t>Not true at all = 1 | 2 = 2 | 3 = 3 | 4 = 4 | Completely true = 5</t>
        </is>
      </c>
      <c r="J254" s="27" t="n"/>
      <c r="K254" s="27" t="inlineStr">
        <is>
          <t>https://selfdeterminationtheory.org/basic-psychological-need-satisfaction-and-frustration-scale/</t>
        </is>
      </c>
    </row>
    <row r="255" ht="23.85" customHeight="1" s="17">
      <c r="A255" s="27" t="inlineStr">
        <is>
          <t>BPNSFS</t>
        </is>
      </c>
      <c r="B255" s="27" t="inlineStr">
        <is>
          <t>Basic Psychological Need Satisfaction and Frustration Scale (BPNSFS)</t>
        </is>
      </c>
      <c r="C255" s="27" t="inlineStr">
        <is>
          <t>6. Motivation, self determination and goal pursuit</t>
        </is>
      </c>
      <c r="D255" s="28" t="n">
        <v>17</v>
      </c>
      <c r="E255" s="27" t="inlineStr">
        <is>
          <t>I feel competent to achieve my goals.</t>
        </is>
      </c>
      <c r="F255" s="27" t="inlineStr">
        <is>
          <t>Competence satisfaction</t>
        </is>
      </c>
      <c r="G255" s="27" t="inlineStr">
        <is>
          <t>FALSE</t>
        </is>
      </c>
      <c r="H255" s="27" t="inlineStr">
        <is>
          <t>FALSE</t>
        </is>
      </c>
      <c r="I255" s="27" t="inlineStr">
        <is>
          <t>Not true at all = 1 | 2 = 2 | 3 = 3 | 4 = 4 | Completely true = 5</t>
        </is>
      </c>
      <c r="J255" s="27" t="n"/>
      <c r="K255" s="27" t="inlineStr">
        <is>
          <t>https://selfdeterminationtheory.org/basic-psychological-need-satisfaction-and-frustration-scale/</t>
        </is>
      </c>
    </row>
    <row r="256" ht="23.85" customHeight="1" s="17">
      <c r="A256" s="27" t="inlineStr">
        <is>
          <t>BPNSFS</t>
        </is>
      </c>
      <c r="B256" s="27" t="inlineStr">
        <is>
          <t>Basic Psychological Need Satisfaction and Frustration Scale (BPNSFS)</t>
        </is>
      </c>
      <c r="C256" s="27" t="inlineStr">
        <is>
          <t>6. Motivation, self determination and goal pursuit</t>
        </is>
      </c>
      <c r="D256" s="28" t="n">
        <v>18</v>
      </c>
      <c r="E256" s="27" t="inlineStr">
        <is>
          <t>I feel insecure about my abilities.</t>
        </is>
      </c>
      <c r="F256" s="27" t="inlineStr">
        <is>
          <t>Competence frustration</t>
        </is>
      </c>
      <c r="G256" s="27" t="inlineStr">
        <is>
          <t>FALSE</t>
        </is>
      </c>
      <c r="H256" s="27" t="inlineStr">
        <is>
          <t>FALSE</t>
        </is>
      </c>
      <c r="I256" s="27" t="inlineStr">
        <is>
          <t>Not true at all = 1 | 2 = 2 | 3 = 3 | 4 = 4 | Completely true = 5</t>
        </is>
      </c>
      <c r="J256" s="27" t="n"/>
      <c r="K256" s="27" t="inlineStr">
        <is>
          <t>https://selfdeterminationtheory.org/basic-psychological-need-satisfaction-and-frustration-scale/</t>
        </is>
      </c>
    </row>
    <row r="257" ht="23.85" customHeight="1" s="17">
      <c r="A257" s="27" t="inlineStr">
        <is>
          <t>BPNSFS</t>
        </is>
      </c>
      <c r="B257" s="27" t="inlineStr">
        <is>
          <t>Basic Psychological Need Satisfaction and Frustration Scale (BPNSFS)</t>
        </is>
      </c>
      <c r="C257" s="27" t="inlineStr">
        <is>
          <t>6. Motivation, self determination and goal pursuit</t>
        </is>
      </c>
      <c r="D257" s="28" t="n">
        <v>19</v>
      </c>
      <c r="E257" s="27" t="inlineStr">
        <is>
          <t>I feel I have been doing what really interests me.</t>
        </is>
      </c>
      <c r="F257" s="27" t="inlineStr">
        <is>
          <t>Autonomy satisfaction</t>
        </is>
      </c>
      <c r="G257" s="27" t="inlineStr">
        <is>
          <t>FALSE</t>
        </is>
      </c>
      <c r="H257" s="27" t="inlineStr">
        <is>
          <t>FALSE</t>
        </is>
      </c>
      <c r="I257" s="27" t="inlineStr">
        <is>
          <t>Not true at all = 1 | 2 = 2 | 3 = 3 | 4 = 4 | Completely true = 5</t>
        </is>
      </c>
      <c r="J257" s="27" t="n"/>
      <c r="K257" s="27" t="inlineStr">
        <is>
          <t>https://selfdeterminationtheory.org/basic-psychological-need-satisfaction-and-frustration-scale/</t>
        </is>
      </c>
    </row>
    <row r="258" ht="23.85" customHeight="1" s="17">
      <c r="A258" s="27" t="inlineStr">
        <is>
          <t>BPNSFS</t>
        </is>
      </c>
      <c r="B258" s="27" t="inlineStr">
        <is>
          <t>Basic Psychological Need Satisfaction and Frustration Scale (BPNSFS)</t>
        </is>
      </c>
      <c r="C258" s="27" t="inlineStr">
        <is>
          <t>6. Motivation, self determination and goal pursuit</t>
        </is>
      </c>
      <c r="D258" s="28" t="n">
        <v>20</v>
      </c>
      <c r="E258" s="27" t="inlineStr">
        <is>
          <t>My daily activities feel like a chain of obligations.</t>
        </is>
      </c>
      <c r="F258" s="27" t="inlineStr">
        <is>
          <t>Autonomy frustration</t>
        </is>
      </c>
      <c r="G258" s="27" t="inlineStr">
        <is>
          <t>FALSE</t>
        </is>
      </c>
      <c r="H258" s="27" t="inlineStr">
        <is>
          <t>FALSE</t>
        </is>
      </c>
      <c r="I258" s="27" t="inlineStr">
        <is>
          <t>Not true at all = 1 | 2 = 2 | 3 = 3 | 4 = 4 | Completely true = 5</t>
        </is>
      </c>
      <c r="J258" s="27" t="n"/>
      <c r="K258" s="27" t="inlineStr">
        <is>
          <t>https://selfdeterminationtheory.org/basic-psychological-need-satisfaction-and-frustration-scale/</t>
        </is>
      </c>
    </row>
    <row r="259" ht="23.85" customHeight="1" s="17">
      <c r="A259" s="27" t="inlineStr">
        <is>
          <t>BPNSFS</t>
        </is>
      </c>
      <c r="B259" s="27" t="inlineStr">
        <is>
          <t>Basic Psychological Need Satisfaction and Frustration Scale (BPNSFS)</t>
        </is>
      </c>
      <c r="C259" s="27" t="inlineStr">
        <is>
          <t>6. Motivation, self determination and goal pursuit</t>
        </is>
      </c>
      <c r="D259" s="28" t="n">
        <v>21</v>
      </c>
      <c r="E259" s="27" t="inlineStr">
        <is>
          <t>I experience a warm feeling with the people I spend time with.</t>
        </is>
      </c>
      <c r="F259" s="27" t="inlineStr">
        <is>
          <t>Relatedness satisfaction</t>
        </is>
      </c>
      <c r="G259" s="27" t="inlineStr">
        <is>
          <t>FALSE</t>
        </is>
      </c>
      <c r="H259" s="27" t="inlineStr">
        <is>
          <t>FALSE</t>
        </is>
      </c>
      <c r="I259" s="27" t="inlineStr">
        <is>
          <t>Not true at all = 1 | 2 = 2 | 3 = 3 | 4 = 4 | Completely true = 5</t>
        </is>
      </c>
      <c r="J259" s="27" t="n"/>
      <c r="K259" s="27" t="inlineStr">
        <is>
          <t>https://selfdeterminationtheory.org/basic-psychological-need-satisfaction-and-frustration-scale/</t>
        </is>
      </c>
    </row>
    <row r="260" ht="23.85" customHeight="1" s="17">
      <c r="A260" s="27" t="inlineStr">
        <is>
          <t>BPNSFS</t>
        </is>
      </c>
      <c r="B260" s="27" t="inlineStr">
        <is>
          <t>Basic Psychological Need Satisfaction and Frustration Scale (BPNSFS)</t>
        </is>
      </c>
      <c r="C260" s="27" t="inlineStr">
        <is>
          <t>6. Motivation, self determination and goal pursuit</t>
        </is>
      </c>
      <c r="D260" s="28" t="n">
        <v>22</v>
      </c>
      <c r="E260" s="27" t="inlineStr">
        <is>
          <t>I feel the relationships I have are just superficial.</t>
        </is>
      </c>
      <c r="F260" s="27" t="inlineStr">
        <is>
          <t>Relatedness frustration</t>
        </is>
      </c>
      <c r="G260" s="27" t="inlineStr">
        <is>
          <t>FALSE</t>
        </is>
      </c>
      <c r="H260" s="27" t="inlineStr">
        <is>
          <t>FALSE</t>
        </is>
      </c>
      <c r="I260" s="27" t="inlineStr">
        <is>
          <t>Not true at all = 1 | 2 = 2 | 3 = 3 | 4 = 4 | Completely true = 5</t>
        </is>
      </c>
      <c r="J260" s="27" t="n"/>
      <c r="K260" s="27" t="inlineStr">
        <is>
          <t>https://selfdeterminationtheory.org/basic-psychological-need-satisfaction-and-frustration-scale/</t>
        </is>
      </c>
    </row>
    <row r="261" ht="23.85" customHeight="1" s="17">
      <c r="A261" s="27" t="inlineStr">
        <is>
          <t>BPNSFS</t>
        </is>
      </c>
      <c r="B261" s="27" t="inlineStr">
        <is>
          <t>Basic Psychological Need Satisfaction and Frustration Scale (BPNSFS)</t>
        </is>
      </c>
      <c r="C261" s="27" t="inlineStr">
        <is>
          <t>6. Motivation, self determination and goal pursuit</t>
        </is>
      </c>
      <c r="D261" s="28" t="n">
        <v>23</v>
      </c>
      <c r="E261" s="27" t="inlineStr">
        <is>
          <t>I feel I can successfully complete difficult tasks.</t>
        </is>
      </c>
      <c r="F261" s="27" t="inlineStr">
        <is>
          <t>Competence satisfaction</t>
        </is>
      </c>
      <c r="G261" s="27" t="inlineStr">
        <is>
          <t>FALSE</t>
        </is>
      </c>
      <c r="H261" s="27" t="inlineStr">
        <is>
          <t>FALSE</t>
        </is>
      </c>
      <c r="I261" s="27" t="inlineStr">
        <is>
          <t>Not true at all = 1 | 2 = 2 | 3 = 3 | 4 = 4 | Completely true = 5</t>
        </is>
      </c>
      <c r="J261" s="27" t="n"/>
      <c r="K261" s="27" t="inlineStr">
        <is>
          <t>https://selfdeterminationtheory.org/basic-psychological-need-satisfaction-and-frustration-scale/</t>
        </is>
      </c>
    </row>
    <row r="262" ht="23.85" customHeight="1" s="17">
      <c r="A262" s="27" t="inlineStr">
        <is>
          <t>BPNSFS</t>
        </is>
      </c>
      <c r="B262" s="27" t="inlineStr">
        <is>
          <t>Basic Psychological Need Satisfaction and Frustration Scale (BPNSFS)</t>
        </is>
      </c>
      <c r="C262" s="27" t="inlineStr">
        <is>
          <t>6. Motivation, self determination and goal pursuit</t>
        </is>
      </c>
      <c r="D262" s="28" t="n">
        <v>24</v>
      </c>
      <c r="E262" s="27" t="inlineStr">
        <is>
          <t>I feel like a failure because of the mistakes I make.</t>
        </is>
      </c>
      <c r="F262" s="27" t="inlineStr">
        <is>
          <t>Competence frustration</t>
        </is>
      </c>
      <c r="G262" s="27" t="inlineStr">
        <is>
          <t>FALSE</t>
        </is>
      </c>
      <c r="H262" s="27" t="inlineStr">
        <is>
          <t>FALSE</t>
        </is>
      </c>
      <c r="I262" s="27" t="inlineStr">
        <is>
          <t>Not true at all = 1 | 2 = 2 | 3 = 3 | 4 = 4 | Completely true = 5</t>
        </is>
      </c>
      <c r="J262" s="27" t="n"/>
      <c r="K262" s="27" t="inlineStr">
        <is>
          <t>https://selfdeterminationtheory.org/basic-psychological-need-satisfaction-and-frustration-scale/</t>
        </is>
      </c>
    </row>
    <row r="263" ht="23.85" customHeight="1" s="17">
      <c r="A263" s="27" t="inlineStr">
        <is>
          <t>PPS</t>
        </is>
      </c>
      <c r="B263" s="27" t="inlineStr">
        <is>
          <t>Pure Procrastination Scale</t>
        </is>
      </c>
      <c r="C263" s="27" t="inlineStr">
        <is>
          <t>6. Motivation, self determination and goal pursuit</t>
        </is>
      </c>
      <c r="D263" s="28" t="n">
        <v>1</v>
      </c>
      <c r="E263" s="27" t="inlineStr">
        <is>
          <t>I delay making decision until it's too late</t>
        </is>
      </c>
      <c r="F263" s="27" t="inlineStr">
        <is>
          <t>Pure Procrastination (total scale)</t>
        </is>
      </c>
      <c r="G263" s="27" t="inlineStr">
        <is>
          <t>FALSE</t>
        </is>
      </c>
      <c r="H263" s="27" t="inlineStr">
        <is>
          <t>FALSE</t>
        </is>
      </c>
      <c r="I263" s="27" t="inlineStr">
        <is>
          <t>Very seldom or not true of me = 1 | 2 = 2 | 3 = 3 | 4 = 4 | Very often true, or true of me = 5</t>
        </is>
      </c>
      <c r="J263" s="27" t="inlineStr">
        <is>
          <t>Verbatim from Table 1, Svartdal &amp; Steel (2017); sourced from the Decisional Procrastination Scale (DPS).</t>
        </is>
      </c>
      <c r="K263" s="27" t="inlineStr">
        <is>
          <t>https://www.frontiersin.org/articles/10.3389/fpsyg.2017.01927/full</t>
        </is>
      </c>
    </row>
    <row r="264" ht="23.85" customHeight="1" s="17">
      <c r="A264" s="27" t="inlineStr">
        <is>
          <t>PPS</t>
        </is>
      </c>
      <c r="B264" s="27" t="inlineStr">
        <is>
          <t>Pure Procrastination Scale</t>
        </is>
      </c>
      <c r="C264" s="27" t="inlineStr">
        <is>
          <t>6. Motivation, self determination and goal pursuit</t>
        </is>
      </c>
      <c r="D264" s="28" t="n">
        <v>2</v>
      </c>
      <c r="E264" s="27" t="inlineStr">
        <is>
          <t>Even after I make a decision I delay acting upon it</t>
        </is>
      </c>
      <c r="F264" s="27" t="inlineStr">
        <is>
          <t>Pure Procrastination (total scale)</t>
        </is>
      </c>
      <c r="G264" s="27" t="inlineStr">
        <is>
          <t>FALSE</t>
        </is>
      </c>
      <c r="H264" s="27" t="inlineStr">
        <is>
          <t>FALSE</t>
        </is>
      </c>
      <c r="I264" s="27" t="inlineStr">
        <is>
          <t>Very seldom or not true of me = 1 | 2 = 2 | 3 = 3 | 4 = 4 | Very often true, or true of me = 5</t>
        </is>
      </c>
      <c r="J264" s="27" t="inlineStr">
        <is>
          <t>Verbatim from Table 1, Svartdal &amp; Steel (2017); sourced from the Decisional Procrastination Scale (DPS).</t>
        </is>
      </c>
      <c r="K264" s="27" t="inlineStr">
        <is>
          <t>https://www.frontiersin.org/articles/10.3389/fpsyg.2017.01927/full</t>
        </is>
      </c>
    </row>
    <row r="265" ht="23.85" customHeight="1" s="17">
      <c r="A265" s="27" t="inlineStr">
        <is>
          <t>PPS</t>
        </is>
      </c>
      <c r="B265" s="27" t="inlineStr">
        <is>
          <t>Pure Procrastination Scale</t>
        </is>
      </c>
      <c r="C265" s="27" t="inlineStr">
        <is>
          <t>6. Motivation, self determination and goal pursuit</t>
        </is>
      </c>
      <c r="D265" s="28" t="n">
        <v>3</v>
      </c>
      <c r="E265" s="27" t="inlineStr">
        <is>
          <t>I waste a lot of time on trivial matters before getting to final decisions</t>
        </is>
      </c>
      <c r="F265" s="27" t="inlineStr">
        <is>
          <t>Pure Procrastination (total scale)</t>
        </is>
      </c>
      <c r="G265" s="27" t="inlineStr">
        <is>
          <t>FALSE</t>
        </is>
      </c>
      <c r="H265" s="27" t="inlineStr">
        <is>
          <t>FALSE</t>
        </is>
      </c>
      <c r="I265" s="27" t="inlineStr">
        <is>
          <t>Very seldom or not true of me = 1 | 2 = 2 | 3 = 3 | 4 = 4 | Very often true, or true of me = 5</t>
        </is>
      </c>
      <c r="J265" s="27" t="inlineStr">
        <is>
          <t>Verbatim from Table 1, Svartdal &amp; Steel (2017); sourced from the Decisional Procrastination Scale (DPS).</t>
        </is>
      </c>
      <c r="K265" s="27" t="inlineStr">
        <is>
          <t>https://www.frontiersin.org/articles/10.3389/fpsyg.2017.01927/full</t>
        </is>
      </c>
    </row>
    <row r="266" ht="23.85" customHeight="1" s="17">
      <c r="A266" s="27" t="inlineStr">
        <is>
          <t>PPS</t>
        </is>
      </c>
      <c r="B266" s="27" t="inlineStr">
        <is>
          <t>Pure Procrastination Scale</t>
        </is>
      </c>
      <c r="C266" s="27" t="inlineStr">
        <is>
          <t>6. Motivation, self determination and goal pursuit</t>
        </is>
      </c>
      <c r="D266" s="28" t="n">
        <v>4</v>
      </c>
      <c r="E266" s="27" t="inlineStr">
        <is>
          <t>In preparation for some deadlines, I often waste time by doing other things</t>
        </is>
      </c>
      <c r="F266" s="27" t="inlineStr">
        <is>
          <t>Pure Procrastination (total scale)</t>
        </is>
      </c>
      <c r="G266" s="27" t="inlineStr">
        <is>
          <t>FALSE</t>
        </is>
      </c>
      <c r="H266" s="27" t="inlineStr">
        <is>
          <t>FALSE</t>
        </is>
      </c>
      <c r="I266" s="27" t="inlineStr">
        <is>
          <t>Very seldom or not true of me = 1 | 2 = 2 | 3 = 3 | 4 = 4 | Very often true, or true of me = 5</t>
        </is>
      </c>
      <c r="J266" s="27" t="inlineStr">
        <is>
          <t>Verbatim from Table 1, Svartdal &amp; Steel (2017); sourced from the General Procrastination Scale (GPS).</t>
        </is>
      </c>
      <c r="K266" s="27" t="inlineStr">
        <is>
          <t>https://www.frontiersin.org/articles/10.3389/fpsyg.2017.01927/full</t>
        </is>
      </c>
    </row>
    <row r="267" ht="23.85" customHeight="1" s="17">
      <c r="A267" s="27" t="inlineStr">
        <is>
          <t>PPS</t>
        </is>
      </c>
      <c r="B267" s="27" t="inlineStr">
        <is>
          <t>Pure Procrastination Scale</t>
        </is>
      </c>
      <c r="C267" s="27" t="inlineStr">
        <is>
          <t>6. Motivation, self determination and goal pursuit</t>
        </is>
      </c>
      <c r="D267" s="28" t="n">
        <v>5</v>
      </c>
      <c r="E267" s="27" t="inlineStr">
        <is>
          <t>Even jobs that require little else except sitting down and doing them, I find they seldom get done for days</t>
        </is>
      </c>
      <c r="F267" s="27" t="inlineStr">
        <is>
          <t>Pure Procrastination (total scale)</t>
        </is>
      </c>
      <c r="G267" s="27" t="inlineStr">
        <is>
          <t>FALSE</t>
        </is>
      </c>
      <c r="H267" s="27" t="inlineStr">
        <is>
          <t>FALSE</t>
        </is>
      </c>
      <c r="I267" s="27" t="inlineStr">
        <is>
          <t>Very seldom or not true of me = 1 | 2 = 2 | 3 = 3 | 4 = 4 | Very often true, or true of me = 5</t>
        </is>
      </c>
      <c r="J267" s="27" t="inlineStr">
        <is>
          <t>Verbatim from Table 1, Svartdal &amp; Steel (2017); sourced from the General Procrastination Scale (GPS).</t>
        </is>
      </c>
      <c r="K267" s="27" t="inlineStr">
        <is>
          <t>https://www.frontiersin.org/articles/10.3389/fpsyg.2017.01927/full</t>
        </is>
      </c>
    </row>
    <row r="268" ht="23.85" customHeight="1" s="17">
      <c r="A268" s="27" t="inlineStr">
        <is>
          <t>PPS</t>
        </is>
      </c>
      <c r="B268" s="27" t="inlineStr">
        <is>
          <t>Pure Procrastination Scale</t>
        </is>
      </c>
      <c r="C268" s="27" t="inlineStr">
        <is>
          <t>6. Motivation, self determination and goal pursuit</t>
        </is>
      </c>
      <c r="D268" s="28" t="n">
        <v>6</v>
      </c>
      <c r="E268" s="27" t="inlineStr">
        <is>
          <t>I often find myself performing tasks that I had intended to do days before</t>
        </is>
      </c>
      <c r="F268" s="27" t="inlineStr">
        <is>
          <t>Pure Procrastination (total scale)</t>
        </is>
      </c>
      <c r="G268" s="27" t="inlineStr">
        <is>
          <t>FALSE</t>
        </is>
      </c>
      <c r="H268" s="27" t="inlineStr">
        <is>
          <t>FALSE</t>
        </is>
      </c>
      <c r="I268" s="27" t="inlineStr">
        <is>
          <t>Very seldom or not true of me = 1 | 2 = 2 | 3 = 3 | 4 = 4 | Very often true, or true of me = 5</t>
        </is>
      </c>
      <c r="J268" s="27" t="inlineStr">
        <is>
          <t>Verbatim from Table 1, Svartdal &amp; Steel (2017); sourced from the General Procrastination Scale (GPS).</t>
        </is>
      </c>
      <c r="K268" s="27" t="inlineStr">
        <is>
          <t>https://www.frontiersin.org/articles/10.3389/fpsyg.2017.01927/full</t>
        </is>
      </c>
    </row>
    <row r="269" ht="23.85" customHeight="1" s="17">
      <c r="A269" s="27" t="inlineStr">
        <is>
          <t>PPS</t>
        </is>
      </c>
      <c r="B269" s="27" t="inlineStr">
        <is>
          <t>Pure Procrastination Scale</t>
        </is>
      </c>
      <c r="C269" s="27" t="inlineStr">
        <is>
          <t>6. Motivation, self determination and goal pursuit</t>
        </is>
      </c>
      <c r="D269" s="28" t="n">
        <v>7</v>
      </c>
      <c r="E269" s="27" t="inlineStr">
        <is>
          <t>I am continually saying 'I'll do it tomorrow'</t>
        </is>
      </c>
      <c r="F269" s="27" t="inlineStr">
        <is>
          <t>Pure Procrastination (total scale)</t>
        </is>
      </c>
      <c r="G269" s="27" t="inlineStr">
        <is>
          <t>FALSE</t>
        </is>
      </c>
      <c r="H269" s="27" t="inlineStr">
        <is>
          <t>FALSE</t>
        </is>
      </c>
      <c r="I269" s="27" t="inlineStr">
        <is>
          <t>Very seldom or not true of me = 1 | 2 = 2 | 3 = 3 | 4 = 4 | Very often true, or true of me = 5</t>
        </is>
      </c>
      <c r="J269" s="27" t="inlineStr">
        <is>
          <t>Verbatim from Table 1, Svartdal &amp; Steel (2017); sourced from the General Procrastination Scale (GPS).</t>
        </is>
      </c>
      <c r="K269" s="27" t="inlineStr">
        <is>
          <t>https://www.frontiersin.org/articles/10.3389/fpsyg.2017.01927/full</t>
        </is>
      </c>
    </row>
    <row r="270" ht="23.85" customHeight="1" s="17">
      <c r="A270" s="27" t="inlineStr">
        <is>
          <t>PPS</t>
        </is>
      </c>
      <c r="B270" s="27" t="inlineStr">
        <is>
          <t>Pure Procrastination Scale</t>
        </is>
      </c>
      <c r="C270" s="27" t="inlineStr">
        <is>
          <t>6. Motivation, self determination and goal pursuit</t>
        </is>
      </c>
      <c r="D270" s="28" t="n">
        <v>8</v>
      </c>
      <c r="E270" s="27" t="inlineStr">
        <is>
          <t>I generally delay before starting on work I have to do</t>
        </is>
      </c>
      <c r="F270" s="27" t="inlineStr">
        <is>
          <t>Pure Procrastination (total scale)</t>
        </is>
      </c>
      <c r="G270" s="27" t="inlineStr">
        <is>
          <t>FALSE</t>
        </is>
      </c>
      <c r="H270" s="27" t="inlineStr">
        <is>
          <t>FALSE</t>
        </is>
      </c>
      <c r="I270" s="27" t="inlineStr">
        <is>
          <t>Very seldom or not true of me = 1 | 2 = 2 | 3 = 3 | 4 = 4 | Very often true, or true of me = 5</t>
        </is>
      </c>
      <c r="J270" s="27" t="inlineStr">
        <is>
          <t>Verbatim from Table 1, Svartdal &amp; Steel (2017); sourced from the General Procrastination Scale (GPS).</t>
        </is>
      </c>
      <c r="K270" s="27" t="inlineStr">
        <is>
          <t>https://www.frontiersin.org/articles/10.3389/fpsyg.2017.01927/full</t>
        </is>
      </c>
    </row>
    <row r="271" ht="23.85" customHeight="1" s="17">
      <c r="A271" s="27" t="inlineStr">
        <is>
          <t>PPS</t>
        </is>
      </c>
      <c r="B271" s="27" t="inlineStr">
        <is>
          <t>Pure Procrastination Scale</t>
        </is>
      </c>
      <c r="C271" s="27" t="inlineStr">
        <is>
          <t>6. Motivation, self determination and goal pursuit</t>
        </is>
      </c>
      <c r="D271" s="28" t="n">
        <v>9</v>
      </c>
      <c r="E271" s="27" t="inlineStr">
        <is>
          <t>I find myself running out of time</t>
        </is>
      </c>
      <c r="F271" s="27" t="inlineStr">
        <is>
          <t>Pure Procrastination (total scale)</t>
        </is>
      </c>
      <c r="G271" s="27" t="inlineStr">
        <is>
          <t>FALSE</t>
        </is>
      </c>
      <c r="H271" s="27" t="inlineStr">
        <is>
          <t>FALSE</t>
        </is>
      </c>
      <c r="I271" s="27" t="inlineStr">
        <is>
          <t>Very seldom or not true of me = 1 | 2 = 2 | 3 = 3 | 4 = 4 | Very often true, or true of me = 5</t>
        </is>
      </c>
      <c r="J271" s="27" t="inlineStr">
        <is>
          <t>Verbatim from Table 1, Svartdal &amp; Steel (2017); sourced from the Adult Inventory of Procrastination (AIP).</t>
        </is>
      </c>
      <c r="K271" s="27" t="inlineStr">
        <is>
          <t>https://www.frontiersin.org/articles/10.3389/fpsyg.2017.01927/full</t>
        </is>
      </c>
    </row>
    <row r="272" ht="23.85" customHeight="1" s="17">
      <c r="A272" s="27" t="inlineStr">
        <is>
          <t>PPS</t>
        </is>
      </c>
      <c r="B272" s="27" t="inlineStr">
        <is>
          <t>Pure Procrastination Scale</t>
        </is>
      </c>
      <c r="C272" s="27" t="inlineStr">
        <is>
          <t>6. Motivation, self determination and goal pursuit</t>
        </is>
      </c>
      <c r="D272" s="28" t="n">
        <v>10</v>
      </c>
      <c r="E272" s="27" t="inlineStr">
        <is>
          <t>I don't get things done on time</t>
        </is>
      </c>
      <c r="F272" s="27" t="inlineStr">
        <is>
          <t>Pure Procrastination (total scale)</t>
        </is>
      </c>
      <c r="G272" s="27" t="inlineStr">
        <is>
          <t>FALSE</t>
        </is>
      </c>
      <c r="H272" s="27" t="inlineStr">
        <is>
          <t>FALSE</t>
        </is>
      </c>
      <c r="I272" s="27" t="inlineStr">
        <is>
          <t>Very seldom or not true of me = 1 | 2 = 2 | 3 = 3 | 4 = 4 | Very often true, or true of me = 5</t>
        </is>
      </c>
      <c r="J272" s="27" t="inlineStr">
        <is>
          <t>Verbatim from Table 1, Svartdal &amp; Steel (2017); sourced from the Adult Inventory of Procrastination (AIP).</t>
        </is>
      </c>
      <c r="K272" s="27" t="inlineStr">
        <is>
          <t>https://www.frontiersin.org/articles/10.3389/fpsyg.2017.01927/full</t>
        </is>
      </c>
    </row>
    <row r="273" ht="23.85" customHeight="1" s="17">
      <c r="A273" s="27" t="inlineStr">
        <is>
          <t>PPS</t>
        </is>
      </c>
      <c r="B273" s="27" t="inlineStr">
        <is>
          <t>Pure Procrastination Scale</t>
        </is>
      </c>
      <c r="C273" s="27" t="inlineStr">
        <is>
          <t>6. Motivation, self determination and goal pursuit</t>
        </is>
      </c>
      <c r="D273" s="28" t="n">
        <v>11</v>
      </c>
      <c r="E273" s="27" t="inlineStr">
        <is>
          <t>I am not very good at meeting deadlines</t>
        </is>
      </c>
      <c r="F273" s="27" t="inlineStr">
        <is>
          <t>Pure Procrastination (total scale)</t>
        </is>
      </c>
      <c r="G273" s="27" t="inlineStr">
        <is>
          <t>FALSE</t>
        </is>
      </c>
      <c r="H273" s="27" t="inlineStr">
        <is>
          <t>FALSE</t>
        </is>
      </c>
      <c r="I273" s="27" t="inlineStr">
        <is>
          <t>Very seldom or not true of me = 1 | 2 = 2 | 3 = 3 | 4 = 4 | Very often true, or true of me = 5</t>
        </is>
      </c>
      <c r="J273" s="27" t="inlineStr">
        <is>
          <t>Verbatim from Table 1, Svartdal &amp; Steel (2017); sourced from the Adult Inventory of Procrastination (AIP).</t>
        </is>
      </c>
      <c r="K273" s="27" t="inlineStr">
        <is>
          <t>https://www.frontiersin.org/articles/10.3389/fpsyg.2017.01927/full</t>
        </is>
      </c>
    </row>
    <row r="274" ht="23.85" customHeight="1" s="17">
      <c r="A274" s="27" t="inlineStr">
        <is>
          <t>PPS</t>
        </is>
      </c>
      <c r="B274" s="27" t="inlineStr">
        <is>
          <t>Pure Procrastination Scale</t>
        </is>
      </c>
      <c r="C274" s="27" t="inlineStr">
        <is>
          <t>6. Motivation, self determination and goal pursuit</t>
        </is>
      </c>
      <c r="D274" s="28" t="n">
        <v>12</v>
      </c>
      <c r="E274" s="27" t="inlineStr">
        <is>
          <t>Putting things off till the last minute has cost me money in the past</t>
        </is>
      </c>
      <c r="F274" s="27" t="inlineStr">
        <is>
          <t>Pure Procrastination (total scale)</t>
        </is>
      </c>
      <c r="G274" s="27" t="inlineStr">
        <is>
          <t>FALSE</t>
        </is>
      </c>
      <c r="H274" s="27" t="inlineStr">
        <is>
          <t>FALSE</t>
        </is>
      </c>
      <c r="I274" s="27" t="inlineStr">
        <is>
          <t>Very seldom or not true of me = 1 | 2 = 2 | 3 = 3 | 4 = 4 | Very often true, or true of me = 5</t>
        </is>
      </c>
      <c r="J274" s="27" t="inlineStr">
        <is>
          <t>Verbatim from Table 1, Svartdal &amp; Steel (2017); sourced from the Adult Inventory of Procrastination (AIP).</t>
        </is>
      </c>
      <c r="K274" s="27" t="inlineStr">
        <is>
          <t>https://www.frontiersin.org/articles/10.3389/fpsyg.2017.01927/full</t>
        </is>
      </c>
    </row>
    <row r="275" ht="23.85" customHeight="1" s="17">
      <c r="A275" s="27" t="inlineStr">
        <is>
          <t>IPS</t>
        </is>
      </c>
      <c r="B275" s="27" t="inlineStr">
        <is>
          <t>Irrational Procrastination Scale</t>
        </is>
      </c>
      <c r="C275" s="27" t="inlineStr">
        <is>
          <t>6. Motivation, self determination and goal pursuit</t>
        </is>
      </c>
      <c r="D275" s="28" t="n">
        <v>1</v>
      </c>
      <c r="E275" s="27" t="inlineStr">
        <is>
          <t>I put things off so long that my well-being or efficiency unnecessarily suffers</t>
        </is>
      </c>
      <c r="F275" s="27" t="inlineStr">
        <is>
          <t>Irrational Procrastination (total scale)</t>
        </is>
      </c>
      <c r="G275" s="27" t="inlineStr">
        <is>
          <t>FALSE</t>
        </is>
      </c>
      <c r="H275" s="27" t="inlineStr">
        <is>
          <t>FALSE</t>
        </is>
      </c>
      <c r="I275" s="27" t="inlineStr">
        <is>
          <t>Very seldom or not true of me = 1 | 2 = 2 | 3 = 3 | 4 = 4 | Very often true, or true of me = 5</t>
        </is>
      </c>
      <c r="J275" s="27" t="inlineStr">
        <is>
          <t>Verbatim from Table 1, Svartdal &amp; Steel (2017).</t>
        </is>
      </c>
      <c r="K275" s="27" t="inlineStr">
        <is>
          <t>https://www.frontiersin.org/articles/10.3389/fpsyg.2017.01927/full</t>
        </is>
      </c>
    </row>
    <row r="276" ht="23.85" customHeight="1" s="17">
      <c r="A276" s="27" t="inlineStr">
        <is>
          <t>IPS</t>
        </is>
      </c>
      <c r="B276" s="27" t="inlineStr">
        <is>
          <t>Irrational Procrastination Scale</t>
        </is>
      </c>
      <c r="C276" s="27" t="inlineStr">
        <is>
          <t>6. Motivation, self determination and goal pursuit</t>
        </is>
      </c>
      <c r="D276" s="28" t="n">
        <v>2</v>
      </c>
      <c r="E276" s="27" t="inlineStr">
        <is>
          <t>If there is something I should do, I get to it before attending to lesser tasks</t>
        </is>
      </c>
      <c r="F276" s="27" t="inlineStr">
        <is>
          <t>Irrational Procrastination (total scale)</t>
        </is>
      </c>
      <c r="G276" s="34" t="inlineStr">
        <is>
          <t>TRUE</t>
        </is>
      </c>
      <c r="H276" s="27" t="inlineStr">
        <is>
          <t>FALSE</t>
        </is>
      </c>
      <c r="I276" s="27" t="inlineStr">
        <is>
          <t>Very seldom or not true of me = 1 | 2 = 2 | 3 = 3 | 4 = 4 | Very often true, or true of me = 5</t>
        </is>
      </c>
      <c r="J276" s="27" t="inlineStr">
        <is>
          <t>Verbatim from Table 1, Svartdal &amp; Steel (2017); marked '(R)' (reverse-scored) in the source table.</t>
        </is>
      </c>
      <c r="K276" s="27" t="inlineStr">
        <is>
          <t>https://www.frontiersin.org/articles/10.3389/fpsyg.2017.01927/full</t>
        </is>
      </c>
    </row>
    <row r="277" ht="23.85" customHeight="1" s="17">
      <c r="A277" s="27" t="inlineStr">
        <is>
          <t>IPS</t>
        </is>
      </c>
      <c r="B277" s="27" t="inlineStr">
        <is>
          <t>Irrational Procrastination Scale</t>
        </is>
      </c>
      <c r="C277" s="27" t="inlineStr">
        <is>
          <t>6. Motivation, self determination and goal pursuit</t>
        </is>
      </c>
      <c r="D277" s="28" t="n">
        <v>3</v>
      </c>
      <c r="E277" s="27" t="inlineStr">
        <is>
          <t>My life would be better if I did some activities or tasks earlier</t>
        </is>
      </c>
      <c r="F277" s="27" t="inlineStr">
        <is>
          <t>Irrational Procrastination (total scale)</t>
        </is>
      </c>
      <c r="G277" s="27" t="inlineStr">
        <is>
          <t>FALSE</t>
        </is>
      </c>
      <c r="H277" s="27" t="inlineStr">
        <is>
          <t>FALSE</t>
        </is>
      </c>
      <c r="I277" s="27" t="inlineStr">
        <is>
          <t>Very seldom or not true of me = 1 | 2 = 2 | 3 = 3 | 4 = 4 | Very often true, or true of me = 5</t>
        </is>
      </c>
      <c r="J277" s="27" t="inlineStr">
        <is>
          <t>Verbatim from Table 1, Svartdal &amp; Steel (2017).</t>
        </is>
      </c>
      <c r="K277" s="27" t="inlineStr">
        <is>
          <t>https://www.frontiersin.org/articles/10.3389/fpsyg.2017.01927/full</t>
        </is>
      </c>
    </row>
    <row r="278" ht="23.85" customHeight="1" s="17">
      <c r="A278" s="27" t="inlineStr">
        <is>
          <t>IPS</t>
        </is>
      </c>
      <c r="B278" s="27" t="inlineStr">
        <is>
          <t>Irrational Procrastination Scale</t>
        </is>
      </c>
      <c r="C278" s="27" t="inlineStr">
        <is>
          <t>6. Motivation, self determination and goal pursuit</t>
        </is>
      </c>
      <c r="D278" s="28" t="n">
        <v>4</v>
      </c>
      <c r="E278" s="27" t="inlineStr">
        <is>
          <t>When I should be doing one thing, I will do another</t>
        </is>
      </c>
      <c r="F278" s="27" t="inlineStr">
        <is>
          <t>Irrational Procrastination (total scale)</t>
        </is>
      </c>
      <c r="G278" s="27" t="inlineStr">
        <is>
          <t>FALSE</t>
        </is>
      </c>
      <c r="H278" s="27" t="inlineStr">
        <is>
          <t>FALSE</t>
        </is>
      </c>
      <c r="I278" s="27" t="inlineStr">
        <is>
          <t>Very seldom or not true of me = 1 | 2 = 2 | 3 = 3 | 4 = 4 | Very often true, or true of me = 5</t>
        </is>
      </c>
      <c r="J278" s="27" t="inlineStr">
        <is>
          <t>Verbatim from Table 1, Svartdal &amp; Steel (2017).</t>
        </is>
      </c>
      <c r="K278" s="27" t="inlineStr">
        <is>
          <t>https://www.frontiersin.org/articles/10.3389/fpsyg.2017.01927/full</t>
        </is>
      </c>
    </row>
    <row r="279" ht="23.85" customHeight="1" s="17">
      <c r="A279" s="27" t="inlineStr">
        <is>
          <t>IPS</t>
        </is>
      </c>
      <c r="B279" s="27" t="inlineStr">
        <is>
          <t>Irrational Procrastination Scale</t>
        </is>
      </c>
      <c r="C279" s="27" t="inlineStr">
        <is>
          <t>6. Motivation, self determination and goal pursuit</t>
        </is>
      </c>
      <c r="D279" s="28" t="n">
        <v>5</v>
      </c>
      <c r="E279" s="27" t="inlineStr">
        <is>
          <t>At the end of the day, I know I could have spent the time better</t>
        </is>
      </c>
      <c r="F279" s="27" t="inlineStr">
        <is>
          <t>Irrational Procrastination (total scale)</t>
        </is>
      </c>
      <c r="G279" s="27" t="inlineStr">
        <is>
          <t>FALSE</t>
        </is>
      </c>
      <c r="H279" s="27" t="inlineStr">
        <is>
          <t>FALSE</t>
        </is>
      </c>
      <c r="I279" s="27" t="inlineStr">
        <is>
          <t>Very seldom or not true of me = 1 | 2 = 2 | 3 = 3 | 4 = 4 | Very often true, or true of me = 5</t>
        </is>
      </c>
      <c r="J279" s="27" t="inlineStr">
        <is>
          <t>Verbatim from Table 1, Svartdal &amp; Steel (2017).</t>
        </is>
      </c>
      <c r="K279" s="27" t="inlineStr">
        <is>
          <t>https://www.frontiersin.org/articles/10.3389/fpsyg.2017.01927/full</t>
        </is>
      </c>
    </row>
    <row r="280" ht="23.85" customHeight="1" s="17">
      <c r="A280" s="27" t="inlineStr">
        <is>
          <t>IPS</t>
        </is>
      </c>
      <c r="B280" s="27" t="inlineStr">
        <is>
          <t>Irrational Procrastination Scale</t>
        </is>
      </c>
      <c r="C280" s="27" t="inlineStr">
        <is>
          <t>6. Motivation, self determination and goal pursuit</t>
        </is>
      </c>
      <c r="D280" s="28" t="n">
        <v>6</v>
      </c>
      <c r="E280" s="27" t="inlineStr">
        <is>
          <t>I spend my time wisely</t>
        </is>
      </c>
      <c r="F280" s="27" t="inlineStr">
        <is>
          <t>Irrational Procrastination (total scale)</t>
        </is>
      </c>
      <c r="G280" s="34" t="inlineStr">
        <is>
          <t>TRUE</t>
        </is>
      </c>
      <c r="H280" s="27" t="inlineStr">
        <is>
          <t>FALSE</t>
        </is>
      </c>
      <c r="I280" s="27" t="inlineStr">
        <is>
          <t>Very seldom or not true of me = 1 | 2 = 2 | 3 = 3 | 4 = 4 | Very often true, or true of me = 5</t>
        </is>
      </c>
      <c r="J280" s="27" t="inlineStr">
        <is>
          <t>Verbatim from Table 1, Svartdal &amp; Steel (2017); marked '(R)' (reverse-scored) in the source table.</t>
        </is>
      </c>
      <c r="K280" s="27" t="inlineStr">
        <is>
          <t>https://www.frontiersin.org/articles/10.3389/fpsyg.2017.01927/full</t>
        </is>
      </c>
    </row>
    <row r="281" ht="23.85" customHeight="1" s="17">
      <c r="A281" s="27" t="inlineStr">
        <is>
          <t>IPS</t>
        </is>
      </c>
      <c r="B281" s="27" t="inlineStr">
        <is>
          <t>Irrational Procrastination Scale</t>
        </is>
      </c>
      <c r="C281" s="27" t="inlineStr">
        <is>
          <t>6. Motivation, self determination and goal pursuit</t>
        </is>
      </c>
      <c r="D281" s="28" t="n">
        <v>7</v>
      </c>
      <c r="E281" s="27" t="inlineStr">
        <is>
          <t>I delay tasks beyond what is reasonable</t>
        </is>
      </c>
      <c r="F281" s="27" t="inlineStr">
        <is>
          <t>Irrational Procrastination (total scale)</t>
        </is>
      </c>
      <c r="G281" s="27" t="inlineStr">
        <is>
          <t>FALSE</t>
        </is>
      </c>
      <c r="H281" s="27" t="inlineStr">
        <is>
          <t>FALSE</t>
        </is>
      </c>
      <c r="I281" s="27" t="inlineStr">
        <is>
          <t>Very seldom or not true of me = 1 | 2 = 2 | 3 = 3 | 4 = 4 | Very often true, or true of me = 5</t>
        </is>
      </c>
      <c r="J281" s="27" t="inlineStr">
        <is>
          <t>Verbatim from Table 1, Svartdal &amp; Steel (2017).</t>
        </is>
      </c>
      <c r="K281" s="27" t="inlineStr">
        <is>
          <t>https://www.frontiersin.org/articles/10.3389/fpsyg.2017.01927/full</t>
        </is>
      </c>
    </row>
    <row r="282" ht="23.85" customHeight="1" s="17">
      <c r="A282" s="27" t="inlineStr">
        <is>
          <t>IPS</t>
        </is>
      </c>
      <c r="B282" s="27" t="inlineStr">
        <is>
          <t>Irrational Procrastination Scale</t>
        </is>
      </c>
      <c r="C282" s="27" t="inlineStr">
        <is>
          <t>6. Motivation, self determination and goal pursuit</t>
        </is>
      </c>
      <c r="D282" s="28" t="n">
        <v>8</v>
      </c>
      <c r="E282" s="27" t="inlineStr">
        <is>
          <t>I procrastinate</t>
        </is>
      </c>
      <c r="F282" s="27" t="inlineStr">
        <is>
          <t>Irrational Procrastination (total scale)</t>
        </is>
      </c>
      <c r="G282" s="27" t="inlineStr">
        <is>
          <t>FALSE</t>
        </is>
      </c>
      <c r="H282" s="27" t="inlineStr">
        <is>
          <t>FALSE</t>
        </is>
      </c>
      <c r="I282" s="27" t="inlineStr">
        <is>
          <t>Very seldom or not true of me = 1 | 2 = 2 | 3 = 3 | 4 = 4 | Very often true, or true of me = 5</t>
        </is>
      </c>
      <c r="J282" s="27" t="inlineStr">
        <is>
          <t>Verbatim from Table 1, Svartdal &amp; Steel (2017).</t>
        </is>
      </c>
      <c r="K282" s="27" t="inlineStr">
        <is>
          <t>https://www.frontiersin.org/articles/10.3389/fpsyg.2017.01927/full</t>
        </is>
      </c>
    </row>
    <row r="283" ht="23.85" customHeight="1" s="17">
      <c r="A283" s="27" t="inlineStr">
        <is>
          <t>IPS</t>
        </is>
      </c>
      <c r="B283" s="27" t="inlineStr">
        <is>
          <t>Irrational Procrastination Scale</t>
        </is>
      </c>
      <c r="C283" s="27" t="inlineStr">
        <is>
          <t>6. Motivation, self determination and goal pursuit</t>
        </is>
      </c>
      <c r="D283" s="28" t="n">
        <v>9</v>
      </c>
      <c r="E283" s="27" t="inlineStr">
        <is>
          <t>I do everything when I believe it needs to be done</t>
        </is>
      </c>
      <c r="F283" s="27" t="inlineStr">
        <is>
          <t>Irrational Procrastination (total scale)</t>
        </is>
      </c>
      <c r="G283" s="34" t="inlineStr">
        <is>
          <t>TRUE</t>
        </is>
      </c>
      <c r="H283" s="27" t="inlineStr">
        <is>
          <t>FALSE</t>
        </is>
      </c>
      <c r="I283" s="27" t="inlineStr">
        <is>
          <t>Very seldom or not true of me = 1 | 2 = 2 | 3 = 3 | 4 = 4 | Very often true, or true of me = 5</t>
        </is>
      </c>
      <c r="J283" s="27" t="inlineStr">
        <is>
          <t>Verbatim from Table 1, Svartdal &amp; Steel (2017); marked '(R)' (reverse-scored) in the source table.</t>
        </is>
      </c>
      <c r="K283" s="27" t="inlineStr">
        <is>
          <t>https://www.frontiersin.org/articles/10.3389/fpsyg.2017.01927/full</t>
        </is>
      </c>
    </row>
    <row r="284" ht="23.85" customHeight="1" s="17">
      <c r="A284" s="27" t="inlineStr">
        <is>
          <t>GSE</t>
        </is>
      </c>
      <c r="B284" s="27" t="inlineStr">
        <is>
          <t>General Self-Efficacy Scale</t>
        </is>
      </c>
      <c r="C284" s="27" t="inlineStr">
        <is>
          <t>6. Motivation, self determination and goal pursuit</t>
        </is>
      </c>
      <c r="D284" s="28" t="n">
        <v>1</v>
      </c>
      <c r="E284" s="27" t="inlineStr">
        <is>
          <t>I can always manage to solve difficult problems if I try hard enough.</t>
        </is>
      </c>
      <c r="F284" s="27" t="inlineStr">
        <is>
          <t>General Self-Efficacy (total scale)</t>
        </is>
      </c>
      <c r="G284" s="27" t="inlineStr">
        <is>
          <t>FALSE</t>
        </is>
      </c>
      <c r="H284" s="27" t="inlineStr">
        <is>
          <t>FALSE</t>
        </is>
      </c>
      <c r="I284" s="27" t="inlineStr">
        <is>
          <t>Not at all true = 1 | Hardly true = 2 | Moderately true = 3 | Exactly true = 4</t>
        </is>
      </c>
      <c r="J284" s="27" t="inlineStr">
        <is>
          <t>Verbatim from the official FU Berlin page, https://userpage.fu-berlin.de/~health/engscal.htm.</t>
        </is>
      </c>
      <c r="K284" s="27" t="inlineStr">
        <is>
          <t>https://userpage.fu-berlin.de/~health/engscal.htm</t>
        </is>
      </c>
    </row>
    <row r="285" ht="23.85" customHeight="1" s="17">
      <c r="A285" s="27" t="inlineStr">
        <is>
          <t>GSE</t>
        </is>
      </c>
      <c r="B285" s="27" t="inlineStr">
        <is>
          <t>General Self-Efficacy Scale</t>
        </is>
      </c>
      <c r="C285" s="27" t="inlineStr">
        <is>
          <t>6. Motivation, self determination and goal pursuit</t>
        </is>
      </c>
      <c r="D285" s="28" t="n">
        <v>2</v>
      </c>
      <c r="E285" s="27" t="inlineStr">
        <is>
          <t>If someone opposes me, I can find the means and ways to get what I want.</t>
        </is>
      </c>
      <c r="F285" s="27" t="inlineStr">
        <is>
          <t>General Self-Efficacy (total scale)</t>
        </is>
      </c>
      <c r="G285" s="27" t="inlineStr">
        <is>
          <t>FALSE</t>
        </is>
      </c>
      <c r="H285" s="27" t="inlineStr">
        <is>
          <t>FALSE</t>
        </is>
      </c>
      <c r="I285" s="27" t="inlineStr">
        <is>
          <t>Not at all true = 1 | Hardly true = 2 | Moderately true = 3 | Exactly true = 4</t>
        </is>
      </c>
      <c r="J285" s="27" t="inlineStr">
        <is>
          <t>Verbatim from the official FU Berlin page.</t>
        </is>
      </c>
      <c r="K285" s="27" t="inlineStr">
        <is>
          <t>https://userpage.fu-berlin.de/~health/engscal.htm</t>
        </is>
      </c>
    </row>
    <row r="286" ht="23.85" customHeight="1" s="17">
      <c r="A286" s="27" t="inlineStr">
        <is>
          <t>GSE</t>
        </is>
      </c>
      <c r="B286" s="27" t="inlineStr">
        <is>
          <t>General Self-Efficacy Scale</t>
        </is>
      </c>
      <c r="C286" s="27" t="inlineStr">
        <is>
          <t>6. Motivation, self determination and goal pursuit</t>
        </is>
      </c>
      <c r="D286" s="28" t="n">
        <v>3</v>
      </c>
      <c r="E286" s="27" t="inlineStr">
        <is>
          <t>It is easy for me to stick to my aims and accomplish my goals.</t>
        </is>
      </c>
      <c r="F286" s="27" t="inlineStr">
        <is>
          <t>General Self-Efficacy (total scale)</t>
        </is>
      </c>
      <c r="G286" s="27" t="inlineStr">
        <is>
          <t>FALSE</t>
        </is>
      </c>
      <c r="H286" s="27" t="inlineStr">
        <is>
          <t>FALSE</t>
        </is>
      </c>
      <c r="I286" s="27" t="inlineStr">
        <is>
          <t>Not at all true = 1 | Hardly true = 2 | Moderately true = 3 | Exactly true = 4</t>
        </is>
      </c>
      <c r="J286" s="27" t="inlineStr">
        <is>
          <t>Verbatim from the official FU Berlin page.</t>
        </is>
      </c>
      <c r="K286" s="27" t="inlineStr">
        <is>
          <t>https://userpage.fu-berlin.de/~health/engscal.htm</t>
        </is>
      </c>
    </row>
    <row r="287" ht="23.85" customHeight="1" s="17">
      <c r="A287" s="27" t="inlineStr">
        <is>
          <t>GSE</t>
        </is>
      </c>
      <c r="B287" s="27" t="inlineStr">
        <is>
          <t>General Self-Efficacy Scale</t>
        </is>
      </c>
      <c r="C287" s="27" t="inlineStr">
        <is>
          <t>6. Motivation, self determination and goal pursuit</t>
        </is>
      </c>
      <c r="D287" s="28" t="n">
        <v>4</v>
      </c>
      <c r="E287" s="27" t="inlineStr">
        <is>
          <t>I am confident that I could deal efficiently with unexpected events.</t>
        </is>
      </c>
      <c r="F287" s="27" t="inlineStr">
        <is>
          <t>General Self-Efficacy (total scale)</t>
        </is>
      </c>
      <c r="G287" s="27" t="inlineStr">
        <is>
          <t>FALSE</t>
        </is>
      </c>
      <c r="H287" s="27" t="inlineStr">
        <is>
          <t>FALSE</t>
        </is>
      </c>
      <c r="I287" s="27" t="inlineStr">
        <is>
          <t>Not at all true = 1 | Hardly true = 2 | Moderately true = 3 | Exactly true = 4</t>
        </is>
      </c>
      <c r="J287" s="27" t="inlineStr">
        <is>
          <t>Verbatim from the official FU Berlin page.</t>
        </is>
      </c>
      <c r="K287" s="27" t="inlineStr">
        <is>
          <t>https://userpage.fu-berlin.de/~health/engscal.htm</t>
        </is>
      </c>
    </row>
    <row r="288" ht="23.85" customHeight="1" s="17">
      <c r="A288" s="27" t="inlineStr">
        <is>
          <t>GSE</t>
        </is>
      </c>
      <c r="B288" s="27" t="inlineStr">
        <is>
          <t>General Self-Efficacy Scale</t>
        </is>
      </c>
      <c r="C288" s="27" t="inlineStr">
        <is>
          <t>6. Motivation, self determination and goal pursuit</t>
        </is>
      </c>
      <c r="D288" s="28" t="n">
        <v>5</v>
      </c>
      <c r="E288" s="27" t="inlineStr">
        <is>
          <t>Thanks to my resourcefulness, I know how to handle unforeseen situations.</t>
        </is>
      </c>
      <c r="F288" s="27" t="inlineStr">
        <is>
          <t>General Self-Efficacy (total scale)</t>
        </is>
      </c>
      <c r="G288" s="27" t="inlineStr">
        <is>
          <t>FALSE</t>
        </is>
      </c>
      <c r="H288" s="27" t="inlineStr">
        <is>
          <t>FALSE</t>
        </is>
      </c>
      <c r="I288" s="27" t="inlineStr">
        <is>
          <t>Not at all true = 1 | Hardly true = 2 | Moderately true = 3 | Exactly true = 4</t>
        </is>
      </c>
      <c r="J288" s="27" t="inlineStr">
        <is>
          <t>Verbatim from the official FU Berlin page.</t>
        </is>
      </c>
      <c r="K288" s="27" t="inlineStr">
        <is>
          <t>https://userpage.fu-berlin.de/~health/engscal.htm</t>
        </is>
      </c>
    </row>
    <row r="289" ht="23.85" customHeight="1" s="17">
      <c r="A289" s="27" t="inlineStr">
        <is>
          <t>GSE</t>
        </is>
      </c>
      <c r="B289" s="27" t="inlineStr">
        <is>
          <t>General Self-Efficacy Scale</t>
        </is>
      </c>
      <c r="C289" s="27" t="inlineStr">
        <is>
          <t>6. Motivation, self determination and goal pursuit</t>
        </is>
      </c>
      <c r="D289" s="28" t="n">
        <v>6</v>
      </c>
      <c r="E289" s="27" t="inlineStr">
        <is>
          <t>I can solve most problems if I invest the necessary effort.</t>
        </is>
      </c>
      <c r="F289" s="27" t="inlineStr">
        <is>
          <t>General Self-Efficacy (total scale)</t>
        </is>
      </c>
      <c r="G289" s="27" t="inlineStr">
        <is>
          <t>FALSE</t>
        </is>
      </c>
      <c r="H289" s="27" t="inlineStr">
        <is>
          <t>FALSE</t>
        </is>
      </c>
      <c r="I289" s="27" t="inlineStr">
        <is>
          <t>Not at all true = 1 | Hardly true = 2 | Moderately true = 3 | Exactly true = 4</t>
        </is>
      </c>
      <c r="J289" s="27" t="inlineStr">
        <is>
          <t>Verbatim from the official FU Berlin page.</t>
        </is>
      </c>
      <c r="K289" s="27" t="inlineStr">
        <is>
          <t>https://userpage.fu-berlin.de/~health/engscal.htm</t>
        </is>
      </c>
    </row>
    <row r="290" ht="23.85" customHeight="1" s="17">
      <c r="A290" s="27" t="inlineStr">
        <is>
          <t>GSE</t>
        </is>
      </c>
      <c r="B290" s="27" t="inlineStr">
        <is>
          <t>General Self-Efficacy Scale</t>
        </is>
      </c>
      <c r="C290" s="27" t="inlineStr">
        <is>
          <t>6. Motivation, self determination and goal pursuit</t>
        </is>
      </c>
      <c r="D290" s="28" t="n">
        <v>7</v>
      </c>
      <c r="E290" s="27" t="inlineStr">
        <is>
          <t>I can remain calm when facing difficulties because I can rely on my coping abilities.</t>
        </is>
      </c>
      <c r="F290" s="27" t="inlineStr">
        <is>
          <t>General Self-Efficacy (total scale)</t>
        </is>
      </c>
      <c r="G290" s="27" t="inlineStr">
        <is>
          <t>FALSE</t>
        </is>
      </c>
      <c r="H290" s="27" t="inlineStr">
        <is>
          <t>FALSE</t>
        </is>
      </c>
      <c r="I290" s="27" t="inlineStr">
        <is>
          <t>Not at all true = 1 | Hardly true = 2 | Moderately true = 3 | Exactly true = 4</t>
        </is>
      </c>
      <c r="J290" s="27" t="inlineStr">
        <is>
          <t>Verbatim from the official FU Berlin page.</t>
        </is>
      </c>
      <c r="K290" s="27" t="inlineStr">
        <is>
          <t>https://userpage.fu-berlin.de/~health/engscal.htm</t>
        </is>
      </c>
    </row>
    <row r="291" ht="23.85" customHeight="1" s="17">
      <c r="A291" s="27" t="inlineStr">
        <is>
          <t>GSE</t>
        </is>
      </c>
      <c r="B291" s="27" t="inlineStr">
        <is>
          <t>General Self-Efficacy Scale</t>
        </is>
      </c>
      <c r="C291" s="27" t="inlineStr">
        <is>
          <t>6. Motivation, self determination and goal pursuit</t>
        </is>
      </c>
      <c r="D291" s="28" t="n">
        <v>8</v>
      </c>
      <c r="E291" s="27" t="inlineStr">
        <is>
          <t>When I am confronted with a problem, I can usually find several solutions.</t>
        </is>
      </c>
      <c r="F291" s="27" t="inlineStr">
        <is>
          <t>General Self-Efficacy (total scale)</t>
        </is>
      </c>
      <c r="G291" s="27" t="inlineStr">
        <is>
          <t>FALSE</t>
        </is>
      </c>
      <c r="H291" s="27" t="inlineStr">
        <is>
          <t>FALSE</t>
        </is>
      </c>
      <c r="I291" s="27" t="inlineStr">
        <is>
          <t>Not at all true = 1 | Hardly true = 2 | Moderately true = 3 | Exactly true = 4</t>
        </is>
      </c>
      <c r="J291" s="27" t="inlineStr">
        <is>
          <t>Verbatim from the official FU Berlin page.</t>
        </is>
      </c>
      <c r="K291" s="27" t="inlineStr">
        <is>
          <t>https://userpage.fu-berlin.de/~health/engscal.htm</t>
        </is>
      </c>
    </row>
    <row r="292" ht="23.85" customHeight="1" s="17">
      <c r="A292" s="27" t="inlineStr">
        <is>
          <t>GSE</t>
        </is>
      </c>
      <c r="B292" s="27" t="inlineStr">
        <is>
          <t>General Self-Efficacy Scale</t>
        </is>
      </c>
      <c r="C292" s="27" t="inlineStr">
        <is>
          <t>6. Motivation, self determination and goal pursuit</t>
        </is>
      </c>
      <c r="D292" s="28" t="n">
        <v>9</v>
      </c>
      <c r="E292" s="27" t="inlineStr">
        <is>
          <t>If I am in trouble, I can usually think of a solution.</t>
        </is>
      </c>
      <c r="F292" s="27" t="inlineStr">
        <is>
          <t>General Self-Efficacy (total scale)</t>
        </is>
      </c>
      <c r="G292" s="27" t="inlineStr">
        <is>
          <t>FALSE</t>
        </is>
      </c>
      <c r="H292" s="27" t="inlineStr">
        <is>
          <t>FALSE</t>
        </is>
      </c>
      <c r="I292" s="27" t="inlineStr">
        <is>
          <t>Not at all true = 1 | Hardly true = 2 | Moderately true = 3 | Exactly true = 4</t>
        </is>
      </c>
      <c r="J292" s="27" t="inlineStr">
        <is>
          <t>Verbatim from the official FU Berlin page.</t>
        </is>
      </c>
      <c r="K292" s="27" t="inlineStr">
        <is>
          <t>https://userpage.fu-berlin.de/~health/engscal.htm</t>
        </is>
      </c>
    </row>
    <row r="293" ht="23.85" customHeight="1" s="17">
      <c r="A293" s="27" t="inlineStr">
        <is>
          <t>GSE</t>
        </is>
      </c>
      <c r="B293" s="27" t="inlineStr">
        <is>
          <t>General Self-Efficacy Scale</t>
        </is>
      </c>
      <c r="C293" s="27" t="inlineStr">
        <is>
          <t>6. Motivation, self determination and goal pursuit</t>
        </is>
      </c>
      <c r="D293" s="28" t="n">
        <v>10</v>
      </c>
      <c r="E293" s="27" t="inlineStr">
        <is>
          <t>I can usually handle whatever comes my way.</t>
        </is>
      </c>
      <c r="F293" s="27" t="inlineStr">
        <is>
          <t>General Self-Efficacy (total scale)</t>
        </is>
      </c>
      <c r="G293" s="27" t="inlineStr">
        <is>
          <t>FALSE</t>
        </is>
      </c>
      <c r="H293" s="27" t="inlineStr">
        <is>
          <t>FALSE</t>
        </is>
      </c>
      <c r="I293" s="27" t="inlineStr">
        <is>
          <t>Not at all true = 1 | Hardly true = 2 | Moderately true = 3 | Exactly true = 4</t>
        </is>
      </c>
      <c r="J293" s="27" t="inlineStr">
        <is>
          <t>Verbatim from the official FU Berlin page.</t>
        </is>
      </c>
      <c r="K293" s="27" t="inlineStr">
        <is>
          <t>https://userpage.fu-berlin.de/~health/engscal.htm</t>
        </is>
      </c>
    </row>
    <row r="294" ht="46.25" customHeight="1" s="17">
      <c r="A294" s="27" t="inlineStr">
        <is>
          <t>GCS</t>
        </is>
      </c>
      <c r="B294" s="27" t="inlineStr">
        <is>
          <t>Goal Commitment Scale (5-item unidimensional version)</t>
        </is>
      </c>
      <c r="C294" s="27" t="inlineStr">
        <is>
          <t>6. Motivation, self determination and goal pursuit</t>
        </is>
      </c>
      <c r="D294" s="28" t="n">
        <v>1</v>
      </c>
      <c r="E294" s="27" t="inlineStr">
        <is>
          <t>It's hard to take this goal seriously.</t>
        </is>
      </c>
      <c r="F294" s="27" t="inlineStr">
        <is>
          <t>Goal Commitment</t>
        </is>
      </c>
      <c r="G294" s="34" t="inlineStr">
        <is>
          <t>TRUE</t>
        </is>
      </c>
      <c r="H294" s="27" t="inlineStr">
        <is>
          <t>FALSE</t>
        </is>
      </c>
      <c r="I294" s="27" t="inlineStr">
        <is>
          <t>Strongly Disagree = 1 | Moderately Disagree = 2 | Neutral = 3 | Moderately Agree = 4 | Strongly Agree = 5</t>
        </is>
      </c>
      <c r="J294" s="27" t="inlineStr">
        <is>
          <t>Item wording and reverse keying per Klein et al. (2001, p. 34) as quoted in Missouri State University thesis https://bearworks.missouristate.edu/cgi/viewcontent.cgi?article=4229&amp;context=theses.</t>
        </is>
      </c>
      <c r="K294" s="27" t="inlineStr">
        <is>
          <t>https://bearworks.missouristate.edu/cgi/viewcontent.cgi?article=4229&amp;context=theses</t>
        </is>
      </c>
    </row>
    <row r="295" ht="46.25" customHeight="1" s="17">
      <c r="A295" s="27" t="inlineStr">
        <is>
          <t>GCS</t>
        </is>
      </c>
      <c r="B295" s="27" t="inlineStr">
        <is>
          <t>Goal Commitment Scale (5-item unidimensional version)</t>
        </is>
      </c>
      <c r="C295" s="27" t="inlineStr">
        <is>
          <t>6. Motivation, self determination and goal pursuit</t>
        </is>
      </c>
      <c r="D295" s="28" t="n">
        <v>2</v>
      </c>
      <c r="E295" s="27" t="inlineStr">
        <is>
          <t>Quite frankly, I don't care if I achieve this goal or not.</t>
        </is>
      </c>
      <c r="F295" s="27" t="inlineStr">
        <is>
          <t>Goal Commitment</t>
        </is>
      </c>
      <c r="G295" s="34" t="inlineStr">
        <is>
          <t>TRUE</t>
        </is>
      </c>
      <c r="H295" s="27" t="inlineStr">
        <is>
          <t>FALSE</t>
        </is>
      </c>
      <c r="I295" s="27" t="inlineStr">
        <is>
          <t>Strongly Disagree = 1 | Moderately Disagree = 2 | Neutral = 3 | Moderately Agree = 4 | Strongly Agree = 5</t>
        </is>
      </c>
      <c r="J295" s="27" t="inlineStr">
        <is>
          <t>Item wording and reverse keying per Klein et al. (2001, p. 34) as quoted in Missouri State University thesis https://bearworks.missouristate.edu/cgi/viewcontent.cgi?article=4229&amp;context=theses.</t>
        </is>
      </c>
      <c r="K295" s="27" t="inlineStr">
        <is>
          <t>https://bearworks.missouristate.edu/cgi/viewcontent.cgi?article=4229&amp;context=theses</t>
        </is>
      </c>
    </row>
    <row r="296" ht="46.25" customHeight="1" s="17">
      <c r="A296" s="27" t="inlineStr">
        <is>
          <t>GCS</t>
        </is>
      </c>
      <c r="B296" s="27" t="inlineStr">
        <is>
          <t>Goal Commitment Scale (5-item unidimensional version)</t>
        </is>
      </c>
      <c r="C296" s="27" t="inlineStr">
        <is>
          <t>6. Motivation, self determination and goal pursuit</t>
        </is>
      </c>
      <c r="D296" s="28" t="n">
        <v>3</v>
      </c>
      <c r="E296" s="27" t="inlineStr">
        <is>
          <t>I am strongly committed to pursuing this goal.</t>
        </is>
      </c>
      <c r="F296" s="27" t="inlineStr">
        <is>
          <t>Goal Commitment</t>
        </is>
      </c>
      <c r="G296" s="27" t="inlineStr">
        <is>
          <t>FALSE</t>
        </is>
      </c>
      <c r="H296" s="27" t="inlineStr">
        <is>
          <t>FALSE</t>
        </is>
      </c>
      <c r="I296" s="27" t="inlineStr">
        <is>
          <t>Strongly Disagree = 1 | Moderately Disagree = 2 | Neutral = 3 | Moderately Agree = 4 | Strongly Agree = 5</t>
        </is>
      </c>
      <c r="J296" s="27" t="inlineStr">
        <is>
          <t>Item wording and reverse keying per Klein et al. (2001, p. 34) as quoted in Missouri State University thesis https://bearworks.missouristate.edu/cgi/viewcontent.cgi?article=4229&amp;context=theses.</t>
        </is>
      </c>
      <c r="K296" s="27" t="inlineStr">
        <is>
          <t>https://bearworks.missouristate.edu/cgi/viewcontent.cgi?article=4229&amp;context=theses</t>
        </is>
      </c>
    </row>
    <row r="297" ht="46.25" customHeight="1" s="17">
      <c r="A297" s="27" t="inlineStr">
        <is>
          <t>GCS</t>
        </is>
      </c>
      <c r="B297" s="27" t="inlineStr">
        <is>
          <t>Goal Commitment Scale (5-item unidimensional version)</t>
        </is>
      </c>
      <c r="C297" s="27" t="inlineStr">
        <is>
          <t>6. Motivation, self determination and goal pursuit</t>
        </is>
      </c>
      <c r="D297" s="28" t="n">
        <v>4</v>
      </c>
      <c r="E297" s="27" t="inlineStr">
        <is>
          <t>It wouldn't take much to make me abandon this goal.</t>
        </is>
      </c>
      <c r="F297" s="27" t="inlineStr">
        <is>
          <t>Goal Commitment</t>
        </is>
      </c>
      <c r="G297" s="34" t="inlineStr">
        <is>
          <t>TRUE</t>
        </is>
      </c>
      <c r="H297" s="27" t="inlineStr">
        <is>
          <t>FALSE</t>
        </is>
      </c>
      <c r="I297" s="27" t="inlineStr">
        <is>
          <t>Strongly Disagree = 1 | Moderately Disagree = 2 | Neutral = 3 | Moderately Agree = 4 | Strongly Agree = 5</t>
        </is>
      </c>
      <c r="J297" s="27" t="inlineStr">
        <is>
          <t>Item wording and reverse keying per Klein et al. (2001, p. 34) as quoted in Missouri State University thesis https://bearworks.missouristate.edu/cgi/viewcontent.cgi?article=4229&amp;context=theses.</t>
        </is>
      </c>
      <c r="K297" s="27" t="inlineStr">
        <is>
          <t>https://bearworks.missouristate.edu/cgi/viewcontent.cgi?article=4229&amp;context=theses</t>
        </is>
      </c>
    </row>
    <row r="298" ht="46.25" customHeight="1" s="17">
      <c r="A298" s="27" t="inlineStr">
        <is>
          <t>GCS</t>
        </is>
      </c>
      <c r="B298" s="27" t="inlineStr">
        <is>
          <t>Goal Commitment Scale (5-item unidimensional version)</t>
        </is>
      </c>
      <c r="C298" s="27" t="inlineStr">
        <is>
          <t>6. Motivation, self determination and goal pursuit</t>
        </is>
      </c>
      <c r="D298" s="28" t="n">
        <v>5</v>
      </c>
      <c r="E298" s="27" t="inlineStr">
        <is>
          <t>I think this is a good goal to shoot for.</t>
        </is>
      </c>
      <c r="F298" s="27" t="inlineStr">
        <is>
          <t>Goal Commitment</t>
        </is>
      </c>
      <c r="G298" s="27" t="inlineStr">
        <is>
          <t>FALSE</t>
        </is>
      </c>
      <c r="H298" s="27" t="inlineStr">
        <is>
          <t>FALSE</t>
        </is>
      </c>
      <c r="I298" s="27" t="inlineStr">
        <is>
          <t>Strongly Disagree = 1 | Moderately Disagree = 2 | Neutral = 3 | Moderately Agree = 4 | Strongly Agree = 5</t>
        </is>
      </c>
      <c r="J298" s="27" t="inlineStr">
        <is>
          <t>Item wording and reverse keying per Klein et al. (2001, p. 34) as quoted in Missouri State University thesis https://bearworks.missouristate.edu/cgi/viewcontent.cgi?article=4229&amp;context=theses.</t>
        </is>
      </c>
      <c r="K298" s="27" t="inlineStr">
        <is>
          <t>https://bearworks.missouristate.edu/cgi/viewcontent.cgi?article=4229&amp;context=theses</t>
        </is>
      </c>
    </row>
    <row r="299" ht="23.85" customHeight="1" s="17">
      <c r="A299" s="27" t="inlineStr">
        <is>
          <t>GADJ</t>
        </is>
      </c>
      <c r="B299" s="27" t="inlineStr">
        <is>
          <t>Goal Adjustment Scale</t>
        </is>
      </c>
      <c r="C299" s="27" t="inlineStr">
        <is>
          <t>6. Motivation, self determination and goal pursuit</t>
        </is>
      </c>
      <c r="D299" s="28" t="n">
        <v>1</v>
      </c>
      <c r="E299" s="27" t="inlineStr">
        <is>
          <t>It's easy for me to reduce my effort toward the goal.</t>
        </is>
      </c>
      <c r="F299" s="27" t="inlineStr">
        <is>
          <t>Goal Disengagement</t>
        </is>
      </c>
      <c r="G299" s="27" t="inlineStr">
        <is>
          <t>FALSE</t>
        </is>
      </c>
      <c r="H299" s="27" t="inlineStr">
        <is>
          <t>FALSE</t>
        </is>
      </c>
      <c r="I299" s="27" t="inlineStr">
        <is>
          <t>Almost never true = 1 | 2 = 2 | 3 = 3 | 4 = 4 | Almost always true = 5</t>
        </is>
      </c>
      <c r="J299" s="27" t="inlineStr">
        <is>
          <t>Verbatim from Table 1, Wrosch et al. (2003), fetched from the Carnegie Mellon-hosted copy of the original article.</t>
        </is>
      </c>
      <c r="K299" s="27" t="inlineStr">
        <is>
          <t>https://www.cmu.edu/dietrich/psychology/pdf/scales/GAS_article.pdf</t>
        </is>
      </c>
    </row>
    <row r="300" ht="35.05" customHeight="1" s="17">
      <c r="A300" s="27" t="inlineStr">
        <is>
          <t>GADJ</t>
        </is>
      </c>
      <c r="B300" s="27" t="inlineStr">
        <is>
          <t>Goal Adjustment Scale</t>
        </is>
      </c>
      <c r="C300" s="27" t="inlineStr">
        <is>
          <t>6. Motivation, self determination and goal pursuit</t>
        </is>
      </c>
      <c r="D300" s="28" t="n">
        <v>2</v>
      </c>
      <c r="E300" s="27" t="inlineStr">
        <is>
          <t>I find it difficult to stop trying to achieve the goal.</t>
        </is>
      </c>
      <c r="F300" s="27" t="inlineStr">
        <is>
          <t>Goal Disengagement</t>
        </is>
      </c>
      <c r="G300" s="34" t="inlineStr">
        <is>
          <t>TRUE</t>
        </is>
      </c>
      <c r="H300" s="27" t="inlineStr">
        <is>
          <t>FALSE</t>
        </is>
      </c>
      <c r="I300" s="27" t="inlineStr">
        <is>
          <t>Almost never true = 1 | 2 = 2 | 3 = 3 | 4 = 4 | Almost always true = 5</t>
        </is>
      </c>
      <c r="J300" s="27" t="inlineStr">
        <is>
          <t>Verbatim from Table 1, Wrosch et al. (2003); marked with a reverse-scoring symbol in the original table because it is worded in the direction of persistence, not disengagement.</t>
        </is>
      </c>
      <c r="K300" s="27" t="inlineStr">
        <is>
          <t>https://www.cmu.edu/dietrich/psychology/pdf/scales/GAS_article.pdf</t>
        </is>
      </c>
    </row>
    <row r="301" ht="23.85" customHeight="1" s="17">
      <c r="A301" s="27" t="inlineStr">
        <is>
          <t>GADJ</t>
        </is>
      </c>
      <c r="B301" s="27" t="inlineStr">
        <is>
          <t>Goal Adjustment Scale</t>
        </is>
      </c>
      <c r="C301" s="27" t="inlineStr">
        <is>
          <t>6. Motivation, self determination and goal pursuit</t>
        </is>
      </c>
      <c r="D301" s="28" t="n">
        <v>3</v>
      </c>
      <c r="E301" s="27" t="inlineStr">
        <is>
          <t>I stay committed to the goal for a long time; I can't let it go.</t>
        </is>
      </c>
      <c r="F301" s="27" t="inlineStr">
        <is>
          <t>Goal Disengagement</t>
        </is>
      </c>
      <c r="G301" s="34" t="inlineStr">
        <is>
          <t>TRUE</t>
        </is>
      </c>
      <c r="H301" s="27" t="inlineStr">
        <is>
          <t>FALSE</t>
        </is>
      </c>
      <c r="I301" s="27" t="inlineStr">
        <is>
          <t>Almost never true = 1 | 2 = 2 | 3 = 3 | 4 = 4 | Almost always true = 5</t>
        </is>
      </c>
      <c r="J301" s="27" t="inlineStr">
        <is>
          <t>Verbatim from Table 1, Wrosch et al. (2003); marked with a reverse-scoring symbol in the original table for the same reason as item 2.</t>
        </is>
      </c>
      <c r="K301" s="27" t="inlineStr">
        <is>
          <t>https://www.cmu.edu/dietrich/psychology/pdf/scales/GAS_article.pdf</t>
        </is>
      </c>
    </row>
    <row r="302" ht="23.85" customHeight="1" s="17">
      <c r="A302" s="27" t="inlineStr">
        <is>
          <t>GADJ</t>
        </is>
      </c>
      <c r="B302" s="27" t="inlineStr">
        <is>
          <t>Goal Adjustment Scale</t>
        </is>
      </c>
      <c r="C302" s="27" t="inlineStr">
        <is>
          <t>6. Motivation, self determination and goal pursuit</t>
        </is>
      </c>
      <c r="D302" s="28" t="n">
        <v>4</v>
      </c>
      <c r="E302" s="27" t="inlineStr">
        <is>
          <t>It's easy for me to stop thinking about the goal and let it go.</t>
        </is>
      </c>
      <c r="F302" s="27" t="inlineStr">
        <is>
          <t>Goal Disengagement</t>
        </is>
      </c>
      <c r="G302" s="27" t="inlineStr">
        <is>
          <t>FALSE</t>
        </is>
      </c>
      <c r="H302" s="27" t="inlineStr">
        <is>
          <t>FALSE</t>
        </is>
      </c>
      <c r="I302" s="27" t="inlineStr">
        <is>
          <t>Almost never true = 1 | 2 = 2 | 3 = 3 | 4 = 4 | Almost always true = 5</t>
        </is>
      </c>
      <c r="J302" s="27" t="inlineStr">
        <is>
          <t>Verbatim from Table 1, Wrosch et al. (2003).</t>
        </is>
      </c>
      <c r="K302" s="27" t="inlineStr">
        <is>
          <t>https://www.cmu.edu/dietrich/psychology/pdf/scales/GAS_article.pdf</t>
        </is>
      </c>
    </row>
    <row r="303" ht="23.85" customHeight="1" s="17">
      <c r="A303" s="27" t="inlineStr">
        <is>
          <t>GADJ</t>
        </is>
      </c>
      <c r="B303" s="27" t="inlineStr">
        <is>
          <t>Goal Adjustment Scale</t>
        </is>
      </c>
      <c r="C303" s="27" t="inlineStr">
        <is>
          <t>6. Motivation, self determination and goal pursuit</t>
        </is>
      </c>
      <c r="D303" s="28" t="n">
        <v>5</v>
      </c>
      <c r="E303" s="27" t="inlineStr">
        <is>
          <t>I think about other new goals to pursue.</t>
        </is>
      </c>
      <c r="F303" s="27" t="inlineStr">
        <is>
          <t>Goal Reengagement</t>
        </is>
      </c>
      <c r="G303" s="27" t="inlineStr">
        <is>
          <t>FALSE</t>
        </is>
      </c>
      <c r="H303" s="27" t="inlineStr">
        <is>
          <t>FALSE</t>
        </is>
      </c>
      <c r="I303" s="27" t="inlineStr">
        <is>
          <t>Almost never true = 1 | 2 = 2 | 3 = 3 | 4 = 4 | Almost always true = 5</t>
        </is>
      </c>
      <c r="J303" s="27" t="inlineStr">
        <is>
          <t>Verbatim from Table 1, Wrosch et al. (2003).</t>
        </is>
      </c>
      <c r="K303" s="27" t="inlineStr">
        <is>
          <t>https://www.cmu.edu/dietrich/psychology/pdf/scales/GAS_article.pdf</t>
        </is>
      </c>
    </row>
    <row r="304" ht="23.85" customHeight="1" s="17">
      <c r="A304" s="27" t="inlineStr">
        <is>
          <t>GADJ</t>
        </is>
      </c>
      <c r="B304" s="27" t="inlineStr">
        <is>
          <t>Goal Adjustment Scale</t>
        </is>
      </c>
      <c r="C304" s="27" t="inlineStr">
        <is>
          <t>6. Motivation, self determination and goal pursuit</t>
        </is>
      </c>
      <c r="D304" s="28" t="n">
        <v>6</v>
      </c>
      <c r="E304" s="27" t="inlineStr">
        <is>
          <t>I seek other meaningful goals.</t>
        </is>
      </c>
      <c r="F304" s="27" t="inlineStr">
        <is>
          <t>Goal Reengagement</t>
        </is>
      </c>
      <c r="G304" s="27" t="inlineStr">
        <is>
          <t>FALSE</t>
        </is>
      </c>
      <c r="H304" s="27" t="inlineStr">
        <is>
          <t>FALSE</t>
        </is>
      </c>
      <c r="I304" s="27" t="inlineStr">
        <is>
          <t>Almost never true = 1 | 2 = 2 | 3 = 3 | 4 = 4 | Almost always true = 5</t>
        </is>
      </c>
      <c r="J304" s="27" t="inlineStr">
        <is>
          <t>Verbatim from Table 1, Wrosch et al. (2003).</t>
        </is>
      </c>
      <c r="K304" s="27" t="inlineStr">
        <is>
          <t>https://www.cmu.edu/dietrich/psychology/pdf/scales/GAS_article.pdf</t>
        </is>
      </c>
    </row>
    <row r="305" ht="23.85" customHeight="1" s="17">
      <c r="A305" s="27" t="inlineStr">
        <is>
          <t>GADJ</t>
        </is>
      </c>
      <c r="B305" s="27" t="inlineStr">
        <is>
          <t>Goal Adjustment Scale</t>
        </is>
      </c>
      <c r="C305" s="27" t="inlineStr">
        <is>
          <t>6. Motivation, self determination and goal pursuit</t>
        </is>
      </c>
      <c r="D305" s="28" t="n">
        <v>7</v>
      </c>
      <c r="E305" s="27" t="inlineStr">
        <is>
          <t>I convince myself that I have other meaningful goals to pursue.</t>
        </is>
      </c>
      <c r="F305" s="27" t="inlineStr">
        <is>
          <t>Goal Reengagement</t>
        </is>
      </c>
      <c r="G305" s="27" t="inlineStr">
        <is>
          <t>FALSE</t>
        </is>
      </c>
      <c r="H305" s="27" t="inlineStr">
        <is>
          <t>FALSE</t>
        </is>
      </c>
      <c r="I305" s="27" t="inlineStr">
        <is>
          <t>Almost never true = 1 | 2 = 2 | 3 = 3 | 4 = 4 | Almost always true = 5</t>
        </is>
      </c>
      <c r="J305" s="27" t="inlineStr">
        <is>
          <t>Verbatim from Table 1, Wrosch et al. (2003).</t>
        </is>
      </c>
      <c r="K305" s="27" t="inlineStr">
        <is>
          <t>https://www.cmu.edu/dietrich/psychology/pdf/scales/GAS_article.pdf</t>
        </is>
      </c>
    </row>
    <row r="306" ht="23.85" customHeight="1" s="17">
      <c r="A306" s="27" t="inlineStr">
        <is>
          <t>GADJ</t>
        </is>
      </c>
      <c r="B306" s="27" t="inlineStr">
        <is>
          <t>Goal Adjustment Scale</t>
        </is>
      </c>
      <c r="C306" s="27" t="inlineStr">
        <is>
          <t>6. Motivation, self determination and goal pursuit</t>
        </is>
      </c>
      <c r="D306" s="28" t="n">
        <v>8</v>
      </c>
      <c r="E306" s="27" t="inlineStr">
        <is>
          <t>I tell myself that I have a number of other new goals to draw on.</t>
        </is>
      </c>
      <c r="F306" s="27" t="inlineStr">
        <is>
          <t>Goal Reengagement</t>
        </is>
      </c>
      <c r="G306" s="27" t="inlineStr">
        <is>
          <t>FALSE</t>
        </is>
      </c>
      <c r="H306" s="27" t="inlineStr">
        <is>
          <t>FALSE</t>
        </is>
      </c>
      <c r="I306" s="27" t="inlineStr">
        <is>
          <t>Almost never true = 1 | 2 = 2 | 3 = 3 | 4 = 4 | Almost always true = 5</t>
        </is>
      </c>
      <c r="J306" s="27" t="inlineStr">
        <is>
          <t>Verbatim from Table 1, Wrosch et al. (2003).</t>
        </is>
      </c>
      <c r="K306" s="27" t="inlineStr">
        <is>
          <t>https://www.cmu.edu/dietrich/psychology/pdf/scales/GAS_article.pdf</t>
        </is>
      </c>
    </row>
    <row r="307" ht="23.85" customHeight="1" s="17">
      <c r="A307" s="27" t="inlineStr">
        <is>
          <t>GADJ</t>
        </is>
      </c>
      <c r="B307" s="27" t="inlineStr">
        <is>
          <t>Goal Adjustment Scale</t>
        </is>
      </c>
      <c r="C307" s="27" t="inlineStr">
        <is>
          <t>6. Motivation, self determination and goal pursuit</t>
        </is>
      </c>
      <c r="D307" s="28" t="n">
        <v>9</v>
      </c>
      <c r="E307" s="27" t="inlineStr">
        <is>
          <t>I start working on other new goals.</t>
        </is>
      </c>
      <c r="F307" s="27" t="inlineStr">
        <is>
          <t>Goal Reengagement</t>
        </is>
      </c>
      <c r="G307" s="27" t="inlineStr">
        <is>
          <t>FALSE</t>
        </is>
      </c>
      <c r="H307" s="27" t="inlineStr">
        <is>
          <t>FALSE</t>
        </is>
      </c>
      <c r="I307" s="27" t="inlineStr">
        <is>
          <t>Almost never true = 1 | 2 = 2 | 3 = 3 | 4 = 4 | Almost always true = 5</t>
        </is>
      </c>
      <c r="J307" s="27" t="inlineStr">
        <is>
          <t>Verbatim from Table 1, Wrosch et al. (2003).</t>
        </is>
      </c>
      <c r="K307" s="27" t="inlineStr">
        <is>
          <t>https://www.cmu.edu/dietrich/psychology/pdf/scales/GAS_article.pdf</t>
        </is>
      </c>
    </row>
    <row r="308" ht="23.85" customHeight="1" s="17">
      <c r="A308" s="27" t="inlineStr">
        <is>
          <t>GADJ</t>
        </is>
      </c>
      <c r="B308" s="27" t="inlineStr">
        <is>
          <t>Goal Adjustment Scale</t>
        </is>
      </c>
      <c r="C308" s="27" t="inlineStr">
        <is>
          <t>6. Motivation, self determination and goal pursuit</t>
        </is>
      </c>
      <c r="D308" s="28" t="n">
        <v>10</v>
      </c>
      <c r="E308" s="27" t="inlineStr">
        <is>
          <t>I put effort toward other meaningful goals.</t>
        </is>
      </c>
      <c r="F308" s="27" t="inlineStr">
        <is>
          <t>Goal Reengagement</t>
        </is>
      </c>
      <c r="G308" s="27" t="inlineStr">
        <is>
          <t>FALSE</t>
        </is>
      </c>
      <c r="H308" s="27" t="inlineStr">
        <is>
          <t>FALSE</t>
        </is>
      </c>
      <c r="I308" s="27" t="inlineStr">
        <is>
          <t>Almost never true = 1 | 2 = 2 | 3 = 3 | 4 = 4 | Almost always true = 5</t>
        </is>
      </c>
      <c r="J308" s="27" t="inlineStr">
        <is>
          <t>Verbatim from Table 1, Wrosch et al. (2003).</t>
        </is>
      </c>
      <c r="K308" s="27" t="inlineStr">
        <is>
          <t>https://www.cmu.edu/dietrich/psychology/pdf/scales/GAS_article.pdf</t>
        </is>
      </c>
    </row>
  </sheetData>
  <autoFilter ref="A1:K30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H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6" min="1" max="1"/>
    <col width="34" customWidth="1" style="16" min="2" max="3"/>
    <col width="42" customWidth="1" style="16" min="4" max="4"/>
    <col width="26" customWidth="1" style="16" min="5" max="5"/>
    <col width="13" customWidth="1" style="16" min="6" max="6"/>
    <col width="24" customWidth="1" style="16" min="7" max="7"/>
    <col width="88" customWidth="1" style="16" min="8" max="8"/>
  </cols>
  <sheetData>
    <row r="1" ht="30" customHeight="1" s="17">
      <c r="A1" s="25" t="inlineStr">
        <is>
          <t>Code</t>
        </is>
      </c>
      <c r="B1" s="25" t="inlineStr">
        <is>
          <t>Instrument Name</t>
        </is>
      </c>
      <c r="C1" s="25" t="inlineStr">
        <is>
          <t>Domain</t>
        </is>
      </c>
      <c r="D1" s="25" t="inlineStr">
        <is>
          <t>Subscale / Theme / Strength</t>
        </is>
      </c>
      <c r="E1" s="25" t="inlineStr">
        <is>
          <t>Item Numbers</t>
        </is>
      </c>
      <c r="F1" s="25" t="inlineStr">
        <is>
          <t>Number of Items</t>
        </is>
      </c>
      <c r="G1" s="25" t="inlineStr">
        <is>
          <t>Score Range</t>
        </is>
      </c>
      <c r="H1" s="25" t="inlineStr">
        <is>
          <t>Description</t>
        </is>
      </c>
    </row>
    <row r="2" ht="23.85" customHeight="1" s="17">
      <c r="A2" s="27" t="inlineStr">
        <is>
          <t>ESQ-R</t>
        </is>
      </c>
      <c r="B2" s="27" t="inlineStr">
        <is>
          <t>Executive Skills Questionnaire - Revised (ESQ-R)</t>
        </is>
      </c>
      <c r="C2" s="27" t="inlineStr">
        <is>
          <t>1. Executive functioning and ADHD</t>
        </is>
      </c>
      <c r="D2" s="27" t="inlineStr">
        <is>
          <t>Plan Management</t>
        </is>
      </c>
      <c r="E2" s="27" t="inlineStr">
        <is>
          <t>6-7, 12-14, 16-18, 22-24</t>
        </is>
      </c>
      <c r="F2" s="28" t="n">
        <v>11</v>
      </c>
      <c r="G2" s="27" t="inlineStr">
        <is>
          <t>0-33</t>
        </is>
      </c>
      <c r="H2" s="27" t="inlineStr">
        <is>
          <t>Ability to create and manage plans for accomplishing tasks.</t>
        </is>
      </c>
    </row>
    <row r="3" ht="23.85" customHeight="1" s="17">
      <c r="A3" s="27" t="inlineStr">
        <is>
          <t>ESQ-R</t>
        </is>
      </c>
      <c r="B3" s="27" t="inlineStr">
        <is>
          <t>Executive Skills Questionnaire - Revised (ESQ-R)</t>
        </is>
      </c>
      <c r="C3" s="27" t="inlineStr">
        <is>
          <t>1. Executive functioning and ADHD</t>
        </is>
      </c>
      <c r="D3" s="27" t="inlineStr">
        <is>
          <t>Time Management</t>
        </is>
      </c>
      <c r="E3" s="27" t="inlineStr">
        <is>
          <t>10-11, 15, 20</t>
        </is>
      </c>
      <c r="F3" s="28" t="n">
        <v>4</v>
      </c>
      <c r="G3" s="27" t="inlineStr">
        <is>
          <t>0-12</t>
        </is>
      </c>
      <c r="H3" s="27" t="inlineStr">
        <is>
          <t>Ability to organize various aspects of time, including estimating and allocating time and working within time constraints.</t>
        </is>
      </c>
    </row>
    <row r="4" ht="23.85" customHeight="1" s="17">
      <c r="A4" s="27" t="inlineStr">
        <is>
          <t>ESQ-R</t>
        </is>
      </c>
      <c r="B4" s="27" t="inlineStr">
        <is>
          <t>Executive Skills Questionnaire - Revised (ESQ-R)</t>
        </is>
      </c>
      <c r="C4" s="27" t="inlineStr">
        <is>
          <t>1. Executive functioning and ADHD</t>
        </is>
      </c>
      <c r="D4" s="27" t="inlineStr">
        <is>
          <t>Organization</t>
        </is>
      </c>
      <c r="E4" s="27" t="inlineStr">
        <is>
          <t>3, 8-9</t>
        </is>
      </c>
      <c r="F4" s="28" t="n">
        <v>3</v>
      </c>
      <c r="G4" s="27" t="inlineStr">
        <is>
          <t>0-9</t>
        </is>
      </c>
      <c r="H4" s="27" t="inlineStr">
        <is>
          <t>Ability to create and maintain systems and keep track of information or materials.</t>
        </is>
      </c>
    </row>
    <row r="5" ht="23.85" customHeight="1" s="17">
      <c r="A5" s="27" t="inlineStr">
        <is>
          <t>ESQ-R</t>
        </is>
      </c>
      <c r="B5" s="27" t="inlineStr">
        <is>
          <t>Executive Skills Questionnaire - Revised (ESQ-R)</t>
        </is>
      </c>
      <c r="C5" s="27" t="inlineStr">
        <is>
          <t>1. Executive functioning and ADHD</t>
        </is>
      </c>
      <c r="D5" s="27" t="inlineStr">
        <is>
          <t>Emotional Regulation</t>
        </is>
      </c>
      <c r="E5" s="27" t="inlineStr">
        <is>
          <t>4-5, 21</t>
        </is>
      </c>
      <c r="F5" s="28" t="n">
        <v>3</v>
      </c>
      <c r="G5" s="27" t="inlineStr">
        <is>
          <t>0-9</t>
        </is>
      </c>
      <c r="H5" s="27" t="inlineStr">
        <is>
          <t>Ability to manage emotions to achieve goals, complete tasks, or control and direct behavior.</t>
        </is>
      </c>
    </row>
    <row r="6" ht="23.85" customHeight="1" s="17">
      <c r="A6" s="27" t="inlineStr">
        <is>
          <t>ESQ-R</t>
        </is>
      </c>
      <c r="B6" s="27" t="inlineStr">
        <is>
          <t>Executive Skills Questionnaire - Revised (ESQ-R)</t>
        </is>
      </c>
      <c r="C6" s="27" t="inlineStr">
        <is>
          <t>1. Executive functioning and ADHD</t>
        </is>
      </c>
      <c r="D6" s="27" t="inlineStr">
        <is>
          <t>Behavioral Regulation</t>
        </is>
      </c>
      <c r="E6" s="27" t="inlineStr">
        <is>
          <t>1-2, 19, 25</t>
        </is>
      </c>
      <c r="F6" s="28" t="n">
        <v>4</v>
      </c>
      <c r="G6" s="27" t="inlineStr">
        <is>
          <t>0-12</t>
        </is>
      </c>
      <c r="H6" s="27" t="inlineStr">
        <is>
          <t>Ability to manage behavior (avoid undesirable behaviors, increase desirable behaviors), think before acting or responding, and consider the consequences of actions.</t>
        </is>
      </c>
    </row>
    <row r="7" ht="23.85" customHeight="1" s="17">
      <c r="A7" s="27" t="inlineStr">
        <is>
          <t>CFI</t>
        </is>
      </c>
      <c r="B7" s="27" t="inlineStr">
        <is>
          <t>Cognitive Flexibility Inventory (CFI)</t>
        </is>
      </c>
      <c r="C7" s="27" t="inlineStr">
        <is>
          <t>1. Executive functioning and ADHD</t>
        </is>
      </c>
      <c r="D7" s="27" t="inlineStr">
        <is>
          <t>Alternatives</t>
        </is>
      </c>
      <c r="E7" s="27" t="inlineStr">
        <is>
          <t>1, 3, 5-6, 8, 10, 12-14, 16, 18-20</t>
        </is>
      </c>
      <c r="F7" s="28" t="n">
        <v>13</v>
      </c>
      <c r="G7" s="27" t="inlineStr">
        <is>
          <t>13-91</t>
        </is>
      </c>
      <c r="H7" s="27" t="inlineStr">
        <is>
          <t>Measures the ability to perceive multiple alternative explanations for life occurrences and human behaviour and the ability to generate multiple alternative solutions to difficult situations.</t>
        </is>
      </c>
    </row>
    <row r="8" ht="15" customHeight="1" s="17">
      <c r="A8" s="27" t="inlineStr">
        <is>
          <t>CFI</t>
        </is>
      </c>
      <c r="B8" s="27" t="inlineStr">
        <is>
          <t>Cognitive Flexibility Inventory (CFI)</t>
        </is>
      </c>
      <c r="C8" s="27" t="inlineStr">
        <is>
          <t>1. Executive functioning and ADHD</t>
        </is>
      </c>
      <c r="D8" s="27" t="inlineStr">
        <is>
          <t>Control</t>
        </is>
      </c>
      <c r="E8" s="27" t="inlineStr">
        <is>
          <t>2, 4, 7, 9, 11, 15, 17</t>
        </is>
      </c>
      <c r="F8" s="28" t="n">
        <v>7</v>
      </c>
      <c r="G8" s="27" t="inlineStr">
        <is>
          <t>7-49</t>
        </is>
      </c>
      <c r="H8" s="27" t="inlineStr">
        <is>
          <t>Measures the tendency to perceive difficult situations as controllable.</t>
        </is>
      </c>
    </row>
    <row r="9" ht="23.85" customHeight="1" s="17">
      <c r="A9" s="27" t="inlineStr">
        <is>
          <t>ASRS</t>
        </is>
      </c>
      <c r="B9" s="27" t="inlineStr">
        <is>
          <t>Adult ADHD Self-Report Scale (ASRS v1.1)</t>
        </is>
      </c>
      <c r="C9" s="27" t="inlineStr">
        <is>
          <t>1. Executive functioning and ADHD</t>
        </is>
      </c>
      <c r="D9" s="27" t="inlineStr">
        <is>
          <t>Part A (Criterion / Screener)</t>
        </is>
      </c>
      <c r="E9" s="27" t="inlineStr">
        <is>
          <t>1-6</t>
        </is>
      </c>
      <c r="F9" s="28" t="n">
        <v>6</v>
      </c>
      <c r="G9" s="27" t="inlineStr">
        <is>
          <t>0-24</t>
        </is>
      </c>
      <c r="H9" s="27" t="inlineStr">
        <is>
          <t>The six items most predictive of ADHD diagnosis (Kessler et al., 2007). Summed on the 0-4 Likert metric. Constitutes the six-item ASRS Screener when used alone.</t>
        </is>
      </c>
    </row>
    <row r="10" ht="23.85" customHeight="1" s="17">
      <c r="A10" s="27" t="inlineStr">
        <is>
          <t>ASRS</t>
        </is>
      </c>
      <c r="B10" s="27" t="inlineStr">
        <is>
          <t>Adult ADHD Self-Report Scale (ASRS v1.1)</t>
        </is>
      </c>
      <c r="C10" s="27" t="inlineStr">
        <is>
          <t>1. Executive functioning and ADHD</t>
        </is>
      </c>
      <c r="D10" s="27" t="inlineStr">
        <is>
          <t>Part B (Additional Symptoms)</t>
        </is>
      </c>
      <c r="E10" s="27" t="inlineStr">
        <is>
          <t>7-18</t>
        </is>
      </c>
      <c r="F10" s="28" t="n">
        <v>12</v>
      </c>
      <c r="G10" s="27" t="inlineStr">
        <is>
          <t>0-48</t>
        </is>
      </c>
      <c r="H10" s="27" t="inlineStr">
        <is>
          <t>Twelve additional DSM-based items providing a broader index of symptom severity and further probes into the client's symptoms.</t>
        </is>
      </c>
    </row>
    <row r="11" ht="35.05" customHeight="1" s="17">
      <c r="A11" s="27" t="inlineStr">
        <is>
          <t>ASRS</t>
        </is>
      </c>
      <c r="B11" s="27" t="inlineStr">
        <is>
          <t>Adult ADHD Self-Report Scale (ASRS v1.1)</t>
        </is>
      </c>
      <c r="C11" s="27" t="inlineStr">
        <is>
          <t>1. Executive functioning and ADHD</t>
        </is>
      </c>
      <c r="D11" s="27" t="inlineStr">
        <is>
          <t>Inattentiveness</t>
        </is>
      </c>
      <c r="E11" s="27" t="inlineStr">
        <is>
          <t>1-4, 7-11</t>
        </is>
      </c>
      <c r="F11" s="28" t="n">
        <v>9</v>
      </c>
      <c r="G11" s="27" t="inlineStr">
        <is>
          <t>0-9 (dichotomous symptom count)</t>
        </is>
      </c>
      <c r="H11" s="27" t="inlineStr">
        <is>
          <t>Stanton et al. (2018) factor. Difficulty focussing on details, being organised, remembering appointments, making careless mistakes, and concentrating. Scored using the original dichotomous method (0 or 1 per item) and reported as number and percentage of items endorsed.</t>
        </is>
      </c>
    </row>
    <row r="12" ht="23.85" customHeight="1" s="17">
      <c r="A12" s="27" t="inlineStr">
        <is>
          <t>ASRS</t>
        </is>
      </c>
      <c r="B12" s="27" t="inlineStr">
        <is>
          <t>Adult ADHD Self-Report Scale (ASRS v1.1)</t>
        </is>
      </c>
      <c r="C12" s="27" t="inlineStr">
        <is>
          <t>1. Executive functioning and ADHD</t>
        </is>
      </c>
      <c r="D12" s="27" t="inlineStr">
        <is>
          <t>Hyperactivity/Impulsivity - Motor</t>
        </is>
      </c>
      <c r="E12" s="27" t="inlineStr">
        <is>
          <t>5-6, 12-14</t>
        </is>
      </c>
      <c r="F12" s="28" t="n">
        <v>5</v>
      </c>
      <c r="G12" s="27" t="inlineStr">
        <is>
          <t>0-5 (dichotomous symptom count)</t>
        </is>
      </c>
      <c r="H12" s="27" t="inlineStr">
        <is>
          <t>Stanton et al. (2018) factor. Difficulty sitting still, staying seated, and ability to relax.</t>
        </is>
      </c>
    </row>
    <row r="13" ht="23.85" customHeight="1" s="17">
      <c r="A13" s="27" t="inlineStr">
        <is>
          <t>ASRS</t>
        </is>
      </c>
      <c r="B13" s="27" t="inlineStr">
        <is>
          <t>Adult ADHD Self-Report Scale (ASRS v1.1)</t>
        </is>
      </c>
      <c r="C13" s="27" t="inlineStr">
        <is>
          <t>1. Executive functioning and ADHD</t>
        </is>
      </c>
      <c r="D13" s="27" t="inlineStr">
        <is>
          <t>Hyperactivity/Impulsivity - Verbal</t>
        </is>
      </c>
      <c r="E13" s="27" t="inlineStr">
        <is>
          <t>15-18</t>
        </is>
      </c>
      <c r="F13" s="28" t="n">
        <v>4</v>
      </c>
      <c r="G13" s="27" t="inlineStr">
        <is>
          <t>0-4 (dichotomous symptom count)</t>
        </is>
      </c>
      <c r="H13" s="27" t="inlineStr">
        <is>
          <t>Stanton et al. (2018) factor. Difficulty controlling how much they talk, interrupting others, and waiting their turn.</t>
        </is>
      </c>
    </row>
    <row r="14" ht="23.85" customHeight="1" s="17">
      <c r="A14" s="27" t="inlineStr">
        <is>
          <t>SKS</t>
        </is>
      </c>
      <c r="B14" s="27" t="inlineStr">
        <is>
          <t>Strengths Knowledge Scale</t>
        </is>
      </c>
      <c r="C14" s="27" t="inlineStr">
        <is>
          <t>2. Strengths knowledge, use and support at work</t>
        </is>
      </c>
      <c r="D14" s="27" t="inlineStr">
        <is>
          <t>Strengths Knowledge (total scale)</t>
        </is>
      </c>
      <c r="E14" s="27" t="inlineStr">
        <is>
          <t>1-8</t>
        </is>
      </c>
      <c r="F14" s="28" t="n">
        <v>8</v>
      </c>
      <c r="G14" s="27" t="inlineStr">
        <is>
          <t>8-56</t>
        </is>
      </c>
      <c r="H14" s="27" t="inlineStr">
        <is>
          <t>Single unidimensional factor; all 8 items load on one strengths-knowledge factor.</t>
        </is>
      </c>
    </row>
    <row r="15" ht="23.85" customHeight="1" s="17">
      <c r="A15" s="27" t="inlineStr">
        <is>
          <t>SUS</t>
        </is>
      </c>
      <c r="B15" s="27" t="inlineStr">
        <is>
          <t>Strengths Use Scale</t>
        </is>
      </c>
      <c r="C15" s="27" t="inlineStr">
        <is>
          <t>2. Strengths knowledge, use and support at work</t>
        </is>
      </c>
      <c r="D15" s="27" t="inlineStr">
        <is>
          <t>Strengths Use (total scale)</t>
        </is>
      </c>
      <c r="E15" s="27" t="inlineStr">
        <is>
          <t>1-14</t>
        </is>
      </c>
      <c r="F15" s="28" t="n">
        <v>14</v>
      </c>
      <c r="G15" s="27" t="inlineStr">
        <is>
          <t>14-98</t>
        </is>
      </c>
      <c r="H15" s="27" t="inlineStr">
        <is>
          <t>Single unidimensional factor; all 14 items load on one strengths-use factor.</t>
        </is>
      </c>
    </row>
    <row r="16" ht="23.85" customHeight="1" s="17">
      <c r="A16" s="27" t="inlineStr">
        <is>
          <t>SSES</t>
        </is>
      </c>
      <c r="B16" s="27" t="inlineStr">
        <is>
          <t>Strengths Self-Efficacy Scale</t>
        </is>
      </c>
      <c r="C16" s="27" t="inlineStr">
        <is>
          <t>2. Strengths knowledge, use and support at work</t>
        </is>
      </c>
      <c r="D16" s="27" t="inlineStr">
        <is>
          <t>Strengths Self-Efficacy (total scale)</t>
        </is>
      </c>
      <c r="E16" s="27" t="inlineStr">
        <is>
          <t>1-11</t>
        </is>
      </c>
      <c r="F16" s="28" t="n">
        <v>11</v>
      </c>
      <c r="G16" s="27" t="inlineStr">
        <is>
          <t>11-110</t>
        </is>
      </c>
      <c r="H16" s="27" t="inlineStr">
        <is>
          <t>Single unidimensional factor confirmed by both exploratory and confirmatory factor analysis in the original validation.</t>
        </is>
      </c>
    </row>
    <row r="17" ht="15" customHeight="1" s="17">
      <c r="A17" s="27" t="inlineStr">
        <is>
          <t>CSES</t>
        </is>
      </c>
      <c r="B17" s="27" t="inlineStr">
        <is>
          <t>Core Self-Evaluations Scale</t>
        </is>
      </c>
      <c r="C17" s="27" t="inlineStr">
        <is>
          <t>3. Adjacent occupational and wellbeing</t>
        </is>
      </c>
      <c r="D17" s="27" t="inlineStr">
        <is>
          <t>Core Self-Evaluations (total scale, unidimensional)</t>
        </is>
      </c>
      <c r="E17" s="27" t="inlineStr">
        <is>
          <t>1-12</t>
        </is>
      </c>
      <c r="F17" s="28" t="n">
        <v>12</v>
      </c>
      <c r="G17" s="27" t="inlineStr">
        <is>
          <t>12-60</t>
        </is>
      </c>
      <c r="H17" s="27" t="inlineStr">
        <is>
          <t>Single higher-order factor; the scale is not intended to be broken into separate subscales.</t>
        </is>
      </c>
    </row>
    <row r="18" ht="15" customHeight="1" s="17">
      <c r="A18" s="27" t="inlineStr">
        <is>
          <t>PES</t>
        </is>
      </c>
      <c r="B18" s="27" t="inlineStr">
        <is>
          <t>Psychological Empowerment Scale</t>
        </is>
      </c>
      <c r="C18" s="27" t="inlineStr">
        <is>
          <t>3. Adjacent occupational and wellbeing</t>
        </is>
      </c>
      <c r="D18" s="27" t="inlineStr">
        <is>
          <t>Meaning</t>
        </is>
      </c>
      <c r="E18" s="27" t="inlineStr">
        <is>
          <t>1-3</t>
        </is>
      </c>
      <c r="F18" s="28" t="n">
        <v>3</v>
      </c>
      <c r="G18" s="27" t="inlineStr">
        <is>
          <t>3-21 (mean 1-7)</t>
        </is>
      </c>
      <c r="H18" s="27" t="inlineStr">
        <is>
          <t>The value of a work goal or purpose, judged in relation to the individual's own ideals or standards.</t>
        </is>
      </c>
    </row>
    <row r="19" ht="15" customHeight="1" s="17">
      <c r="A19" s="27" t="inlineStr">
        <is>
          <t>PES</t>
        </is>
      </c>
      <c r="B19" s="27" t="inlineStr">
        <is>
          <t>Psychological Empowerment Scale</t>
        </is>
      </c>
      <c r="C19" s="27" t="inlineStr">
        <is>
          <t>3. Adjacent occupational and wellbeing</t>
        </is>
      </c>
      <c r="D19" s="27" t="inlineStr">
        <is>
          <t>Competence</t>
        </is>
      </c>
      <c r="E19" s="27" t="inlineStr">
        <is>
          <t>4-6</t>
        </is>
      </c>
      <c r="F19" s="28" t="n">
        <v>3</v>
      </c>
      <c r="G19" s="27" t="inlineStr">
        <is>
          <t>3-21 (mean 1-7)</t>
        </is>
      </c>
      <c r="H19" s="27" t="inlineStr">
        <is>
          <t>Self-efficacy specific to one's work, i.e. belief in one's capability to perform activities with skill.</t>
        </is>
      </c>
    </row>
    <row r="20" ht="15" customHeight="1" s="17">
      <c r="A20" s="27" t="inlineStr">
        <is>
          <t>PES</t>
        </is>
      </c>
      <c r="B20" s="27" t="inlineStr">
        <is>
          <t>Psychological Empowerment Scale</t>
        </is>
      </c>
      <c r="C20" s="27" t="inlineStr">
        <is>
          <t>3. Adjacent occupational and wellbeing</t>
        </is>
      </c>
      <c r="D20" s="27" t="inlineStr">
        <is>
          <t>Self-Determination</t>
        </is>
      </c>
      <c r="E20" s="27" t="inlineStr">
        <is>
          <t>7-9</t>
        </is>
      </c>
      <c r="F20" s="28" t="n">
        <v>3</v>
      </c>
      <c r="G20" s="27" t="inlineStr">
        <is>
          <t>3-21 (mean 1-7)</t>
        </is>
      </c>
      <c r="H20" s="27" t="inlineStr">
        <is>
          <t>A sense of choice and autonomy in initiating and regulating one's own actions at work.</t>
        </is>
      </c>
    </row>
    <row r="21" ht="15" customHeight="1" s="17">
      <c r="A21" s="27" t="inlineStr">
        <is>
          <t>PES</t>
        </is>
      </c>
      <c r="B21" s="27" t="inlineStr">
        <is>
          <t>Psychological Empowerment Scale</t>
        </is>
      </c>
      <c r="C21" s="27" t="inlineStr">
        <is>
          <t>3. Adjacent occupational and wellbeing</t>
        </is>
      </c>
      <c r="D21" s="27" t="inlineStr">
        <is>
          <t>Impact</t>
        </is>
      </c>
      <c r="E21" s="27" t="inlineStr">
        <is>
          <t>10-12</t>
        </is>
      </c>
      <c r="F21" s="28" t="n">
        <v>3</v>
      </c>
      <c r="G21" s="27" t="inlineStr">
        <is>
          <t>3-21 (mean 1-7)</t>
        </is>
      </c>
      <c r="H21" s="27" t="inlineStr">
        <is>
          <t>The degree to which a person can influence strategic, administrative or operating outcomes in their work unit.</t>
        </is>
      </c>
    </row>
    <row r="22" ht="23.85" customHeight="1" s="17">
      <c r="A22" s="27" t="inlineStr">
        <is>
          <t>DASS-21</t>
        </is>
      </c>
      <c r="B22" s="27" t="inlineStr">
        <is>
          <t>Depression Anxiety Stress Scales, 21 item version (DASS-21)</t>
        </is>
      </c>
      <c r="C22" s="27" t="inlineStr">
        <is>
          <t>4. Psychological distress screening</t>
        </is>
      </c>
      <c r="D22" s="27" t="inlineStr">
        <is>
          <t>Depression</t>
        </is>
      </c>
      <c r="E22" s="27" t="inlineStr">
        <is>
          <t>3, 5, 10, 13, 16-17, 21</t>
        </is>
      </c>
      <c r="F22" s="28" t="n">
        <v>7</v>
      </c>
      <c r="G22" s="27" t="inlineStr">
        <is>
          <t>0-21 raw; 0-42 after doubling</t>
        </is>
      </c>
      <c r="H22" s="27" t="inlineStr">
        <is>
          <t>Dysphoria, hopelessness, devaluation of life, self deprecation, lack of interest or involvement, anhedonia and inertia.</t>
        </is>
      </c>
    </row>
    <row r="23" ht="23.85" customHeight="1" s="17">
      <c r="A23" s="27" t="inlineStr">
        <is>
          <t>DASS-21</t>
        </is>
      </c>
      <c r="B23" s="27" t="inlineStr">
        <is>
          <t>Depression Anxiety Stress Scales, 21 item version (DASS-21)</t>
        </is>
      </c>
      <c r="C23" s="27" t="inlineStr">
        <is>
          <t>4. Psychological distress screening</t>
        </is>
      </c>
      <c r="D23" s="27" t="inlineStr">
        <is>
          <t>Anxiety</t>
        </is>
      </c>
      <c r="E23" s="27" t="inlineStr">
        <is>
          <t>2, 4, 7, 9, 15, 19-20</t>
        </is>
      </c>
      <c r="F23" s="28" t="n">
        <v>7</v>
      </c>
      <c r="G23" s="27" t="inlineStr">
        <is>
          <t>0-21 raw; 0-42 after doubling</t>
        </is>
      </c>
      <c r="H23" s="27" t="inlineStr">
        <is>
          <t>Autonomic arousal, skeletal muscle effects, situational anxiety and the subjective experience of anxious affect.</t>
        </is>
      </c>
    </row>
    <row r="24" ht="23.85" customHeight="1" s="17">
      <c r="A24" s="27" t="inlineStr">
        <is>
          <t>DASS-21</t>
        </is>
      </c>
      <c r="B24" s="27" t="inlineStr">
        <is>
          <t>Depression Anxiety Stress Scales, 21 item version (DASS-21)</t>
        </is>
      </c>
      <c r="C24" s="27" t="inlineStr">
        <is>
          <t>4. Psychological distress screening</t>
        </is>
      </c>
      <c r="D24" s="27" t="inlineStr">
        <is>
          <t>Stress</t>
        </is>
      </c>
      <c r="E24" s="27" t="inlineStr">
        <is>
          <t>1, 6, 8, 11-12, 14, 18</t>
        </is>
      </c>
      <c r="F24" s="28" t="n">
        <v>7</v>
      </c>
      <c r="G24" s="27" t="inlineStr">
        <is>
          <t>0-21 raw; 0-42 after doubling</t>
        </is>
      </c>
      <c r="H24" s="27" t="inlineStr">
        <is>
          <t>Difficulty relaxing, nervous arousal, and being easily upset or agitated, irritable or over reactive, and impatient.</t>
        </is>
      </c>
    </row>
    <row r="25" ht="23.85" customHeight="1" s="17">
      <c r="A25" s="27" t="inlineStr">
        <is>
          <t>PTQ</t>
        </is>
      </c>
      <c r="B25" s="27" t="inlineStr">
        <is>
          <t>Perseverative Thinking Questionnaire</t>
        </is>
      </c>
      <c r="C25" s="27" t="inlineStr">
        <is>
          <t>5. Repetitive negative thinking and self talk</t>
        </is>
      </c>
      <c r="D25" s="27" t="inlineStr">
        <is>
          <t>Core Characteristics of Repetitive Negative Thinking</t>
        </is>
      </c>
      <c r="E25" s="27" t="inlineStr">
        <is>
          <t>1-3, 6-8, 11-13</t>
        </is>
      </c>
      <c r="F25" s="28" t="n">
        <v>9</v>
      </c>
      <c r="G25" s="27" t="inlineStr">
        <is>
          <t>0-36</t>
        </is>
      </c>
      <c r="H25" s="27" t="inlineStr">
        <is>
          <t>The repetitive, intrusive and recurrent quality of the thinking itself (e.g. thoughts repeating, intruding, feeling driven to continue, getting stuck).</t>
        </is>
      </c>
    </row>
    <row r="26" ht="23.85" customHeight="1" s="17">
      <c r="A26" s="27" t="inlineStr">
        <is>
          <t>PTQ</t>
        </is>
      </c>
      <c r="B26" s="27" t="inlineStr">
        <is>
          <t>Perseverative Thinking Questionnaire</t>
        </is>
      </c>
      <c r="C26" s="27" t="inlineStr">
        <is>
          <t>5. Repetitive negative thinking and self talk</t>
        </is>
      </c>
      <c r="D26" s="27" t="inlineStr">
        <is>
          <t>Unproductiveness</t>
        </is>
      </c>
      <c r="E26" s="27" t="inlineStr">
        <is>
          <t>4, 9, 14</t>
        </is>
      </c>
      <c r="F26" s="28" t="n">
        <v>3</v>
      </c>
      <c r="G26" s="27" t="inlineStr">
        <is>
          <t>0-12</t>
        </is>
      </c>
      <c r="H26" s="27" t="inlineStr">
        <is>
          <t>The perceived lack of resolution or usefulness of the repetitive thinking (e.g. thinking about problems without solving them, asking unanswerable questions).</t>
        </is>
      </c>
    </row>
    <row r="27" ht="23.85" customHeight="1" s="17">
      <c r="A27" s="27" t="inlineStr">
        <is>
          <t>PTQ</t>
        </is>
      </c>
      <c r="B27" s="27" t="inlineStr">
        <is>
          <t>Perseverative Thinking Questionnaire</t>
        </is>
      </c>
      <c r="C27" s="27" t="inlineStr">
        <is>
          <t>5. Repetitive negative thinking and self talk</t>
        </is>
      </c>
      <c r="D27" s="27" t="inlineStr">
        <is>
          <t>Capturing Mental Capacity</t>
        </is>
      </c>
      <c r="E27" s="27" t="inlineStr">
        <is>
          <t>5, 10, 15</t>
        </is>
      </c>
      <c r="F27" s="28" t="n">
        <v>3</v>
      </c>
      <c r="G27" s="27" t="inlineStr">
        <is>
          <t>0-12</t>
        </is>
      </c>
      <c r="H27" s="27" t="inlineStr">
        <is>
          <t>The degree to which the repetitive thinking absorbs attention and interferes with engaging in other things.</t>
        </is>
      </c>
    </row>
    <row r="28" ht="23.85" customHeight="1" s="17">
      <c r="A28" s="27" t="inlineStr">
        <is>
          <t>RRS</t>
        </is>
      </c>
      <c r="B28" s="27" t="inlineStr">
        <is>
          <t>Ruminative Responses Scale</t>
        </is>
      </c>
      <c r="C28" s="27" t="inlineStr">
        <is>
          <t>5. Repetitive negative thinking and self talk</t>
        </is>
      </c>
      <c r="D28" s="27" t="inlineStr">
        <is>
          <t>Brooding</t>
        </is>
      </c>
      <c r="E28" s="27" t="inlineStr">
        <is>
          <t>5, 10, 13, 15-16</t>
        </is>
      </c>
      <c r="F28" s="28" t="n">
        <v>5</v>
      </c>
      <c r="G28" s="27" t="inlineStr">
        <is>
          <t>5-20</t>
        </is>
      </c>
      <c r="H28" s="27" t="inlineStr">
        <is>
          <t>Passive, self-critical comparison of one's current situation against an unachieved standard (Treynor et al., 2003).</t>
        </is>
      </c>
    </row>
    <row r="29" ht="23.85" customHeight="1" s="17">
      <c r="A29" s="27" t="inlineStr">
        <is>
          <t>RRS</t>
        </is>
      </c>
      <c r="B29" s="27" t="inlineStr">
        <is>
          <t>Ruminative Responses Scale</t>
        </is>
      </c>
      <c r="C29" s="27" t="inlineStr">
        <is>
          <t>5. Repetitive negative thinking and self talk</t>
        </is>
      </c>
      <c r="D29" s="27" t="inlineStr">
        <is>
          <t>Reflection</t>
        </is>
      </c>
      <c r="E29" s="27" t="inlineStr">
        <is>
          <t>7, 11-12, 20-21</t>
        </is>
      </c>
      <c r="F29" s="28" t="n">
        <v>5</v>
      </c>
      <c r="G29" s="27" t="inlineStr">
        <is>
          <t>5-20</t>
        </is>
      </c>
      <c r="H29" s="27" t="inlineStr">
        <is>
          <t>Deliberate, purposeful turning inward to analyse and understand one's low mood (Treynor et al., 2003).</t>
        </is>
      </c>
    </row>
    <row r="30" ht="35.05" customHeight="1" s="17">
      <c r="A30" s="27" t="inlineStr">
        <is>
          <t>RRS</t>
        </is>
      </c>
      <c r="B30" s="27" t="inlineStr">
        <is>
          <t>Ruminative Responses Scale</t>
        </is>
      </c>
      <c r="C30" s="27" t="inlineStr">
        <is>
          <t>5. Repetitive negative thinking and self talk</t>
        </is>
      </c>
      <c r="D30" s="27" t="inlineStr">
        <is>
          <t>Depression-related items (not scored as a subscale)</t>
        </is>
      </c>
      <c r="E30" s="27" t="inlineStr">
        <is>
          <t>1-4, 6, 8-9, 14, 17-19, 22</t>
        </is>
      </c>
      <c r="F30" s="28" t="n">
        <v>12</v>
      </c>
      <c r="G30" s="27" t="inlineStr">
        <is>
          <t>12-48</t>
        </is>
      </c>
      <c r="H30" s="27" t="inlineStr">
        <is>
          <t>The remaining 12 of the original 22 items, found by Treynor et al. (2003) to overlap substantially with depressive symptoms rather than forming a distinct rumination-style subscale; they contribute to the full-scale total but are not used in the Brooding or Reflection subscale scores.</t>
        </is>
      </c>
    </row>
    <row r="31" ht="23.85" customHeight="1" s="17">
      <c r="A31" s="27" t="inlineStr">
        <is>
          <t>FSCRS</t>
        </is>
      </c>
      <c r="B31" s="27" t="inlineStr">
        <is>
          <t>Forms of Self-Criticising/Attacking and Self-Reassuring Scale</t>
        </is>
      </c>
      <c r="C31" s="27" t="inlineStr">
        <is>
          <t>5. Repetitive negative thinking and self talk</t>
        </is>
      </c>
      <c r="D31" s="27" t="inlineStr">
        <is>
          <t>Inadequate Self</t>
        </is>
      </c>
      <c r="E31" s="27" t="inlineStr">
        <is>
          <t>1-2, 4, 6-7, 14, 17-18, 20</t>
        </is>
      </c>
      <c r="F31" s="28" t="n">
        <v>9</v>
      </c>
      <c r="G31" s="27" t="inlineStr">
        <is>
          <t>0-36</t>
        </is>
      </c>
      <c r="H31" s="27" t="inlineStr">
        <is>
          <t>Self-criticism experienced as personal deficiency, inadequacy and disappointment in oneself.</t>
        </is>
      </c>
    </row>
    <row r="32" ht="23.85" customHeight="1" s="17">
      <c r="A32" s="27" t="inlineStr">
        <is>
          <t>FSCRS</t>
        </is>
      </c>
      <c r="B32" s="27" t="inlineStr">
        <is>
          <t>Forms of Self-Criticising/Attacking and Self-Reassuring Scale</t>
        </is>
      </c>
      <c r="C32" s="27" t="inlineStr">
        <is>
          <t>5. Repetitive negative thinking and self talk</t>
        </is>
      </c>
      <c r="D32" s="27" t="inlineStr">
        <is>
          <t>Hated Self</t>
        </is>
      </c>
      <c r="E32" s="27" t="inlineStr">
        <is>
          <t>9-10, 12, 15, 22</t>
        </is>
      </c>
      <c r="F32" s="28" t="n">
        <v>5</v>
      </c>
      <c r="G32" s="27" t="inlineStr">
        <is>
          <t>0-20</t>
        </is>
      </c>
      <c r="H32" s="27" t="inlineStr">
        <is>
          <t>A more punitive, disgust-based, hostile form of self-attacking, including a self-harm-adjacent item (item 9). See coaching note below on careful framing.</t>
        </is>
      </c>
    </row>
    <row r="33" ht="23.85" customHeight="1" s="17">
      <c r="A33" s="27" t="inlineStr">
        <is>
          <t>FSCRS</t>
        </is>
      </c>
      <c r="B33" s="27" t="inlineStr">
        <is>
          <t>Forms of Self-Criticising/Attacking and Self-Reassuring Scale</t>
        </is>
      </c>
      <c r="C33" s="27" t="inlineStr">
        <is>
          <t>5. Repetitive negative thinking and self talk</t>
        </is>
      </c>
      <c r="D33" s="27" t="inlineStr">
        <is>
          <t>Reassured Self</t>
        </is>
      </c>
      <c r="E33" s="27" t="inlineStr">
        <is>
          <t>3, 5, 8, 11, 13, 16, 19, 21</t>
        </is>
      </c>
      <c r="F33" s="28" t="n">
        <v>8</v>
      </c>
      <c r="G33" s="27" t="inlineStr">
        <is>
          <t>0-32</t>
        </is>
      </c>
      <c r="H33" s="27" t="inlineStr">
        <is>
          <t>The capacity to be self-supportive, self-forgiving and self-reassuring in the face of setbacks.</t>
        </is>
      </c>
    </row>
    <row r="34" ht="23.85" customHeight="1" s="17">
      <c r="A34" s="27" t="inlineStr">
        <is>
          <t>SCS-SF</t>
        </is>
      </c>
      <c r="B34" s="27" t="inlineStr">
        <is>
          <t>Self-Compassion Scale – Short Form</t>
        </is>
      </c>
      <c r="C34" s="27" t="inlineStr">
        <is>
          <t>5. Repetitive negative thinking and self talk</t>
        </is>
      </c>
      <c r="D34" s="27" t="inlineStr">
        <is>
          <t>Self-Kindness</t>
        </is>
      </c>
      <c r="E34" s="27" t="inlineStr">
        <is>
          <t>2, 6</t>
        </is>
      </c>
      <c r="F34" s="28" t="n">
        <v>2</v>
      </c>
      <c r="G34" s="27" t="inlineStr">
        <is>
          <t>1-5 (mean of 2 items)</t>
        </is>
      </c>
      <c r="H34" s="27" t="inlineStr">
        <is>
          <t>Being understanding, patient and caring toward oneself when facing difficulty or perceived inadequacy.</t>
        </is>
      </c>
    </row>
    <row r="35" ht="23.85" customHeight="1" s="17">
      <c r="A35" s="27" t="inlineStr">
        <is>
          <t>SCS-SF</t>
        </is>
      </c>
      <c r="B35" s="27" t="inlineStr">
        <is>
          <t>Self-Compassion Scale – Short Form</t>
        </is>
      </c>
      <c r="C35" s="27" t="inlineStr">
        <is>
          <t>5. Repetitive negative thinking and self talk</t>
        </is>
      </c>
      <c r="D35" s="27" t="inlineStr">
        <is>
          <t>Self-Judgment</t>
        </is>
      </c>
      <c r="E35" s="27" t="inlineStr">
        <is>
          <t>11-12</t>
        </is>
      </c>
      <c r="F35" s="28" t="n">
        <v>2</v>
      </c>
      <c r="G35" s="27" t="inlineStr">
        <is>
          <t>1-5 (mean of 2 items, reverse scored)</t>
        </is>
      </c>
      <c r="H35" s="27" t="inlineStr">
        <is>
          <t>Being disapproving, intolerant and impatient toward one's own flaws and inadequacies. Both items are reverse scored so that higher scale scores reflect more self-compassion.</t>
        </is>
      </c>
    </row>
    <row r="36" ht="23.85" customHeight="1" s="17">
      <c r="A36" s="27" t="inlineStr">
        <is>
          <t>SCS-SF</t>
        </is>
      </c>
      <c r="B36" s="27" t="inlineStr">
        <is>
          <t>Self-Compassion Scale – Short Form</t>
        </is>
      </c>
      <c r="C36" s="27" t="inlineStr">
        <is>
          <t>5. Repetitive negative thinking and self talk</t>
        </is>
      </c>
      <c r="D36" s="27" t="inlineStr">
        <is>
          <t>Common Humanity</t>
        </is>
      </c>
      <c r="E36" s="27" t="inlineStr">
        <is>
          <t>5, 10</t>
        </is>
      </c>
      <c r="F36" s="28" t="n">
        <v>2</v>
      </c>
      <c r="G36" s="27" t="inlineStr">
        <is>
          <t>1-5 (mean of 2 items)</t>
        </is>
      </c>
      <c r="H36" s="27" t="inlineStr">
        <is>
          <t>Recognising that failure and inadequacy are part of the shared human experience rather than something isolating.</t>
        </is>
      </c>
    </row>
    <row r="37" ht="23.85" customHeight="1" s="17">
      <c r="A37" s="27" t="inlineStr">
        <is>
          <t>SCS-SF</t>
        </is>
      </c>
      <c r="B37" s="27" t="inlineStr">
        <is>
          <t>Self-Compassion Scale – Short Form</t>
        </is>
      </c>
      <c r="C37" s="27" t="inlineStr">
        <is>
          <t>5. Repetitive negative thinking and self talk</t>
        </is>
      </c>
      <c r="D37" s="27" t="inlineStr">
        <is>
          <t>Isolation</t>
        </is>
      </c>
      <c r="E37" s="27" t="inlineStr">
        <is>
          <t>4, 8</t>
        </is>
      </c>
      <c r="F37" s="28" t="n">
        <v>2</v>
      </c>
      <c r="G37" s="27" t="inlineStr">
        <is>
          <t>1-5 (mean of 2 items, reverse scored)</t>
        </is>
      </c>
      <c r="H37" s="27" t="inlineStr">
        <is>
          <t>Feeling cut off and alone in one's failures rather than connected to others. Both items are reverse scored so that higher scale scores reflect more self-compassion.</t>
        </is>
      </c>
    </row>
    <row r="38" ht="23.85" customHeight="1" s="17">
      <c r="A38" s="27" t="inlineStr">
        <is>
          <t>SCS-SF</t>
        </is>
      </c>
      <c r="B38" s="27" t="inlineStr">
        <is>
          <t>Self-Compassion Scale – Short Form</t>
        </is>
      </c>
      <c r="C38" s="27" t="inlineStr">
        <is>
          <t>5. Repetitive negative thinking and self talk</t>
        </is>
      </c>
      <c r="D38" s="27" t="inlineStr">
        <is>
          <t>Mindfulness</t>
        </is>
      </c>
      <c r="E38" s="27" t="inlineStr">
        <is>
          <t>3, 7</t>
        </is>
      </c>
      <c r="F38" s="28" t="n">
        <v>2</v>
      </c>
      <c r="G38" s="27" t="inlineStr">
        <is>
          <t>1-5 (mean of 2 items)</t>
        </is>
      </c>
      <c r="H38" s="27" t="inlineStr">
        <is>
          <t>Holding painful thoughts and feelings in balanced awareness rather than suppressing or exaggerating them.</t>
        </is>
      </c>
    </row>
    <row r="39" ht="23.85" customHeight="1" s="17">
      <c r="A39" s="27" t="inlineStr">
        <is>
          <t>SCS-SF</t>
        </is>
      </c>
      <c r="B39" s="27" t="inlineStr">
        <is>
          <t>Self-Compassion Scale – Short Form</t>
        </is>
      </c>
      <c r="C39" s="27" t="inlineStr">
        <is>
          <t>5. Repetitive negative thinking and self talk</t>
        </is>
      </c>
      <c r="D39" s="27" t="inlineStr">
        <is>
          <t>Over-Identification</t>
        </is>
      </c>
      <c r="E39" s="27" t="inlineStr">
        <is>
          <t>1, 9</t>
        </is>
      </c>
      <c r="F39" s="28" t="n">
        <v>2</v>
      </c>
      <c r="G39" s="27" t="inlineStr">
        <is>
          <t>1-5 (mean of 2 items, reverse scored)</t>
        </is>
      </c>
      <c r="H39" s="27" t="inlineStr">
        <is>
          <t>Becoming consumed by and fixated on one's negative thoughts and feelings rather than holding them with perspective. Both items are reverse scored so that higher scale scores reflect more self-compassion.</t>
        </is>
      </c>
    </row>
    <row r="40" ht="23.85" customHeight="1" s="17">
      <c r="A40" s="27" t="inlineStr">
        <is>
          <t>BPNSFS</t>
        </is>
      </c>
      <c r="B40" s="27" t="inlineStr">
        <is>
          <t>Basic Psychological Need Satisfaction and Frustration Scale (BPNSFS)</t>
        </is>
      </c>
      <c r="C40" s="27" t="inlineStr">
        <is>
          <t>6. Motivation, self determination and goal pursuit</t>
        </is>
      </c>
      <c r="D40" s="27" t="inlineStr">
        <is>
          <t>Autonomy satisfaction</t>
        </is>
      </c>
      <c r="E40" s="27" t="inlineStr">
        <is>
          <t>1, 7, 13, 19</t>
        </is>
      </c>
      <c r="F40" s="28" t="n">
        <v>4</v>
      </c>
      <c r="G40" s="27" t="inlineStr">
        <is>
          <t>4-20</t>
        </is>
      </c>
      <c r="H40" s="27" t="inlineStr">
        <is>
          <t>Feeling one's actions and choices are self-endorsed and reflect one's own volition.</t>
        </is>
      </c>
    </row>
    <row r="41" ht="23.85" customHeight="1" s="17">
      <c r="A41" s="27" t="inlineStr">
        <is>
          <t>BPNSFS</t>
        </is>
      </c>
      <c r="B41" s="27" t="inlineStr">
        <is>
          <t>Basic Psychological Need Satisfaction and Frustration Scale (BPNSFS)</t>
        </is>
      </c>
      <c r="C41" s="27" t="inlineStr">
        <is>
          <t>6. Motivation, self determination and goal pursuit</t>
        </is>
      </c>
      <c r="D41" s="27" t="inlineStr">
        <is>
          <t>Autonomy frustration</t>
        </is>
      </c>
      <c r="E41" s="27" t="inlineStr">
        <is>
          <t>2, 8, 14, 20</t>
        </is>
      </c>
      <c r="F41" s="28" t="n">
        <v>4</v>
      </c>
      <c r="G41" s="27" t="inlineStr">
        <is>
          <t>4-20</t>
        </is>
      </c>
      <c r="H41" s="27" t="inlineStr">
        <is>
          <t>Feeling pressured or forced into actions that are not one's own choice.</t>
        </is>
      </c>
    </row>
    <row r="42" ht="23.85" customHeight="1" s="17">
      <c r="A42" s="27" t="inlineStr">
        <is>
          <t>BPNSFS</t>
        </is>
      </c>
      <c r="B42" s="27" t="inlineStr">
        <is>
          <t>Basic Psychological Need Satisfaction and Frustration Scale (BPNSFS)</t>
        </is>
      </c>
      <c r="C42" s="27" t="inlineStr">
        <is>
          <t>6. Motivation, self determination and goal pursuit</t>
        </is>
      </c>
      <c r="D42" s="27" t="inlineStr">
        <is>
          <t>Relatedness satisfaction</t>
        </is>
      </c>
      <c r="E42" s="27" t="inlineStr">
        <is>
          <t>3, 9, 15, 21</t>
        </is>
      </c>
      <c r="F42" s="28" t="n">
        <v>4</v>
      </c>
      <c r="G42" s="27" t="inlineStr">
        <is>
          <t>4-20</t>
        </is>
      </c>
      <c r="H42" s="27" t="inlineStr">
        <is>
          <t>Feeling cared for, close to, and connected with significant others.</t>
        </is>
      </c>
    </row>
    <row r="43" ht="23.85" customHeight="1" s="17">
      <c r="A43" s="27" t="inlineStr">
        <is>
          <t>BPNSFS</t>
        </is>
      </c>
      <c r="B43" s="27" t="inlineStr">
        <is>
          <t>Basic Psychological Need Satisfaction and Frustration Scale (BPNSFS)</t>
        </is>
      </c>
      <c r="C43" s="27" t="inlineStr">
        <is>
          <t>6. Motivation, self determination and goal pursuit</t>
        </is>
      </c>
      <c r="D43" s="27" t="inlineStr">
        <is>
          <t>Relatedness frustration</t>
        </is>
      </c>
      <c r="E43" s="27" t="inlineStr">
        <is>
          <t>4, 10, 16, 22</t>
        </is>
      </c>
      <c r="F43" s="28" t="n">
        <v>4</v>
      </c>
      <c r="G43" s="27" t="inlineStr">
        <is>
          <t>4-20</t>
        </is>
      </c>
      <c r="H43" s="27" t="inlineStr">
        <is>
          <t>Feeling excluded, disliked, or that relationships are cold, distant or superficial.</t>
        </is>
      </c>
    </row>
    <row r="44" ht="23.85" customHeight="1" s="17">
      <c r="A44" s="27" t="inlineStr">
        <is>
          <t>BPNSFS</t>
        </is>
      </c>
      <c r="B44" s="27" t="inlineStr">
        <is>
          <t>Basic Psychological Need Satisfaction and Frustration Scale (BPNSFS)</t>
        </is>
      </c>
      <c r="C44" s="27" t="inlineStr">
        <is>
          <t>6. Motivation, self determination and goal pursuit</t>
        </is>
      </c>
      <c r="D44" s="27" t="inlineStr">
        <is>
          <t>Competence satisfaction</t>
        </is>
      </c>
      <c r="E44" s="27" t="inlineStr">
        <is>
          <t>5, 11, 17, 23</t>
        </is>
      </c>
      <c r="F44" s="28" t="n">
        <v>4</v>
      </c>
      <c r="G44" s="27" t="inlineStr">
        <is>
          <t>4-20</t>
        </is>
      </c>
      <c r="H44" s="27" t="inlineStr">
        <is>
          <t>Feeling capable and effective in one's activities and able to master challenges.</t>
        </is>
      </c>
    </row>
    <row r="45" ht="23.85" customHeight="1" s="17">
      <c r="A45" s="27" t="inlineStr">
        <is>
          <t>BPNSFS</t>
        </is>
      </c>
      <c r="B45" s="27" t="inlineStr">
        <is>
          <t>Basic Psychological Need Satisfaction and Frustration Scale (BPNSFS)</t>
        </is>
      </c>
      <c r="C45" s="27" t="inlineStr">
        <is>
          <t>6. Motivation, self determination and goal pursuit</t>
        </is>
      </c>
      <c r="D45" s="27" t="inlineStr">
        <is>
          <t>Competence frustration</t>
        </is>
      </c>
      <c r="E45" s="27" t="inlineStr">
        <is>
          <t>6, 12, 18, 24</t>
        </is>
      </c>
      <c r="F45" s="28" t="n">
        <v>4</v>
      </c>
      <c r="G45" s="27" t="inlineStr">
        <is>
          <t>4-20</t>
        </is>
      </c>
      <c r="H45" s="27" t="inlineStr">
        <is>
          <t>Feeling like a failure, insecure or doubtful about one's abilities and performance.</t>
        </is>
      </c>
    </row>
    <row r="46" ht="35.05" customHeight="1" s="17">
      <c r="A46" s="27" t="inlineStr">
        <is>
          <t>PPS</t>
        </is>
      </c>
      <c r="B46" s="27" t="inlineStr">
        <is>
          <t>Pure Procrastination Scale</t>
        </is>
      </c>
      <c r="C46" s="27" t="inlineStr">
        <is>
          <t>6. Motivation, self determination and goal pursuit</t>
        </is>
      </c>
      <c r="D46" s="27" t="inlineStr">
        <is>
          <t>Pure Procrastination (total scale)</t>
        </is>
      </c>
      <c r="E46" s="27" t="inlineStr">
        <is>
          <t>1-12</t>
        </is>
      </c>
      <c r="F46" s="28" t="n">
        <v>12</v>
      </c>
      <c r="G46" s="27" t="inlineStr">
        <is>
          <t>12-60</t>
        </is>
      </c>
      <c r="H46" s="27" t="inlineStr">
        <is>
          <t>Single unidimensional factor; no subscales are scored separately, though items are drawn from three source scales (Decisional Procrastination Scale items 1-3, General Procrastination Scale items 4-8, Adult Inventory of Procrastination items 9-12) as noted in Table 1 of the source article.</t>
        </is>
      </c>
    </row>
    <row r="47" ht="23.85" customHeight="1" s="17">
      <c r="A47" s="27" t="inlineStr">
        <is>
          <t>IPS</t>
        </is>
      </c>
      <c r="B47" s="27" t="inlineStr">
        <is>
          <t>Irrational Procrastination Scale</t>
        </is>
      </c>
      <c r="C47" s="27" t="inlineStr">
        <is>
          <t>6. Motivation, self determination and goal pursuit</t>
        </is>
      </c>
      <c r="D47" s="27" t="inlineStr">
        <is>
          <t>Irrational Procrastination (total scale)</t>
        </is>
      </c>
      <c r="E47" s="27" t="inlineStr">
        <is>
          <t>1-9</t>
        </is>
      </c>
      <c r="F47" s="28" t="n">
        <v>9</v>
      </c>
      <c r="G47" s="27" t="inlineStr">
        <is>
          <t>9-45</t>
        </is>
      </c>
      <c r="H47" s="27" t="inlineStr">
        <is>
          <t>Single unidimensional factor. Table 1 of the source article marks items 2, 6 and 9 with '(R)', denoting reverse-scored items, exactly as stated in the source: '(R) denoted items are reversed scored.'</t>
        </is>
      </c>
    </row>
    <row r="48" ht="23.85" customHeight="1" s="17">
      <c r="A48" s="27" t="inlineStr">
        <is>
          <t>GSE</t>
        </is>
      </c>
      <c r="B48" s="27" t="inlineStr">
        <is>
          <t>General Self-Efficacy Scale</t>
        </is>
      </c>
      <c r="C48" s="27" t="inlineStr">
        <is>
          <t>6. Motivation, self determination and goal pursuit</t>
        </is>
      </c>
      <c r="D48" s="27" t="inlineStr">
        <is>
          <t>General Self-Efficacy (total scale)</t>
        </is>
      </c>
      <c r="E48" s="27" t="inlineStr">
        <is>
          <t>1-10</t>
        </is>
      </c>
      <c r="F48" s="28" t="n">
        <v>10</v>
      </c>
      <c r="G48" s="27" t="inlineStr">
        <is>
          <t>10-40</t>
        </is>
      </c>
      <c r="H48" s="27" t="inlineStr">
        <is>
          <t>Single unidimensional factor, as stated on the official page: the scale is unidimensional.</t>
        </is>
      </c>
    </row>
    <row r="49" ht="23.85" customHeight="1" s="17">
      <c r="A49" s="27" t="inlineStr">
        <is>
          <t>GCS</t>
        </is>
      </c>
      <c r="B49" s="27" t="inlineStr">
        <is>
          <t>Goal Commitment Scale (5-item unidimensional version)</t>
        </is>
      </c>
      <c r="C49" s="27" t="inlineStr">
        <is>
          <t>6. Motivation, self determination and goal pursuit</t>
        </is>
      </c>
      <c r="D49" s="27" t="inlineStr">
        <is>
          <t>Goal Commitment</t>
        </is>
      </c>
      <c r="E49" s="27" t="inlineStr">
        <is>
          <t>1-5</t>
        </is>
      </c>
      <c r="F49" s="28" t="n">
        <v>5</v>
      </c>
      <c r="G49" s="27" t="inlineStr">
        <is>
          <t>5-25 (sum) or 1-5 (mean) on a 5 point scale</t>
        </is>
      </c>
      <c r="H49" s="27" t="inlineStr">
        <is>
          <t>Unidimensional commitment to a specific goal the respondent has named.</t>
        </is>
      </c>
    </row>
    <row r="50" ht="35.05" customHeight="1" s="17">
      <c r="A50" s="27" t="inlineStr">
        <is>
          <t>GADJ</t>
        </is>
      </c>
      <c r="B50" s="27" t="inlineStr">
        <is>
          <t>Goal Adjustment Scale</t>
        </is>
      </c>
      <c r="C50" s="27" t="inlineStr">
        <is>
          <t>6. Motivation, self determination and goal pursuit</t>
        </is>
      </c>
      <c r="D50" s="27" t="inlineStr">
        <is>
          <t>Goal Disengagement</t>
        </is>
      </c>
      <c r="E50" s="27" t="inlineStr">
        <is>
          <t>1-4</t>
        </is>
      </c>
      <c r="F50" s="28" t="n">
        <v>4</v>
      </c>
      <c r="G50" s="27" t="inlineStr">
        <is>
          <t>4-20 (sum) or 1-5 (mean)</t>
        </is>
      </c>
      <c r="H50" s="27" t="inlineStr">
        <is>
          <t>4 items measuring the ability to reduce effort and commitment toward, and stop thinking about, a goal that can no longer be reached. Items 2 and 3 are reverse-scored before summing/averaging, since they are worded in the direction of persistence rather than disengagement.</t>
        </is>
      </c>
    </row>
    <row r="51" ht="23.85" customHeight="1" s="17">
      <c r="A51" s="27" t="inlineStr">
        <is>
          <t>GADJ</t>
        </is>
      </c>
      <c r="B51" s="27" t="inlineStr">
        <is>
          <t>Goal Adjustment Scale</t>
        </is>
      </c>
      <c r="C51" s="27" t="inlineStr">
        <is>
          <t>6. Motivation, self determination and goal pursuit</t>
        </is>
      </c>
      <c r="D51" s="27" t="inlineStr">
        <is>
          <t>Goal Reengagement</t>
        </is>
      </c>
      <c r="E51" s="27" t="inlineStr">
        <is>
          <t>5-10</t>
        </is>
      </c>
      <c r="F51" s="28" t="n">
        <v>6</v>
      </c>
      <c r="G51" s="27" t="inlineStr">
        <is>
          <t>6-30 (sum) or 1-5 (mean)</t>
        </is>
      </c>
      <c r="H51" s="27" t="inlineStr">
        <is>
          <t>6 items measuring the ability to identify, commit to, and start pursuing new goals after disengaging from an old one. No items in this subscale are reverse-scored.</t>
        </is>
      </c>
    </row>
    <row r="52">
      <c r="A52" s="16" t="inlineStr">
        <is>
          <t>PCI</t>
        </is>
      </c>
      <c r="B52" s="16" t="inlineStr">
        <is>
          <t>Perfectionism Cognitions Inventory</t>
        </is>
      </c>
      <c r="C52" s="16" t="inlineStr">
        <is>
          <t>5. Repetitive negative thinking and self talk</t>
        </is>
      </c>
      <c r="D52" s="16" t="inlineStr">
        <is>
          <t>Perfectionism Cognitions (total scale)</t>
        </is>
      </c>
      <c r="E52" s="16" t="inlineStr">
        <is>
          <t>1-25</t>
        </is>
      </c>
      <c r="F52" s="16" t="n">
        <v>25</v>
      </c>
      <c r="G52" s="16" t="inlineStr">
        <is>
          <t>0-100</t>
        </is>
      </c>
      <c r="H52" s="16" t="inlineStr">
        <is>
          <t>Single total score; higher means more frequent perfectionistic thoughts. Row added for the hub.</t>
        </is>
      </c>
    </row>
  </sheetData>
  <autoFilter ref="A1:H5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E6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6" min="1" max="1"/>
    <col width="34" customWidth="1" style="16" min="2" max="3"/>
    <col width="14" customWidth="1" style="16" min="4" max="4"/>
    <col width="126" customWidth="1" style="16" min="5" max="5"/>
  </cols>
  <sheetData>
    <row r="1" ht="30" customHeight="1" s="17">
      <c r="A1" s="25" t="inlineStr">
        <is>
          <t>Code</t>
        </is>
      </c>
      <c r="B1" s="25" t="inlineStr">
        <is>
          <t>Instrument Name</t>
        </is>
      </c>
      <c r="C1" s="25" t="inlineStr">
        <is>
          <t>Domain</t>
        </is>
      </c>
      <c r="D1" s="25" t="inlineStr">
        <is>
          <t>Type</t>
        </is>
      </c>
      <c r="E1" s="25" t="inlineStr">
        <is>
          <t>Citation (APA 7)</t>
        </is>
      </c>
    </row>
    <row r="2" ht="35.05" customHeight="1" s="17">
      <c r="A2" s="27" t="inlineStr">
        <is>
          <t>ESQ-R</t>
        </is>
      </c>
      <c r="B2" s="27" t="inlineStr">
        <is>
          <t>Executive Skills Questionnaire - Revised (ESQ-R)</t>
        </is>
      </c>
      <c r="C2" s="27" t="inlineStr">
        <is>
          <t>1. Executive functioning and ADHD</t>
        </is>
      </c>
      <c r="D2" s="27" t="inlineStr">
        <is>
          <t>Developer</t>
        </is>
      </c>
      <c r="E2" s="27" t="inlineStr">
        <is>
          <t>Developed by Dr. Peg Dawson (Smart But Scattered Kids). Original citation: Strait, J. E., Dawson, P., Walther, C. A. P., Strait, G. G., Barton, A. K., &amp; McClain, M. B. (2020). Refinement and psychometric evaluation of the Executive Skills Questionnaire-Revised. Contemporary School Psychology, 24, 378-388. https://doi.org/10.1007/s40688-018-00224-x</t>
        </is>
      </c>
    </row>
    <row r="3" ht="23.85" customHeight="1" s="17">
      <c r="A3" s="27" t="inlineStr">
        <is>
          <t>ESQ-R</t>
        </is>
      </c>
      <c r="B3" s="27" t="inlineStr">
        <is>
          <t>Executive Skills Questionnaire - Revised (ESQ-R)</t>
        </is>
      </c>
      <c r="C3" s="27" t="inlineStr">
        <is>
          <t>1. Executive functioning and ADHD</t>
        </is>
      </c>
      <c r="D3" s="27" t="inlineStr">
        <is>
          <t>Reference</t>
        </is>
      </c>
      <c r="E3" s="27" t="inlineStr">
        <is>
          <t>Strait, J. E., Dawson, P., Walther, C. A. P., Strait, G. G., Barton, A. K., &amp; McClain, M. B. (2020). Refinement and psychometric evaluation of the Executive Skills Questionnaire-Revised. Contemporary School Psychology, 24, 378-388. https://doi.org/10.1007/s40688-018-00224-x</t>
        </is>
      </c>
    </row>
    <row r="4" ht="23.85" customHeight="1" s="17">
      <c r="A4" s="27" t="inlineStr">
        <is>
          <t>ESQ-R</t>
        </is>
      </c>
      <c r="B4" s="27" t="inlineStr">
        <is>
          <t>Executive Skills Questionnaire - Revised (ESQ-R)</t>
        </is>
      </c>
      <c r="C4" s="27" t="inlineStr">
        <is>
          <t>1. Executive functioning and ADHD</t>
        </is>
      </c>
      <c r="D4" s="27" t="inlineStr">
        <is>
          <t>Reference</t>
        </is>
      </c>
      <c r="E4" s="27" t="inlineStr">
        <is>
          <t>Aksayli, N. D., Sala, G., &amp; Gobet, F. (2019). The cognitive and academic benefits of Cogmed: A meta-analysis. Educational Research Review, 27, 229-243. https://doi.org/10.1016/j.edurev.2019.04.003</t>
        </is>
      </c>
    </row>
    <row r="5" ht="23.85" customHeight="1" s="17">
      <c r="A5" s="27" t="inlineStr">
        <is>
          <t>ESQ-R</t>
        </is>
      </c>
      <c r="B5" s="27" t="inlineStr">
        <is>
          <t>Executive Skills Questionnaire - Revised (ESQ-R)</t>
        </is>
      </c>
      <c r="C5" s="27" t="inlineStr">
        <is>
          <t>1. Executive functioning and ADHD</t>
        </is>
      </c>
      <c r="D5" s="27" t="inlineStr">
        <is>
          <t>Reference</t>
        </is>
      </c>
      <c r="E5" s="27" t="inlineStr">
        <is>
          <t>Craig, F., Margari, F., Legrottaglie, A. R., Palumbi, R., de Giambattista, C., &amp; Margari, L. (2016). A review of executive function deficits in autism spectrum disorder and attention-deficit/hyperactivity disorder. Neuropsychiatric Disease and Treatment, 12, 1191-1202. https://doi.org/10.2147/NDT.S104620</t>
        </is>
      </c>
    </row>
    <row r="6" ht="23.85" customHeight="1" s="17">
      <c r="A6" s="27" t="inlineStr">
        <is>
          <t>ESQ-R</t>
        </is>
      </c>
      <c r="B6" s="27" t="inlineStr">
        <is>
          <t>Executive Skills Questionnaire - Revised (ESQ-R)</t>
        </is>
      </c>
      <c r="C6" s="27" t="inlineStr">
        <is>
          <t>1. Executive functioning and ADHD</t>
        </is>
      </c>
      <c r="D6" s="27" t="inlineStr">
        <is>
          <t>Reference</t>
        </is>
      </c>
      <c r="E6" s="27" t="inlineStr">
        <is>
          <t>Dawson, P., &amp; Guare, R. (2018). Executive skills in children and adolescents: A practical guide to assessment and intervention (3rd ed.). The Guilford Press.</t>
        </is>
      </c>
    </row>
    <row r="7" ht="23.85" customHeight="1" s="17">
      <c r="A7" s="27" t="inlineStr">
        <is>
          <t>ESQ-R</t>
        </is>
      </c>
      <c r="B7" s="27" t="inlineStr">
        <is>
          <t>Executive Skills Questionnaire - Revised (ESQ-R)</t>
        </is>
      </c>
      <c r="C7" s="27" t="inlineStr">
        <is>
          <t>1. Executive functioning and ADHD</t>
        </is>
      </c>
      <c r="D7" s="27" t="inlineStr">
        <is>
          <t>Reference</t>
        </is>
      </c>
      <c r="E7" s="27" t="inlineStr">
        <is>
          <t>Miyake, A., Friedman, N. P., Emerson, M. J., Witzki, A. H., Howerter, A., &amp; Wager, T. D. (2000). The unity and diversity of executive functions and their contributions to complex 'frontal lobe' tasks: A latent variable analysis. Cognitive Psychology, 41, 49-100. https://doi.org/10.1006/cogp.1999.0734</t>
        </is>
      </c>
    </row>
    <row r="8" ht="23.85" customHeight="1" s="17">
      <c r="A8" s="27" t="inlineStr">
        <is>
          <t>ESQ-R</t>
        </is>
      </c>
      <c r="B8" s="27" t="inlineStr">
        <is>
          <t>Executive Skills Questionnaire - Revised (ESQ-R)</t>
        </is>
      </c>
      <c r="C8" s="27" t="inlineStr">
        <is>
          <t>1. Executive functioning and ADHD</t>
        </is>
      </c>
      <c r="D8" s="27" t="inlineStr">
        <is>
          <t>Reference</t>
        </is>
      </c>
      <c r="E8" s="27" t="inlineStr">
        <is>
          <t>Nasir, H., Tan, C. S., &amp; Pheh, K. S. (2021). The Executive Skills Questionnaire-Revised: Adaptation and psychometric properties in the working context of Malaysia. International Journal of Environmental Research and Public Health, 18(17), 8978. https://doi.org/10.3390/ijerph18178978</t>
        </is>
      </c>
    </row>
    <row r="9" ht="23.85" customHeight="1" s="17">
      <c r="A9" s="27" t="inlineStr">
        <is>
          <t>CFI</t>
        </is>
      </c>
      <c r="B9" s="27" t="inlineStr">
        <is>
          <t>Cognitive Flexibility Inventory (CFI)</t>
        </is>
      </c>
      <c r="C9" s="27" t="inlineStr">
        <is>
          <t>1. Executive functioning and ADHD</t>
        </is>
      </c>
      <c r="D9" s="27" t="inlineStr">
        <is>
          <t>Developer</t>
        </is>
      </c>
      <c r="E9" s="27" t="inlineStr">
        <is>
          <t>Dennis, J. P., &amp; Vander Wal, J. S. (2010). The cognitive flexibility inventory: Instrument development and estimates of reliability and validity. Cognitive Therapy and Research, 34(3), 241-253. https://doi.org/10.1007/s10608-009-9276-4</t>
        </is>
      </c>
    </row>
    <row r="10" ht="23.85" customHeight="1" s="17">
      <c r="A10" s="27" t="inlineStr">
        <is>
          <t>CFI</t>
        </is>
      </c>
      <c r="B10" s="27" t="inlineStr">
        <is>
          <t>Cognitive Flexibility Inventory (CFI)</t>
        </is>
      </c>
      <c r="C10" s="27" t="inlineStr">
        <is>
          <t>1. Executive functioning and ADHD</t>
        </is>
      </c>
      <c r="D10" s="27" t="inlineStr">
        <is>
          <t>Reference</t>
        </is>
      </c>
      <c r="E10" s="27" t="inlineStr">
        <is>
          <t>Johnco, C., Wuthrich, V. M., &amp; Rapee, R. M. (2014). Reliability and validity of two self-report measures of cognitive flexibility. Psychological Assessment, 26(4), 1381-1387. https://doi.org/10.1037/a0038009</t>
        </is>
      </c>
    </row>
    <row r="11" ht="35.05" customHeight="1" s="17">
      <c r="A11" s="27" t="inlineStr">
        <is>
          <t>ASRS</t>
        </is>
      </c>
      <c r="B11" s="27" t="inlineStr">
        <is>
          <t>Adult ADHD Self-Report Scale (ASRS v1.1)</t>
        </is>
      </c>
      <c r="C11" s="27" t="inlineStr">
        <is>
          <t>1. Executive functioning and ADHD</t>
        </is>
      </c>
      <c r="D11" s="27" t="inlineStr">
        <is>
          <t>Developer</t>
        </is>
      </c>
      <c r="E11" s="27" t="inlineStr">
        <is>
          <t>Kessler, R. C., Adler, L., Ames, M., Demler, O., Faraone, S., Hiripi, E., Howes, M. J., Jin, R., Secnik, K., Spencer, T., Ustun, T. B., &amp; Walters, E. E. (2005). The World Health Organization Adult ADHD Self-Report Scale (ASRS): a short screening scale for use in the general population. Psychological Medicine, 35(2), 245-256. https://doi.org/10.1017/s0033291704002892</t>
        </is>
      </c>
    </row>
    <row r="12" ht="35.05" customHeight="1" s="17">
      <c r="A12" s="27" t="inlineStr">
        <is>
          <t>ASRS</t>
        </is>
      </c>
      <c r="B12" s="27" t="inlineStr">
        <is>
          <t>Adult ADHD Self-Report Scale (ASRS v1.1)</t>
        </is>
      </c>
      <c r="C12" s="27" t="inlineStr">
        <is>
          <t>1. Executive functioning and ADHD</t>
        </is>
      </c>
      <c r="D12" s="27" t="inlineStr">
        <is>
          <t>Reference</t>
        </is>
      </c>
      <c r="E12" s="27" t="inlineStr">
        <is>
          <t>Adler, L. A., Faraone, S. V., Sarocco, P., Atkins, N., &amp; Khachatryan, A. (2019). Establishing US norms for the Adult ADHD Self-Report Scale (ASRS-v1.1) and characterising symptom burden among adults with self-reported ADHD. International Journal of Clinical Practice, 73(1), e13260. https://doi.org/10.1111/ijcp.13260</t>
        </is>
      </c>
    </row>
    <row r="13" ht="23.85" customHeight="1" s="17">
      <c r="A13" s="27" t="inlineStr">
        <is>
          <t>ASRS</t>
        </is>
      </c>
      <c r="B13" s="27" t="inlineStr">
        <is>
          <t>Adult ADHD Self-Report Scale (ASRS v1.1)</t>
        </is>
      </c>
      <c r="C13" s="27" t="inlineStr">
        <is>
          <t>1. Executive functioning and ADHD</t>
        </is>
      </c>
      <c r="D13" s="27" t="inlineStr">
        <is>
          <t>Reference</t>
        </is>
      </c>
      <c r="E13" s="27" t="inlineStr">
        <is>
          <t>Adler, L. A., Spencer, T., Faraone, S. V., Kessler, R. C., Howes, M. J., Biederman, J., &amp; Secnik, K. (2006). Validity of pilot Adult ADHD Self-Report Scale (ASRS) to Rate Adult ADHD symptoms. Annals of Clinical Psychiatry, 18(3), 145-148. https://doi.org/10.1080/10401230600801077</t>
        </is>
      </c>
    </row>
    <row r="14" ht="23.85" customHeight="1" s="17">
      <c r="A14" s="27" t="inlineStr">
        <is>
          <t>ASRS</t>
        </is>
      </c>
      <c r="B14" s="27" t="inlineStr">
        <is>
          <t>Adult ADHD Self-Report Scale (ASRS v1.1)</t>
        </is>
      </c>
      <c r="C14" s="27" t="inlineStr">
        <is>
          <t>1. Executive functioning and ADHD</t>
        </is>
      </c>
      <c r="D14" s="27" t="inlineStr">
        <is>
          <t>Reference</t>
        </is>
      </c>
      <c r="E14" s="27" t="inlineStr">
        <is>
          <t>Alarachi, A., Merrifield, C., Rowa, K., &amp; McCabe, R. E. (2024). Are we measuring ADHD or anxiety? Examining the factor structure and discriminant validity of the Adult ADHD Self-Report Scale in an adult anxiety disorder population. Assessment, 31(7), 1508-1524. https://doi.org/10.1177/10731911231225190</t>
        </is>
      </c>
    </row>
    <row r="15" ht="35.05" customHeight="1" s="17">
      <c r="A15" s="27" t="inlineStr">
        <is>
          <t>ASRS</t>
        </is>
      </c>
      <c r="B15" s="27" t="inlineStr">
        <is>
          <t>Adult ADHD Self-Report Scale (ASRS v1.1)</t>
        </is>
      </c>
      <c r="C15" s="27" t="inlineStr">
        <is>
          <t>1. Executive functioning and ADHD</t>
        </is>
      </c>
      <c r="D15" s="27" t="inlineStr">
        <is>
          <t>Reference</t>
        </is>
      </c>
      <c r="E15" s="27" t="inlineStr">
        <is>
          <t>Brevik, E. J., Lundervold, A. J., Haavik, J., &amp; Posserud, M. B. (2020). Validity and accuracy of the Adult ADHD Self-Report Scale (ASRS) and the Wender Utah Rating Scale (WURS) symptom checklists in discriminating between adults with and without ADHD. Brain and Behavior, 10(6), e01605. https://doi.org/10.1002/brb3.1605</t>
        </is>
      </c>
    </row>
    <row r="16" ht="23.85" customHeight="1" s="17">
      <c r="A16" s="27" t="inlineStr">
        <is>
          <t>ASRS</t>
        </is>
      </c>
      <c r="B16" s="27" t="inlineStr">
        <is>
          <t>Adult ADHD Self-Report Scale (ASRS v1.1)</t>
        </is>
      </c>
      <c r="C16" s="27" t="inlineStr">
        <is>
          <t>1. Executive functioning and ADHD</t>
        </is>
      </c>
      <c r="D16" s="27" t="inlineStr">
        <is>
          <t>Reference</t>
        </is>
      </c>
      <c r="E16" s="27" t="inlineStr">
        <is>
          <t>Harvard Medical School. (2024, February 28). ASRS v1.1 screener (6Q) scoring update [PDF]. https://www.hcp.med.harvard.edu/ncs/ftpdir/adhd/ASRS_v1.1_screener(6Q)_scoring_update.pdf</t>
        </is>
      </c>
    </row>
    <row r="17" ht="23.85" customHeight="1" s="17">
      <c r="A17" s="27" t="inlineStr">
        <is>
          <t>ASRS</t>
        </is>
      </c>
      <c r="B17" s="27" t="inlineStr">
        <is>
          <t>Adult ADHD Self-Report Scale (ASRS v1.1)</t>
        </is>
      </c>
      <c r="C17" s="27" t="inlineStr">
        <is>
          <t>1. Executive functioning and ADHD</t>
        </is>
      </c>
      <c r="D17" s="27" t="inlineStr">
        <is>
          <t>Reference</t>
        </is>
      </c>
      <c r="E17" s="27" t="inlineStr">
        <is>
          <t>Hines, J. L., King, T. S., &amp; Curry, W. J. (2012). The Adult ADHD Self-Report Scale for screening for adult attention deficit-hyperactivity disorder (ADHD). Journal of the American Board of Family Medicine, 25(6), 847-853. https://doi.org/10.3122/jabfm.2012.06.120065</t>
        </is>
      </c>
    </row>
    <row r="18" ht="35.05" customHeight="1" s="17">
      <c r="A18" s="27" t="inlineStr">
        <is>
          <t>ASRS</t>
        </is>
      </c>
      <c r="B18" s="27" t="inlineStr">
        <is>
          <t>Adult ADHD Self-Report Scale (ASRS v1.1)</t>
        </is>
      </c>
      <c r="C18" s="27" t="inlineStr">
        <is>
          <t>1. Executive functioning and ADHD</t>
        </is>
      </c>
      <c r="D18" s="27" t="inlineStr">
        <is>
          <t>Reference</t>
        </is>
      </c>
      <c r="E18" s="27" t="inlineStr">
        <is>
          <t>Kessler, R. C., Adler, L. A., Gruber, M. J., Sarawate, C. A., Spencer, T., &amp; Van Brunt, D. L. (2007). Validity of the World Health Organization Adult ADHD Self-Report Scale (ASRS) Screener in a representative sample of health plan members. International Journal of Methods in Psychiatric Research, 16(2), 52-65. https://doi.org/10.1002/mpr.208</t>
        </is>
      </c>
    </row>
    <row r="19" ht="23.85" customHeight="1" s="17">
      <c r="A19" s="27" t="inlineStr">
        <is>
          <t>ASRS</t>
        </is>
      </c>
      <c r="B19" s="27" t="inlineStr">
        <is>
          <t>Adult ADHD Self-Report Scale (ASRS v1.1)</t>
        </is>
      </c>
      <c r="C19" s="27" t="inlineStr">
        <is>
          <t>1. Executive functioning and ADHD</t>
        </is>
      </c>
      <c r="D19" s="27" t="inlineStr">
        <is>
          <t>Reference</t>
        </is>
      </c>
      <c r="E19" s="27" t="inlineStr">
        <is>
          <t>Stanton, K., Forbes, M. K., &amp; Zimmerman, M. (2018). Distinct dimensions defining the Adult ADHD Self-Report Scale: Implications for assessing inattentive and hyperactive/impulsive symptoms. Psychological Assessment, 30(12), 1549-1559. https://doi.org/10.1037/pas0000604</t>
        </is>
      </c>
    </row>
    <row r="20" ht="23.85" customHeight="1" s="17">
      <c r="A20" s="27" t="inlineStr">
        <is>
          <t>SKS</t>
        </is>
      </c>
      <c r="B20" s="27" t="inlineStr">
        <is>
          <t>Strengths Knowledge Scale</t>
        </is>
      </c>
      <c r="C20" s="27" t="inlineStr">
        <is>
          <t>2. Strengths knowledge, use and support at work</t>
        </is>
      </c>
      <c r="D20" s="27" t="inlineStr">
        <is>
          <t>Developer</t>
        </is>
      </c>
      <c r="E20" s="27" t="inlineStr">
        <is>
          <t>Govindji, R., &amp; Linley, P. A. (2007). Strengths use, self-concordance and well-being: Implications for strengths coaching and coaching psychologists. International Coaching Psychology Review, 2(2), 143-153.</t>
        </is>
      </c>
    </row>
    <row r="21" ht="23.85" customHeight="1" s="17">
      <c r="A21" s="27" t="inlineStr">
        <is>
          <t>SKS</t>
        </is>
      </c>
      <c r="B21" s="27" t="inlineStr">
        <is>
          <t>Strengths Knowledge Scale</t>
        </is>
      </c>
      <c r="C21" s="27" t="inlineStr">
        <is>
          <t>2. Strengths knowledge, use and support at work</t>
        </is>
      </c>
      <c r="D21" s="27" t="inlineStr">
        <is>
          <t>Reference</t>
        </is>
      </c>
      <c r="E21" s="27" t="inlineStr">
        <is>
          <t>Duan, W., Li, J., &amp; Mu, W. (2018). Psychometric characteristics of Strengths Knowledge Scale and Strengths Use Scale among adolescents. Journal of Psychoeducational Assessment, 36(1), 41-54. https://journals.sagepub.com/doi/10.1177/0734282917705593</t>
        </is>
      </c>
    </row>
    <row r="22" ht="23.85" customHeight="1" s="17">
      <c r="A22" s="27" t="inlineStr">
        <is>
          <t>SKS</t>
        </is>
      </c>
      <c r="B22" s="27" t="inlineStr">
        <is>
          <t>Strengths Knowledge Scale</t>
        </is>
      </c>
      <c r="C22" s="27" t="inlineStr">
        <is>
          <t>2. Strengths knowledge, use and support at work</t>
        </is>
      </c>
      <c r="D22" s="27" t="inlineStr">
        <is>
          <t>Reference</t>
        </is>
      </c>
      <c r="E22" s="27" t="inlineStr">
        <is>
          <t>Frontiers in Psychology (2023). Know and use your personal strengths! A Spanish validation of the strengths knowledge and use scales and their relationship with meaningful work and work-related well-being. https://www.frontiersin.org/journals/psychology/articles/10.3389/fpsyg.2023.1086510/full</t>
        </is>
      </c>
    </row>
    <row r="23" ht="23.85" customHeight="1" s="17">
      <c r="A23" s="27" t="inlineStr">
        <is>
          <t>SKS</t>
        </is>
      </c>
      <c r="B23" s="27" t="inlineStr">
        <is>
          <t>Strengths Knowledge Scale</t>
        </is>
      </c>
      <c r="C23" s="27" t="inlineStr">
        <is>
          <t>2. Strengths knowledge, use and support at work</t>
        </is>
      </c>
      <c r="D23" s="27" t="inlineStr">
        <is>
          <t>Reference</t>
        </is>
      </c>
      <c r="E23" s="27" t="inlineStr">
        <is>
          <t>Psychological Scales &amp; Instruments Database entry, Strengths Use and Current Knowledge Scale (SUCK). https://db.arabpsychology.com/scales/strengths-use-and-current-knowledge-scale-suck/</t>
        </is>
      </c>
    </row>
    <row r="24" ht="23.85" customHeight="1" s="17">
      <c r="A24" s="27" t="inlineStr">
        <is>
          <t>SUS</t>
        </is>
      </c>
      <c r="B24" s="27" t="inlineStr">
        <is>
          <t>Strengths Use Scale</t>
        </is>
      </c>
      <c r="C24" s="27" t="inlineStr">
        <is>
          <t>2. Strengths knowledge, use and support at work</t>
        </is>
      </c>
      <c r="D24" s="27" t="inlineStr">
        <is>
          <t>Developer</t>
        </is>
      </c>
      <c r="E24" s="27" t="inlineStr">
        <is>
          <t>Govindji, R., &amp; Linley, P. A. (2007). Strengths use, self-concordance and well-being: Implications for strengths coaching and coaching psychologists. International Coaching Psychology Review, 2(2), 143-153.</t>
        </is>
      </c>
    </row>
    <row r="25" ht="23.85" customHeight="1" s="17">
      <c r="A25" s="27" t="inlineStr">
        <is>
          <t>SUS</t>
        </is>
      </c>
      <c r="B25" s="27" t="inlineStr">
        <is>
          <t>Strengths Use Scale</t>
        </is>
      </c>
      <c r="C25" s="27" t="inlineStr">
        <is>
          <t>2. Strengths knowledge, use and support at work</t>
        </is>
      </c>
      <c r="D25" s="27" t="inlineStr">
        <is>
          <t>Reference</t>
        </is>
      </c>
      <c r="E25" s="27" t="inlineStr">
        <is>
          <t>Duan, W., Li, J., &amp; Mu, W. (2018). Psychometric characteristics of Strengths Knowledge Scale and Strengths Use Scale among adolescents. Journal of Psychoeducational Assessment, 36(1), 41-54. https://journals.sagepub.com/doi/10.1177/0734282917705593</t>
        </is>
      </c>
    </row>
    <row r="26" ht="23.85" customHeight="1" s="17">
      <c r="A26" s="27" t="inlineStr">
        <is>
          <t>SUS</t>
        </is>
      </c>
      <c r="B26" s="27" t="inlineStr">
        <is>
          <t>Strengths Use Scale</t>
        </is>
      </c>
      <c r="C26" s="27" t="inlineStr">
        <is>
          <t>2. Strengths knowledge, use and support at work</t>
        </is>
      </c>
      <c r="D26" s="27" t="inlineStr">
        <is>
          <t>Reference</t>
        </is>
      </c>
      <c r="E26" s="27" t="inlineStr">
        <is>
          <t>Frontiers in Psychology (2023). Know and use your personal strengths! A Spanish validation of the strengths knowledge and use scales and their relationship with meaningful work and work-related well-being. https://www.frontiersin.org/journals/psychology/articles/10.3389/fpsyg.2023.1086510/full</t>
        </is>
      </c>
    </row>
    <row r="27" ht="23.85" customHeight="1" s="17">
      <c r="A27" s="27" t="inlineStr">
        <is>
          <t>SUS</t>
        </is>
      </c>
      <c r="B27" s="27" t="inlineStr">
        <is>
          <t>Strengths Use Scale</t>
        </is>
      </c>
      <c r="C27" s="27" t="inlineStr">
        <is>
          <t>2. Strengths knowledge, use and support at work</t>
        </is>
      </c>
      <c r="D27" s="27" t="inlineStr">
        <is>
          <t>Reference</t>
        </is>
      </c>
      <c r="E27" s="27" t="inlineStr">
        <is>
          <t>Psychological Scales &amp; Instruments Database entry, Strengths Use and Current Knowledge Scale (SUCK). https://db.arabpsychology.com/scales/strengths-use-and-current-knowledge-scale-suck/</t>
        </is>
      </c>
    </row>
    <row r="28" ht="23.85" customHeight="1" s="17">
      <c r="A28" s="27" t="inlineStr">
        <is>
          <t>SSES</t>
        </is>
      </c>
      <c r="B28" s="27" t="inlineStr">
        <is>
          <t>Strengths Self-Efficacy Scale</t>
        </is>
      </c>
      <c r="C28" s="27" t="inlineStr">
        <is>
          <t>2. Strengths knowledge, use and support at work</t>
        </is>
      </c>
      <c r="D28" s="27" t="inlineStr">
        <is>
          <t>Developer</t>
        </is>
      </c>
      <c r="E28" s="27" t="inlineStr">
        <is>
          <t>Tsai, C.-L., Chaichanasakul, A., Zhao, R., Flores, L. Y., &amp; Lopez, S. J. (2014). Development and validation of the Strengths Self-Efficacy Scale (SSES). Journal of Career Assessment, 22(2), 221-232. https://doi.org/10.1177/1069072713493761</t>
        </is>
      </c>
    </row>
    <row r="29" ht="23.85" customHeight="1" s="17">
      <c r="A29" s="27" t="inlineStr">
        <is>
          <t>SSES</t>
        </is>
      </c>
      <c r="B29" s="27" t="inlineStr">
        <is>
          <t>Strengths Self-Efficacy Scale</t>
        </is>
      </c>
      <c r="C29" s="27" t="inlineStr">
        <is>
          <t>2. Strengths knowledge, use and support at work</t>
        </is>
      </c>
      <c r="D29" s="27" t="inlineStr">
        <is>
          <t>Reference</t>
        </is>
      </c>
      <c r="E29" s="27" t="inlineStr">
        <is>
          <t>SAGE Journals abstract, Development and Validation of the Strengths Self-Efficacy Scale (SSES). https://journals.sagepub.com/doi/abs/10.1177/1069072713493761</t>
        </is>
      </c>
    </row>
    <row r="30" ht="23.85" customHeight="1" s="17">
      <c r="A30" s="27" t="inlineStr">
        <is>
          <t>SSES</t>
        </is>
      </c>
      <c r="B30" s="27" t="inlineStr">
        <is>
          <t>Strengths Self-Efficacy Scale</t>
        </is>
      </c>
      <c r="C30" s="27" t="inlineStr">
        <is>
          <t>2. Strengths knowledge, use and support at work</t>
        </is>
      </c>
      <c r="D30" s="27" t="inlineStr">
        <is>
          <t>Reference</t>
        </is>
      </c>
      <c r="E30" s="27" t="inlineStr">
        <is>
          <t>PositivePsychology.com, The Strengths Self-Efficacy Scale (free downloadable PDF reproduction of the instrument). https://positivepsychology.com/wp-content/uploads/The-Strengths-Self-efficacy-Scale.pdf</t>
        </is>
      </c>
    </row>
    <row r="31" ht="23.85" customHeight="1" s="17">
      <c r="A31" s="27" t="inlineStr">
        <is>
          <t>SSES</t>
        </is>
      </c>
      <c r="B31" s="27" t="inlineStr">
        <is>
          <t>Strengths Self-Efficacy Scale</t>
        </is>
      </c>
      <c r="C31" s="27" t="inlineStr">
        <is>
          <t>2. Strengths knowledge, use and support at work</t>
        </is>
      </c>
      <c r="D31" s="27" t="inlineStr">
        <is>
          <t>Reference</t>
        </is>
      </c>
      <c r="E31" s="27" t="inlineStr">
        <is>
          <t>Academia.edu reproduction, Strengths Self-Efficacy Scale. https://www.academia.edu/100623230/Strengths_Self_Efficacy_Scale</t>
        </is>
      </c>
    </row>
    <row r="32" ht="23.85" customHeight="1" s="17">
      <c r="A32" s="27" t="inlineStr">
        <is>
          <t>CSES</t>
        </is>
      </c>
      <c r="B32" s="27" t="inlineStr">
        <is>
          <t>Core Self-Evaluations Scale</t>
        </is>
      </c>
      <c r="C32" s="27" t="inlineStr">
        <is>
          <t>3. Adjacent occupational and wellbeing</t>
        </is>
      </c>
      <c r="D32" s="27" t="inlineStr">
        <is>
          <t>Developer</t>
        </is>
      </c>
      <c r="E32" s="27" t="inlineStr">
        <is>
          <t>Judge, T. A., Erez, A., Bono, J. E., &amp; Thoresen, C. J. (2003). The Core Self-Evaluations Scale: Development of a measure. Personnel Psychology, 56(2), 303-331. https://doi.org/10.1111/j.1744-6570.2003.tb00152.x</t>
        </is>
      </c>
    </row>
    <row r="33" ht="15" customHeight="1" s="17">
      <c r="A33" s="27" t="inlineStr">
        <is>
          <t>CSES</t>
        </is>
      </c>
      <c r="B33" s="27" t="inlineStr">
        <is>
          <t>Core Self-Evaluations Scale</t>
        </is>
      </c>
      <c r="C33" s="27" t="inlineStr">
        <is>
          <t>3. Adjacent occupational and wellbeing</t>
        </is>
      </c>
      <c r="D33" s="27" t="inlineStr">
        <is>
          <t>Reference</t>
        </is>
      </c>
      <c r="E33" s="27" t="inlineStr">
        <is>
          <t>Open-access reproduction of the CSES item table and scoring (fetched for this record). http://ionilies.com/SIOP03/Files/CSES.pdf</t>
        </is>
      </c>
    </row>
    <row r="34" ht="23.85" customHeight="1" s="17">
      <c r="A34" s="27" t="inlineStr">
        <is>
          <t>PES</t>
        </is>
      </c>
      <c r="B34" s="27" t="inlineStr">
        <is>
          <t>Psychological Empowerment Scale</t>
        </is>
      </c>
      <c r="C34" s="27" t="inlineStr">
        <is>
          <t>3. Adjacent occupational and wellbeing</t>
        </is>
      </c>
      <c r="D34" s="27" t="inlineStr">
        <is>
          <t>Developer</t>
        </is>
      </c>
      <c r="E34" s="27" t="inlineStr">
        <is>
          <t>Spreitzer, G. M. (1995). Psychological empowerment in the workplace: Dimensions, measurement, and validation. Academy of Management Journal, 38(5), 1442-1465. https://doi.org/10.2307/256865</t>
        </is>
      </c>
    </row>
    <row r="35" ht="23.85" customHeight="1" s="17">
      <c r="A35" s="27" t="inlineStr">
        <is>
          <t>PES</t>
        </is>
      </c>
      <c r="B35" s="27" t="inlineStr">
        <is>
          <t>Psychological Empowerment Scale</t>
        </is>
      </c>
      <c r="C35" s="27" t="inlineStr">
        <is>
          <t>3. Adjacent occupational and wellbeing</t>
        </is>
      </c>
      <c r="D35" s="27" t="inlineStr">
        <is>
          <t>Reference</t>
        </is>
      </c>
      <c r="E35" s="27" t="inlineStr">
        <is>
          <t>Spreitzer, G. M. Psychological Empowerment Instrument (official instrument page, fetched for this record). https://webuser.bus.umich.edu/spreitze/Pdfs/EmpowerInstrument.pdf</t>
        </is>
      </c>
    </row>
    <row r="36" ht="23.85" customHeight="1" s="17">
      <c r="A36" s="27" t="inlineStr">
        <is>
          <t>DASS-21</t>
        </is>
      </c>
      <c r="B36" s="27" t="inlineStr">
        <is>
          <t>Depression Anxiety Stress Scales, 21 item version (DASS-21)</t>
        </is>
      </c>
      <c r="C36" s="27" t="inlineStr">
        <is>
          <t>4. Psychological distress screening</t>
        </is>
      </c>
      <c r="D36" s="27" t="inlineStr">
        <is>
          <t>Developer</t>
        </is>
      </c>
      <c r="E36" s="27" t="inlineStr">
        <is>
          <t>Lovibond, S. H., &amp; Lovibond, P. F. (1995). Manual for the Depression Anxiety Stress Scales (2nd ed.). Sydney: Psychology Foundation of Australia.</t>
        </is>
      </c>
    </row>
    <row r="37" ht="35.05" customHeight="1" s="17">
      <c r="A37" s="27" t="inlineStr">
        <is>
          <t>DASS-21</t>
        </is>
      </c>
      <c r="B37" s="27" t="inlineStr">
        <is>
          <t>Depression Anxiety Stress Scales, 21 item version (DASS-21)</t>
        </is>
      </c>
      <c r="C37" s="27" t="inlineStr">
        <is>
          <t>4. Psychological distress screening</t>
        </is>
      </c>
      <c r="D37" s="27" t="inlineStr">
        <is>
          <t>Reference</t>
        </is>
      </c>
      <c r="E37" s="27" t="inlineStr">
        <is>
          <t>Antony, M. M., Bieling, P. J., Cox, B. J., Enns, M. W., &amp; Swinson, R. P. (1998). Psychometric properties of the 42-item and 21-item versions of the Depression Anxiety Stress Scales in clinical groups and a community sample. Psychological Assessment, 10(2), 176-181. https://doi.org/10.1037/1040-3590.10.2.176</t>
        </is>
      </c>
    </row>
    <row r="38" ht="23.85" customHeight="1" s="17">
      <c r="A38" s="27" t="inlineStr">
        <is>
          <t>DASS-21</t>
        </is>
      </c>
      <c r="B38" s="27" t="inlineStr">
        <is>
          <t>Depression Anxiety Stress Scales, 21 item version (DASS-21)</t>
        </is>
      </c>
      <c r="C38" s="27" t="inlineStr">
        <is>
          <t>4. Psychological distress screening</t>
        </is>
      </c>
      <c r="D38" s="27" t="inlineStr">
        <is>
          <t>Reference</t>
        </is>
      </c>
      <c r="E38" s="27" t="inlineStr">
        <is>
          <t>Brown, T. A., Chorpita, B. F., Korotitsch, W., &amp; Barlow, D. H. (1997). Psychometric properties of the Depression Anxiety Stress Scales (DASS) in clinical samples. Behaviour Research and Therapy, 35(1), 79-89. https://doi.org/10.1016/s0005-7967(96)00068-x</t>
        </is>
      </c>
    </row>
    <row r="39" ht="23.85" customHeight="1" s="17">
      <c r="A39" s="27" t="inlineStr">
        <is>
          <t>DASS-21</t>
        </is>
      </c>
      <c r="B39" s="27" t="inlineStr">
        <is>
          <t>Depression Anxiety Stress Scales, 21 item version (DASS-21)</t>
        </is>
      </c>
      <c r="C39" s="27" t="inlineStr">
        <is>
          <t>4. Psychological distress screening</t>
        </is>
      </c>
      <c r="D39" s="27" t="inlineStr">
        <is>
          <t>Reference</t>
        </is>
      </c>
      <c r="E39" s="27" t="inlineStr">
        <is>
          <t>Henry, J. D., &amp; Crawford, J. R. (2005). The short-form version of the Depression Anxiety Stress Scales (DASS-21): Construct validity and normative data in a large non-clinical sample. British Journal of Clinical Psychology, 44(2), 227-239. https://doi.org/10.1348/014466505X29657</t>
        </is>
      </c>
    </row>
    <row r="40" ht="23.85" customHeight="1" s="17">
      <c r="A40" s="27" t="inlineStr">
        <is>
          <t>DASS-21</t>
        </is>
      </c>
      <c r="B40" s="27" t="inlineStr">
        <is>
          <t>Depression Anxiety Stress Scales, 21 item version (DASS-21)</t>
        </is>
      </c>
      <c r="C40" s="27" t="inlineStr">
        <is>
          <t>4. Psychological distress screening</t>
        </is>
      </c>
      <c r="D40" s="27" t="inlineStr">
        <is>
          <t>Reference</t>
        </is>
      </c>
      <c r="E40" s="27" t="inlineStr">
        <is>
          <t>Lovibond, P. F., &amp; Lovibond, S. H. (1995). The structure of negative emotional states: Comparison of the Depression Anxiety Stress Scales (DASS) with the Beck Depression and Anxiety Inventories. Behaviour Research and Therapy, 33(3), 335-343. https://doi.org/10.1016/0005-7967(94)00075-U</t>
        </is>
      </c>
    </row>
    <row r="41" ht="23.85" customHeight="1" s="17">
      <c r="A41" s="27" t="inlineStr">
        <is>
          <t>DASS-21</t>
        </is>
      </c>
      <c r="B41" s="27" t="inlineStr">
        <is>
          <t>Depression Anxiety Stress Scales, 21 item version (DASS-21)</t>
        </is>
      </c>
      <c r="C41" s="27" t="inlineStr">
        <is>
          <t>4. Psychological distress screening</t>
        </is>
      </c>
      <c r="D41" s="27" t="inlineStr">
        <is>
          <t>Reference</t>
        </is>
      </c>
      <c r="E41" s="27" t="inlineStr">
        <is>
          <t>University of New South Wales, School of Psychology. (n.d.). DASS: Depression Anxiety Stress Scales. https://www2.psy.unsw.edu.au/dass/</t>
        </is>
      </c>
    </row>
    <row r="42" ht="35.05" customHeight="1" s="17">
      <c r="A42" s="27" t="inlineStr">
        <is>
          <t>PTQ</t>
        </is>
      </c>
      <c r="B42" s="27" t="inlineStr">
        <is>
          <t>Perseverative Thinking Questionnaire</t>
        </is>
      </c>
      <c r="C42" s="27" t="inlineStr">
        <is>
          <t>5. Repetitive negative thinking and self talk</t>
        </is>
      </c>
      <c r="D42" s="27" t="inlineStr">
        <is>
          <t>Developer</t>
        </is>
      </c>
      <c r="E42" s="27" t="inlineStr">
        <is>
          <t>Ehring, T., Zetsche, U., Weidacker, K., Wahl, K., Schönfeld, S., &amp; Ehlers, A. (2011). The Perseverative Thinking Questionnaire (PTQ): Validation of a content-independent measure of repetitive negative thinking. Journal of Behavior Therapy and Experimental Psychiatry, 42(2), 225–232. https://doi.org/10.1016/j.jbtep.2010.12.003</t>
        </is>
      </c>
    </row>
    <row r="43" ht="23.85" customHeight="1" s="17">
      <c r="A43" s="27" t="inlineStr">
        <is>
          <t>RRS</t>
        </is>
      </c>
      <c r="B43" s="27" t="inlineStr">
        <is>
          <t>Ruminative Responses Scale</t>
        </is>
      </c>
      <c r="C43" s="27" t="inlineStr">
        <is>
          <t>5. Repetitive negative thinking and self talk</t>
        </is>
      </c>
      <c r="D43" s="27" t="inlineStr">
        <is>
          <t>Developer</t>
        </is>
      </c>
      <c r="E43" s="27" t="inlineStr">
        <is>
          <t>Nolen-Hoeksema, S., &amp; Morrow, J. (1991). A prospective study of depression and posttraumatic stress symptoms after a natural disaster: The 1989 Loma Prieta earthquake. Journal of Personality and Social Psychology, 61(1), 115–121. https://doi.org/10.1037/0022-3514.61.1.115</t>
        </is>
      </c>
    </row>
    <row r="44" ht="23.85" customHeight="1" s="17">
      <c r="A44" s="27" t="inlineStr">
        <is>
          <t>RRS</t>
        </is>
      </c>
      <c r="B44" s="27" t="inlineStr">
        <is>
          <t>Ruminative Responses Scale</t>
        </is>
      </c>
      <c r="C44" s="27" t="inlineStr">
        <is>
          <t>5. Repetitive negative thinking and self talk</t>
        </is>
      </c>
      <c r="D44" s="27" t="inlineStr">
        <is>
          <t>Reference</t>
        </is>
      </c>
      <c r="E44" s="27" t="inlineStr">
        <is>
          <t>Treynor, W., Gonzalez, R., &amp; Nolen-Hoeksema, S. (2003). Rumination reconsidered: A psychometric analysis. Cognitive Therapy and Research, 27(3), 247–259. https://doi.org/10.1023/A:1023910315561</t>
        </is>
      </c>
    </row>
    <row r="45" ht="23.85" customHeight="1" s="17">
      <c r="A45" s="27" t="inlineStr">
        <is>
          <t>FSCRS</t>
        </is>
      </c>
      <c r="B45" s="27" t="inlineStr">
        <is>
          <t>Forms of Self-Criticising/Attacking and Self-Reassuring Scale</t>
        </is>
      </c>
      <c r="C45" s="27" t="inlineStr">
        <is>
          <t>5. Repetitive negative thinking and self talk</t>
        </is>
      </c>
      <c r="D45" s="27" t="inlineStr">
        <is>
          <t>Developer</t>
        </is>
      </c>
      <c r="E45" s="27" t="inlineStr">
        <is>
          <t>Gilbert, P., Clarke, M., Hempel, S., Miles, J. N. V., &amp; Irons, C. (2004). Criticizing and reassuring oneself: An exploration of forms, styles and reasons in female students. British Journal of Clinical Psychology, 43(1), 31–50. https://doi.org/10.1348/014466504772812959</t>
        </is>
      </c>
    </row>
    <row r="46" ht="23.85" customHeight="1" s="17">
      <c r="A46" s="27" t="inlineStr">
        <is>
          <t>PCI</t>
        </is>
      </c>
      <c r="B46" s="27" t="inlineStr">
        <is>
          <t>Perfectionism Cognitions Inventory</t>
        </is>
      </c>
      <c r="C46" s="27" t="inlineStr">
        <is>
          <t>5. Repetitive negative thinking and self talk</t>
        </is>
      </c>
      <c r="D46" s="27" t="inlineStr">
        <is>
          <t>Developer</t>
        </is>
      </c>
      <c r="E46" s="27" t="inlineStr">
        <is>
          <t>Flett, G. L., Hewitt, P. L., Blankstein, K. R., &amp; Gray, L. (1998). Psychological distress and the frequency of perfectionistic thinking. Journal of Personality and Social Psychology, 75(5), 1363–1381. https://doi.org/10.1037/0022-3514.75.5.1363</t>
        </is>
      </c>
    </row>
    <row r="47" ht="23.85" customHeight="1" s="17">
      <c r="A47" s="27" t="inlineStr">
        <is>
          <t>SCS-SF</t>
        </is>
      </c>
      <c r="B47" s="27" t="inlineStr">
        <is>
          <t>Self-Compassion Scale – Short Form</t>
        </is>
      </c>
      <c r="C47" s="27" t="inlineStr">
        <is>
          <t>5. Repetitive negative thinking and self talk</t>
        </is>
      </c>
      <c r="D47" s="27" t="inlineStr">
        <is>
          <t>Developer</t>
        </is>
      </c>
      <c r="E47" s="27" t="inlineStr">
        <is>
          <t>Raes, F., Pommier, E., Neff, K. D., &amp; Van Gucht, D. (2011). Construction and factorial validation of a short form of the Self-Compassion Scale. Clinical Psychology &amp; Psychotherapy, 18(3), 250–255. https://doi.org/10.1002/cpp.702</t>
        </is>
      </c>
    </row>
    <row r="48" ht="23.85" customHeight="1" s="17">
      <c r="A48" s="27" t="inlineStr">
        <is>
          <t>SCS-SF</t>
        </is>
      </c>
      <c r="B48" s="27" t="inlineStr">
        <is>
          <t>Self-Compassion Scale – Short Form</t>
        </is>
      </c>
      <c r="C48" s="27" t="inlineStr">
        <is>
          <t>5. Repetitive negative thinking and self talk</t>
        </is>
      </c>
      <c r="D48" s="27" t="inlineStr">
        <is>
          <t>Reference</t>
        </is>
      </c>
      <c r="E48" s="27" t="inlineStr">
        <is>
          <t>Hayes, J. A., Lockard, A. J., Janis, R. A., &amp; Locke, B. D. (2016). Construct validity of the Self-Compassion Scale-Short Form among psychotherapy clients. Counselling Psychology Quarterly, 29(4), 405–422. https://doi.org/10.1080/09515070.2015.1084179</t>
        </is>
      </c>
    </row>
    <row r="49" ht="35.05" customHeight="1" s="17">
      <c r="A49" s="27" t="inlineStr">
        <is>
          <t>BPNSFS</t>
        </is>
      </c>
      <c r="B49" s="27" t="inlineStr">
        <is>
          <t>Basic Psychological Need Satisfaction and Frustration Scale (BPNSFS)</t>
        </is>
      </c>
      <c r="C49" s="27" t="inlineStr">
        <is>
          <t>6. Motivation, self determination and goal pursuit</t>
        </is>
      </c>
      <c r="D49" s="27" t="inlineStr">
        <is>
          <t>Developer</t>
        </is>
      </c>
      <c r="E49" s="27" t="inlineStr">
        <is>
          <t>Chen, B., Vansteenkiste, M., Beyers, W., Boone, L., Deci, E. L., Van der Kaap-Deeder, J., Duriez, B., Lens, W., Matos, L., Mouratidis, A., Ryan, R. M., Sheldon, K. M., Soenens, B., Van Petegem, S., &amp; Verstuyf, J. (2015). Basic psychological need satisfaction, need frustration, and need strength across four cultures. Motivation and Emotion, 39(2), 216-236. https://doi.org/10.1007/s11031-014-9450-1</t>
        </is>
      </c>
    </row>
    <row r="50" ht="23.85" customHeight="1" s="17">
      <c r="A50" s="27" t="inlineStr">
        <is>
          <t>BPNSFS</t>
        </is>
      </c>
      <c r="B50" s="27" t="inlineStr">
        <is>
          <t>Basic Psychological Need Satisfaction and Frustration Scale (BPNSFS)</t>
        </is>
      </c>
      <c r="C50" s="27" t="inlineStr">
        <is>
          <t>6. Motivation, self determination and goal pursuit</t>
        </is>
      </c>
      <c r="D50" s="27" t="inlineStr">
        <is>
          <t>Reference</t>
        </is>
      </c>
      <c r="E50" s="27" t="inlineStr">
        <is>
          <t>Center for Self-Determination Theory. (n.d.). Basic Psychological Need Satisfaction and Frustration Scale (BPNSFS). Self-Determination Theory. Retrieved September 26, 2026, from https://selfdeterminationtheory.org/basic-psychological-need-satisfaction-and-frustration-scale/</t>
        </is>
      </c>
    </row>
    <row r="51" ht="23.85" customHeight="1" s="17">
      <c r="A51" s="27" t="inlineStr">
        <is>
          <t>BPNSFS</t>
        </is>
      </c>
      <c r="B51" s="27" t="inlineStr">
        <is>
          <t>Basic Psychological Need Satisfaction and Frustration Scale (BPNSFS)</t>
        </is>
      </c>
      <c r="C51" s="27" t="inlineStr">
        <is>
          <t>6. Motivation, self determination and goal pursuit</t>
        </is>
      </c>
      <c r="D51" s="27" t="inlineStr">
        <is>
          <t>Reference</t>
        </is>
      </c>
      <c r="E51" s="27" t="inlineStr">
        <is>
          <t>Center for Self-Determination Theory. (n.d.). Questionnaires. Self-Determination Theory. Retrieved September 26, 2026, from https://selfdeterminationtheory.org/questionnaires/</t>
        </is>
      </c>
    </row>
    <row r="52" ht="23.85" customHeight="1" s="17">
      <c r="A52" s="27" t="inlineStr">
        <is>
          <t>PPS</t>
        </is>
      </c>
      <c r="B52" s="27" t="inlineStr">
        <is>
          <t>Pure Procrastination Scale</t>
        </is>
      </c>
      <c r="C52" s="27" t="inlineStr">
        <is>
          <t>6. Motivation, self determination and goal pursuit</t>
        </is>
      </c>
      <c r="D52" s="27" t="inlineStr">
        <is>
          <t>Developer</t>
        </is>
      </c>
      <c r="E52" s="27" t="inlineStr">
        <is>
          <t>Svartdal, F., &amp; Steel, P. (2017). Irrational delay revisited: Examining five procrastination scales in a global sample. Frontiers in Psychology, 8, 1927. https://doi.org/10.3389/fpsyg.2017.01927</t>
        </is>
      </c>
    </row>
    <row r="53" ht="23.85" customHeight="1" s="17">
      <c r="A53" s="27" t="inlineStr">
        <is>
          <t>PPS</t>
        </is>
      </c>
      <c r="B53" s="27" t="inlineStr">
        <is>
          <t>Pure Procrastination Scale</t>
        </is>
      </c>
      <c r="C53" s="27" t="inlineStr">
        <is>
          <t>6. Motivation, self determination and goal pursuit</t>
        </is>
      </c>
      <c r="D53" s="27" t="inlineStr">
        <is>
          <t>Reference</t>
        </is>
      </c>
      <c r="E53" s="27" t="inlineStr">
        <is>
          <t>Steel, P. (2010). Arousal, avoidant and decisional procrastinators: Do they exist? Personality and Individual Differences, 48(8), 926-934. https://doi.org/10.1016/j.paid.2010.02.025</t>
        </is>
      </c>
    </row>
    <row r="54" ht="23.85" customHeight="1" s="17">
      <c r="A54" s="27" t="inlineStr">
        <is>
          <t>IPS</t>
        </is>
      </c>
      <c r="B54" s="27" t="inlineStr">
        <is>
          <t>Irrational Procrastination Scale</t>
        </is>
      </c>
      <c r="C54" s="27" t="inlineStr">
        <is>
          <t>6. Motivation, self determination and goal pursuit</t>
        </is>
      </c>
      <c r="D54" s="27" t="inlineStr">
        <is>
          <t>Developer</t>
        </is>
      </c>
      <c r="E54" s="27" t="inlineStr">
        <is>
          <t>Svartdal, F., &amp; Steel, P. (2017). Irrational delay revisited: Examining five procrastination scales in a global sample. Frontiers in Psychology, 8, 1927. https://doi.org/10.3389/fpsyg.2017.01927</t>
        </is>
      </c>
    </row>
    <row r="55" ht="23.85" customHeight="1" s="17">
      <c r="A55" s="27" t="inlineStr">
        <is>
          <t>IPS</t>
        </is>
      </c>
      <c r="B55" s="27" t="inlineStr">
        <is>
          <t>Irrational Procrastination Scale</t>
        </is>
      </c>
      <c r="C55" s="27" t="inlineStr">
        <is>
          <t>6. Motivation, self determination and goal pursuit</t>
        </is>
      </c>
      <c r="D55" s="27" t="inlineStr">
        <is>
          <t>Reference</t>
        </is>
      </c>
      <c r="E55" s="27" t="inlineStr">
        <is>
          <t>Steel, P. (2010). Arousal, avoidant and decisional procrastinators: Do they exist? Personality and Individual Differences, 48(8), 926-934. https://doi.org/10.1016/j.paid.2010.02.025</t>
        </is>
      </c>
    </row>
    <row r="56" ht="23.85" customHeight="1" s="17">
      <c r="A56" s="27" t="inlineStr">
        <is>
          <t>GSE</t>
        </is>
      </c>
      <c r="B56" s="27" t="inlineStr">
        <is>
          <t>General Self-Efficacy Scale</t>
        </is>
      </c>
      <c r="C56" s="27" t="inlineStr">
        <is>
          <t>6. Motivation, self determination and goal pursuit</t>
        </is>
      </c>
      <c r="D56" s="27" t="inlineStr">
        <is>
          <t>Developer</t>
        </is>
      </c>
      <c r="E56" s="27" t="inlineStr">
        <is>
          <t>Schwarzer, R., &amp; Jerusalem, M. (1995). Generalized Self-Efficacy scale. In J. Weinman, S. Wright, &amp; M. Johnston, Measures in health psychology: A user's portfolio. Causal and control beliefs (pp. 35-37). NFER-NELSON.</t>
        </is>
      </c>
    </row>
    <row r="57" ht="23.85" customHeight="1" s="17">
      <c r="A57" s="27" t="inlineStr">
        <is>
          <t>GSE</t>
        </is>
      </c>
      <c r="B57" s="27" t="inlineStr">
        <is>
          <t>General Self-Efficacy Scale</t>
        </is>
      </c>
      <c r="C57" s="27" t="inlineStr">
        <is>
          <t>6. Motivation, self determination and goal pursuit</t>
        </is>
      </c>
      <c r="D57" s="27" t="inlineStr">
        <is>
          <t>Reference</t>
        </is>
      </c>
      <c r="E57" s="27" t="inlineStr">
        <is>
          <t>Freie Universität Berlin. General Self-Efficacy Scale (English version). https://userpage.fu-berlin.de/~health/engscal.htm</t>
        </is>
      </c>
    </row>
    <row r="58" ht="23.85" customHeight="1" s="17">
      <c r="A58" s="27" t="inlineStr">
        <is>
          <t>GSE</t>
        </is>
      </c>
      <c r="B58" s="27" t="inlineStr">
        <is>
          <t>General Self-Efficacy Scale</t>
        </is>
      </c>
      <c r="C58" s="27" t="inlineStr">
        <is>
          <t>6. Motivation, self determination and goal pursuit</t>
        </is>
      </c>
      <c r="D58" s="27" t="inlineStr">
        <is>
          <t>Reference</t>
        </is>
      </c>
      <c r="E58" s="27" t="inlineStr">
        <is>
          <t>Freie Universität Berlin. General Self-Efficacy Scale: FAQ and permission statement. https://userpage.fu-berlin.de/~health/faq_gse.pdf</t>
        </is>
      </c>
    </row>
    <row r="59" ht="23.85" customHeight="1" s="17">
      <c r="A59" s="27" t="inlineStr">
        <is>
          <t>GCS</t>
        </is>
      </c>
      <c r="B59" s="27" t="inlineStr">
        <is>
          <t>Goal Commitment Scale (5-item unidimensional version)</t>
        </is>
      </c>
      <c r="C59" s="27" t="inlineStr">
        <is>
          <t>6. Motivation, self determination and goal pursuit</t>
        </is>
      </c>
      <c r="D59" s="27" t="inlineStr">
        <is>
          <t>Developer</t>
        </is>
      </c>
      <c r="E59" s="27" t="inlineStr">
        <is>
          <t>Klein, H. J., Wesson, M. J., Hollenbeck, J. R., Wright, P. M., &amp; DeShon, R. P. (2001). The assessment of goal commitment: A measurement model meta-analysis. Organizational Behavior and Human Decision Processes, 85(1), 32-55.</t>
        </is>
      </c>
    </row>
    <row r="60" ht="23.85" customHeight="1" s="17">
      <c r="A60" s="27" t="inlineStr">
        <is>
          <t>GCS</t>
        </is>
      </c>
      <c r="B60" s="27" t="inlineStr">
        <is>
          <t>Goal Commitment Scale (5-item unidimensional version)</t>
        </is>
      </c>
      <c r="C60" s="27" t="inlineStr">
        <is>
          <t>6. Motivation, self determination and goal pursuit</t>
        </is>
      </c>
      <c r="D60" s="27" t="inlineStr">
        <is>
          <t>Reference</t>
        </is>
      </c>
      <c r="E60" s="27" t="inlineStr">
        <is>
          <t>Hollenbeck, J. R., Williams, C. R., &amp; Klein, H. J. (1989). An empirical examination of the antecedents of commitment to difficult goals. Journal of Applied Psychology, 74(1), 18-23.</t>
        </is>
      </c>
    </row>
    <row r="61" ht="23.85" customHeight="1" s="17">
      <c r="A61" s="27" t="inlineStr">
        <is>
          <t>GCS</t>
        </is>
      </c>
      <c r="B61" s="27" t="inlineStr">
        <is>
          <t>Goal Commitment Scale (5-item unidimensional version)</t>
        </is>
      </c>
      <c r="C61" s="27" t="inlineStr">
        <is>
          <t>6. Motivation, self determination and goal pursuit</t>
        </is>
      </c>
      <c r="D61" s="27" t="inlineStr">
        <is>
          <t>Reference</t>
        </is>
      </c>
      <c r="E61" s="27" t="inlineStr">
        <is>
          <t>Klein, H. J., Cooper, J. T., Molloy, J. C., &amp; Swanson, J. A. (2014). The assessment of commitment: Advantages of a unidimensional, target-free approach. Journal of Applied Psychology, 99(2), 222-238.</t>
        </is>
      </c>
    </row>
    <row r="62" ht="23.85" customHeight="1" s="17">
      <c r="A62" s="27" t="inlineStr">
        <is>
          <t>GADJ</t>
        </is>
      </c>
      <c r="B62" s="27" t="inlineStr">
        <is>
          <t>Goal Adjustment Scale</t>
        </is>
      </c>
      <c r="C62" s="27" t="inlineStr">
        <is>
          <t>6. Motivation, self determination and goal pursuit</t>
        </is>
      </c>
      <c r="D62" s="27" t="inlineStr">
        <is>
          <t>Developer</t>
        </is>
      </c>
      <c r="E62" s="27" t="inlineStr">
        <is>
          <t>Wrosch, C., Scheier, M. F., Miller, G. E., Schulz, R., &amp; Carver, C. S. (2003). Adaptive self-regulation of unattainable goals: Goal disengagement, goal reengagement, and subjective well-being. Personality and Social Psychology Bulletin, 29(12), 1494-1508.</t>
        </is>
      </c>
    </row>
  </sheetData>
  <autoFilter ref="A1:E6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54"/>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Executive Skills Questionnaire - Revised (ESQ-R)</t>
        </is>
      </c>
    </row>
    <row r="3" ht="15" customHeight="1" s="17">
      <c r="A3" s="35" t="inlineStr">
        <is>
          <t>Instrument</t>
        </is>
      </c>
      <c r="B3" s="27" t="inlineStr">
        <is>
          <t>Executive Skills Questionnaire - Revised (ESQ-R)</t>
        </is>
      </c>
    </row>
    <row r="4" ht="15" customHeight="1" s="17">
      <c r="A4" s="35" t="inlineStr">
        <is>
          <t>Code</t>
        </is>
      </c>
      <c r="B4" s="27" t="inlineStr">
        <is>
          <t>ESQ-R</t>
        </is>
      </c>
    </row>
    <row r="5" ht="15" customHeight="1" s="17">
      <c r="A5" s="35" t="inlineStr">
        <is>
          <t>Domain</t>
        </is>
      </c>
      <c r="B5" s="27" t="inlineStr">
        <is>
          <t>1. Executive functioning and ADHD</t>
        </is>
      </c>
    </row>
    <row r="6" ht="15" customHeight="1" s="17">
      <c r="A6" s="35" t="inlineStr">
        <is>
          <t>Availability</t>
        </is>
      </c>
      <c r="B6" s="27" t="inlineStr">
        <is>
          <t>Free / open access</t>
        </is>
      </c>
    </row>
    <row r="7" ht="30" customHeight="1" s="17">
      <c r="A7" s="35" t="inlineStr">
        <is>
          <t>Construct</t>
        </is>
      </c>
      <c r="B7" s="27" t="inlineStr">
        <is>
          <t>Executive functioning skills, including plan and time management, organization, and emotional and behavioral regulation</t>
        </is>
      </c>
    </row>
    <row r="8" ht="15" customHeight="1" s="17">
      <c r="A8" s="35" t="inlineStr">
        <is>
          <t>Respondent</t>
        </is>
      </c>
      <c r="B8" s="27" t="inlineStr">
        <is>
          <t>Self-report</t>
        </is>
      </c>
    </row>
    <row r="9" ht="15" customHeight="1" s="17">
      <c r="A9" s="35" t="inlineStr">
        <is>
          <t>Age range</t>
        </is>
      </c>
      <c r="B9" s="27" t="inlineStr">
        <is>
          <t>14+</t>
        </is>
      </c>
    </row>
    <row r="10" ht="15" customHeight="1" s="17">
      <c r="A10" s="35" t="inlineStr">
        <is>
          <t>Items in instrument</t>
        </is>
      </c>
      <c r="B10" s="27" t="inlineStr">
        <is>
          <t>25</t>
        </is>
      </c>
    </row>
    <row r="11" ht="15" customHeight="1" s="17">
      <c r="A11" s="35" t="inlineStr">
        <is>
          <t>Items reproduced here</t>
        </is>
      </c>
      <c r="B11" s="27" t="inlineStr">
        <is>
          <t>25</t>
        </is>
      </c>
    </row>
    <row r="12" ht="15" customHeight="1" s="17">
      <c r="A12" s="35" t="inlineStr">
        <is>
          <t>Administration time</t>
        </is>
      </c>
      <c r="B12" s="27" t="inlineStr">
        <is>
          <t>5 minutes</t>
        </is>
      </c>
    </row>
    <row r="13" ht="30" customHeight="1" s="17">
      <c r="A13" s="35" t="inlineStr">
        <is>
          <t>Cost and access</t>
        </is>
      </c>
      <c r="B13" s="27" t="inlineStr">
        <is>
          <t>Included on NovoPsych with the permission of Dr Peg Dawson; blank form hosted free. Scoring and percentiles need a NovoPsych account.</t>
        </is>
      </c>
    </row>
    <row r="14" ht="30" customHeight="1" s="17">
      <c r="A14" s="35" t="inlineStr">
        <is>
          <t>Coaching application</t>
        </is>
      </c>
      <c r="B14" s="27" t="inlineStr">
        <is>
          <t>The core executive skills profile for coaching; the five subscales map directly onto coaching targets. Measures higher order skills rather than core executive functions.</t>
        </is>
      </c>
    </row>
    <row r="15" ht="60" customHeight="1" s="17">
      <c r="A15" s="35" t="inlineStr">
        <is>
          <t>Purpose</t>
        </is>
      </c>
      <c r="B15" s="27" t="inlineStr">
        <is>
          <t>The ESQ-R is a 25-item self-report measure of executive functioning skills, including plan and time management, organization, and emotional and behavioral regulation. It was developed and published by Strait et al. (2020) and is included on NovoPsych with permission from Dr. Peg Dawson. It is intended to help identify specific areas of executive skill difficulty across five domains.</t>
        </is>
      </c>
    </row>
    <row r="16" ht="15" customHeight="1" s="17">
      <c r="A16" s="35" t="inlineStr">
        <is>
          <t>Instructions / prompt</t>
        </is>
      </c>
      <c r="B16" s="27" t="inlineStr">
        <is>
          <t>Read each item and decide how often it's a problem for you.</t>
        </is>
      </c>
    </row>
    <row r="17" ht="15" customHeight="1" s="17">
      <c r="A17" s="35" t="inlineStr">
        <is>
          <t>Response options</t>
        </is>
      </c>
      <c r="B17" s="27" t="inlineStr">
        <is>
          <t>Never or rarely = 0 | Sometimes = 1 | Often = 2 | Very often = 3</t>
        </is>
      </c>
    </row>
    <row r="18" ht="15" customHeight="1" s="17">
      <c r="A18" s="35" t="inlineStr">
        <is>
          <t>Reverse-scored items</t>
        </is>
      </c>
      <c r="B18" s="27" t="inlineStr">
        <is>
          <t>None</t>
        </is>
      </c>
    </row>
    <row r="19" ht="15" customHeight="1" s="17">
      <c r="A19" s="35" t="inlineStr">
        <is>
          <t>Filler items (not scored)</t>
        </is>
      </c>
      <c r="B19" s="27" t="inlineStr">
        <is>
          <t>None</t>
        </is>
      </c>
    </row>
    <row r="20" ht="75" customHeight="1" s="17">
      <c r="A20" s="35" t="inlineStr">
        <is>
          <t>Total scoring</t>
        </is>
      </c>
      <c r="B20" s="27" t="inlineStr">
        <is>
          <t>Each item is rated on a 4-point Likert-type scale from 0 to 3 reflecting the frequency with which a respondent experiences a specific difficulty. Item scores are summed to produce a total score (range 0-75) and five subscale scores (Plan Management 0-33, Time Management 0-12, Organization 0-9, Emotional Regulation 0-9, Behavioral Regulation 0-12). Higher scores indicate more difficulties with executive functioning. No reverse-scored items were identified in the retrieved source material.</t>
        </is>
      </c>
    </row>
    <row r="21" ht="165" customHeight="1" s="17">
      <c r="A21" s="35" t="inlineStr">
        <is>
          <t>Interpretation bands</t>
        </is>
      </c>
      <c r="B21" s="27" t="inlineStr">
        <is>
          <t>Low Difficulties: ≤10th percentile - Low difficulties with executive functioning skills relative to the normative sample.
Below Average Difficulties: 10th-24th percentile - Below average difficulties with executive functioning skills relative to the normative sample.
Average Difficulties: 25th-75th percentile - Average difficulties with executive functioning skills relative to the normative sample.
Above Average Difficulties: 76th-89th percentile - Above average difficulties with executive functioning skills relative to the normative sample.
High Difficulties: ≥90th percentile - High difficulties with executive functioning skills relative to the normative sample.</t>
        </is>
      </c>
    </row>
    <row r="22" ht="75" customHeight="1" s="17">
      <c r="A22" s="35" t="inlineStr">
        <is>
          <t>Cut-offs</t>
        </is>
      </c>
      <c r="B22" s="27" t="inlineStr">
        <is>
          <t>No diagnostic cut-off. Total score percentile bands: Low Difficulties (&lt;=10th), Below Average (11th-24th), Average (25th-75th), Above Average (76th-89th), High (&gt;=90th). Above Average or High suggests clinically significant executive functioning challenges. Subscale average ratings: No or Low Difficulty 0-1; Moderate Difficulty 1.01-1.99; High Difficulty 2-3. A change of 5 or more points on the total score is a Minimally Important Difference.</t>
        </is>
      </c>
    </row>
    <row r="23" ht="75" customHeight="1" s="17">
      <c r="A23" s="35" t="inlineStr">
        <is>
          <t>Normative data</t>
        </is>
      </c>
      <c r="B23" s="27" t="inlineStr">
        <is>
          <t>Sample of 327 working adults in Malaysia (153 male, 171 female, 1 unknown; aged 23-80, M = 40.34, SD = 10.39) completing a modified ESQ-R (Nasir et al., 2021). Total M = 20.54 (SD 10.27); Plan Management M = 7.59 (SD 5.08); Time Management M = 3.03 (SD 2.24); Organization M = 2.57 (SD 1.96); Emotional Regulation M = 3.02 (SD 1.88); Behavioral Regulation M = 4.32 (SD 2.08). These means and SDs convert raw scores to percentiles.</t>
        </is>
      </c>
    </row>
    <row r="24" ht="75" customHeight="1" s="17">
      <c r="A24" s="35" t="inlineStr">
        <is>
          <t>Psychometric properties</t>
        </is>
      </c>
      <c r="B24" s="27" t="inlineStr">
        <is>
          <t>Internal consistency Cronbach's alpha = .91; test-retest reliability r = .70 (Strait et al., 2020). Factor alphas: Plan Management .89 (11 items), Time Management .74 (4), Organization .76 (3), Emotional Regulation .75 (3), Behavioral Regulation .65 (4). Convergent validity: Current Behavior Scale r = .74; Adult Executive Functioning Inventory r = .69. Discriminant validity: DASS-21 Depression r = .48, Anxiety r = .38, Stress r = .44; GAD-7 r = .45; PSS-10 r = .55. Academic engagement r = -.40.</t>
        </is>
      </c>
    </row>
    <row r="25" ht="60" customHeight="1" s="17">
      <c r="A25" s="35" t="inlineStr">
        <is>
          <t>Developer citation</t>
        </is>
      </c>
      <c r="B25" s="27" t="inlineStr">
        <is>
          <t>Developed by Dr. Peg Dawson (Smart But Scattered Kids). Original citation: Strait, J. E., Dawson, P., Walther, C. A. P., Strait, G. G., Barton, A. K., &amp; McClain, M. B. (2020). Refinement and psychometric evaluation of the Executive Skills Questionnaire-Revised. Contemporary School Psychology, 24, 378-388. https://doi.org/10.1007/s40688-018-00224-x</t>
        </is>
      </c>
    </row>
    <row r="26" ht="30" customHeight="1" s="17">
      <c r="A26" s="35" t="inlineStr">
        <is>
          <t>Copyright and licensing</t>
        </is>
      </c>
      <c r="B26" s="27" t="inlineStr">
        <is>
          <t>© 2026 Copyright – NovoPsych – All rights reserved. The ESQ-R was developed and published by Strait et al. (2020) and is included on NovoPsych with permission from Dr. Peg Dawson.</t>
        </is>
      </c>
    </row>
    <row r="27" ht="15" customHeight="1" s="17">
      <c r="A27" s="35" t="inlineStr">
        <is>
          <t>Source URL</t>
        </is>
      </c>
      <c r="B27" s="27" t="inlineStr">
        <is>
          <t>https://novopsych.com/assessments/formulation/executive-skills-questionnaire-revised-esq-r/</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I act on impulse.</t>
        </is>
      </c>
      <c r="C30" s="27" t="inlineStr">
        <is>
          <t>Behavioral Regulation</t>
        </is>
      </c>
      <c r="D30" s="27" t="inlineStr">
        <is>
          <t>FALSE</t>
        </is>
      </c>
      <c r="E30" s="27" t="inlineStr">
        <is>
          <t>FALSE</t>
        </is>
      </c>
      <c r="F30" s="27" t="n"/>
    </row>
    <row r="31" ht="15" customHeight="1" s="17">
      <c r="A31" s="28" t="n">
        <v>2</v>
      </c>
      <c r="B31" s="27" t="inlineStr">
        <is>
          <t>I say things without thinking.</t>
        </is>
      </c>
      <c r="C31" s="27" t="inlineStr">
        <is>
          <t>Behavioral Regulation</t>
        </is>
      </c>
      <c r="D31" s="27" t="inlineStr">
        <is>
          <t>FALSE</t>
        </is>
      </c>
      <c r="E31" s="27" t="inlineStr">
        <is>
          <t>FALSE</t>
        </is>
      </c>
      <c r="F31" s="27" t="n"/>
    </row>
    <row r="32" ht="15" customHeight="1" s="17">
      <c r="A32" s="28" t="n">
        <v>3</v>
      </c>
      <c r="B32" s="27" t="inlineStr">
        <is>
          <t>I lose things.</t>
        </is>
      </c>
      <c r="C32" s="27" t="inlineStr">
        <is>
          <t>Organization</t>
        </is>
      </c>
      <c r="D32" s="27" t="inlineStr">
        <is>
          <t>FALSE</t>
        </is>
      </c>
      <c r="E32" s="27" t="inlineStr">
        <is>
          <t>FALSE</t>
        </is>
      </c>
      <c r="F32" s="27" t="n"/>
    </row>
    <row r="33" ht="15" customHeight="1" s="17">
      <c r="A33" s="28" t="n">
        <v>4</v>
      </c>
      <c r="B33" s="27" t="inlineStr">
        <is>
          <t>I have a short fuse.</t>
        </is>
      </c>
      <c r="C33" s="27" t="inlineStr">
        <is>
          <t>Emotional Regulation</t>
        </is>
      </c>
      <c r="D33" s="27" t="inlineStr">
        <is>
          <t>FALSE</t>
        </is>
      </c>
      <c r="E33" s="27" t="inlineStr">
        <is>
          <t>FALSE</t>
        </is>
      </c>
      <c r="F33" s="27" t="n"/>
    </row>
    <row r="34" ht="15" customHeight="1" s="17">
      <c r="A34" s="28" t="n">
        <v>5</v>
      </c>
      <c r="B34" s="27" t="inlineStr">
        <is>
          <t>I get upset when things don't go as planned.</t>
        </is>
      </c>
      <c r="C34" s="27" t="inlineStr">
        <is>
          <t>Emotional Regulation</t>
        </is>
      </c>
      <c r="D34" s="27" t="inlineStr">
        <is>
          <t>FALSE</t>
        </is>
      </c>
      <c r="E34" s="27" t="inlineStr">
        <is>
          <t>FALSE</t>
        </is>
      </c>
      <c r="F34" s="27" t="n"/>
    </row>
    <row r="35" ht="15" customHeight="1" s="17">
      <c r="A35" s="28" t="n">
        <v>6</v>
      </c>
      <c r="B35" s="27" t="inlineStr">
        <is>
          <t>I run out of steam before finishing a task.</t>
        </is>
      </c>
      <c r="C35" s="27" t="inlineStr">
        <is>
          <t>Plan Management</t>
        </is>
      </c>
      <c r="D35" s="27" t="inlineStr">
        <is>
          <t>FALSE</t>
        </is>
      </c>
      <c r="E35" s="27" t="inlineStr">
        <is>
          <t>FALSE</t>
        </is>
      </c>
      <c r="F35" s="27" t="n"/>
    </row>
    <row r="36" ht="15" customHeight="1" s="17">
      <c r="A36" s="28" t="n">
        <v>7</v>
      </c>
      <c r="B36" s="27" t="inlineStr">
        <is>
          <t>It's hard for me to set priorities when I have a lot of things to do.</t>
        </is>
      </c>
      <c r="C36" s="27" t="inlineStr">
        <is>
          <t>Plan Management</t>
        </is>
      </c>
      <c r="D36" s="27" t="inlineStr">
        <is>
          <t>FALSE</t>
        </is>
      </c>
      <c r="E36" s="27" t="inlineStr">
        <is>
          <t>FALSE</t>
        </is>
      </c>
      <c r="F36" s="27" t="n"/>
    </row>
    <row r="37" ht="15" customHeight="1" s="17">
      <c r="A37" s="28" t="n">
        <v>8</v>
      </c>
      <c r="B37" s="27" t="inlineStr">
        <is>
          <t>My desk or workspace is a mess.</t>
        </is>
      </c>
      <c r="C37" s="27" t="inlineStr">
        <is>
          <t>Organization</t>
        </is>
      </c>
      <c r="D37" s="27" t="inlineStr">
        <is>
          <t>FALSE</t>
        </is>
      </c>
      <c r="E37" s="27" t="inlineStr">
        <is>
          <t>FALSE</t>
        </is>
      </c>
      <c r="F37" s="27" t="n"/>
    </row>
    <row r="38" ht="15" customHeight="1" s="17">
      <c r="A38" s="28" t="n">
        <v>9</v>
      </c>
      <c r="B38" s="27" t="inlineStr">
        <is>
          <t>I have trouble keeping my house or room clean.</t>
        </is>
      </c>
      <c r="C38" s="27" t="inlineStr">
        <is>
          <t>Organization</t>
        </is>
      </c>
      <c r="D38" s="27" t="inlineStr">
        <is>
          <t>FALSE</t>
        </is>
      </c>
      <c r="E38" s="27" t="inlineStr">
        <is>
          <t>FALSE</t>
        </is>
      </c>
      <c r="F38" s="27" t="n"/>
    </row>
    <row r="39" ht="15" customHeight="1" s="17">
      <c r="A39" s="28" t="n">
        <v>10</v>
      </c>
      <c r="B39" s="27" t="inlineStr">
        <is>
          <t>I have trouble estimating how long it will take to complete a task.</t>
        </is>
      </c>
      <c r="C39" s="27" t="inlineStr">
        <is>
          <t>Time Management</t>
        </is>
      </c>
      <c r="D39" s="27" t="inlineStr">
        <is>
          <t>FALSE</t>
        </is>
      </c>
      <c r="E39" s="27" t="inlineStr">
        <is>
          <t>FALSE</t>
        </is>
      </c>
      <c r="F39" s="27" t="n"/>
    </row>
    <row r="40" ht="15" customHeight="1" s="17">
      <c r="A40" s="28" t="n">
        <v>11</v>
      </c>
      <c r="B40" s="27" t="inlineStr">
        <is>
          <t>I'm slow at getting ready for school, work, or appointments.</t>
        </is>
      </c>
      <c r="C40" s="27" t="inlineStr">
        <is>
          <t>Time Management</t>
        </is>
      </c>
      <c r="D40" s="27" t="inlineStr">
        <is>
          <t>FALSE</t>
        </is>
      </c>
      <c r="E40" s="27" t="inlineStr">
        <is>
          <t>FALSE</t>
        </is>
      </c>
      <c r="F40" s="27" t="n"/>
    </row>
    <row r="41" ht="15" customHeight="1" s="17">
      <c r="A41" s="28" t="n">
        <v>12</v>
      </c>
      <c r="B41" s="27" t="inlineStr">
        <is>
          <t>If the first solution to a problem doesn't work, I have trouble thinking of a different one.</t>
        </is>
      </c>
      <c r="C41" s="27" t="inlineStr">
        <is>
          <t>Plan Management</t>
        </is>
      </c>
      <c r="D41" s="27" t="inlineStr">
        <is>
          <t>FALSE</t>
        </is>
      </c>
      <c r="E41" s="27" t="inlineStr">
        <is>
          <t>FALSE</t>
        </is>
      </c>
      <c r="F41" s="27" t="n"/>
    </row>
    <row r="42" ht="15" customHeight="1" s="17">
      <c r="A42" s="28" t="n">
        <v>13</v>
      </c>
      <c r="B42" s="27" t="inlineStr">
        <is>
          <t>I skip checking my work for mistakes, even when the stakes are high.</t>
        </is>
      </c>
      <c r="C42" s="27" t="inlineStr">
        <is>
          <t>Plan Management</t>
        </is>
      </c>
      <c r="D42" s="27" t="inlineStr">
        <is>
          <t>FALSE</t>
        </is>
      </c>
      <c r="E42" s="27" t="inlineStr">
        <is>
          <t>FALSE</t>
        </is>
      </c>
      <c r="F42" s="27" t="n"/>
    </row>
    <row r="43" ht="15" customHeight="1" s="17">
      <c r="A43" s="28" t="n">
        <v>14</v>
      </c>
      <c r="B43" s="27" t="inlineStr">
        <is>
          <t>I get annoyed when tasks are too hard.</t>
        </is>
      </c>
      <c r="C43" s="27" t="inlineStr">
        <is>
          <t>Plan Management</t>
        </is>
      </c>
      <c r="D43" s="27" t="inlineStr">
        <is>
          <t>FALSE</t>
        </is>
      </c>
      <c r="E43" s="27" t="inlineStr">
        <is>
          <t>FALSE</t>
        </is>
      </c>
      <c r="F43" s="27" t="n"/>
    </row>
    <row r="44" ht="15" customHeight="1" s="17">
      <c r="A44" s="28" t="n">
        <v>15</v>
      </c>
      <c r="B44" s="27" t="inlineStr">
        <is>
          <t>It's hard for me to put aside fun activities to start things I know I need to do.</t>
        </is>
      </c>
      <c r="C44" s="27" t="inlineStr">
        <is>
          <t>Time Management</t>
        </is>
      </c>
      <c r="D44" s="27" t="inlineStr">
        <is>
          <t>FALSE</t>
        </is>
      </c>
      <c r="E44" s="27" t="inlineStr">
        <is>
          <t>FALSE</t>
        </is>
      </c>
      <c r="F44" s="27" t="n"/>
    </row>
    <row r="45" ht="15" customHeight="1" s="17">
      <c r="A45" s="28" t="n">
        <v>16</v>
      </c>
      <c r="B45" s="27" t="inlineStr">
        <is>
          <t>I have trouble with tasks where I have to come up with my own ideas.</t>
        </is>
      </c>
      <c r="C45" s="27" t="inlineStr">
        <is>
          <t>Plan Management</t>
        </is>
      </c>
      <c r="D45" s="27" t="inlineStr">
        <is>
          <t>FALSE</t>
        </is>
      </c>
      <c r="E45" s="27" t="inlineStr">
        <is>
          <t>FALSE</t>
        </is>
      </c>
      <c r="F45" s="27" t="n"/>
    </row>
    <row r="46" ht="15" customHeight="1" s="17">
      <c r="A46" s="28" t="n">
        <v>17</v>
      </c>
      <c r="B46" s="27" t="inlineStr">
        <is>
          <t>It's hard for me to tell how well I'm doing on a task.</t>
        </is>
      </c>
      <c r="C46" s="27" t="inlineStr">
        <is>
          <t>Plan Management</t>
        </is>
      </c>
      <c r="D46" s="27" t="inlineStr">
        <is>
          <t>FALSE</t>
        </is>
      </c>
      <c r="E46" s="27" t="inlineStr">
        <is>
          <t>FALSE</t>
        </is>
      </c>
      <c r="F46" s="27" t="n"/>
    </row>
    <row r="47" ht="15" customHeight="1" s="17">
      <c r="A47" s="28" t="n">
        <v>18</v>
      </c>
      <c r="B47" s="27" t="inlineStr">
        <is>
          <t>I have trouble reaching long-term goals.</t>
        </is>
      </c>
      <c r="C47" s="27" t="inlineStr">
        <is>
          <t>Plan Management</t>
        </is>
      </c>
      <c r="D47" s="27" t="inlineStr">
        <is>
          <t>FALSE</t>
        </is>
      </c>
      <c r="E47" s="27" t="inlineStr">
        <is>
          <t>FALSE</t>
        </is>
      </c>
      <c r="F47" s="27" t="n"/>
    </row>
    <row r="48" ht="15" customHeight="1" s="17">
      <c r="A48" s="28" t="n">
        <v>19</v>
      </c>
      <c r="B48" s="27" t="inlineStr">
        <is>
          <t>I "go with my gut" when making decisions.</t>
        </is>
      </c>
      <c r="C48" s="27" t="inlineStr">
        <is>
          <t>Behavioral Regulation</t>
        </is>
      </c>
      <c r="D48" s="27" t="inlineStr">
        <is>
          <t>FALSE</t>
        </is>
      </c>
      <c r="E48" s="27" t="inlineStr">
        <is>
          <t>FALSE</t>
        </is>
      </c>
      <c r="F48" s="27" t="n"/>
    </row>
    <row r="49" ht="15" customHeight="1" s="17">
      <c r="A49" s="28" t="n">
        <v>20</v>
      </c>
      <c r="B49" s="27" t="inlineStr">
        <is>
          <t>I get so wrapped up in what I'm doing that I forget about other things I need to do.</t>
        </is>
      </c>
      <c r="C49" s="27" t="inlineStr">
        <is>
          <t>Time Management</t>
        </is>
      </c>
      <c r="D49" s="27" t="inlineStr">
        <is>
          <t>FALSE</t>
        </is>
      </c>
      <c r="E49" s="27" t="inlineStr">
        <is>
          <t>FALSE</t>
        </is>
      </c>
      <c r="F49" s="27" t="n"/>
    </row>
    <row r="50" ht="15" customHeight="1" s="17">
      <c r="A50" s="28" t="n">
        <v>21</v>
      </c>
      <c r="B50" s="27" t="inlineStr">
        <is>
          <t>Little things frustrate me.</t>
        </is>
      </c>
      <c r="C50" s="27" t="inlineStr">
        <is>
          <t>Emotional Regulation</t>
        </is>
      </c>
      <c r="D50" s="27" t="inlineStr">
        <is>
          <t>FALSE</t>
        </is>
      </c>
      <c r="E50" s="27" t="inlineStr">
        <is>
          <t>FALSE</t>
        </is>
      </c>
      <c r="F50" s="27" t="n"/>
    </row>
    <row r="51" ht="15" customHeight="1" s="17">
      <c r="A51" s="28" t="n">
        <v>22</v>
      </c>
      <c r="B51" s="27" t="inlineStr">
        <is>
          <t>I have trouble getting back on track if I'm interrupted.</t>
        </is>
      </c>
      <c r="C51" s="27" t="inlineStr">
        <is>
          <t>Plan Management</t>
        </is>
      </c>
      <c r="D51" s="27" t="inlineStr">
        <is>
          <t>FALSE</t>
        </is>
      </c>
      <c r="E51" s="27" t="inlineStr">
        <is>
          <t>FALSE</t>
        </is>
      </c>
      <c r="F51" s="27" t="n"/>
    </row>
    <row r="52" ht="15" customHeight="1" s="17">
      <c r="A52" s="28" t="n">
        <v>23</v>
      </c>
      <c r="B52" s="27" t="inlineStr">
        <is>
          <t>I have trouble making a plan.</t>
        </is>
      </c>
      <c r="C52" s="27" t="inlineStr">
        <is>
          <t>Plan Management</t>
        </is>
      </c>
      <c r="D52" s="27" t="inlineStr">
        <is>
          <t>FALSE</t>
        </is>
      </c>
      <c r="E52" s="27" t="inlineStr">
        <is>
          <t>FALSE</t>
        </is>
      </c>
      <c r="F52" s="27" t="n"/>
    </row>
    <row r="53" ht="15" customHeight="1" s="17">
      <c r="A53" s="28" t="n">
        <v>24</v>
      </c>
      <c r="B53" s="27" t="inlineStr">
        <is>
          <t>I miss the big picture.</t>
        </is>
      </c>
      <c r="C53" s="27" t="inlineStr">
        <is>
          <t>Plan Management</t>
        </is>
      </c>
      <c r="D53" s="27" t="inlineStr">
        <is>
          <t>FALSE</t>
        </is>
      </c>
      <c r="E53" s="27" t="inlineStr">
        <is>
          <t>FALSE</t>
        </is>
      </c>
      <c r="F53" s="27" t="n"/>
    </row>
    <row r="54" ht="15" customHeight="1" s="17">
      <c r="A54" s="28" t="n">
        <v>25</v>
      </c>
      <c r="B54" s="27" t="inlineStr">
        <is>
          <t>I live for the moment.</t>
        </is>
      </c>
      <c r="C54" s="27" t="inlineStr">
        <is>
          <t>Behavioral Regulation</t>
        </is>
      </c>
      <c r="D54" s="27" t="inlineStr">
        <is>
          <t>FALSE</t>
        </is>
      </c>
      <c r="E54" s="27" t="inlineStr">
        <is>
          <t>FALSE</t>
        </is>
      </c>
      <c r="F54" s="27" t="n"/>
    </row>
  </sheetData>
  <autoFilter ref="A29:F5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49"/>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Cognitive Flexibility Inventory (CFI)</t>
        </is>
      </c>
    </row>
    <row r="3" ht="15" customHeight="1" s="17">
      <c r="A3" s="35" t="inlineStr">
        <is>
          <t>Instrument</t>
        </is>
      </c>
      <c r="B3" s="27" t="inlineStr">
        <is>
          <t>Cognitive Flexibility Inventory (CFI)</t>
        </is>
      </c>
    </row>
    <row r="4" ht="15" customHeight="1" s="17">
      <c r="A4" s="35" t="inlineStr">
        <is>
          <t>Code</t>
        </is>
      </c>
      <c r="B4" s="27" t="inlineStr">
        <is>
          <t>CFI</t>
        </is>
      </c>
    </row>
    <row r="5" ht="15" customHeight="1" s="17">
      <c r="A5" s="35" t="inlineStr">
        <is>
          <t>Domain</t>
        </is>
      </c>
      <c r="B5" s="27" t="inlineStr">
        <is>
          <t>1. Executive functioning and ADHD</t>
        </is>
      </c>
    </row>
    <row r="6" ht="15" customHeight="1" s="17">
      <c r="A6" s="35" t="inlineStr">
        <is>
          <t>Availability</t>
        </is>
      </c>
      <c r="B6" s="27" t="inlineStr">
        <is>
          <t>Free / open access</t>
        </is>
      </c>
    </row>
    <row r="7" ht="45" customHeight="1" s="17">
      <c r="A7" s="35" t="inlineStr">
        <is>
          <t>Construct</t>
        </is>
      </c>
      <c r="B7" s="27" t="inlineStr">
        <is>
          <t>Cognitive flexibility - the ability to perceive multiple alternative explanations for life occurrences and human behaviour, generate multiple alternative solutions to difficult situations, and perceive difficult situations as controllable</t>
        </is>
      </c>
    </row>
    <row r="8" ht="15" customHeight="1" s="17">
      <c r="A8" s="35" t="inlineStr">
        <is>
          <t>Respondent</t>
        </is>
      </c>
      <c r="B8" s="27" t="inlineStr">
        <is>
          <t>Self-report</t>
        </is>
      </c>
    </row>
    <row r="9" ht="15" customHeight="1" s="17">
      <c r="A9" s="35" t="inlineStr">
        <is>
          <t>Age range</t>
        </is>
      </c>
      <c r="B9" s="27" t="inlineStr">
        <is>
          <t>18+</t>
        </is>
      </c>
    </row>
    <row r="10" ht="15" customHeight="1" s="17">
      <c r="A10" s="35" t="inlineStr">
        <is>
          <t>Items in instrument</t>
        </is>
      </c>
      <c r="B10" s="27" t="inlineStr">
        <is>
          <t>20</t>
        </is>
      </c>
    </row>
    <row r="11" ht="15" customHeight="1" s="17">
      <c r="A11" s="35" t="inlineStr">
        <is>
          <t>Items reproduced here</t>
        </is>
      </c>
      <c r="B11" s="27" t="inlineStr">
        <is>
          <t>20</t>
        </is>
      </c>
    </row>
    <row r="12" ht="15" customHeight="1" s="17">
      <c r="A12" s="35" t="inlineStr">
        <is>
          <t>Administration time</t>
        </is>
      </c>
      <c r="B12" s="27" t="inlineStr">
        <is>
          <t>3 minutes</t>
        </is>
      </c>
    </row>
    <row r="13" ht="15" customHeight="1" s="17">
      <c r="A13" s="35" t="inlineStr">
        <is>
          <t>Cost and access</t>
        </is>
      </c>
      <c r="B13" s="27" t="inlineStr">
        <is>
          <t>Published in Dennis and Vander Wal (2010); blank form hosted free on NovoPsych.</t>
        </is>
      </c>
    </row>
    <row r="14" ht="30" customHeight="1" s="17">
      <c r="A14" s="35" t="inlineStr">
        <is>
          <t>Coaching application</t>
        </is>
      </c>
      <c r="B14" s="27" t="inlineStr">
        <is>
          <t>Measures cognitive flexibility, useful for tracking response to reframing and problem solving work. Scored in the opposite direction to the ESQ-R.</t>
        </is>
      </c>
    </row>
    <row r="15" ht="60" customHeight="1" s="17">
      <c r="A15" s="35" t="inlineStr">
        <is>
          <t>Purpose</t>
        </is>
      </c>
      <c r="B15" s="27" t="inlineStr">
        <is>
          <t>The CFI is a 20-item self-report measure used to monitor how often individuals engaged in cognitive behavioural thought challenging interventions. Cognitive flexibility is a core skill targeted in cognitive behavioral therapy that enables adaptive thinking during stressful life events and helps individuals avoid maladaptive thinking patterns.</t>
        </is>
      </c>
    </row>
    <row r="16" ht="30" customHeight="1" s="17">
      <c r="A16" s="35" t="inlineStr">
        <is>
          <t>Instructions / prompt</t>
        </is>
      </c>
      <c r="B16" s="27" t="inlineStr">
        <is>
          <t>Please use the scale below to indicate the extent to which you agree or disagree with the following statements.</t>
        </is>
      </c>
    </row>
    <row r="17" ht="30" customHeight="1" s="17">
      <c r="A17" s="35" t="inlineStr">
        <is>
          <t>Response options</t>
        </is>
      </c>
      <c r="B17" s="27" t="inlineStr">
        <is>
          <t>Strongly disagree = 1 | Disagree = 2 | Somewhat disagree = 3 | Neutral = 4 | Somewhat agree = 5 | Agree = 6 | Strongly agree = 7</t>
        </is>
      </c>
    </row>
    <row r="18" ht="15" customHeight="1" s="17">
      <c r="A18" s="35" t="inlineStr">
        <is>
          <t>Reverse-scored items</t>
        </is>
      </c>
      <c r="B18" s="27" t="inlineStr">
        <is>
          <t>2, 4, 7, 9, 11, 17</t>
        </is>
      </c>
    </row>
    <row r="19" ht="15" customHeight="1" s="17">
      <c r="A19" s="35" t="inlineStr">
        <is>
          <t>Filler items (not scored)</t>
        </is>
      </c>
      <c r="B19" s="27" t="inlineStr">
        <is>
          <t>None</t>
        </is>
      </c>
    </row>
    <row r="20" ht="60" customHeight="1" s="17">
      <c r="A20" s="35" t="inlineStr">
        <is>
          <t>Total scoring</t>
        </is>
      </c>
      <c r="B20" s="27" t="inlineStr">
        <is>
          <t>Each item is rated on a 7-point Likert scale from 1 (Strongly disagree) to 7 (Strongly agree). Items 2, 4, 7, 9, 11, and 17 are reverse scored. Item scores are summed to produce a total CFI score and two subscale scores (Alternatives and Control). A higher score indicates more cognitive flexibility.</t>
        </is>
      </c>
    </row>
    <row r="21" ht="90" customHeight="1" s="17">
      <c r="A21" s="35" t="inlineStr">
        <is>
          <t>Interpretation bands</t>
        </is>
      </c>
      <c r="B21" s="27" t="inlineStr">
        <is>
          <t>Clinically significant inflexibility: Below approximately the 25th percentile - Cognitive inflexibility of clinical significance; a target for CBT.
Average: Around the 50th percentile - More cognitive flexibility than 50 per cent of the normative sample.
High flexibility: Upper percentiles - Higher likelihood of adaptive responses to difficult life experiences.</t>
        </is>
      </c>
    </row>
    <row r="22" ht="30" customHeight="1" s="17">
      <c r="A22" s="35" t="inlineStr">
        <is>
          <t>Cut-offs</t>
        </is>
      </c>
      <c r="B22" s="27" t="inlineStr">
        <is>
          <t>No formal diagnostic cut-off. Percentiles below approximately 25 represent clinically significant cognitive inflexibility, which would be important to target within cognitive behavioural therapy.</t>
        </is>
      </c>
    </row>
    <row r="23" ht="30" customHeight="1" s="17">
      <c r="A23" s="35" t="inlineStr">
        <is>
          <t>Normative data</t>
        </is>
      </c>
      <c r="B23" s="27" t="inlineStr">
        <is>
          <t>Sample of 196 university students (Dennis &amp; Vander Wal, 2010): CFI total M = 102.98 (SD = 13.91); Alternatives M = 67.59 (SD = 9.41); Control M = 35.35 (SD = 7.02).</t>
        </is>
      </c>
    </row>
    <row r="24" ht="90" customHeight="1" s="17">
      <c r="A24" s="35" t="inlineStr">
        <is>
          <t>Psychometric properties</t>
        </is>
      </c>
      <c r="B24" s="27" t="inlineStr">
        <is>
          <t>Test-retest reliability: total r = .81; Alternatives r = .75; Control r = .77 (Dennis &amp; Vander Wal, 2010). Internal consistency: Alternatives alpha = .91; Control alpha = .86; total alpha = .90. Convergent construct validity established through associations with other measures of cognitive flexibility, depressive symptomatology and coping (Dennis &amp; Vander Wal, 2010). The CFI differentiates a clinical group (anxiety and depression) from a non-clinical sample, with the clinical group scoring significantly lower on total and subscale scores (Johnco, Wuthrich, &amp; Rapee, 2014).</t>
        </is>
      </c>
    </row>
    <row r="25" ht="45" customHeight="1" s="17">
      <c r="A25" s="35" t="inlineStr">
        <is>
          <t>Developer citation</t>
        </is>
      </c>
      <c r="B25" s="27" t="inlineStr">
        <is>
          <t>Dennis, J. P., &amp; Vander Wal, J. S. (2010). The cognitive flexibility inventory: Instrument development and estimates of reliability and validity. Cognitive Therapy and Research, 34(3), 241-253. https://doi.org/10.1007/s10608-009-9276-4</t>
        </is>
      </c>
    </row>
    <row r="26" ht="30" customHeight="1" s="17">
      <c r="A26" s="35" t="inlineStr">
        <is>
          <t>Copyright and licensing</t>
        </is>
      </c>
      <c r="B26" s="27" t="inlineStr">
        <is>
          <t>© 2026 Copyright – NovoPsych – All rights reserved. Sample report footer: Copyright 2022 NovoPsych Pty Ltd.</t>
        </is>
      </c>
    </row>
    <row r="27" ht="15" customHeight="1" s="17">
      <c r="A27" s="35" t="inlineStr">
        <is>
          <t>Source URL</t>
        </is>
      </c>
      <c r="B27" s="27" t="inlineStr">
        <is>
          <t>https://novopsych.com/assessments/formulation/cognitive-flexibility-inventory-cfi/</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I am good at "sizing up" situations.</t>
        </is>
      </c>
      <c r="C30" s="27" t="inlineStr">
        <is>
          <t>Alternatives</t>
        </is>
      </c>
      <c r="D30" s="27" t="inlineStr">
        <is>
          <t>FALSE</t>
        </is>
      </c>
      <c r="E30" s="27" t="inlineStr">
        <is>
          <t>FALSE</t>
        </is>
      </c>
      <c r="F30" s="27" t="n"/>
    </row>
    <row r="31" ht="15" customHeight="1" s="17">
      <c r="A31" s="28" t="n">
        <v>2</v>
      </c>
      <c r="B31" s="27" t="inlineStr">
        <is>
          <t>I have a hard time making decisions when faced with difficult situations.</t>
        </is>
      </c>
      <c r="C31" s="27" t="inlineStr">
        <is>
          <t>Control</t>
        </is>
      </c>
      <c r="D31" s="34" t="inlineStr">
        <is>
          <t>TRUE</t>
        </is>
      </c>
      <c r="E31" s="27" t="inlineStr">
        <is>
          <t>FALSE</t>
        </is>
      </c>
      <c r="F31" s="27" t="n"/>
    </row>
    <row r="32" ht="15" customHeight="1" s="17">
      <c r="A32" s="28" t="n">
        <v>3</v>
      </c>
      <c r="B32" s="27" t="inlineStr">
        <is>
          <t>I consider multiple options before making a decision.</t>
        </is>
      </c>
      <c r="C32" s="27" t="inlineStr">
        <is>
          <t>Alternatives</t>
        </is>
      </c>
      <c r="D32" s="27" t="inlineStr">
        <is>
          <t>FALSE</t>
        </is>
      </c>
      <c r="E32" s="27" t="inlineStr">
        <is>
          <t>FALSE</t>
        </is>
      </c>
      <c r="F32" s="27" t="n"/>
    </row>
    <row r="33" ht="15" customHeight="1" s="17">
      <c r="A33" s="28" t="n">
        <v>4</v>
      </c>
      <c r="B33" s="27" t="inlineStr">
        <is>
          <t>When I encounter difficult situations, I feel like I am losing control.</t>
        </is>
      </c>
      <c r="C33" s="27" t="inlineStr">
        <is>
          <t>Control</t>
        </is>
      </c>
      <c r="D33" s="34" t="inlineStr">
        <is>
          <t>TRUE</t>
        </is>
      </c>
      <c r="E33" s="27" t="inlineStr">
        <is>
          <t>FALSE</t>
        </is>
      </c>
      <c r="F33" s="27" t="n"/>
    </row>
    <row r="34" ht="15" customHeight="1" s="17">
      <c r="A34" s="28" t="n">
        <v>5</v>
      </c>
      <c r="B34" s="27" t="inlineStr">
        <is>
          <t>I like to look at difficult situations from many different angles.</t>
        </is>
      </c>
      <c r="C34" s="27" t="inlineStr">
        <is>
          <t>Alternatives</t>
        </is>
      </c>
      <c r="D34" s="27" t="inlineStr">
        <is>
          <t>FALSE</t>
        </is>
      </c>
      <c r="E34" s="27" t="inlineStr">
        <is>
          <t>FALSE</t>
        </is>
      </c>
      <c r="F34" s="27" t="n"/>
    </row>
    <row r="35" ht="15" customHeight="1" s="17">
      <c r="A35" s="28" t="n">
        <v>6</v>
      </c>
      <c r="B35" s="27" t="inlineStr">
        <is>
          <t>I seek additional information not immediately available before attributing causes to behaviour.</t>
        </is>
      </c>
      <c r="C35" s="27" t="inlineStr">
        <is>
          <t>Alternatives</t>
        </is>
      </c>
      <c r="D35" s="27" t="inlineStr">
        <is>
          <t>FALSE</t>
        </is>
      </c>
      <c r="E35" s="27" t="inlineStr">
        <is>
          <t>FALSE</t>
        </is>
      </c>
      <c r="F35" s="27" t="n"/>
    </row>
    <row r="36" ht="23.85" customHeight="1" s="17">
      <c r="A36" s="28" t="n">
        <v>7</v>
      </c>
      <c r="B36" s="27" t="inlineStr">
        <is>
          <t>When encountering difficult situations, I become so stressed that I can not think of a way to resolve the situation.</t>
        </is>
      </c>
      <c r="C36" s="27" t="inlineStr">
        <is>
          <t>Control</t>
        </is>
      </c>
      <c r="D36" s="34" t="inlineStr">
        <is>
          <t>TRUE</t>
        </is>
      </c>
      <c r="E36" s="27" t="inlineStr">
        <is>
          <t>FALSE</t>
        </is>
      </c>
      <c r="F36" s="27" t="n"/>
    </row>
    <row r="37" ht="15" customHeight="1" s="17">
      <c r="A37" s="28" t="n">
        <v>8</v>
      </c>
      <c r="B37" s="27" t="inlineStr">
        <is>
          <t>I try to think about things from another person's point of view.</t>
        </is>
      </c>
      <c r="C37" s="27" t="inlineStr">
        <is>
          <t>Alternatives</t>
        </is>
      </c>
      <c r="D37" s="27" t="inlineStr">
        <is>
          <t>FALSE</t>
        </is>
      </c>
      <c r="E37" s="27" t="inlineStr">
        <is>
          <t>FALSE</t>
        </is>
      </c>
      <c r="F37" s="27" t="n"/>
    </row>
    <row r="38" ht="15" customHeight="1" s="17">
      <c r="A38" s="28" t="n">
        <v>9</v>
      </c>
      <c r="B38" s="27" t="inlineStr">
        <is>
          <t>I find it troublesome that there are so many different ways to deal with difficult situations.</t>
        </is>
      </c>
      <c r="C38" s="27" t="inlineStr">
        <is>
          <t>Control</t>
        </is>
      </c>
      <c r="D38" s="34" t="inlineStr">
        <is>
          <t>TRUE</t>
        </is>
      </c>
      <c r="E38" s="27" t="inlineStr">
        <is>
          <t>FALSE</t>
        </is>
      </c>
      <c r="F38" s="27" t="n"/>
    </row>
    <row r="39" ht="15" customHeight="1" s="17">
      <c r="A39" s="28" t="n">
        <v>10</v>
      </c>
      <c r="B39" s="27" t="inlineStr">
        <is>
          <t>I am good at putting myself in others' shoes.</t>
        </is>
      </c>
      <c r="C39" s="27" t="inlineStr">
        <is>
          <t>Alternatives</t>
        </is>
      </c>
      <c r="D39" s="27" t="inlineStr">
        <is>
          <t>FALSE</t>
        </is>
      </c>
      <c r="E39" s="27" t="inlineStr">
        <is>
          <t>FALSE</t>
        </is>
      </c>
      <c r="F39" s="27" t="n"/>
    </row>
    <row r="40" ht="15" customHeight="1" s="17">
      <c r="A40" s="28" t="n">
        <v>11</v>
      </c>
      <c r="B40" s="27" t="inlineStr">
        <is>
          <t>When I encounter difficult situations, I just don't know what to do.</t>
        </is>
      </c>
      <c r="C40" s="27" t="inlineStr">
        <is>
          <t>Control</t>
        </is>
      </c>
      <c r="D40" s="34" t="inlineStr">
        <is>
          <t>TRUE</t>
        </is>
      </c>
      <c r="E40" s="27" t="inlineStr">
        <is>
          <t>FALSE</t>
        </is>
      </c>
      <c r="F40" s="27" t="n"/>
    </row>
    <row r="41" ht="15" customHeight="1" s="17">
      <c r="A41" s="28" t="n">
        <v>12</v>
      </c>
      <c r="B41" s="27" t="inlineStr">
        <is>
          <t>It is important to look at difficult situations from many angles.</t>
        </is>
      </c>
      <c r="C41" s="27" t="inlineStr">
        <is>
          <t>Alternatives</t>
        </is>
      </c>
      <c r="D41" s="27" t="inlineStr">
        <is>
          <t>FALSE</t>
        </is>
      </c>
      <c r="E41" s="27" t="inlineStr">
        <is>
          <t>FALSE</t>
        </is>
      </c>
      <c r="F41" s="27" t="n"/>
    </row>
    <row r="42" ht="15" customHeight="1" s="17">
      <c r="A42" s="28" t="n">
        <v>13</v>
      </c>
      <c r="B42" s="27" t="inlineStr">
        <is>
          <t>When in difficult situations, I consider multiple options before deciding how to behave.</t>
        </is>
      </c>
      <c r="C42" s="27" t="inlineStr">
        <is>
          <t>Alternatives</t>
        </is>
      </c>
      <c r="D42" s="27" t="inlineStr">
        <is>
          <t>FALSE</t>
        </is>
      </c>
      <c r="E42" s="27" t="inlineStr">
        <is>
          <t>FALSE</t>
        </is>
      </c>
      <c r="F42" s="27" t="n"/>
    </row>
    <row r="43" ht="15" customHeight="1" s="17">
      <c r="A43" s="28" t="n">
        <v>14</v>
      </c>
      <c r="B43" s="27" t="inlineStr">
        <is>
          <t>I often look at a situation from different view-points.</t>
        </is>
      </c>
      <c r="C43" s="27" t="inlineStr">
        <is>
          <t>Alternatives</t>
        </is>
      </c>
      <c r="D43" s="27" t="inlineStr">
        <is>
          <t>FALSE</t>
        </is>
      </c>
      <c r="E43" s="27" t="inlineStr">
        <is>
          <t>FALSE</t>
        </is>
      </c>
      <c r="F43" s="27" t="n"/>
    </row>
    <row r="44" ht="15" customHeight="1" s="17">
      <c r="A44" s="28" t="n">
        <v>15</v>
      </c>
      <c r="B44" s="27" t="inlineStr">
        <is>
          <t>I am capable of overcoming the difficulties in life that I face.</t>
        </is>
      </c>
      <c r="C44" s="27" t="inlineStr">
        <is>
          <t>Control</t>
        </is>
      </c>
      <c r="D44" s="27" t="inlineStr">
        <is>
          <t>FALSE</t>
        </is>
      </c>
      <c r="E44" s="27" t="inlineStr">
        <is>
          <t>FALSE</t>
        </is>
      </c>
      <c r="F44" s="27" t="n"/>
    </row>
    <row r="45" ht="15" customHeight="1" s="17">
      <c r="A45" s="28" t="n">
        <v>16</v>
      </c>
      <c r="B45" s="27" t="inlineStr">
        <is>
          <t>I consider all the available facts and information when attributing causes to behaviour.</t>
        </is>
      </c>
      <c r="C45" s="27" t="inlineStr">
        <is>
          <t>Alternatives</t>
        </is>
      </c>
      <c r="D45" s="27" t="inlineStr">
        <is>
          <t>FALSE</t>
        </is>
      </c>
      <c r="E45" s="27" t="inlineStr">
        <is>
          <t>FALSE</t>
        </is>
      </c>
      <c r="F45" s="27" t="n"/>
    </row>
    <row r="46" ht="15" customHeight="1" s="17">
      <c r="A46" s="28" t="n">
        <v>17</v>
      </c>
      <c r="B46" s="27" t="inlineStr">
        <is>
          <t>I feel I have no power to change things in difficult situations.</t>
        </is>
      </c>
      <c r="C46" s="27" t="inlineStr">
        <is>
          <t>Control</t>
        </is>
      </c>
      <c r="D46" s="34" t="inlineStr">
        <is>
          <t>TRUE</t>
        </is>
      </c>
      <c r="E46" s="27" t="inlineStr">
        <is>
          <t>FALSE</t>
        </is>
      </c>
      <c r="F46" s="27" t="n"/>
    </row>
    <row r="47" ht="15" customHeight="1" s="17">
      <c r="A47" s="28" t="n">
        <v>18</v>
      </c>
      <c r="B47" s="27" t="inlineStr">
        <is>
          <t>When I encounter difficult situations, I stop and try to think of several ways to resolve it.</t>
        </is>
      </c>
      <c r="C47" s="27" t="inlineStr">
        <is>
          <t>Alternatives</t>
        </is>
      </c>
      <c r="D47" s="27" t="inlineStr">
        <is>
          <t>FALSE</t>
        </is>
      </c>
      <c r="E47" s="27" t="inlineStr">
        <is>
          <t>FALSE</t>
        </is>
      </c>
      <c r="F47" s="27" t="n"/>
    </row>
    <row r="48" ht="15" customHeight="1" s="17">
      <c r="A48" s="28" t="n">
        <v>19</v>
      </c>
      <c r="B48" s="27" t="inlineStr">
        <is>
          <t>I can think of more than one way to resolve a difficult situation I'm confronted with.</t>
        </is>
      </c>
      <c r="C48" s="27" t="inlineStr">
        <is>
          <t>Alternatives</t>
        </is>
      </c>
      <c r="D48" s="27" t="inlineStr">
        <is>
          <t>FALSE</t>
        </is>
      </c>
      <c r="E48" s="27" t="inlineStr">
        <is>
          <t>FALSE</t>
        </is>
      </c>
      <c r="F48" s="27" t="n"/>
    </row>
    <row r="49" ht="15" customHeight="1" s="17">
      <c r="A49" s="28" t="n">
        <v>20</v>
      </c>
      <c r="B49" s="27" t="inlineStr">
        <is>
          <t>I consider multiple options before responding to difficult situations.</t>
        </is>
      </c>
      <c r="C49" s="27" t="inlineStr">
        <is>
          <t>Alternatives</t>
        </is>
      </c>
      <c r="D49" s="27" t="inlineStr">
        <is>
          <t>FALSE</t>
        </is>
      </c>
      <c r="E49" s="27" t="inlineStr">
        <is>
          <t>FALSE</t>
        </is>
      </c>
      <c r="F49" s="27" t="n"/>
    </row>
  </sheetData>
  <autoFilter ref="A29:F4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Adult ADHD Self-Report Scale (ASRS v1.1)</t>
        </is>
      </c>
    </row>
    <row r="3" ht="15" customHeight="1" s="17">
      <c r="A3" s="35" t="inlineStr">
        <is>
          <t>Instrument</t>
        </is>
      </c>
      <c r="B3" s="27" t="inlineStr">
        <is>
          <t>Adult ADHD Self-Report Scale (ASRS v1.1)</t>
        </is>
      </c>
    </row>
    <row r="4" ht="15" customHeight="1" s="17">
      <c r="A4" s="35" t="inlineStr">
        <is>
          <t>Code</t>
        </is>
      </c>
      <c r="B4" s="27" t="inlineStr">
        <is>
          <t>ASRS</t>
        </is>
      </c>
    </row>
    <row r="5" ht="15" customHeight="1" s="17">
      <c r="A5" s="35" t="inlineStr">
        <is>
          <t>Domain</t>
        </is>
      </c>
      <c r="B5" s="27" t="inlineStr">
        <is>
          <t>1. Executive functioning and ADHD</t>
        </is>
      </c>
    </row>
    <row r="6" ht="15" customHeight="1" s="17">
      <c r="A6" s="35" t="inlineStr">
        <is>
          <t>Availability</t>
        </is>
      </c>
      <c r="B6" s="27" t="inlineStr">
        <is>
          <t>Free / open access</t>
        </is>
      </c>
    </row>
    <row r="7" ht="30" customHeight="1" s="17">
      <c r="A7" s="35" t="inlineStr">
        <is>
          <t>Construct</t>
        </is>
      </c>
      <c r="B7" s="27" t="inlineStr">
        <is>
          <t>Attention Deficit Hyperactivity Disorder (ADHD) symptoms in adults, spanning inattentiveness and hyperactivity/impulsivity (including motor and verbal components)</t>
        </is>
      </c>
    </row>
    <row r="8" ht="15" customHeight="1" s="17">
      <c r="A8" s="35" t="inlineStr">
        <is>
          <t>Respondent</t>
        </is>
      </c>
      <c r="B8" s="27" t="inlineStr">
        <is>
          <t>self-report</t>
        </is>
      </c>
    </row>
    <row r="9" ht="15" customHeight="1" s="17">
      <c r="A9" s="35" t="inlineStr">
        <is>
          <t>Age range</t>
        </is>
      </c>
      <c r="B9" s="27" t="inlineStr">
        <is>
          <t>18+</t>
        </is>
      </c>
    </row>
    <row r="10" ht="15" customHeight="1" s="17">
      <c r="A10" s="35" t="inlineStr">
        <is>
          <t>Items in instrument</t>
        </is>
      </c>
      <c r="B10" s="27" t="inlineStr">
        <is>
          <t>18</t>
        </is>
      </c>
    </row>
    <row r="11" ht="15" customHeight="1" s="17">
      <c r="A11" s="35" t="inlineStr">
        <is>
          <t>Items reproduced here</t>
        </is>
      </c>
      <c r="B11" s="27" t="inlineStr">
        <is>
          <t>18</t>
        </is>
      </c>
    </row>
    <row r="12" ht="15" customHeight="1" s="17">
      <c r="A12" s="35" t="inlineStr">
        <is>
          <t>Administration time</t>
        </is>
      </c>
      <c r="B12" s="27" t="inlineStr">
        <is>
          <t>3 minutes</t>
        </is>
      </c>
    </row>
    <row r="13" ht="30" customHeight="1" s="17">
      <c r="A13" s="35" t="inlineStr">
        <is>
          <t>Cost and access</t>
        </is>
      </c>
      <c r="B13" s="27" t="inlineStr">
        <is>
          <t>Public domain WHO instrument. Blank form hosted free on NovoPsych; scoring and reports need a NovoPsych account.</t>
        </is>
      </c>
    </row>
    <row r="14" ht="30" customHeight="1" s="17">
      <c r="A14" s="35" t="inlineStr">
        <is>
          <t>Coaching application</t>
        </is>
      </c>
      <c r="B14" s="27" t="inlineStr">
        <is>
          <t>Screening and severity measure for current adult ADHD symptoms; pairs with the WURS-25 for childhood history. Not a diagnostic instrument on its own.</t>
        </is>
      </c>
    </row>
    <row r="15" ht="75" customHeight="1" s="17">
      <c r="A15" s="35" t="inlineStr">
        <is>
          <t>Purpose</t>
        </is>
      </c>
      <c r="B15" s="27" t="inlineStr">
        <is>
          <t>The ASRS v1.1 is an 18-item self-report questionnaire designed to assess ADHD symptoms in adults. It is based on the World Health Organization Composite International Diagnostic Interview (2001) and is worded to be consistent with both DSM-IV and DSM-5-TR criteria as they manifest in adults. It is intended as a screening tool used alongside clinical interview and other measures (e.g. the WURS for childhood history) rather than as a standalone diagnostic instrument.</t>
        </is>
      </c>
    </row>
    <row r="16" ht="45" customHeight="1" s="17">
      <c r="A16" s="35" t="inlineStr">
        <is>
          <t>Instructions / prompt</t>
        </is>
      </c>
      <c r="B16" s="27" t="inlineStr">
        <is>
          <t>Please answer the questions below, rating yourself on each of the criteria shown. As you answer each question, select the box that best describes how you have felt and conducted yourself over the past 6 months.</t>
        </is>
      </c>
    </row>
    <row r="17" ht="15" customHeight="1" s="17">
      <c r="A17" s="35" t="inlineStr">
        <is>
          <t>Response options</t>
        </is>
      </c>
      <c r="B17" s="27" t="inlineStr">
        <is>
          <t>Never = 0 | Rarely = 1 | Sometimes = 2 | Often = 3 | Very Often = 4</t>
        </is>
      </c>
    </row>
    <row r="18" ht="15" customHeight="1" s="17">
      <c r="A18" s="35" t="inlineStr">
        <is>
          <t>Reverse-scored items</t>
        </is>
      </c>
      <c r="B18" s="27" t="inlineStr">
        <is>
          <t>None</t>
        </is>
      </c>
    </row>
    <row r="19" ht="15" customHeight="1" s="17">
      <c r="A19" s="35" t="inlineStr">
        <is>
          <t>Filler items (not scored)</t>
        </is>
      </c>
      <c r="B19" s="27" t="inlineStr">
        <is>
          <t>None</t>
        </is>
      </c>
    </row>
    <row r="20" ht="75" customHeight="1" s="17">
      <c r="A20" s="35" t="inlineStr">
        <is>
          <t>Total scoring</t>
        </is>
      </c>
      <c r="B20" s="27" t="inlineStr">
        <is>
          <t>As of the 2024 update, each of the 18 items is scored on a 5-point Likert scale (Never=0, Rarely=1, Sometimes=2, Often=3, Very Often=4). Part A = sum of items 1-6 (range 0-24). Part B = sum of items 7-18 (range 0-48). Total = sum of all 18 items (range 0-72). The original dichotomous (0/1) scoring is still used separately to calculate the 'percent of symptoms endorsed' for subtype/subscale reporting.</t>
        </is>
      </c>
    </row>
    <row r="21" ht="169.5" customHeight="1" s="17">
      <c r="A21" s="35" t="inlineStr">
        <is>
          <t>Interpretation bands</t>
        </is>
      </c>
      <c r="B21" s="27" t="inlineStr">
        <is>
          <t>Part A - Low: 0-9 - Not consistent with an ADHD diagnosis.
Part A - Mild to Moderate: 10-13 - Below the screening threshold; some symptoms reported.
Part A - High: 14-17 - Clinically significant. Symptom profile consistent with a DSM-5-TR ADHD diagnosis in adults.
Part A - Very High: 18-24 - Clinically significant; symptoms endorsed at high frequency.
Part B - Low: 0-19 - Low additional symptom burden.
Part B - Mild to Moderate: 20-26 - Below the clinically significant range.
Part B - High: 27-32 - Clinically significant.
Part B - Very High: 33-48 - Clinically significant; high additional symptom burden.
Total - Low: 0-30 - Low overall symptom burden.
Total - Mild to Moderate: 31-39 - Below the range typical of adults with ADHD.
Total - High: 40-49 - At or above the 79th percentile; in most cases someone with ADHD will score in this range or above.
Total - Very High: 50-72 - Very high overall symptom burden.</t>
        </is>
      </c>
    </row>
    <row r="22" ht="75" customHeight="1" s="17">
      <c r="A22" s="35" t="inlineStr">
        <is>
          <t>Cut-offs</t>
        </is>
      </c>
      <c r="B22" s="27" t="inlineStr">
        <is>
          <t>Part A &gt;= 14 constitutes a positive screen and a symptom profile consistent with a DSM-5-TR adult ADHD diagnosis (Adler et al., 2006; Kessler et al., 2007; Harvard Medical School, 2024). Part B &gt;= 27 is clinically significant. A total score at or above the 79th percentile (raw &gt;= 40) typically indicates ADHD. Kessler et al. (2007) four-level Part A classification: 0-9, 10-13, 14-17, 18-24 (AUC = 0.90). Always use alongside clinical interview.</t>
        </is>
      </c>
    </row>
    <row r="23" ht="75" customHeight="1" s="17">
      <c r="A23" s="35" t="inlineStr">
        <is>
          <t>Normative data</t>
        </is>
      </c>
      <c r="B23" s="27" t="inlineStr">
        <is>
          <t>Adler et al. (2018/2019) sample of 22,397 adults, 465 (2.1%) self-reporting a physician ADHD diagnosis. NovoPsych recalculated summed means/SDs (Likert scoring), accounting for inter-item correlations (r = 0.32 within parts, r = 0.74 between Parts A and B). ADHD group (n = 465): Part A M = 16.71 (SD 5.07); Part B M = 32.74 (SD 9.16); Total M = 49.45 (SD 13.36). Community sample (n = 21,932): Part A M = 10.88 (SD 3.76); Part B M = 21.60 (SD 6.69); Total M = 32.48 (SD 9.80).</t>
        </is>
      </c>
    </row>
    <row r="24" ht="120" customHeight="1" s="17">
      <c r="A24" s="35" t="inlineStr">
        <is>
          <t>Psychometric properties</t>
        </is>
      </c>
      <c r="B24" s="27" t="inlineStr">
        <is>
          <t>Internal consistency: Cronbach's alpha = .88 in adult ADHD patients (Adler et al., 2006); .952 for the full scale (Brevik et al., 2020). Concurrent validity with clinician-rated symptoms r = .84 (Adler et al., 2006). Diagnostic accuracy: AUC = .904 for the 18-item scale and .903 for the six Part A items (Brevik et al., 2020); AUC = .90 for the Kessler et al. (2007) four-level Part A classification. Under the previous scoring convention, sensitivity 1.0, specificity .71, PPP .52, NPP 1.0 (Hines, King &amp; Curry, 2012). Combined with the WURS-25, AUC = .964. Factor structure: CFA in over 1,000 adults identified three factors - Inattentiveness, Motor Hyperactivity/Impulsivity, Verbal Hyperactivity/Impulsivity (Stanton et al., 2018).</t>
        </is>
      </c>
    </row>
    <row r="25" ht="60" customHeight="1" s="17">
      <c r="A25" s="35" t="inlineStr">
        <is>
          <t>Developer citation</t>
        </is>
      </c>
      <c r="B25" s="27" t="inlineStr">
        <is>
          <t>Kessler, R. C., Adler, L., Ames, M., Demler, O., Faraone, S., Hiripi, E., Howes, M. J., Jin, R., Secnik, K., Spencer, T., Ustun, T. B., &amp; Walters, E. E. (2005). The World Health Organization Adult ADHD Self-Report Scale (ASRS): a short screening scale for use in the general population. Psychological Medicine, 35(2), 245-256. https://doi.org/10.1017/s0033291704002892</t>
        </is>
      </c>
    </row>
    <row r="26" ht="30" customHeight="1" s="17">
      <c r="A26" s="35" t="inlineStr">
        <is>
          <t>Copyright and licensing</t>
        </is>
      </c>
      <c r="B26" s="27" t="inlineStr">
        <is>
          <t>Public-domain WHO instrument (ASRS v1.1 Symptom Checklist). Freely reproducible for clinical and research use; NovoPsych hosts the blank form as a public PDF.</t>
        </is>
      </c>
    </row>
    <row r="27" ht="15" customHeight="1" s="17">
      <c r="A27" s="35" t="inlineStr">
        <is>
          <t>Source URL</t>
        </is>
      </c>
      <c r="B27" s="27" t="inlineStr">
        <is>
          <t>https://novopsych.com/assessments/diagnosis/adult-adhd-self-report-scale-asrs/</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How often do you have trouble wrapping up the final details of a project, once the challenging parts have been done?</t>
        </is>
      </c>
      <c r="C30" s="27" t="inlineStr">
        <is>
          <t>Part A | Inattentiveness</t>
        </is>
      </c>
      <c r="D30" s="27" t="inlineStr">
        <is>
          <t>FALSE</t>
        </is>
      </c>
      <c r="E30" s="27" t="inlineStr">
        <is>
          <t>FALSE</t>
        </is>
      </c>
      <c r="F30" s="27" t="n"/>
    </row>
    <row r="31" ht="23.85" customHeight="1" s="17">
      <c r="A31" s="28" t="n">
        <v>2</v>
      </c>
      <c r="B31" s="27" t="inlineStr">
        <is>
          <t>How often do you have difficulty getting things in order when you have to do a task that requires organisation?</t>
        </is>
      </c>
      <c r="C31" s="27" t="inlineStr">
        <is>
          <t>Part A | Inattentiveness</t>
        </is>
      </c>
      <c r="D31" s="27" t="inlineStr">
        <is>
          <t>FALSE</t>
        </is>
      </c>
      <c r="E31" s="27" t="inlineStr">
        <is>
          <t>FALSE</t>
        </is>
      </c>
      <c r="F31" s="27" t="n"/>
    </row>
    <row r="32" ht="15" customHeight="1" s="17">
      <c r="A32" s="28" t="n">
        <v>3</v>
      </c>
      <c r="B32" s="27" t="inlineStr">
        <is>
          <t>How often do you have problems remembering appointments or obligations?</t>
        </is>
      </c>
      <c r="C32" s="27" t="inlineStr">
        <is>
          <t>Part A | Inattentiveness</t>
        </is>
      </c>
      <c r="D32" s="27" t="inlineStr">
        <is>
          <t>FALSE</t>
        </is>
      </c>
      <c r="E32" s="27" t="inlineStr">
        <is>
          <t>FALSE</t>
        </is>
      </c>
      <c r="F32" s="27" t="n"/>
    </row>
    <row r="33" ht="23.85" customHeight="1" s="17">
      <c r="A33" s="28" t="n">
        <v>4</v>
      </c>
      <c r="B33" s="27" t="inlineStr">
        <is>
          <t>When you have a task that requires a lot of thought, how often do you avoid or delay getting started?</t>
        </is>
      </c>
      <c r="C33" s="27" t="inlineStr">
        <is>
          <t>Part A | Inattentiveness</t>
        </is>
      </c>
      <c r="D33" s="27" t="inlineStr">
        <is>
          <t>FALSE</t>
        </is>
      </c>
      <c r="E33" s="27" t="inlineStr">
        <is>
          <t>FALSE</t>
        </is>
      </c>
      <c r="F33" s="27" t="n"/>
    </row>
    <row r="34" ht="23.85" customHeight="1" s="17">
      <c r="A34" s="28" t="n">
        <v>5</v>
      </c>
      <c r="B34" s="27" t="inlineStr">
        <is>
          <t>How often do you fidget or squirm with your hands or feet when you have to sit down for a long time?</t>
        </is>
      </c>
      <c r="C34" s="27" t="inlineStr">
        <is>
          <t>Part A | Hyperactivity/Impulsivity - Motor</t>
        </is>
      </c>
      <c r="D34" s="27" t="inlineStr">
        <is>
          <t>FALSE</t>
        </is>
      </c>
      <c r="E34" s="27" t="inlineStr">
        <is>
          <t>FALSE</t>
        </is>
      </c>
      <c r="F34" s="27" t="n"/>
    </row>
    <row r="35" ht="15" customHeight="1" s="17">
      <c r="A35" s="28" t="n">
        <v>6</v>
      </c>
      <c r="B35" s="27" t="inlineStr">
        <is>
          <t>How often do you feel overly active and compelled to do things, like you were driven by a motor?</t>
        </is>
      </c>
      <c r="C35" s="27" t="inlineStr">
        <is>
          <t>Part A | Hyperactivity/Impulsivity - Motor</t>
        </is>
      </c>
      <c r="D35" s="27" t="inlineStr">
        <is>
          <t>FALSE</t>
        </is>
      </c>
      <c r="E35" s="27" t="inlineStr">
        <is>
          <t>FALSE</t>
        </is>
      </c>
      <c r="F35" s="27" t="n"/>
    </row>
    <row r="36" ht="15" customHeight="1" s="17">
      <c r="A36" s="28" t="n">
        <v>7</v>
      </c>
      <c r="B36" s="27" t="inlineStr">
        <is>
          <t>How often do you make careless mistakes when you have to work on a boring or difficult project?</t>
        </is>
      </c>
      <c r="C36" s="27" t="inlineStr">
        <is>
          <t>Part B | Inattentiveness</t>
        </is>
      </c>
      <c r="D36" s="27" t="inlineStr">
        <is>
          <t>FALSE</t>
        </is>
      </c>
      <c r="E36" s="27" t="inlineStr">
        <is>
          <t>FALSE</t>
        </is>
      </c>
      <c r="F36" s="27" t="n"/>
    </row>
    <row r="37" ht="23.85" customHeight="1" s="17">
      <c r="A37" s="28" t="n">
        <v>8</v>
      </c>
      <c r="B37" s="27" t="inlineStr">
        <is>
          <t>How often do you have difficulty keeping your attention when you are doing boring or repetitive work?</t>
        </is>
      </c>
      <c r="C37" s="27" t="inlineStr">
        <is>
          <t>Part B | Inattentiveness</t>
        </is>
      </c>
      <c r="D37" s="27" t="inlineStr">
        <is>
          <t>FALSE</t>
        </is>
      </c>
      <c r="E37" s="27" t="inlineStr">
        <is>
          <t>FALSE</t>
        </is>
      </c>
      <c r="F37" s="27" t="n"/>
    </row>
    <row r="38" ht="23.85" customHeight="1" s="17">
      <c r="A38" s="28" t="n">
        <v>9</v>
      </c>
      <c r="B38" s="27" t="inlineStr">
        <is>
          <t>How often do you have difficulty concentrating on what people say to you, even when they are speaking to you directly?</t>
        </is>
      </c>
      <c r="C38" s="27" t="inlineStr">
        <is>
          <t>Part B | Inattentiveness</t>
        </is>
      </c>
      <c r="D38" s="27" t="inlineStr">
        <is>
          <t>FALSE</t>
        </is>
      </c>
      <c r="E38" s="27" t="inlineStr">
        <is>
          <t>FALSE</t>
        </is>
      </c>
      <c r="F38" s="27" t="n"/>
    </row>
    <row r="39" ht="15" customHeight="1" s="17">
      <c r="A39" s="28" t="n">
        <v>10</v>
      </c>
      <c r="B39" s="27" t="inlineStr">
        <is>
          <t>How often do you misplace or have difficulty finding things at home or at work?</t>
        </is>
      </c>
      <c r="C39" s="27" t="inlineStr">
        <is>
          <t>Part B | Inattentiveness</t>
        </is>
      </c>
      <c r="D39" s="27" t="inlineStr">
        <is>
          <t>FALSE</t>
        </is>
      </c>
      <c r="E39" s="27" t="inlineStr">
        <is>
          <t>FALSE</t>
        </is>
      </c>
      <c r="F39" s="27" t="n"/>
    </row>
    <row r="40" ht="15" customHeight="1" s="17">
      <c r="A40" s="28" t="n">
        <v>11</v>
      </c>
      <c r="B40" s="27" t="inlineStr">
        <is>
          <t>How often are you distracted by activity or noise around you?</t>
        </is>
      </c>
      <c r="C40" s="27" t="inlineStr">
        <is>
          <t>Part B | Inattentiveness</t>
        </is>
      </c>
      <c r="D40" s="27" t="inlineStr">
        <is>
          <t>FALSE</t>
        </is>
      </c>
      <c r="E40" s="27" t="inlineStr">
        <is>
          <t>FALSE</t>
        </is>
      </c>
      <c r="F40" s="27" t="n"/>
    </row>
    <row r="41" ht="23.85" customHeight="1" s="17">
      <c r="A41" s="28" t="n">
        <v>12</v>
      </c>
      <c r="B41" s="27" t="inlineStr">
        <is>
          <t>How often do you leave your seat in meetings or other situations in which you are expected to remain seated?</t>
        </is>
      </c>
      <c r="C41" s="27" t="inlineStr">
        <is>
          <t>Part B | Hyperactivity/Impulsivity - Motor</t>
        </is>
      </c>
      <c r="D41" s="27" t="inlineStr">
        <is>
          <t>FALSE</t>
        </is>
      </c>
      <c r="E41" s="27" t="inlineStr">
        <is>
          <t>FALSE</t>
        </is>
      </c>
      <c r="F41" s="27" t="n"/>
    </row>
    <row r="42" ht="15" customHeight="1" s="17">
      <c r="A42" s="28" t="n">
        <v>13</v>
      </c>
      <c r="B42" s="27" t="inlineStr">
        <is>
          <t>How often do you feel restless or fidgety?</t>
        </is>
      </c>
      <c r="C42" s="27" t="inlineStr">
        <is>
          <t>Part B | Hyperactivity/Impulsivity - Motor</t>
        </is>
      </c>
      <c r="D42" s="27" t="inlineStr">
        <is>
          <t>FALSE</t>
        </is>
      </c>
      <c r="E42" s="27" t="inlineStr">
        <is>
          <t>FALSE</t>
        </is>
      </c>
      <c r="F42" s="27" t="n"/>
    </row>
    <row r="43" ht="15" customHeight="1" s="17">
      <c r="A43" s="28" t="n">
        <v>14</v>
      </c>
      <c r="B43" s="27" t="inlineStr">
        <is>
          <t>How often do you have difficulty unwinding and relaxing when you have time to yourself?</t>
        </is>
      </c>
      <c r="C43" s="27" t="inlineStr">
        <is>
          <t>Part B | Hyperactivity/Impulsivity - Motor</t>
        </is>
      </c>
      <c r="D43" s="27" t="inlineStr">
        <is>
          <t>FALSE</t>
        </is>
      </c>
      <c r="E43" s="27" t="inlineStr">
        <is>
          <t>FALSE</t>
        </is>
      </c>
      <c r="F43" s="27" t="n"/>
    </row>
    <row r="44" ht="15" customHeight="1" s="17">
      <c r="A44" s="28" t="n">
        <v>15</v>
      </c>
      <c r="B44" s="27" t="inlineStr">
        <is>
          <t>How often do you find yourself talking too much when you are in social situations?</t>
        </is>
      </c>
      <c r="C44" s="27" t="inlineStr">
        <is>
          <t>Part B | Hyperactivity/Impulsivity - Verbal</t>
        </is>
      </c>
      <c r="D44" s="27" t="inlineStr">
        <is>
          <t>FALSE</t>
        </is>
      </c>
      <c r="E44" s="27" t="inlineStr">
        <is>
          <t>FALSE</t>
        </is>
      </c>
      <c r="F44" s="27" t="n"/>
    </row>
    <row r="45" ht="23.85" customHeight="1" s="17">
      <c r="A45" s="28" t="n">
        <v>16</v>
      </c>
      <c r="B45" s="27" t="inlineStr">
        <is>
          <t>When you're in a conversation, how often do you find yourself finishing the sentences of the people you are talking to, before they can finish them themselves?</t>
        </is>
      </c>
      <c r="C45" s="27" t="inlineStr">
        <is>
          <t>Part B | Hyperactivity/Impulsivity - Verbal</t>
        </is>
      </c>
      <c r="D45" s="27" t="inlineStr">
        <is>
          <t>FALSE</t>
        </is>
      </c>
      <c r="E45" s="27" t="inlineStr">
        <is>
          <t>FALSE</t>
        </is>
      </c>
      <c r="F45" s="27" t="n"/>
    </row>
    <row r="46" ht="15" customHeight="1" s="17">
      <c r="A46" s="28" t="n">
        <v>17</v>
      </c>
      <c r="B46" s="27" t="inlineStr">
        <is>
          <t>How often do you have difficulty waiting your turn in situations when turn taking is required?</t>
        </is>
      </c>
      <c r="C46" s="27" t="inlineStr">
        <is>
          <t>Part B | Hyperactivity/Impulsivity - Verbal</t>
        </is>
      </c>
      <c r="D46" s="27" t="inlineStr">
        <is>
          <t>FALSE</t>
        </is>
      </c>
      <c r="E46" s="27" t="inlineStr">
        <is>
          <t>FALSE</t>
        </is>
      </c>
      <c r="F46" s="27" t="n"/>
    </row>
    <row r="47" ht="15" customHeight="1" s="17">
      <c r="A47" s="28" t="n">
        <v>18</v>
      </c>
      <c r="B47" s="27" t="inlineStr">
        <is>
          <t>How often do you interrupt others when they are busy?</t>
        </is>
      </c>
      <c r="C47" s="27" t="inlineStr">
        <is>
          <t>Part B | Hyperactivity/Impulsivity - Verbal</t>
        </is>
      </c>
      <c r="D47" s="27" t="inlineStr">
        <is>
          <t>FALSE</t>
        </is>
      </c>
      <c r="E47" s="27" t="inlineStr">
        <is>
          <t>FALSE</t>
        </is>
      </c>
      <c r="F47" s="27" t="n"/>
    </row>
  </sheetData>
  <autoFilter ref="A29:F4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F37"/>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Strengths Knowledge Scale</t>
        </is>
      </c>
    </row>
    <row r="3" ht="15" customHeight="1" s="17">
      <c r="A3" s="35" t="inlineStr">
        <is>
          <t>Instrument</t>
        </is>
      </c>
      <c r="B3" s="27" t="inlineStr">
        <is>
          <t>Strengths Knowledge Scale</t>
        </is>
      </c>
    </row>
    <row r="4" ht="15" customHeight="1" s="17">
      <c r="A4" s="35" t="inlineStr">
        <is>
          <t>Code</t>
        </is>
      </c>
      <c r="B4" s="27" t="inlineStr">
        <is>
          <t>SKS</t>
        </is>
      </c>
    </row>
    <row r="5" ht="15" customHeight="1" s="17">
      <c r="A5" s="35" t="inlineStr">
        <is>
          <t>Domain</t>
        </is>
      </c>
      <c r="B5" s="27" t="inlineStr">
        <is>
          <t>2. Strengths knowledge, use and support at work</t>
        </is>
      </c>
    </row>
    <row r="6" ht="15" customHeight="1" s="17">
      <c r="A6" s="35" t="inlineStr">
        <is>
          <t>Availability</t>
        </is>
      </c>
      <c r="B6" s="27" t="inlineStr">
        <is>
          <t>Free / open access</t>
        </is>
      </c>
    </row>
    <row r="7" ht="30" customHeight="1" s="17">
      <c r="A7" s="35" t="inlineStr">
        <is>
          <t>Construct</t>
        </is>
      </c>
      <c r="B7" s="27" t="inlineStr">
        <is>
          <t>Perceived self-knowledge of one's own personal strengths, i.e. the extent to which a person is aware of what they do best.</t>
        </is>
      </c>
    </row>
    <row r="8" ht="15" customHeight="1" s="17">
      <c r="A8" s="35" t="inlineStr">
        <is>
          <t>Respondent</t>
        </is>
      </c>
      <c r="B8" s="27" t="inlineStr">
        <is>
          <t>Self-report</t>
        </is>
      </c>
    </row>
    <row r="9" ht="30" customHeight="1" s="17">
      <c r="A9" s="35" t="inlineStr">
        <is>
          <t>Age range</t>
        </is>
      </c>
      <c r="B9" s="27" t="inlineStr">
        <is>
          <t>Adults and university students; used in adolescent samples (secondary school age) in later validations, but the original 2007 development sample was working adults</t>
        </is>
      </c>
    </row>
    <row r="10" ht="15" customHeight="1" s="17">
      <c r="A10" s="35" t="inlineStr">
        <is>
          <t>Items in instrument</t>
        </is>
      </c>
      <c r="B10" s="27" t="inlineStr">
        <is>
          <t>8</t>
        </is>
      </c>
    </row>
    <row r="11" ht="15" customHeight="1" s="17">
      <c r="A11" s="35" t="inlineStr">
        <is>
          <t>Items reproduced here</t>
        </is>
      </c>
      <c r="B11" s="27" t="inlineStr">
        <is>
          <t>8</t>
        </is>
      </c>
    </row>
    <row r="12" ht="15" customHeight="1" s="17">
      <c r="A12" s="35" t="inlineStr">
        <is>
          <t>Administration time</t>
        </is>
      </c>
      <c r="B12" s="27" t="inlineStr">
        <is>
          <t>2-3 minutes</t>
        </is>
      </c>
    </row>
    <row r="13" ht="135" customHeight="1" s="17">
      <c r="A13" s="35" t="inlineStr">
        <is>
          <t>Cost and access</t>
        </is>
      </c>
      <c r="B13" s="27" t="inlineStr">
        <is>
          <t>No licence fee or permission is required to use the SKS in coaching practice. The scale was published in full within the original journal article (Govindji &amp; Linley, 2007, International Coaching Psychology Review, a BPS Special Group in Coaching Psychology publication) and has since been reproduced verbatim in several open-access peer-reviewed validation papers (e.g. the Frontiers in Psychology 2023 Spanish validation used as the source for this record). A practitioner can administer it as a simple paper or online 7-point rating form; no test manual, scoring software or purchase is needed. The original 2007 article itself is not reliably available as an open PDF (International Coaching Psychology Review back issues are not consistently hosted online), so items here were transcribed from an open-access reproduction rather than the original publication.</t>
        </is>
      </c>
    </row>
    <row r="14" ht="120" customHeight="1" s="17">
      <c r="A14" s="35" t="inlineStr">
        <is>
          <t>Coaching application</t>
        </is>
      </c>
      <c r="B14" s="27" t="inlineStr">
        <is>
          <t>The SKS is useful early in strengths coaching to establish a baseline of how well a client can already name and recognise their own best qualities, which shapes whether initial sessions should focus on strength identification (e.g. via VIA or Realise2) before moving to strengths use. Low scores flag clients who may benefit from structured strength-spotting exercises, feedback from others, or a formal strengths assessment before goal-setting. Its main limit is that it only captures self-perceived awareness, not accuracy of that self-knowledge, so it should be paired with an objective strengths measure or 360-degree feedback rather than used alone to confirm what a client's real strengths are.</t>
        </is>
      </c>
    </row>
    <row r="15" ht="60" customHeight="1" s="17">
      <c r="A15" s="35" t="inlineStr">
        <is>
          <t>Purpose</t>
        </is>
      </c>
      <c r="B15" s="27" t="inlineStr">
        <is>
          <t>The SKS was developed by Govindji and Linley (2007) to measure the degree to which individuals know their own strengths, as a companion construct to strengths use. It was designed for use in positive psychology and coaching research examining how strengths knowledge and strengths use relate to well-being outcomes (subjective well-being, psychological well-being and vitality).</t>
        </is>
      </c>
    </row>
    <row r="16" ht="15" customHeight="1" s="17">
      <c r="A16" s="35" t="inlineStr">
        <is>
          <t>Instructions / prompt</t>
        </is>
      </c>
      <c r="B16" s="27" t="inlineStr">
        <is>
          <t>Not stated on source</t>
        </is>
      </c>
    </row>
    <row r="17" ht="15" customHeight="1" s="17">
      <c r="A17" s="35" t="inlineStr">
        <is>
          <t>Response options</t>
        </is>
      </c>
      <c r="B17" s="27" t="inlineStr">
        <is>
          <t>Strongly disagree = 1 | 2 = 2 | 3 = 3 | 4 = 4 | 5 = 5 | 6 = 6 | Strongly agree = 7</t>
        </is>
      </c>
    </row>
    <row r="18" ht="15" customHeight="1" s="17">
      <c r="A18" s="35" t="inlineStr">
        <is>
          <t>Reverse-scored items</t>
        </is>
      </c>
      <c r="B18" s="27" t="inlineStr">
        <is>
          <t>None</t>
        </is>
      </c>
    </row>
    <row r="19" ht="15" customHeight="1" s="17">
      <c r="A19" s="35" t="inlineStr">
        <is>
          <t>Filler items (not scored)</t>
        </is>
      </c>
      <c r="B19" s="27" t="inlineStr">
        <is>
          <t>None</t>
        </is>
      </c>
    </row>
    <row r="20" ht="45" customHeight="1" s="17">
      <c r="A20" s="35" t="inlineStr">
        <is>
          <t>Total scoring</t>
        </is>
      </c>
      <c r="B20" s="27" t="inlineStr">
        <is>
          <t>Sum (or mean) of the 8 item ratings. Higher total scores indicate greater self-perceived knowledge of one's own strengths. No published reverse-scored items were identified for this scale in the sources reviewed.</t>
        </is>
      </c>
    </row>
    <row r="21" ht="15" customHeight="1" s="17">
      <c r="A21" s="35" t="inlineStr">
        <is>
          <t>Interpretation bands</t>
        </is>
      </c>
      <c r="B21" s="27" t="inlineStr">
        <is>
          <t>Not stated on source</t>
        </is>
      </c>
    </row>
    <row r="22" ht="45" customHeight="1" s="17">
      <c r="A22" s="35" t="inlineStr">
        <is>
          <t>Cut-offs</t>
        </is>
      </c>
      <c r="B22" s="27" t="inlineStr">
        <is>
          <t>No clinical or normative cut-off scores have been published for the SKS. It is used as a continuous research/coaching variable, typically compared against a client's own baseline over time rather than against population norms.</t>
        </is>
      </c>
    </row>
    <row r="23" ht="60" customHeight="1" s="17">
      <c r="A23" s="35" t="inlineStr">
        <is>
          <t>Normative data</t>
        </is>
      </c>
      <c r="B23" s="27" t="inlineStr">
        <is>
          <t>No formal normative tables were located. Reported sample means come from individual studies using varied populations (e.g. UK working adults in the original 2007 study; Chinese adolescents in Duan, Li &amp; Mu, 2018, Journal of Happiness Studies; Spanish-speaking adults in the 2023 Frontiers validation) and are not interchangeable as norms.</t>
        </is>
      </c>
    </row>
    <row r="24" ht="105" customHeight="1" s="17">
      <c r="A24" s="35" t="inlineStr">
        <is>
          <t>Psychometric properties</t>
        </is>
      </c>
      <c r="B24" s="27" t="inlineStr">
        <is>
          <t>Internal consistency has repeatedly been reported as high: Cronbach's alpha = .90 for the English-language items in a 2023 Spanish validation study (Frontiers in Psychology, fpsyg.2023.1086510), which also confirmed a single-factor structure. The original Govindji &amp; Linley (2007) paper is reported in secondary sources to have found good reliability and significant positive correlations between strengths knowledge, strengths use, subjective well-being, psychological well-being and vitality, but the exact original alpha coefficient could not be independently confirmed from a source directly accessed for this record.</t>
        </is>
      </c>
    </row>
    <row r="25" ht="45" customHeight="1" s="17">
      <c r="A25" s="35" t="inlineStr">
        <is>
          <t>Developer citation</t>
        </is>
      </c>
      <c r="B25" s="27" t="inlineStr">
        <is>
          <t>Govindji, R., &amp; Linley, P. A. (2007). Strengths use, self-concordance and well-being: Implications for strengths coaching and coaching psychologists. International Coaching Psychology Review, 2(2), 143-153.</t>
        </is>
      </c>
    </row>
    <row r="26" ht="75" customHeight="1" s="17">
      <c r="A26" s="35" t="inlineStr">
        <is>
          <t>Copyright and licensing</t>
        </is>
      </c>
      <c r="B26" s="27" t="inlineStr">
        <is>
          <t>No explicit copyright statement, licence, or restriction on use was found for the SKS in any source reviewed. It is a short academic research scale that has been freely reprinted in full within multiple peer-reviewed, open-access journal articles without any stated permission requirement; practitioners typically cite Govindji and Linley (2007) as the source when using it. This should not be taken as a formal confirmation of public-domain status, only as the licensing position actually found.</t>
        </is>
      </c>
    </row>
    <row r="27" ht="15" customHeight="1" s="17">
      <c r="A27" s="35" t="inlineStr">
        <is>
          <t>Source URL</t>
        </is>
      </c>
      <c r="B27" s="27" t="inlineStr">
        <is>
          <t>https://www.frontiersin.org/journals/psychology/articles/10.3389/fpsyg.2023.1086510/full</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Other people see the strengths that I have</t>
        </is>
      </c>
      <c r="C30" s="27" t="inlineStr">
        <is>
          <t>Strengths Knowledge (total scale)</t>
        </is>
      </c>
      <c r="D30" s="27" t="inlineStr">
        <is>
          <t>FALSE</t>
        </is>
      </c>
      <c r="E30" s="27" t="inlineStr">
        <is>
          <t>FALSE</t>
        </is>
      </c>
      <c r="F30" s="27" t="inlineStr">
        <is>
          <t>Verbatim as reproduced in Frontiers in Psychology (2023), Table 5, citing Govindji &amp; Linley (2007).</t>
        </is>
      </c>
    </row>
    <row r="31" ht="79.84999999999999" customHeight="1" s="17">
      <c r="A31" s="28" t="n">
        <v>2</v>
      </c>
      <c r="B31" s="27" t="inlineStr">
        <is>
          <t>I have to think hard about what my strengths are</t>
        </is>
      </c>
      <c r="C31" s="27" t="inlineStr">
        <is>
          <t>Strengths Knowledge (total scale)</t>
        </is>
      </c>
      <c r="D31" s="27" t="inlineStr">
        <is>
          <t>FALSE</t>
        </is>
      </c>
      <c r="E31" s="27" t="inlineStr">
        <is>
          <t>FALSE</t>
        </is>
      </c>
      <c r="F31" s="27" t="inlineStr">
        <is>
          <t>Verbatim as reproduced in Frontiers in Psychology (2023), Table 5. One secondary aggregator source (db.arabpsychology.com) describes this item as reverse-scored, but the Frontiers (2023) reproduction directly consulted for this record states no reverse-scored items are present for either scale, so reverse scoring for this item could not be independently confirmed and is left unmarked pending sight of the original 2007 scoring key.</t>
        </is>
      </c>
    </row>
    <row r="32" ht="15" customHeight="1" s="17">
      <c r="A32" s="28" t="n">
        <v>3</v>
      </c>
      <c r="B32" s="27" t="inlineStr">
        <is>
          <t>I know what I do best</t>
        </is>
      </c>
      <c r="C32" s="27" t="inlineStr">
        <is>
          <t>Strengths Knowledge (total scale)</t>
        </is>
      </c>
      <c r="D32" s="27" t="inlineStr">
        <is>
          <t>FALSE</t>
        </is>
      </c>
      <c r="E32" s="27" t="inlineStr">
        <is>
          <t>FALSE</t>
        </is>
      </c>
      <c r="F32" s="27" t="inlineStr">
        <is>
          <t>Verbatim as reproduced in Frontiers in Psychology (2023), Table 5.</t>
        </is>
      </c>
    </row>
    <row r="33" ht="15" customHeight="1" s="17">
      <c r="A33" s="28" t="n">
        <v>4</v>
      </c>
      <c r="B33" s="27" t="inlineStr">
        <is>
          <t>I am aware of my strengths</t>
        </is>
      </c>
      <c r="C33" s="27" t="inlineStr">
        <is>
          <t>Strengths Knowledge (total scale)</t>
        </is>
      </c>
      <c r="D33" s="27" t="inlineStr">
        <is>
          <t>FALSE</t>
        </is>
      </c>
      <c r="E33" s="27" t="inlineStr">
        <is>
          <t>FALSE</t>
        </is>
      </c>
      <c r="F33" s="27" t="inlineStr">
        <is>
          <t>Verbatim as reproduced in Frontiers in Psychology (2023), Table 5.</t>
        </is>
      </c>
    </row>
    <row r="34" ht="15" customHeight="1" s="17">
      <c r="A34" s="28" t="n">
        <v>5</v>
      </c>
      <c r="B34" s="27" t="inlineStr">
        <is>
          <t>I know the things I am good at doing</t>
        </is>
      </c>
      <c r="C34" s="27" t="inlineStr">
        <is>
          <t>Strengths Knowledge (total scale)</t>
        </is>
      </c>
      <c r="D34" s="27" t="inlineStr">
        <is>
          <t>FALSE</t>
        </is>
      </c>
      <c r="E34" s="27" t="inlineStr">
        <is>
          <t>FALSE</t>
        </is>
      </c>
      <c r="F34" s="27" t="inlineStr">
        <is>
          <t>Verbatim as reproduced in Frontiers in Psychology (2023), Table 5.</t>
        </is>
      </c>
    </row>
    <row r="35" ht="15" customHeight="1" s="17">
      <c r="A35" s="28" t="n">
        <v>6</v>
      </c>
      <c r="B35" s="27" t="inlineStr">
        <is>
          <t>I know my strengths well</t>
        </is>
      </c>
      <c r="C35" s="27" t="inlineStr">
        <is>
          <t>Strengths Knowledge (total scale)</t>
        </is>
      </c>
      <c r="D35" s="27" t="inlineStr">
        <is>
          <t>FALSE</t>
        </is>
      </c>
      <c r="E35" s="27" t="inlineStr">
        <is>
          <t>FALSE</t>
        </is>
      </c>
      <c r="F35" s="27" t="inlineStr">
        <is>
          <t>Verbatim as reproduced in Frontiers in Psychology (2023), Table 5.</t>
        </is>
      </c>
    </row>
    <row r="36" ht="15" customHeight="1" s="17">
      <c r="A36" s="28" t="n">
        <v>7</v>
      </c>
      <c r="B36" s="27" t="inlineStr">
        <is>
          <t>I know the things I do best</t>
        </is>
      </c>
      <c r="C36" s="27" t="inlineStr">
        <is>
          <t>Strengths Knowledge (total scale)</t>
        </is>
      </c>
      <c r="D36" s="27" t="inlineStr">
        <is>
          <t>FALSE</t>
        </is>
      </c>
      <c r="E36" s="27" t="inlineStr">
        <is>
          <t>FALSE</t>
        </is>
      </c>
      <c r="F36" s="27" t="inlineStr">
        <is>
          <t>Verbatim as reproduced in Frontiers in Psychology (2023), Table 5.</t>
        </is>
      </c>
    </row>
    <row r="37" ht="15" customHeight="1" s="17">
      <c r="A37" s="28" t="n">
        <v>8</v>
      </c>
      <c r="B37" s="27" t="inlineStr">
        <is>
          <t>I know when I am at my best</t>
        </is>
      </c>
      <c r="C37" s="27" t="inlineStr">
        <is>
          <t>Strengths Knowledge (total scale)</t>
        </is>
      </c>
      <c r="D37" s="27" t="inlineStr">
        <is>
          <t>FALSE</t>
        </is>
      </c>
      <c r="E37" s="27" t="inlineStr">
        <is>
          <t>FALSE</t>
        </is>
      </c>
      <c r="F37" s="27" t="inlineStr">
        <is>
          <t>Verbatim as reproduced in Frontiers in Psychology (2023), Table 5.</t>
        </is>
      </c>
    </row>
  </sheetData>
  <autoFilter ref="A29:F3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F43"/>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Strengths Use Scale</t>
        </is>
      </c>
    </row>
    <row r="3" ht="15" customHeight="1" s="17">
      <c r="A3" s="35" t="inlineStr">
        <is>
          <t>Instrument</t>
        </is>
      </c>
      <c r="B3" s="27" t="inlineStr">
        <is>
          <t>Strengths Use Scale</t>
        </is>
      </c>
    </row>
    <row r="4" ht="15" customHeight="1" s="17">
      <c r="A4" s="35" t="inlineStr">
        <is>
          <t>Code</t>
        </is>
      </c>
      <c r="B4" s="27" t="inlineStr">
        <is>
          <t>SUS</t>
        </is>
      </c>
    </row>
    <row r="5" ht="15" customHeight="1" s="17">
      <c r="A5" s="35" t="inlineStr">
        <is>
          <t>Domain</t>
        </is>
      </c>
      <c r="B5" s="27" t="inlineStr">
        <is>
          <t>2. Strengths knowledge, use and support at work</t>
        </is>
      </c>
    </row>
    <row r="6" ht="15" customHeight="1" s="17">
      <c r="A6" s="35" t="inlineStr">
        <is>
          <t>Availability</t>
        </is>
      </c>
      <c r="B6" s="27" t="inlineStr">
        <is>
          <t>Free / open access</t>
        </is>
      </c>
    </row>
    <row r="7" ht="30" customHeight="1" s="17">
      <c r="A7" s="35" t="inlineStr">
        <is>
          <t>Construct</t>
        </is>
      </c>
      <c r="B7" s="27" t="inlineStr">
        <is>
          <t>Perceived deployment of one's own personal strengths in daily life, i.e. the extent to which a person actively uses what they do best across situations.</t>
        </is>
      </c>
    </row>
    <row r="8" ht="15" customHeight="1" s="17">
      <c r="A8" s="35" t="inlineStr">
        <is>
          <t>Respondent</t>
        </is>
      </c>
      <c r="B8" s="27" t="inlineStr">
        <is>
          <t>Self-report</t>
        </is>
      </c>
    </row>
    <row r="9" ht="30" customHeight="1" s="17">
      <c r="A9" s="35" t="inlineStr">
        <is>
          <t>Age range</t>
        </is>
      </c>
      <c r="B9" s="27" t="inlineStr">
        <is>
          <t>Adults and university students; used in adolescent samples (secondary school age) in later validations, but the original 2007 development sample was working adults</t>
        </is>
      </c>
    </row>
    <row r="10" ht="15" customHeight="1" s="17">
      <c r="A10" s="35" t="inlineStr">
        <is>
          <t>Items in instrument</t>
        </is>
      </c>
      <c r="B10" s="27" t="inlineStr">
        <is>
          <t>14</t>
        </is>
      </c>
    </row>
    <row r="11" ht="15" customHeight="1" s="17">
      <c r="A11" s="35" t="inlineStr">
        <is>
          <t>Items reproduced here</t>
        </is>
      </c>
      <c r="B11" s="27" t="inlineStr">
        <is>
          <t>14</t>
        </is>
      </c>
    </row>
    <row r="12" ht="15" customHeight="1" s="17">
      <c r="A12" s="35" t="inlineStr">
        <is>
          <t>Administration time</t>
        </is>
      </c>
      <c r="B12" s="27" t="inlineStr">
        <is>
          <t>3-5 minutes</t>
        </is>
      </c>
    </row>
    <row r="13" ht="135" customHeight="1" s="17">
      <c r="A13" s="35" t="inlineStr">
        <is>
          <t>Cost and access</t>
        </is>
      </c>
      <c r="B13" s="27" t="inlineStr">
        <is>
          <t>No licence fee or permission is required to use the SUS in coaching practice. The scale was published in full within the original journal article (Govindji &amp; Linley, 2007, International Coaching Psychology Review, a BPS Special Group in Coaching Psychology publication) and has since been reproduced verbatim in several open-access peer-reviewed validation papers (e.g. the Frontiers in Psychology 2023 Spanish validation used as the source for this record). It can be administered as a simple paper or online 7-point rating form; no manual, scoring software or purchase is needed. The original 2007 article itself is not reliably available as an open PDF (International Coaching Psychology Review back issues are not consistently hosted online), so items here were transcribed from an open-access reproduction rather than the original publication.</t>
        </is>
      </c>
    </row>
    <row r="14" ht="105" customHeight="1" s="17">
      <c r="A14" s="35" t="inlineStr">
        <is>
          <t>Coaching application</t>
        </is>
      </c>
      <c r="B14" s="27" t="inlineStr">
        <is>
          <t>The SUS is well suited to tracking a client's progress in strengths coaching over time, since it directly measures how often and how naturally strengths are being deployed at work, study and in life generally, which is the practical outcome most strengths coaching aims to move. It works well as a short pre/post measure around a block of coaching focused on applying identified strengths to goals. Its limit is that it assumes the client already knows what their strengths are (it should usually follow, not replace, a strengths-identification step such as VIA or the SKS) and it captures frequency and ease of use rather than the fit or appropriateness of how strengths are being applied.</t>
        </is>
      </c>
    </row>
    <row r="15" ht="60" customHeight="1" s="17">
      <c r="A15" s="35" t="inlineStr">
        <is>
          <t>Purpose</t>
        </is>
      </c>
      <c r="B15" s="27" t="inlineStr">
        <is>
          <t>The SUS was developed by Govindji and Linley (2007) to measure the degree to which individuals use their strengths in everyday life, for use in positive psychology and coaching research examining how strengths use relates to self-concordance and to well-being outcomes (subjective well-being, psychological well-being and vitality).</t>
        </is>
      </c>
    </row>
    <row r="16" ht="30" customHeight="1" s="17">
      <c r="A16" s="35" t="inlineStr">
        <is>
          <t>Instructions / prompt</t>
        </is>
      </c>
      <c r="B16" s="27" t="inlineStr">
        <is>
          <t>The following 14 questions ask about your strengths, that is, the things that you can do well or do best.</t>
        </is>
      </c>
    </row>
    <row r="17" ht="15" customHeight="1" s="17">
      <c r="A17" s="35" t="inlineStr">
        <is>
          <t>Response options</t>
        </is>
      </c>
      <c r="B17" s="27" t="inlineStr">
        <is>
          <t>Strongly disagree = 1 | 2 = 2 | 3 = 3 | 4 = 4 | 5 = 5 | 6 = 6 | Strongly agree = 7</t>
        </is>
      </c>
    </row>
    <row r="18" ht="15" customHeight="1" s="17">
      <c r="A18" s="35" t="inlineStr">
        <is>
          <t>Reverse-scored items</t>
        </is>
      </c>
      <c r="B18" s="27" t="inlineStr">
        <is>
          <t>None</t>
        </is>
      </c>
    </row>
    <row r="19" ht="15" customHeight="1" s="17">
      <c r="A19" s="35" t="inlineStr">
        <is>
          <t>Filler items (not scored)</t>
        </is>
      </c>
      <c r="B19" s="27" t="inlineStr">
        <is>
          <t>None</t>
        </is>
      </c>
    </row>
    <row r="20" ht="45" customHeight="1" s="17">
      <c r="A20" s="35" t="inlineStr">
        <is>
          <t>Total scoring</t>
        </is>
      </c>
      <c r="B20" s="27" t="inlineStr">
        <is>
          <t>Sum (or mean) of the 14 item ratings. Higher total scores indicate greater self-reported use of personal strengths in daily life. No reverse-scored items were identified for this scale in the sources reviewed.</t>
        </is>
      </c>
    </row>
    <row r="21" ht="15" customHeight="1" s="17">
      <c r="A21" s="35" t="inlineStr">
        <is>
          <t>Interpretation bands</t>
        </is>
      </c>
      <c r="B21" s="27" t="inlineStr">
        <is>
          <t>Not stated on source</t>
        </is>
      </c>
    </row>
    <row r="22" ht="45" customHeight="1" s="17">
      <c r="A22" s="35" t="inlineStr">
        <is>
          <t>Cut-offs</t>
        </is>
      </c>
      <c r="B22" s="27" t="inlineStr">
        <is>
          <t>No clinical or normative cut-off scores have been published for the SUS. It is used as a continuous research/coaching variable, typically tracked against a client's own baseline over time rather than against population norms.</t>
        </is>
      </c>
    </row>
    <row r="23" ht="60" customHeight="1" s="17">
      <c r="A23" s="35" t="inlineStr">
        <is>
          <t>Normative data</t>
        </is>
      </c>
      <c r="B23" s="27" t="inlineStr">
        <is>
          <t>No formal normative tables were located. Reported sample means come from individual studies using varied populations (e.g. UK working adults in the original 2007 study; Chinese adolescents in Duan, Li &amp; Mu, 2018, Journal of Happiness Studies; Spanish-speaking adults in the 2023 Frontiers validation) and are not interchangeable as norms.</t>
        </is>
      </c>
    </row>
    <row r="24" ht="105" customHeight="1" s="17">
      <c r="A24" s="35" t="inlineStr">
        <is>
          <t>Psychometric properties</t>
        </is>
      </c>
      <c r="B24" s="27" t="inlineStr">
        <is>
          <t>Internal consistency has repeatedly been reported as very high: Cronbach's alpha = .95 for the English-language items in a 2023 Spanish validation study (Frontiers in Psychology, fpsyg.2023.1086510), which also confirmed a single-factor structure. The original Govindji &amp; Linley (2007) paper is reported in secondary sources to have found good reliability and significant positive correlations between strengths use, self-concordance, subjective well-being, psychological well-being and vitality, but the exact original alpha coefficient could not be independently confirmed from a source directly accessed for this record.</t>
        </is>
      </c>
    </row>
    <row r="25" ht="45" customHeight="1" s="17">
      <c r="A25" s="35" t="inlineStr">
        <is>
          <t>Developer citation</t>
        </is>
      </c>
      <c r="B25" s="27" t="inlineStr">
        <is>
          <t>Govindji, R., &amp; Linley, P. A. (2007). Strengths use, self-concordance and well-being: Implications for strengths coaching and coaching psychologists. International Coaching Psychology Review, 2(2), 143-153.</t>
        </is>
      </c>
    </row>
    <row r="26" ht="75" customHeight="1" s="17">
      <c r="A26" s="35" t="inlineStr">
        <is>
          <t>Copyright and licensing</t>
        </is>
      </c>
      <c r="B26" s="27" t="inlineStr">
        <is>
          <t>No explicit copyright statement, licence, or restriction on use was found for the SUS in any source reviewed. It is a short academic research scale that has been freely reprinted in full within multiple peer-reviewed, open-access journal articles without any stated permission requirement; practitioners typically cite Govindji and Linley (2007) as the source when using it. This should not be taken as a formal confirmation of public-domain status, only as the licensing position actually found.</t>
        </is>
      </c>
    </row>
    <row r="27" ht="15" customHeight="1" s="17">
      <c r="A27" s="35" t="inlineStr">
        <is>
          <t>Source URL</t>
        </is>
      </c>
      <c r="B27" s="27" t="inlineStr">
        <is>
          <t>https://www.frontiersin.org/journals/psychology/articles/10.3389/fpsyg.2023.1086510/full</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I am regularly able to do what I do best.</t>
        </is>
      </c>
      <c r="C30" s="27" t="inlineStr">
        <is>
          <t>Strengths Use (total scale)</t>
        </is>
      </c>
      <c r="D30" s="27" t="inlineStr">
        <is>
          <t>FALSE</t>
        </is>
      </c>
      <c r="E30" s="27" t="inlineStr">
        <is>
          <t>FALSE</t>
        </is>
      </c>
      <c r="F30" s="27" t="inlineStr">
        <is>
          <t>Verbatim as reproduced in Frontiers in Psychology (2023), Table 2, citing Govindji &amp; Linley (2007).</t>
        </is>
      </c>
    </row>
    <row r="31" ht="15" customHeight="1" s="17">
      <c r="A31" s="28" t="n">
        <v>2</v>
      </c>
      <c r="B31" s="27" t="inlineStr">
        <is>
          <t>I always play to my strengths.</t>
        </is>
      </c>
      <c r="C31" s="27" t="inlineStr">
        <is>
          <t>Strengths Use (total scale)</t>
        </is>
      </c>
      <c r="D31" s="27" t="inlineStr">
        <is>
          <t>FALSE</t>
        </is>
      </c>
      <c r="E31" s="27" t="inlineStr">
        <is>
          <t>FALSE</t>
        </is>
      </c>
      <c r="F31" s="27" t="inlineStr">
        <is>
          <t>Verbatim as reproduced in Frontiers in Psychology (2023), Table 2.</t>
        </is>
      </c>
    </row>
    <row r="32" ht="15" customHeight="1" s="17">
      <c r="A32" s="28" t="n">
        <v>3</v>
      </c>
      <c r="B32" s="27" t="inlineStr">
        <is>
          <t>I always try to use my strengths.</t>
        </is>
      </c>
      <c r="C32" s="27" t="inlineStr">
        <is>
          <t>Strengths Use (total scale)</t>
        </is>
      </c>
      <c r="D32" s="27" t="inlineStr">
        <is>
          <t>FALSE</t>
        </is>
      </c>
      <c r="E32" s="27" t="inlineStr">
        <is>
          <t>FALSE</t>
        </is>
      </c>
      <c r="F32" s="27" t="inlineStr">
        <is>
          <t>Verbatim as reproduced in Frontiers in Psychology (2023), Table 2.</t>
        </is>
      </c>
    </row>
    <row r="33" ht="15" customHeight="1" s="17">
      <c r="A33" s="28" t="n">
        <v>4</v>
      </c>
      <c r="B33" s="27" t="inlineStr">
        <is>
          <t>I achieve what I want by using my strengths.</t>
        </is>
      </c>
      <c r="C33" s="27" t="inlineStr">
        <is>
          <t>Strengths Use (total scale)</t>
        </is>
      </c>
      <c r="D33" s="27" t="inlineStr">
        <is>
          <t>FALSE</t>
        </is>
      </c>
      <c r="E33" s="27" t="inlineStr">
        <is>
          <t>FALSE</t>
        </is>
      </c>
      <c r="F33" s="27" t="inlineStr">
        <is>
          <t>Verbatim as reproduced in Frontiers in Psychology (2023), Table 2.</t>
        </is>
      </c>
    </row>
    <row r="34" ht="15" customHeight="1" s="17">
      <c r="A34" s="28" t="n">
        <v>5</v>
      </c>
      <c r="B34" s="27" t="inlineStr">
        <is>
          <t>I use my strengths every day.</t>
        </is>
      </c>
      <c r="C34" s="27" t="inlineStr">
        <is>
          <t>Strengths Use (total scale)</t>
        </is>
      </c>
      <c r="D34" s="27" t="inlineStr">
        <is>
          <t>FALSE</t>
        </is>
      </c>
      <c r="E34" s="27" t="inlineStr">
        <is>
          <t>FALSE</t>
        </is>
      </c>
      <c r="F34" s="27" t="inlineStr">
        <is>
          <t>Verbatim as reproduced in Frontiers in Psychology (2023), Table 2.</t>
        </is>
      </c>
    </row>
    <row r="35" ht="15" customHeight="1" s="17">
      <c r="A35" s="28" t="n">
        <v>6</v>
      </c>
      <c r="B35" s="27" t="inlineStr">
        <is>
          <t>I use my strengths to get what I want out of life.</t>
        </is>
      </c>
      <c r="C35" s="27" t="inlineStr">
        <is>
          <t>Strengths Use (total scale)</t>
        </is>
      </c>
      <c r="D35" s="27" t="inlineStr">
        <is>
          <t>FALSE</t>
        </is>
      </c>
      <c r="E35" s="27" t="inlineStr">
        <is>
          <t>FALSE</t>
        </is>
      </c>
      <c r="F35" s="27" t="inlineStr">
        <is>
          <t>Verbatim as reproduced in Frontiers in Psychology (2023), Table 2.</t>
        </is>
      </c>
    </row>
    <row r="36" ht="15" customHeight="1" s="17">
      <c r="A36" s="28" t="n">
        <v>7</v>
      </c>
      <c r="B36" s="27" t="inlineStr">
        <is>
          <t>My work gives me lots of opportunities to use my strengths.</t>
        </is>
      </c>
      <c r="C36" s="27" t="inlineStr">
        <is>
          <t>Strengths Use (total scale)</t>
        </is>
      </c>
      <c r="D36" s="27" t="inlineStr">
        <is>
          <t>FALSE</t>
        </is>
      </c>
      <c r="E36" s="27" t="inlineStr">
        <is>
          <t>FALSE</t>
        </is>
      </c>
      <c r="F36" s="27" t="inlineStr">
        <is>
          <t>Verbatim as reproduced in Frontiers in Psychology (2023), Table 2.</t>
        </is>
      </c>
    </row>
    <row r="37" ht="15" customHeight="1" s="17">
      <c r="A37" s="28" t="n">
        <v>8</v>
      </c>
      <c r="B37" s="27" t="inlineStr">
        <is>
          <t>My life presents me with lots of different ways to use my strengths.</t>
        </is>
      </c>
      <c r="C37" s="27" t="inlineStr">
        <is>
          <t>Strengths Use (total scale)</t>
        </is>
      </c>
      <c r="D37" s="27" t="inlineStr">
        <is>
          <t>FALSE</t>
        </is>
      </c>
      <c r="E37" s="27" t="inlineStr">
        <is>
          <t>FALSE</t>
        </is>
      </c>
      <c r="F37" s="27" t="inlineStr">
        <is>
          <t>Verbatim as reproduced in Frontiers in Psychology (2023), Table 2.</t>
        </is>
      </c>
    </row>
    <row r="38" ht="15" customHeight="1" s="17">
      <c r="A38" s="28" t="n">
        <v>9</v>
      </c>
      <c r="B38" s="27" t="inlineStr">
        <is>
          <t>Using my strengths comes naturally to me.</t>
        </is>
      </c>
      <c r="C38" s="27" t="inlineStr">
        <is>
          <t>Strengths Use (total scale)</t>
        </is>
      </c>
      <c r="D38" s="27" t="inlineStr">
        <is>
          <t>FALSE</t>
        </is>
      </c>
      <c r="E38" s="27" t="inlineStr">
        <is>
          <t>FALSE</t>
        </is>
      </c>
      <c r="F38" s="27" t="inlineStr">
        <is>
          <t>Verbatim as reproduced in Frontiers in Psychology (2023), Table 2.</t>
        </is>
      </c>
    </row>
    <row r="39" ht="15" customHeight="1" s="17">
      <c r="A39" s="28" t="n">
        <v>10</v>
      </c>
      <c r="B39" s="27" t="inlineStr">
        <is>
          <t>I find it easy to use my strengths in the things I do.</t>
        </is>
      </c>
      <c r="C39" s="27" t="inlineStr">
        <is>
          <t>Strengths Use (total scale)</t>
        </is>
      </c>
      <c r="D39" s="27" t="inlineStr">
        <is>
          <t>FALSE</t>
        </is>
      </c>
      <c r="E39" s="27" t="inlineStr">
        <is>
          <t>FALSE</t>
        </is>
      </c>
      <c r="F39" s="27" t="inlineStr">
        <is>
          <t>Verbatim as reproduced in Frontiers in Psychology (2023), Table 2.</t>
        </is>
      </c>
    </row>
    <row r="40" ht="15" customHeight="1" s="17">
      <c r="A40" s="28" t="n">
        <v>11</v>
      </c>
      <c r="B40" s="27" t="inlineStr">
        <is>
          <t>I am able to use my strengths in lots of different situations.</t>
        </is>
      </c>
      <c r="C40" s="27" t="inlineStr">
        <is>
          <t>Strengths Use (total scale)</t>
        </is>
      </c>
      <c r="D40" s="27" t="inlineStr">
        <is>
          <t>FALSE</t>
        </is>
      </c>
      <c r="E40" s="27" t="inlineStr">
        <is>
          <t>FALSE</t>
        </is>
      </c>
      <c r="F40" s="27" t="inlineStr">
        <is>
          <t>Verbatim as reproduced in Frontiers in Psychology (2023), Table 2.</t>
        </is>
      </c>
    </row>
    <row r="41" ht="15" customHeight="1" s="17">
      <c r="A41" s="28" t="n">
        <v>12</v>
      </c>
      <c r="B41" s="27" t="inlineStr">
        <is>
          <t>Most of my time is spent doing the things that I am good at doing.</t>
        </is>
      </c>
      <c r="C41" s="27" t="inlineStr">
        <is>
          <t>Strengths Use (total scale)</t>
        </is>
      </c>
      <c r="D41" s="27" t="inlineStr">
        <is>
          <t>FALSE</t>
        </is>
      </c>
      <c r="E41" s="27" t="inlineStr">
        <is>
          <t>FALSE</t>
        </is>
      </c>
      <c r="F41" s="27" t="inlineStr">
        <is>
          <t>Verbatim as reproduced in Frontiers in Psychology (2023), Table 2.</t>
        </is>
      </c>
    </row>
    <row r="42" ht="15" customHeight="1" s="17">
      <c r="A42" s="28" t="n">
        <v>13</v>
      </c>
      <c r="B42" s="27" t="inlineStr">
        <is>
          <t>Using my strengths is something I am familiar with.</t>
        </is>
      </c>
      <c r="C42" s="27" t="inlineStr">
        <is>
          <t>Strengths Use (total scale)</t>
        </is>
      </c>
      <c r="D42" s="27" t="inlineStr">
        <is>
          <t>FALSE</t>
        </is>
      </c>
      <c r="E42" s="27" t="inlineStr">
        <is>
          <t>FALSE</t>
        </is>
      </c>
      <c r="F42" s="27" t="inlineStr">
        <is>
          <t>Verbatim as reproduced in Frontiers in Psychology (2023), Table 2.</t>
        </is>
      </c>
    </row>
    <row r="43" ht="15" customHeight="1" s="17">
      <c r="A43" s="28" t="n">
        <v>14</v>
      </c>
      <c r="B43" s="27" t="inlineStr">
        <is>
          <t>I am able to use my strengths in lots of different ways.</t>
        </is>
      </c>
      <c r="C43" s="27" t="inlineStr">
        <is>
          <t>Strengths Use (total scale)</t>
        </is>
      </c>
      <c r="D43" s="27" t="inlineStr">
        <is>
          <t>FALSE</t>
        </is>
      </c>
      <c r="E43" s="27" t="inlineStr">
        <is>
          <t>FALSE</t>
        </is>
      </c>
      <c r="F43" s="27" t="inlineStr">
        <is>
          <t>Verbatim as reproduced in Frontiers in Psychology (2023), Table 2.</t>
        </is>
      </c>
    </row>
  </sheetData>
  <autoFilter ref="A29:F4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F40"/>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Strengths Self-Efficacy Scale</t>
        </is>
      </c>
    </row>
    <row r="3" ht="15" customHeight="1" s="17">
      <c r="A3" s="35" t="inlineStr">
        <is>
          <t>Instrument</t>
        </is>
      </c>
      <c r="B3" s="27" t="inlineStr">
        <is>
          <t>Strengths Self-Efficacy Scale</t>
        </is>
      </c>
    </row>
    <row r="4" ht="15" customHeight="1" s="17">
      <c r="A4" s="35" t="inlineStr">
        <is>
          <t>Code</t>
        </is>
      </c>
      <c r="B4" s="27" t="inlineStr">
        <is>
          <t>SSES</t>
        </is>
      </c>
    </row>
    <row r="5" ht="15" customHeight="1" s="17">
      <c r="A5" s="35" t="inlineStr">
        <is>
          <t>Domain</t>
        </is>
      </c>
      <c r="B5" s="27" t="inlineStr">
        <is>
          <t>2. Strengths knowledge, use and support at work</t>
        </is>
      </c>
    </row>
    <row r="6" ht="15" customHeight="1" s="17">
      <c r="A6" s="35" t="inlineStr">
        <is>
          <t>Availability</t>
        </is>
      </c>
      <c r="B6" s="27" t="inlineStr">
        <is>
          <t>Free / open access</t>
        </is>
      </c>
    </row>
    <row r="7" ht="30" customHeight="1" s="17">
      <c r="A7" s="35" t="inlineStr">
        <is>
          <t>Construct</t>
        </is>
      </c>
      <c r="B7" s="27" t="inlineStr">
        <is>
          <t>Perceived self-efficacy (confidence) in one's ability to identify, apply and use one's personal strengths across everyday situations, at work or study, and in pursuit of goals.</t>
        </is>
      </c>
    </row>
    <row r="8" ht="15" customHeight="1" s="17">
      <c r="A8" s="35" t="inlineStr">
        <is>
          <t>Respondent</t>
        </is>
      </c>
      <c r="B8" s="27" t="inlineStr">
        <is>
          <t>Self-report</t>
        </is>
      </c>
    </row>
    <row r="9" ht="30" customHeight="1" s="17">
      <c r="A9" s="35" t="inlineStr">
        <is>
          <t>Age range</t>
        </is>
      </c>
      <c r="B9" s="27" t="inlineStr">
        <is>
          <t>Adults; validated with U.S. college students and working adults, applicable to late-secondary and university-age coaching clients</t>
        </is>
      </c>
    </row>
    <row r="10" ht="15" customHeight="1" s="17">
      <c r="A10" s="35" t="inlineStr">
        <is>
          <t>Items in instrument</t>
        </is>
      </c>
      <c r="B10" s="27" t="inlineStr">
        <is>
          <t>11</t>
        </is>
      </c>
    </row>
    <row r="11" ht="15" customHeight="1" s="17">
      <c r="A11" s="35" t="inlineStr">
        <is>
          <t>Items reproduced here</t>
        </is>
      </c>
      <c r="B11" s="27" t="inlineStr">
        <is>
          <t>11</t>
        </is>
      </c>
    </row>
    <row r="12" ht="15" customHeight="1" s="17">
      <c r="A12" s="35" t="inlineStr">
        <is>
          <t>Administration time</t>
        </is>
      </c>
      <c r="B12" s="27" t="inlineStr">
        <is>
          <t>3-5 minutes</t>
        </is>
      </c>
    </row>
    <row r="13" ht="90" customHeight="1" s="17">
      <c r="A13" s="35" t="inlineStr">
        <is>
          <t>Cost and access</t>
        </is>
      </c>
      <c r="B13" s="27" t="inlineStr">
        <is>
          <t>The SSES is free to use for practice and research; the full 11-item form (with its instructions, five-signature-strengths preamble, and 10-point response scale) is published as an open-access downloadable PDF by PositivePsychology.com, and the same item wording is corroborated by an independent academic reproduction. No licence fee or formal permission is required, though practitioners should cite Tsai, Chaichanasakul, Zhao, Flores and Lopez (2014) as the scale's developers. The original peer-reviewed validation article is behind a SAGE subscription paywall (Journal of Career Assessment).</t>
        </is>
      </c>
    </row>
    <row r="14" ht="120" customHeight="1" s="17">
      <c r="A14" s="35" t="inlineStr">
        <is>
          <t>Coaching application</t>
        </is>
      </c>
      <c r="B14" s="27" t="inlineStr">
        <is>
          <t>The SSES is a good fit for strengths-based career and academic coaching because it measures confidence in actually applying strengths, which is the practical skill most coaching aims to build, and it can be re-administered after a coaching block to check whether a client's confidence in using their strengths has shifted. Because it asks respondents to first name their own five signature strengths, it works well paired with a prior strengths-identification step (VIA, Realise2, or the SKS/SUS above). Its limit is that it measures perceived confidence rather than actual competent strengths use, so a client can score highly while still using strengths in an unhelpful or overextended way, and low scores need follow-up to distinguish a genuine skills gap from low self-belief alone.</t>
        </is>
      </c>
    </row>
    <row r="15" ht="60" customHeight="1" s="17">
      <c r="A15" s="35" t="inlineStr">
        <is>
          <t>Purpose</t>
        </is>
      </c>
      <c r="B15" s="27" t="inlineStr">
        <is>
          <t>The SSES was developed by Tsai, Chaichanasakul, Zhao, Flores and Lopez (2014) to give career counsellors, educators and researchers a brief measure of an individual's confidence in their ability to build on and apply their personal strengths in daily life, extending Bandura's self-efficacy framework to the strengths domain.</t>
        </is>
      </c>
    </row>
    <row r="16" ht="30" customHeight="1" s="17">
      <c r="A16" s="35" t="inlineStr">
        <is>
          <t>Instructions / prompt</t>
        </is>
      </c>
      <c r="B16" s="27" t="inlineStr">
        <is>
          <t>First, please list your 5 signature strengths below: [space for 5 strengths]. How confident are you in your ability to ....</t>
        </is>
      </c>
    </row>
    <row r="17" ht="30" customHeight="1" s="17">
      <c r="A17" s="35" t="inlineStr">
        <is>
          <t>Response options</t>
        </is>
      </c>
      <c r="B17" s="27" t="inlineStr">
        <is>
          <t>Not confident at all = 1 | 2 = 2 | 3 = 3 | 4 = 4 | Moderately confident = 5 | 6 = 6 | 7 = 7 | 8 = 8 | 9 = 9 | Extremely confident = 10</t>
        </is>
      </c>
    </row>
    <row r="18" ht="15" customHeight="1" s="17">
      <c r="A18" s="35" t="inlineStr">
        <is>
          <t>Reverse-scored items</t>
        </is>
      </c>
      <c r="B18" s="27" t="inlineStr">
        <is>
          <t>None</t>
        </is>
      </c>
    </row>
    <row r="19" ht="15" customHeight="1" s="17">
      <c r="A19" s="35" t="inlineStr">
        <is>
          <t>Filler items (not scored)</t>
        </is>
      </c>
      <c r="B19" s="27" t="inlineStr">
        <is>
          <t>None</t>
        </is>
      </c>
    </row>
    <row r="20" ht="45" customHeight="1" s="17">
      <c r="A20" s="35" t="inlineStr">
        <is>
          <t>Total scoring</t>
        </is>
      </c>
      <c r="B20" s="27" t="inlineStr">
        <is>
          <t>Sum the 11 item scores for a total (range 11-110); a weighted/mean score can also be calculated by dividing the total by 11. Higher scores indicate greater confidence in using one's strengths. No items are reverse-scored.</t>
        </is>
      </c>
    </row>
    <row r="21" ht="15" customHeight="1" s="17">
      <c r="A21" s="35" t="inlineStr">
        <is>
          <t>Interpretation bands</t>
        </is>
      </c>
      <c r="B21" s="27" t="inlineStr">
        <is>
          <t>Not stated on source</t>
        </is>
      </c>
    </row>
    <row r="22" ht="45" customHeight="1" s="17">
      <c r="A22" s="35" t="inlineStr">
        <is>
          <t>Cut-offs</t>
        </is>
      </c>
      <c r="B22" s="27" t="inlineStr">
        <is>
          <t>No clinical or normative cut-off scores have been published for the SSES. It is intended as a continuous measure for research and for tracking an individual's own change over time, not for categorical classification.</t>
        </is>
      </c>
    </row>
    <row r="23" ht="45" customHeight="1" s="17">
      <c r="A23" s="35" t="inlineStr">
        <is>
          <t>Normative data</t>
        </is>
      </c>
      <c r="B23" s="27" t="inlineStr">
        <is>
          <t>No published normative tables were located. The original validation samples were U.S. adults: 275 in the exploratory factor analysis phase, 302 in the confirmatory phase, and 36 in a 3-week test-retest reliability subsample.</t>
        </is>
      </c>
    </row>
    <row r="24" ht="105" customHeight="1" s="17">
      <c r="A24" s="35" t="inlineStr">
        <is>
          <t>Psychometric properties</t>
        </is>
      </c>
      <c r="B24" s="27" t="inlineStr">
        <is>
          <t>In the original validation (Tsai et al., 2014), exploratory factor analysis on the first adult sample (n = 275) supported a single general strengths-self-efficacy factor with internal consistency of alpha = .96; confirmatory factor analysis on a second sample (n = 302) confirmed the one-factor structure with alpha = .95. A 3-week test-retest reliability check (n = 36) showed stable scores over time. Validity evidence included moderate positive correlations with self-esteem and life satisfaction, and a weak relationship with social desirability, supporting discriminant validity from mere impression management.</t>
        </is>
      </c>
    </row>
    <row r="25" ht="45" customHeight="1" s="17">
      <c r="A25" s="35" t="inlineStr">
        <is>
          <t>Developer citation</t>
        </is>
      </c>
      <c r="B25" s="27" t="inlineStr">
        <is>
          <t>Tsai, C.-L., Chaichanasakul, A., Zhao, R., Flores, L. Y., &amp; Lopez, S. J. (2014). Development and validation of the Strengths Self-Efficacy Scale (SSES). Journal of Career Assessment, 22(2), 221-232. https://doi.org/10.1177/1069072713493761</t>
        </is>
      </c>
    </row>
    <row r="26" ht="90" customHeight="1" s="17">
      <c r="A26" s="35" t="inlineStr">
        <is>
          <t>Copyright and licensing</t>
        </is>
      </c>
      <c r="B26" s="27" t="inlineStr">
        <is>
          <t>No explicit copyright restriction or paid-licence requirement was found; PositivePsychology.com distributes the full instrument as a free downloadable PDF for practitioner use, and an independent academic reproduction (academia.edu) carries identical item wording, both without a stated permissions requirement beyond citing the original authors. The peer-reviewed source article remains behind a SAGE subscription paywall. This reflects the licensing position actually found, not a confirmed public-domain status.</t>
        </is>
      </c>
    </row>
    <row r="27" ht="15" customHeight="1" s="17">
      <c r="A27" s="35" t="inlineStr">
        <is>
          <t>Source URL</t>
        </is>
      </c>
      <c r="B27" s="27" t="inlineStr">
        <is>
          <t>https://positivepsychology.com/wp-content/uploads/The-Strengths-Self-efficacy-Scale.pdf</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35.05" customHeight="1" s="17">
      <c r="A30" s="28" t="n">
        <v>1</v>
      </c>
      <c r="B30" s="27" t="inlineStr">
        <is>
          <t>Use your strengths at work?</t>
        </is>
      </c>
      <c r="C30" s="27" t="inlineStr">
        <is>
          <t>Strengths Self-Efficacy (total scale)</t>
        </is>
      </c>
      <c r="D30" s="27" t="inlineStr">
        <is>
          <t>FALSE</t>
        </is>
      </c>
      <c r="E30" s="27" t="inlineStr">
        <is>
          <t>FALSE</t>
        </is>
      </c>
      <c r="F30" s="27" t="inlineStr">
        <is>
          <t>Verbatim as reproduced in the PositivePsychology.com PDF and corroborated by an independent academia.edu reproduction, both stemmed from "How confident are you in your ability to ...."</t>
        </is>
      </c>
    </row>
    <row r="31" ht="23.85" customHeight="1" s="17">
      <c r="A31" s="28" t="n">
        <v>2</v>
      </c>
      <c r="B31" s="27" t="inlineStr">
        <is>
          <t>Use your strengths without any struggles?</t>
        </is>
      </c>
      <c r="C31" s="27" t="inlineStr">
        <is>
          <t>Strengths Self-Efficacy (total scale)</t>
        </is>
      </c>
      <c r="D31" s="27" t="inlineStr">
        <is>
          <t>FALSE</t>
        </is>
      </c>
      <c r="E31" s="27" t="inlineStr">
        <is>
          <t>FALSE</t>
        </is>
      </c>
      <c r="F31" s="27" t="inlineStr">
        <is>
          <t>Verbatim as reproduced in the PositivePsychology.com PDF, corroborated by academia.edu reproduction.</t>
        </is>
      </c>
    </row>
    <row r="32" ht="23.85" customHeight="1" s="17">
      <c r="A32" s="28" t="n">
        <v>3</v>
      </c>
      <c r="B32" s="27" t="inlineStr">
        <is>
          <t>Find ways to apply your strengths in the things you do everyday?</t>
        </is>
      </c>
      <c r="C32" s="27" t="inlineStr">
        <is>
          <t>Strengths Self-Efficacy (total scale)</t>
        </is>
      </c>
      <c r="D32" s="27" t="inlineStr">
        <is>
          <t>FALSE</t>
        </is>
      </c>
      <c r="E32" s="27" t="inlineStr">
        <is>
          <t>FALSE</t>
        </is>
      </c>
      <c r="F32" s="27" t="inlineStr">
        <is>
          <t>Verbatim as reproduced in the PositivePsychology.com PDF, corroborated by academia.edu reproduction.</t>
        </is>
      </c>
    </row>
    <row r="33" ht="23.85" customHeight="1" s="17">
      <c r="A33" s="28" t="n">
        <v>4</v>
      </c>
      <c r="B33" s="27" t="inlineStr">
        <is>
          <t>Accomplish a lot using your strengths?</t>
        </is>
      </c>
      <c r="C33" s="27" t="inlineStr">
        <is>
          <t>Strengths Self-Efficacy (total scale)</t>
        </is>
      </c>
      <c r="D33" s="27" t="inlineStr">
        <is>
          <t>FALSE</t>
        </is>
      </c>
      <c r="E33" s="27" t="inlineStr">
        <is>
          <t>FALSE</t>
        </is>
      </c>
      <c r="F33" s="27" t="inlineStr">
        <is>
          <t>Verbatim as reproduced in the PositivePsychology.com PDF, corroborated by academia.edu reproduction.</t>
        </is>
      </c>
    </row>
    <row r="34" ht="23.85" customHeight="1" s="17">
      <c r="A34" s="28" t="n">
        <v>5</v>
      </c>
      <c r="B34" s="27" t="inlineStr">
        <is>
          <t>Apply your strengths at work/school?</t>
        </is>
      </c>
      <c r="C34" s="27" t="inlineStr">
        <is>
          <t>Strengths Self-Efficacy (total scale)</t>
        </is>
      </c>
      <c r="D34" s="27" t="inlineStr">
        <is>
          <t>FALSE</t>
        </is>
      </c>
      <c r="E34" s="27" t="inlineStr">
        <is>
          <t>FALSE</t>
        </is>
      </c>
      <c r="F34" s="27" t="inlineStr">
        <is>
          <t>Verbatim as reproduced in the PositivePsychology.com PDF, corroborated by academia.edu reproduction.</t>
        </is>
      </c>
    </row>
    <row r="35" ht="23.85" customHeight="1" s="17">
      <c r="A35" s="28" t="n">
        <v>6</v>
      </c>
      <c r="B35" s="27" t="inlineStr">
        <is>
          <t>Use your strengths in many situations?</t>
        </is>
      </c>
      <c r="C35" s="27" t="inlineStr">
        <is>
          <t>Strengths Self-Efficacy (total scale)</t>
        </is>
      </c>
      <c r="D35" s="27" t="inlineStr">
        <is>
          <t>FALSE</t>
        </is>
      </c>
      <c r="E35" s="27" t="inlineStr">
        <is>
          <t>FALSE</t>
        </is>
      </c>
      <c r="F35" s="27" t="inlineStr">
        <is>
          <t>Verbatim as reproduced in the PositivePsychology.com PDF, corroborated by academia.edu reproduction.</t>
        </is>
      </c>
    </row>
    <row r="36" ht="23.85" customHeight="1" s="17">
      <c r="A36" s="28" t="n">
        <v>7</v>
      </c>
      <c r="B36" s="27" t="inlineStr">
        <is>
          <t>Use your strengths to succeed?</t>
        </is>
      </c>
      <c r="C36" s="27" t="inlineStr">
        <is>
          <t>Strengths Self-Efficacy (total scale)</t>
        </is>
      </c>
      <c r="D36" s="27" t="inlineStr">
        <is>
          <t>FALSE</t>
        </is>
      </c>
      <c r="E36" s="27" t="inlineStr">
        <is>
          <t>FALSE</t>
        </is>
      </c>
      <c r="F36" s="27" t="inlineStr">
        <is>
          <t>Verbatim as reproduced in the PositivePsychology.com PDF, corroborated by academia.edu reproduction.</t>
        </is>
      </c>
    </row>
    <row r="37" ht="23.85" customHeight="1" s="17">
      <c r="A37" s="28" t="n">
        <v>8</v>
      </c>
      <c r="B37" s="27" t="inlineStr">
        <is>
          <t>Find ways to use your strengths at work/school everyday?</t>
        </is>
      </c>
      <c r="C37" s="27" t="inlineStr">
        <is>
          <t>Strengths Self-Efficacy (total scale)</t>
        </is>
      </c>
      <c r="D37" s="27" t="inlineStr">
        <is>
          <t>FALSE</t>
        </is>
      </c>
      <c r="E37" s="27" t="inlineStr">
        <is>
          <t>FALSE</t>
        </is>
      </c>
      <c r="F37" s="27" t="inlineStr">
        <is>
          <t>Verbatim as reproduced in the PositivePsychology.com PDF, corroborated by academia.edu reproduction.</t>
        </is>
      </c>
    </row>
    <row r="38" ht="23.85" customHeight="1" s="17">
      <c r="A38" s="28" t="n">
        <v>9</v>
      </c>
      <c r="B38" s="27" t="inlineStr">
        <is>
          <t>Use your strengths at any time?</t>
        </is>
      </c>
      <c r="C38" s="27" t="inlineStr">
        <is>
          <t>Strengths Self-Efficacy (total scale)</t>
        </is>
      </c>
      <c r="D38" s="27" t="inlineStr">
        <is>
          <t>FALSE</t>
        </is>
      </c>
      <c r="E38" s="27" t="inlineStr">
        <is>
          <t>FALSE</t>
        </is>
      </c>
      <c r="F38" s="27" t="inlineStr">
        <is>
          <t>Verbatim as reproduced in the PositivePsychology.com PDF, corroborated by academia.edu reproduction.</t>
        </is>
      </c>
    </row>
    <row r="39" ht="23.85" customHeight="1" s="17">
      <c r="A39" s="28" t="n">
        <v>10</v>
      </c>
      <c r="B39" s="27" t="inlineStr">
        <is>
          <t>Use your strengths to help you achieve your goals in life?</t>
        </is>
      </c>
      <c r="C39" s="27" t="inlineStr">
        <is>
          <t>Strengths Self-Efficacy (total scale)</t>
        </is>
      </c>
      <c r="D39" s="27" t="inlineStr">
        <is>
          <t>FALSE</t>
        </is>
      </c>
      <c r="E39" s="27" t="inlineStr">
        <is>
          <t>FALSE</t>
        </is>
      </c>
      <c r="F39" s="27" t="inlineStr">
        <is>
          <t>Verbatim as reproduced in the PositivePsychology.com PDF, corroborated by academia.edu reproduction.</t>
        </is>
      </c>
    </row>
    <row r="40" ht="23.85" customHeight="1" s="17">
      <c r="A40" s="28" t="n">
        <v>11</v>
      </c>
      <c r="B40" s="27" t="inlineStr">
        <is>
          <t>Practice your strengths in areas where you excel?</t>
        </is>
      </c>
      <c r="C40" s="27" t="inlineStr">
        <is>
          <t>Strengths Self-Efficacy (total scale)</t>
        </is>
      </c>
      <c r="D40" s="27" t="inlineStr">
        <is>
          <t>FALSE</t>
        </is>
      </c>
      <c r="E40" s="27" t="inlineStr">
        <is>
          <t>FALSE</t>
        </is>
      </c>
      <c r="F40" s="27" t="inlineStr">
        <is>
          <t>Verbatim as reproduced in the PositivePsychology.com PDF, corroborated by academia.edu reproduction.</t>
        </is>
      </c>
    </row>
  </sheetData>
  <autoFilter ref="A29:F4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Core Self-Evaluations Scale</t>
        </is>
      </c>
    </row>
    <row r="3" ht="15" customHeight="1" s="17">
      <c r="A3" s="35" t="inlineStr">
        <is>
          <t>Instrument</t>
        </is>
      </c>
      <c r="B3" s="27" t="inlineStr">
        <is>
          <t>Core Self-Evaluations Scale</t>
        </is>
      </c>
    </row>
    <row r="4" ht="15" customHeight="1" s="17">
      <c r="A4" s="35" t="inlineStr">
        <is>
          <t>Code</t>
        </is>
      </c>
      <c r="B4" s="27" t="inlineStr">
        <is>
          <t>CSES</t>
        </is>
      </c>
    </row>
    <row r="5" ht="15" customHeight="1" s="17">
      <c r="A5" s="35" t="inlineStr">
        <is>
          <t>Domain</t>
        </is>
      </c>
      <c r="B5" s="27" t="inlineStr">
        <is>
          <t>3. Adjacent occupational and wellbeing</t>
        </is>
      </c>
    </row>
    <row r="6" ht="15" customHeight="1" s="17">
      <c r="A6" s="35" t="inlineStr">
        <is>
          <t>Availability</t>
        </is>
      </c>
      <c r="B6" s="27" t="inlineStr">
        <is>
          <t>Free / open access</t>
        </is>
      </c>
    </row>
    <row r="7" ht="30" customHeight="1" s="17">
      <c r="A7" s="35" t="inlineStr">
        <is>
          <t>Construct</t>
        </is>
      </c>
      <c r="B7" s="27" t="inlineStr">
        <is>
          <t>Core self-evaluations: a broad, fundamental positive self-appraisal trait combining self-esteem, generalised self-efficacy, internal locus of control and low neuroticism (emotional stability).</t>
        </is>
      </c>
    </row>
    <row r="8" ht="15" customHeight="1" s="17">
      <c r="A8" s="35" t="inlineStr">
        <is>
          <t>Respondent</t>
        </is>
      </c>
      <c r="B8" s="27" t="inlineStr">
        <is>
          <t>Self-report</t>
        </is>
      </c>
    </row>
    <row r="9" ht="30" customHeight="1" s="17">
      <c r="A9" s="35" t="inlineStr">
        <is>
          <t>Age range</t>
        </is>
      </c>
      <c r="B9" s="27" t="inlineStr">
        <is>
          <t>Working adults (Samples 1-2 of the original validation); also validated with university undergraduates (Samples 3-4). Suitable for university-age and early-career coaching clients.</t>
        </is>
      </c>
    </row>
    <row r="10" ht="15" customHeight="1" s="17">
      <c r="A10" s="35" t="inlineStr">
        <is>
          <t>Items in instrument</t>
        </is>
      </c>
      <c r="B10" s="27" t="inlineStr">
        <is>
          <t>12</t>
        </is>
      </c>
    </row>
    <row r="11" ht="15" customHeight="1" s="17">
      <c r="A11" s="35" t="inlineStr">
        <is>
          <t>Items reproduced here</t>
        </is>
      </c>
      <c r="B11" s="27" t="inlineStr">
        <is>
          <t>12</t>
        </is>
      </c>
    </row>
    <row r="12" ht="15" customHeight="1" s="17">
      <c r="A12" s="35" t="inlineStr">
        <is>
          <t>Administration time</t>
        </is>
      </c>
      <c r="B12" s="27" t="inlineStr">
        <is>
          <t>2-3 minutes</t>
        </is>
      </c>
    </row>
    <row r="13" ht="45" customHeight="1" s="17">
      <c r="A13" s="35" t="inlineStr">
        <is>
          <t>Cost and access</t>
        </is>
      </c>
      <c r="B13" s="27" t="inlineStr">
        <is>
          <t>The scale is explicitly stated by the developers to be non-proprietary and free to use without permission. The full 12-item scale, with response format and scoring key, is reproduced in an open PDF of the original SIOP conference/journal materials.</t>
        </is>
      </c>
    </row>
    <row r="14" ht="105" customHeight="1" s="17">
      <c r="A14" s="35" t="inlineStr">
        <is>
          <t>Coaching application</t>
        </is>
      </c>
      <c r="B14" s="27" t="inlineStr">
        <is>
          <t>The CSES is useful as a brief baseline measure of a student or early-career client's general positive self-appraisal (self-esteem, self-efficacy, sense of control) at the start of a coaching relationship, and can flag when low scores on 'control' or 'competence' items point to executive-function or confidence work rather than a skills gap. It is not a strengths-identification tool and should not be presented to a client as diagnostic; its brevity and free licence make it practical for repeat use, but coaches should be alert that several reverse-scored items touch on depressed mood and hopelessness, which needs sensitive framing with any client where wellbeing is a live concern.</t>
        </is>
      </c>
    </row>
    <row r="15" ht="60" customHeight="1" s="17">
      <c r="A15" s="35" t="inlineStr">
        <is>
          <t>Purpose</t>
        </is>
      </c>
      <c r="B15" s="27" t="inlineStr">
        <is>
          <t>Judge, Erez, Bono and Thoresen developed the CSES to provide a direct, parsimonious measure of core self-evaluations, a higher-order trait they argued underlies self-esteem, generalised self-efficacy, locus of control and neuroticism, and which predicts job and life satisfaction and job performance.</t>
        </is>
      </c>
    </row>
    <row r="16" ht="45" customHeight="1" s="17">
      <c r="A16" s="35" t="inlineStr">
        <is>
          <t>Instructions / prompt</t>
        </is>
      </c>
      <c r="B16" s="27" t="inlineStr">
        <is>
          <t>Not retrieved verbatim from a fetched source; the CSES PDF reproduces the item table and response scale but the source fetched did not include a printed respondent-facing preamble/instruction sentence.</t>
        </is>
      </c>
    </row>
    <row r="17" ht="15" customHeight="1" s="17">
      <c r="A17" s="35" t="inlineStr">
        <is>
          <t>Response options</t>
        </is>
      </c>
      <c r="B17" s="27" t="inlineStr">
        <is>
          <t>Strongly Disagree = 1 | Disagree = 2 | Neutral = 3 | Agree = 4 | Strongly Agree = 5</t>
        </is>
      </c>
    </row>
    <row r="18" ht="15" customHeight="1" s="17">
      <c r="A18" s="35" t="inlineStr">
        <is>
          <t>Reverse-scored items</t>
        </is>
      </c>
      <c r="B18" s="27" t="inlineStr">
        <is>
          <t>2, 4, 6, 8, 10, 12</t>
        </is>
      </c>
    </row>
    <row r="19" ht="15" customHeight="1" s="17">
      <c r="A19" s="35" t="inlineStr">
        <is>
          <t>Filler items (not scored)</t>
        </is>
      </c>
      <c r="B19" s="27" t="inlineStr">
        <is>
          <t>None</t>
        </is>
      </c>
    </row>
    <row r="20" ht="30" customHeight="1" s="17">
      <c r="A20" s="35" t="inlineStr">
        <is>
          <t>Total scoring</t>
        </is>
      </c>
      <c r="B20" s="27" t="inlineStr">
        <is>
          <t>Reverse-score items 2, 4, 6, 8, 10 and 12 (6 minus the raw response on the 1-5 scale), then sum or average all 12 items. Higher scores indicate more positive core self-evaluations.</t>
        </is>
      </c>
    </row>
    <row r="21" ht="15" customHeight="1" s="17">
      <c r="A21" s="35" t="inlineStr">
        <is>
          <t>Interpretation bands</t>
        </is>
      </c>
      <c r="B21" s="27" t="inlineStr">
        <is>
          <t>Not stated on source</t>
        </is>
      </c>
    </row>
    <row r="22" ht="30" customHeight="1" s="17">
      <c r="A22" s="35" t="inlineStr">
        <is>
          <t>Cut-offs</t>
        </is>
      </c>
      <c r="B22" s="27" t="inlineStr">
        <is>
          <t>No published clinical or normative cut-off scores; intended as a continuous individual-differences measure for research and comparison, not categorical classification.</t>
        </is>
      </c>
    </row>
    <row r="23" ht="75" customHeight="1" s="17">
      <c r="A23" s="35" t="inlineStr">
        <is>
          <t>Normative data</t>
        </is>
      </c>
      <c r="B23" s="27" t="inlineStr">
        <is>
          <t>No population percentile norm tables were retrieved. Original validation means/SDs by sample were not reproduced in the source fetched; sample sizes and composition were: Sample 1, N = 280, US food-service company employees (roles from truck driver to manager); Sample 2, N = 175, pharmaceutical sales representatives, mean age 42.1; Sample 3, N = 265 (T1) and 205 (T2), undergraduates; Sample 4, N = 126, undergraduates.</t>
        </is>
      </c>
    </row>
    <row r="24" ht="90" customHeight="1" s="17">
      <c r="A24" s="35" t="inlineStr">
        <is>
          <t>Psychometric properties</t>
        </is>
      </c>
      <c r="B24" s="27" t="inlineStr">
        <is>
          <t>Internal consistency (Cronbach's alpha): Sample 1 = .85; Sample 2 = .83; Sample 3 T1 = .85, T2 = .87; Sample 4 (self-report) = .83, (other-report) = .81. Test-retest reliability over one month (Sample 3) = .81. Inter-rater (self/significant-other) agreement ICC = .43. Convergent validity (corrected correlations): self-esteem .80-.92, generalised self-efficacy .78-.90, neuroticism -.67 to -.84, locus of control .41-.62. Criterion validity (corrected correlations): job satisfaction .49-.59, job performance .26-.27, life satisfaction .53-.66. (Judge, Erez, Bono &amp; Thoresen, 2003, Table 4.)</t>
        </is>
      </c>
    </row>
    <row r="25" ht="45" customHeight="1" s="17">
      <c r="A25" s="35" t="inlineStr">
        <is>
          <t>Developer citation</t>
        </is>
      </c>
      <c r="B25" s="27" t="inlineStr">
        <is>
          <t>Judge, T. A., Erez, A., Bono, J. E., &amp; Thoresen, C. J. (2003). The Core Self-Evaluations Scale: Development of a measure. Personnel Psychology, 56(2), 303-331. https://doi.org/10.1111/j.1744-6570.2003.tb00152.x</t>
        </is>
      </c>
    </row>
    <row r="26" ht="30" customHeight="1" s="17">
      <c r="A26" s="35" t="inlineStr">
        <is>
          <t>Copyright and licensing</t>
        </is>
      </c>
      <c r="B26" s="27" t="inlineStr">
        <is>
          <t>"This measure is non-proprietary (free) and may be used without permission," as stated in the source fetched.</t>
        </is>
      </c>
    </row>
    <row r="27" ht="15" customHeight="1" s="17">
      <c r="A27" s="35" t="inlineStr">
        <is>
          <t>Source URL</t>
        </is>
      </c>
      <c r="B27" s="27" t="inlineStr">
        <is>
          <t>http://ionilies.com/SIOP03/Files/CSES.pdf</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I am confident I get the success I deserve in life.</t>
        </is>
      </c>
      <c r="C30" s="27" t="inlineStr">
        <is>
          <t>Core Self-Evaluations (total scale, unidimensional)</t>
        </is>
      </c>
      <c r="D30" s="27" t="inlineStr">
        <is>
          <t>FALSE</t>
        </is>
      </c>
      <c r="E30" s="27" t="inlineStr">
        <is>
          <t>FALSE</t>
        </is>
      </c>
      <c r="F30" s="27" t="n"/>
    </row>
    <row r="31" ht="23.85" customHeight="1" s="17">
      <c r="A31" s="28" t="n">
        <v>2</v>
      </c>
      <c r="B31" s="27" t="inlineStr">
        <is>
          <t>Sometimes I feel depressed.</t>
        </is>
      </c>
      <c r="C31" s="27" t="inlineStr">
        <is>
          <t>Core Self-Evaluations (total scale, unidimensional)</t>
        </is>
      </c>
      <c r="D31" s="34" t="inlineStr">
        <is>
          <t>TRUE</t>
        </is>
      </c>
      <c r="E31" s="27" t="inlineStr">
        <is>
          <t>FALSE</t>
        </is>
      </c>
      <c r="F31" s="27" t="inlineStr">
        <is>
          <t>Touches on depressed mood; use sensitively with clients where wellbeing is a live concern.</t>
        </is>
      </c>
    </row>
    <row r="32" ht="23.85" customHeight="1" s="17">
      <c r="A32" s="28" t="n">
        <v>3</v>
      </c>
      <c r="B32" s="27" t="inlineStr">
        <is>
          <t>When I try, I generally succeed.</t>
        </is>
      </c>
      <c r="C32" s="27" t="inlineStr">
        <is>
          <t>Core Self-Evaluations (total scale, unidimensional)</t>
        </is>
      </c>
      <c r="D32" s="27" t="inlineStr">
        <is>
          <t>FALSE</t>
        </is>
      </c>
      <c r="E32" s="27" t="inlineStr">
        <is>
          <t>FALSE</t>
        </is>
      </c>
      <c r="F32" s="27" t="n"/>
    </row>
    <row r="33" ht="23.85" customHeight="1" s="17">
      <c r="A33" s="28" t="n">
        <v>4</v>
      </c>
      <c r="B33" s="27" t="inlineStr">
        <is>
          <t>Sometimes when I fail I feel worthless.</t>
        </is>
      </c>
      <c r="C33" s="27" t="inlineStr">
        <is>
          <t>Core Self-Evaluations (total scale, unidimensional)</t>
        </is>
      </c>
      <c r="D33" s="34" t="inlineStr">
        <is>
          <t>TRUE</t>
        </is>
      </c>
      <c r="E33" s="27" t="inlineStr">
        <is>
          <t>FALSE</t>
        </is>
      </c>
      <c r="F33" s="27" t="n"/>
    </row>
    <row r="34" ht="23.85" customHeight="1" s="17">
      <c r="A34" s="28" t="n">
        <v>5</v>
      </c>
      <c r="B34" s="27" t="inlineStr">
        <is>
          <t>I complete tasks successfully.</t>
        </is>
      </c>
      <c r="C34" s="27" t="inlineStr">
        <is>
          <t>Core Self-Evaluations (total scale, unidimensional)</t>
        </is>
      </c>
      <c r="D34" s="27" t="inlineStr">
        <is>
          <t>FALSE</t>
        </is>
      </c>
      <c r="E34" s="27" t="inlineStr">
        <is>
          <t>FALSE</t>
        </is>
      </c>
      <c r="F34" s="27" t="n"/>
    </row>
    <row r="35" ht="23.85" customHeight="1" s="17">
      <c r="A35" s="28" t="n">
        <v>6</v>
      </c>
      <c r="B35" s="27" t="inlineStr">
        <is>
          <t>Sometimes, I do not feel in control of my work.</t>
        </is>
      </c>
      <c r="C35" s="27" t="inlineStr">
        <is>
          <t>Core Self-Evaluations (total scale, unidimensional)</t>
        </is>
      </c>
      <c r="D35" s="34" t="inlineStr">
        <is>
          <t>TRUE</t>
        </is>
      </c>
      <c r="E35" s="27" t="inlineStr">
        <is>
          <t>FALSE</t>
        </is>
      </c>
      <c r="F35" s="27" t="n"/>
    </row>
    <row r="36" ht="23.85" customHeight="1" s="17">
      <c r="A36" s="28" t="n">
        <v>7</v>
      </c>
      <c r="B36" s="27" t="inlineStr">
        <is>
          <t>Overall, I am satisfied with myself.</t>
        </is>
      </c>
      <c r="C36" s="27" t="inlineStr">
        <is>
          <t>Core Self-Evaluations (total scale, unidimensional)</t>
        </is>
      </c>
      <c r="D36" s="27" t="inlineStr">
        <is>
          <t>FALSE</t>
        </is>
      </c>
      <c r="E36" s="27" t="inlineStr">
        <is>
          <t>FALSE</t>
        </is>
      </c>
      <c r="F36" s="27" t="n"/>
    </row>
    <row r="37" ht="23.85" customHeight="1" s="17">
      <c r="A37" s="28" t="n">
        <v>8</v>
      </c>
      <c r="B37" s="27" t="inlineStr">
        <is>
          <t>I am filled with doubts about my competence.</t>
        </is>
      </c>
      <c r="C37" s="27" t="inlineStr">
        <is>
          <t>Core Self-Evaluations (total scale, unidimensional)</t>
        </is>
      </c>
      <c r="D37" s="34" t="inlineStr">
        <is>
          <t>TRUE</t>
        </is>
      </c>
      <c r="E37" s="27" t="inlineStr">
        <is>
          <t>FALSE</t>
        </is>
      </c>
      <c r="F37" s="27" t="n"/>
    </row>
    <row r="38" ht="23.85" customHeight="1" s="17">
      <c r="A38" s="28" t="n">
        <v>9</v>
      </c>
      <c r="B38" s="27" t="inlineStr">
        <is>
          <t>I determine what will happen in my life.</t>
        </is>
      </c>
      <c r="C38" s="27" t="inlineStr">
        <is>
          <t>Core Self-Evaluations (total scale, unidimensional)</t>
        </is>
      </c>
      <c r="D38" s="27" t="inlineStr">
        <is>
          <t>FALSE</t>
        </is>
      </c>
      <c r="E38" s="27" t="inlineStr">
        <is>
          <t>FALSE</t>
        </is>
      </c>
      <c r="F38" s="27" t="n"/>
    </row>
    <row r="39" ht="23.85" customHeight="1" s="17">
      <c r="A39" s="28" t="n">
        <v>10</v>
      </c>
      <c r="B39" s="27" t="inlineStr">
        <is>
          <t>I do not feel in control of my success in my career.</t>
        </is>
      </c>
      <c r="C39" s="27" t="inlineStr">
        <is>
          <t>Core Self-Evaluations (total scale, unidimensional)</t>
        </is>
      </c>
      <c r="D39" s="34" t="inlineStr">
        <is>
          <t>TRUE</t>
        </is>
      </c>
      <c r="E39" s="27" t="inlineStr">
        <is>
          <t>FALSE</t>
        </is>
      </c>
      <c r="F39" s="27" t="n"/>
    </row>
    <row r="40" ht="23.85" customHeight="1" s="17">
      <c r="A40" s="28" t="n">
        <v>11</v>
      </c>
      <c r="B40" s="27" t="inlineStr">
        <is>
          <t>I am capable of coping with most of my problems.</t>
        </is>
      </c>
      <c r="C40" s="27" t="inlineStr">
        <is>
          <t>Core Self-Evaluations (total scale, unidimensional)</t>
        </is>
      </c>
      <c r="D40" s="27" t="inlineStr">
        <is>
          <t>FALSE</t>
        </is>
      </c>
      <c r="E40" s="27" t="inlineStr">
        <is>
          <t>FALSE</t>
        </is>
      </c>
      <c r="F40" s="27" t="n"/>
    </row>
    <row r="41" ht="23.85" customHeight="1" s="17">
      <c r="A41" s="28" t="n">
        <v>12</v>
      </c>
      <c r="B41" s="27" t="inlineStr">
        <is>
          <t>There are times when things look pretty bleak and hopeless to me.</t>
        </is>
      </c>
      <c r="C41" s="27" t="inlineStr">
        <is>
          <t>Core Self-Evaluations (total scale, unidimensional)</t>
        </is>
      </c>
      <c r="D41" s="34" t="inlineStr">
        <is>
          <t>TRUE</t>
        </is>
      </c>
      <c r="E41" s="27" t="inlineStr">
        <is>
          <t>FALSE</t>
        </is>
      </c>
      <c r="F41" s="27" t="inlineStr">
        <is>
          <t>Touches on hopelessness; use sensitively with clients where wellbeing is a live concern.</t>
        </is>
      </c>
    </row>
  </sheetData>
  <autoFilter ref="A29:F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Psychological Empowerment Scale</t>
        </is>
      </c>
    </row>
    <row r="3" ht="15" customHeight="1" s="17">
      <c r="A3" s="35" t="inlineStr">
        <is>
          <t>Instrument</t>
        </is>
      </c>
      <c r="B3" s="27" t="inlineStr">
        <is>
          <t>Psychological Empowerment Scale</t>
        </is>
      </c>
    </row>
    <row r="4" ht="15" customHeight="1" s="17">
      <c r="A4" s="35" t="inlineStr">
        <is>
          <t>Code</t>
        </is>
      </c>
      <c r="B4" s="27" t="inlineStr">
        <is>
          <t>PES</t>
        </is>
      </c>
    </row>
    <row r="5" ht="15" customHeight="1" s="17">
      <c r="A5" s="35" t="inlineStr">
        <is>
          <t>Domain</t>
        </is>
      </c>
      <c r="B5" s="27" t="inlineStr">
        <is>
          <t>3. Adjacent occupational and wellbeing</t>
        </is>
      </c>
    </row>
    <row r="6" ht="15" customHeight="1" s="17">
      <c r="A6" s="35" t="inlineStr">
        <is>
          <t>Availability</t>
        </is>
      </c>
      <c r="B6" s="27" t="inlineStr">
        <is>
          <t>Free / open access</t>
        </is>
      </c>
    </row>
    <row r="7" ht="30" customHeight="1" s="17">
      <c r="A7" s="35" t="inlineStr">
        <is>
          <t>Construct</t>
        </is>
      </c>
      <c r="B7" s="27" t="inlineStr">
        <is>
          <t>Psychological empowerment at work, a motivational construct with four cognitive dimensions: meaning, competence, self-determination and impact.</t>
        </is>
      </c>
    </row>
    <row r="8" ht="15" customHeight="1" s="17">
      <c r="A8" s="35" t="inlineStr">
        <is>
          <t>Respondent</t>
        </is>
      </c>
      <c r="B8" s="27" t="inlineStr">
        <is>
          <t>Self-report, employed adults</t>
        </is>
      </c>
    </row>
    <row r="9" ht="30" customHeight="1" s="17">
      <c r="A9" s="35" t="inlineStr">
        <is>
          <t>Age range</t>
        </is>
      </c>
      <c r="B9" s="27" t="inlineStr">
        <is>
          <t>Working adults; original validation used middle managers and industrial-firm employees. Applicable to early-career and internship-stage clients holding a defined work role.</t>
        </is>
      </c>
    </row>
    <row r="10" ht="15" customHeight="1" s="17">
      <c r="A10" s="35" t="inlineStr">
        <is>
          <t>Items in instrument</t>
        </is>
      </c>
      <c r="B10" s="27" t="inlineStr">
        <is>
          <t>12</t>
        </is>
      </c>
    </row>
    <row r="11" ht="15" customHeight="1" s="17">
      <c r="A11" s="35" t="inlineStr">
        <is>
          <t>Items reproduced here</t>
        </is>
      </c>
      <c r="B11" s="27" t="inlineStr">
        <is>
          <t>12</t>
        </is>
      </c>
    </row>
    <row r="12" ht="15" customHeight="1" s="17">
      <c r="A12" s="35" t="inlineStr">
        <is>
          <t>Administration time</t>
        </is>
      </c>
      <c r="B12" s="27" t="inlineStr">
        <is>
          <t>3-5 minutes</t>
        </is>
      </c>
    </row>
    <row r="13" ht="30" customHeight="1" s="17">
      <c r="A13" s="35" t="inlineStr">
        <is>
          <t>Cost and access</t>
        </is>
      </c>
      <c r="B13" s="27" t="inlineStr">
        <is>
          <t>The instrument is hosted freely by the developer, Gretchen Spreitzer, on her own university web page for research and practice use, with no stated fee or formal permission process.</t>
        </is>
      </c>
    </row>
    <row r="14" ht="105" customHeight="1" s="17">
      <c r="A14" s="35" t="inlineStr">
        <is>
          <t>Coaching application</t>
        </is>
      </c>
      <c r="B14" s="27" t="inlineStr">
        <is>
          <t>This scale works well in coaching to make explicit which of the four empowerment dimensions (meaning, competence, self-determination, impact) is weakest for a client in a job, internship or leadership role, giving a concrete focus for goal-setting. It is designed for someone already in a defined work role with a 'department' or team, so it fits early-career and placement clients better than full-time students without paid work, and it measures a felt cognitive state rather than actual job conditions, so a low score should prompt exploration of both the client's perception and the realities of their role rather than being taken as a fixed trait.</t>
        </is>
      </c>
    </row>
    <row r="15" ht="45" customHeight="1" s="17">
      <c r="A15" s="35" t="inlineStr">
        <is>
          <t>Purpose</t>
        </is>
      </c>
      <c r="B15" s="27" t="inlineStr">
        <is>
          <t>Spreitzer (1995) developed this scale to operationalise and measure psychological empowerment as a multidimensional motivational construct in the workplace, validating it as an antecedent of managerial effectiveness and innovation.</t>
        </is>
      </c>
    </row>
    <row r="16" ht="45" customHeight="1" s="17">
      <c r="A16" s="35" t="inlineStr">
        <is>
          <t>Instructions / prompt</t>
        </is>
      </c>
      <c r="B16" s="27" t="inlineStr">
        <is>
          <t>Listed below are a number of self-orientations that people may have with regard to their work role. Using the following scale, please indicate the extent to which you agree or disagree that each one describes your self-orientation.</t>
        </is>
      </c>
    </row>
    <row r="17" ht="30" customHeight="1" s="17">
      <c r="A17" s="35" t="inlineStr">
        <is>
          <t>Response options</t>
        </is>
      </c>
      <c r="B17" s="27" t="inlineStr">
        <is>
          <t>Very Strongly Disagree = 1 | Strongly Disagree = 2 | Disagree = 3 | Neutral = 4 | Agree = 5 | Strongly Agree = 6 | Very Strongly Agree = 7</t>
        </is>
      </c>
    </row>
    <row r="18" ht="15" customHeight="1" s="17">
      <c r="A18" s="35" t="inlineStr">
        <is>
          <t>Reverse-scored items</t>
        </is>
      </c>
      <c r="B18" s="27" t="inlineStr">
        <is>
          <t>None</t>
        </is>
      </c>
    </row>
    <row r="19" ht="15" customHeight="1" s="17">
      <c r="A19" s="35" t="inlineStr">
        <is>
          <t>Filler items (not scored)</t>
        </is>
      </c>
      <c r="B19" s="27" t="inlineStr">
        <is>
          <t>None</t>
        </is>
      </c>
    </row>
    <row r="20" ht="60" customHeight="1" s="17">
      <c r="A20" s="35" t="inlineStr">
        <is>
          <t>Total scoring</t>
        </is>
      </c>
      <c r="B20" s="27" t="inlineStr">
        <is>
          <t>Each subscale is scored as the mean of its 3 items (range 1-7). An overall empowerment score can be computed as the mean of the four subscale means, as the source document itself instructs: "You may use the subdimensions individually (taking the mean of the 3 items measuring one dimension) or take the mean of the 4 subdimension means to create an overall empowerment score."</t>
        </is>
      </c>
    </row>
    <row r="21" ht="15" customHeight="1" s="17">
      <c r="A21" s="35" t="inlineStr">
        <is>
          <t>Interpretation bands</t>
        </is>
      </c>
      <c r="B21" s="27" t="inlineStr">
        <is>
          <t>Not stated on source</t>
        </is>
      </c>
    </row>
    <row r="22" ht="30" customHeight="1" s="17">
      <c r="A22" s="35" t="inlineStr">
        <is>
          <t>Cut-offs</t>
        </is>
      </c>
      <c r="B22" s="27" t="inlineStr">
        <is>
          <t>No published clinical or normative cut-off scores; intended as a continuous research and diagnostic measure, not categorical classification.</t>
        </is>
      </c>
    </row>
    <row r="23" ht="60" customHeight="1" s="17">
      <c r="A23" s="35" t="inlineStr">
        <is>
          <t>Normative data</t>
        </is>
      </c>
      <c r="B23" s="27" t="inlineStr">
        <is>
          <t>No specific normative table (means/SDs) was retrieved. The instrument page states the scale has been "used successfully in more than 50 different studies" since the original 1995 validation, which used two working-adult field samples (insurance-company middle managers and a Fortune 50 industrial firm), with typical test-retest reliability and validity coefficients around .80 across studies.</t>
        </is>
      </c>
    </row>
    <row r="24" ht="60" customHeight="1" s="17">
      <c r="A24" s="35" t="inlineStr">
        <is>
          <t>Psychometric properties</t>
        </is>
      </c>
      <c r="B24" s="27" t="inlineStr">
        <is>
          <t>Test-retest reliability described on the source page as "strong," with validity estimates for the four dimensions "typically around .80" across the more than 50 studies that have used the scale. Exact original-validation alpha coefficients per subscale were not reproduced on the instrument page fetched.</t>
        </is>
      </c>
    </row>
    <row r="25" ht="30" customHeight="1" s="17">
      <c r="A25" s="35" t="inlineStr">
        <is>
          <t>Developer citation</t>
        </is>
      </c>
      <c r="B25" s="27" t="inlineStr">
        <is>
          <t>Spreitzer, G. M. (1995). Psychological empowerment in the workplace: Dimensions, measurement, and validation. Academy of Management Journal, 38(5), 1442-1465. https://doi.org/10.2307/256865</t>
        </is>
      </c>
    </row>
    <row r="26" ht="30" customHeight="1" s="17">
      <c r="A26" s="35" t="inlineStr">
        <is>
          <t>Copyright and licensing</t>
        </is>
      </c>
      <c r="B26" s="27" t="inlineStr">
        <is>
          <t>Hosted freely by the author for research and practice use; no explicit restriction or fee is stated on the page.</t>
        </is>
      </c>
    </row>
    <row r="27" ht="15" customHeight="1" s="17">
      <c r="A27" s="35" t="inlineStr">
        <is>
          <t>Source URL</t>
        </is>
      </c>
      <c r="B27" s="27" t="inlineStr">
        <is>
          <t>https://webuser.bus.umich.edu/spreitze/Pdfs/EmpowerInstrument.pdf</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The work that I do is important to me.</t>
        </is>
      </c>
      <c r="C30" s="27" t="inlineStr">
        <is>
          <t>Meaning</t>
        </is>
      </c>
      <c r="D30" s="27" t="inlineStr">
        <is>
          <t>FALSE</t>
        </is>
      </c>
      <c r="E30" s="27" t="inlineStr">
        <is>
          <t>FALSE</t>
        </is>
      </c>
      <c r="F30" s="27" t="n"/>
    </row>
    <row r="31" ht="15" customHeight="1" s="17">
      <c r="A31" s="28" t="n">
        <v>2</v>
      </c>
      <c r="B31" s="27" t="inlineStr">
        <is>
          <t>My job activities are personally meaningful to me.</t>
        </is>
      </c>
      <c r="C31" s="27" t="inlineStr">
        <is>
          <t>Meaning</t>
        </is>
      </c>
      <c r="D31" s="27" t="inlineStr">
        <is>
          <t>FALSE</t>
        </is>
      </c>
      <c r="E31" s="27" t="inlineStr">
        <is>
          <t>FALSE</t>
        </is>
      </c>
      <c r="F31" s="27" t="n"/>
    </row>
    <row r="32" ht="15" customHeight="1" s="17">
      <c r="A32" s="28" t="n">
        <v>3</v>
      </c>
      <c r="B32" s="27" t="inlineStr">
        <is>
          <t>The work I do is meaningful to me.</t>
        </is>
      </c>
      <c r="C32" s="27" t="inlineStr">
        <is>
          <t>Meaning</t>
        </is>
      </c>
      <c r="D32" s="27" t="inlineStr">
        <is>
          <t>FALSE</t>
        </is>
      </c>
      <c r="E32" s="27" t="inlineStr">
        <is>
          <t>FALSE</t>
        </is>
      </c>
      <c r="F32" s="27" t="n"/>
    </row>
    <row r="33" ht="15" customHeight="1" s="17">
      <c r="A33" s="28" t="n">
        <v>4</v>
      </c>
      <c r="B33" s="27" t="inlineStr">
        <is>
          <t>I am confident about my ability to do my job.</t>
        </is>
      </c>
      <c r="C33" s="27" t="inlineStr">
        <is>
          <t>Competence</t>
        </is>
      </c>
      <c r="D33" s="27" t="inlineStr">
        <is>
          <t>FALSE</t>
        </is>
      </c>
      <c r="E33" s="27" t="inlineStr">
        <is>
          <t>FALSE</t>
        </is>
      </c>
      <c r="F33" s="27" t="n"/>
    </row>
    <row r="34" ht="15" customHeight="1" s="17">
      <c r="A34" s="28" t="n">
        <v>5</v>
      </c>
      <c r="B34" s="27" t="inlineStr">
        <is>
          <t>I have mastered the skills necessary for my job.</t>
        </is>
      </c>
      <c r="C34" s="27" t="inlineStr">
        <is>
          <t>Competence</t>
        </is>
      </c>
      <c r="D34" s="27" t="inlineStr">
        <is>
          <t>FALSE</t>
        </is>
      </c>
      <c r="E34" s="27" t="inlineStr">
        <is>
          <t>FALSE</t>
        </is>
      </c>
      <c r="F34" s="27" t="n"/>
    </row>
    <row r="35" ht="15" customHeight="1" s="17">
      <c r="A35" s="28" t="n">
        <v>6</v>
      </c>
      <c r="B35" s="27" t="inlineStr">
        <is>
          <t>I am self-assured about my capabilities to perform my work activities.</t>
        </is>
      </c>
      <c r="C35" s="27" t="inlineStr">
        <is>
          <t>Competence</t>
        </is>
      </c>
      <c r="D35" s="27" t="inlineStr">
        <is>
          <t>FALSE</t>
        </is>
      </c>
      <c r="E35" s="27" t="inlineStr">
        <is>
          <t>FALSE</t>
        </is>
      </c>
      <c r="F35" s="27" t="n"/>
    </row>
    <row r="36" ht="15" customHeight="1" s="17">
      <c r="A36" s="28" t="n">
        <v>7</v>
      </c>
      <c r="B36" s="27" t="inlineStr">
        <is>
          <t>I have significant autonomy in determining how I do my job.</t>
        </is>
      </c>
      <c r="C36" s="27" t="inlineStr">
        <is>
          <t>Self-Determination</t>
        </is>
      </c>
      <c r="D36" s="27" t="inlineStr">
        <is>
          <t>FALSE</t>
        </is>
      </c>
      <c r="E36" s="27" t="inlineStr">
        <is>
          <t>FALSE</t>
        </is>
      </c>
      <c r="F36" s="27" t="n"/>
    </row>
    <row r="37" ht="15" customHeight="1" s="17">
      <c r="A37" s="28" t="n">
        <v>8</v>
      </c>
      <c r="B37" s="27" t="inlineStr">
        <is>
          <t>I can decide on my own how to go about doing my own work.</t>
        </is>
      </c>
      <c r="C37" s="27" t="inlineStr">
        <is>
          <t>Self-Determination</t>
        </is>
      </c>
      <c r="D37" s="27" t="inlineStr">
        <is>
          <t>FALSE</t>
        </is>
      </c>
      <c r="E37" s="27" t="inlineStr">
        <is>
          <t>FALSE</t>
        </is>
      </c>
      <c r="F37" s="27" t="n"/>
    </row>
    <row r="38" ht="15" customHeight="1" s="17">
      <c r="A38" s="28" t="n">
        <v>9</v>
      </c>
      <c r="B38" s="27" t="inlineStr">
        <is>
          <t>I have considerable opportunity for independence and freedom in how I do my job.</t>
        </is>
      </c>
      <c r="C38" s="27" t="inlineStr">
        <is>
          <t>Self-Determination</t>
        </is>
      </c>
      <c r="D38" s="27" t="inlineStr">
        <is>
          <t>FALSE</t>
        </is>
      </c>
      <c r="E38" s="27" t="inlineStr">
        <is>
          <t>FALSE</t>
        </is>
      </c>
      <c r="F38" s="27" t="n"/>
    </row>
    <row r="39" ht="15" customHeight="1" s="17">
      <c r="A39" s="28" t="n">
        <v>10</v>
      </c>
      <c r="B39" s="27" t="inlineStr">
        <is>
          <t>My impact on what happens in my department is large.</t>
        </is>
      </c>
      <c r="C39" s="27" t="inlineStr">
        <is>
          <t>Impact</t>
        </is>
      </c>
      <c r="D39" s="27" t="inlineStr">
        <is>
          <t>FALSE</t>
        </is>
      </c>
      <c r="E39" s="27" t="inlineStr">
        <is>
          <t>FALSE</t>
        </is>
      </c>
      <c r="F39" s="27" t="n"/>
    </row>
    <row r="40" ht="15" customHeight="1" s="17">
      <c r="A40" s="28" t="n">
        <v>11</v>
      </c>
      <c r="B40" s="27" t="inlineStr">
        <is>
          <t>I have a great deal of control over what happens in my department.</t>
        </is>
      </c>
      <c r="C40" s="27" t="inlineStr">
        <is>
          <t>Impact</t>
        </is>
      </c>
      <c r="D40" s="27" t="inlineStr">
        <is>
          <t>FALSE</t>
        </is>
      </c>
      <c r="E40" s="27" t="inlineStr">
        <is>
          <t>FALSE</t>
        </is>
      </c>
      <c r="F40" s="27" t="n"/>
    </row>
    <row r="41" ht="15" customHeight="1" s="17">
      <c r="A41" s="28" t="n">
        <v>12</v>
      </c>
      <c r="B41" s="27" t="inlineStr">
        <is>
          <t>I have significant influence over what happens in my department.</t>
        </is>
      </c>
      <c r="C41" s="27" t="inlineStr">
        <is>
          <t>Impact</t>
        </is>
      </c>
      <c r="D41" s="27" t="inlineStr">
        <is>
          <t>FALSE</t>
        </is>
      </c>
      <c r="E41" s="27" t="inlineStr">
        <is>
          <t>FALSE</t>
        </is>
      </c>
      <c r="F41" s="27" t="n"/>
    </row>
  </sheetData>
  <autoFilter ref="A29:F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F50"/>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Depression Anxiety Stress Scales, 21 item version (DASS-21)</t>
        </is>
      </c>
    </row>
    <row r="3" ht="15" customHeight="1" s="17">
      <c r="A3" s="35" t="inlineStr">
        <is>
          <t>Instrument</t>
        </is>
      </c>
      <c r="B3" s="27" t="inlineStr">
        <is>
          <t>Depression Anxiety Stress Scales, 21 item version (DASS-21)</t>
        </is>
      </c>
    </row>
    <row r="4" ht="15" customHeight="1" s="17">
      <c r="A4" s="35" t="inlineStr">
        <is>
          <t>Code</t>
        </is>
      </c>
      <c r="B4" s="27" t="inlineStr">
        <is>
          <t>DASS-21</t>
        </is>
      </c>
    </row>
    <row r="5" ht="15" customHeight="1" s="17">
      <c r="A5" s="35" t="inlineStr">
        <is>
          <t>Domain</t>
        </is>
      </c>
      <c r="B5" s="27" t="inlineStr">
        <is>
          <t>4. Psychological distress screening</t>
        </is>
      </c>
    </row>
    <row r="6" ht="15" customHeight="1" s="17">
      <c r="A6" s="35" t="inlineStr">
        <is>
          <t>Availability</t>
        </is>
      </c>
      <c r="B6" s="27" t="inlineStr">
        <is>
          <t>Free / open access</t>
        </is>
      </c>
    </row>
    <row r="7" ht="75" customHeight="1" s="17">
      <c r="A7" s="35" t="inlineStr">
        <is>
          <t>Construct</t>
        </is>
      </c>
      <c r="B7" s="27" t="inlineStr">
        <is>
          <t>Three related negative emotional states over the past week: depression (dysphoria, hopelessness, devaluation of life, self deprecation, lack of interest or involvement, anhedonia, inertia), anxiety (autonomic arousal, skeletal muscle effects, situational anxiety, subjective experience of anxious affect) and stress (difficulty relaxing, nervous arousal, being easily upset or agitated, irritable or over reactive, impatient). Built on a dimensional rather than a categorical model of distress.</t>
        </is>
      </c>
    </row>
    <row r="8" ht="15" customHeight="1" s="17">
      <c r="A8" s="35" t="inlineStr">
        <is>
          <t>Respondent</t>
        </is>
      </c>
      <c r="B8" s="27" t="inlineStr">
        <is>
          <t>Self-report</t>
        </is>
      </c>
    </row>
    <row r="9" ht="15" customHeight="1" s="17">
      <c r="A9" s="35" t="inlineStr">
        <is>
          <t>Age range</t>
        </is>
      </c>
      <c r="B9" s="27" t="inlineStr">
        <is>
          <t>17+ (NovoPsych); adults and older adolescents</t>
        </is>
      </c>
    </row>
    <row r="10" ht="15" customHeight="1" s="17">
      <c r="A10" s="35" t="inlineStr">
        <is>
          <t>Items in instrument</t>
        </is>
      </c>
      <c r="B10" s="27" t="inlineStr">
        <is>
          <t>21</t>
        </is>
      </c>
    </row>
    <row r="11" ht="15" customHeight="1" s="17">
      <c r="A11" s="35" t="inlineStr">
        <is>
          <t>Items reproduced here</t>
        </is>
      </c>
      <c r="B11" s="27" t="inlineStr">
        <is>
          <t>21</t>
        </is>
      </c>
    </row>
    <row r="12" ht="15" customHeight="1" s="17">
      <c r="A12" s="35" t="inlineStr">
        <is>
          <t>Administration time</t>
        </is>
      </c>
      <c r="B12" s="27" t="inlineStr">
        <is>
          <t>4 minutes</t>
        </is>
      </c>
    </row>
    <row r="13" ht="75" customHeight="1" s="17">
      <c r="A13" s="35" t="inlineStr">
        <is>
          <t>Cost and access</t>
        </is>
      </c>
      <c r="B13" s="27" t="inlineStr">
        <is>
          <t>Public domain. The University of New South Wales DASS site states that the DASS questionnaire is in the public domain and may be downloaded from the site without charge. The form, scoring template and translations are free; only the printed manual is sold (AUD 55). NovoPsych also hosts the DASS-21 with automated scoring and reports for account holders. Charlotte Price Consulting administers it through a Tally form and scores it with the practice DASS-21 report builder.</t>
        </is>
      </c>
    </row>
    <row r="14" ht="90" customHeight="1" s="17">
      <c r="A14" s="35" t="inlineStr">
        <is>
          <t>Coaching application</t>
        </is>
      </c>
      <c r="B14" s="27" t="inlineStr">
        <is>
          <t>A brief screening measure to establish whether a client's current distress sits within the range coaching can safely hold, or whether a general practitioner or registered mental health practitioner should be involved before or alongside coaching. Scores describe the past week only, so a repeat administration is needed to separate a difficult week from a developing pattern. It is not a diagnostic instrument and does not assess suicide risk; items 10, 17 and 21 are followed up directly when endorsed at 2 or 3, as the practice report builder does.</t>
        </is>
      </c>
    </row>
    <row r="15" ht="75" customHeight="1" s="17">
      <c r="A15" s="35" t="inlineStr">
        <is>
          <t>Purpose</t>
        </is>
      </c>
      <c r="B15" s="27" t="inlineStr">
        <is>
          <t>The DASS was developed by Lovibond and Lovibond (1995) to measure the three related negative emotional states of depression, anxiety and stress, and to discriminate between them as fully as possible. The 21 item short form takes 7 items from each of the three 14 item scales of the full DASS-42. It is used across clinical, research and non clinical settings to describe current symptom severity and to track change over time, rather than to assign diagnostic categories.</t>
        </is>
      </c>
    </row>
    <row r="16" ht="45" customHeight="1" s="17">
      <c r="A16" s="35" t="inlineStr">
        <is>
          <t>Instructions / prompt</t>
        </is>
      </c>
      <c r="B16" s="27" t="inlineStr">
        <is>
          <t>Please read each statement and circle a number 0, 1, 2 or 3 which indicates how much the statement applied to you over the past week. There are no right or wrong answers. Do not spend too much time on any statement.</t>
        </is>
      </c>
    </row>
    <row r="17" ht="45" customHeight="1" s="17">
      <c r="A17" s="35" t="inlineStr">
        <is>
          <t>Response options</t>
        </is>
      </c>
      <c r="B17" s="27" t="inlineStr">
        <is>
          <t>Did not apply to me at all = 0 | Applied to me to some degree, or some of the time = 1 | Applied to me to a considerable degree, or a good part of time = 2 | Applied to me very much, or most of the time = 3</t>
        </is>
      </c>
    </row>
    <row r="18" ht="15" customHeight="1" s="17">
      <c r="A18" s="35" t="inlineStr">
        <is>
          <t>Reverse-scored items</t>
        </is>
      </c>
      <c r="B18" s="27" t="inlineStr">
        <is>
          <t>None</t>
        </is>
      </c>
    </row>
    <row r="19" ht="15" customHeight="1" s="17">
      <c r="A19" s="35" t="inlineStr">
        <is>
          <t>Filler items (not scored)</t>
        </is>
      </c>
      <c r="B19" s="27" t="inlineStr">
        <is>
          <t>None</t>
        </is>
      </c>
    </row>
    <row r="20" ht="75" customHeight="1" s="17">
      <c r="A20" s="35" t="inlineStr">
        <is>
          <t>Total scoring</t>
        </is>
      </c>
      <c r="B20" s="27" t="inlineStr">
        <is>
          <t>Each item is rated 0 to 3 for the past week. The 7 items of each subscale are summed (raw range 0 to 21) and the sum is multiplied by 2, placing each subscale on the same 0 to 42 range as the full DASS-42 so that the published severity labels can be applied. No items are reverse scored. A total distress score (sum of all 21 items, doubled) is sometimes reported but the three subscales are the primary outputs.</t>
        </is>
      </c>
    </row>
    <row r="21" ht="169.5" customHeight="1" s="17">
      <c r="A21" s="35" t="inlineStr">
        <is>
          <t>Interpretation bands</t>
        </is>
      </c>
      <c r="B21" s="27" t="inlineStr">
        <is>
          <t>Depression - Normal: 0-9 - Within the normal range for the general adult population.
Depression - Mild: 10-13 - Above the population mean; conventionally labelled mild.
Depression - Moderate: 14-20 - Clearly above the normal range; duration is the key clinical question.
Depression - Severe: 21-27 - Well above the normal range; clinical involvement is indicated.
Depression - Extremely severe: 28-42 - Highest severity band; clinical contact is the first step.
Anxiety - Normal: 0-7 - Within the normal range.
Anxiety - Mild: 8-9 - Above the population mean.
Anxiety - Moderate: 10-14 - Clearly above the normal range.
Anxiety - Severe: 15-19 - Well above the normal range; general practitioner review is also useful because several items are physical symptoms.
Anxiety - Extremely severe: 20-42 - Highest severity band.
Stress - Normal: 0-14 - Within the normal range.
Stress - Mild: 15-18 - Above the population mean.
Stress - Moderate: 19-25 - Clearly above the normal range; most responsive of the three to workload and structure.
Stress - Severe: 26-33 - Well above the normal range; sustained arousal at this level commonly precedes exhaustion.
Stress - Extremely severe: 34-42 - Highest severity band.</t>
        </is>
      </c>
    </row>
    <row r="22" ht="105" customHeight="1" s="17">
      <c r="A22" s="35" t="inlineStr">
        <is>
          <t>Cut-offs</t>
        </is>
      </c>
      <c r="B22" s="27" t="inlineStr">
        <is>
          <t>Severity labels (Lovibond &amp; Lovibond, 1995) applied to the doubled subscale score. Depression: Normal 0-9, Mild 10-13, Moderate 14-20, Severe 21-27, Extremely severe 28+. Anxiety: Normal 0-7, Mild 8-9, Moderate 10-14, Severe 15-19, Extremely severe 20+. Stress: Normal 0-14, Mild 15-18, Moderate 19-25, Severe 26-33, Extremely severe 34+. These are conventional descriptors of position relative to the population distribution (Normal to approximately the 78th percentile, Mild 78th to 87th, Moderate 87th to 95th, Severe 95th to 98th, Extremely severe 98th and above), not diagnostic thresholds. The DASS-21 contains no item on suicidal thinking and does not assess risk.</t>
        </is>
      </c>
    </row>
    <row r="23" ht="60" customHeight="1" s="17">
      <c r="A23" s="35" t="inlineStr">
        <is>
          <t>Normative data</t>
        </is>
      </c>
      <c r="B23" s="27" t="inlineStr">
        <is>
          <t>Henry and Crawford (2005): non clinical UK adult sample, n = 1,794, provided normative data for the DASS-21 and supported use of the three subscales plus a general distress factor. Antony et al. (1998): clinical groups and a community sample comparing the 42 and 21 item versions. The severity labels derive from the Australian normative work reported in the Lovibond and Lovibond (1995) manual.</t>
        </is>
      </c>
    </row>
    <row r="24" ht="120" customHeight="1" s="17">
      <c r="A24" s="35" t="inlineStr">
        <is>
          <t>Psychometric properties</t>
        </is>
      </c>
      <c r="B24" s="27" t="inlineStr">
        <is>
          <t>Internal consistency in the Henry and Crawford (2005) non clinical sample of 1,794 adults: Depression alpha = .88, Anxiety alpha = .82, Stress alpha = .90, total scale alpha = .93. Confirmatory factor analysis supported a quadripartite structure: three correlated specific factors plus a general negative affectivity factor. Antony et al. (1998) found the DASS-21 subscales reproduced the three factor structure of the full DASS in clinical and community samples, with alphas of .94 (Depression), .87 (Anxiety) and .91 (Stress), and the 21 item version showed a cleaner factor structure than the 42 item version. Brown et al. (1997) supported the three factor structure and discriminant validity in clinical samples.</t>
        </is>
      </c>
    </row>
    <row r="25" ht="30" customHeight="1" s="17">
      <c r="A25" s="35" t="inlineStr">
        <is>
          <t>Developer citation</t>
        </is>
      </c>
      <c r="B25" s="27" t="inlineStr">
        <is>
          <t>Lovibond, S. H., &amp; Lovibond, P. F. (1995). Manual for the Depression Anxiety Stress Scales (2nd ed.). Sydney: Psychology Foundation of Australia.</t>
        </is>
      </c>
    </row>
    <row r="26" ht="45" customHeight="1" s="17">
      <c r="A26" s="35" t="inlineStr">
        <is>
          <t>Copyright and licensing</t>
        </is>
      </c>
      <c r="B26" s="27" t="inlineStr">
        <is>
          <t>Public domain. The developers state on the official UNSW DASS site that the questionnaire is in the public domain and may be downloaded and used freely; the printed manual is the only priced item. Items reproduced here verbatim from the official DASS-21 form PDF.</t>
        </is>
      </c>
    </row>
    <row r="27" ht="15" customHeight="1" s="17">
      <c r="A27" s="35" t="inlineStr">
        <is>
          <t>Source URL</t>
        </is>
      </c>
      <c r="B27" s="27" t="inlineStr">
        <is>
          <t>https://www2.psy.unsw.edu.au/dass/</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I found it hard to wind down</t>
        </is>
      </c>
      <c r="C30" s="27" t="inlineStr">
        <is>
          <t>Stress</t>
        </is>
      </c>
      <c r="D30" s="27" t="inlineStr">
        <is>
          <t>FALSE</t>
        </is>
      </c>
      <c r="E30" s="27" t="inlineStr">
        <is>
          <t>FALSE</t>
        </is>
      </c>
      <c r="F30" s="27" t="n"/>
    </row>
    <row r="31" ht="15" customHeight="1" s="17">
      <c r="A31" s="28" t="n">
        <v>2</v>
      </c>
      <c r="B31" s="27" t="inlineStr">
        <is>
          <t>I was aware of dryness of my mouth</t>
        </is>
      </c>
      <c r="C31" s="27" t="inlineStr">
        <is>
          <t>Anxiety</t>
        </is>
      </c>
      <c r="D31" s="27" t="inlineStr">
        <is>
          <t>FALSE</t>
        </is>
      </c>
      <c r="E31" s="27" t="inlineStr">
        <is>
          <t>FALSE</t>
        </is>
      </c>
      <c r="F31" s="27" t="n"/>
    </row>
    <row r="32" ht="15" customHeight="1" s="17">
      <c r="A32" s="28" t="n">
        <v>3</v>
      </c>
      <c r="B32" s="27" t="inlineStr">
        <is>
          <t>I couldn't seem to experience any positive feeling at all</t>
        </is>
      </c>
      <c r="C32" s="27" t="inlineStr">
        <is>
          <t>Depression</t>
        </is>
      </c>
      <c r="D32" s="27" t="inlineStr">
        <is>
          <t>FALSE</t>
        </is>
      </c>
      <c r="E32" s="27" t="inlineStr">
        <is>
          <t>FALSE</t>
        </is>
      </c>
      <c r="F32" s="27" t="n"/>
    </row>
    <row r="33" ht="23.85" customHeight="1" s="17">
      <c r="A33" s="28" t="n">
        <v>4</v>
      </c>
      <c r="B33" s="27" t="inlineStr">
        <is>
          <t>I experienced breathing difficulty (eg, excessively rapid breathing, breathlessness in the absence of physical exertion)</t>
        </is>
      </c>
      <c r="C33" s="27" t="inlineStr">
        <is>
          <t>Anxiety</t>
        </is>
      </c>
      <c r="D33" s="27" t="inlineStr">
        <is>
          <t>FALSE</t>
        </is>
      </c>
      <c r="E33" s="27" t="inlineStr">
        <is>
          <t>FALSE</t>
        </is>
      </c>
      <c r="F33" s="27" t="n"/>
    </row>
    <row r="34" ht="15" customHeight="1" s="17">
      <c r="A34" s="28" t="n">
        <v>5</v>
      </c>
      <c r="B34" s="27" t="inlineStr">
        <is>
          <t>I found it difficult to work up the initiative to do things</t>
        </is>
      </c>
      <c r="C34" s="27" t="inlineStr">
        <is>
          <t>Depression</t>
        </is>
      </c>
      <c r="D34" s="27" t="inlineStr">
        <is>
          <t>FALSE</t>
        </is>
      </c>
      <c r="E34" s="27" t="inlineStr">
        <is>
          <t>FALSE</t>
        </is>
      </c>
      <c r="F34" s="27" t="n"/>
    </row>
    <row r="35" ht="15" customHeight="1" s="17">
      <c r="A35" s="28" t="n">
        <v>6</v>
      </c>
      <c r="B35" s="27" t="inlineStr">
        <is>
          <t>I tended to over-react to situations</t>
        </is>
      </c>
      <c r="C35" s="27" t="inlineStr">
        <is>
          <t>Stress</t>
        </is>
      </c>
      <c r="D35" s="27" t="inlineStr">
        <is>
          <t>FALSE</t>
        </is>
      </c>
      <c r="E35" s="27" t="inlineStr">
        <is>
          <t>FALSE</t>
        </is>
      </c>
      <c r="F35" s="27" t="n"/>
    </row>
    <row r="36" ht="15" customHeight="1" s="17">
      <c r="A36" s="28" t="n">
        <v>7</v>
      </c>
      <c r="B36" s="27" t="inlineStr">
        <is>
          <t>I experienced trembling (eg, in the hands)</t>
        </is>
      </c>
      <c r="C36" s="27" t="inlineStr">
        <is>
          <t>Anxiety</t>
        </is>
      </c>
      <c r="D36" s="27" t="inlineStr">
        <is>
          <t>FALSE</t>
        </is>
      </c>
      <c r="E36" s="27" t="inlineStr">
        <is>
          <t>FALSE</t>
        </is>
      </c>
      <c r="F36" s="27" t="n"/>
    </row>
    <row r="37" ht="15" customHeight="1" s="17">
      <c r="A37" s="28" t="n">
        <v>8</v>
      </c>
      <c r="B37" s="27" t="inlineStr">
        <is>
          <t>I felt that I was using a lot of nervous energy</t>
        </is>
      </c>
      <c r="C37" s="27" t="inlineStr">
        <is>
          <t>Stress</t>
        </is>
      </c>
      <c r="D37" s="27" t="inlineStr">
        <is>
          <t>FALSE</t>
        </is>
      </c>
      <c r="E37" s="27" t="inlineStr">
        <is>
          <t>FALSE</t>
        </is>
      </c>
      <c r="F37" s="27" t="n"/>
    </row>
    <row r="38" ht="15" customHeight="1" s="17">
      <c r="A38" s="28" t="n">
        <v>9</v>
      </c>
      <c r="B38" s="27" t="inlineStr">
        <is>
          <t>I was worried about situations in which I might panic and make a fool of myself</t>
        </is>
      </c>
      <c r="C38" s="27" t="inlineStr">
        <is>
          <t>Anxiety</t>
        </is>
      </c>
      <c r="D38" s="27" t="inlineStr">
        <is>
          <t>FALSE</t>
        </is>
      </c>
      <c r="E38" s="27" t="inlineStr">
        <is>
          <t>FALSE</t>
        </is>
      </c>
      <c r="F38" s="27" t="n"/>
    </row>
    <row r="39" ht="15" customHeight="1" s="17">
      <c r="A39" s="28" t="n">
        <v>10</v>
      </c>
      <c r="B39" s="27" t="inlineStr">
        <is>
          <t>I felt that I had nothing to look forward to</t>
        </is>
      </c>
      <c r="C39" s="27" t="inlineStr">
        <is>
          <t>Depression</t>
        </is>
      </c>
      <c r="D39" s="27" t="inlineStr">
        <is>
          <t>FALSE</t>
        </is>
      </c>
      <c r="E39" s="27" t="inlineStr">
        <is>
          <t>FALSE</t>
        </is>
      </c>
      <c r="F39" s="27" t="inlineStr">
        <is>
          <t>Followed up directly when endorsed at 2 or 3 (practice protocol).</t>
        </is>
      </c>
    </row>
    <row r="40" ht="15" customHeight="1" s="17">
      <c r="A40" s="28" t="n">
        <v>11</v>
      </c>
      <c r="B40" s="27" t="inlineStr">
        <is>
          <t>I found myself getting agitated</t>
        </is>
      </c>
      <c r="C40" s="27" t="inlineStr">
        <is>
          <t>Stress</t>
        </is>
      </c>
      <c r="D40" s="27" t="inlineStr">
        <is>
          <t>FALSE</t>
        </is>
      </c>
      <c r="E40" s="27" t="inlineStr">
        <is>
          <t>FALSE</t>
        </is>
      </c>
      <c r="F40" s="27" t="n"/>
    </row>
    <row r="41" ht="15" customHeight="1" s="17">
      <c r="A41" s="28" t="n">
        <v>12</v>
      </c>
      <c r="B41" s="27" t="inlineStr">
        <is>
          <t>I found it difficult to relax</t>
        </is>
      </c>
      <c r="C41" s="27" t="inlineStr">
        <is>
          <t>Stress</t>
        </is>
      </c>
      <c r="D41" s="27" t="inlineStr">
        <is>
          <t>FALSE</t>
        </is>
      </c>
      <c r="E41" s="27" t="inlineStr">
        <is>
          <t>FALSE</t>
        </is>
      </c>
      <c r="F41" s="27" t="n"/>
    </row>
    <row r="42" ht="15" customHeight="1" s="17">
      <c r="A42" s="28" t="n">
        <v>13</v>
      </c>
      <c r="B42" s="27" t="inlineStr">
        <is>
          <t>I felt down-hearted and blue</t>
        </is>
      </c>
      <c r="C42" s="27" t="inlineStr">
        <is>
          <t>Depression</t>
        </is>
      </c>
      <c r="D42" s="27" t="inlineStr">
        <is>
          <t>FALSE</t>
        </is>
      </c>
      <c r="E42" s="27" t="inlineStr">
        <is>
          <t>FALSE</t>
        </is>
      </c>
      <c r="F42" s="27" t="n"/>
    </row>
    <row r="43" ht="15" customHeight="1" s="17">
      <c r="A43" s="28" t="n">
        <v>14</v>
      </c>
      <c r="B43" s="27" t="inlineStr">
        <is>
          <t>I was intolerant of anything that kept me from getting on with what I was doing</t>
        </is>
      </c>
      <c r="C43" s="27" t="inlineStr">
        <is>
          <t>Stress</t>
        </is>
      </c>
      <c r="D43" s="27" t="inlineStr">
        <is>
          <t>FALSE</t>
        </is>
      </c>
      <c r="E43" s="27" t="inlineStr">
        <is>
          <t>FALSE</t>
        </is>
      </c>
      <c r="F43" s="27" t="n"/>
    </row>
    <row r="44" ht="15" customHeight="1" s="17">
      <c r="A44" s="28" t="n">
        <v>15</v>
      </c>
      <c r="B44" s="27" t="inlineStr">
        <is>
          <t>I felt I was close to panic</t>
        </is>
      </c>
      <c r="C44" s="27" t="inlineStr">
        <is>
          <t>Anxiety</t>
        </is>
      </c>
      <c r="D44" s="27" t="inlineStr">
        <is>
          <t>FALSE</t>
        </is>
      </c>
      <c r="E44" s="27" t="inlineStr">
        <is>
          <t>FALSE</t>
        </is>
      </c>
      <c r="F44" s="27" t="n"/>
    </row>
    <row r="45" ht="15" customHeight="1" s="17">
      <c r="A45" s="28" t="n">
        <v>16</v>
      </c>
      <c r="B45" s="27" t="inlineStr">
        <is>
          <t>I was unable to become enthusiastic about anything</t>
        </is>
      </c>
      <c r="C45" s="27" t="inlineStr">
        <is>
          <t>Depression</t>
        </is>
      </c>
      <c r="D45" s="27" t="inlineStr">
        <is>
          <t>FALSE</t>
        </is>
      </c>
      <c r="E45" s="27" t="inlineStr">
        <is>
          <t>FALSE</t>
        </is>
      </c>
      <c r="F45" s="27" t="n"/>
    </row>
    <row r="46" ht="15" customHeight="1" s="17">
      <c r="A46" s="28" t="n">
        <v>17</v>
      </c>
      <c r="B46" s="27" t="inlineStr">
        <is>
          <t>I felt I wasn't worth much as a person</t>
        </is>
      </c>
      <c r="C46" s="27" t="inlineStr">
        <is>
          <t>Depression</t>
        </is>
      </c>
      <c r="D46" s="27" t="inlineStr">
        <is>
          <t>FALSE</t>
        </is>
      </c>
      <c r="E46" s="27" t="inlineStr">
        <is>
          <t>FALSE</t>
        </is>
      </c>
      <c r="F46" s="27" t="inlineStr">
        <is>
          <t>Followed up directly when endorsed at 2 or 3 (practice protocol).</t>
        </is>
      </c>
    </row>
    <row r="47" ht="15" customHeight="1" s="17">
      <c r="A47" s="28" t="n">
        <v>18</v>
      </c>
      <c r="B47" s="27" t="inlineStr">
        <is>
          <t>I felt that I was rather touchy</t>
        </is>
      </c>
      <c r="C47" s="27" t="inlineStr">
        <is>
          <t>Stress</t>
        </is>
      </c>
      <c r="D47" s="27" t="inlineStr">
        <is>
          <t>FALSE</t>
        </is>
      </c>
      <c r="E47" s="27" t="inlineStr">
        <is>
          <t>FALSE</t>
        </is>
      </c>
      <c r="F47" s="27" t="n"/>
    </row>
    <row r="48" ht="23.85" customHeight="1" s="17">
      <c r="A48" s="28" t="n">
        <v>19</v>
      </c>
      <c r="B48" s="27" t="inlineStr">
        <is>
          <t>I was aware of the action of my heart in the absence of physical exertion (eg, sense of heart rate increase, heart missing a beat)</t>
        </is>
      </c>
      <c r="C48" s="27" t="inlineStr">
        <is>
          <t>Anxiety</t>
        </is>
      </c>
      <c r="D48" s="27" t="inlineStr">
        <is>
          <t>FALSE</t>
        </is>
      </c>
      <c r="E48" s="27" t="inlineStr">
        <is>
          <t>FALSE</t>
        </is>
      </c>
      <c r="F48" s="27" t="n"/>
    </row>
    <row r="49" ht="15" customHeight="1" s="17">
      <c r="A49" s="28" t="n">
        <v>20</v>
      </c>
      <c r="B49" s="27" t="inlineStr">
        <is>
          <t>I felt scared without any good reason</t>
        </is>
      </c>
      <c r="C49" s="27" t="inlineStr">
        <is>
          <t>Anxiety</t>
        </is>
      </c>
      <c r="D49" s="27" t="inlineStr">
        <is>
          <t>FALSE</t>
        </is>
      </c>
      <c r="E49" s="27" t="inlineStr">
        <is>
          <t>FALSE</t>
        </is>
      </c>
      <c r="F49" s="27" t="n"/>
    </row>
    <row r="50" ht="15" customHeight="1" s="17">
      <c r="A50" s="28" t="n">
        <v>21</v>
      </c>
      <c r="B50" s="27" t="inlineStr">
        <is>
          <t>I felt that life was meaningless</t>
        </is>
      </c>
      <c r="C50" s="27" t="inlineStr">
        <is>
          <t>Depression</t>
        </is>
      </c>
      <c r="D50" s="27" t="inlineStr">
        <is>
          <t>FALSE</t>
        </is>
      </c>
      <c r="E50" s="27" t="inlineStr">
        <is>
          <t>FALSE</t>
        </is>
      </c>
      <c r="F50" s="27" t="inlineStr">
        <is>
          <t>Followed up directly when endorsed at 2 or 3 (practice protocol).</t>
        </is>
      </c>
    </row>
  </sheetData>
  <autoFilter ref="A29:F5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44"/>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Perseverative Thinking Questionnaire</t>
        </is>
      </c>
    </row>
    <row r="3" ht="15" customHeight="1" s="17">
      <c r="A3" s="35" t="inlineStr">
        <is>
          <t>Instrument</t>
        </is>
      </c>
      <c r="B3" s="27" t="inlineStr">
        <is>
          <t>Perseverative Thinking Questionnaire</t>
        </is>
      </c>
    </row>
    <row r="4" ht="15" customHeight="1" s="17">
      <c r="A4" s="35" t="inlineStr">
        <is>
          <t>Code</t>
        </is>
      </c>
      <c r="B4" s="27" t="inlineStr">
        <is>
          <t>PTQ</t>
        </is>
      </c>
    </row>
    <row r="5" ht="15" customHeight="1" s="17">
      <c r="A5" s="35" t="inlineStr">
        <is>
          <t>Domain</t>
        </is>
      </c>
      <c r="B5" s="27" t="inlineStr">
        <is>
          <t>5. Repetitive negative thinking and self talk</t>
        </is>
      </c>
    </row>
    <row r="6" ht="15" customHeight="1" s="17">
      <c r="A6" s="35" t="inlineStr">
        <is>
          <t>Availability</t>
        </is>
      </c>
      <c r="B6" s="27" t="inlineStr">
        <is>
          <t>Free / open access</t>
        </is>
      </c>
    </row>
    <row r="7" ht="45" customHeight="1" s="17">
      <c r="A7" s="35" t="inlineStr">
        <is>
          <t>Construct</t>
        </is>
      </c>
      <c r="B7" s="27" t="inlineStr">
        <is>
          <t>Repetitive negative thinking (RNT), measured as a content-independent process (applies equally to worry, rumination, or any other form of repetitive negative thought about problems), rather than a specific symptom or diagnostic construct.</t>
        </is>
      </c>
    </row>
    <row r="8" ht="15" customHeight="1" s="17">
      <c r="A8" s="35" t="inlineStr">
        <is>
          <t>Respondent</t>
        </is>
      </c>
      <c r="B8" s="27" t="inlineStr">
        <is>
          <t>Adult self-report</t>
        </is>
      </c>
    </row>
    <row r="9" ht="30" customHeight="1" s="17">
      <c r="A9" s="35" t="inlineStr">
        <is>
          <t>Age range</t>
        </is>
      </c>
      <c r="B9" s="27" t="inlineStr">
        <is>
          <t>Not stated in the source article. Validation samples were adult (internet, non-clinical, clinical, and English-language) populations; no minimum/maximum age is specified in the text retrieved.</t>
        </is>
      </c>
    </row>
    <row r="10" ht="15" customHeight="1" s="17">
      <c r="A10" s="35" t="inlineStr">
        <is>
          <t>Items in instrument</t>
        </is>
      </c>
      <c r="B10" s="27" t="inlineStr">
        <is>
          <t>15</t>
        </is>
      </c>
    </row>
    <row r="11" ht="15" customHeight="1" s="17">
      <c r="A11" s="35" t="inlineStr">
        <is>
          <t>Items reproduced here</t>
        </is>
      </c>
      <c r="B11" s="27" t="inlineStr">
        <is>
          <t>15</t>
        </is>
      </c>
    </row>
    <row r="12" ht="30" customHeight="1" s="17">
      <c r="A12" s="35" t="inlineStr">
        <is>
          <t>Administration time</t>
        </is>
      </c>
      <c r="B12" s="27" t="inlineStr">
        <is>
          <t>Not stated in the source. A brief 15-item self-report measure, typically completed in a few minutes.</t>
        </is>
      </c>
    </row>
    <row r="13" ht="120" customHeight="1" s="17">
      <c r="A13" s="35" t="inlineStr">
        <is>
          <t>Cost and access</t>
        </is>
      </c>
      <c r="B13" s="27" t="inlineStr">
        <is>
          <t>No formal licensing or fee-for-use process was found. The hosted PDF (via OxCADAT Resources, a University of Oxford-affiliated trauma/CBT resource site) carries the standard journal notice "© 2010 Elsevier Ltd. All rights reserved." from Journal of Behavior Therapy and Experimental Psychiatry. No explicit blanket grant for commercial or paid-coaching administration was found in the source, but equally no restriction on non-research/practitioner use was stated; the measure is very widely reproduced in open clinical and training materials without visible enforcement. For a paid coaching practice, treat as reasonably low-risk to administer informally with citation, but not as a confirmed formal commercial licence. Licensing note: Free / open access, with a standard journal copyright notice</t>
        </is>
      </c>
    </row>
    <row r="14" ht="120" customHeight="1" s="17">
      <c r="A14" s="35" t="inlineStr">
        <is>
          <t>Coaching application</t>
        </is>
      </c>
      <c r="B14" s="27" t="inlineStr">
        <is>
          <t>The PTQ is useful in coaching as a transdiagnostic check on whether a student or early-career client is getting cognitively "stuck" in repetitive negative thinking about study, performance or career worries, independent of the topic they are ruminating on. Its brevity and content-neutral wording make it easy to reuse across sessions to track whether coaching strategies are reducing the repetitive, unproductive quality of the thinking rather than the topic itself. It is a process measure, not a diagnostic or symptom-severity tool, so elevated scores should prompt a coaching conversation about thinking patterns rather than a clinical judgement, and persistent high scores alongside distress should prompt referral consideration.</t>
        </is>
      </c>
    </row>
    <row r="15" ht="90" customHeight="1" s="17">
      <c r="A15" s="35" t="inlineStr">
        <is>
          <t>Purpose</t>
        </is>
      </c>
      <c r="B15" s="27" t="inlineStr">
        <is>
          <t>The PTQ was developed to measure repetitive negative thinking (RNT) as a content-independent process common to worry, rumination and related forms of perseverative thought, rather than measuring a specific content domain (e.g. depressive rumination or anxious worry). It captures three lower-order aspects of RNT: its core repetitive/intrusive characteristics, its perceived unproductiveness, and the degree to which it captures mental capacity. It was designed to be usable across clinical and research contexts where a single content-independent RNT measure is needed.</t>
        </is>
      </c>
    </row>
    <row r="16" ht="45" customHeight="1" s="17">
      <c r="A16" s="35" t="inlineStr">
        <is>
          <t>Instructions / prompt</t>
        </is>
      </c>
      <c r="B16" s="27" t="inlineStr">
        <is>
          <t>In this questionnaire, you will be asked to describe how you typically think about negative experiences or problems. Please read the following statements and rate the extent to which they apply to you when you think about negative experiences or problems.</t>
        </is>
      </c>
    </row>
    <row r="17" ht="15" customHeight="1" s="17">
      <c r="A17" s="35" t="inlineStr">
        <is>
          <t>Response options</t>
        </is>
      </c>
      <c r="B17" s="27" t="inlineStr">
        <is>
          <t>never = 0 | rarely = 1 | sometimes = 2 | often = 3 | almost always = 4</t>
        </is>
      </c>
    </row>
    <row r="18" ht="15" customHeight="1" s="17">
      <c r="A18" s="35" t="inlineStr">
        <is>
          <t>Reverse-scored items</t>
        </is>
      </c>
      <c r="B18" s="27" t="inlineStr">
        <is>
          <t>None</t>
        </is>
      </c>
    </row>
    <row r="19" ht="15" customHeight="1" s="17">
      <c r="A19" s="35" t="inlineStr">
        <is>
          <t>Filler items (not scored)</t>
        </is>
      </c>
      <c r="B19" s="27" t="inlineStr">
        <is>
          <t>None</t>
        </is>
      </c>
    </row>
    <row r="20" ht="45" customHeight="1" s="17">
      <c r="A20" s="35" t="inlineStr">
        <is>
          <t>Total scoring</t>
        </is>
      </c>
      <c r="B20" s="27" t="inlineStr">
        <is>
          <t>Total PTQ score is the sum of all 15 items (range 0-60), computed as recommended in the source article. Each of the three subscale scores is the sum of its own items (each subscale range 0-36 for Core Characteristics, 0-12 for the other two).</t>
        </is>
      </c>
    </row>
    <row r="21" ht="15" customHeight="1" s="17">
      <c r="A21" s="35" t="inlineStr">
        <is>
          <t>Interpretation bands</t>
        </is>
      </c>
      <c r="B21" s="27" t="inlineStr">
        <is>
          <t>Not stated on source</t>
        </is>
      </c>
    </row>
    <row r="22" ht="30" customHeight="1" s="17">
      <c r="A22" s="35" t="inlineStr">
        <is>
          <t>Cut-offs</t>
        </is>
      </c>
      <c r="B22" s="27" t="inlineStr">
        <is>
          <t>No clinical cutoff scores or interpretive bands were reported in the source article that was fetched.</t>
        </is>
      </c>
    </row>
    <row r="23" ht="60" customHeight="1" s="17">
      <c r="A23" s="35" t="inlineStr">
        <is>
          <t>Normative data</t>
        </is>
      </c>
      <c r="B23" s="27" t="inlineStr">
        <is>
          <t>No published normative means/SDs by population were reported in the source article beyond describing four validation samples: an internet sample, a German non-clinical sample, a German clinical sample, and an English-language sample, totalling N = 1,832 across Study 1 and Study 2. Exact per-sample means/SDs were not extractable from the fetched text.</t>
        </is>
      </c>
    </row>
    <row r="24" ht="45" customHeight="1" s="17">
      <c r="A24" s="35" t="inlineStr">
        <is>
          <t>Psychometric properties</t>
        </is>
      </c>
      <c r="B24" s="27" t="inlineStr">
        <is>
          <t>Internal consistency: Cronbach's alpha = .95 (Study 1, internet sample), .94 (Study 1, non-clinical sample), .95 (Study 1, clinical sample), .95 (Study 2, English-language sample). Test-retest reliability over a 4-week interval: r = .69, p &lt; .001 (n = 186). (Ehring et al., 2011.)</t>
        </is>
      </c>
    </row>
    <row r="25" ht="60" customHeight="1" s="17">
      <c r="A25" s="35" t="inlineStr">
        <is>
          <t>Developer citation</t>
        </is>
      </c>
      <c r="B25" s="27" t="inlineStr">
        <is>
          <t>Ehring, T., Zetsche, U., Weidacker, K., Wahl, K., Schönfeld, S., &amp; Ehlers, A. (2011). The Perseverative Thinking Questionnaire (PTQ): Validation of a content-independent measure of repetitive negative thinking. Journal of Behavior Therapy and Experimental Psychiatry, 42(2), 225–232. https://doi.org/10.1016/j.jbtep.2010.12.003</t>
        </is>
      </c>
    </row>
    <row r="26" ht="45" customHeight="1" s="17">
      <c r="A26" s="35" t="inlineStr">
        <is>
          <t>Copyright and licensing</t>
        </is>
      </c>
      <c r="B26" s="27" t="inlineStr">
        <is>
          <t>© 2010 Elsevier Ltd. All rights reserved. (Copyright notice appears on the hosted article/PDF; no separate explicit permission statement for reproduction, non-commercial use, or commercial/coaching administration was found in the fetched source.)</t>
        </is>
      </c>
    </row>
    <row r="27" ht="15" customHeight="1" s="17">
      <c r="A27" s="35" t="inlineStr">
        <is>
          <t>Source URL</t>
        </is>
      </c>
      <c r="B27" s="27" t="inlineStr">
        <is>
          <t>https://oxcadatresources.com/wp-content/uploads/2020/09/EhringetalRuminationQuestionnaire.2011.pdf</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The same thoughts keep going through my mind again and again.</t>
        </is>
      </c>
      <c r="C30" s="27" t="inlineStr">
        <is>
          <t>Core Characteristics of Repetitive Negative Thinking</t>
        </is>
      </c>
      <c r="D30" s="27" t="inlineStr">
        <is>
          <t>FALSE</t>
        </is>
      </c>
      <c r="E30" s="27" t="inlineStr">
        <is>
          <t>FALSE</t>
        </is>
      </c>
      <c r="F30" s="27" t="n"/>
    </row>
    <row r="31" ht="23.85" customHeight="1" s="17">
      <c r="A31" s="28" t="n">
        <v>2</v>
      </c>
      <c r="B31" s="27" t="inlineStr">
        <is>
          <t>Thoughts intrude into my mind.</t>
        </is>
      </c>
      <c r="C31" s="27" t="inlineStr">
        <is>
          <t>Core Characteristics of Repetitive Negative Thinking</t>
        </is>
      </c>
      <c r="D31" s="27" t="inlineStr">
        <is>
          <t>FALSE</t>
        </is>
      </c>
      <c r="E31" s="27" t="inlineStr">
        <is>
          <t>FALSE</t>
        </is>
      </c>
      <c r="F31" s="27" t="n"/>
    </row>
    <row r="32" ht="23.85" customHeight="1" s="17">
      <c r="A32" s="28" t="n">
        <v>3</v>
      </c>
      <c r="B32" s="27" t="inlineStr">
        <is>
          <t>I can't stop dwelling on them.</t>
        </is>
      </c>
      <c r="C32" s="27" t="inlineStr">
        <is>
          <t>Core Characteristics of Repetitive Negative Thinking</t>
        </is>
      </c>
      <c r="D32" s="27" t="inlineStr">
        <is>
          <t>FALSE</t>
        </is>
      </c>
      <c r="E32" s="27" t="inlineStr">
        <is>
          <t>FALSE</t>
        </is>
      </c>
      <c r="F32" s="27" t="n"/>
    </row>
    <row r="33" ht="15" customHeight="1" s="17">
      <c r="A33" s="28" t="n">
        <v>4</v>
      </c>
      <c r="B33" s="27" t="inlineStr">
        <is>
          <t>I think about many problems without solving any of them.</t>
        </is>
      </c>
      <c r="C33" s="27" t="inlineStr">
        <is>
          <t>Unproductiveness</t>
        </is>
      </c>
      <c r="D33" s="27" t="inlineStr">
        <is>
          <t>FALSE</t>
        </is>
      </c>
      <c r="E33" s="27" t="inlineStr">
        <is>
          <t>FALSE</t>
        </is>
      </c>
      <c r="F33" s="27" t="n"/>
    </row>
    <row r="34" ht="15" customHeight="1" s="17">
      <c r="A34" s="28" t="n">
        <v>5</v>
      </c>
      <c r="B34" s="27" t="inlineStr">
        <is>
          <t>I can't do anything else while thinking about my problems.</t>
        </is>
      </c>
      <c r="C34" s="27" t="inlineStr">
        <is>
          <t>Capturing Mental Capacity</t>
        </is>
      </c>
      <c r="D34" s="27" t="inlineStr">
        <is>
          <t>FALSE</t>
        </is>
      </c>
      <c r="E34" s="27" t="inlineStr">
        <is>
          <t>FALSE</t>
        </is>
      </c>
      <c r="F34" s="27" t="n"/>
    </row>
    <row r="35" ht="23.85" customHeight="1" s="17">
      <c r="A35" s="28" t="n">
        <v>6</v>
      </c>
      <c r="B35" s="27" t="inlineStr">
        <is>
          <t>My thoughts repeat themselves.</t>
        </is>
      </c>
      <c r="C35" s="27" t="inlineStr">
        <is>
          <t>Core Characteristics of Repetitive Negative Thinking</t>
        </is>
      </c>
      <c r="D35" s="27" t="inlineStr">
        <is>
          <t>FALSE</t>
        </is>
      </c>
      <c r="E35" s="27" t="inlineStr">
        <is>
          <t>FALSE</t>
        </is>
      </c>
      <c r="F35" s="27" t="n"/>
    </row>
    <row r="36" ht="23.85" customHeight="1" s="17">
      <c r="A36" s="28" t="n">
        <v>7</v>
      </c>
      <c r="B36" s="27" t="inlineStr">
        <is>
          <t>Thoughts come to my mind without me wanting them to.</t>
        </is>
      </c>
      <c r="C36" s="27" t="inlineStr">
        <is>
          <t>Core Characteristics of Repetitive Negative Thinking</t>
        </is>
      </c>
      <c r="D36" s="27" t="inlineStr">
        <is>
          <t>FALSE</t>
        </is>
      </c>
      <c r="E36" s="27" t="inlineStr">
        <is>
          <t>FALSE</t>
        </is>
      </c>
      <c r="F36" s="27" t="n"/>
    </row>
    <row r="37" ht="23.85" customHeight="1" s="17">
      <c r="A37" s="28" t="n">
        <v>8</v>
      </c>
      <c r="B37" s="27" t="inlineStr">
        <is>
          <t>I get stuck on certain issues and can't move on.</t>
        </is>
      </c>
      <c r="C37" s="27" t="inlineStr">
        <is>
          <t>Core Characteristics of Repetitive Negative Thinking</t>
        </is>
      </c>
      <c r="D37" s="27" t="inlineStr">
        <is>
          <t>FALSE</t>
        </is>
      </c>
      <c r="E37" s="27" t="inlineStr">
        <is>
          <t>FALSE</t>
        </is>
      </c>
      <c r="F37" s="27" t="n"/>
    </row>
    <row r="38" ht="15" customHeight="1" s="17">
      <c r="A38" s="28" t="n">
        <v>9</v>
      </c>
      <c r="B38" s="27" t="inlineStr">
        <is>
          <t>I keep asking myself questions without finding an answer.</t>
        </is>
      </c>
      <c r="C38" s="27" t="inlineStr">
        <is>
          <t>Unproductiveness</t>
        </is>
      </c>
      <c r="D38" s="27" t="inlineStr">
        <is>
          <t>FALSE</t>
        </is>
      </c>
      <c r="E38" s="27" t="inlineStr">
        <is>
          <t>FALSE</t>
        </is>
      </c>
      <c r="F38" s="27" t="n"/>
    </row>
    <row r="39" ht="15" customHeight="1" s="17">
      <c r="A39" s="28" t="n">
        <v>10</v>
      </c>
      <c r="B39" s="27" t="inlineStr">
        <is>
          <t>My thoughts prevent me from focusing on other things.</t>
        </is>
      </c>
      <c r="C39" s="27" t="inlineStr">
        <is>
          <t>Capturing Mental Capacity</t>
        </is>
      </c>
      <c r="D39" s="27" t="inlineStr">
        <is>
          <t>FALSE</t>
        </is>
      </c>
      <c r="E39" s="27" t="inlineStr">
        <is>
          <t>FALSE</t>
        </is>
      </c>
      <c r="F39" s="27" t="n"/>
    </row>
    <row r="40" ht="23.85" customHeight="1" s="17">
      <c r="A40" s="28" t="n">
        <v>11</v>
      </c>
      <c r="B40" s="27" t="inlineStr">
        <is>
          <t>I keep thinking about the same issue all the time.</t>
        </is>
      </c>
      <c r="C40" s="27" t="inlineStr">
        <is>
          <t>Core Characteristics of Repetitive Negative Thinking</t>
        </is>
      </c>
      <c r="D40" s="27" t="inlineStr">
        <is>
          <t>FALSE</t>
        </is>
      </c>
      <c r="E40" s="27" t="inlineStr">
        <is>
          <t>FALSE</t>
        </is>
      </c>
      <c r="F40" s="27" t="n"/>
    </row>
    <row r="41" ht="23.85" customHeight="1" s="17">
      <c r="A41" s="28" t="n">
        <v>12</v>
      </c>
      <c r="B41" s="27" t="inlineStr">
        <is>
          <t>Thoughts just pop into my mind.</t>
        </is>
      </c>
      <c r="C41" s="27" t="inlineStr">
        <is>
          <t>Core Characteristics of Repetitive Negative Thinking</t>
        </is>
      </c>
      <c r="D41" s="27" t="inlineStr">
        <is>
          <t>FALSE</t>
        </is>
      </c>
      <c r="E41" s="27" t="inlineStr">
        <is>
          <t>FALSE</t>
        </is>
      </c>
      <c r="F41" s="27" t="n"/>
    </row>
    <row r="42" ht="23.85" customHeight="1" s="17">
      <c r="A42" s="28" t="n">
        <v>13</v>
      </c>
      <c r="B42" s="27" t="inlineStr">
        <is>
          <t>I feel driven to continue dwelling on the same issue.</t>
        </is>
      </c>
      <c r="C42" s="27" t="inlineStr">
        <is>
          <t>Core Characteristics of Repetitive Negative Thinking</t>
        </is>
      </c>
      <c r="D42" s="27" t="inlineStr">
        <is>
          <t>FALSE</t>
        </is>
      </c>
      <c r="E42" s="27" t="inlineStr">
        <is>
          <t>FALSE</t>
        </is>
      </c>
      <c r="F42" s="27" t="n"/>
    </row>
    <row r="43" ht="15" customHeight="1" s="17">
      <c r="A43" s="28" t="n">
        <v>14</v>
      </c>
      <c r="B43" s="27" t="inlineStr">
        <is>
          <t>My thoughts are not much help to me.</t>
        </is>
      </c>
      <c r="C43" s="27" t="inlineStr">
        <is>
          <t>Unproductiveness</t>
        </is>
      </c>
      <c r="D43" s="27" t="inlineStr">
        <is>
          <t>FALSE</t>
        </is>
      </c>
      <c r="E43" s="27" t="inlineStr">
        <is>
          <t>FALSE</t>
        </is>
      </c>
      <c r="F43" s="27" t="n"/>
    </row>
    <row r="44" ht="15" customHeight="1" s="17">
      <c r="A44" s="28" t="n">
        <v>15</v>
      </c>
      <c r="B44" s="27" t="inlineStr">
        <is>
          <t>My thoughts take up all my attention.</t>
        </is>
      </c>
      <c r="C44" s="27" t="inlineStr">
        <is>
          <t>Capturing Mental Capacity</t>
        </is>
      </c>
      <c r="D44" s="27" t="inlineStr">
        <is>
          <t>FALSE</t>
        </is>
      </c>
      <c r="E44" s="27" t="inlineStr">
        <is>
          <t>FALSE</t>
        </is>
      </c>
      <c r="F44" s="27" t="n"/>
    </row>
  </sheetData>
  <autoFilter ref="A29:F4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F51"/>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Ruminative Responses Scale</t>
        </is>
      </c>
    </row>
    <row r="3" ht="15" customHeight="1" s="17">
      <c r="A3" s="35" t="inlineStr">
        <is>
          <t>Instrument</t>
        </is>
      </c>
      <c r="B3" s="27" t="inlineStr">
        <is>
          <t>Ruminative Responses Scale</t>
        </is>
      </c>
    </row>
    <row r="4" ht="15" customHeight="1" s="17">
      <c r="A4" s="35" t="inlineStr">
        <is>
          <t>Code</t>
        </is>
      </c>
      <c r="B4" s="27" t="inlineStr">
        <is>
          <t>RRS</t>
        </is>
      </c>
    </row>
    <row r="5" ht="15" customHeight="1" s="17">
      <c r="A5" s="35" t="inlineStr">
        <is>
          <t>Domain</t>
        </is>
      </c>
      <c r="B5" s="27" t="inlineStr">
        <is>
          <t>5. Repetitive negative thinking and self talk</t>
        </is>
      </c>
    </row>
    <row r="6" ht="15" customHeight="1" s="17">
      <c r="A6" s="35" t="inlineStr">
        <is>
          <t>Availability</t>
        </is>
      </c>
      <c r="B6" s="27" t="inlineStr">
        <is>
          <t>Free / open access</t>
        </is>
      </c>
    </row>
    <row r="7" ht="75" customHeight="1" s="17">
      <c r="A7" s="35" t="inlineStr">
        <is>
          <t>Construct</t>
        </is>
      </c>
      <c r="B7" s="27" t="inlineStr">
        <is>
          <t>Trait rumination in response to low mood: the tendency to repetitively focus attention on the symptoms and possible causes/consequences of one's depressed mood. The Treynor et al. (2003) refinement splits this into a passive, self-critical/moody-pondering component (Brooding) and a more deliberate, analytic component (Reflection), leaving 12 items that overlap with depressive symptoms unscored in either subscale.</t>
        </is>
      </c>
    </row>
    <row r="8" ht="15" customHeight="1" s="17">
      <c r="A8" s="35" t="inlineStr">
        <is>
          <t>Respondent</t>
        </is>
      </c>
      <c r="B8" s="27" t="inlineStr">
        <is>
          <t>Adult self-report</t>
        </is>
      </c>
    </row>
    <row r="9" ht="30" customHeight="1" s="17">
      <c r="A9" s="35" t="inlineStr">
        <is>
          <t>Age range</t>
        </is>
      </c>
      <c r="B9" s="27" t="inlineStr">
        <is>
          <t>NovoPsych lists 18 years and older. The original Nolen-Hoeksema &amp; Morrow (1991) and Treynor et al. (2003) sources do not themselves state an age range in the text retrieved.</t>
        </is>
      </c>
    </row>
    <row r="10" ht="15" customHeight="1" s="17">
      <c r="A10" s="35" t="inlineStr">
        <is>
          <t>Items in instrument</t>
        </is>
      </c>
      <c r="B10" s="27" t="inlineStr">
        <is>
          <t>22</t>
        </is>
      </c>
    </row>
    <row r="11" ht="15" customHeight="1" s="17">
      <c r="A11" s="35" t="inlineStr">
        <is>
          <t>Items reproduced here</t>
        </is>
      </c>
      <c r="B11" s="27" t="inlineStr">
        <is>
          <t>22</t>
        </is>
      </c>
    </row>
    <row r="12" ht="15" customHeight="1" s="17">
      <c r="A12" s="35" t="inlineStr">
        <is>
          <t>Administration time</t>
        </is>
      </c>
      <c r="B12" s="27" t="inlineStr">
        <is>
          <t>Approximately 2 minutes (per NovoPsych).</t>
        </is>
      </c>
    </row>
    <row r="13" ht="169.5" customHeight="1" s="17">
      <c r="A13" s="35" t="inlineStr">
        <is>
          <t>Cost and access</t>
        </is>
      </c>
      <c r="B13" s="27" t="inlineStr">
        <is>
          <t>The 22 items and simple summed scoring are freely available from the developer-hosted PDFs (Susan Nolen-Hoeksema's own item sheet, and the Treynor et al. subscale-mapping paper), with no explicit copyright or commercial-use restriction stated on either document. NovoPsych also hosts the RRS with automated scoring, but its scoring/psychometrics detail is gated behind NovoPsych's paid professional-access platform (app.novopsych.com registration required); this session could not retrieve NovoPsych's own cutoff, norm or psychometric text for the RRS specifically (its RRS page did not expose that content, and no NovoPsych-hosted RRS blank-form or sample-results PDF could be located). For manual/paper administration in coaching, the items may be used and hand-scored directly from the developer sources with citation; for automated scoring, reporting and any NovoPsych-specific norms, a NovoPsych subscription would be required. Licensing note: Free / open access for the item content and scoring algorithm (no restriction found in the developer sources); full scoring, norms and psychometrics on the NovoPsych platform sit behind NovoPsych's professional/paid clinician access.</t>
        </is>
      </c>
    </row>
    <row r="14" ht="120" customHeight="1" s="17">
      <c r="A14" s="35" t="inlineStr">
        <is>
          <t>Coaching application</t>
        </is>
      </c>
      <c r="B14" s="27" t="inlineStr">
        <is>
          <t>The RRS, and the Brooding subscale in particular, is well suited to coaching conversations with students and early-career clients about unhelpful dwelling on setbacks (e.g. "why can't I handle things better") versus more adaptive, problem-focused reflection. Distinguishing Brooding from Reflection lets Charlotte target the maladaptive pattern directly (as a coaching focus) while validating that some analytic self-reflection is normal and can be constructive. Because 12 of the 22 items closely track depressive symptoms rather than rumination style, the total 22-item score should be interpreted cautiously in a non-clinical coaching context and the Brooding/Reflection subscales are generally the more directly actionable pickup.</t>
        </is>
      </c>
    </row>
    <row r="15" ht="105" customHeight="1" s="17">
      <c r="A15" s="35" t="inlineStr">
        <is>
          <t>Purpose</t>
        </is>
      </c>
      <c r="B15" s="27" t="inlineStr">
        <is>
          <t>The RRS was originally developed by Nolen-Hoeksema and Morrow (1991) to assess ruminative responses to depressed mood as part of the Response Styles Questionnaire. Treynor, Gonzalez and Nolen-Hoeksema (2003) later re-analysed the scale and identified two "pure" 5-item subscales within it, Brooding (passive, self-critical comparison of one's current state to an unachieved standard) and Reflection (deliberate, analytic turning inward to understand one's low mood), while the remaining 12 items were found to overlap substantially with depressive symptoms themselves and are not used in either subscale score.</t>
        </is>
      </c>
    </row>
    <row r="16" ht="45" customHeight="1" s="17">
      <c r="A16" s="35" t="inlineStr">
        <is>
          <t>Instructions / prompt</t>
        </is>
      </c>
      <c r="B16" s="27" t="inlineStr">
        <is>
          <t>Please read each of the items below and indicate whether you almost never, sometimes, often, or almost always think or do each one when you feel down, sad, or depressed. Please indicate what you generally do, not what you think you should do.</t>
        </is>
      </c>
    </row>
    <row r="17" ht="15" customHeight="1" s="17">
      <c r="A17" s="35" t="inlineStr">
        <is>
          <t>Response options</t>
        </is>
      </c>
      <c r="B17" s="27" t="inlineStr">
        <is>
          <t>almost never = 1 | sometimes = 2 | often = 3 | almost always = 4</t>
        </is>
      </c>
    </row>
    <row r="18" ht="15" customHeight="1" s="17">
      <c r="A18" s="35" t="inlineStr">
        <is>
          <t>Reverse-scored items</t>
        </is>
      </c>
      <c r="B18" s="27" t="inlineStr">
        <is>
          <t>None</t>
        </is>
      </c>
    </row>
    <row r="19" ht="15" customHeight="1" s="17">
      <c r="A19" s="35" t="inlineStr">
        <is>
          <t>Filler items (not scored)</t>
        </is>
      </c>
      <c r="B19" s="27" t="inlineStr">
        <is>
          <t>None</t>
        </is>
      </c>
    </row>
    <row r="20" ht="45" customHeight="1" s="17">
      <c r="A20" s="35" t="inlineStr">
        <is>
          <t>Total scoring</t>
        </is>
      </c>
      <c r="B20" s="27" t="inlineStr">
        <is>
          <t>Full-scale total: sum of all 22 items (range 22-88), per Nolen-Hoeksema's own scoring note ("simply sum the scores on the 22 items"). Brooding and Reflection subscale scores are each the sum of their 5 items (range 5-20 each), per Treynor et al. (2003).</t>
        </is>
      </c>
    </row>
    <row r="21" ht="15" customHeight="1" s="17">
      <c r="A21" s="35" t="inlineStr">
        <is>
          <t>Interpretation bands</t>
        </is>
      </c>
      <c r="B21" s="27" t="inlineStr">
        <is>
          <t>Not stated on source</t>
        </is>
      </c>
    </row>
    <row r="22" ht="45" customHeight="1" s="17">
      <c r="A22" s="35" t="inlineStr">
        <is>
          <t>Cut-offs</t>
        </is>
      </c>
      <c r="B22" s="27" t="inlineStr">
        <is>
          <t>No clinical cutoff scores were found in the developer sources (Nolen-Hoeksema &amp; Morrow, 1991; Treynor et al., 2003) or retrievable from the NovoPsych RRS page, which itself does not display specific score ranges or interpretation bands in the content that could be fetched this session.</t>
        </is>
      </c>
    </row>
    <row r="23" ht="75" customHeight="1" s="17">
      <c r="A23" s="35" t="inlineStr">
        <is>
          <t>Normative data</t>
        </is>
      </c>
      <c r="B23" s="27" t="inlineStr">
        <is>
          <t>Treynor et al. (2003) used a community sample of N = 1,130 adults assessed at two time points approximately one year apart, but exact normative means/SDs were not extractable from the fetched text. NovoPsych's own normative data for the RRS could not be retrieved this session (its scoring/psychometrics content did not come through fetch, and no NovoPsych-hosted RRS blank-form or sample-results PDF could be located via search).</t>
        </is>
      </c>
    </row>
    <row r="24" ht="60" customHeight="1" s="17">
      <c r="A24" s="35" t="inlineStr">
        <is>
          <t>Psychometric properties</t>
        </is>
      </c>
      <c r="B24" s="27" t="inlineStr">
        <is>
          <t>Full 22-item scale: Cronbach's alpha = .90 (Time 1); test-retest r = .67 across the ~1-year interval. Brooding subscale: alpha = .77 (Time 1); test-retest r = .62. Reflection subscale: alpha = .72 (Time 1); test-retest r = .60. Sample: N = 1,130 community adults (Treynor, Gonzalez, &amp; Nolen-Hoeksema, 2003).</t>
        </is>
      </c>
    </row>
    <row r="25" ht="45" customHeight="1" s="17">
      <c r="A25" s="35" t="inlineStr">
        <is>
          <t>Developer citation</t>
        </is>
      </c>
      <c r="B25" s="27" t="inlineStr">
        <is>
          <t>Nolen-Hoeksema, S., &amp; Morrow, J. (1991). A prospective study of depression and posttraumatic stress symptoms after a natural disaster: The 1989 Loma Prieta earthquake. Journal of Personality and Social Psychology, 61(1), 115–121. https://doi.org/10.1037/0022-3514.61.1.115</t>
        </is>
      </c>
    </row>
    <row r="26" ht="60" customHeight="1" s="17">
      <c r="A26" s="35" t="inlineStr">
        <is>
          <t>Copyright and licensing</t>
        </is>
      </c>
      <c r="B26" s="27" t="inlineStr">
        <is>
          <t>The Nolen-Hoeksema item PDF carries no explicit copyright/licence statement beyond her name and Yale University letter header in the source fetched; no blanket free-for-commercial-use grant nor an explicit restriction was found in either developer source. NovoPsych's own terms govern use of its platform-hosted administration and scoring, which was not accessible in full this session.</t>
        </is>
      </c>
    </row>
    <row r="27" ht="15" customHeight="1" s="17">
      <c r="A27" s="35" t="inlineStr">
        <is>
          <t>Source URL</t>
        </is>
      </c>
      <c r="B27" s="27" t="inlineStr">
        <is>
          <t>https://novopsych.com/assessments/formulation/ruminative-responses-scale-rrs/</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Think about how alone you feel</t>
        </is>
      </c>
      <c r="C30" s="27" t="inlineStr">
        <is>
          <t>Depression-related items (not scored as a subscale)</t>
        </is>
      </c>
      <c r="D30" s="27" t="inlineStr">
        <is>
          <t>FALSE</t>
        </is>
      </c>
      <c r="E30" s="27" t="inlineStr">
        <is>
          <t>FALSE</t>
        </is>
      </c>
      <c r="F30" s="27" t="n"/>
    </row>
    <row r="31" ht="23.85" customHeight="1" s="17">
      <c r="A31" s="28" t="n">
        <v>2</v>
      </c>
      <c r="B31" s="27" t="inlineStr">
        <is>
          <t>Think "I won't be able to do my job if I don't snap out of this"</t>
        </is>
      </c>
      <c r="C31" s="27" t="inlineStr">
        <is>
          <t>Depression-related items (not scored as a subscale)</t>
        </is>
      </c>
      <c r="D31" s="27" t="inlineStr">
        <is>
          <t>FALSE</t>
        </is>
      </c>
      <c r="E31" s="27" t="inlineStr">
        <is>
          <t>FALSE</t>
        </is>
      </c>
      <c r="F31" s="27" t="n"/>
    </row>
    <row r="32" ht="23.85" customHeight="1" s="17">
      <c r="A32" s="28" t="n">
        <v>3</v>
      </c>
      <c r="B32" s="27" t="inlineStr">
        <is>
          <t>Think about your feelings of fatigue and achiness</t>
        </is>
      </c>
      <c r="C32" s="27" t="inlineStr">
        <is>
          <t>Depression-related items (not scored as a subscale)</t>
        </is>
      </c>
      <c r="D32" s="27" t="inlineStr">
        <is>
          <t>FALSE</t>
        </is>
      </c>
      <c r="E32" s="27" t="inlineStr">
        <is>
          <t>FALSE</t>
        </is>
      </c>
      <c r="F32" s="27" t="n"/>
    </row>
    <row r="33" ht="23.85" customHeight="1" s="17">
      <c r="A33" s="28" t="n">
        <v>4</v>
      </c>
      <c r="B33" s="27" t="inlineStr">
        <is>
          <t>Think about how hard it is to concentrate</t>
        </is>
      </c>
      <c r="C33" s="27" t="inlineStr">
        <is>
          <t>Depression-related items (not scored as a subscale)</t>
        </is>
      </c>
      <c r="D33" s="27" t="inlineStr">
        <is>
          <t>FALSE</t>
        </is>
      </c>
      <c r="E33" s="27" t="inlineStr">
        <is>
          <t>FALSE</t>
        </is>
      </c>
      <c r="F33" s="27" t="n"/>
    </row>
    <row r="34" ht="15" customHeight="1" s="17">
      <c r="A34" s="28" t="n">
        <v>5</v>
      </c>
      <c r="B34" s="27" t="inlineStr">
        <is>
          <t>Think "What am I doing to deserve this?"</t>
        </is>
      </c>
      <c r="C34" s="27" t="inlineStr">
        <is>
          <t>Brooding</t>
        </is>
      </c>
      <c r="D34" s="27" t="inlineStr">
        <is>
          <t>FALSE</t>
        </is>
      </c>
      <c r="E34" s="27" t="inlineStr">
        <is>
          <t>FALSE</t>
        </is>
      </c>
      <c r="F34" s="27" t="n"/>
    </row>
    <row r="35" ht="23.85" customHeight="1" s="17">
      <c r="A35" s="28" t="n">
        <v>6</v>
      </c>
      <c r="B35" s="27" t="inlineStr">
        <is>
          <t>Think about how passive and unmotivated you feel</t>
        </is>
      </c>
      <c r="C35" s="27" t="inlineStr">
        <is>
          <t>Depression-related items (not scored as a subscale)</t>
        </is>
      </c>
      <c r="D35" s="27" t="inlineStr">
        <is>
          <t>FALSE</t>
        </is>
      </c>
      <c r="E35" s="27" t="inlineStr">
        <is>
          <t>FALSE</t>
        </is>
      </c>
      <c r="F35" s="27" t="n"/>
    </row>
    <row r="36" ht="15" customHeight="1" s="17">
      <c r="A36" s="28" t="n">
        <v>7</v>
      </c>
      <c r="B36" s="27" t="inlineStr">
        <is>
          <t>Analyze recent events to try to understand why you are depressed</t>
        </is>
      </c>
      <c r="C36" s="27" t="inlineStr">
        <is>
          <t>Reflection</t>
        </is>
      </c>
      <c r="D36" s="27" t="inlineStr">
        <is>
          <t>FALSE</t>
        </is>
      </c>
      <c r="E36" s="27" t="inlineStr">
        <is>
          <t>FALSE</t>
        </is>
      </c>
      <c r="F36" s="27" t="n"/>
    </row>
    <row r="37" ht="23.85" customHeight="1" s="17">
      <c r="A37" s="28" t="n">
        <v>8</v>
      </c>
      <c r="B37" s="27" t="inlineStr">
        <is>
          <t>Think about how you don't seem to feel anything anymore</t>
        </is>
      </c>
      <c r="C37" s="27" t="inlineStr">
        <is>
          <t>Depression-related items (not scored as a subscale)</t>
        </is>
      </c>
      <c r="D37" s="27" t="inlineStr">
        <is>
          <t>FALSE</t>
        </is>
      </c>
      <c r="E37" s="27" t="inlineStr">
        <is>
          <t>FALSE</t>
        </is>
      </c>
      <c r="F37" s="27" t="n"/>
    </row>
    <row r="38" ht="23.85" customHeight="1" s="17">
      <c r="A38" s="28" t="n">
        <v>9</v>
      </c>
      <c r="B38" s="27" t="inlineStr">
        <is>
          <t>Think "Why can't I get going?"</t>
        </is>
      </c>
      <c r="C38" s="27" t="inlineStr">
        <is>
          <t>Depression-related items (not scored as a subscale)</t>
        </is>
      </c>
      <c r="D38" s="27" t="inlineStr">
        <is>
          <t>FALSE</t>
        </is>
      </c>
      <c r="E38" s="27" t="inlineStr">
        <is>
          <t>FALSE</t>
        </is>
      </c>
      <c r="F38" s="27" t="n"/>
    </row>
    <row r="39" ht="15" customHeight="1" s="17">
      <c r="A39" s="28" t="n">
        <v>10</v>
      </c>
      <c r="B39" s="27" t="inlineStr">
        <is>
          <t>Think "Why do I always react this way?"</t>
        </is>
      </c>
      <c r="C39" s="27" t="inlineStr">
        <is>
          <t>Brooding</t>
        </is>
      </c>
      <c r="D39" s="27" t="inlineStr">
        <is>
          <t>FALSE</t>
        </is>
      </c>
      <c r="E39" s="27" t="inlineStr">
        <is>
          <t>FALSE</t>
        </is>
      </c>
      <c r="F39" s="27" t="n"/>
    </row>
    <row r="40" ht="15" customHeight="1" s="17">
      <c r="A40" s="28" t="n">
        <v>11</v>
      </c>
      <c r="B40" s="27" t="inlineStr">
        <is>
          <t>Go away by yourself and think about why you feel this way</t>
        </is>
      </c>
      <c r="C40" s="27" t="inlineStr">
        <is>
          <t>Reflection</t>
        </is>
      </c>
      <c r="D40" s="27" t="inlineStr">
        <is>
          <t>FALSE</t>
        </is>
      </c>
      <c r="E40" s="27" t="inlineStr">
        <is>
          <t>FALSE</t>
        </is>
      </c>
      <c r="F40" s="27" t="n"/>
    </row>
    <row r="41" ht="68.65000000000001" customHeight="1" s="17">
      <c r="A41" s="28" t="n">
        <v>12</v>
      </c>
      <c r="B41" s="27" t="inlineStr">
        <is>
          <t>Write down what you are thinking about and analyze it</t>
        </is>
      </c>
      <c r="C41" s="27" t="inlineStr">
        <is>
          <t>Reflection</t>
        </is>
      </c>
      <c r="D41" s="27" t="inlineStr">
        <is>
          <t>FALSE</t>
        </is>
      </c>
      <c r="E41" s="27" t="inlineStr">
        <is>
          <t>FALSE</t>
        </is>
      </c>
      <c r="F41" s="27" t="inlineStr">
        <is>
          <t>Text as given in the original Nolen-Hoeksema item sheet (websites.umich.edu/~gonzo/RuminationScale.pdf). The Treynor et al. (2003) subscale-mapping paper quotes this item slightly differently, without "about" ("Write down what you are thinking and analyze it") — flagging the minor wording discrepancy between the two fetched sources.</t>
        </is>
      </c>
    </row>
    <row r="42" ht="15" customHeight="1" s="17">
      <c r="A42" s="28" t="n">
        <v>13</v>
      </c>
      <c r="B42" s="27" t="inlineStr">
        <is>
          <t>Think about a recent situation, wishing it had gone better</t>
        </is>
      </c>
      <c r="C42" s="27" t="inlineStr">
        <is>
          <t>Brooding</t>
        </is>
      </c>
      <c r="D42" s="27" t="inlineStr">
        <is>
          <t>FALSE</t>
        </is>
      </c>
      <c r="E42" s="27" t="inlineStr">
        <is>
          <t>FALSE</t>
        </is>
      </c>
      <c r="F42" s="27" t="n"/>
    </row>
    <row r="43" ht="23.85" customHeight="1" s="17">
      <c r="A43" s="28" t="n">
        <v>14</v>
      </c>
      <c r="B43" s="27" t="inlineStr">
        <is>
          <t>Think "I won't be able to concentrate if I keep feeling this way"</t>
        </is>
      </c>
      <c r="C43" s="27" t="inlineStr">
        <is>
          <t>Depression-related items (not scored as a subscale)</t>
        </is>
      </c>
      <c r="D43" s="27" t="inlineStr">
        <is>
          <t>FALSE</t>
        </is>
      </c>
      <c r="E43" s="27" t="inlineStr">
        <is>
          <t>FALSE</t>
        </is>
      </c>
      <c r="F43" s="27" t="n"/>
    </row>
    <row r="44" ht="15" customHeight="1" s="17">
      <c r="A44" s="28" t="n">
        <v>15</v>
      </c>
      <c r="B44" s="27" t="inlineStr">
        <is>
          <t>Think "Why do I have problems other people don't have?"</t>
        </is>
      </c>
      <c r="C44" s="27" t="inlineStr">
        <is>
          <t>Brooding</t>
        </is>
      </c>
      <c r="D44" s="27" t="inlineStr">
        <is>
          <t>FALSE</t>
        </is>
      </c>
      <c r="E44" s="27" t="inlineStr">
        <is>
          <t>FALSE</t>
        </is>
      </c>
      <c r="F44" s="27" t="n"/>
    </row>
    <row r="45" ht="15" customHeight="1" s="17">
      <c r="A45" s="28" t="n">
        <v>16</v>
      </c>
      <c r="B45" s="27" t="inlineStr">
        <is>
          <t>Think "Why can't I handle things better?"</t>
        </is>
      </c>
      <c r="C45" s="27" t="inlineStr">
        <is>
          <t>Brooding</t>
        </is>
      </c>
      <c r="D45" s="27" t="inlineStr">
        <is>
          <t>FALSE</t>
        </is>
      </c>
      <c r="E45" s="27" t="inlineStr">
        <is>
          <t>FALSE</t>
        </is>
      </c>
      <c r="F45" s="27" t="n"/>
    </row>
    <row r="46" ht="23.85" customHeight="1" s="17">
      <c r="A46" s="28" t="n">
        <v>17</v>
      </c>
      <c r="B46" s="27" t="inlineStr">
        <is>
          <t>Think about how sad you feel</t>
        </is>
      </c>
      <c r="C46" s="27" t="inlineStr">
        <is>
          <t>Depression-related items (not scored as a subscale)</t>
        </is>
      </c>
      <c r="D46" s="27" t="inlineStr">
        <is>
          <t>FALSE</t>
        </is>
      </c>
      <c r="E46" s="27" t="inlineStr">
        <is>
          <t>FALSE</t>
        </is>
      </c>
      <c r="F46" s="27" t="n"/>
    </row>
    <row r="47" ht="23.85" customHeight="1" s="17">
      <c r="A47" s="28" t="n">
        <v>18</v>
      </c>
      <c r="B47" s="27" t="inlineStr">
        <is>
          <t>Think about all your shortcomings, failings, faults, mistakes</t>
        </is>
      </c>
      <c r="C47" s="27" t="inlineStr">
        <is>
          <t>Depression-related items (not scored as a subscale)</t>
        </is>
      </c>
      <c r="D47" s="27" t="inlineStr">
        <is>
          <t>FALSE</t>
        </is>
      </c>
      <c r="E47" s="27" t="inlineStr">
        <is>
          <t>FALSE</t>
        </is>
      </c>
      <c r="F47" s="27" t="n"/>
    </row>
    <row r="48" ht="23.85" customHeight="1" s="17">
      <c r="A48" s="28" t="n">
        <v>19</v>
      </c>
      <c r="B48" s="27" t="inlineStr">
        <is>
          <t>Think about how you don't feel up to doing anything</t>
        </is>
      </c>
      <c r="C48" s="27" t="inlineStr">
        <is>
          <t>Depression-related items (not scored as a subscale)</t>
        </is>
      </c>
      <c r="D48" s="27" t="inlineStr">
        <is>
          <t>FALSE</t>
        </is>
      </c>
      <c r="E48" s="27" t="inlineStr">
        <is>
          <t>FALSE</t>
        </is>
      </c>
      <c r="F48" s="27" t="n"/>
    </row>
    <row r="49" ht="15" customHeight="1" s="17">
      <c r="A49" s="28" t="n">
        <v>20</v>
      </c>
      <c r="B49" s="27" t="inlineStr">
        <is>
          <t>Analyze your personality to try to understand why you are depressed</t>
        </is>
      </c>
      <c r="C49" s="27" t="inlineStr">
        <is>
          <t>Reflection</t>
        </is>
      </c>
      <c r="D49" s="27" t="inlineStr">
        <is>
          <t>FALSE</t>
        </is>
      </c>
      <c r="E49" s="27" t="inlineStr">
        <is>
          <t>FALSE</t>
        </is>
      </c>
      <c r="F49" s="27" t="n"/>
    </row>
    <row r="50" ht="15" customHeight="1" s="17">
      <c r="A50" s="28" t="n">
        <v>21</v>
      </c>
      <c r="B50" s="27" t="inlineStr">
        <is>
          <t>Go someplace alone to think about your feelings</t>
        </is>
      </c>
      <c r="C50" s="27" t="inlineStr">
        <is>
          <t>Reflection</t>
        </is>
      </c>
      <c r="D50" s="27" t="inlineStr">
        <is>
          <t>FALSE</t>
        </is>
      </c>
      <c r="E50" s="27" t="inlineStr">
        <is>
          <t>FALSE</t>
        </is>
      </c>
      <c r="F50" s="27" t="n"/>
    </row>
    <row r="51" ht="23.85" customHeight="1" s="17">
      <c r="A51" s="28" t="n">
        <v>22</v>
      </c>
      <c r="B51" s="27" t="inlineStr">
        <is>
          <t>Think about how angry you are with yourself</t>
        </is>
      </c>
      <c r="C51" s="27" t="inlineStr">
        <is>
          <t>Depression-related items (not scored as a subscale)</t>
        </is>
      </c>
      <c r="D51" s="27" t="inlineStr">
        <is>
          <t>FALSE</t>
        </is>
      </c>
      <c r="E51" s="27" t="inlineStr">
        <is>
          <t>FALSE</t>
        </is>
      </c>
      <c r="F51" s="27" t="n"/>
    </row>
  </sheetData>
  <autoFilter ref="A29:F5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F51"/>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Forms of Self-Criticising/Attacking and Self-Reassuring Scale</t>
        </is>
      </c>
    </row>
    <row r="3" ht="15" customHeight="1" s="17">
      <c r="A3" s="35" t="inlineStr">
        <is>
          <t>Instrument</t>
        </is>
      </c>
      <c r="B3" s="27" t="inlineStr">
        <is>
          <t>Forms of Self-Criticising/Attacking and Self-Reassuring Scale</t>
        </is>
      </c>
    </row>
    <row r="4" ht="15" customHeight="1" s="17">
      <c r="A4" s="35" t="inlineStr">
        <is>
          <t>Code</t>
        </is>
      </c>
      <c r="B4" s="27" t="inlineStr">
        <is>
          <t>FSCRS</t>
        </is>
      </c>
    </row>
    <row r="5" ht="15" customHeight="1" s="17">
      <c r="A5" s="35" t="inlineStr">
        <is>
          <t>Domain</t>
        </is>
      </c>
      <c r="B5" s="27" t="inlineStr">
        <is>
          <t>5. Repetitive negative thinking and self talk</t>
        </is>
      </c>
    </row>
    <row r="6" ht="15" customHeight="1" s="17">
      <c r="A6" s="35" t="inlineStr">
        <is>
          <t>Availability</t>
        </is>
      </c>
      <c r="B6" s="27" t="inlineStr">
        <is>
          <t>Free / open access</t>
        </is>
      </c>
    </row>
    <row r="7" ht="45" customHeight="1" s="17">
      <c r="A7" s="35" t="inlineStr">
        <is>
          <t>Construct</t>
        </is>
      </c>
      <c r="B7" s="27" t="inlineStr">
        <is>
          <t>Self-criticism and self-reassurance as distinct forms of self-relating that people use when things go wrong: an inadequacy-focused form of self-criticism, a more punitive, self-disgust-based (hated-self) form of self-criticism, and the capacity to be self-reassuring/self-supportive.</t>
        </is>
      </c>
    </row>
    <row r="8" ht="15" customHeight="1" s="17">
      <c r="A8" s="35" t="inlineStr">
        <is>
          <t>Respondent</t>
        </is>
      </c>
      <c r="B8" s="27" t="inlineStr">
        <is>
          <t>Adult self-report</t>
        </is>
      </c>
    </row>
    <row r="9" ht="45" customHeight="1" s="17">
      <c r="A9" s="35" t="inlineStr">
        <is>
          <t>Age range</t>
        </is>
      </c>
      <c r="B9" s="27" t="inlineStr">
        <is>
          <t>Not stated on the source document. The original 2004 development sample was female university students; the scale has since been used across adult clinical and non-clinical populations, but no formal age range is specified in the fetched source.</t>
        </is>
      </c>
    </row>
    <row r="10" ht="15" customHeight="1" s="17">
      <c r="A10" s="35" t="inlineStr">
        <is>
          <t>Items in instrument</t>
        </is>
      </c>
      <c r="B10" s="27" t="inlineStr">
        <is>
          <t>22</t>
        </is>
      </c>
    </row>
    <row r="11" ht="15" customHeight="1" s="17">
      <c r="A11" s="35" t="inlineStr">
        <is>
          <t>Items reproduced here</t>
        </is>
      </c>
      <c r="B11" s="27" t="inlineStr">
        <is>
          <t>22</t>
        </is>
      </c>
    </row>
    <row r="12" ht="30" customHeight="1" s="17">
      <c r="A12" s="35" t="inlineStr">
        <is>
          <t>Administration time</t>
        </is>
      </c>
      <c r="B12" s="27" t="inlineStr">
        <is>
          <t>Not stated in the source. A brief 22-item self-report measure, typically completed in a few minutes.</t>
        </is>
      </c>
    </row>
    <row r="13" ht="105" customHeight="1" s="17">
      <c r="A13" s="35" t="inlineStr">
        <is>
          <t>Cost and access</t>
        </is>
      </c>
      <c r="B13" s="27" t="inlineStr">
        <is>
          <t>The scale is freely downloadable (e.g. via the Portland Psychotherapy Clinic hosting used here) and is very widely used in clinical, compassion-focused therapy and coaching-adjacent contexts without a reported paywall or licensing fee. The document carries the notice "© Gilbert et al., 2004" but no explicit statement granting or restricting commercial/paid-coaching use. Treat as reasonably safe to administer with citation, but not as a confirmed formal commercial licence; a courtesy email to the authors would close this gap before large-scale paid use. Licensing note: Free / open access, with an author copyright notice</t>
        </is>
      </c>
    </row>
    <row r="14" ht="135" customHeight="1" s="17">
      <c r="A14" s="35" t="inlineStr">
        <is>
          <t>Coaching application</t>
        </is>
      </c>
      <c r="B14" s="27" t="inlineStr">
        <is>
          <t>The FSCRS is one of the strongest available tools for identifying harsh, punitive self-talk under academic or early-career performance pressure, and it usefully separates self-criticism (Inadequate Self, Hated Self) from the client's existing capacity to self-reassure (Reassured Self), which is directly actionable as a coaching target. Because item 9 references wanting to hurt or injure oneself, it needs careful, consent-based framing in a non-clinical coaching setting, with a clear plan for what happens if it is endorsed, and should be introduced only once appropriate rapport and safety-checking practices are in place. As a self-report measure of self-relating style rather than a diagnostic tool, elevated Hated Self scores should prompt sensitive follow-up and, where indicated, referral rather than being worked with in coaching alone.</t>
        </is>
      </c>
    </row>
    <row r="15" ht="75" customHeight="1" s="17">
      <c r="A15" s="35" t="inlineStr">
        <is>
          <t>Purpose</t>
        </is>
      </c>
      <c r="B15" s="27" t="inlineStr">
        <is>
          <t>The FSCRS was developed by Gilbert, Clarke, Hempel, Miles and Irons (2004) to explore the different forms, styles and functions of self-criticism and self-reassurance that people use when they feel they have fallen short or things have gone wrong. It distinguishes an inadequacy-focused form of self-attacking from a more hostile, punitive, self-disgust/self-hatred form, and separately measures the person's capacity to respond to setbacks with self-support and self-reassurance.</t>
        </is>
      </c>
    </row>
    <row r="16" ht="90" customHeight="1" s="17">
      <c r="A16" s="35" t="inlineStr">
        <is>
          <t>Instructions / prompt</t>
        </is>
      </c>
      <c r="B16" s="27" t="inlineStr">
        <is>
          <t>When things go wrong in our lives or don't work out as we hoped, and we feel we could have done better, we sometimes have negative and self-critical thoughts and feelings. These may take the form of feeling worthless, useless or inferior etc. However, people can also try to be supportive of themselves. Below are a series of thoughts and feelings that people sometimes have. Read each statement carefully and circle the number that best describes how much each statement is true for you. Please use the scale below.</t>
        </is>
      </c>
    </row>
    <row r="17" ht="30" customHeight="1" s="17">
      <c r="A17" s="35" t="inlineStr">
        <is>
          <t>Response options</t>
        </is>
      </c>
      <c r="B17" s="27" t="inlineStr">
        <is>
          <t>Not at all like me = 0 | A little bit like me = 1 | Moderately like me = 2 | Quite a bit like me = 3 | Extremely like me = 4</t>
        </is>
      </c>
    </row>
    <row r="18" ht="15" customHeight="1" s="17">
      <c r="A18" s="35" t="inlineStr">
        <is>
          <t>Reverse-scored items</t>
        </is>
      </c>
      <c r="B18" s="27" t="inlineStr">
        <is>
          <t>None</t>
        </is>
      </c>
    </row>
    <row r="19" ht="15" customHeight="1" s="17">
      <c r="A19" s="35" t="inlineStr">
        <is>
          <t>Filler items (not scored)</t>
        </is>
      </c>
      <c r="B19" s="27" t="inlineStr">
        <is>
          <t>None</t>
        </is>
      </c>
    </row>
    <row r="20" ht="45" customHeight="1" s="17">
      <c r="A20" s="35" t="inlineStr">
        <is>
          <t>Total scoring</t>
        </is>
      </c>
      <c r="B20" s="27" t="inlineStr">
        <is>
          <t>Each subscale is scored as the sum of its own items: Inadequate Self (9 items, range 0-36), Hated Self (5 items, range 0-20), Reassured Self (8 items, range 0-32). There is no single overall FSCRS total; the three subscales are interpreted separately (Gilbert et al., 2004).</t>
        </is>
      </c>
    </row>
    <row r="21" ht="15" customHeight="1" s="17">
      <c r="A21" s="35" t="inlineStr">
        <is>
          <t>Interpretation bands</t>
        </is>
      </c>
      <c r="B21" s="27" t="inlineStr">
        <is>
          <t>Not stated on source</t>
        </is>
      </c>
    </row>
    <row r="22" ht="15" customHeight="1" s="17">
      <c r="A22" s="35" t="inlineStr">
        <is>
          <t>Cut-offs</t>
        </is>
      </c>
      <c r="B22" s="27" t="inlineStr">
        <is>
          <t>No clinical cutoff scores were reported in the fetched source.</t>
        </is>
      </c>
    </row>
    <row r="23" ht="60" customHeight="1" s="17">
      <c r="A23" s="35" t="inlineStr">
        <is>
          <t>Normative data</t>
        </is>
      </c>
      <c r="B23" s="27" t="inlineStr">
        <is>
          <t>No normative means/SDs by population were extractable from the fetched source. The original development sample was female university students (UK); the source notes the scale has since been re-validated across thirteen countries (Baíao et al., 2015 normative study), but that paper was not directly fetched this session.</t>
        </is>
      </c>
    </row>
    <row r="24" ht="30" customHeight="1" s="17">
      <c r="A24" s="35" t="inlineStr">
        <is>
          <t>Psychometric properties</t>
        </is>
      </c>
      <c r="B24" s="27" t="inlineStr">
        <is>
          <t>Cronbach's alpha = .90 (Inadequate Self), .86 (Hated Self), .86 (Reassured Self), as reported in the fetched source document (Gilbert et al., 2004).</t>
        </is>
      </c>
    </row>
    <row r="25" ht="45" customHeight="1" s="17">
      <c r="A25" s="35" t="inlineStr">
        <is>
          <t>Developer citation</t>
        </is>
      </c>
      <c r="B25" s="27" t="inlineStr">
        <is>
          <t>Gilbert, P., Clarke, M., Hempel, S., Miles, J. N. V., &amp; Irons, C. (2004). Criticizing and reassuring oneself: An exploration of forms, styles and reasons in female students. British Journal of Clinical Psychology, 43(1), 31–50. https://doi.org/10.1348/014466504772812959</t>
        </is>
      </c>
    </row>
    <row r="26" ht="30" customHeight="1" s="17">
      <c r="A26" s="35" t="inlineStr">
        <is>
          <t>Copyright and licensing</t>
        </is>
      </c>
      <c r="B26" s="27" t="inlineStr">
        <is>
          <t>© Gilbert et al., 2004 (notice appears on the source document). No explicit commercial-use grant or restriction was found beyond this author copyright notice.</t>
        </is>
      </c>
    </row>
    <row r="27" ht="30" customHeight="1" s="17">
      <c r="A27" s="35" t="inlineStr">
        <is>
          <t>Source URL</t>
        </is>
      </c>
      <c r="B27" s="27" t="inlineStr">
        <is>
          <t>https://d3n8a8pro7vhmx.cloudfront.net/portlandpsychotherapy/pages/21/attachments/original/1438799410/Forms_of_self-criticising_and_self_reassuring_scale.pdf</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I am easily disappointed with myself.</t>
        </is>
      </c>
      <c r="C30" s="27" t="inlineStr">
        <is>
          <t>Inadequate Self</t>
        </is>
      </c>
      <c r="D30" s="27" t="inlineStr">
        <is>
          <t>FALSE</t>
        </is>
      </c>
      <c r="E30" s="27" t="inlineStr">
        <is>
          <t>FALSE</t>
        </is>
      </c>
      <c r="F30" s="27" t="n"/>
    </row>
    <row r="31" ht="15" customHeight="1" s="17">
      <c r="A31" s="28" t="n">
        <v>2</v>
      </c>
      <c r="B31" s="27" t="inlineStr">
        <is>
          <t>There is a part of me that puts me down.</t>
        </is>
      </c>
      <c r="C31" s="27" t="inlineStr">
        <is>
          <t>Inadequate Self</t>
        </is>
      </c>
      <c r="D31" s="27" t="inlineStr">
        <is>
          <t>FALSE</t>
        </is>
      </c>
      <c r="E31" s="27" t="inlineStr">
        <is>
          <t>FALSE</t>
        </is>
      </c>
      <c r="F31" s="27" t="n"/>
    </row>
    <row r="32" ht="15" customHeight="1" s="17">
      <c r="A32" s="28" t="n">
        <v>3</v>
      </c>
      <c r="B32" s="27" t="inlineStr">
        <is>
          <t>I am able to remind myself of positive things about myself.</t>
        </is>
      </c>
      <c r="C32" s="27" t="inlineStr">
        <is>
          <t>Reassured Self</t>
        </is>
      </c>
      <c r="D32" s="27" t="inlineStr">
        <is>
          <t>FALSE</t>
        </is>
      </c>
      <c r="E32" s="27" t="inlineStr">
        <is>
          <t>FALSE</t>
        </is>
      </c>
      <c r="F32" s="27" t="n"/>
    </row>
    <row r="33" ht="15" customHeight="1" s="17">
      <c r="A33" s="28" t="n">
        <v>4</v>
      </c>
      <c r="B33" s="27" t="inlineStr">
        <is>
          <t>I find it difficult to control my anger and frustration at myself.</t>
        </is>
      </c>
      <c r="C33" s="27" t="inlineStr">
        <is>
          <t>Inadequate Self</t>
        </is>
      </c>
      <c r="D33" s="27" t="inlineStr">
        <is>
          <t>FALSE</t>
        </is>
      </c>
      <c r="E33" s="27" t="inlineStr">
        <is>
          <t>FALSE</t>
        </is>
      </c>
      <c r="F33" s="27" t="n"/>
    </row>
    <row r="34" ht="15" customHeight="1" s="17">
      <c r="A34" s="28" t="n">
        <v>5</v>
      </c>
      <c r="B34" s="27" t="inlineStr">
        <is>
          <t>I find it easy to forgive myself.</t>
        </is>
      </c>
      <c r="C34" s="27" t="inlineStr">
        <is>
          <t>Reassured Self</t>
        </is>
      </c>
      <c r="D34" s="27" t="inlineStr">
        <is>
          <t>FALSE</t>
        </is>
      </c>
      <c r="E34" s="27" t="inlineStr">
        <is>
          <t>FALSE</t>
        </is>
      </c>
      <c r="F34" s="27" t="n"/>
    </row>
    <row r="35" ht="15" customHeight="1" s="17">
      <c r="A35" s="28" t="n">
        <v>6</v>
      </c>
      <c r="B35" s="27" t="inlineStr">
        <is>
          <t>There is a part of me that feels I am not good enough.</t>
        </is>
      </c>
      <c r="C35" s="27" t="inlineStr">
        <is>
          <t>Inadequate Self</t>
        </is>
      </c>
      <c r="D35" s="27" t="inlineStr">
        <is>
          <t>FALSE</t>
        </is>
      </c>
      <c r="E35" s="27" t="inlineStr">
        <is>
          <t>FALSE</t>
        </is>
      </c>
      <c r="F35" s="27" t="n"/>
    </row>
    <row r="36" ht="15" customHeight="1" s="17">
      <c r="A36" s="28" t="n">
        <v>7</v>
      </c>
      <c r="B36" s="27" t="inlineStr">
        <is>
          <t>I feel beaten down by my own self-critical thoughts.</t>
        </is>
      </c>
      <c r="C36" s="27" t="inlineStr">
        <is>
          <t>Inadequate Self</t>
        </is>
      </c>
      <c r="D36" s="27" t="inlineStr">
        <is>
          <t>FALSE</t>
        </is>
      </c>
      <c r="E36" s="27" t="inlineStr">
        <is>
          <t>FALSE</t>
        </is>
      </c>
      <c r="F36" s="27" t="n"/>
    </row>
    <row r="37" ht="15" customHeight="1" s="17">
      <c r="A37" s="28" t="n">
        <v>8</v>
      </c>
      <c r="B37" s="27" t="inlineStr">
        <is>
          <t>I still like being me.</t>
        </is>
      </c>
      <c r="C37" s="27" t="inlineStr">
        <is>
          <t>Reassured Self</t>
        </is>
      </c>
      <c r="D37" s="27" t="inlineStr">
        <is>
          <t>FALSE</t>
        </is>
      </c>
      <c r="E37" s="27" t="inlineStr">
        <is>
          <t>FALSE</t>
        </is>
      </c>
      <c r="F37" s="27" t="n"/>
    </row>
    <row r="38" ht="57.45" customHeight="1" s="17">
      <c r="A38" s="28" t="n">
        <v>9</v>
      </c>
      <c r="B38" s="27" t="inlineStr">
        <is>
          <t>I have become so angry with myself that I want to hurt or injure myself.</t>
        </is>
      </c>
      <c r="C38" s="27" t="inlineStr">
        <is>
          <t>Hated Self</t>
        </is>
      </c>
      <c r="D38" s="27" t="inlineStr">
        <is>
          <t>FALSE</t>
        </is>
      </c>
      <c r="E38" s="27" t="inlineStr">
        <is>
          <t>FALSE</t>
        </is>
      </c>
      <c r="F38" s="27" t="inlineStr">
        <is>
          <t>Sits close to self-harm content. Needs careful, consent-based framing in coaching: introduce only with appropriate rapport and a clear safety-checking plan for what happens if this item is endorsed, and treat any endorsement as a prompt for sensitive follow-up and referral consideration rather than something to work with in coaching alone.</t>
        </is>
      </c>
    </row>
    <row r="39" ht="15" customHeight="1" s="17">
      <c r="A39" s="28" t="n">
        <v>10</v>
      </c>
      <c r="B39" s="27" t="inlineStr">
        <is>
          <t>I have a sense of disgust with myself.</t>
        </is>
      </c>
      <c r="C39" s="27" t="inlineStr">
        <is>
          <t>Hated Self</t>
        </is>
      </c>
      <c r="D39" s="27" t="inlineStr">
        <is>
          <t>FALSE</t>
        </is>
      </c>
      <c r="E39" s="27" t="inlineStr">
        <is>
          <t>FALSE</t>
        </is>
      </c>
      <c r="F39" s="27" t="n"/>
    </row>
    <row r="40" ht="15" customHeight="1" s="17">
      <c r="A40" s="28" t="n">
        <v>11</v>
      </c>
      <c r="B40" s="27" t="inlineStr">
        <is>
          <t>I can still feel lovable and acceptable.</t>
        </is>
      </c>
      <c r="C40" s="27" t="inlineStr">
        <is>
          <t>Reassured Self</t>
        </is>
      </c>
      <c r="D40" s="27" t="inlineStr">
        <is>
          <t>FALSE</t>
        </is>
      </c>
      <c r="E40" s="27" t="inlineStr">
        <is>
          <t>FALSE</t>
        </is>
      </c>
      <c r="F40" s="27" t="n"/>
    </row>
    <row r="41" ht="15" customHeight="1" s="17">
      <c r="A41" s="28" t="n">
        <v>12</v>
      </c>
      <c r="B41" s="27" t="inlineStr">
        <is>
          <t>I stop caring about myself.</t>
        </is>
      </c>
      <c r="C41" s="27" t="inlineStr">
        <is>
          <t>Hated Self</t>
        </is>
      </c>
      <c r="D41" s="27" t="inlineStr">
        <is>
          <t>FALSE</t>
        </is>
      </c>
      <c r="E41" s="27" t="inlineStr">
        <is>
          <t>FALSE</t>
        </is>
      </c>
      <c r="F41" s="27" t="n"/>
    </row>
    <row r="42" ht="15" customHeight="1" s="17">
      <c r="A42" s="28" t="n">
        <v>13</v>
      </c>
      <c r="B42" s="27" t="inlineStr">
        <is>
          <t>I find it easy to like myself.</t>
        </is>
      </c>
      <c r="C42" s="27" t="inlineStr">
        <is>
          <t>Reassured Self</t>
        </is>
      </c>
      <c r="D42" s="27" t="inlineStr">
        <is>
          <t>FALSE</t>
        </is>
      </c>
      <c r="E42" s="27" t="inlineStr">
        <is>
          <t>FALSE</t>
        </is>
      </c>
      <c r="F42" s="27" t="n"/>
    </row>
    <row r="43" ht="15" customHeight="1" s="17">
      <c r="A43" s="28" t="n">
        <v>14</v>
      </c>
      <c r="B43" s="27" t="inlineStr">
        <is>
          <t>I remember and dwell on my failings.</t>
        </is>
      </c>
      <c r="C43" s="27" t="inlineStr">
        <is>
          <t>Inadequate Self</t>
        </is>
      </c>
      <c r="D43" s="27" t="inlineStr">
        <is>
          <t>FALSE</t>
        </is>
      </c>
      <c r="E43" s="27" t="inlineStr">
        <is>
          <t>FALSE</t>
        </is>
      </c>
      <c r="F43" s="27" t="n"/>
    </row>
    <row r="44" ht="15" customHeight="1" s="17">
      <c r="A44" s="28" t="n">
        <v>15</v>
      </c>
      <c r="B44" s="27" t="inlineStr">
        <is>
          <t>I call myself names.</t>
        </is>
      </c>
      <c r="C44" s="27" t="inlineStr">
        <is>
          <t>Hated Self</t>
        </is>
      </c>
      <c r="D44" s="27" t="inlineStr">
        <is>
          <t>FALSE</t>
        </is>
      </c>
      <c r="E44" s="27" t="inlineStr">
        <is>
          <t>FALSE</t>
        </is>
      </c>
      <c r="F44" s="27" t="n"/>
    </row>
    <row r="45" ht="15" customHeight="1" s="17">
      <c r="A45" s="28" t="n">
        <v>16</v>
      </c>
      <c r="B45" s="27" t="inlineStr">
        <is>
          <t>I am gentle and supportive with myself.</t>
        </is>
      </c>
      <c r="C45" s="27" t="inlineStr">
        <is>
          <t>Reassured Self</t>
        </is>
      </c>
      <c r="D45" s="27" t="inlineStr">
        <is>
          <t>FALSE</t>
        </is>
      </c>
      <c r="E45" s="27" t="inlineStr">
        <is>
          <t>FALSE</t>
        </is>
      </c>
      <c r="F45" s="27" t="n"/>
    </row>
    <row r="46" ht="15" customHeight="1" s="17">
      <c r="A46" s="28" t="n">
        <v>17</v>
      </c>
      <c r="B46" s="27" t="inlineStr">
        <is>
          <t>I can't accept failures and setbacks without feeling inadequate.</t>
        </is>
      </c>
      <c r="C46" s="27" t="inlineStr">
        <is>
          <t>Inadequate Self</t>
        </is>
      </c>
      <c r="D46" s="27" t="inlineStr">
        <is>
          <t>FALSE</t>
        </is>
      </c>
      <c r="E46" s="27" t="inlineStr">
        <is>
          <t>FALSE</t>
        </is>
      </c>
      <c r="F46" s="27" t="n"/>
    </row>
    <row r="47" ht="15" customHeight="1" s="17">
      <c r="A47" s="28" t="n">
        <v>18</v>
      </c>
      <c r="B47" s="27" t="inlineStr">
        <is>
          <t>I think I deserve my self-criticism.</t>
        </is>
      </c>
      <c r="C47" s="27" t="inlineStr">
        <is>
          <t>Inadequate Self</t>
        </is>
      </c>
      <c r="D47" s="27" t="inlineStr">
        <is>
          <t>FALSE</t>
        </is>
      </c>
      <c r="E47" s="27" t="inlineStr">
        <is>
          <t>FALSE</t>
        </is>
      </c>
      <c r="F47" s="27" t="n"/>
    </row>
    <row r="48" ht="15" customHeight="1" s="17">
      <c r="A48" s="28" t="n">
        <v>19</v>
      </c>
      <c r="B48" s="27" t="inlineStr">
        <is>
          <t>I am able to care and look after myself.</t>
        </is>
      </c>
      <c r="C48" s="27" t="inlineStr">
        <is>
          <t>Reassured Self</t>
        </is>
      </c>
      <c r="D48" s="27" t="inlineStr">
        <is>
          <t>FALSE</t>
        </is>
      </c>
      <c r="E48" s="27" t="inlineStr">
        <is>
          <t>FALSE</t>
        </is>
      </c>
      <c r="F48" s="27" t="n"/>
    </row>
    <row r="49" ht="15" customHeight="1" s="17">
      <c r="A49" s="28" t="n">
        <v>20</v>
      </c>
      <c r="B49" s="27" t="inlineStr">
        <is>
          <t>There is a part of me that wants to get rid of the bits I don't like.</t>
        </is>
      </c>
      <c r="C49" s="27" t="inlineStr">
        <is>
          <t>Inadequate Self</t>
        </is>
      </c>
      <c r="D49" s="27" t="inlineStr">
        <is>
          <t>FALSE</t>
        </is>
      </c>
      <c r="E49" s="27" t="inlineStr">
        <is>
          <t>FALSE</t>
        </is>
      </c>
      <c r="F49" s="27" t="n"/>
    </row>
    <row r="50" ht="15" customHeight="1" s="17">
      <c r="A50" s="28" t="n">
        <v>21</v>
      </c>
      <c r="B50" s="27" t="inlineStr">
        <is>
          <t>I encourage myself for the future.</t>
        </is>
      </c>
      <c r="C50" s="27" t="inlineStr">
        <is>
          <t>Reassured Self</t>
        </is>
      </c>
      <c r="D50" s="27" t="inlineStr">
        <is>
          <t>FALSE</t>
        </is>
      </c>
      <c r="E50" s="27" t="inlineStr">
        <is>
          <t>FALSE</t>
        </is>
      </c>
      <c r="F50" s="27" t="n"/>
    </row>
    <row r="51" ht="15" customHeight="1" s="17">
      <c r="A51" s="28" t="n">
        <v>22</v>
      </c>
      <c r="B51" s="27" t="inlineStr">
        <is>
          <t>I do not like being me.</t>
        </is>
      </c>
      <c r="C51" s="27" t="inlineStr">
        <is>
          <t>Hated Self</t>
        </is>
      </c>
      <c r="D51" s="27" t="inlineStr">
        <is>
          <t>FALSE</t>
        </is>
      </c>
      <c r="E51" s="27" t="inlineStr">
        <is>
          <t>FALSE</t>
        </is>
      </c>
      <c r="F51" s="27" t="n"/>
    </row>
  </sheetData>
  <autoFilter ref="A29:F5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F54"/>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Perfectionism Cognitions Inventory</t>
        </is>
      </c>
    </row>
    <row r="3" ht="15" customHeight="1" s="17">
      <c r="A3" s="35" t="inlineStr">
        <is>
          <t>Instrument</t>
        </is>
      </c>
      <c r="B3" s="27" t="inlineStr">
        <is>
          <t>Perfectionism Cognitions Inventory</t>
        </is>
      </c>
    </row>
    <row r="4" ht="15" customHeight="1" s="17">
      <c r="A4" s="35" t="inlineStr">
        <is>
          <t>Code</t>
        </is>
      </c>
      <c r="B4" s="27" t="inlineStr">
        <is>
          <t>PCI</t>
        </is>
      </c>
    </row>
    <row r="5" ht="15" customHeight="1" s="17">
      <c r="A5" s="35" t="inlineStr">
        <is>
          <t>Domain</t>
        </is>
      </c>
      <c r="B5" s="27" t="inlineStr">
        <is>
          <t>5. Repetitive negative thinking and self talk</t>
        </is>
      </c>
    </row>
    <row r="6" ht="15" customHeight="1" s="17">
      <c r="A6" s="35" t="inlineStr">
        <is>
          <t>Availability</t>
        </is>
      </c>
      <c r="B6" s="27" t="inlineStr">
        <is>
          <t>Free / open access</t>
        </is>
      </c>
    </row>
    <row r="7" ht="45" customHeight="1" s="17">
      <c r="A7" s="35" t="inlineStr">
        <is>
          <t>Construct</t>
        </is>
      </c>
      <c r="B7" s="27" t="inlineStr">
        <is>
          <t>Frequency of perfectionism-related automatic thoughts (perfectionistic cognitions) over the preceding week, e.g. thoughts such as "Why can't I be perfect" or "My work should be flawless", as distinct from trait perfectionism itself.</t>
        </is>
      </c>
    </row>
    <row r="8" ht="15" customHeight="1" s="17">
      <c r="A8" s="35" t="inlineStr">
        <is>
          <t>Respondent</t>
        </is>
      </c>
      <c r="B8" s="27" t="inlineStr">
        <is>
          <t>Self-report</t>
        </is>
      </c>
    </row>
    <row r="9" ht="45" customHeight="1" s="17">
      <c r="A9" s="35" t="inlineStr">
        <is>
          <t>Age range</t>
        </is>
      </c>
      <c r="B9" s="27" t="inlineStr">
        <is>
          <t>NovoPsych lists the PCI as suitable from age 15 and up. The original Flett, Hewitt, Blankstein &amp; Gray (1998) development/validation samples were adult (psychiatric patients, adults recovering from alcoholism, and university students).</t>
        </is>
      </c>
    </row>
    <row r="10" ht="15" customHeight="1" s="17">
      <c r="A10" s="35" t="inlineStr">
        <is>
          <t>Items in instrument</t>
        </is>
      </c>
      <c r="B10" s="27" t="inlineStr">
        <is>
          <t>25</t>
        </is>
      </c>
    </row>
    <row r="11" ht="15" customHeight="1" s="17">
      <c r="A11" s="35" t="inlineStr">
        <is>
          <t>Items reproduced here</t>
        </is>
      </c>
      <c r="B11" s="27" t="inlineStr">
        <is>
          <t>25</t>
        </is>
      </c>
    </row>
    <row r="12" ht="15" customHeight="1" s="17">
      <c r="A12" s="35" t="inlineStr">
        <is>
          <t>Administration time</t>
        </is>
      </c>
      <c r="B12" s="27" t="inlineStr">
        <is>
          <t>Approximately 4 minutes (per NovoPsych).</t>
        </is>
      </c>
    </row>
    <row r="13" ht="135" customHeight="1" s="17">
      <c r="A13" s="35" t="inlineStr">
        <is>
          <t>Cost and access</t>
        </is>
      </c>
      <c r="B13" s="27" t="inlineStr">
        <is>
          <t>The 25 items, respondent instructions and simple 0-100 summed scoring are freely reproduced across the psychometric literature and hosted by the original authors' own lab (Hewitt Lab, UBC) with no visible paywall or explicit commercial restriction. NovoPsych also hosts the PCI with automated scoring against community and clinical percentile norms; its sample results report was retrievable and used for the norm/interpretation detail below, but full access to run and score the instrument on the platform requires a NovoPsych professional registration (app.novopsych.com). For manual/paper administration in coaching, the items may be used and hand-scored directly with citation. Licensing note: Free / open access for the items and scoring algorithm (no restriction found in the developer sources); NovoPsych's own norms/percentiles are presented through NovoPsych's professional-access platform.</t>
        </is>
      </c>
    </row>
    <row r="14" ht="135" customHeight="1" s="17">
      <c r="A14" s="35" t="inlineStr">
        <is>
          <t>Coaching application</t>
        </is>
      </c>
      <c r="B14" s="27" t="inlineStr">
        <is>
          <t>The PCI is the clearest "automatic thoughts of perfectionism" instrument among the measures reviewed, making it a natural session-opener for university students and early-career professionals whose main presenting issue is perfectionistic self-talk (e.g. around assignments, exams or performance reviews) rather than general worry or low mood. Because it measures frequency of thoughts over the past week, it can be re-administered across a coaching programme to track whether strategies are reducing how often these thoughts intrude, which is directly useful for session-to-session progress tracking. As with all self-report frequency measures, a high score identifies a thinking pattern to work with in coaching, not a diagnosis, and very high or distressing scores should prompt a broader wellbeing check.</t>
        </is>
      </c>
    </row>
    <row r="15" ht="75" customHeight="1" s="17">
      <c r="A15" s="35" t="inlineStr">
        <is>
          <t>Purpose</t>
        </is>
      </c>
      <c r="B15" s="27" t="inlineStr">
        <is>
          <t>The PCI was developed by Flett, Hewitt, Blankstein and Gray (1998) as a 25-item measure of the frequency of automatic thoughts with perfectionistic themes (e.g. the need to be perfect, self-criticism for falling short of perfection) occurring over the preceding week. It was designed to capture perfectionism at the level of momentary automatic cognition, complementing trait-level perfectionism measures, and has been used to study links between perfectionistic thinking and psychological distress.</t>
        </is>
      </c>
    </row>
    <row r="16" ht="45" customHeight="1" s="17">
      <c r="A16" s="35" t="inlineStr">
        <is>
          <t>Instructions / prompt</t>
        </is>
      </c>
      <c r="B16" s="27" t="inlineStr">
        <is>
          <t>Listed below are a variety of thoughts about perfectionism that sometimes pop into people's heads. Please read each thought and indicate how frequently, if at all, the thoughts occurred to you over the last week.</t>
        </is>
      </c>
    </row>
    <row r="17" ht="15" customHeight="1" s="17">
      <c r="A17" s="35" t="inlineStr">
        <is>
          <t>Response options</t>
        </is>
      </c>
      <c r="B17" s="27" t="inlineStr">
        <is>
          <t>Not At All = 0 | Sometimes = 1 | Moderately Often = 2 | Often = 3 | All of the time = 4</t>
        </is>
      </c>
    </row>
    <row r="18" ht="15" customHeight="1" s="17">
      <c r="A18" s="35" t="inlineStr">
        <is>
          <t>Reverse-scored items</t>
        </is>
      </c>
      <c r="B18" s="27" t="inlineStr">
        <is>
          <t>None</t>
        </is>
      </c>
    </row>
    <row r="19" ht="15" customHeight="1" s="17">
      <c r="A19" s="35" t="inlineStr">
        <is>
          <t>Filler items (not scored)</t>
        </is>
      </c>
      <c r="B19" s="27" t="inlineStr">
        <is>
          <t>None</t>
        </is>
      </c>
    </row>
    <row r="20" ht="45" customHeight="1" s="17">
      <c r="A20" s="35" t="inlineStr">
        <is>
          <t>Total scoring</t>
        </is>
      </c>
      <c r="B20" s="27" t="inlineStr">
        <is>
          <t>Total score is the sum of all 25 items, converted/reported on a 0-100 scale, with higher scores indicating a greater frequency of perfectionistic cognitions (per NovoPsych's automatic scoring report). The instrument is unidimensional; no subscales are used.</t>
        </is>
      </c>
    </row>
    <row r="21" ht="90" customHeight="1" s="17">
      <c r="A21" s="35" t="inlineStr">
        <is>
          <t>Interpretation bands</t>
        </is>
      </c>
      <c r="B21" s="27" t="inlineStr">
        <is>
          <t>Typical: around the 50th percentile of the community reference sample - Frequency of perfectionistic thinking broadly typical of the community normative sample (NovoPsych).
Clinically elevated: 85th percentile and above - Frequency of perfectionistic cognitions notably higher than the community reference sample, described by NovoPsych as clinically elevated (exact score-to-percentile mapping not further specified in the retrieved report excerpt).</t>
        </is>
      </c>
    </row>
    <row r="22" ht="45" customHeight="1" s="17">
      <c r="A22" s="35" t="inlineStr">
        <is>
          <t>Cut-offs</t>
        </is>
      </c>
      <c r="B22" s="27" t="inlineStr">
        <is>
          <t>NovoPsych's sample scoring report references percentile bands (50th percentile as typical, 85th percentile and above as clinically elevated) against a community/clinical reference sample, but did not provide the underlying raw-score-to-percentile table in the content retrieved this session.</t>
        </is>
      </c>
    </row>
    <row r="23" ht="75" customHeight="1" s="17">
      <c r="A23" s="35" t="inlineStr">
        <is>
          <t>Normative data</t>
        </is>
      </c>
      <c r="B23" s="27" t="inlineStr">
        <is>
          <t>NovoPsych's sample report states that community and clinical normative samples are used, with a reference age group of 26-45 years, but exact sample sizes and means/SDs were not retrievable from the content fetched this session. The original Flett et al. (1998) development sample was N = 747 university students, with subsequent validation in N = 258 psychiatric patients (Study 1) and N = 80 adults recovering from alcoholism (Study 2).</t>
        </is>
      </c>
    </row>
    <row r="24" ht="60" customHeight="1" s="17">
      <c r="A24" s="35" t="inlineStr">
        <is>
          <t>Psychometric properties</t>
        </is>
      </c>
      <c r="B24" s="27" t="inlineStr">
        <is>
          <t>Cronbach's alpha = .95 in both the psychiatric patient sample (N = 258, Study 1) and the recovering-alcoholism sample (N = 80, Study 2); mean inter-item correlation = .44. An earlier reported sample (N = 62 psychiatric patients) gave alpha = .95 with 3-month test-retest reliability = .85 (Flett, Hewitt, Blankstein, &amp; Gray, 1998).</t>
        </is>
      </c>
    </row>
    <row r="25" ht="45" customHeight="1" s="17">
      <c r="A25" s="35" t="inlineStr">
        <is>
          <t>Developer citation</t>
        </is>
      </c>
      <c r="B25" s="27" t="inlineStr">
        <is>
          <t>Flett, G. L., Hewitt, P. L., Blankstein, K. R., &amp; Gray, L. (1998). Psychological distress and the frequency of perfectionistic thinking. Journal of Personality and Social Psychology, 75(5), 1363–1381. https://doi.org/10.1037/0022-3514.75.5.1363</t>
        </is>
      </c>
    </row>
    <row r="26" ht="30" customHeight="1" s="17">
      <c r="A26" s="35" t="inlineStr">
        <is>
          <t>Copyright and licensing</t>
        </is>
      </c>
      <c r="B26" s="27" t="inlineStr">
        <is>
          <t>No explicit copyright or commercial-use restriction was found on the fetched sources (Hewitt Lab-hosted document, db.arabpsychology.com scale database, or the NovoPsych sample scoring report).</t>
        </is>
      </c>
    </row>
    <row r="27" ht="15" customHeight="1" s="17">
      <c r="A27" s="35" t="inlineStr">
        <is>
          <t>Source URL</t>
        </is>
      </c>
      <c r="B27" s="27" t="inlineStr">
        <is>
          <t>https://novopsych.com/assessments/formulation/perfectionistic-cognitions-inventory-pci/</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Why can't I be perfect</t>
        </is>
      </c>
      <c r="C30" s="27" t="inlineStr">
        <is>
          <t>Not stated on source</t>
        </is>
      </c>
      <c r="D30" s="27" t="inlineStr">
        <is>
          <t>FALSE</t>
        </is>
      </c>
      <c r="E30" s="27" t="inlineStr">
        <is>
          <t>FALSE</t>
        </is>
      </c>
      <c r="F30" s="27" t="n"/>
    </row>
    <row r="31" ht="15" customHeight="1" s="17">
      <c r="A31" s="28" t="n">
        <v>2</v>
      </c>
      <c r="B31" s="27" t="inlineStr">
        <is>
          <t>I need to do better</t>
        </is>
      </c>
      <c r="C31" s="27" t="inlineStr">
        <is>
          <t>Not stated on source</t>
        </is>
      </c>
      <c r="D31" s="27" t="inlineStr">
        <is>
          <t>FALSE</t>
        </is>
      </c>
      <c r="E31" s="27" t="inlineStr">
        <is>
          <t>FALSE</t>
        </is>
      </c>
      <c r="F31" s="27" t="n"/>
    </row>
    <row r="32" ht="15" customHeight="1" s="17">
      <c r="A32" s="28" t="n">
        <v>3</v>
      </c>
      <c r="B32" s="27" t="inlineStr">
        <is>
          <t>I should be perfect</t>
        </is>
      </c>
      <c r="C32" s="27" t="inlineStr">
        <is>
          <t>Not stated on source</t>
        </is>
      </c>
      <c r="D32" s="27" t="inlineStr">
        <is>
          <t>FALSE</t>
        </is>
      </c>
      <c r="E32" s="27" t="inlineStr">
        <is>
          <t>FALSE</t>
        </is>
      </c>
      <c r="F32" s="27" t="n"/>
    </row>
    <row r="33" ht="15" customHeight="1" s="17">
      <c r="A33" s="28" t="n">
        <v>4</v>
      </c>
      <c r="B33" s="27" t="inlineStr">
        <is>
          <t>I should never make the same mistake twice</t>
        </is>
      </c>
      <c r="C33" s="27" t="inlineStr">
        <is>
          <t>Not stated on source</t>
        </is>
      </c>
      <c r="D33" s="27" t="inlineStr">
        <is>
          <t>FALSE</t>
        </is>
      </c>
      <c r="E33" s="27" t="inlineStr">
        <is>
          <t>FALSE</t>
        </is>
      </c>
      <c r="F33" s="27" t="n"/>
    </row>
    <row r="34" ht="15" customHeight="1" s="17">
      <c r="A34" s="28" t="n">
        <v>5</v>
      </c>
      <c r="B34" s="27" t="inlineStr">
        <is>
          <t>I've got to keep working on my goals</t>
        </is>
      </c>
      <c r="C34" s="27" t="inlineStr">
        <is>
          <t>Not stated on source</t>
        </is>
      </c>
      <c r="D34" s="27" t="inlineStr">
        <is>
          <t>FALSE</t>
        </is>
      </c>
      <c r="E34" s="27" t="inlineStr">
        <is>
          <t>FALSE</t>
        </is>
      </c>
      <c r="F34" s="27" t="n"/>
    </row>
    <row r="35" ht="15" customHeight="1" s="17">
      <c r="A35" s="28" t="n">
        <v>6</v>
      </c>
      <c r="B35" s="27" t="inlineStr">
        <is>
          <t>I have to be the best</t>
        </is>
      </c>
      <c r="C35" s="27" t="inlineStr">
        <is>
          <t>Not stated on source</t>
        </is>
      </c>
      <c r="D35" s="27" t="inlineStr">
        <is>
          <t>FALSE</t>
        </is>
      </c>
      <c r="E35" s="27" t="inlineStr">
        <is>
          <t>FALSE</t>
        </is>
      </c>
      <c r="F35" s="27" t="n"/>
    </row>
    <row r="36" ht="15" customHeight="1" s="17">
      <c r="A36" s="28" t="n">
        <v>7</v>
      </c>
      <c r="B36" s="27" t="inlineStr">
        <is>
          <t>I should be doing more</t>
        </is>
      </c>
      <c r="C36" s="27" t="inlineStr">
        <is>
          <t>Not stated on source</t>
        </is>
      </c>
      <c r="D36" s="27" t="inlineStr">
        <is>
          <t>FALSE</t>
        </is>
      </c>
      <c r="E36" s="27" t="inlineStr">
        <is>
          <t>FALSE</t>
        </is>
      </c>
      <c r="F36" s="27" t="n"/>
    </row>
    <row r="37" ht="15" customHeight="1" s="17">
      <c r="A37" s="28" t="n">
        <v>8</v>
      </c>
      <c r="B37" s="27" t="inlineStr">
        <is>
          <t>I can't stand to make mistakes</t>
        </is>
      </c>
      <c r="C37" s="27" t="inlineStr">
        <is>
          <t>Not stated on source</t>
        </is>
      </c>
      <c r="D37" s="27" t="inlineStr">
        <is>
          <t>FALSE</t>
        </is>
      </c>
      <c r="E37" s="27" t="inlineStr">
        <is>
          <t>FALSE</t>
        </is>
      </c>
      <c r="F37" s="27" t="n"/>
    </row>
    <row r="38" ht="15" customHeight="1" s="17">
      <c r="A38" s="28" t="n">
        <v>9</v>
      </c>
      <c r="B38" s="27" t="inlineStr">
        <is>
          <t>I have to work hard all the time</t>
        </is>
      </c>
      <c r="C38" s="27" t="inlineStr">
        <is>
          <t>Not stated on source</t>
        </is>
      </c>
      <c r="D38" s="27" t="inlineStr">
        <is>
          <t>FALSE</t>
        </is>
      </c>
      <c r="E38" s="27" t="inlineStr">
        <is>
          <t>FALSE</t>
        </is>
      </c>
      <c r="F38" s="27" t="n"/>
    </row>
    <row r="39" ht="15" customHeight="1" s="17">
      <c r="A39" s="28" t="n">
        <v>10</v>
      </c>
      <c r="B39" s="27" t="inlineStr">
        <is>
          <t>No matter how much I do, it's never enough</t>
        </is>
      </c>
      <c r="C39" s="27" t="inlineStr">
        <is>
          <t>Not stated on source</t>
        </is>
      </c>
      <c r="D39" s="27" t="inlineStr">
        <is>
          <t>FALSE</t>
        </is>
      </c>
      <c r="E39" s="27" t="inlineStr">
        <is>
          <t>FALSE</t>
        </is>
      </c>
      <c r="F39" s="27" t="n"/>
    </row>
    <row r="40" ht="15" customHeight="1" s="17">
      <c r="A40" s="28" t="n">
        <v>11</v>
      </c>
      <c r="B40" s="27" t="inlineStr">
        <is>
          <t>People expect me to be perfect</t>
        </is>
      </c>
      <c r="C40" s="27" t="inlineStr">
        <is>
          <t>Not stated on source</t>
        </is>
      </c>
      <c r="D40" s="27" t="inlineStr">
        <is>
          <t>FALSE</t>
        </is>
      </c>
      <c r="E40" s="27" t="inlineStr">
        <is>
          <t>FALSE</t>
        </is>
      </c>
      <c r="F40" s="27" t="n"/>
    </row>
    <row r="41" ht="15" customHeight="1" s="17">
      <c r="A41" s="28" t="n">
        <v>12</v>
      </c>
      <c r="B41" s="27" t="inlineStr">
        <is>
          <t>I must be efficient at all times</t>
        </is>
      </c>
      <c r="C41" s="27" t="inlineStr">
        <is>
          <t>Not stated on source</t>
        </is>
      </c>
      <c r="D41" s="27" t="inlineStr">
        <is>
          <t>FALSE</t>
        </is>
      </c>
      <c r="E41" s="27" t="inlineStr">
        <is>
          <t>FALSE</t>
        </is>
      </c>
      <c r="F41" s="27" t="n"/>
    </row>
    <row r="42" ht="15" customHeight="1" s="17">
      <c r="A42" s="28" t="n">
        <v>13</v>
      </c>
      <c r="B42" s="27" t="inlineStr">
        <is>
          <t>My goals are very high</t>
        </is>
      </c>
      <c r="C42" s="27" t="inlineStr">
        <is>
          <t>Not stated on source</t>
        </is>
      </c>
      <c r="D42" s="27" t="inlineStr">
        <is>
          <t>FALSE</t>
        </is>
      </c>
      <c r="E42" s="27" t="inlineStr">
        <is>
          <t>FALSE</t>
        </is>
      </c>
      <c r="F42" s="27" t="n"/>
    </row>
    <row r="43" ht="15" customHeight="1" s="17">
      <c r="A43" s="28" t="n">
        <v>14</v>
      </c>
      <c r="B43" s="27" t="inlineStr">
        <is>
          <t>I can always do better, even if things are almost perfect</t>
        </is>
      </c>
      <c r="C43" s="27" t="inlineStr">
        <is>
          <t>Not stated on source</t>
        </is>
      </c>
      <c r="D43" s="27" t="inlineStr">
        <is>
          <t>FALSE</t>
        </is>
      </c>
      <c r="E43" s="27" t="inlineStr">
        <is>
          <t>FALSE</t>
        </is>
      </c>
      <c r="F43" s="27" t="n"/>
    </row>
    <row r="44" ht="15" customHeight="1" s="17">
      <c r="A44" s="28" t="n">
        <v>15</v>
      </c>
      <c r="B44" s="27" t="inlineStr">
        <is>
          <t>I expect to be perfect</t>
        </is>
      </c>
      <c r="C44" s="27" t="inlineStr">
        <is>
          <t>Not stated on source</t>
        </is>
      </c>
      <c r="D44" s="27" t="inlineStr">
        <is>
          <t>FALSE</t>
        </is>
      </c>
      <c r="E44" s="27" t="inlineStr">
        <is>
          <t>FALSE</t>
        </is>
      </c>
      <c r="F44" s="27" t="n"/>
    </row>
    <row r="45" ht="15" customHeight="1" s="17">
      <c r="A45" s="28" t="n">
        <v>16</v>
      </c>
      <c r="B45" s="27" t="inlineStr">
        <is>
          <t>Why can't things be perfect?</t>
        </is>
      </c>
      <c r="C45" s="27" t="inlineStr">
        <is>
          <t>Not stated on source</t>
        </is>
      </c>
      <c r="D45" s="27" t="inlineStr">
        <is>
          <t>FALSE</t>
        </is>
      </c>
      <c r="E45" s="27" t="inlineStr">
        <is>
          <t>FALSE</t>
        </is>
      </c>
      <c r="F45" s="27" t="n"/>
    </row>
    <row r="46" ht="15" customHeight="1" s="17">
      <c r="A46" s="28" t="n">
        <v>17</v>
      </c>
      <c r="B46" s="27" t="inlineStr">
        <is>
          <t>My work has to be superior</t>
        </is>
      </c>
      <c r="C46" s="27" t="inlineStr">
        <is>
          <t>Not stated on source</t>
        </is>
      </c>
      <c r="D46" s="27" t="inlineStr">
        <is>
          <t>FALSE</t>
        </is>
      </c>
      <c r="E46" s="27" t="inlineStr">
        <is>
          <t>FALSE</t>
        </is>
      </c>
      <c r="F46" s="27" t="n"/>
    </row>
    <row r="47" ht="15" customHeight="1" s="17">
      <c r="A47" s="28" t="n">
        <v>18</v>
      </c>
      <c r="B47" s="27" t="inlineStr">
        <is>
          <t>It would be great if everything in my life was perfect</t>
        </is>
      </c>
      <c r="C47" s="27" t="inlineStr">
        <is>
          <t>Not stated on source</t>
        </is>
      </c>
      <c r="D47" s="27" t="inlineStr">
        <is>
          <t>FALSE</t>
        </is>
      </c>
      <c r="E47" s="27" t="inlineStr">
        <is>
          <t>FALSE</t>
        </is>
      </c>
      <c r="F47" s="27" t="n"/>
    </row>
    <row r="48" ht="15" customHeight="1" s="17">
      <c r="A48" s="28" t="n">
        <v>19</v>
      </c>
      <c r="B48" s="27" t="inlineStr">
        <is>
          <t>My work should be flawless</t>
        </is>
      </c>
      <c r="C48" s="27" t="inlineStr">
        <is>
          <t>Not stated on source</t>
        </is>
      </c>
      <c r="D48" s="27" t="inlineStr">
        <is>
          <t>FALSE</t>
        </is>
      </c>
      <c r="E48" s="27" t="inlineStr">
        <is>
          <t>FALSE</t>
        </is>
      </c>
      <c r="F48" s="27" t="n"/>
    </row>
    <row r="49" ht="15" customHeight="1" s="17">
      <c r="A49" s="28" t="n">
        <v>20</v>
      </c>
      <c r="B49" s="27" t="inlineStr">
        <is>
          <t>Things are seldom ideal</t>
        </is>
      </c>
      <c r="C49" s="27" t="inlineStr">
        <is>
          <t>Not stated on source</t>
        </is>
      </c>
      <c r="D49" s="27" t="inlineStr">
        <is>
          <t>FALSE</t>
        </is>
      </c>
      <c r="E49" s="27" t="inlineStr">
        <is>
          <t>FALSE</t>
        </is>
      </c>
      <c r="F49" s="27" t="n"/>
    </row>
    <row r="50" ht="15" customHeight="1" s="17">
      <c r="A50" s="28" t="n">
        <v>21</v>
      </c>
      <c r="B50" s="27" t="inlineStr">
        <is>
          <t>How well am I doing?</t>
        </is>
      </c>
      <c r="C50" s="27" t="inlineStr">
        <is>
          <t>Not stated on source</t>
        </is>
      </c>
      <c r="D50" s="27" t="inlineStr">
        <is>
          <t>FALSE</t>
        </is>
      </c>
      <c r="E50" s="27" t="inlineStr">
        <is>
          <t>FALSE</t>
        </is>
      </c>
      <c r="F50" s="27" t="n"/>
    </row>
    <row r="51" ht="15" customHeight="1" s="17">
      <c r="A51" s="28" t="n">
        <v>22</v>
      </c>
      <c r="B51" s="27" t="inlineStr">
        <is>
          <t>I can't do this perfectly</t>
        </is>
      </c>
      <c r="C51" s="27" t="inlineStr">
        <is>
          <t>Not stated on source</t>
        </is>
      </c>
      <c r="D51" s="27" t="inlineStr">
        <is>
          <t>FALSE</t>
        </is>
      </c>
      <c r="E51" s="27" t="inlineStr">
        <is>
          <t>FALSE</t>
        </is>
      </c>
      <c r="F51" s="27" t="n"/>
    </row>
    <row r="52" ht="15" customHeight="1" s="17">
      <c r="A52" s="28" t="n">
        <v>23</v>
      </c>
      <c r="B52" s="27" t="inlineStr">
        <is>
          <t>I certainly have high standards</t>
        </is>
      </c>
      <c r="C52" s="27" t="inlineStr">
        <is>
          <t>Not stated on source</t>
        </is>
      </c>
      <c r="D52" s="27" t="inlineStr">
        <is>
          <t>FALSE</t>
        </is>
      </c>
      <c r="E52" s="27" t="inlineStr">
        <is>
          <t>FALSE</t>
        </is>
      </c>
      <c r="F52" s="27" t="n"/>
    </row>
    <row r="53" ht="15" customHeight="1" s="17">
      <c r="A53" s="28" t="n">
        <v>24</v>
      </c>
      <c r="B53" s="27" t="inlineStr">
        <is>
          <t>Maybe I should lower my goals</t>
        </is>
      </c>
      <c r="C53" s="27" t="inlineStr">
        <is>
          <t>Not stated on source</t>
        </is>
      </c>
      <c r="D53" s="27" t="inlineStr">
        <is>
          <t>FALSE</t>
        </is>
      </c>
      <c r="E53" s="27" t="inlineStr">
        <is>
          <t>FALSE</t>
        </is>
      </c>
      <c r="F53" s="27" t="n"/>
    </row>
    <row r="54" ht="15" customHeight="1" s="17">
      <c r="A54" s="28" t="n">
        <v>25</v>
      </c>
      <c r="B54" s="27" t="inlineStr">
        <is>
          <t>I am too much of a perfectionist</t>
        </is>
      </c>
      <c r="C54" s="27" t="inlineStr">
        <is>
          <t>Not stated on source</t>
        </is>
      </c>
      <c r="D54" s="27" t="inlineStr">
        <is>
          <t>FALSE</t>
        </is>
      </c>
      <c r="E54" s="27" t="inlineStr">
        <is>
          <t>FALSE</t>
        </is>
      </c>
      <c r="F54" s="27" t="n"/>
    </row>
  </sheetData>
  <autoFilter ref="A29:F5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Self-Compassion Scale – Short Form</t>
        </is>
      </c>
    </row>
    <row r="3" ht="15" customHeight="1" s="17">
      <c r="A3" s="35" t="inlineStr">
        <is>
          <t>Instrument</t>
        </is>
      </c>
      <c r="B3" s="27" t="inlineStr">
        <is>
          <t>Self-Compassion Scale – Short Form</t>
        </is>
      </c>
    </row>
    <row r="4" ht="15" customHeight="1" s="17">
      <c r="A4" s="35" t="inlineStr">
        <is>
          <t>Code</t>
        </is>
      </c>
      <c r="B4" s="27" t="inlineStr">
        <is>
          <t>SCS-SF</t>
        </is>
      </c>
    </row>
    <row r="5" ht="15" customHeight="1" s="17">
      <c r="A5" s="35" t="inlineStr">
        <is>
          <t>Domain</t>
        </is>
      </c>
      <c r="B5" s="27" t="inlineStr">
        <is>
          <t>5. Repetitive negative thinking and self talk</t>
        </is>
      </c>
    </row>
    <row r="6" ht="15" customHeight="1" s="17">
      <c r="A6" s="35" t="inlineStr">
        <is>
          <t>Availability</t>
        </is>
      </c>
      <c r="B6" s="27" t="inlineStr">
        <is>
          <t>Free / open access</t>
        </is>
      </c>
    </row>
    <row r="7" ht="45" customHeight="1" s="17">
      <c r="A7" s="35" t="inlineStr">
        <is>
          <t>Construct</t>
        </is>
      </c>
      <c r="B7" s="27" t="inlineStr">
        <is>
          <t>Self-compassion: treating oneself with kindness during difficult times, recognising one's experience as part shared common humanity, and holding painful thoughts/feelings in mindful awareness, versus self-judgment, isolation and over-identification with negative emotion.</t>
        </is>
      </c>
    </row>
    <row r="8" ht="15" customHeight="1" s="17">
      <c r="A8" s="35" t="inlineStr">
        <is>
          <t>Respondent</t>
        </is>
      </c>
      <c r="B8" s="27" t="inlineStr">
        <is>
          <t>Self-report</t>
        </is>
      </c>
    </row>
    <row r="9" ht="30" customHeight="1" s="17">
      <c r="A9" s="35" t="inlineStr">
        <is>
          <t>Age range</t>
        </is>
      </c>
      <c r="B9" s="27" t="inlineStr">
        <is>
          <t>NovoPsych lists 18 years and over. The English validation sample was University of Texas at Austin students; construction samples were Dutch/Belgian adults.</t>
        </is>
      </c>
    </row>
    <row r="10" ht="15" customHeight="1" s="17">
      <c r="A10" s="35" t="inlineStr">
        <is>
          <t>Items in instrument</t>
        </is>
      </c>
      <c r="B10" s="27" t="inlineStr">
        <is>
          <t>12</t>
        </is>
      </c>
    </row>
    <row r="11" ht="15" customHeight="1" s="17">
      <c r="A11" s="35" t="inlineStr">
        <is>
          <t>Items reproduced here</t>
        </is>
      </c>
      <c r="B11" s="27" t="inlineStr">
        <is>
          <t>12</t>
        </is>
      </c>
    </row>
    <row r="12" ht="15" customHeight="1" s="17">
      <c r="A12" s="35" t="inlineStr">
        <is>
          <t>Administration time</t>
        </is>
      </c>
      <c r="B12" s="27" t="inlineStr">
        <is>
          <t>Approximately 2 minutes (per NovoPsych).</t>
        </is>
      </c>
    </row>
    <row r="13" ht="120" customHeight="1" s="17">
      <c r="A13" s="35" t="inlineStr">
        <is>
          <t>Cost and access</t>
        </is>
      </c>
      <c r="B13" s="27" t="inlineStr">
        <is>
          <t>The author's own distribution site (self-compassion.org, Kristin Neff's official scale page) states explicitly: "Please feel free to use the Self-Compassion Scale – Short Form in your research," and does not gate clinical or coaching use; the standard Wiley 2010 journal copyright notice applies to the validation article itself, not to use of the instrument. NovoPsych also hosts the SCS-SF with automated scoring against normative comparison groups, with full scoring/psychometric detail sitting behind NovoPsych's professional-access platform (app.novopsych.com); NovoPsych's blank form and sample scoring report were both retrieved and used below. For manual/paper administration in coaching, the items and mean-based scoring can be used and hand-scored directly with citation.</t>
        </is>
      </c>
    </row>
    <row r="14" ht="120" customHeight="1" s="17">
      <c r="A14" s="35" t="inlineStr">
        <is>
          <t>Coaching application</t>
        </is>
      </c>
      <c r="B14" s="27" t="inlineStr">
        <is>
          <t>The SCS-SF is the natural "what to build" counterpart to a self-criticism measure like the FSCRS: rather than only identifying harsh self-talk, it measures the client's existing capacity for self-kindness, common humanity and mindful acceptance, which coaching can then work to strengthen. It is well suited to university students and early-career professionals navigating academic or performance setbacks, as a light, explicitly open-licensed check-in that pairs naturally with perfectionism- or rumination-focused work. As with all brief self-report scales, low scores flag a coaching target rather than a diagnosis, and very low scores alongside signs of distress should prompt a broader wellbeing conversation.</t>
        </is>
      </c>
    </row>
    <row r="15" ht="75" customHeight="1" s="17">
      <c r="A15" s="35" t="inlineStr">
        <is>
          <t>Purpose</t>
        </is>
      </c>
      <c r="B15" s="27" t="inlineStr">
        <is>
          <t>The SCS-SF was developed by Raes, Pommier, Neff and Van Gucht (2011) as a 12-item short form of Neff's original 26-item Self-Compassion Scale, designed to be a more time-efficient measure for use when the longer scale is impractical, while preserving the same six-facet structure (Self-Kindness, Self-Judgment, Common Humanity, Isolation, Mindfulness, Over-Identification) and strongly correlating with the long-form total score.</t>
        </is>
      </c>
    </row>
    <row r="16" ht="30" customHeight="1" s="17">
      <c r="A16" s="35" t="inlineStr">
        <is>
          <t>Instructions / prompt</t>
        </is>
      </c>
      <c r="B16" s="27" t="inlineStr">
        <is>
          <t>Please read each statement carefully before answering. Indicate how often you behave in the stated manner.</t>
        </is>
      </c>
    </row>
    <row r="17" ht="15" customHeight="1" s="17">
      <c r="A17" s="35" t="inlineStr">
        <is>
          <t>Response options</t>
        </is>
      </c>
      <c r="B17" s="27" t="inlineStr">
        <is>
          <t>Almost never = 1 | 2 = 2 | 3 = 3 | 4 = 4 | Almost always = 5</t>
        </is>
      </c>
    </row>
    <row r="18" ht="15" customHeight="1" s="17">
      <c r="A18" s="35" t="inlineStr">
        <is>
          <t>Reverse-scored items</t>
        </is>
      </c>
      <c r="B18" s="27" t="inlineStr">
        <is>
          <t>1, 4, 8-9, 11-12</t>
        </is>
      </c>
    </row>
    <row r="19" ht="15" customHeight="1" s="17">
      <c r="A19" s="35" t="inlineStr">
        <is>
          <t>Filler items (not scored)</t>
        </is>
      </c>
      <c r="B19" s="27" t="inlineStr">
        <is>
          <t>None</t>
        </is>
      </c>
    </row>
    <row r="20" ht="105" customHeight="1" s="17">
      <c r="A20" s="35" t="inlineStr">
        <is>
          <t>Total scoring</t>
        </is>
      </c>
      <c r="B20" s="27" t="inlineStr">
        <is>
          <t>Reverse score the six negative-subscale items (1, 4, 8, 9, 11, 12) using 1=5, 2=4, 3=3, 4=2, 5=1. Each of the six subscale scores is the mean of its 2 items (range 1-5). The total self-compassion score is the mean of all 12 item scores after reverse-scoring (range 1-5), as stated in the source (self-compassion.org). NovoPsych additionally reports two composite groupings from its own sample scoring report: Self-Care (the 6 positively-worded items: 2, 3, 5, 6, 7, 10) and Self-Disparagement (the 6 negatively-worded items: 1, 4, 8, 9, 11, 12, unreversed), with total self-compassion characterised as high Self-Care combined with low Self-Disparagement.</t>
        </is>
      </c>
    </row>
    <row r="21" ht="45" customHeight="1" s="17">
      <c r="A21" s="35" t="inlineStr">
        <is>
          <t>Interpretation bands</t>
        </is>
      </c>
      <c r="B21" s="27" t="inlineStr">
        <is>
          <t>Average: around the 50th percentile - Level of self-compassion broadly typical of NovoPsych's comparison group (per NovoPsych's sample scoring report, which compares individual scores to a clinical/psychotherapy-client reference group).</t>
        </is>
      </c>
    </row>
    <row r="22" ht="45" customHeight="1" s="17">
      <c r="A22" s="35" t="inlineStr">
        <is>
          <t>Cut-offs</t>
        </is>
      </c>
      <c r="B22" s="27" t="inlineStr">
        <is>
          <t>No formal clinical cutoff scores were found in the developer source (self-compassion.org). NovoPsych's sample scoring report presents results as percentiles against a normative comparison group but did not provide a specific raw-score cutoff table in the content retrieved this session.</t>
        </is>
      </c>
    </row>
    <row r="23" ht="75" customHeight="1" s="17">
      <c r="A23" s="35" t="inlineStr">
        <is>
          <t>Normative data</t>
        </is>
      </c>
      <c r="B23" s="27" t="inlineStr">
        <is>
          <t>NovoPsych's sample scoring report states norms are presented in comparison to a clinical group with no previous suicidal ideation, citing Hayes et al. (2016); exact sample size and means/SDs were not retrievable from the content fetched this session. The original short-form validation (Raes et al., 2011) used Dutch/Belgian construction samples plus an English validation sample of N = 415 University of Texas at Austin students.</t>
        </is>
      </c>
    </row>
    <row r="24" ht="45" customHeight="1" s="17">
      <c r="A24" s="35" t="inlineStr">
        <is>
          <t>Psychometric properties</t>
        </is>
      </c>
      <c r="B24" s="27" t="inlineStr">
        <is>
          <t>Total-score Cronbach's alpha = .86 across the construction samples and the N = 415 English-language student validation sample (Raes, Pommier, Neff, &amp; Van Gucht, 2011). No additional subscale-level reliability coefficients were extractable from the sources fetched this session.</t>
        </is>
      </c>
    </row>
    <row r="25" ht="45" customHeight="1" s="17">
      <c r="A25" s="35" t="inlineStr">
        <is>
          <t>Developer citation</t>
        </is>
      </c>
      <c r="B25" s="27" t="inlineStr">
        <is>
          <t>Raes, F., Pommier, E., Neff, K. D., &amp; Van Gucht, D. (2011). Construction and factorial validation of a short form of the Self-Compassion Scale. Clinical Psychology &amp; Psychotherapy, 18(3), 250–255. https://doi.org/10.1002/cpp.702</t>
        </is>
      </c>
    </row>
    <row r="26" ht="45" customHeight="1" s="17">
      <c r="A26" s="35" t="inlineStr">
        <is>
          <t>Copyright and licensing</t>
        </is>
      </c>
      <c r="B26" s="27" t="inlineStr">
        <is>
          <t>self-compassion.org (Kristin Neff's official scale page) states: "Please feel free to use the Self-Compassion Scale – Short Form in your research." Standard journal copyright (Wiley, 2010) applies to the Raes et al. validation article itself, not to use of the instrument.</t>
        </is>
      </c>
    </row>
    <row r="27" ht="15" customHeight="1" s="17">
      <c r="A27" s="35" t="inlineStr">
        <is>
          <t>Source URL</t>
        </is>
      </c>
      <c r="B27" s="27" t="inlineStr">
        <is>
          <t>https://self-compassion.org/wp-content/uploads/2015/02/ShortSCS.pdf</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When I fail at something important to me I become consumed by feelings of inadequacy.</t>
        </is>
      </c>
      <c r="C30" s="27" t="inlineStr">
        <is>
          <t>Over-Identification</t>
        </is>
      </c>
      <c r="D30" s="34" t="inlineStr">
        <is>
          <t>TRUE</t>
        </is>
      </c>
      <c r="E30" s="27" t="inlineStr">
        <is>
          <t>FALSE</t>
        </is>
      </c>
      <c r="F30" s="27" t="n"/>
    </row>
    <row r="31" ht="15" customHeight="1" s="17">
      <c r="A31" s="28" t="n">
        <v>2</v>
      </c>
      <c r="B31" s="27" t="inlineStr">
        <is>
          <t>I try to be understanding and patient towards those aspects of my personality I don't like.</t>
        </is>
      </c>
      <c r="C31" s="27" t="inlineStr">
        <is>
          <t>Self-Kindness</t>
        </is>
      </c>
      <c r="D31" s="27" t="inlineStr">
        <is>
          <t>FALSE</t>
        </is>
      </c>
      <c r="E31" s="27" t="inlineStr">
        <is>
          <t>FALSE</t>
        </is>
      </c>
      <c r="F31" s="27" t="n"/>
    </row>
    <row r="32" ht="15" customHeight="1" s="17">
      <c r="A32" s="28" t="n">
        <v>3</v>
      </c>
      <c r="B32" s="27" t="inlineStr">
        <is>
          <t>When something painful happens I try to take a balanced view of the situation.</t>
        </is>
      </c>
      <c r="C32" s="27" t="inlineStr">
        <is>
          <t>Mindfulness</t>
        </is>
      </c>
      <c r="D32" s="27" t="inlineStr">
        <is>
          <t>FALSE</t>
        </is>
      </c>
      <c r="E32" s="27" t="inlineStr">
        <is>
          <t>FALSE</t>
        </is>
      </c>
      <c r="F32" s="27" t="n"/>
    </row>
    <row r="33" ht="15" customHeight="1" s="17">
      <c r="A33" s="28" t="n">
        <v>4</v>
      </c>
      <c r="B33" s="27" t="inlineStr">
        <is>
          <t>When I'm feeling down, I tend to feel like most other people are probably happier than I am.</t>
        </is>
      </c>
      <c r="C33" s="27" t="inlineStr">
        <is>
          <t>Isolation</t>
        </is>
      </c>
      <c r="D33" s="34" t="inlineStr">
        <is>
          <t>TRUE</t>
        </is>
      </c>
      <c r="E33" s="27" t="inlineStr">
        <is>
          <t>FALSE</t>
        </is>
      </c>
      <c r="F33" s="27" t="n"/>
    </row>
    <row r="34" ht="15" customHeight="1" s="17">
      <c r="A34" s="28" t="n">
        <v>5</v>
      </c>
      <c r="B34" s="27" t="inlineStr">
        <is>
          <t>I try to see my failings as part of the human condition.</t>
        </is>
      </c>
      <c r="C34" s="27" t="inlineStr">
        <is>
          <t>Common Humanity</t>
        </is>
      </c>
      <c r="D34" s="27" t="inlineStr">
        <is>
          <t>FALSE</t>
        </is>
      </c>
      <c r="E34" s="27" t="inlineStr">
        <is>
          <t>FALSE</t>
        </is>
      </c>
      <c r="F34" s="27" t="n"/>
    </row>
    <row r="35" ht="15" customHeight="1" s="17">
      <c r="A35" s="28" t="n">
        <v>6</v>
      </c>
      <c r="B35" s="27" t="inlineStr">
        <is>
          <t>When I'm going through a very hard time, I give myself the caring and tenderness I need.</t>
        </is>
      </c>
      <c r="C35" s="27" t="inlineStr">
        <is>
          <t>Self-Kindness</t>
        </is>
      </c>
      <c r="D35" s="27" t="inlineStr">
        <is>
          <t>FALSE</t>
        </is>
      </c>
      <c r="E35" s="27" t="inlineStr">
        <is>
          <t>FALSE</t>
        </is>
      </c>
      <c r="F35" s="27" t="n"/>
    </row>
    <row r="36" ht="15" customHeight="1" s="17">
      <c r="A36" s="28" t="n">
        <v>7</v>
      </c>
      <c r="B36" s="27" t="inlineStr">
        <is>
          <t>When something upsets me I try to keep my emotions in balance.</t>
        </is>
      </c>
      <c r="C36" s="27" t="inlineStr">
        <is>
          <t>Mindfulness</t>
        </is>
      </c>
      <c r="D36" s="27" t="inlineStr">
        <is>
          <t>FALSE</t>
        </is>
      </c>
      <c r="E36" s="27" t="inlineStr">
        <is>
          <t>FALSE</t>
        </is>
      </c>
      <c r="F36" s="27" t="n"/>
    </row>
    <row r="37" ht="15" customHeight="1" s="17">
      <c r="A37" s="28" t="n">
        <v>8</v>
      </c>
      <c r="B37" s="27" t="inlineStr">
        <is>
          <t>When I fail at something that's important to me, I tend to feel alone in my failure.</t>
        </is>
      </c>
      <c r="C37" s="27" t="inlineStr">
        <is>
          <t>Isolation</t>
        </is>
      </c>
      <c r="D37" s="34" t="inlineStr">
        <is>
          <t>TRUE</t>
        </is>
      </c>
      <c r="E37" s="27" t="inlineStr">
        <is>
          <t>FALSE</t>
        </is>
      </c>
      <c r="F37" s="27" t="n"/>
    </row>
    <row r="38" ht="15" customHeight="1" s="17">
      <c r="A38" s="28" t="n">
        <v>9</v>
      </c>
      <c r="B38" s="27" t="inlineStr">
        <is>
          <t>When I'm feeling down I tend to obsess and fixate on everything that's wrong.</t>
        </is>
      </c>
      <c r="C38" s="27" t="inlineStr">
        <is>
          <t>Over-Identification</t>
        </is>
      </c>
      <c r="D38" s="34" t="inlineStr">
        <is>
          <t>TRUE</t>
        </is>
      </c>
      <c r="E38" s="27" t="inlineStr">
        <is>
          <t>FALSE</t>
        </is>
      </c>
      <c r="F38" s="27" t="n"/>
    </row>
    <row r="39" ht="23.85" customHeight="1" s="17">
      <c r="A39" s="28" t="n">
        <v>10</v>
      </c>
      <c r="B39" s="27" t="inlineStr">
        <is>
          <t>When I feel inadequate in some way, I try to remind myself that feelings of inadequacy are shared by most people.</t>
        </is>
      </c>
      <c r="C39" s="27" t="inlineStr">
        <is>
          <t>Common Humanity</t>
        </is>
      </c>
      <c r="D39" s="27" t="inlineStr">
        <is>
          <t>FALSE</t>
        </is>
      </c>
      <c r="E39" s="27" t="inlineStr">
        <is>
          <t>FALSE</t>
        </is>
      </c>
      <c r="F39" s="27" t="n"/>
    </row>
    <row r="40" ht="15" customHeight="1" s="17">
      <c r="A40" s="28" t="n">
        <v>11</v>
      </c>
      <c r="B40" s="27" t="inlineStr">
        <is>
          <t>I'm disapproving and judgmental about my own flaws and inadequacies.</t>
        </is>
      </c>
      <c r="C40" s="27" t="inlineStr">
        <is>
          <t>Self-Judgment</t>
        </is>
      </c>
      <c r="D40" s="34" t="inlineStr">
        <is>
          <t>TRUE</t>
        </is>
      </c>
      <c r="E40" s="27" t="inlineStr">
        <is>
          <t>FALSE</t>
        </is>
      </c>
      <c r="F40" s="27" t="n"/>
    </row>
    <row r="41" ht="15" customHeight="1" s="17">
      <c r="A41" s="28" t="n">
        <v>12</v>
      </c>
      <c r="B41" s="27" t="inlineStr">
        <is>
          <t>I'm intolerant and impatient towards those aspects of my personality I don't like.</t>
        </is>
      </c>
      <c r="C41" s="27" t="inlineStr">
        <is>
          <t>Self-Judgment</t>
        </is>
      </c>
      <c r="D41" s="34" t="inlineStr">
        <is>
          <t>TRUE</t>
        </is>
      </c>
      <c r="E41" s="27" t="inlineStr">
        <is>
          <t>FALSE</t>
        </is>
      </c>
      <c r="F41" s="27" t="n"/>
    </row>
  </sheetData>
  <autoFilter ref="A29:F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F53"/>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Basic Psychological Need Satisfaction and Frustration Scale (BPNSFS)</t>
        </is>
      </c>
    </row>
    <row r="3" ht="15" customHeight="1" s="17">
      <c r="A3" s="35" t="inlineStr">
        <is>
          <t>Instrument</t>
        </is>
      </c>
      <c r="B3" s="27" t="inlineStr">
        <is>
          <t>Basic Psychological Need Satisfaction and Frustration Scale (BPNSFS)</t>
        </is>
      </c>
    </row>
    <row r="4" ht="15" customHeight="1" s="17">
      <c r="A4" s="35" t="inlineStr">
        <is>
          <t>Code</t>
        </is>
      </c>
      <c r="B4" s="27" t="inlineStr">
        <is>
          <t>BPNSFS</t>
        </is>
      </c>
    </row>
    <row r="5" ht="15" customHeight="1" s="17">
      <c r="A5" s="35" t="inlineStr">
        <is>
          <t>Domain</t>
        </is>
      </c>
      <c r="B5" s="27" t="inlineStr">
        <is>
          <t>6. Motivation, self determination and goal pursuit</t>
        </is>
      </c>
    </row>
    <row r="6" ht="15" customHeight="1" s="17">
      <c r="A6" s="35" t="inlineStr">
        <is>
          <t>Availability</t>
        </is>
      </c>
      <c r="B6" s="27" t="inlineStr">
        <is>
          <t>Free for research; permission needed for commercial use</t>
        </is>
      </c>
    </row>
    <row r="7" ht="60" customHeight="1" s="17">
      <c r="A7" s="35" t="inlineStr">
        <is>
          <t>Construct</t>
        </is>
      </c>
      <c r="B7" s="27" t="inlineStr">
        <is>
          <t>The satisfaction and the frustration of the three basic psychological needs identified in self-determination theory: autonomy, competence and relatedness. The scale distinguishes need satisfaction (the needs being met) from need frustration (the needs being actively thwarted, not merely unmet), producing six subscale scores rather than three.</t>
        </is>
      </c>
    </row>
    <row r="8" ht="60" customHeight="1" s="17">
      <c r="A8" s="35" t="inlineStr">
        <is>
          <t>Respondent</t>
        </is>
      </c>
      <c r="B8" s="27" t="inlineStr">
        <is>
          <t>General adult respondents (self-report). The Center for Self-Determination Theory also publishes separate BPNSFS versions for children and for adults with intellectual disabilities, and domain-specific adaptations (e.g. school, work, sport, physical education, exercise, relationships, motherhood) in numerous languages; this record documents the general, life-wide, English adult version.</t>
        </is>
      </c>
    </row>
    <row r="9" ht="30" customHeight="1" s="17">
      <c r="A9" s="35" t="inlineStr">
        <is>
          <t>Age range</t>
        </is>
      </c>
      <c r="B9" s="27" t="inlineStr">
        <is>
          <t>Not stated precisely in the source; the general version is written for adults. Separate child and intellectual-disability versions exist but were not transcribed here.</t>
        </is>
      </c>
    </row>
    <row r="10" ht="15" customHeight="1" s="17">
      <c r="A10" s="35" t="inlineStr">
        <is>
          <t>Items in instrument</t>
        </is>
      </c>
      <c r="B10" s="27" t="inlineStr">
        <is>
          <t>24</t>
        </is>
      </c>
    </row>
    <row r="11" ht="15" customHeight="1" s="17">
      <c r="A11" s="35" t="inlineStr">
        <is>
          <t>Items reproduced here</t>
        </is>
      </c>
      <c r="B11" s="27" t="inlineStr">
        <is>
          <t>24</t>
        </is>
      </c>
    </row>
    <row r="12" ht="15" customHeight="1" s="17">
      <c r="A12" s="35" t="inlineStr">
        <is>
          <t>Administration time</t>
        </is>
      </c>
      <c r="B12" s="27" t="inlineStr">
        <is>
          <t>Not stated on source</t>
        </is>
      </c>
    </row>
    <row r="13" ht="120" customHeight="1" s="17">
      <c r="A13" s="35" t="inlineStr">
        <is>
          <t>Cost and access</t>
        </is>
      </c>
      <c r="B13" s="27" t="inlineStr">
        <is>
          <t>The form is downloaded free of charge from the Center for Self-Determination Theory website (selfdeterminationtheory.org), which requires agreeing to terms before download. The Questionnaires page (https://selfdeterminationtheory.org/questionnaires/) states: 'You are welcome to use the instruments for academic (non-commercial) research projects.' and 'However, you may not use any of them for any commercial purposes without written permission to do so from the Center for Self-Determination Theory.' It also states: 'Please note that all questionnaires on this web site, developed for research on self-determination theory, are copyrighted.' No fee is specified for research use; commercial use requires contacting the Center for written permission.</t>
        </is>
      </c>
    </row>
    <row r="14" ht="150" customHeight="1" s="17">
      <c r="A14" s="35" t="inlineStr">
        <is>
          <t>Coaching application</t>
        </is>
      </c>
      <c r="B14" s="27" t="inlineStr">
        <is>
          <t>In coaching university students and early-career professionals, the BPNSFS is useful because it separates need satisfaction from need frustration rather than collapsing autonomy, competence and relatedness onto a single dimension each, so a client can show low satisfaction with no active frustration (an unmet need, e.g. a quiet sense that study choices are not their own) or high frustration (an actively thwarted need, e.g. feeling coerced or excluded), which point to different interventions. This distinction is well suited to conversations about study or career direction, workload and belonging during placements or early jobs. Its limits are that it is a general self-report measure not normed for coaching or clinical decision-making, carries no published cutoffs, and (per Chen et al., 2015) shows lower and more variable reliability for some subscales outside Western samples, so scores should inform discussion rather than stand as a diagnostic result.</t>
        </is>
      </c>
    </row>
    <row r="15" ht="105" customHeight="1" s="17">
      <c r="A15" s="35" t="inlineStr">
        <is>
          <t>Purpose</t>
        </is>
      </c>
      <c r="B15" s="27" t="inlineStr">
        <is>
          <t>The BPNSFS was developed to measure the degree to which people experience their basic psychological needs for autonomy, competence and relatedness as satisfied in their life, and separately, the degree to which those needs are actively frustrated. It was designed to test self-determination theory's proposition that need frustration is not simply the absence of need satisfaction but a distinct experience with its own consequences for ill-being. The general version asks about need satisfaction and frustration in life as a whole, while domain-specific versions ask about the same six constructs within a particular context such as work, school, sport or relationships.</t>
        </is>
      </c>
    </row>
    <row r="16" ht="45" customHeight="1" s="17">
      <c r="A16" s="35" t="inlineStr">
        <is>
          <t>Instructions / prompt</t>
        </is>
      </c>
      <c r="B16" s="27" t="inlineStr">
        <is>
          <t>Below, we ask you about the kind of experiences you actually have in your life. Please read each of the following items carefully. You can choose from 1 to 5 to indicate the degree to which the statement is true for you at this point in your life.</t>
        </is>
      </c>
    </row>
    <row r="17" ht="15" customHeight="1" s="17">
      <c r="A17" s="35" t="inlineStr">
        <is>
          <t>Response options</t>
        </is>
      </c>
      <c r="B17" s="27" t="inlineStr">
        <is>
          <t>Not true at all = 1 | 2 = 2 | 3 = 3 | 4 = 4 | Completely true = 5</t>
        </is>
      </c>
    </row>
    <row r="18" ht="15" customHeight="1" s="17">
      <c r="A18" s="35" t="inlineStr">
        <is>
          <t>Reverse-scored items</t>
        </is>
      </c>
      <c r="B18" s="27" t="inlineStr">
        <is>
          <t>None</t>
        </is>
      </c>
    </row>
    <row r="19" ht="15" customHeight="1" s="17">
      <c r="A19" s="35" t="inlineStr">
        <is>
          <t>Filler items (not scored)</t>
        </is>
      </c>
      <c r="B19" s="27" t="inlineStr">
        <is>
          <t>None</t>
        </is>
      </c>
    </row>
    <row r="20" ht="169.5" customHeight="1" s="17">
      <c r="A20" s="35" t="inlineStr">
        <is>
          <t>Total scoring</t>
        </is>
      </c>
      <c r="B20" s="27" t="inlineStr">
        <is>
          <t>The BPNSFS manual (BPNSFS_Complete_2020.pdf) specifies only which four items belong to each of the six subscales; it does not itself print an explicit averaging or summing instruction. The Center for Self-Determination Theory manual discusses more than one scoring approach used in the literature, including subscale scores kept separate, and composite need-satisfaction and need-frustration scores formed by combining the three relevant subscales; it does not state that combining is prohibited. The standard and most commonly reported approach in the validation literature (Chen et al., 2015) is to score the six four-item subscales separately (mean or sum of their four items) and, where a broader summary is wanted, to form composite satisfaction and composite frustration scores from the three satisfaction and three frustration subscales respectively, keeping satisfaction and frustration as two separate scores rather than collapsing them into one overall index, because Chen et al. (2015) found satisfaction and frustration had 'relatively unique associations' with well-being and ill-being outcomes respectively.</t>
        </is>
      </c>
    </row>
    <row r="21" ht="15" customHeight="1" s="17">
      <c r="A21" s="35" t="inlineStr">
        <is>
          <t>Interpretation bands</t>
        </is>
      </c>
      <c r="B21" s="27" t="inlineStr">
        <is>
          <t>Not stated on source</t>
        </is>
      </c>
    </row>
    <row r="22" ht="15" customHeight="1" s="17">
      <c r="A22" s="35" t="inlineStr">
        <is>
          <t>Cut-offs</t>
        </is>
      </c>
      <c r="B22" s="27" t="inlineStr">
        <is>
          <t>Not stated on source</t>
        </is>
      </c>
    </row>
    <row r="23" ht="15" customHeight="1" s="17">
      <c r="A23" s="35" t="inlineStr">
        <is>
          <t>Normative data</t>
        </is>
      </c>
      <c r="B23" s="27" t="inlineStr">
        <is>
          <t>Not stated on source</t>
        </is>
      </c>
    </row>
    <row r="24" ht="169.5" customHeight="1" s="17">
      <c r="A24" s="35" t="inlineStr">
        <is>
          <t>Psychometric properties</t>
        </is>
      </c>
      <c r="B24" s="27" t="inlineStr">
        <is>
          <t>Chen et al. (2015), Study 2 (N = 525 across four countries), reported Cronbach's alpha internal consistencies for the six subscales as follows (extracted from an open-access full-text copy of the article, since the publisher (Springer) version and the Center for Self-Determination Theory's own hosted copy required login/subscription and could not be opened directly): United States - autonomy satisfaction .81, autonomy frustration .71, relatedness satisfaction .83, relatedness frustration .81, competence satisfaction .88, competence frustration .86; China - autonomy satisfaction .69, autonomy frustration .72, relatedness satisfaction .65, relatedness frustration .73, competence satisfaction .74, competence frustration .76; Peru - autonomy satisfaction .74, autonomy frustration .77, relatedness satisfaction .75, relatedness frustration .64, competence satisfaction .78, competence frustration .67; Belgium - autonomy satisfaction .82, autonomy frustration .77, relatedness satisfaction .83, relatedness frustration .67, competence satisfaction .82, competence frustration .84. The source text also describes the overall set of alphas as ranging 'between 0.64 and 0.89' across the four countries, a fractionally wider range than the highest individual subscale value located (.88, US competence satisfaction), which may reflect a composite need-satisfaction or need-frustration score not itemised in the extracted table. Chen, B., et al. (2015), Motivation and Emotion, 39, 216-236, https://doi.org/10.1007/s11031-014-9450-1.</t>
        </is>
      </c>
    </row>
    <row r="25" ht="60" customHeight="1" s="17">
      <c r="A25" s="35" t="inlineStr">
        <is>
          <t>Developer citation</t>
        </is>
      </c>
      <c r="B25" s="27" t="inlineStr">
        <is>
          <t>Chen, B., Vansteenkiste, M., Beyers, W., Boone, L., Deci, E. L., Van der Kaap-Deeder, J., Duriez, B., Lens, W., Matos, L., Mouratidis, A., Ryan, R. M., Sheldon, K. M., Soenens, B., Van Petegem, S., &amp; Verstuyf, J. (2015). Basic psychological need satisfaction, need frustration, and need strength across four cultures. Motivation and Emotion, 39(2), 216-236. https://doi.org/10.1007/s11031-014-9450-1</t>
        </is>
      </c>
    </row>
    <row r="26" ht="45" customHeight="1" s="17">
      <c r="A26" s="35" t="inlineStr">
        <is>
          <t>Copyright and licensing</t>
        </is>
      </c>
      <c r="B26" s="27" t="inlineStr">
        <is>
          <t>All questionnaires on selfdeterminationtheory.org, including the BPNSFS, are stated to be copyrighted. Free for academic, non-commercial research use. Written permission from the Center for Self-Determination Theory is required for any commercial use.</t>
        </is>
      </c>
    </row>
    <row r="27" ht="15" customHeight="1" s="17">
      <c r="A27" s="35" t="inlineStr">
        <is>
          <t>Source URL</t>
        </is>
      </c>
      <c r="B27" s="27" t="inlineStr">
        <is>
          <t>https://selfdeterminationtheory.org/basic-psychological-need-satisfaction-and-frustration-scale/</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I feel a sense of choice and freedom in the things I undertake.</t>
        </is>
      </c>
      <c r="C30" s="27" t="inlineStr">
        <is>
          <t>Autonomy satisfaction</t>
        </is>
      </c>
      <c r="D30" s="27" t="inlineStr">
        <is>
          <t>FALSE</t>
        </is>
      </c>
      <c r="E30" s="27" t="inlineStr">
        <is>
          <t>FALSE</t>
        </is>
      </c>
      <c r="F30" s="27" t="n"/>
    </row>
    <row r="31" ht="15" customHeight="1" s="17">
      <c r="A31" s="28" t="n">
        <v>2</v>
      </c>
      <c r="B31" s="27" t="inlineStr">
        <is>
          <t>Most of the things I do feel like "I have to".</t>
        </is>
      </c>
      <c r="C31" s="27" t="inlineStr">
        <is>
          <t>Autonomy frustration</t>
        </is>
      </c>
      <c r="D31" s="27" t="inlineStr">
        <is>
          <t>FALSE</t>
        </is>
      </c>
      <c r="E31" s="27" t="inlineStr">
        <is>
          <t>FALSE</t>
        </is>
      </c>
      <c r="F31" s="27" t="n"/>
    </row>
    <row r="32" ht="15" customHeight="1" s="17">
      <c r="A32" s="28" t="n">
        <v>3</v>
      </c>
      <c r="B32" s="27" t="inlineStr">
        <is>
          <t>I feel that the people I care about also care about me.</t>
        </is>
      </c>
      <c r="C32" s="27" t="inlineStr">
        <is>
          <t>Relatedness satisfaction</t>
        </is>
      </c>
      <c r="D32" s="27" t="inlineStr">
        <is>
          <t>FALSE</t>
        </is>
      </c>
      <c r="E32" s="27" t="inlineStr">
        <is>
          <t>FALSE</t>
        </is>
      </c>
      <c r="F32" s="27" t="n"/>
    </row>
    <row r="33" ht="15" customHeight="1" s="17">
      <c r="A33" s="28" t="n">
        <v>4</v>
      </c>
      <c r="B33" s="27" t="inlineStr">
        <is>
          <t>I feel excluded from the group I want to belong to.</t>
        </is>
      </c>
      <c r="C33" s="27" t="inlineStr">
        <is>
          <t>Relatedness frustration</t>
        </is>
      </c>
      <c r="D33" s="27" t="inlineStr">
        <is>
          <t>FALSE</t>
        </is>
      </c>
      <c r="E33" s="27" t="inlineStr">
        <is>
          <t>FALSE</t>
        </is>
      </c>
      <c r="F33" s="27" t="n"/>
    </row>
    <row r="34" ht="15" customHeight="1" s="17">
      <c r="A34" s="28" t="n">
        <v>5</v>
      </c>
      <c r="B34" s="27" t="inlineStr">
        <is>
          <t>I feel confident that I can do things well.</t>
        </is>
      </c>
      <c r="C34" s="27" t="inlineStr">
        <is>
          <t>Competence satisfaction</t>
        </is>
      </c>
      <c r="D34" s="27" t="inlineStr">
        <is>
          <t>FALSE</t>
        </is>
      </c>
      <c r="E34" s="27" t="inlineStr">
        <is>
          <t>FALSE</t>
        </is>
      </c>
      <c r="F34" s="27" t="n"/>
    </row>
    <row r="35" ht="15" customHeight="1" s="17">
      <c r="A35" s="28" t="n">
        <v>6</v>
      </c>
      <c r="B35" s="27" t="inlineStr">
        <is>
          <t>I have serious doubts about whether I can do things well.</t>
        </is>
      </c>
      <c r="C35" s="27" t="inlineStr">
        <is>
          <t>Competence frustration</t>
        </is>
      </c>
      <c r="D35" s="27" t="inlineStr">
        <is>
          <t>FALSE</t>
        </is>
      </c>
      <c r="E35" s="27" t="inlineStr">
        <is>
          <t>FALSE</t>
        </is>
      </c>
      <c r="F35" s="27" t="n"/>
    </row>
    <row r="36" ht="15" customHeight="1" s="17">
      <c r="A36" s="28" t="n">
        <v>7</v>
      </c>
      <c r="B36" s="27" t="inlineStr">
        <is>
          <t>I feel that my decisions reflect what I really want.</t>
        </is>
      </c>
      <c r="C36" s="27" t="inlineStr">
        <is>
          <t>Autonomy satisfaction</t>
        </is>
      </c>
      <c r="D36" s="27" t="inlineStr">
        <is>
          <t>FALSE</t>
        </is>
      </c>
      <c r="E36" s="27" t="inlineStr">
        <is>
          <t>FALSE</t>
        </is>
      </c>
      <c r="F36" s="27" t="n"/>
    </row>
    <row r="37" ht="15" customHeight="1" s="17">
      <c r="A37" s="28" t="n">
        <v>8</v>
      </c>
      <c r="B37" s="27" t="inlineStr">
        <is>
          <t>I feel forced to do many things I wouldn't choose to do.</t>
        </is>
      </c>
      <c r="C37" s="27" t="inlineStr">
        <is>
          <t>Autonomy frustration</t>
        </is>
      </c>
      <c r="D37" s="27" t="inlineStr">
        <is>
          <t>FALSE</t>
        </is>
      </c>
      <c r="E37" s="27" t="inlineStr">
        <is>
          <t>FALSE</t>
        </is>
      </c>
      <c r="F37" s="27" t="n"/>
    </row>
    <row r="38" ht="15" customHeight="1" s="17">
      <c r="A38" s="28" t="n">
        <v>9</v>
      </c>
      <c r="B38" s="27" t="inlineStr">
        <is>
          <t>I feel connected with people who care for me, and for whom I care.</t>
        </is>
      </c>
      <c r="C38" s="27" t="inlineStr">
        <is>
          <t>Relatedness satisfaction</t>
        </is>
      </c>
      <c r="D38" s="27" t="inlineStr">
        <is>
          <t>FALSE</t>
        </is>
      </c>
      <c r="E38" s="27" t="inlineStr">
        <is>
          <t>FALSE</t>
        </is>
      </c>
      <c r="F38" s="27" t="n"/>
    </row>
    <row r="39" ht="15" customHeight="1" s="17">
      <c r="A39" s="28" t="n">
        <v>10</v>
      </c>
      <c r="B39" s="27" t="inlineStr">
        <is>
          <t>I feel that people who are important to me are cold and distant towards me.</t>
        </is>
      </c>
      <c r="C39" s="27" t="inlineStr">
        <is>
          <t>Relatedness frustration</t>
        </is>
      </c>
      <c r="D39" s="27" t="inlineStr">
        <is>
          <t>FALSE</t>
        </is>
      </c>
      <c r="E39" s="27" t="inlineStr">
        <is>
          <t>FALSE</t>
        </is>
      </c>
      <c r="F39" s="27" t="n"/>
    </row>
    <row r="40" ht="15" customHeight="1" s="17">
      <c r="A40" s="28" t="n">
        <v>11</v>
      </c>
      <c r="B40" s="27" t="inlineStr">
        <is>
          <t>I feel capable at what I do.</t>
        </is>
      </c>
      <c r="C40" s="27" t="inlineStr">
        <is>
          <t>Competence satisfaction</t>
        </is>
      </c>
      <c r="D40" s="27" t="inlineStr">
        <is>
          <t>FALSE</t>
        </is>
      </c>
      <c r="E40" s="27" t="inlineStr">
        <is>
          <t>FALSE</t>
        </is>
      </c>
      <c r="F40" s="27" t="n"/>
    </row>
    <row r="41" ht="15" customHeight="1" s="17">
      <c r="A41" s="28" t="n">
        <v>12</v>
      </c>
      <c r="B41" s="27" t="inlineStr">
        <is>
          <t>I feel disappointed with many of my performances.</t>
        </is>
      </c>
      <c r="C41" s="27" t="inlineStr">
        <is>
          <t>Competence frustration</t>
        </is>
      </c>
      <c r="D41" s="27" t="inlineStr">
        <is>
          <t>FALSE</t>
        </is>
      </c>
      <c r="E41" s="27" t="inlineStr">
        <is>
          <t>FALSE</t>
        </is>
      </c>
      <c r="F41" s="27" t="n"/>
    </row>
    <row r="42" ht="15" customHeight="1" s="17">
      <c r="A42" s="28" t="n">
        <v>13</v>
      </c>
      <c r="B42" s="27" t="inlineStr">
        <is>
          <t>I feel my choices express who I really am.</t>
        </is>
      </c>
      <c r="C42" s="27" t="inlineStr">
        <is>
          <t>Autonomy satisfaction</t>
        </is>
      </c>
      <c r="D42" s="27" t="inlineStr">
        <is>
          <t>FALSE</t>
        </is>
      </c>
      <c r="E42" s="27" t="inlineStr">
        <is>
          <t>FALSE</t>
        </is>
      </c>
      <c r="F42" s="27" t="n"/>
    </row>
    <row r="43" ht="15" customHeight="1" s="17">
      <c r="A43" s="28" t="n">
        <v>14</v>
      </c>
      <c r="B43" s="27" t="inlineStr">
        <is>
          <t>I feel pressured to do too many things.</t>
        </is>
      </c>
      <c r="C43" s="27" t="inlineStr">
        <is>
          <t>Autonomy frustration</t>
        </is>
      </c>
      <c r="D43" s="27" t="inlineStr">
        <is>
          <t>FALSE</t>
        </is>
      </c>
      <c r="E43" s="27" t="inlineStr">
        <is>
          <t>FALSE</t>
        </is>
      </c>
      <c r="F43" s="27" t="n"/>
    </row>
    <row r="44" ht="15" customHeight="1" s="17">
      <c r="A44" s="28" t="n">
        <v>15</v>
      </c>
      <c r="B44" s="27" t="inlineStr">
        <is>
          <t>I feel close and connected with other people who are important to me.</t>
        </is>
      </c>
      <c r="C44" s="27" t="inlineStr">
        <is>
          <t>Relatedness satisfaction</t>
        </is>
      </c>
      <c r="D44" s="27" t="inlineStr">
        <is>
          <t>FALSE</t>
        </is>
      </c>
      <c r="E44" s="27" t="inlineStr">
        <is>
          <t>FALSE</t>
        </is>
      </c>
      <c r="F44" s="27" t="n"/>
    </row>
    <row r="45" ht="15" customHeight="1" s="17">
      <c r="A45" s="28" t="n">
        <v>16</v>
      </c>
      <c r="B45" s="27" t="inlineStr">
        <is>
          <t>I have the impression that people I spend time with dislike me.</t>
        </is>
      </c>
      <c r="C45" s="27" t="inlineStr">
        <is>
          <t>Relatedness frustration</t>
        </is>
      </c>
      <c r="D45" s="27" t="inlineStr">
        <is>
          <t>FALSE</t>
        </is>
      </c>
      <c r="E45" s="27" t="inlineStr">
        <is>
          <t>FALSE</t>
        </is>
      </c>
      <c r="F45" s="27" t="n"/>
    </row>
    <row r="46" ht="15" customHeight="1" s="17">
      <c r="A46" s="28" t="n">
        <v>17</v>
      </c>
      <c r="B46" s="27" t="inlineStr">
        <is>
          <t>I feel competent to achieve my goals.</t>
        </is>
      </c>
      <c r="C46" s="27" t="inlineStr">
        <is>
          <t>Competence satisfaction</t>
        </is>
      </c>
      <c r="D46" s="27" t="inlineStr">
        <is>
          <t>FALSE</t>
        </is>
      </c>
      <c r="E46" s="27" t="inlineStr">
        <is>
          <t>FALSE</t>
        </is>
      </c>
      <c r="F46" s="27" t="n"/>
    </row>
    <row r="47" ht="15" customHeight="1" s="17">
      <c r="A47" s="28" t="n">
        <v>18</v>
      </c>
      <c r="B47" s="27" t="inlineStr">
        <is>
          <t>I feel insecure about my abilities.</t>
        </is>
      </c>
      <c r="C47" s="27" t="inlineStr">
        <is>
          <t>Competence frustration</t>
        </is>
      </c>
      <c r="D47" s="27" t="inlineStr">
        <is>
          <t>FALSE</t>
        </is>
      </c>
      <c r="E47" s="27" t="inlineStr">
        <is>
          <t>FALSE</t>
        </is>
      </c>
      <c r="F47" s="27" t="n"/>
    </row>
    <row r="48" ht="15" customHeight="1" s="17">
      <c r="A48" s="28" t="n">
        <v>19</v>
      </c>
      <c r="B48" s="27" t="inlineStr">
        <is>
          <t>I feel I have been doing what really interests me.</t>
        </is>
      </c>
      <c r="C48" s="27" t="inlineStr">
        <is>
          <t>Autonomy satisfaction</t>
        </is>
      </c>
      <c r="D48" s="27" t="inlineStr">
        <is>
          <t>FALSE</t>
        </is>
      </c>
      <c r="E48" s="27" t="inlineStr">
        <is>
          <t>FALSE</t>
        </is>
      </c>
      <c r="F48" s="27" t="n"/>
    </row>
    <row r="49" ht="15" customHeight="1" s="17">
      <c r="A49" s="28" t="n">
        <v>20</v>
      </c>
      <c r="B49" s="27" t="inlineStr">
        <is>
          <t>My daily activities feel like a chain of obligations.</t>
        </is>
      </c>
      <c r="C49" s="27" t="inlineStr">
        <is>
          <t>Autonomy frustration</t>
        </is>
      </c>
      <c r="D49" s="27" t="inlineStr">
        <is>
          <t>FALSE</t>
        </is>
      </c>
      <c r="E49" s="27" t="inlineStr">
        <is>
          <t>FALSE</t>
        </is>
      </c>
      <c r="F49" s="27" t="n"/>
    </row>
    <row r="50" ht="15" customHeight="1" s="17">
      <c r="A50" s="28" t="n">
        <v>21</v>
      </c>
      <c r="B50" s="27" t="inlineStr">
        <is>
          <t>I experience a warm feeling with the people I spend time with.</t>
        </is>
      </c>
      <c r="C50" s="27" t="inlineStr">
        <is>
          <t>Relatedness satisfaction</t>
        </is>
      </c>
      <c r="D50" s="27" t="inlineStr">
        <is>
          <t>FALSE</t>
        </is>
      </c>
      <c r="E50" s="27" t="inlineStr">
        <is>
          <t>FALSE</t>
        </is>
      </c>
      <c r="F50" s="27" t="n"/>
    </row>
    <row r="51" ht="15" customHeight="1" s="17">
      <c r="A51" s="28" t="n">
        <v>22</v>
      </c>
      <c r="B51" s="27" t="inlineStr">
        <is>
          <t>I feel the relationships I have are just superficial.</t>
        </is>
      </c>
      <c r="C51" s="27" t="inlineStr">
        <is>
          <t>Relatedness frustration</t>
        </is>
      </c>
      <c r="D51" s="27" t="inlineStr">
        <is>
          <t>FALSE</t>
        </is>
      </c>
      <c r="E51" s="27" t="inlineStr">
        <is>
          <t>FALSE</t>
        </is>
      </c>
      <c r="F51" s="27" t="n"/>
    </row>
    <row r="52" ht="15" customHeight="1" s="17">
      <c r="A52" s="28" t="n">
        <v>23</v>
      </c>
      <c r="B52" s="27" t="inlineStr">
        <is>
          <t>I feel I can successfully complete difficult tasks.</t>
        </is>
      </c>
      <c r="C52" s="27" t="inlineStr">
        <is>
          <t>Competence satisfaction</t>
        </is>
      </c>
      <c r="D52" s="27" t="inlineStr">
        <is>
          <t>FALSE</t>
        </is>
      </c>
      <c r="E52" s="27" t="inlineStr">
        <is>
          <t>FALSE</t>
        </is>
      </c>
      <c r="F52" s="27" t="n"/>
    </row>
    <row r="53" ht="15" customHeight="1" s="17">
      <c r="A53" s="28" t="n">
        <v>24</v>
      </c>
      <c r="B53" s="27" t="inlineStr">
        <is>
          <t>I feel like a failure because of the mistakes I make.</t>
        </is>
      </c>
      <c r="C53" s="27" t="inlineStr">
        <is>
          <t>Competence frustration</t>
        </is>
      </c>
      <c r="D53" s="27" t="inlineStr">
        <is>
          <t>FALSE</t>
        </is>
      </c>
      <c r="E53" s="27" t="inlineStr">
        <is>
          <t>FALSE</t>
        </is>
      </c>
      <c r="F53" s="27" t="n"/>
    </row>
  </sheetData>
  <autoFilter ref="A29:F5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Pure Procrastination Scale</t>
        </is>
      </c>
    </row>
    <row r="3" ht="15" customHeight="1" s="17">
      <c r="A3" s="35" t="inlineStr">
        <is>
          <t>Instrument</t>
        </is>
      </c>
      <c r="B3" s="27" t="inlineStr">
        <is>
          <t>Pure Procrastination Scale</t>
        </is>
      </c>
    </row>
    <row r="4" ht="15" customHeight="1" s="17">
      <c r="A4" s="35" t="inlineStr">
        <is>
          <t>Code</t>
        </is>
      </c>
      <c r="B4" s="27" t="inlineStr">
        <is>
          <t>PPS</t>
        </is>
      </c>
    </row>
    <row r="5" ht="15" customHeight="1" s="17">
      <c r="A5" s="35" t="inlineStr">
        <is>
          <t>Domain</t>
        </is>
      </c>
      <c r="B5" s="27" t="inlineStr">
        <is>
          <t>6. Motivation, self determination and goal pursuit</t>
        </is>
      </c>
    </row>
    <row r="6" ht="15" customHeight="1" s="17">
      <c r="A6" s="35" t="inlineStr">
        <is>
          <t>Availability</t>
        </is>
      </c>
      <c r="B6" s="27" t="inlineStr">
        <is>
          <t>Free / open access</t>
        </is>
      </c>
    </row>
    <row r="7" ht="60" customHeight="1" s="17">
      <c r="A7" s="35" t="inlineStr">
        <is>
          <t>Construct</t>
        </is>
      </c>
      <c r="B7" s="27" t="inlineStr">
        <is>
          <t>Trait (general) procrastination, i.e. the tendency to voluntarily delay an intended course of action despite expecting to be worse off for the delay. The PPS is a distilled, 12-item unidimensional measure combining items drawn from three earlier procrastination scales (the Decisional Procrastination Scale, the General Procrastination Scale, and the Adult Inventory of Procrastination).</t>
        </is>
      </c>
    </row>
    <row r="8" ht="15" customHeight="1" s="17">
      <c r="A8" s="35" t="inlineStr">
        <is>
          <t>Respondent</t>
        </is>
      </c>
      <c r="B8" s="27" t="inlineStr">
        <is>
          <t>Self-report</t>
        </is>
      </c>
    </row>
    <row r="9" ht="30" customHeight="1" s="17">
      <c r="A9" s="35" t="inlineStr">
        <is>
          <t>Age range</t>
        </is>
      </c>
      <c r="B9" s="27" t="inlineStr">
        <is>
          <t>Adults; validated in a global cross-national adult sample (used with university students and working adults)</t>
        </is>
      </c>
    </row>
    <row r="10" ht="15" customHeight="1" s="17">
      <c r="A10" s="35" t="inlineStr">
        <is>
          <t>Items in instrument</t>
        </is>
      </c>
      <c r="B10" s="27" t="inlineStr">
        <is>
          <t>12</t>
        </is>
      </c>
    </row>
    <row r="11" ht="15" customHeight="1" s="17">
      <c r="A11" s="35" t="inlineStr">
        <is>
          <t>Items reproduced here</t>
        </is>
      </c>
      <c r="B11" s="27" t="inlineStr">
        <is>
          <t>12</t>
        </is>
      </c>
    </row>
    <row r="12" ht="15" customHeight="1" s="17">
      <c r="A12" s="35" t="inlineStr">
        <is>
          <t>Administration time</t>
        </is>
      </c>
      <c r="B12" s="27" t="inlineStr">
        <is>
          <t>2-3 minutes</t>
        </is>
      </c>
    </row>
    <row r="13" ht="120" customHeight="1" s="17">
      <c r="A13" s="35" t="inlineStr">
        <is>
          <t>Cost and access</t>
        </is>
      </c>
      <c r="B13" s="27" t="inlineStr">
        <is>
          <t>No licence fee or permission is required to use the PPS in coaching practice. The scale is reproduced in full in Table 1 of Svartdal and Steel (2017), which is published under a Creative Commons Attribution License (CC BY), explicitly permitting reuse including commercial use with attribution. Separately, on his own measure page (procrastinus.com), the scale's co-developer Piers Steel states: "Feel free to use it for any research purpose or clinical purposes and adjust the scale length or anchors as you see fit," and invites practitioners to email him (steel@ucalgary.ca) for norms and scoring materials. A practitioner can administer it as a simple 1-5 rating form; no test manual, scoring software or purchase is needed.</t>
        </is>
      </c>
    </row>
    <row r="14" ht="120" customHeight="1" s="17">
      <c r="A14" s="35" t="inlineStr">
        <is>
          <t>Coaching application</t>
        </is>
      </c>
      <c r="B14" s="27" t="inlineStr">
        <is>
          <t>The PPS is a strong short screening tool for executive-function coaching with university students and early-career professionals, giving a quick trait-level read on how pervasive delay and avoidance behaviour is before goal-setting or study-skills work begins. It pairs well with the shorter Irrational Procrastination Scale and the Brief Self-Control Scale for a "what's actually driving the delay" conversation. Its main limit is that it is a broad trait measure rather than a task-specific or state measure, so it should be framed as a starting-point reflection tool rather than a diagnostic instrument, and re-administration over a coaching programme should be treated as indicative rather than clinically validated change tracking.</t>
        </is>
      </c>
    </row>
    <row r="15" ht="90" customHeight="1" s="17">
      <c r="A15" s="35" t="inlineStr">
        <is>
          <t>Purpose</t>
        </is>
      </c>
      <c r="B15" s="27" t="inlineStr">
        <is>
          <t>The PPS was developed by Piers Steel to provide a short, psychometrically distilled trait measure of procrastination for research and applied use, drawing together the strongest items from three earlier scales (Decisional Procrastination Scale, General Procrastination Scale, Adult Inventory of Procrastination). Svartdal and Steel (2017) re-examined the PPS alongside four other procrastination scales, including the companion Irrational Procrastination Scale, across a large multi-country adult sample to compare their measurement properties.</t>
        </is>
      </c>
    </row>
    <row r="16" ht="15" customHeight="1" s="17">
      <c r="A16" s="35" t="inlineStr">
        <is>
          <t>Instructions / prompt</t>
        </is>
      </c>
      <c r="B16" s="27" t="inlineStr">
        <is>
          <t>Not stated on source</t>
        </is>
      </c>
    </row>
    <row r="17" ht="15" customHeight="1" s="17">
      <c r="A17" s="35" t="inlineStr">
        <is>
          <t>Response options</t>
        </is>
      </c>
      <c r="B17" s="27" t="inlineStr">
        <is>
          <t>Very seldom or not true of me = 1 | 2 = 2 | 3 = 3 | 4 = 4 | Very often true, or true of me = 5</t>
        </is>
      </c>
    </row>
    <row r="18" ht="15" customHeight="1" s="17">
      <c r="A18" s="35" t="inlineStr">
        <is>
          <t>Reverse-scored items</t>
        </is>
      </c>
      <c r="B18" s="27" t="inlineStr">
        <is>
          <t>None</t>
        </is>
      </c>
    </row>
    <row r="19" ht="15" customHeight="1" s="17">
      <c r="A19" s="35" t="inlineStr">
        <is>
          <t>Filler items (not scored)</t>
        </is>
      </c>
      <c r="B19" s="27" t="inlineStr">
        <is>
          <t>None</t>
        </is>
      </c>
    </row>
    <row r="20" ht="45" customHeight="1" s="17">
      <c r="A20" s="35" t="inlineStr">
        <is>
          <t>Total scoring</t>
        </is>
      </c>
      <c r="B20" s="27" t="inlineStr">
        <is>
          <t>Sum (or mean) of the 12 item ratings. Higher total scores indicate greater trait procrastination. No reverse-scored items are indicated for the PPS in the source table (unlike the companion IPS, which has three reverse-scored items).</t>
        </is>
      </c>
    </row>
    <row r="21" ht="15" customHeight="1" s="17">
      <c r="A21" s="35" t="inlineStr">
        <is>
          <t>Interpretation bands</t>
        </is>
      </c>
      <c r="B21" s="27" t="inlineStr">
        <is>
          <t>Not stated on source</t>
        </is>
      </c>
    </row>
    <row r="22" ht="30" customHeight="1" s="17">
      <c r="A22" s="35" t="inlineStr">
        <is>
          <t>Cut-offs</t>
        </is>
      </c>
      <c r="B22" s="27" t="inlineStr">
        <is>
          <t>No clinical or normative cut-off scores were given in the fetched source. It is used as a continuous research/coaching variable.</t>
        </is>
      </c>
    </row>
    <row r="23" ht="30" customHeight="1" s="17">
      <c r="A23" s="35" t="inlineStr">
        <is>
          <t>Normative data</t>
        </is>
      </c>
      <c r="B23" s="27" t="inlineStr">
        <is>
          <t>No normative table was printed in the fetched excerpt of the source article. Piers Steel's own measure page invites direct contact for norms and scoring materials.</t>
        </is>
      </c>
    </row>
    <row r="24" ht="60" customHeight="1" s="17">
      <c r="A24" s="35" t="inlineStr">
        <is>
          <t>Psychometric properties</t>
        </is>
      </c>
      <c r="B24" s="27" t="inlineStr">
        <is>
          <t>Svartdal and Steel (2017) report Cronbach's alpha = .92 for the 12-item PPS in their multi-country sample, and alpha = .87 for the abbreviated 5-item PPS version (items 4-8) reported separately in the article. The article states psychometric adequacy for the scale across the six European countries sampled, in a comparison of five procrastination scales.</t>
        </is>
      </c>
    </row>
    <row r="25" ht="30" customHeight="1" s="17">
      <c r="A25" s="35" t="inlineStr">
        <is>
          <t>Developer citation</t>
        </is>
      </c>
      <c r="B25" s="27" t="inlineStr">
        <is>
          <t>Svartdal, F., &amp; Steel, P. (2017). Irrational delay revisited: Examining five procrastination scales in a global sample. Frontiers in Psychology, 8, 1927. https://doi.org/10.3389/fpsyg.2017.01927</t>
        </is>
      </c>
    </row>
    <row r="26" ht="75" customHeight="1" s="17">
      <c r="A26" s="35" t="inlineStr">
        <is>
          <t>Copyright and licensing</t>
        </is>
      </c>
      <c r="B26" s="27" t="inlineStr">
        <is>
          <t>The source article (Svartdal &amp; Steel, 2017) is published under the Creative Commons Attribution License (CC BY): "Copyright © 2017 Svartdal and Steel. This is an open-access article distributed under the terms of the Creative Commons Attribution License (CC BY)." Piers Steel's own measure page (procrastinus.com/piers-steel/about-the-measure/) additionally states: "Feel free to use it for any research purpose or clinical purposes and adjust the scale length or anchors as you see fit."</t>
        </is>
      </c>
    </row>
    <row r="27" ht="15" customHeight="1" s="17">
      <c r="A27" s="35" t="inlineStr">
        <is>
          <t>Source URL</t>
        </is>
      </c>
      <c r="B27" s="27" t="inlineStr">
        <is>
          <t>https://www.frontiersin.org/articles/10.3389/fpsyg.2017.01927/full</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I delay making decision until it's too late</t>
        </is>
      </c>
      <c r="C30" s="27" t="inlineStr">
        <is>
          <t>Pure Procrastination (total scale)</t>
        </is>
      </c>
      <c r="D30" s="27" t="inlineStr">
        <is>
          <t>FALSE</t>
        </is>
      </c>
      <c r="E30" s="27" t="inlineStr">
        <is>
          <t>FALSE</t>
        </is>
      </c>
      <c r="F30" s="27" t="inlineStr">
        <is>
          <t>Verbatim from Table 1, Svartdal &amp; Steel (2017); sourced from the Decisional Procrastination Scale (DPS).</t>
        </is>
      </c>
    </row>
    <row r="31" ht="23.85" customHeight="1" s="17">
      <c r="A31" s="28" t="n">
        <v>2</v>
      </c>
      <c r="B31" s="27" t="inlineStr">
        <is>
          <t>Even after I make a decision I delay acting upon it</t>
        </is>
      </c>
      <c r="C31" s="27" t="inlineStr">
        <is>
          <t>Pure Procrastination (total scale)</t>
        </is>
      </c>
      <c r="D31" s="27" t="inlineStr">
        <is>
          <t>FALSE</t>
        </is>
      </c>
      <c r="E31" s="27" t="inlineStr">
        <is>
          <t>FALSE</t>
        </is>
      </c>
      <c r="F31" s="27" t="inlineStr">
        <is>
          <t>Verbatim from Table 1, Svartdal &amp; Steel (2017); sourced from the Decisional Procrastination Scale (DPS).</t>
        </is>
      </c>
    </row>
    <row r="32" ht="23.85" customHeight="1" s="17">
      <c r="A32" s="28" t="n">
        <v>3</v>
      </c>
      <c r="B32" s="27" t="inlineStr">
        <is>
          <t>I waste a lot of time on trivial matters before getting to final decisions</t>
        </is>
      </c>
      <c r="C32" s="27" t="inlineStr">
        <is>
          <t>Pure Procrastination (total scale)</t>
        </is>
      </c>
      <c r="D32" s="27" t="inlineStr">
        <is>
          <t>FALSE</t>
        </is>
      </c>
      <c r="E32" s="27" t="inlineStr">
        <is>
          <t>FALSE</t>
        </is>
      </c>
      <c r="F32" s="27" t="inlineStr">
        <is>
          <t>Verbatim from Table 1, Svartdal &amp; Steel (2017); sourced from the Decisional Procrastination Scale (DPS).</t>
        </is>
      </c>
    </row>
    <row r="33" ht="23.85" customHeight="1" s="17">
      <c r="A33" s="28" t="n">
        <v>4</v>
      </c>
      <c r="B33" s="27" t="inlineStr">
        <is>
          <t>In preparation for some deadlines, I often waste time by doing other things</t>
        </is>
      </c>
      <c r="C33" s="27" t="inlineStr">
        <is>
          <t>Pure Procrastination (total scale)</t>
        </is>
      </c>
      <c r="D33" s="27" t="inlineStr">
        <is>
          <t>FALSE</t>
        </is>
      </c>
      <c r="E33" s="27" t="inlineStr">
        <is>
          <t>FALSE</t>
        </is>
      </c>
      <c r="F33" s="27" t="inlineStr">
        <is>
          <t>Verbatim from Table 1, Svartdal &amp; Steel (2017); sourced from the General Procrastination Scale (GPS).</t>
        </is>
      </c>
    </row>
    <row r="34" ht="23.85" customHeight="1" s="17">
      <c r="A34" s="28" t="n">
        <v>5</v>
      </c>
      <c r="B34" s="27" t="inlineStr">
        <is>
          <t>Even jobs that require little else except sitting down and doing them, I find they seldom get done for days</t>
        </is>
      </c>
      <c r="C34" s="27" t="inlineStr">
        <is>
          <t>Pure Procrastination (total scale)</t>
        </is>
      </c>
      <c r="D34" s="27" t="inlineStr">
        <is>
          <t>FALSE</t>
        </is>
      </c>
      <c r="E34" s="27" t="inlineStr">
        <is>
          <t>FALSE</t>
        </is>
      </c>
      <c r="F34" s="27" t="inlineStr">
        <is>
          <t>Verbatim from Table 1, Svartdal &amp; Steel (2017); sourced from the General Procrastination Scale (GPS).</t>
        </is>
      </c>
    </row>
    <row r="35" ht="23.85" customHeight="1" s="17">
      <c r="A35" s="28" t="n">
        <v>6</v>
      </c>
      <c r="B35" s="27" t="inlineStr">
        <is>
          <t>I often find myself performing tasks that I had intended to do days before</t>
        </is>
      </c>
      <c r="C35" s="27" t="inlineStr">
        <is>
          <t>Pure Procrastination (total scale)</t>
        </is>
      </c>
      <c r="D35" s="27" t="inlineStr">
        <is>
          <t>FALSE</t>
        </is>
      </c>
      <c r="E35" s="27" t="inlineStr">
        <is>
          <t>FALSE</t>
        </is>
      </c>
      <c r="F35" s="27" t="inlineStr">
        <is>
          <t>Verbatim from Table 1, Svartdal &amp; Steel (2017); sourced from the General Procrastination Scale (GPS).</t>
        </is>
      </c>
    </row>
    <row r="36" ht="23.85" customHeight="1" s="17">
      <c r="A36" s="28" t="n">
        <v>7</v>
      </c>
      <c r="B36" s="27" t="inlineStr">
        <is>
          <t>I am continually saying 'I'll do it tomorrow'</t>
        </is>
      </c>
      <c r="C36" s="27" t="inlineStr">
        <is>
          <t>Pure Procrastination (total scale)</t>
        </is>
      </c>
      <c r="D36" s="27" t="inlineStr">
        <is>
          <t>FALSE</t>
        </is>
      </c>
      <c r="E36" s="27" t="inlineStr">
        <is>
          <t>FALSE</t>
        </is>
      </c>
      <c r="F36" s="27" t="inlineStr">
        <is>
          <t>Verbatim from Table 1, Svartdal &amp; Steel (2017); sourced from the General Procrastination Scale (GPS).</t>
        </is>
      </c>
    </row>
    <row r="37" ht="23.85" customHeight="1" s="17">
      <c r="A37" s="28" t="n">
        <v>8</v>
      </c>
      <c r="B37" s="27" t="inlineStr">
        <is>
          <t>I generally delay before starting on work I have to do</t>
        </is>
      </c>
      <c r="C37" s="27" t="inlineStr">
        <is>
          <t>Pure Procrastination (total scale)</t>
        </is>
      </c>
      <c r="D37" s="27" t="inlineStr">
        <is>
          <t>FALSE</t>
        </is>
      </c>
      <c r="E37" s="27" t="inlineStr">
        <is>
          <t>FALSE</t>
        </is>
      </c>
      <c r="F37" s="27" t="inlineStr">
        <is>
          <t>Verbatim from Table 1, Svartdal &amp; Steel (2017); sourced from the General Procrastination Scale (GPS).</t>
        </is>
      </c>
    </row>
    <row r="38" ht="23.85" customHeight="1" s="17">
      <c r="A38" s="28" t="n">
        <v>9</v>
      </c>
      <c r="B38" s="27" t="inlineStr">
        <is>
          <t>I find myself running out of time</t>
        </is>
      </c>
      <c r="C38" s="27" t="inlineStr">
        <is>
          <t>Pure Procrastination (total scale)</t>
        </is>
      </c>
      <c r="D38" s="27" t="inlineStr">
        <is>
          <t>FALSE</t>
        </is>
      </c>
      <c r="E38" s="27" t="inlineStr">
        <is>
          <t>FALSE</t>
        </is>
      </c>
      <c r="F38" s="27" t="inlineStr">
        <is>
          <t>Verbatim from Table 1, Svartdal &amp; Steel (2017); sourced from the Adult Inventory of Procrastination (AIP).</t>
        </is>
      </c>
    </row>
    <row r="39" ht="23.85" customHeight="1" s="17">
      <c r="A39" s="28" t="n">
        <v>10</v>
      </c>
      <c r="B39" s="27" t="inlineStr">
        <is>
          <t>I don't get things done on time</t>
        </is>
      </c>
      <c r="C39" s="27" t="inlineStr">
        <is>
          <t>Pure Procrastination (total scale)</t>
        </is>
      </c>
      <c r="D39" s="27" t="inlineStr">
        <is>
          <t>FALSE</t>
        </is>
      </c>
      <c r="E39" s="27" t="inlineStr">
        <is>
          <t>FALSE</t>
        </is>
      </c>
      <c r="F39" s="27" t="inlineStr">
        <is>
          <t>Verbatim from Table 1, Svartdal &amp; Steel (2017); sourced from the Adult Inventory of Procrastination (AIP).</t>
        </is>
      </c>
    </row>
    <row r="40" ht="23.85" customHeight="1" s="17">
      <c r="A40" s="28" t="n">
        <v>11</v>
      </c>
      <c r="B40" s="27" t="inlineStr">
        <is>
          <t>I am not very good at meeting deadlines</t>
        </is>
      </c>
      <c r="C40" s="27" t="inlineStr">
        <is>
          <t>Pure Procrastination (total scale)</t>
        </is>
      </c>
      <c r="D40" s="27" t="inlineStr">
        <is>
          <t>FALSE</t>
        </is>
      </c>
      <c r="E40" s="27" t="inlineStr">
        <is>
          <t>FALSE</t>
        </is>
      </c>
      <c r="F40" s="27" t="inlineStr">
        <is>
          <t>Verbatim from Table 1, Svartdal &amp; Steel (2017); sourced from the Adult Inventory of Procrastination (AIP).</t>
        </is>
      </c>
    </row>
    <row r="41" ht="23.85" customHeight="1" s="17">
      <c r="A41" s="28" t="n">
        <v>12</v>
      </c>
      <c r="B41" s="27" t="inlineStr">
        <is>
          <t>Putting things off till the last minute has cost me money in the past</t>
        </is>
      </c>
      <c r="C41" s="27" t="inlineStr">
        <is>
          <t>Pure Procrastination (total scale)</t>
        </is>
      </c>
      <c r="D41" s="27" t="inlineStr">
        <is>
          <t>FALSE</t>
        </is>
      </c>
      <c r="E41" s="27" t="inlineStr">
        <is>
          <t>FALSE</t>
        </is>
      </c>
      <c r="F41" s="27" t="inlineStr">
        <is>
          <t>Verbatim from Table 1, Svartdal &amp; Steel (2017); sourced from the Adult Inventory of Procrastination (AIP).</t>
        </is>
      </c>
    </row>
  </sheetData>
  <autoFilter ref="A29:F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F38"/>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Irrational Procrastination Scale</t>
        </is>
      </c>
    </row>
    <row r="3" ht="15" customHeight="1" s="17">
      <c r="A3" s="35" t="inlineStr">
        <is>
          <t>Instrument</t>
        </is>
      </c>
      <c r="B3" s="27" t="inlineStr">
        <is>
          <t>Irrational Procrastination Scale</t>
        </is>
      </c>
    </row>
    <row r="4" ht="15" customHeight="1" s="17">
      <c r="A4" s="35" t="inlineStr">
        <is>
          <t>Code</t>
        </is>
      </c>
      <c r="B4" s="27" t="inlineStr">
        <is>
          <t>IPS</t>
        </is>
      </c>
    </row>
    <row r="5" ht="15" customHeight="1" s="17">
      <c r="A5" s="35" t="inlineStr">
        <is>
          <t>Domain</t>
        </is>
      </c>
      <c r="B5" s="27" t="inlineStr">
        <is>
          <t>6. Motivation, self determination and goal pursuit</t>
        </is>
      </c>
    </row>
    <row r="6" ht="15" customHeight="1" s="17">
      <c r="A6" s="35" t="inlineStr">
        <is>
          <t>Availability</t>
        </is>
      </c>
      <c r="B6" s="27" t="inlineStr">
        <is>
          <t>Free / open access</t>
        </is>
      </c>
    </row>
    <row r="7" ht="45" customHeight="1" s="17">
      <c r="A7" s="35" t="inlineStr">
        <is>
          <t>Construct</t>
        </is>
      </c>
      <c r="B7" s="27" t="inlineStr">
        <is>
          <t>Irrational procrastination, i.e. the tendency to delay in a way that is knowingly counterproductive to one's own well-being or efficiency, distinguishing procrastination proper from merely intentional or strategic delay.</t>
        </is>
      </c>
    </row>
    <row r="8" ht="15" customHeight="1" s="17">
      <c r="A8" s="35" t="inlineStr">
        <is>
          <t>Respondent</t>
        </is>
      </c>
      <c r="B8" s="27" t="inlineStr">
        <is>
          <t>Self-report</t>
        </is>
      </c>
    </row>
    <row r="9" ht="30" customHeight="1" s="17">
      <c r="A9" s="35" t="inlineStr">
        <is>
          <t>Age range</t>
        </is>
      </c>
      <c r="B9" s="27" t="inlineStr">
        <is>
          <t>Adults; validated in a global cross-national adult sample (16,413 adults across multiple languages per Steel's own measure page)</t>
        </is>
      </c>
    </row>
    <row r="10" ht="15" customHeight="1" s="17">
      <c r="A10" s="35" t="inlineStr">
        <is>
          <t>Items in instrument</t>
        </is>
      </c>
      <c r="B10" s="27" t="inlineStr">
        <is>
          <t>9</t>
        </is>
      </c>
    </row>
    <row r="11" ht="15" customHeight="1" s="17">
      <c r="A11" s="35" t="inlineStr">
        <is>
          <t>Items reproduced here</t>
        </is>
      </c>
      <c r="B11" s="27" t="inlineStr">
        <is>
          <t>9</t>
        </is>
      </c>
    </row>
    <row r="12" ht="15" customHeight="1" s="17">
      <c r="A12" s="35" t="inlineStr">
        <is>
          <t>Administration time</t>
        </is>
      </c>
      <c r="B12" s="27" t="inlineStr">
        <is>
          <t>1-2 minutes</t>
        </is>
      </c>
    </row>
    <row r="13" ht="120" customHeight="1" s="17">
      <c r="A13" s="35" t="inlineStr">
        <is>
          <t>Cost and access</t>
        </is>
      </c>
      <c r="B13" s="27" t="inlineStr">
        <is>
          <t>No licence fee or permission is required to use the IPS in coaching practice. The scale is reproduced in full in Table 1 of Svartdal and Steel (2017), which is published under a Creative Commons Attribution License (CC BY), explicitly permitting reuse including commercial use with attribution. Separately, on his own measure page (procrastinus.com), the scale's co-developer Piers Steel states: "Feel free to use it for any research purpose or clinical purposes and adjust the scale length or anchors as you see fit," and invites practitioners to email him (steel@ucalgary.ca) for norms and scoring materials. A practitioner can administer it as a simple 1-5 rating form; no test manual, scoring software or purchase is needed.</t>
        </is>
      </c>
    </row>
    <row r="14" ht="105" customHeight="1" s="17">
      <c r="A14" s="35" t="inlineStr">
        <is>
          <t>Coaching application</t>
        </is>
      </c>
      <c r="B14" s="27" t="inlineStr">
        <is>
          <t>The IPS is a compact, unidimensional measure well suited to opening an executive-function coaching conversation with university students and early-career professionals, quickly surfacing whether a client's delay is experienced as genuinely counterproductive rather than a considered choice. It pairs well with the longer Pure Procrastination Scale and the Brief Self-Control Scale for exploring what is driving the delay. Its main limit is that, like the PPS, it is a broad trait measure rather than task-specific, so it should support reflection and goal-setting rather than serve as a clinical or diagnostic tool.</t>
        </is>
      </c>
    </row>
    <row r="15" ht="60" customHeight="1" s="17">
      <c r="A15" s="35" t="inlineStr">
        <is>
          <t>Purpose</t>
        </is>
      </c>
      <c r="B15" s="27" t="inlineStr">
        <is>
          <t>The IPS was developed by Piers Steel as a short, unidimensional companion measure to the Pure Procrastination Scale, targeting the irrational, self-defeating core of procrastination rather than delay in general. Svartdal and Steel (2017) re-examined the IPS alongside four other procrastination scales across a large multi-country adult sample to compare their measurement properties.</t>
        </is>
      </c>
    </row>
    <row r="16" ht="15" customHeight="1" s="17">
      <c r="A16" s="35" t="inlineStr">
        <is>
          <t>Instructions / prompt</t>
        </is>
      </c>
      <c r="B16" s="27" t="inlineStr">
        <is>
          <t>Not stated on source</t>
        </is>
      </c>
    </row>
    <row r="17" ht="15" customHeight="1" s="17">
      <c r="A17" s="35" t="inlineStr">
        <is>
          <t>Response options</t>
        </is>
      </c>
      <c r="B17" s="27" t="inlineStr">
        <is>
          <t>Very seldom or not true of me = 1 | 2 = 2 | 3 = 3 | 4 = 4 | Very often true, or true of me = 5</t>
        </is>
      </c>
    </row>
    <row r="18" ht="15" customHeight="1" s="17">
      <c r="A18" s="35" t="inlineStr">
        <is>
          <t>Reverse-scored items</t>
        </is>
      </c>
      <c r="B18" s="27" t="inlineStr">
        <is>
          <t>2, 6, 9</t>
        </is>
      </c>
    </row>
    <row r="19" ht="15" customHeight="1" s="17">
      <c r="A19" s="35" t="inlineStr">
        <is>
          <t>Filler items (not scored)</t>
        </is>
      </c>
      <c r="B19" s="27" t="inlineStr">
        <is>
          <t>None</t>
        </is>
      </c>
    </row>
    <row r="20" ht="30" customHeight="1" s="17">
      <c r="A20" s="35" t="inlineStr">
        <is>
          <t>Total scoring</t>
        </is>
      </c>
      <c r="B20" s="27" t="inlineStr">
        <is>
          <t>Reverse-code items 2, 6 and 9, then sum (or mean) all 9 item ratings. Higher total scores indicate greater irrational procrastination.</t>
        </is>
      </c>
    </row>
    <row r="21" ht="15" customHeight="1" s="17">
      <c r="A21" s="35" t="inlineStr">
        <is>
          <t>Interpretation bands</t>
        </is>
      </c>
      <c r="B21" s="27" t="inlineStr">
        <is>
          <t>Not stated on source</t>
        </is>
      </c>
    </row>
    <row r="22" ht="30" customHeight="1" s="17">
      <c r="A22" s="35" t="inlineStr">
        <is>
          <t>Cut-offs</t>
        </is>
      </c>
      <c r="B22" s="27" t="inlineStr">
        <is>
          <t>No clinical or normative cut-off scores were given in the fetched source. It is used as a continuous research/coaching variable.</t>
        </is>
      </c>
    </row>
    <row r="23" ht="45" customHeight="1" s="17">
      <c r="A23" s="35" t="inlineStr">
        <is>
          <t>Normative data</t>
        </is>
      </c>
      <c r="B23" s="27" t="inlineStr">
        <is>
          <t>No normative table was printed in the fetched excerpt of the source article. Piers Steel's own measure page states the IPS has been validated across international samples totalling 16,413 adults and invites direct contact for norms and scoring materials.</t>
        </is>
      </c>
    </row>
    <row r="24" ht="45" customHeight="1" s="17">
      <c r="A24" s="35" t="inlineStr">
        <is>
          <t>Psychometric properties</t>
        </is>
      </c>
      <c r="B24" s="27" t="inlineStr">
        <is>
          <t>Svartdal and Steel (2017) report Cronbach's alpha = .91 for the 9-item IPS in their multi-country sample. The article states psychometric adequacy for the scale across the six European countries sampled, in a comparison of five procrastination scales.</t>
        </is>
      </c>
    </row>
    <row r="25" ht="30" customHeight="1" s="17">
      <c r="A25" s="35" t="inlineStr">
        <is>
          <t>Developer citation</t>
        </is>
      </c>
      <c r="B25" s="27" t="inlineStr">
        <is>
          <t>Svartdal, F., &amp; Steel, P. (2017). Irrational delay revisited: Examining five procrastination scales in a global sample. Frontiers in Psychology, 8, 1927. https://doi.org/10.3389/fpsyg.2017.01927</t>
        </is>
      </c>
    </row>
    <row r="26" ht="75" customHeight="1" s="17">
      <c r="A26" s="35" t="inlineStr">
        <is>
          <t>Copyright and licensing</t>
        </is>
      </c>
      <c r="B26" s="27" t="inlineStr">
        <is>
          <t>The source article (Svartdal &amp; Steel, 2017) is published under the Creative Commons Attribution License (CC BY): "Copyright © 2017 Svartdal and Steel. This is an open-access article distributed under the terms of the Creative Commons Attribution License (CC BY)." Piers Steel's own measure page (procrastinus.com/piers-steel/about-the-measure/) additionally states: "Feel free to use it for any research purpose or clinical purposes and adjust the scale length or anchors as you see fit."</t>
        </is>
      </c>
    </row>
    <row r="27" ht="15" customHeight="1" s="17">
      <c r="A27" s="35" t="inlineStr">
        <is>
          <t>Source URL</t>
        </is>
      </c>
      <c r="B27" s="27" t="inlineStr">
        <is>
          <t>https://www.frontiersin.org/articles/10.3389/fpsyg.2017.01927/full</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I put things off so long that my well-being or efficiency unnecessarily suffers</t>
        </is>
      </c>
      <c r="C30" s="27" t="inlineStr">
        <is>
          <t>Irrational Procrastination (total scale)</t>
        </is>
      </c>
      <c r="D30" s="27" t="inlineStr">
        <is>
          <t>FALSE</t>
        </is>
      </c>
      <c r="E30" s="27" t="inlineStr">
        <is>
          <t>FALSE</t>
        </is>
      </c>
      <c r="F30" s="27" t="inlineStr">
        <is>
          <t>Verbatim from Table 1, Svartdal &amp; Steel (2017).</t>
        </is>
      </c>
    </row>
    <row r="31" ht="23.85" customHeight="1" s="17">
      <c r="A31" s="28" t="n">
        <v>2</v>
      </c>
      <c r="B31" s="27" t="inlineStr">
        <is>
          <t>If there is something I should do, I get to it before attending to lesser tasks</t>
        </is>
      </c>
      <c r="C31" s="27" t="inlineStr">
        <is>
          <t>Irrational Procrastination (total scale)</t>
        </is>
      </c>
      <c r="D31" s="34" t="inlineStr">
        <is>
          <t>TRUE</t>
        </is>
      </c>
      <c r="E31" s="27" t="inlineStr">
        <is>
          <t>FALSE</t>
        </is>
      </c>
      <c r="F31" s="27" t="inlineStr">
        <is>
          <t>Verbatim from Table 1, Svartdal &amp; Steel (2017); marked '(R)' (reverse-scored) in the source table.</t>
        </is>
      </c>
    </row>
    <row r="32" ht="15" customHeight="1" s="17">
      <c r="A32" s="28" t="n">
        <v>3</v>
      </c>
      <c r="B32" s="27" t="inlineStr">
        <is>
          <t>My life would be better if I did some activities or tasks earlier</t>
        </is>
      </c>
      <c r="C32" s="27" t="inlineStr">
        <is>
          <t>Irrational Procrastination (total scale)</t>
        </is>
      </c>
      <c r="D32" s="27" t="inlineStr">
        <is>
          <t>FALSE</t>
        </is>
      </c>
      <c r="E32" s="27" t="inlineStr">
        <is>
          <t>FALSE</t>
        </is>
      </c>
      <c r="F32" s="27" t="inlineStr">
        <is>
          <t>Verbatim from Table 1, Svartdal &amp; Steel (2017).</t>
        </is>
      </c>
    </row>
    <row r="33" ht="15" customHeight="1" s="17">
      <c r="A33" s="28" t="n">
        <v>4</v>
      </c>
      <c r="B33" s="27" t="inlineStr">
        <is>
          <t>When I should be doing one thing, I will do another</t>
        </is>
      </c>
      <c r="C33" s="27" t="inlineStr">
        <is>
          <t>Irrational Procrastination (total scale)</t>
        </is>
      </c>
      <c r="D33" s="27" t="inlineStr">
        <is>
          <t>FALSE</t>
        </is>
      </c>
      <c r="E33" s="27" t="inlineStr">
        <is>
          <t>FALSE</t>
        </is>
      </c>
      <c r="F33" s="27" t="inlineStr">
        <is>
          <t>Verbatim from Table 1, Svartdal &amp; Steel (2017).</t>
        </is>
      </c>
    </row>
    <row r="34" ht="15" customHeight="1" s="17">
      <c r="A34" s="28" t="n">
        <v>5</v>
      </c>
      <c r="B34" s="27" t="inlineStr">
        <is>
          <t>At the end of the day, I know I could have spent the time better</t>
        </is>
      </c>
      <c r="C34" s="27" t="inlineStr">
        <is>
          <t>Irrational Procrastination (total scale)</t>
        </is>
      </c>
      <c r="D34" s="27" t="inlineStr">
        <is>
          <t>FALSE</t>
        </is>
      </c>
      <c r="E34" s="27" t="inlineStr">
        <is>
          <t>FALSE</t>
        </is>
      </c>
      <c r="F34" s="27" t="inlineStr">
        <is>
          <t>Verbatim from Table 1, Svartdal &amp; Steel (2017).</t>
        </is>
      </c>
    </row>
    <row r="35" ht="23.85" customHeight="1" s="17">
      <c r="A35" s="28" t="n">
        <v>6</v>
      </c>
      <c r="B35" s="27" t="inlineStr">
        <is>
          <t>I spend my time wisely</t>
        </is>
      </c>
      <c r="C35" s="27" t="inlineStr">
        <is>
          <t>Irrational Procrastination (total scale)</t>
        </is>
      </c>
      <c r="D35" s="34" t="inlineStr">
        <is>
          <t>TRUE</t>
        </is>
      </c>
      <c r="E35" s="27" t="inlineStr">
        <is>
          <t>FALSE</t>
        </is>
      </c>
      <c r="F35" s="27" t="inlineStr">
        <is>
          <t>Verbatim from Table 1, Svartdal &amp; Steel (2017); marked '(R)' (reverse-scored) in the source table.</t>
        </is>
      </c>
    </row>
    <row r="36" ht="15" customHeight="1" s="17">
      <c r="A36" s="28" t="n">
        <v>7</v>
      </c>
      <c r="B36" s="27" t="inlineStr">
        <is>
          <t>I delay tasks beyond what is reasonable</t>
        </is>
      </c>
      <c r="C36" s="27" t="inlineStr">
        <is>
          <t>Irrational Procrastination (total scale)</t>
        </is>
      </c>
      <c r="D36" s="27" t="inlineStr">
        <is>
          <t>FALSE</t>
        </is>
      </c>
      <c r="E36" s="27" t="inlineStr">
        <is>
          <t>FALSE</t>
        </is>
      </c>
      <c r="F36" s="27" t="inlineStr">
        <is>
          <t>Verbatim from Table 1, Svartdal &amp; Steel (2017).</t>
        </is>
      </c>
    </row>
    <row r="37" ht="15" customHeight="1" s="17">
      <c r="A37" s="28" t="n">
        <v>8</v>
      </c>
      <c r="B37" s="27" t="inlineStr">
        <is>
          <t>I procrastinate</t>
        </is>
      </c>
      <c r="C37" s="27" t="inlineStr">
        <is>
          <t>Irrational Procrastination (total scale)</t>
        </is>
      </c>
      <c r="D37" s="27" t="inlineStr">
        <is>
          <t>FALSE</t>
        </is>
      </c>
      <c r="E37" s="27" t="inlineStr">
        <is>
          <t>FALSE</t>
        </is>
      </c>
      <c r="F37" s="27" t="inlineStr">
        <is>
          <t>Verbatim from Table 1, Svartdal &amp; Steel (2017).</t>
        </is>
      </c>
    </row>
    <row r="38" ht="23.85" customHeight="1" s="17">
      <c r="A38" s="28" t="n">
        <v>9</v>
      </c>
      <c r="B38" s="27" t="inlineStr">
        <is>
          <t>I do everything when I believe it needs to be done</t>
        </is>
      </c>
      <c r="C38" s="27" t="inlineStr">
        <is>
          <t>Irrational Procrastination (total scale)</t>
        </is>
      </c>
      <c r="D38" s="34" t="inlineStr">
        <is>
          <t>TRUE</t>
        </is>
      </c>
      <c r="E38" s="27" t="inlineStr">
        <is>
          <t>FALSE</t>
        </is>
      </c>
      <c r="F38" s="27" t="inlineStr">
        <is>
          <t>Verbatim from Table 1, Svartdal &amp; Steel (2017); marked '(R)' (reverse-scored) in the source table.</t>
        </is>
      </c>
    </row>
  </sheetData>
  <autoFilter ref="A29:F3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F39"/>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General Self-Efficacy Scale</t>
        </is>
      </c>
    </row>
    <row r="3" ht="15" customHeight="1" s="17">
      <c r="A3" s="35" t="inlineStr">
        <is>
          <t>Instrument</t>
        </is>
      </c>
      <c r="B3" s="27" t="inlineStr">
        <is>
          <t>General Self-Efficacy Scale</t>
        </is>
      </c>
    </row>
    <row r="4" ht="15" customHeight="1" s="17">
      <c r="A4" s="35" t="inlineStr">
        <is>
          <t>Code</t>
        </is>
      </c>
      <c r="B4" s="27" t="inlineStr">
        <is>
          <t>GSE</t>
        </is>
      </c>
    </row>
    <row r="5" ht="15" customHeight="1" s="17">
      <c r="A5" s="35" t="inlineStr">
        <is>
          <t>Domain</t>
        </is>
      </c>
      <c r="B5" s="27" t="inlineStr">
        <is>
          <t>6. Motivation, self determination and goal pursuit</t>
        </is>
      </c>
    </row>
    <row r="6" ht="15" customHeight="1" s="17">
      <c r="A6" s="35" t="inlineStr">
        <is>
          <t>Availability</t>
        </is>
      </c>
      <c r="B6" s="27" t="inlineStr">
        <is>
          <t>Free / open access</t>
        </is>
      </c>
    </row>
    <row r="7" ht="45" customHeight="1" s="17">
      <c r="A7" s="35" t="inlineStr">
        <is>
          <t>Construct</t>
        </is>
      </c>
      <c r="B7" s="27" t="inlineStr">
        <is>
          <t>Generalized self-efficacy, i.e. a broad and stable sense of personal competence to deal effectively with a variety of stressful or difficult situations, treated as a unidimensional trait rather than task-specific self-efficacy.</t>
        </is>
      </c>
    </row>
    <row r="8" ht="15" customHeight="1" s="17">
      <c r="A8" s="35" t="inlineStr">
        <is>
          <t>Respondent</t>
        </is>
      </c>
      <c r="B8" s="27" t="inlineStr">
        <is>
          <t>Self-report</t>
        </is>
      </c>
    </row>
    <row r="9" ht="15" customHeight="1" s="17">
      <c r="A9" s="35" t="inlineStr">
        <is>
          <t>Age range</t>
        </is>
      </c>
      <c r="B9" s="27" t="inlineStr">
        <is>
          <t>Adolescents through adults; validated across 23 nations in general population and student samples</t>
        </is>
      </c>
    </row>
    <row r="10" ht="15" customHeight="1" s="17">
      <c r="A10" s="35" t="inlineStr">
        <is>
          <t>Items in instrument</t>
        </is>
      </c>
      <c r="B10" s="27" t="inlineStr">
        <is>
          <t>10</t>
        </is>
      </c>
    </row>
    <row r="11" ht="15" customHeight="1" s="17">
      <c r="A11" s="35" t="inlineStr">
        <is>
          <t>Items reproduced here</t>
        </is>
      </c>
      <c r="B11" s="27" t="inlineStr">
        <is>
          <t>10</t>
        </is>
      </c>
    </row>
    <row r="12" ht="15" customHeight="1" s="17">
      <c r="A12" s="35" t="inlineStr">
        <is>
          <t>Administration time</t>
        </is>
      </c>
      <c r="B12" s="27" t="inlineStr">
        <is>
          <t>4 minutes average (per the official FU Berlin documentation)</t>
        </is>
      </c>
    </row>
    <row r="13" ht="105" customHeight="1" s="17">
      <c r="A13" s="35" t="inlineStr">
        <is>
          <t>Cost and access</t>
        </is>
      </c>
      <c r="B13" s="27" t="inlineStr">
        <is>
          <t>No licence fee or permission is required to use the GSE in coaching practice. The official documentation (faq_gse.pdf, hosted on the developers' own Freie Universität Berlin page) states explicitly: "You do not need our explicit permission to utilize the scale in your research studies. We hereby grant you permission to use and reproduce the General Self-Efficacy Scale for your study, given that appropriate recognition of the source of the scale is made." No commercial-use exclusion is stated anywhere on the official site. Items and instructions are freely viewable on the official page; no purchase, manual or scoring software is required.</t>
        </is>
      </c>
    </row>
    <row r="14" ht="105" customHeight="1" s="17">
      <c r="A14" s="35" t="inlineStr">
        <is>
          <t>Coaching application</t>
        </is>
      </c>
      <c r="B14" s="27" t="inlineStr">
        <is>
          <t>The GSE is a strong short default confidence measure for university students and early-career professionals in executive-function, study-skills and career coaching, giving a quick read on a client's general belief in their capacity to handle difficult or unfamiliar academic and career tasks, which is directly actionable in goal-setting and in framing setbacks. Its limits are that it measures a broad, stable trait rather than confidence in a specific task or domain (such as a particular assignment or job search step), so a low score should prompt further, more specific exploration rather than be treated as a complete picture of a client's confidence.</t>
        </is>
      </c>
    </row>
    <row r="15" ht="45" customHeight="1" s="17">
      <c r="A15" s="35" t="inlineStr">
        <is>
          <t>Purpose</t>
        </is>
      </c>
      <c r="B15" s="27" t="inlineStr">
        <is>
          <t>The GSE was developed by Schwarzer and Jerusalem to provide a short, psychometrically robust measure of a person's general sense of perceived self-efficacy, intended to predict how well people cope with daily hassles and adapt after experiencing stressful life events, across cultures and languages.</t>
        </is>
      </c>
    </row>
    <row r="16" ht="15" customHeight="1" s="17">
      <c r="A16" s="35" t="inlineStr">
        <is>
          <t>Instructions / prompt</t>
        </is>
      </c>
      <c r="B16" s="27" t="inlineStr">
        <is>
          <t>Not stated on source</t>
        </is>
      </c>
    </row>
    <row r="17" ht="15" customHeight="1" s="17">
      <c r="A17" s="35" t="inlineStr">
        <is>
          <t>Response options</t>
        </is>
      </c>
      <c r="B17" s="27" t="inlineStr">
        <is>
          <t>Not at all true = 1 | Hardly true = 2 | Moderately true = 3 | Exactly true = 4</t>
        </is>
      </c>
    </row>
    <row r="18" ht="15" customHeight="1" s="17">
      <c r="A18" s="35" t="inlineStr">
        <is>
          <t>Reverse-scored items</t>
        </is>
      </c>
      <c r="B18" s="27" t="inlineStr">
        <is>
          <t>None</t>
        </is>
      </c>
    </row>
    <row r="19" ht="15" customHeight="1" s="17">
      <c r="A19" s="35" t="inlineStr">
        <is>
          <t>Filler items (not scored)</t>
        </is>
      </c>
      <c r="B19" s="27" t="inlineStr">
        <is>
          <t>None</t>
        </is>
      </c>
    </row>
    <row r="20" ht="30" customHeight="1" s="17">
      <c r="A20" s="35" t="inlineStr">
        <is>
          <t>Total scoring</t>
        </is>
      </c>
      <c r="B20" s="27" t="inlineStr">
        <is>
          <t>Sum of the 10 item ratings, giving a total score ranging from 10 to 40. Higher scores indicate greater generalized self-efficacy. No items are reverse-scored.</t>
        </is>
      </c>
    </row>
    <row r="21" ht="15" customHeight="1" s="17">
      <c r="A21" s="35" t="inlineStr">
        <is>
          <t>Interpretation bands</t>
        </is>
      </c>
      <c r="B21" s="27" t="inlineStr">
        <is>
          <t>Not stated on source</t>
        </is>
      </c>
    </row>
    <row r="22" ht="15" customHeight="1" s="17">
      <c r="A22" s="35" t="inlineStr">
        <is>
          <t>Cut-offs</t>
        </is>
      </c>
      <c r="B22" s="27" t="inlineStr">
        <is>
          <t>No clinical cut-off scores are given on the official page; it is used as a continuous variable.</t>
        </is>
      </c>
    </row>
    <row r="23" ht="45" customHeight="1" s="17">
      <c r="A23" s="35" t="inlineStr">
        <is>
          <t>Normative data</t>
        </is>
      </c>
      <c r="B23" s="27" t="inlineStr">
        <is>
          <t>The official page states the scale has been validated in samples from 23 nations. No specific mean/SD norm tables were printed in the fetched page text, though the page indicates such information is discussed in the accompanying FAQ documentation.</t>
        </is>
      </c>
    </row>
    <row r="24" ht="30" customHeight="1" s="17">
      <c r="A24" s="35" t="inlineStr">
        <is>
          <t>Psychometric properties</t>
        </is>
      </c>
      <c r="B24" s="27" t="inlineStr">
        <is>
          <t>Cronbach's alpha coefficients ranged from .76 to .90 across the 23-nation samples, with the majority in the high .80s, per the official FU Berlin documentation.</t>
        </is>
      </c>
    </row>
    <row r="25" ht="45" customHeight="1" s="17">
      <c r="A25" s="35" t="inlineStr">
        <is>
          <t>Developer citation</t>
        </is>
      </c>
      <c r="B25" s="27" t="inlineStr">
        <is>
          <t>Schwarzer, R., &amp; Jerusalem, M. (1995). Generalized Self-Efficacy scale. In J. Weinman, S. Wright, &amp; M. Johnston, Measures in health psychology: A user's portfolio. Causal and control beliefs (pp. 35-37). NFER-NELSON.</t>
        </is>
      </c>
    </row>
    <row r="26" ht="75" customHeight="1" s="17">
      <c r="A26" s="35" t="inlineStr">
        <is>
          <t>Copyright and licensing</t>
        </is>
      </c>
      <c r="B26" s="27" t="inlineStr">
        <is>
          <t>The official FAQ documentation (faq_gse.pdf) states: "You do not need our explicit permission to utilize the scale in your research studies. We hereby grant you permission to use and reproduce the General Self-Efficacy Scale for your study, given that appropriate recognition of the source of the scale is made." No copyright or permission statement restricting commercial use appears on the item-hosting page itself.</t>
        </is>
      </c>
    </row>
    <row r="27" ht="15" customHeight="1" s="17">
      <c r="A27" s="35" t="inlineStr">
        <is>
          <t>Source URL</t>
        </is>
      </c>
      <c r="B27" s="27" t="inlineStr">
        <is>
          <t>https://userpage.fu-berlin.de/~health/engscal.htm</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I can always manage to solve difficult problems if I try hard enough.</t>
        </is>
      </c>
      <c r="C30" s="27" t="inlineStr">
        <is>
          <t>General Self-Efficacy (total scale)</t>
        </is>
      </c>
      <c r="D30" s="27" t="inlineStr">
        <is>
          <t>FALSE</t>
        </is>
      </c>
      <c r="E30" s="27" t="inlineStr">
        <is>
          <t>FALSE</t>
        </is>
      </c>
      <c r="F30" s="27" t="inlineStr">
        <is>
          <t>Verbatim from the official FU Berlin page, https://userpage.fu-berlin.de/~health/engscal.htm.</t>
        </is>
      </c>
    </row>
    <row r="31" ht="15" customHeight="1" s="17">
      <c r="A31" s="28" t="n">
        <v>2</v>
      </c>
      <c r="B31" s="27" t="inlineStr">
        <is>
          <t>If someone opposes me, I can find the means and ways to get what I want.</t>
        </is>
      </c>
      <c r="C31" s="27" t="inlineStr">
        <is>
          <t>General Self-Efficacy (total scale)</t>
        </is>
      </c>
      <c r="D31" s="27" t="inlineStr">
        <is>
          <t>FALSE</t>
        </is>
      </c>
      <c r="E31" s="27" t="inlineStr">
        <is>
          <t>FALSE</t>
        </is>
      </c>
      <c r="F31" s="27" t="inlineStr">
        <is>
          <t>Verbatim from the official FU Berlin page.</t>
        </is>
      </c>
    </row>
    <row r="32" ht="15" customHeight="1" s="17">
      <c r="A32" s="28" t="n">
        <v>3</v>
      </c>
      <c r="B32" s="27" t="inlineStr">
        <is>
          <t>It is easy for me to stick to my aims and accomplish my goals.</t>
        </is>
      </c>
      <c r="C32" s="27" t="inlineStr">
        <is>
          <t>General Self-Efficacy (total scale)</t>
        </is>
      </c>
      <c r="D32" s="27" t="inlineStr">
        <is>
          <t>FALSE</t>
        </is>
      </c>
      <c r="E32" s="27" t="inlineStr">
        <is>
          <t>FALSE</t>
        </is>
      </c>
      <c r="F32" s="27" t="inlineStr">
        <is>
          <t>Verbatim from the official FU Berlin page.</t>
        </is>
      </c>
    </row>
    <row r="33" ht="15" customHeight="1" s="17">
      <c r="A33" s="28" t="n">
        <v>4</v>
      </c>
      <c r="B33" s="27" t="inlineStr">
        <is>
          <t>I am confident that I could deal efficiently with unexpected events.</t>
        </is>
      </c>
      <c r="C33" s="27" t="inlineStr">
        <is>
          <t>General Self-Efficacy (total scale)</t>
        </is>
      </c>
      <c r="D33" s="27" t="inlineStr">
        <is>
          <t>FALSE</t>
        </is>
      </c>
      <c r="E33" s="27" t="inlineStr">
        <is>
          <t>FALSE</t>
        </is>
      </c>
      <c r="F33" s="27" t="inlineStr">
        <is>
          <t>Verbatim from the official FU Berlin page.</t>
        </is>
      </c>
    </row>
    <row r="34" ht="15" customHeight="1" s="17">
      <c r="A34" s="28" t="n">
        <v>5</v>
      </c>
      <c r="B34" s="27" t="inlineStr">
        <is>
          <t>Thanks to my resourcefulness, I know how to handle unforeseen situations.</t>
        </is>
      </c>
      <c r="C34" s="27" t="inlineStr">
        <is>
          <t>General Self-Efficacy (total scale)</t>
        </is>
      </c>
      <c r="D34" s="27" t="inlineStr">
        <is>
          <t>FALSE</t>
        </is>
      </c>
      <c r="E34" s="27" t="inlineStr">
        <is>
          <t>FALSE</t>
        </is>
      </c>
      <c r="F34" s="27" t="inlineStr">
        <is>
          <t>Verbatim from the official FU Berlin page.</t>
        </is>
      </c>
    </row>
    <row r="35" ht="15" customHeight="1" s="17">
      <c r="A35" s="28" t="n">
        <v>6</v>
      </c>
      <c r="B35" s="27" t="inlineStr">
        <is>
          <t>I can solve most problems if I invest the necessary effort.</t>
        </is>
      </c>
      <c r="C35" s="27" t="inlineStr">
        <is>
          <t>General Self-Efficacy (total scale)</t>
        </is>
      </c>
      <c r="D35" s="27" t="inlineStr">
        <is>
          <t>FALSE</t>
        </is>
      </c>
      <c r="E35" s="27" t="inlineStr">
        <is>
          <t>FALSE</t>
        </is>
      </c>
      <c r="F35" s="27" t="inlineStr">
        <is>
          <t>Verbatim from the official FU Berlin page.</t>
        </is>
      </c>
    </row>
    <row r="36" ht="15" customHeight="1" s="17">
      <c r="A36" s="28" t="n">
        <v>7</v>
      </c>
      <c r="B36" s="27" t="inlineStr">
        <is>
          <t>I can remain calm when facing difficulties because I can rely on my coping abilities.</t>
        </is>
      </c>
      <c r="C36" s="27" t="inlineStr">
        <is>
          <t>General Self-Efficacy (total scale)</t>
        </is>
      </c>
      <c r="D36" s="27" t="inlineStr">
        <is>
          <t>FALSE</t>
        </is>
      </c>
      <c r="E36" s="27" t="inlineStr">
        <is>
          <t>FALSE</t>
        </is>
      </c>
      <c r="F36" s="27" t="inlineStr">
        <is>
          <t>Verbatim from the official FU Berlin page.</t>
        </is>
      </c>
    </row>
    <row r="37" ht="15" customHeight="1" s="17">
      <c r="A37" s="28" t="n">
        <v>8</v>
      </c>
      <c r="B37" s="27" t="inlineStr">
        <is>
          <t>When I am confronted with a problem, I can usually find several solutions.</t>
        </is>
      </c>
      <c r="C37" s="27" t="inlineStr">
        <is>
          <t>General Self-Efficacy (total scale)</t>
        </is>
      </c>
      <c r="D37" s="27" t="inlineStr">
        <is>
          <t>FALSE</t>
        </is>
      </c>
      <c r="E37" s="27" t="inlineStr">
        <is>
          <t>FALSE</t>
        </is>
      </c>
      <c r="F37" s="27" t="inlineStr">
        <is>
          <t>Verbatim from the official FU Berlin page.</t>
        </is>
      </c>
    </row>
    <row r="38" ht="15" customHeight="1" s="17">
      <c r="A38" s="28" t="n">
        <v>9</v>
      </c>
      <c r="B38" s="27" t="inlineStr">
        <is>
          <t>If I am in trouble, I can usually think of a solution.</t>
        </is>
      </c>
      <c r="C38" s="27" t="inlineStr">
        <is>
          <t>General Self-Efficacy (total scale)</t>
        </is>
      </c>
      <c r="D38" s="27" t="inlineStr">
        <is>
          <t>FALSE</t>
        </is>
      </c>
      <c r="E38" s="27" t="inlineStr">
        <is>
          <t>FALSE</t>
        </is>
      </c>
      <c r="F38" s="27" t="inlineStr">
        <is>
          <t>Verbatim from the official FU Berlin page.</t>
        </is>
      </c>
    </row>
    <row r="39" ht="15" customHeight="1" s="17">
      <c r="A39" s="28" t="n">
        <v>10</v>
      </c>
      <c r="B39" s="27" t="inlineStr">
        <is>
          <t>I can usually handle whatever comes my way.</t>
        </is>
      </c>
      <c r="C39" s="27" t="inlineStr">
        <is>
          <t>General Self-Efficacy (total scale)</t>
        </is>
      </c>
      <c r="D39" s="27" t="inlineStr">
        <is>
          <t>FALSE</t>
        </is>
      </c>
      <c r="E39" s="27" t="inlineStr">
        <is>
          <t>FALSE</t>
        </is>
      </c>
      <c r="F39" s="27" t="inlineStr">
        <is>
          <t>Verbatim from the official FU Berlin page.</t>
        </is>
      </c>
    </row>
  </sheetData>
  <autoFilter ref="A29:F3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F34"/>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Goal Commitment Scale (5-item unidimensional version)</t>
        </is>
      </c>
    </row>
    <row r="3" ht="15" customHeight="1" s="17">
      <c r="A3" s="35" t="inlineStr">
        <is>
          <t>Instrument</t>
        </is>
      </c>
      <c r="B3" s="27" t="inlineStr">
        <is>
          <t>Goal Commitment Scale (5-item unidimensional version)</t>
        </is>
      </c>
    </row>
    <row r="4" ht="15" customHeight="1" s="17">
      <c r="A4" s="35" t="inlineStr">
        <is>
          <t>Code</t>
        </is>
      </c>
      <c r="B4" s="27" t="inlineStr">
        <is>
          <t>GCS</t>
        </is>
      </c>
    </row>
    <row r="5" ht="15" customHeight="1" s="17">
      <c r="A5" s="35" t="inlineStr">
        <is>
          <t>Domain</t>
        </is>
      </c>
      <c r="B5" s="27" t="inlineStr">
        <is>
          <t>6. Motivation, self determination and goal pursuit</t>
        </is>
      </c>
    </row>
    <row r="6" ht="15" customHeight="1" s="17">
      <c r="A6" s="35" t="inlineStr">
        <is>
          <t>Availability</t>
        </is>
      </c>
      <c r="B6" s="27" t="inlineStr">
        <is>
          <t>Free for research; permission needed for commercial use</t>
        </is>
      </c>
    </row>
    <row r="7" ht="30" customHeight="1" s="17">
      <c r="A7" s="35" t="inlineStr">
        <is>
          <t>Construct</t>
        </is>
      </c>
      <c r="B7" s="27" t="inlineStr">
        <is>
          <t>Unidimensional goal commitment, i.e. the degree of attachment to, and determination to reach, a specific goal the respondent has in mind, independent of the goal's difficulty or content.</t>
        </is>
      </c>
    </row>
    <row r="8" ht="45" customHeight="1" s="17">
      <c r="A8" s="35" t="inlineStr">
        <is>
          <t>Respondent</t>
        </is>
      </c>
      <c r="B8" s="27" t="inlineStr">
        <is>
          <t>Self-report, completed with reference to a specific goal the respondent names or is given (items are worded around "this goal"); used with working adults and students across the many studies aggregated in the 2001 meta-analysis.</t>
        </is>
      </c>
    </row>
    <row r="9" ht="30" customHeight="1" s="17">
      <c r="A9" s="35" t="inlineStr">
        <is>
          <t>Age range</t>
        </is>
      </c>
      <c r="B9" s="27" t="inlineStr">
        <is>
          <t>Adult (18+) in the studies identified; no child or adolescent validation located in the sources fetched.</t>
        </is>
      </c>
    </row>
    <row r="10" ht="15" customHeight="1" s="17">
      <c r="A10" s="35" t="inlineStr">
        <is>
          <t>Items in instrument</t>
        </is>
      </c>
      <c r="B10" s="27" t="inlineStr">
        <is>
          <t>5</t>
        </is>
      </c>
    </row>
    <row r="11" ht="15" customHeight="1" s="17">
      <c r="A11" s="35" t="inlineStr">
        <is>
          <t>Items reproduced here</t>
        </is>
      </c>
      <c r="B11" s="27" t="inlineStr">
        <is>
          <t>5</t>
        </is>
      </c>
    </row>
    <row r="12" ht="15" customHeight="1" s="17">
      <c r="A12" s="35" t="inlineStr">
        <is>
          <t>Administration time</t>
        </is>
      </c>
      <c r="B12" s="27" t="inlineStr">
        <is>
          <t>Not stated on source</t>
        </is>
      </c>
    </row>
    <row r="13" ht="169.5" customHeight="1" s="17">
      <c r="A13" s="35" t="inlineStr">
        <is>
          <t>Cost and access</t>
        </is>
      </c>
      <c r="B13" s="27" t="inlineStr">
        <is>
          <t>No purchase, licence fee, manual, or scoring software is needed to administer the 5 items themselves. The item text is reproduced by an aggregator (scales.arabpsychology.com and its sister site db.arabpsychology.com, both fetched and cross-checked against each other in this session) which states verbatim: "Generally utilized freely for non-commercial academic research, provided proper attribution and citation are given to the original authors. Commercial use or modifications may require explicit permission." This is the aggregator's own licensing note, not a statement issued by Klein et al. or by Elsevier/Organizational Behavior and Human Decision Processes, and no author contact address was found on either aggregator page. The original 2001 article itself is behind the ScienceDirect paywall, so no publisher-issued licence text could be checked directly. Recommend written confirmation from Howard J. Klein (Ohio State University) before using the scale as a scored instrument within a paid coaching product; low-risk for informal, unscored use as a single reflective rating within an individual coaching session. Licensing detail: Free to view for research and academic use; the hosting database states commercial use or modification may require explicit permission from the original authors (position as stated by the aggregator, not by the original publisher, Elsevier)</t>
        </is>
      </c>
    </row>
    <row r="14" ht="120" customHeight="1" s="17">
      <c r="A14" s="35" t="inlineStr">
        <is>
          <t>Coaching application</t>
        </is>
      </c>
      <c r="B14" s="27" t="inlineStr">
        <is>
          <t>The 5-item Goal Commitment Scale is a well-validated, quick diagnostic for how genuinely committed a client is to a goal they have just set, which is useful before investing coaching effort in goal-setting or accountability work with university students or early-career professionals. It works best as a short check-in on a specific, named goal (e.g. a study goal or a career-transition goal) rather than as a general trait measure, and because it was developed and validated in organisational/laboratory goal-setting research rather than in coaching or clinical samples, any score interpretation should stay descriptive and conversational rather than being presented as a validated clinical cut-off.</t>
        </is>
      </c>
    </row>
    <row r="15" ht="105" customHeight="1" s="17">
      <c r="A15" s="35" t="inlineStr">
        <is>
          <t>Purpose</t>
        </is>
      </c>
      <c r="B15" s="27" t="inlineStr">
        <is>
          <t>The Goal Commitment Scale was originally developed by Hollenbeck, Williams and Klein (1989) as a 9-item measure of commitment to a specific, often difficult, goal, extending earlier single-item approaches used in goal-setting research. Klein, Wesson, Hollenbeck, Wright and DeShon (2001) conducted a measurement-model meta-analysis of goal commitment measures across the accumulated literature and concluded that a unidimensional, 5-item subset of the original 9 items (items 1 to 5 below) provided the best-fitting and most parsimonious measurement model, recommending it over the full 9-item version and over the other item combinations tested.</t>
        </is>
      </c>
    </row>
    <row r="16" ht="45" customHeight="1" s="17">
      <c r="A16" s="35" t="inlineStr">
        <is>
          <t>Instructions / prompt</t>
        </is>
      </c>
      <c r="B16" s="27" t="inlineStr">
        <is>
          <t>Not retrieved verbatim from a published source. The items refer to 'this goal', so the respondent must first name the goal being rated; a practitioner instruction such as asking the client to write down the goal and rate each statement about it is needed on the form.</t>
        </is>
      </c>
    </row>
    <row r="17" ht="30" customHeight="1" s="17">
      <c r="A17" s="35" t="inlineStr">
        <is>
          <t>Response options</t>
        </is>
      </c>
      <c r="B17" s="27" t="inlineStr">
        <is>
          <t>Strongly Disagree = 1 | Moderately Disagree = 2 | Neutral = 3 | Moderately Agree = 4 | Strongly Agree = 5</t>
        </is>
      </c>
    </row>
    <row r="18" ht="15" customHeight="1" s="17">
      <c r="A18" s="35" t="inlineStr">
        <is>
          <t>Reverse-scored items</t>
        </is>
      </c>
      <c r="B18" s="27" t="inlineStr">
        <is>
          <t>1-2, 4</t>
        </is>
      </c>
    </row>
    <row r="19" ht="15" customHeight="1" s="17">
      <c r="A19" s="35" t="inlineStr">
        <is>
          <t>Filler items (not scored)</t>
        </is>
      </c>
      <c r="B19" s="27" t="inlineStr">
        <is>
          <t>None</t>
        </is>
      </c>
    </row>
    <row r="20" ht="60" customHeight="1" s="17">
      <c r="A20" s="35" t="inlineStr">
        <is>
          <t>Total scoring</t>
        </is>
      </c>
      <c r="B20" s="27" t="inlineStr">
        <is>
          <t>Reverse score items 1, 2 and 4 (6 minus the response on a 1 to 5 scale), then sum or average all 5 items. Higher scores indicate stronger commitment to the named goal. Klein et al. (2001) recommended these 5 items from the 9 item Hollenbeck, Williams and Klein (1989) scale on the basis of their meta-analytic measurement model; the scale is unidimensional.</t>
        </is>
      </c>
    </row>
    <row r="21" ht="15" customHeight="1" s="17">
      <c r="A21" s="35" t="inlineStr">
        <is>
          <t>Interpretation bands</t>
        </is>
      </c>
      <c r="B21" s="27" t="inlineStr">
        <is>
          <t>Not stated on source</t>
        </is>
      </c>
    </row>
    <row r="22" ht="15" customHeight="1" s="17">
      <c r="A22" s="35" t="inlineStr">
        <is>
          <t>Cut-offs</t>
        </is>
      </c>
      <c r="B22" s="27" t="inlineStr">
        <is>
          <t>Not stated on source</t>
        </is>
      </c>
    </row>
    <row r="23" ht="15" customHeight="1" s="17">
      <c r="A23" s="35" t="inlineStr">
        <is>
          <t>Normative data</t>
        </is>
      </c>
      <c r="B23" s="27" t="inlineStr">
        <is>
          <t>Not stated on source</t>
        </is>
      </c>
    </row>
    <row r="24" ht="169.5" customHeight="1" s="17">
      <c r="A24" s="35" t="inlineStr">
        <is>
          <t>Psychometric properties</t>
        </is>
      </c>
      <c r="B24" s="27" t="inlineStr">
        <is>
          <t>The original Klein et al. (2001) primary-source alpha for the 5-item scale could not be independently retrieved in this session (ScienceDirect paywall). A secondary source that cites Klein et al. (2001) directly (Examination of Goal Commitment and Subjective..., ERIC document EJ1263534, fetched in this session) states: "the internal consistency coefficient of the scale was found to be 0.74," attributed to the Klein et al. (2001) 5-item version, but this figure is a secondary citation, not a quote taken from the original 2001 article itself. A separate, unrelated study using the same 5-item scale (fetched via PMC8490751, a feedback-and-goal-commitment study) reports Cronbach's alpha ranging from .80 to .88 across experimental conditions at Time 1, again not from the original 2001 source. A later, related 4-item unidimensional target-free measure derived from this tradition (the KUT; Klein, Cooper, Molloy &amp; Swanson, 2014, cited in a secondary dissertation source fetched in this session) is reported with alpha = .92, but this is a different, shorter instrument, not the Klein et al. (2001) 5-item GCS itself, and is included here only for context. No alpha figure could be confirmed as coming directly from the text of Klein et al. (2001). Correction note: an earlier draft of this record, taken from an aggregator site, listed two items from the 9 item parent scale ('It's unrealistic for me to expect to reach this goal' and 'It is quite likely that this goal may need to be revised') in place of 2 of the 5 recommended items. The items were corrected against Klein et al. (2001, p. 34) as quoted in an independent thesis; reliability figures quoted above from sources using the aggregator's set should be treated with caution.</t>
        </is>
      </c>
    </row>
    <row r="25" ht="45" customHeight="1" s="17">
      <c r="A25" s="35" t="inlineStr">
        <is>
          <t>Developer citation</t>
        </is>
      </c>
      <c r="B25" s="27" t="inlineStr">
        <is>
          <t>Klein, H. J., Wesson, M. J., Hollenbeck, J. R., Wright, P. M., &amp; DeShon, R. P. (2001). The assessment of goal commitment: A measurement model meta-analysis. Organizational Behavior and Human Decision Processes, 85(1), 32-55.</t>
        </is>
      </c>
    </row>
    <row r="26" ht="165" customHeight="1" s="17">
      <c r="A26" s="35" t="inlineStr">
        <is>
          <t>Copyright and licensing</t>
        </is>
      </c>
      <c r="B26" s="27" t="inlineStr">
        <is>
          <t>No copyright or licence statement was found on the original publisher's own materials (the article is paywalled at Elsevier/ScienceDirect and no author-hosted copy was located). The item-hosting aggregator (arabpsychology.com, both scales. and db. subdomains, cross-checked against each other) states verbatim: "Generally utilized freely for non-commercial academic research, provided proper attribution and citation are given to the original authors. Commercial use or modifications may require explicit permission." One of the two aggregator pages additionally attributes the underlying construct to a different 1989 citation (Hollenbeck, Klein, O'Leary &amp; Wright, 1989, Journal of Applied Psychology, 74, 951-956, "Investigation of the construct validity of a self-report measure of goal commitment") rather than to the Hollenbeck, Williams &amp; Klein (1989) citation specified in this record's brief; both 1989 papers exist in the literature and this discrepancy between the two aggregator pages should be treated as an aggregator inconsistency, not a confirmed fact about the scale's origin.</t>
        </is>
      </c>
    </row>
    <row r="27" ht="15" customHeight="1" s="17">
      <c r="A27" s="35" t="inlineStr">
        <is>
          <t>Source URL</t>
        </is>
      </c>
      <c r="B27" s="27" t="inlineStr">
        <is>
          <t>https://bearworks.missouristate.edu/cgi/viewcontent.cgi?article=4229&amp;context=theses</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46.25" customHeight="1" s="17">
      <c r="A30" s="28" t="n">
        <v>1</v>
      </c>
      <c r="B30" s="27" t="inlineStr">
        <is>
          <t>It's hard to take this goal seriously.</t>
        </is>
      </c>
      <c r="C30" s="27" t="inlineStr">
        <is>
          <t>Goal Commitment</t>
        </is>
      </c>
      <c r="D30" s="34" t="inlineStr">
        <is>
          <t>TRUE</t>
        </is>
      </c>
      <c r="E30" s="27" t="inlineStr">
        <is>
          <t>FALSE</t>
        </is>
      </c>
      <c r="F30" s="27" t="inlineStr">
        <is>
          <t>Item wording and reverse keying per Klein et al. (2001, p. 34) as quoted in Missouri State University thesis https://bearworks.missouristate.edu/cgi/viewcontent.cgi?article=4229&amp;context=theses.</t>
        </is>
      </c>
    </row>
    <row r="31" ht="46.25" customHeight="1" s="17">
      <c r="A31" s="28" t="n">
        <v>2</v>
      </c>
      <c r="B31" s="27" t="inlineStr">
        <is>
          <t>Quite frankly, I don't care if I achieve this goal or not.</t>
        </is>
      </c>
      <c r="C31" s="27" t="inlineStr">
        <is>
          <t>Goal Commitment</t>
        </is>
      </c>
      <c r="D31" s="34" t="inlineStr">
        <is>
          <t>TRUE</t>
        </is>
      </c>
      <c r="E31" s="27" t="inlineStr">
        <is>
          <t>FALSE</t>
        </is>
      </c>
      <c r="F31" s="27" t="inlineStr">
        <is>
          <t>Item wording and reverse keying per Klein et al. (2001, p. 34) as quoted in Missouri State University thesis https://bearworks.missouristate.edu/cgi/viewcontent.cgi?article=4229&amp;context=theses.</t>
        </is>
      </c>
    </row>
    <row r="32" ht="46.25" customHeight="1" s="17">
      <c r="A32" s="28" t="n">
        <v>3</v>
      </c>
      <c r="B32" s="27" t="inlineStr">
        <is>
          <t>I am strongly committed to pursuing this goal.</t>
        </is>
      </c>
      <c r="C32" s="27" t="inlineStr">
        <is>
          <t>Goal Commitment</t>
        </is>
      </c>
      <c r="D32" s="27" t="inlineStr">
        <is>
          <t>FALSE</t>
        </is>
      </c>
      <c r="E32" s="27" t="inlineStr">
        <is>
          <t>FALSE</t>
        </is>
      </c>
      <c r="F32" s="27" t="inlineStr">
        <is>
          <t>Item wording and reverse keying per Klein et al. (2001, p. 34) as quoted in Missouri State University thesis https://bearworks.missouristate.edu/cgi/viewcontent.cgi?article=4229&amp;context=theses.</t>
        </is>
      </c>
    </row>
    <row r="33" ht="46.25" customHeight="1" s="17">
      <c r="A33" s="28" t="n">
        <v>4</v>
      </c>
      <c r="B33" s="27" t="inlineStr">
        <is>
          <t>It wouldn't take much to make me abandon this goal.</t>
        </is>
      </c>
      <c r="C33" s="27" t="inlineStr">
        <is>
          <t>Goal Commitment</t>
        </is>
      </c>
      <c r="D33" s="34" t="inlineStr">
        <is>
          <t>TRUE</t>
        </is>
      </c>
      <c r="E33" s="27" t="inlineStr">
        <is>
          <t>FALSE</t>
        </is>
      </c>
      <c r="F33" s="27" t="inlineStr">
        <is>
          <t>Item wording and reverse keying per Klein et al. (2001, p. 34) as quoted in Missouri State University thesis https://bearworks.missouristate.edu/cgi/viewcontent.cgi?article=4229&amp;context=theses.</t>
        </is>
      </c>
    </row>
    <row r="34" ht="46.25" customHeight="1" s="17">
      <c r="A34" s="28" t="n">
        <v>5</v>
      </c>
      <c r="B34" s="27" t="inlineStr">
        <is>
          <t>I think this is a good goal to shoot for.</t>
        </is>
      </c>
      <c r="C34" s="27" t="inlineStr">
        <is>
          <t>Goal Commitment</t>
        </is>
      </c>
      <c r="D34" s="27" t="inlineStr">
        <is>
          <t>FALSE</t>
        </is>
      </c>
      <c r="E34" s="27" t="inlineStr">
        <is>
          <t>FALSE</t>
        </is>
      </c>
      <c r="F34" s="27" t="inlineStr">
        <is>
          <t>Item wording and reverse keying per Klein et al. (2001, p. 34) as quoted in Missouri State University thesis https://bearworks.missouristate.edu/cgi/viewcontent.cgi?article=4229&amp;context=theses.</t>
        </is>
      </c>
    </row>
  </sheetData>
  <autoFilter ref="A29:F3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F39"/>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Goal Adjustment Scale</t>
        </is>
      </c>
    </row>
    <row r="3" ht="15" customHeight="1" s="17">
      <c r="A3" s="35" t="inlineStr">
        <is>
          <t>Instrument</t>
        </is>
      </c>
      <c r="B3" s="27" t="inlineStr">
        <is>
          <t>Goal Adjustment Scale</t>
        </is>
      </c>
    </row>
    <row r="4" ht="15" customHeight="1" s="17">
      <c r="A4" s="35" t="inlineStr">
        <is>
          <t>Code</t>
        </is>
      </c>
      <c r="B4" s="27" t="inlineStr">
        <is>
          <t>GADJ</t>
        </is>
      </c>
    </row>
    <row r="5" ht="15" customHeight="1" s="17">
      <c r="A5" s="35" t="inlineStr">
        <is>
          <t>Domain</t>
        </is>
      </c>
      <c r="B5" s="27" t="inlineStr">
        <is>
          <t>6. Motivation, self determination and goal pursuit</t>
        </is>
      </c>
    </row>
    <row r="6" ht="15" customHeight="1" s="17">
      <c r="A6" s="35" t="inlineStr">
        <is>
          <t>Availability</t>
        </is>
      </c>
      <c r="B6" s="27" t="inlineStr">
        <is>
          <t>Free for research; permission needed for commercial use</t>
        </is>
      </c>
    </row>
    <row r="7" ht="60" customHeight="1" s="17">
      <c r="A7" s="35" t="inlineStr">
        <is>
          <t>Construct</t>
        </is>
      </c>
      <c r="B7" s="27" t="inlineStr">
        <is>
          <t>Adaptive self-regulation in the face of unattainable goals, comprising two related capacities: Goal Disengagement (the ability to withdraw effort and commitment from a goal that can no longer be reached) and Goal Reengagement (the ability to identify, commit to, and pursue new goals after disengaging from an old one).</t>
        </is>
      </c>
    </row>
    <row r="8" ht="30" customHeight="1" s="17">
      <c r="A8" s="35" t="inlineStr">
        <is>
          <t>Respondent</t>
        </is>
      </c>
      <c r="B8" s="27" t="inlineStr">
        <is>
          <t>Self-report, answered with respect to a general stem about an important, unattainable goal in the respondent's own life (not a goal supplied by an interviewer).</t>
        </is>
      </c>
    </row>
    <row r="9" ht="60" customHeight="1" s="17">
      <c r="A9" s="35" t="inlineStr">
        <is>
          <t>Age range</t>
        </is>
      </c>
      <c r="B9" s="27" t="inlineStr">
        <is>
          <t>Validated across three studies spanning young adulthood to old age: Study 1, undergraduates aged 17-23 (M = 19.35, SD = 1.08); Study 2, young adults aged 19-35 (M = 22.47) and older adults aged 55-89 (M = 69.67); Study 3, parents in their mid-30s to mid-40s (M around 36.9-37.6). No dedicated adolescent (under 17) validation was located.</t>
        </is>
      </c>
    </row>
    <row r="10" ht="15" customHeight="1" s="17">
      <c r="A10" s="35" t="inlineStr">
        <is>
          <t>Items in instrument</t>
        </is>
      </c>
      <c r="B10" s="27" t="inlineStr">
        <is>
          <t>10</t>
        </is>
      </c>
    </row>
    <row r="11" ht="15" customHeight="1" s="17">
      <c r="A11" s="35" t="inlineStr">
        <is>
          <t>Items reproduced here</t>
        </is>
      </c>
      <c r="B11" s="27" t="inlineStr">
        <is>
          <t>10</t>
        </is>
      </c>
    </row>
    <row r="12" ht="15" customHeight="1" s="17">
      <c r="A12" s="35" t="inlineStr">
        <is>
          <t>Administration time</t>
        </is>
      </c>
      <c r="B12" s="27" t="inlineStr">
        <is>
          <t>Not stated on source</t>
        </is>
      </c>
    </row>
    <row r="13" ht="169.5" customHeight="1" s="17">
      <c r="A13" s="35" t="inlineStr">
        <is>
          <t>Cost and access</t>
        </is>
      </c>
      <c r="B13" s="27" t="inlineStr">
        <is>
          <t>No purchase or licence fee is required to view the 10 items; they are reproduced in Table 1 of the original journal article, re-hosted at https://www.cmu.edu/dietrich/psychology/pdf/scales/GAS_article.pdf (fetched and confirmed in this session; this is the original 2003 Personality and Social Psychology Bulletin article, carrying the line "\u00a9 2003 by the Society for Personality and Social Psychology, Inc."). Carnegie Mellon's psychology department also hosts what its filename indicates is a standalone scale-only document at https://www.cmu.edu/dietrich/psychology/pdf/scales/GAS_scale.pdf; this URL was fetched in this session but returned no machine-readable text ("This PDF is empty or contains no machine-readable text"), so it could not be used to confirm a separate administration-ready form, and its existence as a genuinely standalone form is unconfirmed. No copyright, licence, or commercial-use statement appears anywhere in the original article itself. A third-party aggregator, Psychology Roots (https://psychologyroots.com/goal-adjustment-scale/, fetched and quoted directly in this session), states: "Psychology Roots does not have the right to grant permission for the use of any psychological scales or assessments listed on its website. To use any scale or assessment, you must obtain permission directly from the author or translator of the tool," naming the original authors (Wrosch, Scheier, Miller, Schulz, Carver) as the people to contact. Recommend written permission from Carsten Wrosch or Michael F. Scheier before using the GAS as a scored instrument in a commercial coaching product. Licensing detail: Free to view via a university-hosted copy of the original journal article; commercial/paid use is not explicitly addressed by the original authors or publisher, and a third-party scale-listing site states that permission must be obtained directly from the authors</t>
        </is>
      </c>
    </row>
    <row r="14" ht="135" customHeight="1" s="17">
      <c r="A14" s="35" t="inlineStr">
        <is>
          <t>Coaching application</t>
        </is>
      </c>
      <c r="B14" s="27" t="inlineStr">
        <is>
          <t>The Goal Adjustment Scale is directly useful in goal-setting coaching with university students and early-career professionals when the presenting issue is a stalled, blocked, or no-longer-realistic goal, such as a failed course, a missed graduate-entry pathway, or a career plan overtaken by events, because it separates the client's capacity to let go of that goal from their capacity to reinvest energy in a new one. Its main limits for this population are that it was validated primarily on undergraduates, community adults, and parents of ill children rather than on a coaching-specific sample, and that a low Reengagement score in a young client may reflect a genuinely open-ended transitional life stage rather than a self-regulatory deficit, so scores should inform conversation rather than be treated as a fixed trait diagnosis.</t>
        </is>
      </c>
    </row>
    <row r="15" ht="90" customHeight="1" s="17">
      <c r="A15" s="35" t="inlineStr">
        <is>
          <t>Purpose</t>
        </is>
      </c>
      <c r="B15" s="27" t="inlineStr">
        <is>
          <t>The Goal Adjustment Scale was developed by Wrosch, Scheier, Miller, Schulz and Carver (2003) to measure two theoretically distinct components of adaptive self-regulation when a personal goal becomes unattainable: disengaging from the blocked goal, and reengaging with new, attainable goals. The scale was validated across three studies (university students, a community sample of young and older adults, and parents of children with or without cancer) and used to test whether disengagement and reengagement independently predict subjective well-being and physical health symptoms.</t>
        </is>
      </c>
    </row>
    <row r="16" ht="90" customHeight="1" s="17">
      <c r="A16" s="35" t="inlineStr">
        <is>
          <t>Instructions / prompt</t>
        </is>
      </c>
      <c r="B16" s="27" t="inlineStr">
        <is>
          <t>"If I have to stop pursuing an important goal in my life . . ." This is the generic item stem used for all 10 items in Study 2 and Study 3, quoted verbatim from a footnote to Table 1 of Wrosch et al. (2003), fetched and confirmed in this session. In Study 1, the goal disengagement items only were instead presented against three separate situational stems, one of which is quoted verbatim in the article as: "If it becomes likely that I have to stop pursuing an important goal because I no longer have the opportunity to realize it . . ."</t>
        </is>
      </c>
    </row>
    <row r="17" ht="15" customHeight="1" s="17">
      <c r="A17" s="35" t="inlineStr">
        <is>
          <t>Response options</t>
        </is>
      </c>
      <c r="B17" s="27" t="inlineStr">
        <is>
          <t>Almost never true = 1 | 2 = 2 | 3 = 3 | 4 = 4 | Almost always true = 5</t>
        </is>
      </c>
    </row>
    <row r="18" ht="15" customHeight="1" s="17">
      <c r="A18" s="35" t="inlineStr">
        <is>
          <t>Reverse-scored items</t>
        </is>
      </c>
      <c r="B18" s="27" t="inlineStr">
        <is>
          <t>2-3</t>
        </is>
      </c>
    </row>
    <row r="19" ht="15" customHeight="1" s="17">
      <c r="A19" s="35" t="inlineStr">
        <is>
          <t>Filler items (not scored)</t>
        </is>
      </c>
      <c r="B19" s="27" t="inlineStr">
        <is>
          <t>None</t>
        </is>
      </c>
    </row>
    <row r="20" ht="60" customHeight="1" s="17">
      <c r="A20" s="35" t="inlineStr">
        <is>
          <t>Total scoring</t>
        </is>
      </c>
      <c r="B20" s="27" t="inlineStr">
        <is>
          <t>Score the two subscales separately; the instrument does not sum to a single overall score. For Goal Disengagement, reverse-score items 2 and 3, then average (or sum) all 4 items; higher scores indicate greater ability to disengage from an unattainable goal. For Goal Reengagement, average (or sum) all 6 items with no reversal; higher scores indicate greater capacity to reengage with new goals.</t>
        </is>
      </c>
    </row>
    <row r="21" ht="15" customHeight="1" s="17">
      <c r="A21" s="35" t="inlineStr">
        <is>
          <t>Interpretation bands</t>
        </is>
      </c>
      <c r="B21" s="27" t="inlineStr">
        <is>
          <t>Not stated on source</t>
        </is>
      </c>
    </row>
    <row r="22" ht="15" customHeight="1" s="17">
      <c r="A22" s="35" t="inlineStr">
        <is>
          <t>Cut-offs</t>
        </is>
      </c>
      <c r="B22" s="27" t="inlineStr">
        <is>
          <t>Not stated on source</t>
        </is>
      </c>
    </row>
    <row r="23" ht="15" customHeight="1" s="17">
      <c r="A23" s="35" t="inlineStr">
        <is>
          <t>Normative data</t>
        </is>
      </c>
      <c r="B23" s="27" t="inlineStr">
        <is>
          <t>Not stated on source</t>
        </is>
      </c>
    </row>
    <row r="24" ht="135" customHeight="1" s="17">
      <c r="A24" s="35" t="inlineStr">
        <is>
          <t>Psychometric properties</t>
        </is>
      </c>
      <c r="B24" s="27" t="inlineStr">
        <is>
          <t>Cronbach's alpha values quoted verbatim from Wrosch et al. (2003), fetched and confirmed in this session: Study 1 (N = 115 undergraduates), Goal Disengagement α = .84, Goal Reengagement α = .86; Study 2 (N = 120 community adults), Goal Disengagement α = .76, Goal Reengagement α = .89; Study 3 (N = 45 parents), Goal Disengagement α = .79, Goal Reengagement α = .86. Note that a third-party aggregator page (Psychology Roots) states the Study 1 figures (.84 disengagement / .86 reengagement) as if they were the scale's single reliability figures and separately describes the response scale as "1 (Strongly Disagree) to 5 (Strongly Agree)," which conflicts with the "almost never true" to "almost always true" anchors confirmed directly from the primary article's Table 1 footnote; the primary-source anchors are used in this record and the aggregator's anchor wording should be treated as an error.</t>
        </is>
      </c>
    </row>
    <row r="25" ht="45" customHeight="1" s="17">
      <c r="A25" s="35" t="inlineStr">
        <is>
          <t>Developer citation</t>
        </is>
      </c>
      <c r="B25" s="27" t="inlineStr">
        <is>
          <t>Wrosch, C., Scheier, M. F., Miller, G. E., Schulz, R., &amp; Carver, C. S. (2003). Adaptive self-regulation of unattainable goals: Goal disengagement, goal reengagement, and subjective well-being. Personality and Social Psychology Bulletin, 29(12), 1494-1508.</t>
        </is>
      </c>
    </row>
    <row r="26" ht="75" customHeight="1" s="17">
      <c r="A26" s="35" t="inlineStr">
        <is>
          <t>Copyright and licensing</t>
        </is>
      </c>
      <c r="B26" s="27" t="inlineStr">
        <is>
          <t>The original article carries the line "\u00a9 2003 by the Society for Personality and Social Psychology, Inc." but no explicit statement about permission to reproduce or use the scale for research, clinical, or commercial purposes appears anywhere in the fetched text. Psychology Roots (third-party aggregator, quoted verbatim above) states that permission must be sought directly from the original authors and that the aggregator itself has no right to grant use permission.</t>
        </is>
      </c>
    </row>
    <row r="27" ht="15" customHeight="1" s="17">
      <c r="A27" s="35" t="inlineStr">
        <is>
          <t>Source URL</t>
        </is>
      </c>
      <c r="B27" s="27" t="inlineStr">
        <is>
          <t>https://www.cmu.edu/dietrich/psychology/pdf/scales/GAS_article.pdf</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It's easy for me to reduce my effort toward the goal.</t>
        </is>
      </c>
      <c r="C30" s="27" t="inlineStr">
        <is>
          <t>Goal Disengagement</t>
        </is>
      </c>
      <c r="D30" s="27" t="inlineStr">
        <is>
          <t>FALSE</t>
        </is>
      </c>
      <c r="E30" s="27" t="inlineStr">
        <is>
          <t>FALSE</t>
        </is>
      </c>
      <c r="F30" s="27" t="inlineStr">
        <is>
          <t>Verbatim from Table 1, Wrosch et al. (2003), fetched from the Carnegie Mellon-hosted copy of the original article.</t>
        </is>
      </c>
    </row>
    <row r="31" ht="35.05" customHeight="1" s="17">
      <c r="A31" s="28" t="n">
        <v>2</v>
      </c>
      <c r="B31" s="27" t="inlineStr">
        <is>
          <t>I find it difficult to stop trying to achieve the goal.</t>
        </is>
      </c>
      <c r="C31" s="27" t="inlineStr">
        <is>
          <t>Goal Disengagement</t>
        </is>
      </c>
      <c r="D31" s="34" t="inlineStr">
        <is>
          <t>TRUE</t>
        </is>
      </c>
      <c r="E31" s="27" t="inlineStr">
        <is>
          <t>FALSE</t>
        </is>
      </c>
      <c r="F31" s="27" t="inlineStr">
        <is>
          <t>Verbatim from Table 1, Wrosch et al. (2003); marked with a reverse-scoring symbol in the original table because it is worded in the direction of persistence, not disengagement.</t>
        </is>
      </c>
    </row>
    <row r="32" ht="23.85" customHeight="1" s="17">
      <c r="A32" s="28" t="n">
        <v>3</v>
      </c>
      <c r="B32" s="27" t="inlineStr">
        <is>
          <t>I stay committed to the goal for a long time; I can't let it go.</t>
        </is>
      </c>
      <c r="C32" s="27" t="inlineStr">
        <is>
          <t>Goal Disengagement</t>
        </is>
      </c>
      <c r="D32" s="34" t="inlineStr">
        <is>
          <t>TRUE</t>
        </is>
      </c>
      <c r="E32" s="27" t="inlineStr">
        <is>
          <t>FALSE</t>
        </is>
      </c>
      <c r="F32" s="27" t="inlineStr">
        <is>
          <t>Verbatim from Table 1, Wrosch et al. (2003); marked with a reverse-scoring symbol in the original table for the same reason as item 2.</t>
        </is>
      </c>
    </row>
    <row r="33" ht="15" customHeight="1" s="17">
      <c r="A33" s="28" t="n">
        <v>4</v>
      </c>
      <c r="B33" s="27" t="inlineStr">
        <is>
          <t>It's easy for me to stop thinking about the goal and let it go.</t>
        </is>
      </c>
      <c r="C33" s="27" t="inlineStr">
        <is>
          <t>Goal Disengagement</t>
        </is>
      </c>
      <c r="D33" s="27" t="inlineStr">
        <is>
          <t>FALSE</t>
        </is>
      </c>
      <c r="E33" s="27" t="inlineStr">
        <is>
          <t>FALSE</t>
        </is>
      </c>
      <c r="F33" s="27" t="inlineStr">
        <is>
          <t>Verbatim from Table 1, Wrosch et al. (2003).</t>
        </is>
      </c>
    </row>
    <row r="34" ht="15" customHeight="1" s="17">
      <c r="A34" s="28" t="n">
        <v>5</v>
      </c>
      <c r="B34" s="27" t="inlineStr">
        <is>
          <t>I think about other new goals to pursue.</t>
        </is>
      </c>
      <c r="C34" s="27" t="inlineStr">
        <is>
          <t>Goal Reengagement</t>
        </is>
      </c>
      <c r="D34" s="27" t="inlineStr">
        <is>
          <t>FALSE</t>
        </is>
      </c>
      <c r="E34" s="27" t="inlineStr">
        <is>
          <t>FALSE</t>
        </is>
      </c>
      <c r="F34" s="27" t="inlineStr">
        <is>
          <t>Verbatim from Table 1, Wrosch et al. (2003).</t>
        </is>
      </c>
    </row>
    <row r="35" ht="15" customHeight="1" s="17">
      <c r="A35" s="28" t="n">
        <v>6</v>
      </c>
      <c r="B35" s="27" t="inlineStr">
        <is>
          <t>I seek other meaningful goals.</t>
        </is>
      </c>
      <c r="C35" s="27" t="inlineStr">
        <is>
          <t>Goal Reengagement</t>
        </is>
      </c>
      <c r="D35" s="27" t="inlineStr">
        <is>
          <t>FALSE</t>
        </is>
      </c>
      <c r="E35" s="27" t="inlineStr">
        <is>
          <t>FALSE</t>
        </is>
      </c>
      <c r="F35" s="27" t="inlineStr">
        <is>
          <t>Verbatim from Table 1, Wrosch et al. (2003).</t>
        </is>
      </c>
    </row>
    <row r="36" ht="15" customHeight="1" s="17">
      <c r="A36" s="28" t="n">
        <v>7</v>
      </c>
      <c r="B36" s="27" t="inlineStr">
        <is>
          <t>I convince myself that I have other meaningful goals to pursue.</t>
        </is>
      </c>
      <c r="C36" s="27" t="inlineStr">
        <is>
          <t>Goal Reengagement</t>
        </is>
      </c>
      <c r="D36" s="27" t="inlineStr">
        <is>
          <t>FALSE</t>
        </is>
      </c>
      <c r="E36" s="27" t="inlineStr">
        <is>
          <t>FALSE</t>
        </is>
      </c>
      <c r="F36" s="27" t="inlineStr">
        <is>
          <t>Verbatim from Table 1, Wrosch et al. (2003).</t>
        </is>
      </c>
    </row>
    <row r="37" ht="15" customHeight="1" s="17">
      <c r="A37" s="28" t="n">
        <v>8</v>
      </c>
      <c r="B37" s="27" t="inlineStr">
        <is>
          <t>I tell myself that I have a number of other new goals to draw on.</t>
        </is>
      </c>
      <c r="C37" s="27" t="inlineStr">
        <is>
          <t>Goal Reengagement</t>
        </is>
      </c>
      <c r="D37" s="27" t="inlineStr">
        <is>
          <t>FALSE</t>
        </is>
      </c>
      <c r="E37" s="27" t="inlineStr">
        <is>
          <t>FALSE</t>
        </is>
      </c>
      <c r="F37" s="27" t="inlineStr">
        <is>
          <t>Verbatim from Table 1, Wrosch et al. (2003).</t>
        </is>
      </c>
    </row>
    <row r="38" ht="15" customHeight="1" s="17">
      <c r="A38" s="28" t="n">
        <v>9</v>
      </c>
      <c r="B38" s="27" t="inlineStr">
        <is>
          <t>I start working on other new goals.</t>
        </is>
      </c>
      <c r="C38" s="27" t="inlineStr">
        <is>
          <t>Goal Reengagement</t>
        </is>
      </c>
      <c r="D38" s="27" t="inlineStr">
        <is>
          <t>FALSE</t>
        </is>
      </c>
      <c r="E38" s="27" t="inlineStr">
        <is>
          <t>FALSE</t>
        </is>
      </c>
      <c r="F38" s="27" t="inlineStr">
        <is>
          <t>Verbatim from Table 1, Wrosch et al. (2003).</t>
        </is>
      </c>
    </row>
    <row r="39" ht="15" customHeight="1" s="17">
      <c r="A39" s="28" t="n">
        <v>10</v>
      </c>
      <c r="B39" s="27" t="inlineStr">
        <is>
          <t>I put effort toward other meaningful goals.</t>
        </is>
      </c>
      <c r="C39" s="27" t="inlineStr">
        <is>
          <t>Goal Reengagement</t>
        </is>
      </c>
      <c r="D39" s="27" t="inlineStr">
        <is>
          <t>FALSE</t>
        </is>
      </c>
      <c r="E39" s="27" t="inlineStr">
        <is>
          <t>FALSE</t>
        </is>
      </c>
      <c r="F39" s="27" t="inlineStr">
        <is>
          <t>Verbatim from Table 1, Wrosch et al. (2003).</t>
        </is>
      </c>
    </row>
  </sheetData>
  <autoFilter ref="A29:F3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2026-09-26T02:55:48Z</dcterms:created>
  <dcterms:modified xmlns:dcterms="http://purl.org/dc/terms/" xmlns:xsi="http://www.w3.org/2001/XMLSchema-instance" xsi:type="dcterms:W3CDTF">2026-10-18T09:17:29Z</dcterms:modified>
  <cp:revision>0</cp:revision>
</cp:coreProperties>
</file>