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Hub Library" sheetId="2" state="visible" r:id="rId2"/>
    <sheet xmlns:r="http://schemas.openxmlformats.org/officeDocument/2006/relationships" name="Hub Subscales" sheetId="3" state="visible" r:id="rId3"/>
    <sheet xmlns:r="http://schemas.openxmlformats.org/officeDocument/2006/relationships" name="NovoPsych Catalogue" sheetId="4" state="visible" r:id="rId4"/>
    <sheet xmlns:r="http://schemas.openxmlformats.org/officeDocument/2006/relationships" name="Batteries" sheetId="5" state="visible" r:id="rId5"/>
    <sheet xmlns:r="http://schemas.openxmlformats.org/officeDocument/2006/relationships" name="Tally Prompt" sheetId="6" state="visible" r:id="rId6"/>
    <sheet xmlns:r="http://schemas.openxmlformats.org/officeDocument/2006/relationships" name="Instrument Summary" sheetId="7" state="visible" r:id="rId7"/>
    <sheet xmlns:r="http://schemas.openxmlformats.org/officeDocument/2006/relationships" name="Master Item List" sheetId="8" state="visible" r:id="rId8"/>
    <sheet xmlns:r="http://schemas.openxmlformats.org/officeDocument/2006/relationships" name="Structure and Subscales" sheetId="9" state="visible" r:id="rId9"/>
    <sheet xmlns:r="http://schemas.openxmlformats.org/officeDocument/2006/relationships" name="References" sheetId="10" state="visible" r:id="rId10"/>
    <sheet xmlns:r="http://schemas.openxmlformats.org/officeDocument/2006/relationships" name="ESQ-R" sheetId="11" state="visible" r:id="rId11"/>
    <sheet xmlns:r="http://schemas.openxmlformats.org/officeDocument/2006/relationships" name="CFI" sheetId="12" state="visible" r:id="rId12"/>
    <sheet xmlns:r="http://schemas.openxmlformats.org/officeDocument/2006/relationships" name="ASRS" sheetId="13" state="visible" r:id="rId13"/>
    <sheet xmlns:r="http://schemas.openxmlformats.org/officeDocument/2006/relationships" name="SKS" sheetId="14" state="visible" r:id="rId14"/>
    <sheet xmlns:r="http://schemas.openxmlformats.org/officeDocument/2006/relationships" name="SUS" sheetId="15" state="visible" r:id="rId15"/>
    <sheet xmlns:r="http://schemas.openxmlformats.org/officeDocument/2006/relationships" name="SSES" sheetId="16" state="visible" r:id="rId16"/>
    <sheet xmlns:r="http://schemas.openxmlformats.org/officeDocument/2006/relationships" name="CSES" sheetId="17" state="visible" r:id="rId17"/>
    <sheet xmlns:r="http://schemas.openxmlformats.org/officeDocument/2006/relationships" name="PES Empowerment" sheetId="18" state="visible" r:id="rId18"/>
    <sheet xmlns:r="http://schemas.openxmlformats.org/officeDocument/2006/relationships" name="DASS-21" sheetId="19" state="visible" r:id="rId19"/>
    <sheet xmlns:r="http://schemas.openxmlformats.org/officeDocument/2006/relationships" name="PTQ" sheetId="20" state="visible" r:id="rId20"/>
    <sheet xmlns:r="http://schemas.openxmlformats.org/officeDocument/2006/relationships" name="RRS" sheetId="21" state="visible" r:id="rId21"/>
    <sheet xmlns:r="http://schemas.openxmlformats.org/officeDocument/2006/relationships" name="FSCRS" sheetId="22" state="visible" r:id="rId22"/>
    <sheet xmlns:r="http://schemas.openxmlformats.org/officeDocument/2006/relationships" name="PCI" sheetId="23" state="visible" r:id="rId23"/>
    <sheet xmlns:r="http://schemas.openxmlformats.org/officeDocument/2006/relationships" name="SCS-SF" sheetId="24" state="visible" r:id="rId24"/>
    <sheet xmlns:r="http://schemas.openxmlformats.org/officeDocument/2006/relationships" name="BPNSFS" sheetId="25" state="visible" r:id="rId25"/>
    <sheet xmlns:r="http://schemas.openxmlformats.org/officeDocument/2006/relationships" name="PPS" sheetId="26" state="visible" r:id="rId26"/>
    <sheet xmlns:r="http://schemas.openxmlformats.org/officeDocument/2006/relationships" name="IPS" sheetId="27" state="visible" r:id="rId27"/>
    <sheet xmlns:r="http://schemas.openxmlformats.org/officeDocument/2006/relationships" name="GSE" sheetId="28" state="visible" r:id="rId28"/>
    <sheet xmlns:r="http://schemas.openxmlformats.org/officeDocument/2006/relationships" name="GCS Goal Commitment" sheetId="29" state="visible" r:id="rId29"/>
    <sheet xmlns:r="http://schemas.openxmlformats.org/officeDocument/2006/relationships" name="GADJ Goal Adjustment" sheetId="30" state="visible" r:id="rId30"/>
  </sheets>
  <definedNames>
    <definedName name="_xlnm._FilterDatabase" localSheetId="1" hidden="1">'Hub Library'!$A$1:$L$21</definedName>
    <definedName name="_xlnm._FilterDatabase" localSheetId="2" hidden="1">'Hub Subscales'!$A$1:$M$52</definedName>
    <definedName name="_xlnm._FilterDatabase" localSheetId="3" hidden="1">'NovoPsych Catalogue'!$A$1:$T$151</definedName>
    <definedName name="_xlnm._FilterDatabase" localSheetId="4" hidden="1">'Batteries'!$A$1:$I$12</definedName>
    <definedName name="_xlnm._FilterDatabase" localSheetId="6" hidden="1">'Instrument Summary'!$A$1:$Z$21</definedName>
    <definedName name="_xlnm._FilterDatabase" localSheetId="7" hidden="1">'Master Item List'!$A$1:$K$308</definedName>
    <definedName name="_xlnm._FilterDatabase" localSheetId="8" hidden="1">'Structure and Subscales'!$A$1:$H$51</definedName>
    <definedName name="_xlnm._FilterDatabase" localSheetId="9" hidden="1">'References'!$A$1:$E$62</definedName>
    <definedName name="_xlnm._FilterDatabase" localSheetId="10" hidden="1">'ESQ-R'!$A$29:$F$54</definedName>
    <definedName name="_xlnm._FilterDatabase" localSheetId="11" hidden="1">'CFI'!$A$29:$F$49</definedName>
    <definedName name="_xlnm._FilterDatabase" localSheetId="12" hidden="1">'ASRS'!$A$29:$F$47</definedName>
    <definedName name="_xlnm._FilterDatabase" localSheetId="13" hidden="1">'SKS'!$A$29:$F$37</definedName>
    <definedName name="_xlnm._FilterDatabase" localSheetId="14" hidden="1">'SUS'!$A$29:$F$43</definedName>
    <definedName name="_xlnm._FilterDatabase" localSheetId="15" hidden="1">'SSES'!$A$29:$F$40</definedName>
    <definedName name="_xlnm._FilterDatabase" localSheetId="16" hidden="1">'CSES'!$A$29:$F$41</definedName>
    <definedName name="_xlnm._FilterDatabase" localSheetId="17" hidden="1">'PES Empowerment'!$A$29:$F$41</definedName>
    <definedName name="_xlnm._FilterDatabase" localSheetId="18" hidden="1">'DASS-21'!$A$29:$F$50</definedName>
    <definedName name="_xlnm._FilterDatabase" localSheetId="19" hidden="1">'PTQ'!$A$29:$F$44</definedName>
    <definedName name="_xlnm._FilterDatabase" localSheetId="20" hidden="1">'RRS'!$A$29:$F$51</definedName>
    <definedName name="_xlnm._FilterDatabase" localSheetId="21" hidden="1">'FSCRS'!$A$29:$F$51</definedName>
    <definedName name="_xlnm._FilterDatabase" localSheetId="22" hidden="1">'PCI'!$A$29:$F$54</definedName>
    <definedName name="_xlnm._FilterDatabase" localSheetId="23" hidden="1">'SCS-SF'!$A$29:$F$41</definedName>
    <definedName name="_xlnm._FilterDatabase" localSheetId="24" hidden="1">'BPNSFS'!$A$29:$F$53</definedName>
    <definedName name="_xlnm._FilterDatabase" localSheetId="25" hidden="1">'PPS'!$A$29:$F$41</definedName>
    <definedName name="_xlnm._FilterDatabase" localSheetId="26" hidden="1">'IPS'!$A$29:$F$38</definedName>
    <definedName name="_xlnm._FilterDatabase" localSheetId="27" hidden="1">'GSE'!$A$29:$F$39</definedName>
    <definedName name="_xlnm._FilterDatabase" localSheetId="28" hidden="1">'GCS Goal Commitment'!$A$29:$F$34</definedName>
    <definedName name="_xlnm._FilterDatabase" localSheetId="29" hidden="1">'GADJ Goal Adjustment'!$A$29:$F$39</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1F3864"/>
      <sz val="11"/>
    </font>
    <font>
      <name val="Arial"/>
      <charset val="1"/>
      <family val="0"/>
      <b val="1"/>
      <color rgb="FFFFFFFF"/>
      <sz val="10"/>
    </font>
    <font>
      <name val="Arial"/>
      <charset val="1"/>
      <family val="0"/>
      <i val="1"/>
      <color rgb="FF808080"/>
      <sz val="10"/>
    </font>
    <font>
      <name val="Arial"/>
      <charset val="1"/>
      <family val="0"/>
      <b val="1"/>
      <color rgb="FFB25E00"/>
      <sz val="10"/>
    </font>
    <font>
      <name val="Arial"/>
      <charset val="1"/>
      <family val="0"/>
      <b val="1"/>
      <color rgb="FFC00000"/>
      <sz val="10"/>
    </font>
    <font>
      <b val="1"/>
    </font>
    <font>
      <b val="1"/>
      <color rgb="00FFFFFF"/>
    </font>
  </fonts>
  <fills count="6">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
      <patternFill patternType="solid">
        <fgColor rgb="002E406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2" fillId="0" borderId="0" pivotButton="0" quotePrefix="0" xfId="0"/>
    <xf numFmtId="0" fontId="13" fillId="5" borderId="0" applyAlignment="1" pivotButton="0" quotePrefix="0" xfId="0">
      <alignment vertical="top" wrapText="1"/>
    </xf>
    <xf numFmtId="0" fontId="0" fillId="0" borderId="0" applyAlignment="1" pivotButton="0" quotePrefix="0" xfId="0">
      <alignment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B25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B25E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20" customWidth="1" style="16" min="2" max="2"/>
  </cols>
  <sheetData>
    <row r="1" ht="32.8" customHeight="1" s="17">
      <c r="A1" s="18" t="inlineStr">
        <is>
          <t>EF Client Hub Codebook</t>
        </is>
      </c>
      <c r="B1" s="19" t="n"/>
    </row>
    <row r="2" ht="15" customHeight="1" s="17">
      <c r="A2" s="20" t="inlineStr">
        <is>
          <t>Compiled for</t>
        </is>
      </c>
      <c r="B2" s="19" t="inlineStr">
        <is>
          <t>Executive Frame Client Hub (clients.executiveframe.co.nz), from the Charlotte Price Consulting Psychometric Codebook</t>
        </is>
      </c>
    </row>
    <row r="3" ht="15" customHeight="1" s="17">
      <c r="A3" s="20" t="inlineStr">
        <is>
          <t>Compiled</t>
        </is>
      </c>
      <c r="B3" s="19" t="inlineStr">
        <is>
          <t>18 October 2026 (duplicated from the CPC codebook compiled 26 September 2026)</t>
        </is>
      </c>
    </row>
    <row r="4" ht="15" customHeight="1" s="17">
      <c r="A4" s="20" t="inlineStr">
        <is>
          <t>Scope</t>
        </is>
      </c>
      <c r="B4" s="19" t="inlineStr">
        <is>
          <t>The working set of 20 instruments selected for practice use, across 6 domains. 307 items are reproduced verbatim.</t>
        </is>
      </c>
    </row>
    <row r="5" ht="23.85" customHeight="1" s="17">
      <c r="A5" s="20" t="inlineStr">
        <is>
          <t>Sources</t>
        </is>
      </c>
      <c r="B5" s="19" t="inlineStr">
        <is>
          <t>NovoPsych assessment pages and blank form PDFs, the official University of New South Wales DASS site, instrument developers, and original validation papers or authoritative open reproductions. Every record carries its source URL.</t>
        </is>
      </c>
    </row>
    <row r="6" ht="15" customHeight="1" s="17">
      <c r="A6" s="20" t="n"/>
      <c r="B6" s="19" t="n"/>
    </row>
    <row r="7" ht="15" customHeight="1" s="17">
      <c r="A7" s="21" t="inlineStr">
        <is>
          <t>Domains</t>
        </is>
      </c>
      <c r="B7" s="19" t="n"/>
    </row>
    <row r="8" ht="23.85" customHeight="1" s="17">
      <c r="A8" s="20" t="inlineStr">
        <is>
          <t>1. Executive functioning and ADHD</t>
        </is>
      </c>
      <c r="B8" s="19" t="inlineStr">
        <is>
          <t>ESQ-R, CFI and ASRS. The ESQ-R is the executive skills core of both executive function batteries and the ASRS adds current adult ADHD symptom screening. The CFI measures cognitive flexibility and is now used in the Perfectionism battery rather than the executive function batteries.</t>
        </is>
      </c>
    </row>
    <row r="9" ht="23.85" customHeight="1" s="17">
      <c r="A9" s="20" t="inlineStr">
        <is>
          <t>2. Strengths knowledge, use and support at work</t>
        </is>
      </c>
      <c r="B9" s="19" t="inlineStr">
        <is>
          <t>SKS, SUS and SSES: whether a client knows their strengths, uses them, and is confident applying them. These are the measures that show change across a coaching engagement.</t>
        </is>
      </c>
    </row>
    <row r="10" ht="23.85" customHeight="1" s="17">
      <c r="A10" s="20" t="inlineStr">
        <is>
          <t>3. Adjacent occupational and wellbeing</t>
        </is>
      </c>
      <c r="B10" s="19" t="inlineStr">
        <is>
          <t>Core Self Evaluations Scale and Psychological Empowerment Scale: general positive self appraisal and felt empowerment in a work role.</t>
        </is>
      </c>
    </row>
    <row r="11" ht="23.85" customHeight="1" s="17">
      <c r="A11" s="20" t="inlineStr">
        <is>
          <t>4. Psychological distress screening</t>
        </is>
      </c>
      <c r="B11" s="19" t="inlineStr">
        <is>
          <t>DASS-21: depression, anxiety and stress over the past week. A screening measure used to establish whether coaching can safely proceed and whether clinical input is needed.</t>
        </is>
      </c>
    </row>
    <row r="12" ht="23.85" customHeight="1" s="17">
      <c r="A12" s="20" t="inlineStr">
        <is>
          <t>5. Repetitive negative thinking and self talk</t>
        </is>
      </c>
      <c r="B12" s="19" t="inlineStr">
        <is>
          <t>PTQ and RRS measure the process of repetitive negative thinking rather than the resulting mood, which the DASS-21 captures. FSCRS and PCI measure self critical and perfectionistic self talk, and the SCS-SF measures the self compassionate counterpart that coaching aims to build.</t>
        </is>
      </c>
    </row>
    <row r="13" ht="35.05" customHeight="1" s="17">
      <c r="A13" s="20" t="inlineStr">
        <is>
          <t>6. Motivation, self determination and goal pursuit</t>
        </is>
      </c>
      <c r="B13" s="19" t="inlineStr">
        <is>
          <t>Basic Psychological Need Satisfaction and Frustration Scale, Pure and Irrational Procrastination Scales, General Self-Efficacy Scale, Goal Commitment Scale and Goal Adjustment Scale. The last 2 are specific to goals: commitment to a goal the client names, and the capacity to let go of unattainable goals and take up new ones.</t>
        </is>
      </c>
    </row>
    <row r="14" ht="15" customHeight="1" s="17">
      <c r="A14" s="20" t="n"/>
      <c r="B14" s="19" t="n"/>
    </row>
    <row r="15" ht="15" customHeight="1" s="17">
      <c r="A15" s="20" t="inlineStr">
        <is>
          <t>Sheet</t>
        </is>
      </c>
      <c r="B15" s="19" t="inlineStr">
        <is>
          <t>Contents</t>
        </is>
      </c>
    </row>
    <row r="16" ht="23.85" customHeight="1" s="17">
      <c r="A16" s="16" t="inlineStr">
        <is>
          <t>Hub Library</t>
        </is>
      </c>
      <c r="B16" s="16" t="inlineStr">
        <is>
          <t>One row per instrument as it appears in the Client Hub: the id and client facing name, whether it is included, its licence status for the hub (only cleared instruments can be assigned to clients), whether clients see strengths and areas of focus, item flags for Sarah, and the instructions shown on screen. Edit this sheet, then run npm run codebook to rebuild the hub library files.</t>
        </is>
      </c>
    </row>
    <row r="17" ht="23.85" customHeight="1" s="17">
      <c r="A17" s="16" t="inlineStr">
        <is>
          <t>Hub Subscales</t>
        </is>
      </c>
      <c r="B17" s="16" t="inlineStr">
        <is>
          <t>One row per subscale as the hub scores it: client facing label, scoring direction, method, optional band thresholds (blank means thirds of the response range), the strength and focus wording clients see once released, and the Learning Hub topic each area of focus links to. All wording is draft for Sarah to approve.</t>
        </is>
      </c>
    </row>
    <row r="18" ht="23.85" customHeight="1" s="17">
      <c r="A18" t="inlineStr">
        <is>
          <t>NovoPsych Catalogue</t>
        </is>
      </c>
      <c r="B18" t="inlineStr">
        <is>
          <t>All 150 assessments listed on novopsych.com on 18 October 2026, metadata only: name, code, NovoPsych categories, construct, items, respondent, age range, time, subscales and citation, with the copyright text as it appeared and a suggested hub relevance. NovoPsych loads scoring and licensing panels in the browser, so those columns are mostly "not stated" and the licence must be confirmed on the page or with the authors before an instrument is added. No item text was copied. Filter with the column headers.</t>
        </is>
      </c>
    </row>
    <row r="19" ht="23.85" customHeight="1" s="17">
      <c r="A19" s="20" t="inlineStr">
        <is>
          <t>Batteries</t>
        </is>
      </c>
      <c r="B19" s="19" t="inlineStr">
        <is>
          <t>The 11 assessment forms used in practice, each a combination of instruments: which instruments each contains, total items, the matching report skill, what it assesses and its scoring cautions. Below it, a map showing which batteries use each instrument.</t>
        </is>
      </c>
    </row>
    <row r="20" ht="15" customHeight="1" s="17">
      <c r="A20" s="20" t="inlineStr">
        <is>
          <t>Tally Prompt</t>
        </is>
      </c>
      <c r="B20" s="19" t="inlineStr">
        <is>
          <t>The prompt used to convert an existing Tally assessment form to a different battery, with instructions on which codebook fields to paste in and a checklist for testing the finished form.</t>
        </is>
      </c>
    </row>
    <row r="21" ht="15" customHeight="1" s="17">
      <c r="A21" s="20" t="inlineStr">
        <is>
          <t>Instrument Summary</t>
        </is>
      </c>
      <c r="B21" s="19" t="inlineStr">
        <is>
          <t>One row per instrument with domain, availability, item counts, construct, respondent, cost and access, coaching application, instructions, response options, scoring, interpretation, cut-offs, norms, psychometrics, developer citation, copyright and source.</t>
        </is>
      </c>
    </row>
    <row r="22" ht="15" customHeight="1" s="17">
      <c r="A22" s="20" t="inlineStr">
        <is>
          <t>Master Item List</t>
        </is>
      </c>
      <c r="B22" s="19" t="inlineStr">
        <is>
          <t>One row per item across all 20 instruments. Verbatim wording, subscale, reverse and filler flags, response options and notes. Filter on Domain or Code.</t>
        </is>
      </c>
    </row>
    <row r="23" ht="15" customHeight="1" s="17">
      <c r="A23" s="20" t="inlineStr">
        <is>
          <t>Structure and Subscales</t>
        </is>
      </c>
      <c r="B23" s="19" t="inlineStr">
        <is>
          <t>One row per subscale.</t>
        </is>
      </c>
    </row>
    <row r="24" ht="15" customHeight="1" s="17">
      <c r="A24" s="20" t="inlineStr">
        <is>
          <t>References</t>
        </is>
      </c>
      <c r="B24" s="19" t="inlineStr">
        <is>
          <t>Developer citations and reference lists in APA 7 format.</t>
        </is>
      </c>
    </row>
    <row r="25" ht="23.85" customHeight="1" s="17">
      <c r="A25" s="20" t="inlineStr">
        <is>
          <t>Individual instrument tabs</t>
        </is>
      </c>
      <c r="B25" s="19" t="inlineStr">
        <is>
          <t>One tab per instrument with its metadata block above its own item table.</t>
        </is>
      </c>
    </row>
    <row r="26" ht="15" customHeight="1" s="17">
      <c r="A26" s="20" t="n"/>
      <c r="B26" s="19" t="n"/>
    </row>
    <row r="27" ht="15" customHeight="1" s="17">
      <c r="A27" s="22" t="inlineStr">
        <is>
          <t>Hub conventions</t>
        </is>
      </c>
    </row>
    <row r="28" ht="15" customHeight="1" s="17">
      <c r="A28" s="16" t="inlineStr">
        <is>
          <t>Licence status</t>
        </is>
      </c>
      <c r="B28" s="16" t="inlineStr">
        <is>
          <t>cleared: can be assigned to clients. review: in the library file but not uploadable until the licence is confirmed. permission: written permission needed before use. excluded: left out of the hub. The hub refuses to assign anything that is not cleared.</t>
        </is>
      </c>
    </row>
    <row r="29" ht="15" customHeight="1" s="17">
      <c r="A29" s="16" t="inlineStr">
        <is>
          <t>Scoring direction</t>
        </is>
      </c>
      <c r="B29" s="16" t="inlineStr">
        <is>
          <t>difficulty: a higher score means more difficulty, so low scores are strengths and high scores are areas of focus. positive: the reverse. none: scored for Sarah only, never summarised to the client. Reverse scored items are reversed as min plus max minus the answer, so 1 to 7 scales reverse correctly.</t>
        </is>
      </c>
    </row>
    <row r="30" ht="15" customHeight="1" s="17">
      <c r="A30" s="21" t="inlineStr">
        <is>
          <t>Conventions</t>
        </is>
      </c>
      <c r="B30" s="19" t="n"/>
    </row>
    <row r="31" ht="23.85" customHeight="1" s="17">
      <c r="A31" s="20" t="inlineStr">
        <is>
          <t>Verbatim wording</t>
        </is>
      </c>
      <c r="B31" s="19" t="inlineStr">
        <is>
          <t>Item text is transcribed word for word from the source named against each instrument. Nothing has been paraphrased or reconstructed. Where an item could not be retrieved the cell says so.</t>
        </is>
      </c>
    </row>
    <row r="32" ht="23.85" customHeight="1" s="17">
      <c r="A32" s="20" t="inlineStr">
        <is>
          <t>Not stated on source</t>
        </is>
      </c>
      <c r="B32" s="19" t="inlineStr">
        <is>
          <t>The field is not published in the sources consulted.</t>
        </is>
      </c>
    </row>
    <row r="33" ht="23.85" customHeight="1" s="17">
      <c r="A33" s="20" t="inlineStr">
        <is>
          <t>Reverse and filler</t>
        </is>
      </c>
      <c r="B33" s="19" t="inlineStr">
        <is>
          <t>TRUE in the reverse column means the item is reversed before summing. TRUE in the filler column means the item is not scored at all.</t>
        </is>
      </c>
    </row>
    <row r="34" ht="35.05" customHeight="1" s="17">
      <c r="A34" s="20" t="inlineStr">
        <is>
          <t>Spelling</t>
        </is>
      </c>
      <c r="B34" s="19" t="inlineStr">
        <is>
          <t>Item wording is reproduced exactly as published, including United States spelling. Surrounding commentary uses UK spelling.</t>
        </is>
      </c>
    </row>
    <row r="35" ht="23.85" customHeight="1" s="17">
      <c r="A35" s="20" t="n"/>
      <c r="B35" s="19" t="n"/>
    </row>
    <row r="36" ht="35.05" customHeight="1" s="17">
      <c r="A36" s="21" t="inlineStr">
        <is>
          <t>Cautions and known gaps</t>
        </is>
      </c>
      <c r="B36" s="19" t="n"/>
    </row>
    <row r="37" ht="23.85" customHeight="1" s="17">
      <c r="A37" s="20" t="n"/>
      <c r="B37" s="19" t="inlineStr">
        <is>
          <t>ESQ-R and CFI are scored in opposite directions: higher ESQ-R means more executive difficulty, higher CFI means more flexibility. The ESQ-R norms are 327 Malaysian working adults; the CFI norms are 196 university students.</t>
        </is>
      </c>
    </row>
    <row r="38" ht="23.85" customHeight="1" s="17">
      <c r="A38" s="20" t="n"/>
      <c r="B38" s="19" t="inlineStr">
        <is>
          <t>ASRS Part A of 14 or more is a positive screen, not a diagnosis. Gallup style caution applies: always pair with clinical interview, and with the WURS-25 where childhood history is needed.</t>
        </is>
      </c>
    </row>
    <row r="39" ht="23.85" customHeight="1" s="17">
      <c r="A39" s="20" t="n"/>
      <c r="B39" s="19" t="inlineStr">
        <is>
          <t>SKS and SUS items are taken from an open access peer reviewed reproduction (Frontiers in Psychology, 2023). CAPP asserts copyright over the scales and one later reuse redacted them, so they are viewable and freely reprinted rather than formally public domain.</t>
        </is>
      </c>
    </row>
    <row r="40" ht="35.05" customHeight="1" s="17">
      <c r="A40" s="20" t="n"/>
      <c r="B40" s="19" t="inlineStr">
        <is>
          <t>DASS-21 is a screening measure only. It describes the past week, contains no item on suicidal thinking and does not assess risk. Items 10, 17 and 21 are followed up directly when endorsed at 2 or 3, as the practice report builder does. Severity labels are population position descriptors, not diagnostic thresholds.</t>
        </is>
      </c>
    </row>
    <row r="41" ht="35.05" customHeight="1" s="17">
      <c r="A41" s="20" t="n"/>
      <c r="B41" s="19" t="inlineStr">
        <is>
          <t>No normative percentile tables exist for the SKS, SUS, SSES, CSES or PES. They are continuous measures best read against a client’s own baseline across repeated administration.</t>
        </is>
      </c>
    </row>
    <row r="42" ht="68.65000000000001" customHeight="1" s="17">
      <c r="A42" s="20" t="n"/>
      <c r="B42" s="19" t="inlineStr">
        <is>
          <t>RRS: only the 5 item Brooding and 5 item Reflection subscales are recommended for coaching use. The remaining 12 items overlap with depressive symptom content and are retained for completeness only. NovoPsych hosts the RRS, but its scoring and norm text could not be retrieved, so interpretation here rests on Treynor, Gonzalez and Nolen-Hoeksema (2003).</t>
        </is>
      </c>
    </row>
    <row r="43">
      <c r="A43" s="20" t="n"/>
      <c r="B43" s="19" t="inlineStr">
        <is>
          <t>FSCRS item 9 sits close to self harm content. Frame it with care, and treat endorsement as a prompt for a conversation rather than a score. The FSCRS carries an author copyright notice with no commercial grant or restriction stated; a short email to the authors settles its use in paid practice.</t>
        </is>
      </c>
    </row>
    <row r="44">
      <c r="A44" s="20" t="n"/>
      <c r="B44" s="19" t="inlineStr">
        <is>
          <t>SCS-SF: items 1, 4, 8, 9, 11 and 12 are reverse scored. Higher total scores mean greater self compassion, so the direction runs opposite to the FSCRS, PCI, PTQ and RRS, where higher means more difficulty.</t>
        </is>
      </c>
    </row>
    <row r="45">
      <c r="A45" s="20" t="n"/>
      <c r="B45" s="19" t="inlineStr">
        <is>
          <t>IPS items 2, 6 and 9 are reverse scored. The PPS has no reversed items. Both are free for research and clinical purposes per the author, with items from a CC BY article.</t>
        </is>
      </c>
    </row>
    <row r="46">
      <c r="A46" s="20" t="n"/>
      <c r="B46" s="19" t="inlineStr">
        <is>
          <t>GCS: the 5 items refer to a goal the client names, so the form must ask for that goal first; no verbatim published instructions were located. Items 1, 2 and 4 are reverse scored. Commercial use may need permission from Howard Klein. The items were corrected against Klein et al. (2001) after an aggregator site listed 2 items from the older 9 item scale.</t>
        </is>
      </c>
    </row>
    <row r="47">
      <c r="A47" s="20" t="n"/>
      <c r="B47" s="19" t="inlineStr">
        <is>
          <t>GADJ (Goal Adjustment Scale, coded GADJ to avoid confusion with Goal Attainment Scaling): 4 disengagement and 6 reengagement items, scored separately; items 2 and 3 are reverse scored. The published article carries no licence statement, and permission should be sought from Carsten Wrosch before paid use.</t>
        </is>
      </c>
    </row>
    <row r="48">
      <c r="A48" s="20" t="n"/>
      <c r="B48" s="19" t="inlineStr">
        <is>
          <t>BPNSFS: copyrighted by the Center for Self-Determination Theory. Academic use is free, but the Center’s terms state it may not be used for any commercial purpose without written permission, and paid coaching counts as commercial. Request a commercial licence through the Center before using it with clients. The 6 subscales of 4 items each are scored separately; satisfaction and frustration are distinct constructs with different links to wellbeing and ill being, so read them as a profile rather than combining them. No items are reverse scored. Reliability figures come from an open academia.edu copy of Chen et al. (2015) and should be checked against the journal version before quoting. It replaces the older 21 item Basic Psychological Need Satisfaction in General Scale, which fitted poorly.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style="17" min="1" max="1"/>
    <col width="10" customWidth="1" style="17" min="2" max="2"/>
    <col width="30" customWidth="1" style="17" min="3" max="3"/>
    <col width="40" customWidth="1" style="17" min="4" max="4"/>
    <col width="14" customWidth="1" style="17" min="5" max="5"/>
    <col width="18" customWidth="1" style="17" min="6" max="6"/>
    <col width="60" customWidth="1" style="17" min="7" max="7"/>
    <col width="16" customWidth="1" style="17" min="8" max="8"/>
    <col width="20" customWidth="1" style="17" min="9" max="9"/>
    <col width="60" customWidth="1" style="17" min="10" max="10"/>
    <col width="8" customWidth="1" style="17" min="11" max="11"/>
    <col width="30" customWidth="1" style="17" min="12" max="12"/>
  </cols>
  <sheetData>
    <row r="1">
      <c r="A1" s="23" t="inlineStr">
        <is>
          <t>Code</t>
        </is>
      </c>
      <c r="B1" s="23" t="inlineStr">
        <is>
          <t>Hub id</t>
        </is>
      </c>
      <c r="C1" s="23" t="inlineStr">
        <is>
          <t>Name shown to clients</t>
        </is>
      </c>
      <c r="D1" s="23" t="inlineStr">
        <is>
          <t>Full instrument name</t>
        </is>
      </c>
      <c r="E1" s="23" t="inlineStr">
        <is>
          <t>Include in hub (Yes / No / Decide)</t>
        </is>
      </c>
      <c r="F1" s="23" t="inlineStr">
        <is>
          <t>Hub licence status (cleared / review / permission / excluded)</t>
        </is>
      </c>
      <c r="G1" s="23" t="inlineStr">
        <is>
          <t>Licence note</t>
        </is>
      </c>
      <c r="H1" s="23" t="inlineStr">
        <is>
          <t>Client sees strengths and focus (Yes / No)</t>
        </is>
      </c>
      <c r="I1" s="23" t="inlineStr">
        <is>
          <t>Flag items for Sarah (item numbers at threshold)</t>
        </is>
      </c>
      <c r="J1" s="23" t="inlineStr">
        <is>
          <t>Instructions shown to the client</t>
        </is>
      </c>
      <c r="K1" s="23" t="inlineStr">
        <is>
          <t>Minutes</t>
        </is>
      </c>
      <c r="L1" s="23" t="inlineStr">
        <is>
          <t>Notes</t>
        </is>
      </c>
    </row>
    <row r="2">
      <c r="A2" s="24" t="inlineStr">
        <is>
          <t>ESQ-R</t>
        </is>
      </c>
      <c r="B2" s="24" t="inlineStr">
        <is>
          <t>esq-r</t>
        </is>
      </c>
      <c r="C2" s="24" t="inlineStr">
        <is>
          <t>Everyday executive skills</t>
        </is>
      </c>
      <c r="D2" s="24" t="inlineStr">
        <is>
          <t>Executive Skills Questionnaire - Revised (ESQ-R)</t>
        </is>
      </c>
      <c r="E2" s="24" t="inlineStr">
        <is>
          <t>Yes</t>
        </is>
      </c>
      <c r="F2" s="24" t="inlineStr">
        <is>
          <t>review</t>
        </is>
      </c>
      <c r="G2" s="24" t="inlineStr">
        <is>
          <t>Strait et al. (2020) scale, free to use; NovoPsych page carries a NovoPsych copyright notice. Confirm with Dr Peg Dawson or the authors before clearing.</t>
        </is>
      </c>
      <c r="H2" s="24" t="inlineStr">
        <is>
          <t>Yes</t>
        </is>
      </c>
      <c r="I2" s="24" t="inlineStr"/>
      <c r="J2" s="24" t="inlineStr">
        <is>
          <t>Read each item and decide how often it's a problem for you.</t>
        </is>
      </c>
      <c r="K2" s="24" t="n">
        <v>5</v>
      </c>
      <c r="L2" s="24" t="inlineStr"/>
    </row>
    <row r="3">
      <c r="A3" s="24" t="inlineStr">
        <is>
          <t>CFI</t>
        </is>
      </c>
      <c r="B3" s="24" t="inlineStr">
        <is>
          <t>cfi</t>
        </is>
      </c>
      <c r="C3" s="24" t="inlineStr">
        <is>
          <t>Thinking flexibly</t>
        </is>
      </c>
      <c r="D3" s="24" t="inlineStr">
        <is>
          <t>Cognitive Flexibility Inventory (CFI)</t>
        </is>
      </c>
      <c r="E3" s="24" t="inlineStr">
        <is>
          <t>Yes</t>
        </is>
      </c>
      <c r="F3" s="24" t="inlineStr">
        <is>
          <t>review</t>
        </is>
      </c>
      <c r="G3" s="24" t="inlineStr">
        <is>
          <t>Dennis and Vander Wal (2010); NovoPsych reproduction carries a NovoPsych copyright notice. Confirm author permission before clearing.</t>
        </is>
      </c>
      <c r="H3" s="24" t="inlineStr">
        <is>
          <t>Yes</t>
        </is>
      </c>
      <c r="I3" s="24" t="inlineStr"/>
      <c r="J3" s="24" t="inlineStr">
        <is>
          <t>Please use the scale below to indicate the extent to which you agree or disagree with the following statements.</t>
        </is>
      </c>
      <c r="K3" s="24" t="n">
        <v>4</v>
      </c>
      <c r="L3" s="24" t="inlineStr"/>
    </row>
    <row r="4">
      <c r="A4" s="24" t="inlineStr">
        <is>
          <t>ASRS</t>
        </is>
      </c>
      <c r="B4" s="24" t="inlineStr">
        <is>
          <t>asrs</t>
        </is>
      </c>
      <c r="C4" s="24" t="inlineStr">
        <is>
          <t>Attention and activity</t>
        </is>
      </c>
      <c r="D4" s="24" t="inlineStr">
        <is>
          <t>Adult ADHD Self-Report Scale (ASRS v1.1)</t>
        </is>
      </c>
      <c r="E4" s="24" t="inlineStr">
        <is>
          <t>Yes</t>
        </is>
      </c>
      <c r="F4" s="24" t="inlineStr">
        <is>
          <t>cleared</t>
        </is>
      </c>
      <c r="G4" s="24" t="inlineStr">
        <is>
          <t>Public domain WHO instrument, freely reproducible for clinical use.</t>
        </is>
      </c>
      <c r="H4" s="24" t="inlineStr">
        <is>
          <t>No</t>
        </is>
      </c>
      <c r="I4" s="24" t="inlineStr"/>
      <c r="J4" s="24" t="inlineStr">
        <is>
          <t>Please answer the questions below, rating yourself on each of the criteria shown. As you answer each question, select the box that best describes how you have felt and conducted yourself over the past 6 months.</t>
        </is>
      </c>
      <c r="K4" s="24" t="n">
        <v>4</v>
      </c>
      <c r="L4" s="24" t="inlineStr"/>
    </row>
    <row r="5">
      <c r="A5" s="24" t="inlineStr">
        <is>
          <t>SKS</t>
        </is>
      </c>
      <c r="B5" s="24" t="inlineStr">
        <is>
          <t>sks</t>
        </is>
      </c>
      <c r="C5" s="24" t="inlineStr">
        <is>
          <t>Knowing your strengths</t>
        </is>
      </c>
      <c r="D5" s="24" t="inlineStr">
        <is>
          <t>Strengths Knowledge Scale</t>
        </is>
      </c>
      <c r="E5" s="24" t="inlineStr">
        <is>
          <t>Yes</t>
        </is>
      </c>
      <c r="F5" s="24" t="inlineStr">
        <is>
          <t>review</t>
        </is>
      </c>
      <c r="G5" s="24" t="inlineStr">
        <is>
          <t>No explicit licence found; CAPP asserts copyright over the scales. Confirm before clearing.</t>
        </is>
      </c>
      <c r="H5" s="24" t="inlineStr">
        <is>
          <t>Yes</t>
        </is>
      </c>
      <c r="I5" s="24" t="inlineStr"/>
      <c r="J5" s="24" t="inlineStr">
        <is>
          <t>Not stated on source</t>
        </is>
      </c>
      <c r="K5" s="24" t="n">
        <v>2</v>
      </c>
      <c r="L5" s="24" t="inlineStr"/>
    </row>
    <row r="6">
      <c r="A6" s="24" t="inlineStr">
        <is>
          <t>SUS</t>
        </is>
      </c>
      <c r="B6" s="24" t="inlineStr">
        <is>
          <t>sus</t>
        </is>
      </c>
      <c r="C6" s="24" t="inlineStr">
        <is>
          <t>Using your strengths</t>
        </is>
      </c>
      <c r="D6" s="24" t="inlineStr">
        <is>
          <t>Strengths Use Scale</t>
        </is>
      </c>
      <c r="E6" s="24" t="inlineStr">
        <is>
          <t>Yes</t>
        </is>
      </c>
      <c r="F6" s="24" t="inlineStr">
        <is>
          <t>review</t>
        </is>
      </c>
      <c r="G6" s="24" t="inlineStr">
        <is>
          <t>No explicit licence found; CAPP asserts copyright over the scales. Confirm before clearing.</t>
        </is>
      </c>
      <c r="H6" s="24" t="inlineStr">
        <is>
          <t>Yes</t>
        </is>
      </c>
      <c r="I6" s="24" t="inlineStr"/>
      <c r="J6" s="24" t="inlineStr">
        <is>
          <t>The following 14 questions ask about your strengths, that is, the things that you can do well or do best.</t>
        </is>
      </c>
      <c r="K6" s="24" t="n">
        <v>3</v>
      </c>
      <c r="L6" s="24" t="inlineStr"/>
    </row>
    <row r="7">
      <c r="A7" s="24" t="inlineStr">
        <is>
          <t>SSES</t>
        </is>
      </c>
      <c r="B7" s="24" t="inlineStr">
        <is>
          <t>sses</t>
        </is>
      </c>
      <c r="C7" s="24" t="inlineStr">
        <is>
          <t>Confidence in your strengths</t>
        </is>
      </c>
      <c r="D7" s="24" t="inlineStr">
        <is>
          <t>Strengths Self-Efficacy Scale</t>
        </is>
      </c>
      <c r="E7" s="24" t="inlineStr">
        <is>
          <t>Yes</t>
        </is>
      </c>
      <c r="F7" s="24" t="inlineStr">
        <is>
          <t>review</t>
        </is>
      </c>
      <c r="G7" s="24" t="inlineStr">
        <is>
          <t>Distributed free for practitioner use by PositivePsychology.com; no explicit licence from the authors. Confirm before clearing.</t>
        </is>
      </c>
      <c r="H7" s="24" t="inlineStr">
        <is>
          <t>Yes</t>
        </is>
      </c>
      <c r="I7" s="24" t="inlineStr"/>
      <c r="J7" s="24" t="inlineStr">
        <is>
          <t>First, please list your 5 signature strengths below: [space for 5 strengths]. How confident are you in your ability to ....</t>
        </is>
      </c>
      <c r="K7" s="24" t="n">
        <v>3</v>
      </c>
      <c r="L7" s="24" t="inlineStr"/>
    </row>
    <row r="8">
      <c r="A8" s="24" t="inlineStr">
        <is>
          <t>CSES</t>
        </is>
      </c>
      <c r="B8" s="24" t="inlineStr">
        <is>
          <t>cses</t>
        </is>
      </c>
      <c r="C8" s="24" t="inlineStr">
        <is>
          <t>How you see yourself</t>
        </is>
      </c>
      <c r="D8" s="24" t="inlineStr">
        <is>
          <t>Core Self-Evaluations Scale</t>
        </is>
      </c>
      <c r="E8" s="24" t="inlineStr">
        <is>
          <t>Yes</t>
        </is>
      </c>
      <c r="F8" s="24" t="inlineStr">
        <is>
          <t>cleared</t>
        </is>
      </c>
      <c r="G8" s="24" t="inlineStr">
        <is>
          <t>Stated non proprietary and free to use without permission.</t>
        </is>
      </c>
      <c r="H8" s="24" t="inlineStr">
        <is>
          <t>Yes</t>
        </is>
      </c>
      <c r="I8" s="24" t="inlineStr"/>
      <c r="J8" s="24" t="inlineStr">
        <is>
          <t>Not retrieved verbatim from a fetched source; the CSES PDF reproduces the item table and response scale but the source fetched did not include a printed respondent-facing preamble/instruction sentence.</t>
        </is>
      </c>
      <c r="K8" s="24" t="n">
        <v>3</v>
      </c>
      <c r="L8" s="24" t="inlineStr"/>
    </row>
    <row r="9">
      <c r="A9" s="24" t="inlineStr">
        <is>
          <t>PES</t>
        </is>
      </c>
      <c r="B9" s="24" t="inlineStr">
        <is>
          <t>pes</t>
        </is>
      </c>
      <c r="C9" s="24" t="inlineStr">
        <is>
          <t>Feeling empowered at work</t>
        </is>
      </c>
      <c r="D9" s="24" t="inlineStr">
        <is>
          <t>Psychological Empowerment Scale</t>
        </is>
      </c>
      <c r="E9" s="24" t="inlineStr">
        <is>
          <t>Yes</t>
        </is>
      </c>
      <c r="F9" s="24" t="inlineStr">
        <is>
          <t>cleared</t>
        </is>
      </c>
      <c r="G9" s="24" t="inlineStr">
        <is>
          <t>Hosted freely by the author for research and practice use.</t>
        </is>
      </c>
      <c r="H9" s="24" t="inlineStr">
        <is>
          <t>Yes</t>
        </is>
      </c>
      <c r="I9" s="24" t="inlineStr"/>
      <c r="J9" s="24" t="inlineStr">
        <is>
          <t>Listed below are a number of self-orientations that people may have with regard to their work role. Using the following scale, please indicate the extent to which you agree or disagree that each one describes your self-orientation.</t>
        </is>
      </c>
      <c r="K9" s="24" t="n">
        <v>3</v>
      </c>
      <c r="L9" s="24" t="inlineStr"/>
    </row>
    <row r="10">
      <c r="A10" s="24" t="inlineStr">
        <is>
          <t>DASS-21</t>
        </is>
      </c>
      <c r="B10" s="24" t="inlineStr">
        <is>
          <t>dass-21</t>
        </is>
      </c>
      <c r="C10" s="24" t="inlineStr">
        <is>
          <t>How you have been feeling this week</t>
        </is>
      </c>
      <c r="D10" s="24" t="inlineStr">
        <is>
          <t>Depression Anxiety Stress Scales, 21 item version (DASS-21)</t>
        </is>
      </c>
      <c r="E10" s="24" t="inlineStr">
        <is>
          <t>Yes</t>
        </is>
      </c>
      <c r="F10" s="24" t="inlineStr">
        <is>
          <t>cleared</t>
        </is>
      </c>
      <c r="G10" s="24" t="inlineStr">
        <is>
          <t>Public domain per the official UNSW DASS site.</t>
        </is>
      </c>
      <c r="H10" s="24" t="inlineStr">
        <is>
          <t>No</t>
        </is>
      </c>
      <c r="I10" s="24" t="inlineStr">
        <is>
          <t>10,17,21 at 2</t>
        </is>
      </c>
      <c r="J10" s="24" t="inlineStr">
        <is>
          <t>Please read each statement and choose the answer that shows how much the statement applied to you over the past week. There are no right or wrong answers. Do not spend too much time on any statement.</t>
        </is>
      </c>
      <c r="K10" s="24" t="n">
        <v>4</v>
      </c>
      <c r="L10" s="24" t="inlineStr">
        <is>
          <t>Instructions reworded for the screen ("choose the answer" in place of "circle a number"); otherwise verbatim.</t>
        </is>
      </c>
    </row>
    <row r="11">
      <c r="A11" s="24" t="inlineStr">
        <is>
          <t>PTQ</t>
        </is>
      </c>
      <c r="B11" s="24" t="inlineStr">
        <is>
          <t>ptq</t>
        </is>
      </c>
      <c r="C11" s="24" t="inlineStr">
        <is>
          <t>Repetitive thinking</t>
        </is>
      </c>
      <c r="D11" s="24" t="inlineStr">
        <is>
          <t>Perseverative Thinking Questionnaire</t>
        </is>
      </c>
      <c r="E11" s="24" t="inlineStr">
        <is>
          <t>Yes</t>
        </is>
      </c>
      <c r="F11" s="24" t="inlineStr">
        <is>
          <t>review</t>
        </is>
      </c>
      <c r="G11" s="24" t="inlineStr">
        <is>
          <t>Elsevier copyright on the article; no permission statement for practice use found. Confirm before clearing.</t>
        </is>
      </c>
      <c r="H11" s="24" t="inlineStr">
        <is>
          <t>Yes</t>
        </is>
      </c>
      <c r="I11" s="24" t="inlineStr"/>
      <c r="J11" s="24" t="inlineStr">
        <is>
          <t>In this questionnaire, you will be asked to describe how you typically think about negative experiences or problems. Please read the following statements and rate the extent to which they apply to you when you think about negative experiences or problems.</t>
        </is>
      </c>
      <c r="K11" s="24" t="n">
        <v>4</v>
      </c>
      <c r="L11" s="24" t="inlineStr"/>
    </row>
    <row r="12">
      <c r="A12" s="24" t="inlineStr">
        <is>
          <t>RRS</t>
        </is>
      </c>
      <c r="B12" s="24" t="inlineStr">
        <is>
          <t>rrs</t>
        </is>
      </c>
      <c r="C12" s="24" t="inlineStr">
        <is>
          <t>Responding to low mood</t>
        </is>
      </c>
      <c r="D12" s="24" t="inlineStr">
        <is>
          <t>Ruminative Responses Scale</t>
        </is>
      </c>
      <c r="E12" s="24" t="inlineStr">
        <is>
          <t>Yes</t>
        </is>
      </c>
      <c r="F12" s="24" t="inlineStr">
        <is>
          <t>review</t>
        </is>
      </c>
      <c r="G12" s="24" t="inlineStr">
        <is>
          <t>No explicit licence statement found. Confirm before clearing. Only Brooding and Reflection are scored.</t>
        </is>
      </c>
      <c r="H12" s="24" t="inlineStr">
        <is>
          <t>Yes</t>
        </is>
      </c>
      <c r="I12" s="24" t="inlineStr"/>
      <c r="J12" s="24" t="inlineStr">
        <is>
          <t>Please read each of the items below and indicate whether you almost never, sometimes, often, or almost always think or do each one when you feel down, sad, or depressed. Please indicate what you generally do, not what you think you should do.</t>
        </is>
      </c>
      <c r="K12" s="24" t="n">
        <v>5</v>
      </c>
      <c r="L12" s="24" t="inlineStr"/>
    </row>
    <row r="13">
      <c r="A13" s="24" t="inlineStr">
        <is>
          <t>FSCRS</t>
        </is>
      </c>
      <c r="B13" s="24" t="inlineStr">
        <is>
          <t>fscrs</t>
        </is>
      </c>
      <c r="C13" s="24" t="inlineStr">
        <is>
          <t>How you talk to yourself</t>
        </is>
      </c>
      <c r="D13" s="24" t="inlineStr">
        <is>
          <t>Forms of Self-Criticising/Attacking and Self-Reassuring Scale</t>
        </is>
      </c>
      <c r="E13" s="24" t="inlineStr">
        <is>
          <t>Yes</t>
        </is>
      </c>
      <c r="F13" s="24" t="inlineStr">
        <is>
          <t>review</t>
        </is>
      </c>
      <c r="G13" s="24" t="inlineStr">
        <is>
          <t>Author copyright notice (Gilbert et al., 2004); no explicit practice use grant found. Confirm before clearing.</t>
        </is>
      </c>
      <c r="H13" s="24" t="inlineStr">
        <is>
          <t>Yes</t>
        </is>
      </c>
      <c r="I13" s="24" t="inlineStr">
        <is>
          <t>9 at 1</t>
        </is>
      </c>
      <c r="J13" s="24"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choose the answer that best describes how much each statement is true for you.</t>
        </is>
      </c>
      <c r="K13" s="24" t="n">
        <v>5</v>
      </c>
      <c r="L13" s="24" t="inlineStr">
        <is>
          <t>Instructions reworded for the screen ("choose the answer"); otherwise verbatim.</t>
        </is>
      </c>
    </row>
    <row r="14">
      <c r="A14" s="24" t="inlineStr">
        <is>
          <t>PCI</t>
        </is>
      </c>
      <c r="B14" s="24" t="inlineStr">
        <is>
          <t>pci</t>
        </is>
      </c>
      <c r="C14" s="24" t="inlineStr">
        <is>
          <t>Perfectionistic thoughts</t>
        </is>
      </c>
      <c r="D14" s="24" t="inlineStr">
        <is>
          <t>Perfectionism Cognitions Inventory</t>
        </is>
      </c>
      <c r="E14" s="24" t="inlineStr">
        <is>
          <t>Yes</t>
        </is>
      </c>
      <c r="F14" s="24" t="inlineStr">
        <is>
          <t>review</t>
        </is>
      </c>
      <c r="G14" s="24" t="inlineStr">
        <is>
          <t>No explicit restriction found; Hewitt Lab hosts the document. Confirm before clearing.</t>
        </is>
      </c>
      <c r="H14" s="24" t="inlineStr">
        <is>
          <t>Yes</t>
        </is>
      </c>
      <c r="I14" s="24" t="inlineStr"/>
      <c r="J14" s="24" t="inlineStr">
        <is>
          <t>Listed below are a variety of thoughts about perfectionism that sometimes pop into people's heads. Please read each thought and indicate how frequently, if at all, the thoughts occurred to you over the last week.</t>
        </is>
      </c>
      <c r="K14" s="24" t="n">
        <v>5</v>
      </c>
      <c r="L14" s="24" t="inlineStr"/>
    </row>
    <row r="15">
      <c r="A15" s="24" t="inlineStr">
        <is>
          <t>SCS-SF</t>
        </is>
      </c>
      <c r="B15" s="24" t="inlineStr">
        <is>
          <t>scs-sf</t>
        </is>
      </c>
      <c r="C15" s="24" t="inlineStr">
        <is>
          <t>Self compassion</t>
        </is>
      </c>
      <c r="D15" s="24" t="inlineStr">
        <is>
          <t>Self-Compassion Scale – Short Form</t>
        </is>
      </c>
      <c r="E15" s="24" t="inlineStr">
        <is>
          <t>Yes</t>
        </is>
      </c>
      <c r="F15" s="24" t="inlineStr">
        <is>
          <t>review</t>
        </is>
      </c>
      <c r="G15" s="24" t="inlineStr">
        <is>
          <t>Author permits research use; practice use not addressed. Confirm with Dr Kristin Neff before clearing.</t>
        </is>
      </c>
      <c r="H15" s="24" t="inlineStr">
        <is>
          <t>Yes</t>
        </is>
      </c>
      <c r="I15" s="24" t="inlineStr"/>
      <c r="J15" s="24" t="inlineStr">
        <is>
          <t>Please read each statement carefully before answering. Indicate how often you behave in the stated manner.</t>
        </is>
      </c>
      <c r="K15" s="24" t="n">
        <v>3</v>
      </c>
      <c r="L15" s="24" t="inlineStr"/>
    </row>
    <row r="16">
      <c r="A16" s="24" t="inlineStr">
        <is>
          <t>BPNSFS</t>
        </is>
      </c>
      <c r="B16" s="24" t="inlineStr">
        <is>
          <t>bpnsfs</t>
        </is>
      </c>
      <c r="C16" s="24" t="inlineStr">
        <is>
          <t>What you need to feel at your best</t>
        </is>
      </c>
      <c r="D16" s="24" t="inlineStr">
        <is>
          <t>Basic Psychological Need Satisfaction and Frustration Scale (BPNSFS)</t>
        </is>
      </c>
      <c r="E16" s="24" t="inlineStr">
        <is>
          <t>Decide</t>
        </is>
      </c>
      <c r="F16" s="24" t="inlineStr">
        <is>
          <t>permission</t>
        </is>
      </c>
      <c r="G16" s="24" t="inlineStr">
        <is>
          <t>Copyright Center for Self-Determination Theory; written permission required for commercial use.</t>
        </is>
      </c>
      <c r="H16" s="24" t="inlineStr">
        <is>
          <t>Yes</t>
        </is>
      </c>
      <c r="I16" s="24" t="inlineStr"/>
      <c r="J16" s="24" t="inlineStr">
        <is>
          <t>Below, we ask you about the kind of experiences you actually have in your life. Please read each of the following items carefully. You can choose from 1 to 5 to indicate the degree to which the statement is true for you at this point in your life.</t>
        </is>
      </c>
      <c r="K16" s="24" t="n">
        <v>5</v>
      </c>
      <c r="L16" s="24" t="inlineStr"/>
    </row>
    <row r="17">
      <c r="A17" s="24" t="inlineStr">
        <is>
          <t>PPS</t>
        </is>
      </c>
      <c r="B17" s="24" t="inlineStr">
        <is>
          <t>pps</t>
        </is>
      </c>
      <c r="C17" s="24" t="inlineStr">
        <is>
          <t>Putting things off</t>
        </is>
      </c>
      <c r="D17" s="24" t="inlineStr">
        <is>
          <t>Pure Procrastination Scale</t>
        </is>
      </c>
      <c r="E17" s="24" t="inlineStr">
        <is>
          <t>Yes</t>
        </is>
      </c>
      <c r="F17" s="24" t="inlineStr">
        <is>
          <t>cleared</t>
        </is>
      </c>
      <c r="G17" s="24" t="inlineStr">
        <is>
          <t>Items published under CC BY (Svartdal and Steel, 2017).</t>
        </is>
      </c>
      <c r="H17" s="24" t="inlineStr">
        <is>
          <t>Yes</t>
        </is>
      </c>
      <c r="I17" s="24" t="inlineStr"/>
      <c r="J17" s="24" t="inlineStr">
        <is>
          <t>Not stated on source</t>
        </is>
      </c>
      <c r="K17" s="24" t="n">
        <v>3</v>
      </c>
      <c r="L17" s="24" t="inlineStr"/>
    </row>
    <row r="18">
      <c r="A18" s="24" t="inlineStr">
        <is>
          <t>IPS</t>
        </is>
      </c>
      <c r="B18" s="24" t="inlineStr">
        <is>
          <t>ips</t>
        </is>
      </c>
      <c r="C18" s="24" t="inlineStr">
        <is>
          <t>Delaying despite good intentions</t>
        </is>
      </c>
      <c r="D18" s="24" t="inlineStr">
        <is>
          <t>Irrational Procrastination Scale</t>
        </is>
      </c>
      <c r="E18" s="24" t="inlineStr">
        <is>
          <t>Yes</t>
        </is>
      </c>
      <c r="F18" s="24" t="inlineStr">
        <is>
          <t>cleared</t>
        </is>
      </c>
      <c r="G18" s="24" t="inlineStr">
        <is>
          <t>Items published under CC BY (Svartdal and Steel, 2017).</t>
        </is>
      </c>
      <c r="H18" s="24" t="inlineStr">
        <is>
          <t>Yes</t>
        </is>
      </c>
      <c r="I18" s="24" t="inlineStr"/>
      <c r="J18" s="24" t="inlineStr">
        <is>
          <t>Not stated on source</t>
        </is>
      </c>
      <c r="K18" s="24" t="n">
        <v>2</v>
      </c>
      <c r="L18" s="24" t="inlineStr"/>
    </row>
    <row r="19">
      <c r="A19" s="24" t="inlineStr">
        <is>
          <t>GSE</t>
        </is>
      </c>
      <c r="B19" s="24" t="inlineStr">
        <is>
          <t>gse</t>
        </is>
      </c>
      <c r="C19" s="24" t="inlineStr">
        <is>
          <t>Confidence in handling challenges</t>
        </is>
      </c>
      <c r="D19" s="24" t="inlineStr">
        <is>
          <t>General Self-Efficacy Scale</t>
        </is>
      </c>
      <c r="E19" s="24" t="inlineStr">
        <is>
          <t>Yes</t>
        </is>
      </c>
      <c r="F19" s="24" t="inlineStr">
        <is>
          <t>cleared</t>
        </is>
      </c>
      <c r="G19" s="24" t="inlineStr">
        <is>
          <t>Authors grant permission to use and reproduce.</t>
        </is>
      </c>
      <c r="H19" s="24" t="inlineStr">
        <is>
          <t>Yes</t>
        </is>
      </c>
      <c r="I19" s="24" t="inlineStr"/>
      <c r="J19" s="24" t="inlineStr">
        <is>
          <t>Not stated on source</t>
        </is>
      </c>
      <c r="K19" s="24" t="n">
        <v>2</v>
      </c>
      <c r="L19" s="24" t="inlineStr"/>
    </row>
    <row r="20">
      <c r="A20" s="24" t="inlineStr">
        <is>
          <t>GCS</t>
        </is>
      </c>
      <c r="B20" s="24" t="inlineStr">
        <is>
          <t>gcs</t>
        </is>
      </c>
      <c r="C20" s="24" t="inlineStr">
        <is>
          <t>Commitment to your goal</t>
        </is>
      </c>
      <c r="D20" s="24" t="inlineStr">
        <is>
          <t>Goal Commitment Scale (5-item unidimensional version)</t>
        </is>
      </c>
      <c r="E20" s="24" t="inlineStr">
        <is>
          <t>Decide</t>
        </is>
      </c>
      <c r="F20" s="24" t="inlineStr">
        <is>
          <t>permission</t>
        </is>
      </c>
      <c r="G20" s="24" t="inlineStr">
        <is>
          <t>No licence statement found; paywalled Elsevier article. Confirm before clearing. The form must ask the client to name a goal first.</t>
        </is>
      </c>
      <c r="H20" s="24" t="inlineStr">
        <is>
          <t>Yes</t>
        </is>
      </c>
      <c r="I20" s="24" t="inlineStr"/>
      <c r="J20" s="24" t="inlineStr">
        <is>
          <t>Think of the main goal you are working on with Sarah. Answer each statement about that goal.</t>
        </is>
      </c>
      <c r="K20" s="24" t="n">
        <v>2</v>
      </c>
      <c r="L20" s="24" t="inlineStr">
        <is>
          <t>No verbatim published instructions exist. Draft wording for Sarah; the hub does not yet ask the client to type the goal.</t>
        </is>
      </c>
    </row>
    <row r="21">
      <c r="A21" s="24" t="inlineStr">
        <is>
          <t>GADJ</t>
        </is>
      </c>
      <c r="B21" s="24" t="inlineStr">
        <is>
          <t>gadj</t>
        </is>
      </c>
      <c r="C21" s="24" t="inlineStr">
        <is>
          <t>Adjusting your goals</t>
        </is>
      </c>
      <c r="D21" s="24" t="inlineStr">
        <is>
          <t>Goal Adjustment Scale</t>
        </is>
      </c>
      <c r="E21" s="24" t="inlineStr">
        <is>
          <t>Decide</t>
        </is>
      </c>
      <c r="F21" s="24" t="inlineStr">
        <is>
          <t>permission</t>
        </is>
      </c>
      <c r="G21" s="24" t="inlineStr">
        <is>
          <t>Society for Personality and Social Psychology copyright; no permission statement found. Confirm before clearing.</t>
        </is>
      </c>
      <c r="H21" s="24" t="inlineStr">
        <is>
          <t>Yes</t>
        </is>
      </c>
      <c r="I21" s="24" t="inlineStr"/>
      <c r="J21" s="24"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K21" s="24" t="n">
        <v>3</v>
      </c>
      <c r="L21" s="24" t="inlineStr"/>
    </row>
  </sheetData>
  <autoFilter ref="A1:L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2"/>
  <sheetViews>
    <sheetView workbookViewId="0">
      <pane ySplit="1" topLeftCell="A2" activePane="bottomLeft" state="frozen"/>
      <selection pane="bottomLeft" activeCell="A1" sqref="A1"/>
    </sheetView>
  </sheetViews>
  <sheetFormatPr baseColWidth="8" defaultRowHeight="15"/>
  <cols>
    <col width="10" customWidth="1" style="17" min="1" max="1"/>
    <col width="34" customWidth="1" style="17" min="2" max="2"/>
    <col width="18" customWidth="1" style="17" min="3" max="3"/>
    <col width="28" customWidth="1" style="17" min="4" max="4"/>
    <col width="16" customWidth="1" style="17" min="5" max="5"/>
    <col width="10" customWidth="1" style="17" min="6" max="6"/>
    <col width="12" customWidth="1" style="17" min="7" max="7"/>
    <col width="12" customWidth="1" style="17" min="8" max="8"/>
    <col width="50" customWidth="1" style="17" min="9" max="9"/>
    <col width="50" customWidth="1" style="17" min="10" max="10"/>
    <col width="24" customWidth="1" style="17" min="11" max="11"/>
    <col width="44" customWidth="1" style="17" min="12" max="12"/>
    <col width="40" customWidth="1" style="17" min="13" max="13"/>
  </cols>
  <sheetData>
    <row r="1">
      <c r="A1" s="23" t="inlineStr">
        <is>
          <t>Code</t>
        </is>
      </c>
      <c r="B1" s="23" t="inlineStr">
        <is>
          <t>Codebook subscale</t>
        </is>
      </c>
      <c r="C1" s="23" t="inlineStr">
        <is>
          <t>Hub subscale id</t>
        </is>
      </c>
      <c r="D1" s="23" t="inlineStr">
        <is>
          <t>Label shown to clients</t>
        </is>
      </c>
      <c r="E1" s="23" t="inlineStr">
        <is>
          <t>Scoring direction (difficulty / positive / none)</t>
        </is>
      </c>
      <c r="F1" s="23" t="inlineStr">
        <is>
          <t>Method (mean / sum)</t>
        </is>
      </c>
      <c r="G1" s="23" t="inlineStr">
        <is>
          <t>Lower band up to (blank = third of range)</t>
        </is>
      </c>
      <c r="H1" s="23" t="inlineStr">
        <is>
          <t>Upper band up to (blank = two thirds of range)</t>
        </is>
      </c>
      <c r="I1" s="23" t="inlineStr">
        <is>
          <t>Strength wording (client sees)</t>
        </is>
      </c>
      <c r="J1" s="23" t="inlineStr">
        <is>
          <t>Focus wording (client sees)</t>
        </is>
      </c>
      <c r="K1" s="23" t="inlineStr">
        <is>
          <t>Learning Hub topic</t>
        </is>
      </c>
      <c r="L1" s="23" t="inlineStr">
        <is>
          <t>Topic URL</t>
        </is>
      </c>
      <c r="M1" s="23" t="inlineStr">
        <is>
          <t>Notes</t>
        </is>
      </c>
    </row>
    <row r="2">
      <c r="A2" s="24" t="inlineStr">
        <is>
          <t>ESQ-R</t>
        </is>
      </c>
      <c r="B2" s="24" t="inlineStr">
        <is>
          <t>Plan Management</t>
        </is>
      </c>
      <c r="C2" s="24" t="inlineStr">
        <is>
          <t>plan</t>
        </is>
      </c>
      <c r="D2" s="24" t="inlineStr">
        <is>
          <t>Planning and managing tasks</t>
        </is>
      </c>
      <c r="E2" s="24" t="inlineStr">
        <is>
          <t>difficulty</t>
        </is>
      </c>
      <c r="F2" s="24" t="inlineStr">
        <is>
          <t>mean</t>
        </is>
      </c>
      <c r="G2" s="24" t="inlineStr"/>
      <c r="H2" s="24" t="inlineStr"/>
      <c r="I2" s="24" t="inlineStr">
        <is>
          <t>You described planning and managing tasks as something that mostly goes smoothly for you.</t>
        </is>
      </c>
      <c r="J2" s="24" t="inlineStr">
        <is>
          <t>Planning and keeping track of tasks came up often in your answers.</t>
        </is>
      </c>
      <c r="K2" s="24" t="inlineStr">
        <is>
          <t>Planning and prioritising</t>
        </is>
      </c>
      <c r="L2" s="24" t="inlineStr">
        <is>
          <t>https://app.executiveframe.co.nz/hub/planning</t>
        </is>
      </c>
      <c r="M2" s="24" t="inlineStr"/>
    </row>
    <row r="3">
      <c r="A3" s="24" t="inlineStr">
        <is>
          <t>ESQ-R</t>
        </is>
      </c>
      <c r="B3" s="24" t="inlineStr">
        <is>
          <t>Time Management</t>
        </is>
      </c>
      <c r="C3" s="24" t="inlineStr">
        <is>
          <t>time</t>
        </is>
      </c>
      <c r="D3" s="24" t="inlineStr">
        <is>
          <t>Managing time</t>
        </is>
      </c>
      <c r="E3" s="24" t="inlineStr">
        <is>
          <t>difficulty</t>
        </is>
      </c>
      <c r="F3" s="24" t="inlineStr">
        <is>
          <t>mean</t>
        </is>
      </c>
      <c r="G3" s="24" t="inlineStr"/>
      <c r="H3" s="24" t="inlineStr"/>
      <c r="I3" s="24" t="inlineStr">
        <is>
          <t>You told us that keeping to time mostly works for you.</t>
        </is>
      </c>
      <c r="J3" s="24" t="inlineStr">
        <is>
          <t>Estimating and keeping to time came up as a difficulty in your answers.</t>
        </is>
      </c>
      <c r="K3" s="24" t="inlineStr">
        <is>
          <t>Time and estimating</t>
        </is>
      </c>
      <c r="L3" s="24" t="inlineStr">
        <is>
          <t>https://app.executiveframe.co.nz/hub/time</t>
        </is>
      </c>
      <c r="M3" s="24" t="inlineStr"/>
    </row>
    <row r="4">
      <c r="A4" s="24" t="inlineStr">
        <is>
          <t>ESQ-R</t>
        </is>
      </c>
      <c r="B4" s="24" t="inlineStr">
        <is>
          <t>Organization</t>
        </is>
      </c>
      <c r="C4" s="24" t="inlineStr">
        <is>
          <t>organisation</t>
        </is>
      </c>
      <c r="D4" s="24" t="inlineStr">
        <is>
          <t>Staying organised</t>
        </is>
      </c>
      <c r="E4" s="24" t="inlineStr">
        <is>
          <t>difficulty</t>
        </is>
      </c>
      <c r="F4" s="24" t="inlineStr">
        <is>
          <t>mean</t>
        </is>
      </c>
      <c r="G4" s="24" t="inlineStr"/>
      <c r="H4" s="24" t="inlineStr"/>
      <c r="I4" s="24" t="inlineStr">
        <is>
          <t>Keeping things and spaces in order mostly works for you.</t>
        </is>
      </c>
      <c r="J4" s="24" t="inlineStr">
        <is>
          <t>Keeping things and spaces in order came up as a difficulty in your answers.</t>
        </is>
      </c>
      <c r="K4" s="24" t="inlineStr">
        <is>
          <t>Organising your things and spaces</t>
        </is>
      </c>
      <c r="L4" s="24" t="inlineStr">
        <is>
          <t>https://app.executiveframe.co.nz/hub/organisation</t>
        </is>
      </c>
      <c r="M4" s="24" t="inlineStr"/>
    </row>
    <row r="5">
      <c r="A5" s="24" t="inlineStr">
        <is>
          <t>ESQ-R</t>
        </is>
      </c>
      <c r="B5" s="24" t="inlineStr">
        <is>
          <t>Emotional Regulation</t>
        </is>
      </c>
      <c r="C5" s="24" t="inlineStr">
        <is>
          <t>emotion</t>
        </is>
      </c>
      <c r="D5" s="24" t="inlineStr">
        <is>
          <t>Managing feelings</t>
        </is>
      </c>
      <c r="E5" s="24" t="inlineStr">
        <is>
          <t>difficulty</t>
        </is>
      </c>
      <c r="F5" s="24" t="inlineStr">
        <is>
          <t>mean</t>
        </is>
      </c>
      <c r="G5" s="24" t="inlineStr"/>
      <c r="H5" s="24" t="inlineStr"/>
      <c r="I5" s="24" t="inlineStr">
        <is>
          <t>You described managing strong feelings as something you handle well.</t>
        </is>
      </c>
      <c r="J5" s="24" t="inlineStr">
        <is>
          <t>Managing strong feelings came up as a difficulty in your answers.</t>
        </is>
      </c>
      <c r="K5" s="24" t="inlineStr">
        <is>
          <t>Managing feelings</t>
        </is>
      </c>
      <c r="L5" s="24" t="inlineStr">
        <is>
          <t>https://app.executiveframe.co.nz/hub/emotional-regulation</t>
        </is>
      </c>
      <c r="M5" s="24" t="inlineStr"/>
    </row>
    <row r="6">
      <c r="A6" s="24" t="inlineStr">
        <is>
          <t>ESQ-R</t>
        </is>
      </c>
      <c r="B6" s="24" t="inlineStr">
        <is>
          <t>Behavioral Regulation</t>
        </is>
      </c>
      <c r="C6" s="24" t="inlineStr">
        <is>
          <t>behaviour</t>
        </is>
      </c>
      <c r="D6" s="24" t="inlineStr">
        <is>
          <t>Pausing before acting</t>
        </is>
      </c>
      <c r="E6" s="24" t="inlineStr">
        <is>
          <t>difficulty</t>
        </is>
      </c>
      <c r="F6" s="24" t="inlineStr">
        <is>
          <t>mean</t>
        </is>
      </c>
      <c r="G6" s="24" t="inlineStr"/>
      <c r="H6" s="24" t="inlineStr"/>
      <c r="I6" s="24" t="inlineStr">
        <is>
          <t>Pausing before acting and sticking with a plan mostly works for you.</t>
        </is>
      </c>
      <c r="J6" s="24" t="inlineStr">
        <is>
          <t>Pausing before acting and sticking with a plan came up as a difficulty in your answers.</t>
        </is>
      </c>
      <c r="K6" s="24" t="inlineStr">
        <is>
          <t>Pausing and following through</t>
        </is>
      </c>
      <c r="L6" s="24" t="inlineStr">
        <is>
          <t>https://app.executiveframe.co.nz/hub/impulse-control</t>
        </is>
      </c>
      <c r="M6" s="24" t="inlineStr"/>
    </row>
    <row r="7">
      <c r="A7" s="24" t="inlineStr">
        <is>
          <t>CFI</t>
        </is>
      </c>
      <c r="B7" s="24" t="inlineStr">
        <is>
          <t>Alternatives</t>
        </is>
      </c>
      <c r="C7" s="24" t="inlineStr">
        <is>
          <t>alternatives</t>
        </is>
      </c>
      <c r="D7" s="24" t="inlineStr">
        <is>
          <t>Seeing other options</t>
        </is>
      </c>
      <c r="E7" s="24" t="inlineStr">
        <is>
          <t>positive</t>
        </is>
      </c>
      <c r="F7" s="24" t="inlineStr">
        <is>
          <t>mean</t>
        </is>
      </c>
      <c r="G7" s="24" t="inlineStr"/>
      <c r="H7" s="24" t="inlineStr"/>
      <c r="I7" s="24" t="inlineStr">
        <is>
          <t>You described finding other ways of seeing a situation as something that comes readily to you.</t>
        </is>
      </c>
      <c r="J7" s="24" t="inlineStr">
        <is>
          <t>Your answers suggest it can be hard to see other ways of reading a situation.</t>
        </is>
      </c>
      <c r="K7" s="24" t="inlineStr">
        <is>
          <t>Thinking flexibly</t>
        </is>
      </c>
      <c r="L7" s="24" t="inlineStr">
        <is>
          <t>https://app.executiveframe.co.nz/hub/flexible-thinking</t>
        </is>
      </c>
      <c r="M7" s="24" t="inlineStr"/>
    </row>
    <row r="8">
      <c r="A8" s="24" t="inlineStr">
        <is>
          <t>CFI</t>
        </is>
      </c>
      <c r="B8" s="24" t="inlineStr">
        <is>
          <t>Control</t>
        </is>
      </c>
      <c r="C8" s="24" t="inlineStr">
        <is>
          <t>control</t>
        </is>
      </c>
      <c r="D8" s="24" t="inlineStr">
        <is>
          <t>Seeing situations as workable</t>
        </is>
      </c>
      <c r="E8" s="24" t="inlineStr">
        <is>
          <t>positive</t>
        </is>
      </c>
      <c r="F8" s="24" t="inlineStr">
        <is>
          <t>mean</t>
        </is>
      </c>
      <c r="G8" s="24" t="inlineStr"/>
      <c r="H8" s="24" t="inlineStr"/>
      <c r="I8" s="24" t="inlineStr">
        <is>
          <t>You tend to see difficult situations as ones you can do something about.</t>
        </is>
      </c>
      <c r="J8" s="24" t="inlineStr">
        <is>
          <t>Your answers suggest difficult situations can feel outside your control.</t>
        </is>
      </c>
      <c r="K8" s="24" t="inlineStr">
        <is>
          <t>Thinking flexibly</t>
        </is>
      </c>
      <c r="L8" s="24" t="inlineStr">
        <is>
          <t>https://app.executiveframe.co.nz/hub/flexible-thinking</t>
        </is>
      </c>
      <c r="M8" s="24" t="inlineStr"/>
    </row>
    <row r="9">
      <c r="A9" s="24" t="inlineStr">
        <is>
          <t>ASRS</t>
        </is>
      </c>
      <c r="B9" s="24" t="inlineStr">
        <is>
          <t>Part A (Criterion / Screener)</t>
        </is>
      </c>
      <c r="C9" s="24" t="inlineStr">
        <is>
          <t>part-a</t>
        </is>
      </c>
      <c r="D9" s="24" t="inlineStr">
        <is>
          <t>Part A</t>
        </is>
      </c>
      <c r="E9" s="24" t="inlineStr">
        <is>
          <t>none</t>
        </is>
      </c>
      <c r="F9" s="24" t="inlineStr">
        <is>
          <t>sum</t>
        </is>
      </c>
      <c r="G9" s="24" t="inlineStr"/>
      <c r="H9" s="24" t="inlineStr"/>
      <c r="I9" s="24" t="inlineStr"/>
      <c r="J9" s="24" t="inlineStr"/>
      <c r="K9" s="24" t="inlineStr"/>
      <c r="L9" s="24" t="inlineStr"/>
      <c r="M9" s="24" t="inlineStr">
        <is>
          <t>Screener. Scored for Sarah only; the hub never shows this to the client.</t>
        </is>
      </c>
    </row>
    <row r="10">
      <c r="A10" s="24" t="inlineStr">
        <is>
          <t>ASRS</t>
        </is>
      </c>
      <c r="B10" s="24" t="inlineStr">
        <is>
          <t>Part B (Additional Symptoms)</t>
        </is>
      </c>
      <c r="C10" s="24" t="inlineStr">
        <is>
          <t>part-b</t>
        </is>
      </c>
      <c r="D10" s="24" t="inlineStr">
        <is>
          <t>Part B</t>
        </is>
      </c>
      <c r="E10" s="24" t="inlineStr">
        <is>
          <t>none</t>
        </is>
      </c>
      <c r="F10" s="24" t="inlineStr">
        <is>
          <t>sum</t>
        </is>
      </c>
      <c r="G10" s="24" t="inlineStr"/>
      <c r="H10" s="24" t="inlineStr"/>
      <c r="I10" s="24" t="inlineStr"/>
      <c r="J10" s="24" t="inlineStr"/>
      <c r="K10" s="24" t="inlineStr"/>
      <c r="L10" s="24" t="inlineStr"/>
      <c r="M10" s="24" t="inlineStr">
        <is>
          <t>Scored for Sarah only.</t>
        </is>
      </c>
    </row>
    <row r="11">
      <c r="A11" s="24" t="inlineStr">
        <is>
          <t>ASRS</t>
        </is>
      </c>
      <c r="B11" s="24" t="inlineStr">
        <is>
          <t>Inattentiveness</t>
        </is>
      </c>
      <c r="C11" s="24" t="inlineStr">
        <is>
          <t>inattention</t>
        </is>
      </c>
      <c r="D11" s="24" t="inlineStr">
        <is>
          <t>Inattention</t>
        </is>
      </c>
      <c r="E11" s="24" t="inlineStr">
        <is>
          <t>none</t>
        </is>
      </c>
      <c r="F11" s="24" t="inlineStr">
        <is>
          <t>sum</t>
        </is>
      </c>
      <c r="G11" s="24" t="inlineStr"/>
      <c r="H11" s="24" t="inlineStr"/>
      <c r="I11" s="24" t="inlineStr"/>
      <c r="J11" s="24" t="inlineStr"/>
      <c r="K11" s="24" t="inlineStr"/>
      <c r="L11" s="24" t="inlineStr"/>
      <c r="M11" s="24" t="inlineStr">
        <is>
          <t>Raw sum; the dichotomous symptom count is read from the shaded boxes by Sarah.</t>
        </is>
      </c>
    </row>
    <row r="12">
      <c r="A12" s="24" t="inlineStr">
        <is>
          <t>ASRS</t>
        </is>
      </c>
      <c r="B12" s="24" t="inlineStr">
        <is>
          <t>Hyperactivity/Impulsivity - Motor</t>
        </is>
      </c>
      <c r="C12" s="24" t="inlineStr">
        <is>
          <t>motor</t>
        </is>
      </c>
      <c r="D12" s="24" t="inlineStr">
        <is>
          <t>Motor</t>
        </is>
      </c>
      <c r="E12" s="24" t="inlineStr">
        <is>
          <t>none</t>
        </is>
      </c>
      <c r="F12" s="24" t="inlineStr">
        <is>
          <t>sum</t>
        </is>
      </c>
      <c r="G12" s="24" t="inlineStr"/>
      <c r="H12" s="24" t="inlineStr"/>
      <c r="I12" s="24" t="inlineStr"/>
      <c r="J12" s="24" t="inlineStr"/>
      <c r="K12" s="24" t="inlineStr"/>
      <c r="L12" s="24" t="inlineStr"/>
      <c r="M12" s="24" t="inlineStr">
        <is>
          <t>Raw sum.</t>
        </is>
      </c>
    </row>
    <row r="13">
      <c r="A13" s="24" t="inlineStr">
        <is>
          <t>ASRS</t>
        </is>
      </c>
      <c r="B13" s="24" t="inlineStr">
        <is>
          <t>Hyperactivity/Impulsivity - Verbal</t>
        </is>
      </c>
      <c r="C13" s="24" t="inlineStr">
        <is>
          <t>verbal</t>
        </is>
      </c>
      <c r="D13" s="24" t="inlineStr">
        <is>
          <t>Verbal</t>
        </is>
      </c>
      <c r="E13" s="24" t="inlineStr">
        <is>
          <t>none</t>
        </is>
      </c>
      <c r="F13" s="24" t="inlineStr">
        <is>
          <t>sum</t>
        </is>
      </c>
      <c r="G13" s="24" t="inlineStr"/>
      <c r="H13" s="24" t="inlineStr"/>
      <c r="I13" s="24" t="inlineStr"/>
      <c r="J13" s="24" t="inlineStr"/>
      <c r="K13" s="24" t="inlineStr"/>
      <c r="L13" s="24" t="inlineStr"/>
      <c r="M13" s="24" t="inlineStr">
        <is>
          <t>Raw sum.</t>
        </is>
      </c>
    </row>
    <row r="14">
      <c r="A14" s="24" t="inlineStr">
        <is>
          <t>SKS</t>
        </is>
      </c>
      <c r="B14" s="24" t="inlineStr">
        <is>
          <t>Strengths Knowledge (total scale)</t>
        </is>
      </c>
      <c r="C14" s="24" t="inlineStr">
        <is>
          <t>total</t>
        </is>
      </c>
      <c r="D14" s="24" t="inlineStr">
        <is>
          <t>Knowing your strengths</t>
        </is>
      </c>
      <c r="E14" s="24" t="inlineStr">
        <is>
          <t>positive</t>
        </is>
      </c>
      <c r="F14" s="24" t="inlineStr">
        <is>
          <t>mean</t>
        </is>
      </c>
      <c r="G14" s="24" t="inlineStr"/>
      <c r="H14" s="24" t="inlineStr"/>
      <c r="I14" s="24" t="inlineStr">
        <is>
          <t>You have a clear sense of what your strengths are.</t>
        </is>
      </c>
      <c r="J14" s="24" t="inlineStr">
        <is>
          <t>Your answers suggest you are not yet sure what your strengths are, which is a good place to start.</t>
        </is>
      </c>
      <c r="K14" s="24" t="inlineStr">
        <is>
          <t>Finding your strengths</t>
        </is>
      </c>
      <c r="L14" s="24" t="inlineStr">
        <is>
          <t>https://app.executiveframe.co.nz/hub/strengths</t>
        </is>
      </c>
      <c r="M14" s="24" t="inlineStr"/>
    </row>
    <row r="15">
      <c r="A15" s="24" t="inlineStr">
        <is>
          <t>SUS</t>
        </is>
      </c>
      <c r="B15" s="24" t="inlineStr">
        <is>
          <t>Strengths Use (total scale)</t>
        </is>
      </c>
      <c r="C15" s="24" t="inlineStr">
        <is>
          <t>total</t>
        </is>
      </c>
      <c r="D15" s="24" t="inlineStr">
        <is>
          <t>Using your strengths</t>
        </is>
      </c>
      <c r="E15" s="24" t="inlineStr">
        <is>
          <t>positive</t>
        </is>
      </c>
      <c r="F15" s="24" t="inlineStr">
        <is>
          <t>mean</t>
        </is>
      </c>
      <c r="G15" s="24" t="inlineStr"/>
      <c r="H15" s="24" t="inlineStr"/>
      <c r="I15" s="24" t="inlineStr">
        <is>
          <t>You described using your strengths often, at work and beyond.</t>
        </is>
      </c>
      <c r="J15" s="24" t="inlineStr">
        <is>
          <t>Your answers suggest your strengths do not get much use day to day.</t>
        </is>
      </c>
      <c r="K15" s="24" t="inlineStr">
        <is>
          <t>Using your strengths</t>
        </is>
      </c>
      <c r="L15" s="24" t="inlineStr">
        <is>
          <t>https://app.executiveframe.co.nz/hub/strengths-use</t>
        </is>
      </c>
      <c r="M15" s="24" t="inlineStr"/>
    </row>
    <row r="16">
      <c r="A16" s="24" t="inlineStr">
        <is>
          <t>SSES</t>
        </is>
      </c>
      <c r="B16" s="24" t="inlineStr">
        <is>
          <t>Strengths Self-Efficacy (total scale)</t>
        </is>
      </c>
      <c r="C16" s="24" t="inlineStr">
        <is>
          <t>total</t>
        </is>
      </c>
      <c r="D16" s="24" t="inlineStr">
        <is>
          <t>Confidence in your strengths</t>
        </is>
      </c>
      <c r="E16" s="24" t="inlineStr">
        <is>
          <t>positive</t>
        </is>
      </c>
      <c r="F16" s="24" t="inlineStr">
        <is>
          <t>mean</t>
        </is>
      </c>
      <c r="G16" s="24" t="inlineStr"/>
      <c r="H16" s="24" t="inlineStr"/>
      <c r="I16" s="24" t="inlineStr">
        <is>
          <t>You feel confident applying your strengths when it counts.</t>
        </is>
      </c>
      <c r="J16" s="24" t="inlineStr">
        <is>
          <t>Your answers suggest you are not yet confident putting your strengths to use.</t>
        </is>
      </c>
      <c r="K16" s="24" t="inlineStr">
        <is>
          <t>Using your strengths</t>
        </is>
      </c>
      <c r="L16" s="24" t="inlineStr">
        <is>
          <t>https://app.executiveframe.co.nz/hub/strengths-use</t>
        </is>
      </c>
      <c r="M16" s="24" t="inlineStr"/>
    </row>
    <row r="17">
      <c r="A17" s="24" t="inlineStr">
        <is>
          <t>CSES</t>
        </is>
      </c>
      <c r="B17" s="24" t="inlineStr">
        <is>
          <t>Core Self-Evaluations (total scale, unidimensional)</t>
        </is>
      </c>
      <c r="C17" s="24" t="inlineStr">
        <is>
          <t>total</t>
        </is>
      </c>
      <c r="D17" s="24" t="inlineStr">
        <is>
          <t>How you see yourself</t>
        </is>
      </c>
      <c r="E17" s="24" t="inlineStr">
        <is>
          <t>positive</t>
        </is>
      </c>
      <c r="F17" s="24" t="inlineStr">
        <is>
          <t>mean</t>
        </is>
      </c>
      <c r="G17" s="24" t="inlineStr"/>
      <c r="H17" s="24" t="inlineStr"/>
      <c r="I17" s="24" t="inlineStr">
        <is>
          <t>You described a steady, positive view of yourself and what you can do.</t>
        </is>
      </c>
      <c r="J17" s="24" t="inlineStr">
        <is>
          <t>Your answers suggest your view of yourself can be harsh or uncertain.</t>
        </is>
      </c>
      <c r="K17" s="24" t="inlineStr">
        <is>
          <t>How you see yourself</t>
        </is>
      </c>
      <c r="L17" s="24" t="inlineStr">
        <is>
          <t>https://app.executiveframe.co.nz/hub/self-view</t>
        </is>
      </c>
      <c r="M17" s="24" t="inlineStr"/>
    </row>
    <row r="18">
      <c r="A18" s="24" t="inlineStr">
        <is>
          <t>PES</t>
        </is>
      </c>
      <c r="B18" s="24" t="inlineStr">
        <is>
          <t>Meaning</t>
        </is>
      </c>
      <c r="C18" s="24" t="inlineStr">
        <is>
          <t>meaning</t>
        </is>
      </c>
      <c r="D18" s="24" t="inlineStr">
        <is>
          <t>Meaning in your work</t>
        </is>
      </c>
      <c r="E18" s="24" t="inlineStr">
        <is>
          <t>positive</t>
        </is>
      </c>
      <c r="F18" s="24" t="inlineStr">
        <is>
          <t>mean</t>
        </is>
      </c>
      <c r="G18" s="24" t="inlineStr"/>
      <c r="H18" s="24" t="inlineStr"/>
      <c r="I18" s="24" t="inlineStr">
        <is>
          <t>Your work feels meaningful to you.</t>
        </is>
      </c>
      <c r="J18" s="24" t="inlineStr">
        <is>
          <t>Your answers suggest your work does not feel very meaningful at the moment.</t>
        </is>
      </c>
      <c r="K18" s="24" t="inlineStr">
        <is>
          <t>Meaning at work</t>
        </is>
      </c>
      <c r="L18" s="24" t="inlineStr">
        <is>
          <t>https://app.executiveframe.co.nz/hub/meaning</t>
        </is>
      </c>
      <c r="M18" s="24" t="inlineStr"/>
    </row>
    <row r="19">
      <c r="A19" s="24" t="inlineStr">
        <is>
          <t>PES</t>
        </is>
      </c>
      <c r="B19" s="24" t="inlineStr">
        <is>
          <t>Competence</t>
        </is>
      </c>
      <c r="C19" s="24" t="inlineStr">
        <is>
          <t>competence</t>
        </is>
      </c>
      <c r="D19" s="24" t="inlineStr">
        <is>
          <t>Confidence in your work</t>
        </is>
      </c>
      <c r="E19" s="24" t="inlineStr">
        <is>
          <t>positive</t>
        </is>
      </c>
      <c r="F19" s="24" t="inlineStr">
        <is>
          <t>mean</t>
        </is>
      </c>
      <c r="G19" s="24" t="inlineStr"/>
      <c r="H19" s="24" t="inlineStr"/>
      <c r="I19" s="24" t="inlineStr">
        <is>
          <t>You feel capable in your work.</t>
        </is>
      </c>
      <c r="J19" s="24" t="inlineStr">
        <is>
          <t>Your answers suggest you are not feeling confident in your work right now.</t>
        </is>
      </c>
      <c r="K19" s="24" t="inlineStr">
        <is>
          <t>Confidence at work</t>
        </is>
      </c>
      <c r="L19" s="24" t="inlineStr">
        <is>
          <t>https://app.executiveframe.co.nz/hub/competence</t>
        </is>
      </c>
      <c r="M19" s="24" t="inlineStr"/>
    </row>
    <row r="20">
      <c r="A20" s="24" t="inlineStr">
        <is>
          <t>PES</t>
        </is>
      </c>
      <c r="B20" s="24" t="inlineStr">
        <is>
          <t>Self-Determination</t>
        </is>
      </c>
      <c r="C20" s="24" t="inlineStr">
        <is>
          <t>autonomy</t>
        </is>
      </c>
      <c r="D20" s="24" t="inlineStr">
        <is>
          <t>Choice in how you work</t>
        </is>
      </c>
      <c r="E20" s="24" t="inlineStr">
        <is>
          <t>positive</t>
        </is>
      </c>
      <c r="F20" s="24" t="inlineStr">
        <is>
          <t>mean</t>
        </is>
      </c>
      <c r="G20" s="24" t="inlineStr"/>
      <c r="H20" s="24" t="inlineStr"/>
      <c r="I20" s="24" t="inlineStr">
        <is>
          <t>You have a good deal of say in how you do your work.</t>
        </is>
      </c>
      <c r="J20" s="24" t="inlineStr">
        <is>
          <t>Your answers suggest you have little say in how you do your work.</t>
        </is>
      </c>
      <c r="K20" s="24" t="inlineStr">
        <is>
          <t>Choice and autonomy at work</t>
        </is>
      </c>
      <c r="L20" s="24" t="inlineStr">
        <is>
          <t>https://app.executiveframe.co.nz/hub/autonomy</t>
        </is>
      </c>
      <c r="M20" s="24" t="inlineStr"/>
    </row>
    <row r="21">
      <c r="A21" s="24" t="inlineStr">
        <is>
          <t>PES</t>
        </is>
      </c>
      <c r="B21" s="24" t="inlineStr">
        <is>
          <t>Impact</t>
        </is>
      </c>
      <c r="C21" s="24" t="inlineStr">
        <is>
          <t>impact</t>
        </is>
      </c>
      <c r="D21" s="24" t="inlineStr">
        <is>
          <t>Influence at work</t>
        </is>
      </c>
      <c r="E21" s="24" t="inlineStr">
        <is>
          <t>positive</t>
        </is>
      </c>
      <c r="F21" s="24" t="inlineStr">
        <is>
          <t>mean</t>
        </is>
      </c>
      <c r="G21" s="24" t="inlineStr"/>
      <c r="H21" s="24" t="inlineStr"/>
      <c r="I21" s="24" t="inlineStr">
        <is>
          <t>You feel your work makes a difference where you are.</t>
        </is>
      </c>
      <c r="J21" s="24" t="inlineStr">
        <is>
          <t>Your answers suggest you feel your work has little influence on what happens around you.</t>
        </is>
      </c>
      <c r="K21" s="24" t="inlineStr">
        <is>
          <t>Influence at work</t>
        </is>
      </c>
      <c r="L21" s="24" t="inlineStr">
        <is>
          <t>https://app.executiveframe.co.nz/hub/impact</t>
        </is>
      </c>
      <c r="M21" s="24" t="inlineStr"/>
    </row>
    <row r="22">
      <c r="A22" s="24" t="inlineStr">
        <is>
          <t>DASS-21</t>
        </is>
      </c>
      <c r="B22" s="24" t="inlineStr">
        <is>
          <t>Depression</t>
        </is>
      </c>
      <c r="C22" s="24" t="inlineStr">
        <is>
          <t>depression</t>
        </is>
      </c>
      <c r="D22" s="24" t="inlineStr">
        <is>
          <t>Depression</t>
        </is>
      </c>
      <c r="E22" s="24" t="inlineStr">
        <is>
          <t>difficulty</t>
        </is>
      </c>
      <c r="F22" s="24" t="inlineStr">
        <is>
          <t>sum</t>
        </is>
      </c>
      <c r="G22" s="24" t="inlineStr"/>
      <c r="H22" s="24" t="n">
        <v>4</v>
      </c>
      <c r="I22" s="24" t="inlineStr"/>
      <c r="J22" s="24" t="inlineStr"/>
      <c r="K22" s="24" t="inlineStr"/>
      <c r="L22" s="24" t="inlineStr"/>
      <c r="M22" s="24" t="inlineStr">
        <is>
          <t>Raw sum of 7 items. Doubled score: normal 0 to 9. Sarah only.</t>
        </is>
      </c>
    </row>
    <row r="23">
      <c r="A23" s="24" t="inlineStr">
        <is>
          <t>DASS-21</t>
        </is>
      </c>
      <c r="B23" s="24" t="inlineStr">
        <is>
          <t>Anxiety</t>
        </is>
      </c>
      <c r="C23" s="24" t="inlineStr">
        <is>
          <t>anxiety</t>
        </is>
      </c>
      <c r="D23" s="24" t="inlineStr">
        <is>
          <t>Anxiety</t>
        </is>
      </c>
      <c r="E23" s="24" t="inlineStr">
        <is>
          <t>difficulty</t>
        </is>
      </c>
      <c r="F23" s="24" t="inlineStr">
        <is>
          <t>sum</t>
        </is>
      </c>
      <c r="G23" s="24" t="inlineStr"/>
      <c r="H23" s="24" t="n">
        <v>3</v>
      </c>
      <c r="I23" s="24" t="inlineStr"/>
      <c r="J23" s="24" t="inlineStr"/>
      <c r="K23" s="24" t="inlineStr"/>
      <c r="L23" s="24" t="inlineStr"/>
      <c r="M23" s="24" t="inlineStr">
        <is>
          <t>Raw sum. Doubled score: normal 0 to 7. Sarah only.</t>
        </is>
      </c>
    </row>
    <row r="24">
      <c r="A24" s="24" t="inlineStr">
        <is>
          <t>DASS-21</t>
        </is>
      </c>
      <c r="B24" s="24" t="inlineStr">
        <is>
          <t>Stress</t>
        </is>
      </c>
      <c r="C24" s="24" t="inlineStr">
        <is>
          <t>stress</t>
        </is>
      </c>
      <c r="D24" s="24" t="inlineStr">
        <is>
          <t>Stress</t>
        </is>
      </c>
      <c r="E24" s="24" t="inlineStr">
        <is>
          <t>difficulty</t>
        </is>
      </c>
      <c r="F24" s="24" t="inlineStr">
        <is>
          <t>sum</t>
        </is>
      </c>
      <c r="G24" s="24" t="inlineStr"/>
      <c r="H24" s="24" t="n">
        <v>7</v>
      </c>
      <c r="I24" s="24" t="inlineStr"/>
      <c r="J24" s="24" t="inlineStr"/>
      <c r="K24" s="24" t="inlineStr"/>
      <c r="L24" s="24" t="inlineStr"/>
      <c r="M24" s="24" t="inlineStr">
        <is>
          <t>Raw sum. Doubled score: normal 0 to 14. Sarah only.</t>
        </is>
      </c>
    </row>
    <row r="25">
      <c r="A25" s="24" t="inlineStr">
        <is>
          <t>PTQ</t>
        </is>
      </c>
      <c r="B25" s="24" t="inlineStr">
        <is>
          <t>Core Characteristics of Repetitive Negative Thinking</t>
        </is>
      </c>
      <c r="C25" s="24" t="inlineStr">
        <is>
          <t>core</t>
        </is>
      </c>
      <c r="D25" s="24" t="inlineStr">
        <is>
          <t>Thoughts that go round</t>
        </is>
      </c>
      <c r="E25" s="24" t="inlineStr">
        <is>
          <t>difficulty</t>
        </is>
      </c>
      <c r="F25" s="24" t="inlineStr">
        <is>
          <t>mean</t>
        </is>
      </c>
      <c r="G25" s="24" t="inlineStr"/>
      <c r="H25" s="24" t="inlineStr"/>
      <c r="I25" s="24" t="inlineStr">
        <is>
          <t>Thoughts that repeat do not seem to take hold for long with you.</t>
        </is>
      </c>
      <c r="J25" s="24" t="inlineStr">
        <is>
          <t>Thoughts that go round and are hard to stop came up often in your answers.</t>
        </is>
      </c>
      <c r="K25" s="24" t="inlineStr">
        <is>
          <t>Repetitive thinking</t>
        </is>
      </c>
      <c r="L25" s="24" t="inlineStr">
        <is>
          <t>https://app.executiveframe.co.nz/hub/repetitive-thinking</t>
        </is>
      </c>
      <c r="M25" s="24" t="inlineStr"/>
    </row>
    <row r="26">
      <c r="A26" s="24" t="inlineStr">
        <is>
          <t>PTQ</t>
        </is>
      </c>
      <c r="B26" s="24" t="inlineStr">
        <is>
          <t>Unproductiveness</t>
        </is>
      </c>
      <c r="C26" s="24" t="inlineStr">
        <is>
          <t>unproductive</t>
        </is>
      </c>
      <c r="D26" s="24" t="inlineStr">
        <is>
          <t>Thinking that goes nowhere</t>
        </is>
      </c>
      <c r="E26" s="24" t="inlineStr">
        <is>
          <t>difficulty</t>
        </is>
      </c>
      <c r="F26" s="24" t="inlineStr">
        <is>
          <t>mean</t>
        </is>
      </c>
      <c r="G26" s="24" t="inlineStr"/>
      <c r="H26" s="24" t="inlineStr"/>
      <c r="I26" s="24" t="inlineStr">
        <is>
          <t>When you think things over, it tends to get you somewhere.</t>
        </is>
      </c>
      <c r="J26" s="24" t="inlineStr">
        <is>
          <t>Your answers suggest a lot of thinking that does not lead anywhere useful.</t>
        </is>
      </c>
      <c r="K26" s="24" t="inlineStr">
        <is>
          <t>Repetitive thinking</t>
        </is>
      </c>
      <c r="L26" s="24" t="inlineStr">
        <is>
          <t>https://app.executiveframe.co.nz/hub/repetitive-thinking</t>
        </is>
      </c>
      <c r="M26" s="24" t="inlineStr"/>
    </row>
    <row r="27">
      <c r="A27" s="24" t="inlineStr">
        <is>
          <t>PTQ</t>
        </is>
      </c>
      <c r="B27" s="24" t="inlineStr">
        <is>
          <t>Capturing Mental Capacity</t>
        </is>
      </c>
      <c r="C27" s="24" t="inlineStr">
        <is>
          <t>capacity</t>
        </is>
      </c>
      <c r="D27" s="24" t="inlineStr">
        <is>
          <t>Thinking that takes over</t>
        </is>
      </c>
      <c r="E27" s="24" t="inlineStr">
        <is>
          <t>difficulty</t>
        </is>
      </c>
      <c r="F27" s="24" t="inlineStr">
        <is>
          <t>mean</t>
        </is>
      </c>
      <c r="G27" s="24" t="inlineStr"/>
      <c r="H27" s="24" t="inlineStr"/>
      <c r="I27" s="24" t="inlineStr">
        <is>
          <t>Your thinking leaves you room for other things.</t>
        </is>
      </c>
      <c r="J27" s="24" t="inlineStr">
        <is>
          <t>Your answers suggest repetitive thinking takes up a lot of your mental space.</t>
        </is>
      </c>
      <c r="K27" s="24" t="inlineStr">
        <is>
          <t>Repetitive thinking</t>
        </is>
      </c>
      <c r="L27" s="24" t="inlineStr">
        <is>
          <t>https://app.executiveframe.co.nz/hub/repetitive-thinking</t>
        </is>
      </c>
      <c r="M27" s="24" t="inlineStr"/>
    </row>
    <row r="28">
      <c r="A28" s="24" t="inlineStr">
        <is>
          <t>RRS</t>
        </is>
      </c>
      <c r="B28" s="24" t="inlineStr">
        <is>
          <t>Brooding</t>
        </is>
      </c>
      <c r="C28" s="24" t="inlineStr">
        <is>
          <t>brooding</t>
        </is>
      </c>
      <c r="D28" s="24" t="inlineStr">
        <is>
          <t>Dwelling on what is wrong</t>
        </is>
      </c>
      <c r="E28" s="24" t="inlineStr">
        <is>
          <t>difficulty</t>
        </is>
      </c>
      <c r="F28" s="24" t="inlineStr">
        <is>
          <t>mean</t>
        </is>
      </c>
      <c r="G28" s="24" t="inlineStr"/>
      <c r="H28" s="24" t="inlineStr"/>
      <c r="I28" s="24" t="inlineStr">
        <is>
          <t>You do not tend to get stuck dwelling on what is wrong.</t>
        </is>
      </c>
      <c r="J28" s="24" t="inlineStr">
        <is>
          <t>Dwelling on what is wrong came up often in your answers.</t>
        </is>
      </c>
      <c r="K28" s="24" t="inlineStr">
        <is>
          <t>Getting unstuck from low mood</t>
        </is>
      </c>
      <c r="L28" s="24" t="inlineStr">
        <is>
          <t>https://app.executiveframe.co.nz/hub/brooding</t>
        </is>
      </c>
      <c r="M28" s="24" t="inlineStr"/>
    </row>
    <row r="29">
      <c r="A29" s="24" t="inlineStr">
        <is>
          <t>RRS</t>
        </is>
      </c>
      <c r="B29" s="24" t="inlineStr">
        <is>
          <t>Reflection</t>
        </is>
      </c>
      <c r="C29" s="24" t="inlineStr">
        <is>
          <t>reflection</t>
        </is>
      </c>
      <c r="D29" s="24" t="inlineStr">
        <is>
          <t>Reflecting on low mood</t>
        </is>
      </c>
      <c r="E29" s="24" t="inlineStr">
        <is>
          <t>none</t>
        </is>
      </c>
      <c r="F29" s="24" t="inlineStr">
        <is>
          <t>mean</t>
        </is>
      </c>
      <c r="G29" s="24" t="inlineStr"/>
      <c r="H29" s="24" t="inlineStr"/>
      <c r="I29" s="24" t="inlineStr"/>
      <c r="J29" s="24" t="inlineStr"/>
      <c r="K29" s="24" t="inlineStr"/>
      <c r="L29" s="24" t="inlineStr"/>
      <c r="M29" s="24" t="inlineStr">
        <is>
          <t>Reflection can be helpful or unhelpful; numbers only.</t>
        </is>
      </c>
    </row>
    <row r="30">
      <c r="A30" s="24" t="inlineStr">
        <is>
          <t>RRS</t>
        </is>
      </c>
      <c r="B30" s="24" t="inlineStr">
        <is>
          <t>Depression-related items (not scored as a subscale)</t>
        </is>
      </c>
      <c r="C30" s="24" t="inlineStr">
        <is>
          <t>depressive</t>
        </is>
      </c>
      <c r="D30" s="24" t="inlineStr">
        <is>
          <t>Depression related items</t>
        </is>
      </c>
      <c r="E30" s="24" t="inlineStr">
        <is>
          <t>none</t>
        </is>
      </c>
      <c r="F30" s="24" t="inlineStr">
        <is>
          <t>mean</t>
        </is>
      </c>
      <c r="G30" s="24" t="inlineStr"/>
      <c r="H30" s="24" t="inlineStr"/>
      <c r="I30" s="24" t="inlineStr"/>
      <c r="J30" s="24" t="inlineStr"/>
      <c r="K30" s="24" t="inlineStr"/>
      <c r="L30" s="24" t="inlineStr"/>
      <c r="M30" s="24" t="inlineStr">
        <is>
          <t>Not recommended for coaching use; numbers only.</t>
        </is>
      </c>
    </row>
    <row r="31">
      <c r="A31" s="24" t="inlineStr">
        <is>
          <t>FSCRS</t>
        </is>
      </c>
      <c r="B31" s="24" t="inlineStr">
        <is>
          <t>Inadequate Self</t>
        </is>
      </c>
      <c r="C31" s="24" t="inlineStr">
        <is>
          <t>inadequate</t>
        </is>
      </c>
      <c r="D31" s="24" t="inlineStr">
        <is>
          <t>Feeling not good enough</t>
        </is>
      </c>
      <c r="E31" s="24" t="inlineStr">
        <is>
          <t>difficulty</t>
        </is>
      </c>
      <c r="F31" s="24" t="inlineStr">
        <is>
          <t>mean</t>
        </is>
      </c>
      <c r="G31" s="24" t="inlineStr"/>
      <c r="H31" s="24" t="inlineStr"/>
      <c r="I31" s="24" t="inlineStr">
        <is>
          <t>You do not tend to come down hard on yourself when things go wrong.</t>
        </is>
      </c>
      <c r="J31" s="24" t="inlineStr">
        <is>
          <t>Feeling not good enough when things go wrong came up often in your answers.</t>
        </is>
      </c>
      <c r="K31" s="24" t="inlineStr">
        <is>
          <t>Self criticism</t>
        </is>
      </c>
      <c r="L31" s="24" t="inlineStr">
        <is>
          <t>https://app.executiveframe.co.nz/hub/self-criticism</t>
        </is>
      </c>
      <c r="M31" s="24" t="inlineStr"/>
    </row>
    <row r="32">
      <c r="A32" s="24" t="inlineStr">
        <is>
          <t>FSCRS</t>
        </is>
      </c>
      <c r="B32" s="24" t="inlineStr">
        <is>
          <t>Hated Self</t>
        </is>
      </c>
      <c r="C32" s="24" t="inlineStr">
        <is>
          <t>hated</t>
        </is>
      </c>
      <c r="D32" s="24" t="inlineStr">
        <is>
          <t>Harsh self attack</t>
        </is>
      </c>
      <c r="E32" s="24" t="inlineStr">
        <is>
          <t>difficulty</t>
        </is>
      </c>
      <c r="F32" s="24" t="inlineStr">
        <is>
          <t>mean</t>
        </is>
      </c>
      <c r="G32" s="24" t="inlineStr"/>
      <c r="H32" s="24" t="inlineStr"/>
      <c r="I32" s="24" t="inlineStr"/>
      <c r="J32" s="24" t="inlineStr">
        <is>
          <t>Your answers include some very harsh thoughts about yourself, which Sarah will talk through with you.</t>
        </is>
      </c>
      <c r="K32" s="24" t="inlineStr">
        <is>
          <t>Self criticism</t>
        </is>
      </c>
      <c r="L32" s="24" t="inlineStr">
        <is>
          <t>https://app.executiveframe.co.nz/hub/self-criticism</t>
        </is>
      </c>
      <c r="M32" s="24" t="inlineStr">
        <is>
          <t>No strength wording; focus wording is deliberately gentle.</t>
        </is>
      </c>
    </row>
    <row r="33">
      <c r="A33" s="24" t="inlineStr">
        <is>
          <t>FSCRS</t>
        </is>
      </c>
      <c r="B33" s="24" t="inlineStr">
        <is>
          <t>Reassured Self</t>
        </is>
      </c>
      <c r="C33" s="24" t="inlineStr">
        <is>
          <t>reassured</t>
        </is>
      </c>
      <c r="D33" s="24" t="inlineStr">
        <is>
          <t>Reassuring yourself</t>
        </is>
      </c>
      <c r="E33" s="24" t="inlineStr">
        <is>
          <t>positive</t>
        </is>
      </c>
      <c r="F33" s="24" t="inlineStr">
        <is>
          <t>mean</t>
        </is>
      </c>
      <c r="G33" s="24" t="inlineStr"/>
      <c r="H33" s="24" t="inlineStr"/>
      <c r="I33" s="24" t="inlineStr">
        <is>
          <t>You are able to be kind and reassuring to yourself when things go wrong.</t>
        </is>
      </c>
      <c r="J33" s="24" t="inlineStr">
        <is>
          <t>Your answers suggest reassuring yourself when things go wrong does not come easily yet.</t>
        </is>
      </c>
      <c r="K33" s="24" t="inlineStr">
        <is>
          <t>Self compassion</t>
        </is>
      </c>
      <c r="L33" s="24" t="inlineStr">
        <is>
          <t>https://app.executiveframe.co.nz/hub/self-compassion</t>
        </is>
      </c>
      <c r="M33" s="24" t="inlineStr"/>
    </row>
    <row r="34">
      <c r="A34" s="24" t="inlineStr">
        <is>
          <t>PCI</t>
        </is>
      </c>
      <c r="B34" s="24" t="inlineStr">
        <is>
          <t>Perfectionism Cognitions (total scale)</t>
        </is>
      </c>
      <c r="C34" s="24" t="inlineStr">
        <is>
          <t>total</t>
        </is>
      </c>
      <c r="D34" s="24" t="inlineStr">
        <is>
          <t>Perfectionistic thoughts</t>
        </is>
      </c>
      <c r="E34" s="24" t="inlineStr">
        <is>
          <t>difficulty</t>
        </is>
      </c>
      <c r="F34" s="24" t="inlineStr">
        <is>
          <t>mean</t>
        </is>
      </c>
      <c r="G34" s="24" t="inlineStr"/>
      <c r="H34" s="24" t="inlineStr"/>
      <c r="I34" s="24" t="inlineStr">
        <is>
          <t>Thoughts about needing to be perfect do not seem to feature much for you.</t>
        </is>
      </c>
      <c r="J34" s="24" t="inlineStr">
        <is>
          <t>Thoughts about needing to be perfect came up often in your answers.</t>
        </is>
      </c>
      <c r="K34" s="24" t="inlineStr">
        <is>
          <t>Perfectionism</t>
        </is>
      </c>
      <c r="L34" s="24" t="inlineStr">
        <is>
          <t>https://app.executiveframe.co.nz/hub/perfectionism</t>
        </is>
      </c>
      <c r="M34" s="24" t="inlineStr"/>
    </row>
    <row r="35">
      <c r="A35" s="24" t="inlineStr">
        <is>
          <t>SCS-SF</t>
        </is>
      </c>
      <c r="B35" s="24" t="inlineStr">
        <is>
          <t>Self-Kindness</t>
        </is>
      </c>
      <c r="C35" s="24" t="inlineStr">
        <is>
          <t>kindness</t>
        </is>
      </c>
      <c r="D35" s="24" t="inlineStr">
        <is>
          <t>Being kind to yourself</t>
        </is>
      </c>
      <c r="E35" s="24" t="inlineStr">
        <is>
          <t>positive</t>
        </is>
      </c>
      <c r="F35" s="24" t="inlineStr">
        <is>
          <t>mean</t>
        </is>
      </c>
      <c r="G35" s="24" t="inlineStr"/>
      <c r="H35" s="24" t="inlineStr"/>
      <c r="I35" s="24" t="inlineStr">
        <is>
          <t>You tend to treat yourself with kindness.</t>
        </is>
      </c>
      <c r="J35" s="24" t="inlineStr">
        <is>
          <t>Your answers suggest being kind to yourself does not come easily.</t>
        </is>
      </c>
      <c r="K35" s="24" t="inlineStr">
        <is>
          <t>Self compassion</t>
        </is>
      </c>
      <c r="L35" s="24" t="inlineStr">
        <is>
          <t>https://app.executiveframe.co.nz/hub/self-compassion</t>
        </is>
      </c>
      <c r="M35" s="24" t="inlineStr"/>
    </row>
    <row r="36">
      <c r="A36" s="24" t="inlineStr">
        <is>
          <t>SCS-SF</t>
        </is>
      </c>
      <c r="B36" s="24" t="inlineStr">
        <is>
          <t>Self-Judgment</t>
        </is>
      </c>
      <c r="C36" s="24" t="inlineStr">
        <is>
          <t>judgment</t>
        </is>
      </c>
      <c r="D36" s="24" t="inlineStr">
        <is>
          <t>Easing self judgement</t>
        </is>
      </c>
      <c r="E36" s="24" t="inlineStr">
        <is>
          <t>positive</t>
        </is>
      </c>
      <c r="F36" s="24" t="inlineStr">
        <is>
          <t>mean</t>
        </is>
      </c>
      <c r="G36" s="24" t="inlineStr"/>
      <c r="H36" s="24" t="inlineStr"/>
      <c r="I36" s="24" t="inlineStr">
        <is>
          <t>You tend not to judge yourself harshly.</t>
        </is>
      </c>
      <c r="J36" s="24" t="inlineStr">
        <is>
          <t>Your answers suggest you judge yourself harshly.</t>
        </is>
      </c>
      <c r="K36" s="24" t="inlineStr">
        <is>
          <t>Self compassion</t>
        </is>
      </c>
      <c r="L36" s="24" t="inlineStr">
        <is>
          <t>https://app.executiveframe.co.nz/hub/self-compassion</t>
        </is>
      </c>
      <c r="M36" s="24" t="inlineStr">
        <is>
          <t>Reverse scored, so higher is better.</t>
        </is>
      </c>
    </row>
    <row r="37">
      <c r="A37" s="24" t="inlineStr">
        <is>
          <t>SCS-SF</t>
        </is>
      </c>
      <c r="B37" s="24" t="inlineStr">
        <is>
          <t>Common Humanity</t>
        </is>
      </c>
      <c r="C37" s="24" t="inlineStr">
        <is>
          <t>humanity</t>
        </is>
      </c>
      <c r="D37" s="24" t="inlineStr">
        <is>
          <t>Feeling you are not alone</t>
        </is>
      </c>
      <c r="E37" s="24" t="inlineStr">
        <is>
          <t>positive</t>
        </is>
      </c>
      <c r="F37" s="24" t="inlineStr">
        <is>
          <t>mean</t>
        </is>
      </c>
      <c r="G37" s="24" t="inlineStr"/>
      <c r="H37" s="24" t="inlineStr"/>
      <c r="I37" s="24" t="inlineStr">
        <is>
          <t>You see your struggles as part of being human.</t>
        </is>
      </c>
      <c r="J37" s="24" t="inlineStr">
        <is>
          <t>Your answers suggest your struggles feel like yours alone.</t>
        </is>
      </c>
      <c r="K37" s="24" t="inlineStr">
        <is>
          <t>Self compassion</t>
        </is>
      </c>
      <c r="L37" s="24" t="inlineStr">
        <is>
          <t>https://app.executiveframe.co.nz/hub/self-compassion</t>
        </is>
      </c>
      <c r="M37" s="24" t="inlineStr"/>
    </row>
    <row r="38">
      <c r="A38" s="24" t="inlineStr">
        <is>
          <t>SCS-SF</t>
        </is>
      </c>
      <c r="B38" s="24" t="inlineStr">
        <is>
          <t>Isolation</t>
        </is>
      </c>
      <c r="C38" s="24" t="inlineStr">
        <is>
          <t>isolation</t>
        </is>
      </c>
      <c r="D38" s="24" t="inlineStr">
        <is>
          <t>Feeling less isolated</t>
        </is>
      </c>
      <c r="E38" s="24" t="inlineStr">
        <is>
          <t>positive</t>
        </is>
      </c>
      <c r="F38" s="24" t="inlineStr">
        <is>
          <t>mean</t>
        </is>
      </c>
      <c r="G38" s="24" t="inlineStr"/>
      <c r="H38" s="24" t="inlineStr"/>
      <c r="I38" s="24" t="inlineStr">
        <is>
          <t>You tend not to feel cut off from others when things are hard.</t>
        </is>
      </c>
      <c r="J38" s="24" t="inlineStr">
        <is>
          <t>Your answers suggest you feel cut off from others when things are hard.</t>
        </is>
      </c>
      <c r="K38" s="24" t="inlineStr">
        <is>
          <t>Self compassion</t>
        </is>
      </c>
      <c r="L38" s="24" t="inlineStr">
        <is>
          <t>https://app.executiveframe.co.nz/hub/self-compassion</t>
        </is>
      </c>
      <c r="M38" s="24" t="inlineStr">
        <is>
          <t>Reverse scored, so higher is better.</t>
        </is>
      </c>
    </row>
    <row r="39">
      <c r="A39" s="24" t="inlineStr">
        <is>
          <t>SCS-SF</t>
        </is>
      </c>
      <c r="B39" s="24" t="inlineStr">
        <is>
          <t>Mindfulness</t>
        </is>
      </c>
      <c r="C39" s="24" t="inlineStr">
        <is>
          <t>mindfulness</t>
        </is>
      </c>
      <c r="D39" s="24" t="inlineStr">
        <is>
          <t>Keeping perspective</t>
        </is>
      </c>
      <c r="E39" s="24" t="inlineStr">
        <is>
          <t>positive</t>
        </is>
      </c>
      <c r="F39" s="24" t="inlineStr">
        <is>
          <t>mean</t>
        </is>
      </c>
      <c r="G39" s="24" t="inlineStr"/>
      <c r="H39" s="24" t="inlineStr"/>
      <c r="I39" s="24" t="inlineStr">
        <is>
          <t>You tend to keep feelings in perspective.</t>
        </is>
      </c>
      <c r="J39" s="24" t="inlineStr">
        <is>
          <t>Your answers suggest difficult feelings can crowd out perspective.</t>
        </is>
      </c>
      <c r="K39" s="24" t="inlineStr">
        <is>
          <t>Self compassion</t>
        </is>
      </c>
      <c r="L39" s="24" t="inlineStr">
        <is>
          <t>https://app.executiveframe.co.nz/hub/self-compassion</t>
        </is>
      </c>
      <c r="M39" s="24" t="inlineStr"/>
    </row>
    <row r="40">
      <c r="A40" s="24" t="inlineStr">
        <is>
          <t>SCS-SF</t>
        </is>
      </c>
      <c r="B40" s="24" t="inlineStr">
        <is>
          <t>Over-Identification</t>
        </is>
      </c>
      <c r="C40" s="24" t="inlineStr">
        <is>
          <t>overidentification</t>
        </is>
      </c>
      <c r="D40" s="24" t="inlineStr">
        <is>
          <t>Not getting swept up</t>
        </is>
      </c>
      <c r="E40" s="24" t="inlineStr">
        <is>
          <t>positive</t>
        </is>
      </c>
      <c r="F40" s="24" t="inlineStr">
        <is>
          <t>mean</t>
        </is>
      </c>
      <c r="G40" s="24" t="inlineStr"/>
      <c r="H40" s="24" t="inlineStr"/>
      <c r="I40" s="24" t="inlineStr">
        <is>
          <t>You tend not to get swept up in difficult feelings.</t>
        </is>
      </c>
      <c r="J40" s="24" t="inlineStr">
        <is>
          <t>Your answers suggest difficult feelings can sweep you up.</t>
        </is>
      </c>
      <c r="K40" s="24" t="inlineStr">
        <is>
          <t>Self compassion</t>
        </is>
      </c>
      <c r="L40" s="24" t="inlineStr">
        <is>
          <t>https://app.executiveframe.co.nz/hub/self-compassion</t>
        </is>
      </c>
      <c r="M40" s="24" t="inlineStr">
        <is>
          <t>Reverse scored, so higher is better.</t>
        </is>
      </c>
    </row>
    <row r="41">
      <c r="A41" s="24" t="inlineStr">
        <is>
          <t>BPNSFS</t>
        </is>
      </c>
      <c r="B41" s="24" t="inlineStr">
        <is>
          <t>Autonomy satisfaction</t>
        </is>
      </c>
      <c r="C41" s="24" t="inlineStr">
        <is>
          <t>autonomy-sat</t>
        </is>
      </c>
      <c r="D41" s="24" t="inlineStr">
        <is>
          <t>Feeling free to choose</t>
        </is>
      </c>
      <c r="E41" s="24" t="inlineStr">
        <is>
          <t>positive</t>
        </is>
      </c>
      <c r="F41" s="24" t="inlineStr">
        <is>
          <t>mean</t>
        </is>
      </c>
      <c r="G41" s="24" t="inlineStr"/>
      <c r="H41" s="24" t="inlineStr"/>
      <c r="I41" s="24" t="inlineStr">
        <is>
          <t>You feel free to choose how you live and work.</t>
        </is>
      </c>
      <c r="J41" s="24" t="inlineStr">
        <is>
          <t>Your answers suggest you do not feel free to choose how you live and work.</t>
        </is>
      </c>
      <c r="K41" s="24" t="inlineStr">
        <is>
          <t>Autonomy</t>
        </is>
      </c>
      <c r="L41" s="24" t="inlineStr">
        <is>
          <t>https://app.executiveframe.co.nz/hub/autonomy</t>
        </is>
      </c>
      <c r="M41" s="24" t="inlineStr"/>
    </row>
    <row r="42">
      <c r="A42" s="24" t="inlineStr">
        <is>
          <t>BPNSFS</t>
        </is>
      </c>
      <c r="B42" s="24" t="inlineStr">
        <is>
          <t>Autonomy frustration</t>
        </is>
      </c>
      <c r="C42" s="24" t="inlineStr">
        <is>
          <t>autonomy-frus</t>
        </is>
      </c>
      <c r="D42" s="24" t="inlineStr">
        <is>
          <t>Feeling pushed</t>
        </is>
      </c>
      <c r="E42" s="24" t="inlineStr">
        <is>
          <t>difficulty</t>
        </is>
      </c>
      <c r="F42" s="24" t="inlineStr">
        <is>
          <t>mean</t>
        </is>
      </c>
      <c r="G42" s="24" t="inlineStr"/>
      <c r="H42" s="24" t="inlineStr"/>
      <c r="I42" s="24" t="inlineStr">
        <is>
          <t>You do not feel pushed into things against your wishes.</t>
        </is>
      </c>
      <c r="J42" s="24" t="inlineStr">
        <is>
          <t>Feeling pushed into things came up often in your answers.</t>
        </is>
      </c>
      <c r="K42" s="24" t="inlineStr">
        <is>
          <t>Autonomy</t>
        </is>
      </c>
      <c r="L42" s="24" t="inlineStr">
        <is>
          <t>https://app.executiveframe.co.nz/hub/autonomy</t>
        </is>
      </c>
      <c r="M42" s="24" t="inlineStr"/>
    </row>
    <row r="43">
      <c r="A43" s="24" t="inlineStr">
        <is>
          <t>BPNSFS</t>
        </is>
      </c>
      <c r="B43" s="24" t="inlineStr">
        <is>
          <t>Relatedness satisfaction</t>
        </is>
      </c>
      <c r="C43" s="24" t="inlineStr">
        <is>
          <t>relatedness-sat</t>
        </is>
      </c>
      <c r="D43" s="24" t="inlineStr">
        <is>
          <t>Feeling connected</t>
        </is>
      </c>
      <c r="E43" s="24" t="inlineStr">
        <is>
          <t>positive</t>
        </is>
      </c>
      <c r="F43" s="24" t="inlineStr">
        <is>
          <t>mean</t>
        </is>
      </c>
      <c r="G43" s="24" t="inlineStr"/>
      <c r="H43" s="24" t="inlineStr"/>
      <c r="I43" s="24" t="inlineStr">
        <is>
          <t>You feel close to the people who matter to you.</t>
        </is>
      </c>
      <c r="J43" s="24" t="inlineStr">
        <is>
          <t>Your answers suggest you are not feeling close to the people who matter to you.</t>
        </is>
      </c>
      <c r="K43" s="24" t="inlineStr">
        <is>
          <t>Connection</t>
        </is>
      </c>
      <c r="L43" s="24" t="inlineStr">
        <is>
          <t>https://app.executiveframe.co.nz/hub/relatedness</t>
        </is>
      </c>
      <c r="M43" s="24" t="inlineStr"/>
    </row>
    <row r="44">
      <c r="A44" s="24" t="inlineStr">
        <is>
          <t>BPNSFS</t>
        </is>
      </c>
      <c r="B44" s="24" t="inlineStr">
        <is>
          <t>Relatedness frustration</t>
        </is>
      </c>
      <c r="C44" s="24" t="inlineStr">
        <is>
          <t>relatedness-frus</t>
        </is>
      </c>
      <c r="D44" s="24" t="inlineStr">
        <is>
          <t>Feeling left out</t>
        </is>
      </c>
      <c r="E44" s="24" t="inlineStr">
        <is>
          <t>difficulty</t>
        </is>
      </c>
      <c r="F44" s="24" t="inlineStr">
        <is>
          <t>mean</t>
        </is>
      </c>
      <c r="G44" s="24" t="inlineStr"/>
      <c r="H44" s="24" t="inlineStr"/>
      <c r="I44" s="24" t="inlineStr">
        <is>
          <t>You do not feel left out or distant from others.</t>
        </is>
      </c>
      <c r="J44" s="24" t="inlineStr">
        <is>
          <t>Feeling left out or distant from others came up often in your answers.</t>
        </is>
      </c>
      <c r="K44" s="24" t="inlineStr">
        <is>
          <t>Connection</t>
        </is>
      </c>
      <c r="L44" s="24" t="inlineStr">
        <is>
          <t>https://app.executiveframe.co.nz/hub/relatedness</t>
        </is>
      </c>
      <c r="M44" s="24" t="inlineStr"/>
    </row>
    <row r="45">
      <c r="A45" s="24" t="inlineStr">
        <is>
          <t>BPNSFS</t>
        </is>
      </c>
      <c r="B45" s="24" t="inlineStr">
        <is>
          <t>Competence satisfaction</t>
        </is>
      </c>
      <c r="C45" s="24" t="inlineStr">
        <is>
          <t>competence-sat</t>
        </is>
      </c>
      <c r="D45" s="24" t="inlineStr">
        <is>
          <t>Feeling capable</t>
        </is>
      </c>
      <c r="E45" s="24" t="inlineStr">
        <is>
          <t>positive</t>
        </is>
      </c>
      <c r="F45" s="24" t="inlineStr">
        <is>
          <t>mean</t>
        </is>
      </c>
      <c r="G45" s="24" t="inlineStr"/>
      <c r="H45" s="24" t="inlineStr"/>
      <c r="I45" s="24" t="inlineStr">
        <is>
          <t>You feel capable of what you set out to do.</t>
        </is>
      </c>
      <c r="J45" s="24" t="inlineStr">
        <is>
          <t>Your answers suggest you are not feeling capable of what you set out to do.</t>
        </is>
      </c>
      <c r="K45" s="24" t="inlineStr">
        <is>
          <t>Confidence</t>
        </is>
      </c>
      <c r="L45" s="24" t="inlineStr">
        <is>
          <t>https://app.executiveframe.co.nz/hub/competence</t>
        </is>
      </c>
      <c r="M45" s="24" t="inlineStr"/>
    </row>
    <row r="46">
      <c r="A46" s="24" t="inlineStr">
        <is>
          <t>BPNSFS</t>
        </is>
      </c>
      <c r="B46" s="24" t="inlineStr">
        <is>
          <t>Competence frustration</t>
        </is>
      </c>
      <c r="C46" s="24" t="inlineStr">
        <is>
          <t>competence-frus</t>
        </is>
      </c>
      <c r="D46" s="24" t="inlineStr">
        <is>
          <t>Doubting yourself</t>
        </is>
      </c>
      <c r="E46" s="24" t="inlineStr">
        <is>
          <t>difficulty</t>
        </is>
      </c>
      <c r="F46" s="24" t="inlineStr">
        <is>
          <t>mean</t>
        </is>
      </c>
      <c r="G46" s="24" t="inlineStr"/>
      <c r="H46" s="24" t="inlineStr"/>
      <c r="I46" s="24" t="inlineStr">
        <is>
          <t>You do not doubt your ability much.</t>
        </is>
      </c>
      <c r="J46" s="24" t="inlineStr">
        <is>
          <t>Doubting your ability came up often in your answers.</t>
        </is>
      </c>
      <c r="K46" s="24" t="inlineStr">
        <is>
          <t>Confidence</t>
        </is>
      </c>
      <c r="L46" s="24" t="inlineStr">
        <is>
          <t>https://app.executiveframe.co.nz/hub/competence</t>
        </is>
      </c>
      <c r="M46" s="24" t="inlineStr"/>
    </row>
    <row r="47">
      <c r="A47" s="24" t="inlineStr">
        <is>
          <t>PPS</t>
        </is>
      </c>
      <c r="B47" s="24" t="inlineStr">
        <is>
          <t>Pure Procrastination (total scale)</t>
        </is>
      </c>
      <c r="C47" s="24" t="inlineStr">
        <is>
          <t>total</t>
        </is>
      </c>
      <c r="D47" s="24" t="inlineStr">
        <is>
          <t>Putting things off</t>
        </is>
      </c>
      <c r="E47" s="24" t="inlineStr">
        <is>
          <t>difficulty</t>
        </is>
      </c>
      <c r="F47" s="24" t="inlineStr">
        <is>
          <t>mean</t>
        </is>
      </c>
      <c r="G47" s="24" t="inlineStr"/>
      <c r="H47" s="24" t="inlineStr"/>
      <c r="I47" s="24" t="inlineStr">
        <is>
          <t>Putting things off is not a big feature of how you work.</t>
        </is>
      </c>
      <c r="J47" s="24" t="inlineStr">
        <is>
          <t>Putting things off came up often in your answers.</t>
        </is>
      </c>
      <c r="K47" s="24" t="inlineStr">
        <is>
          <t>Getting started</t>
        </is>
      </c>
      <c r="L47" s="24" t="inlineStr">
        <is>
          <t>https://app.executiveframe.co.nz/hub/starting</t>
        </is>
      </c>
      <c r="M47" s="24" t="inlineStr"/>
    </row>
    <row r="48">
      <c r="A48" s="24" t="inlineStr">
        <is>
          <t>IPS</t>
        </is>
      </c>
      <c r="B48" s="24" t="inlineStr">
        <is>
          <t>Irrational Procrastination (total scale)</t>
        </is>
      </c>
      <c r="C48" s="24" t="inlineStr">
        <is>
          <t>total</t>
        </is>
      </c>
      <c r="D48" s="24" t="inlineStr">
        <is>
          <t>Delaying despite good intentions</t>
        </is>
      </c>
      <c r="E48" s="24" t="inlineStr">
        <is>
          <t>difficulty</t>
        </is>
      </c>
      <c r="F48" s="24" t="inlineStr">
        <is>
          <t>mean</t>
        </is>
      </c>
      <c r="G48" s="24" t="inlineStr"/>
      <c r="H48" s="24" t="inlineStr"/>
      <c r="I48" s="24" t="inlineStr">
        <is>
          <t>You mostly do what you intend to, when you intend to.</t>
        </is>
      </c>
      <c r="J48" s="24" t="inlineStr">
        <is>
          <t>Delaying things you meant to do came up often in your answers.</t>
        </is>
      </c>
      <c r="K48" s="24" t="inlineStr">
        <is>
          <t>Getting started</t>
        </is>
      </c>
      <c r="L48" s="24" t="inlineStr">
        <is>
          <t>https://app.executiveframe.co.nz/hub/starting</t>
        </is>
      </c>
      <c r="M48" s="24" t="inlineStr"/>
    </row>
    <row r="49">
      <c r="A49" s="24" t="inlineStr">
        <is>
          <t>GSE</t>
        </is>
      </c>
      <c r="B49" s="24" t="inlineStr">
        <is>
          <t>General Self-Efficacy (total scale)</t>
        </is>
      </c>
      <c r="C49" s="24" t="inlineStr">
        <is>
          <t>total</t>
        </is>
      </c>
      <c r="D49" s="24" t="inlineStr">
        <is>
          <t>Confidence in handling challenges</t>
        </is>
      </c>
      <c r="E49" s="24" t="inlineStr">
        <is>
          <t>positive</t>
        </is>
      </c>
      <c r="F49" s="24" t="inlineStr">
        <is>
          <t>mean</t>
        </is>
      </c>
      <c r="G49" s="24" t="inlineStr"/>
      <c r="H49" s="24" t="inlineStr"/>
      <c r="I49" s="24" t="inlineStr">
        <is>
          <t>You feel confident you can handle what comes your way.</t>
        </is>
      </c>
      <c r="J49" s="24" t="inlineStr">
        <is>
          <t>Your answers suggest you are not feeling confident about handling what comes your way.</t>
        </is>
      </c>
      <c r="K49" s="24" t="inlineStr">
        <is>
          <t>Confidence</t>
        </is>
      </c>
      <c r="L49" s="24" t="inlineStr">
        <is>
          <t>https://app.executiveframe.co.nz/hub/competence</t>
        </is>
      </c>
      <c r="M49" s="24" t="inlineStr"/>
    </row>
    <row r="50">
      <c r="A50" s="24" t="inlineStr">
        <is>
          <t>GCS</t>
        </is>
      </c>
      <c r="B50" s="24" t="inlineStr">
        <is>
          <t>Goal Commitment</t>
        </is>
      </c>
      <c r="C50" s="24" t="inlineStr">
        <is>
          <t>total</t>
        </is>
      </c>
      <c r="D50" s="24" t="inlineStr">
        <is>
          <t>Commitment to your goal</t>
        </is>
      </c>
      <c r="E50" s="24" t="inlineStr">
        <is>
          <t>positive</t>
        </is>
      </c>
      <c r="F50" s="24" t="inlineStr">
        <is>
          <t>mean</t>
        </is>
      </c>
      <c r="G50" s="24" t="inlineStr"/>
      <c r="H50" s="24" t="inlineStr"/>
      <c r="I50" s="24" t="inlineStr">
        <is>
          <t>You are firmly committed to the goal you named.</t>
        </is>
      </c>
      <c r="J50" s="24" t="inlineStr">
        <is>
          <t>Your answers suggest your commitment to the goal you named is wavering.</t>
        </is>
      </c>
      <c r="K50" s="24" t="inlineStr">
        <is>
          <t>Goals</t>
        </is>
      </c>
      <c r="L50" s="24" t="inlineStr">
        <is>
          <t>https://app.executiveframe.co.nz/hub/goals</t>
        </is>
      </c>
      <c r="M50" s="24" t="inlineStr"/>
    </row>
    <row r="51">
      <c r="A51" s="24" t="inlineStr">
        <is>
          <t>GADJ</t>
        </is>
      </c>
      <c r="B51" s="24" t="inlineStr">
        <is>
          <t>Goal Disengagement</t>
        </is>
      </c>
      <c r="C51" s="24" t="inlineStr">
        <is>
          <t>disengagement</t>
        </is>
      </c>
      <c r="D51" s="24" t="inlineStr">
        <is>
          <t>Letting go of goals</t>
        </is>
      </c>
      <c r="E51" s="24" t="inlineStr">
        <is>
          <t>none</t>
        </is>
      </c>
      <c r="F51" s="24" t="inlineStr">
        <is>
          <t>mean</t>
        </is>
      </c>
      <c r="G51" s="24" t="inlineStr"/>
      <c r="H51" s="24" t="inlineStr"/>
      <c r="I51" s="24" t="inlineStr"/>
      <c r="J51" s="24" t="inlineStr"/>
      <c r="K51" s="24" t="inlineStr"/>
      <c r="L51" s="24" t="inlineStr"/>
      <c r="M51" s="24" t="inlineStr">
        <is>
          <t>Neither high nor low is better in itself; numbers only.</t>
        </is>
      </c>
    </row>
    <row r="52">
      <c r="A52" s="24" t="inlineStr">
        <is>
          <t>GADJ</t>
        </is>
      </c>
      <c r="B52" s="24" t="inlineStr">
        <is>
          <t>Goal Reengagement</t>
        </is>
      </c>
      <c r="C52" s="24" t="inlineStr">
        <is>
          <t>reengagement</t>
        </is>
      </c>
      <c r="D52" s="24" t="inlineStr">
        <is>
          <t>Finding new goals</t>
        </is>
      </c>
      <c r="E52" s="24" t="inlineStr">
        <is>
          <t>positive</t>
        </is>
      </c>
      <c r="F52" s="24" t="inlineStr">
        <is>
          <t>mean</t>
        </is>
      </c>
      <c r="G52" s="24" t="inlineStr"/>
      <c r="H52" s="24" t="inlineStr"/>
      <c r="I52" s="24" t="inlineStr">
        <is>
          <t>When a goal is out of reach you find new ones to pursue.</t>
        </is>
      </c>
      <c r="J52" s="24" t="inlineStr">
        <is>
          <t>Your answers suggest it is hard to find new goals when one is out of reach.</t>
        </is>
      </c>
      <c r="K52" s="24" t="inlineStr">
        <is>
          <t>Goals</t>
        </is>
      </c>
      <c r="L52" s="24" t="inlineStr">
        <is>
          <t>https://app.executiveframe.co.nz/hub/goals</t>
        </is>
      </c>
      <c r="M52" s="24" t="inlineStr"/>
    </row>
  </sheetData>
  <autoFilter ref="A1:M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style="17" min="1" max="1"/>
    <col width="34" customWidth="1" style="17" min="2" max="2"/>
    <col width="12" customWidth="1" style="17" min="3" max="3"/>
    <col width="24" customWidth="1" style="17" min="4" max="4"/>
    <col width="44" customWidth="1" style="17" min="5" max="5"/>
    <col width="7" customWidth="1" style="17" min="6" max="6"/>
    <col width="16" customWidth="1" style="17" min="7" max="7"/>
    <col width="12" customWidth="1" style="17" min="8" max="8"/>
    <col width="8" customWidth="1" style="17" min="9" max="9"/>
    <col width="30" customWidth="1" style="17" min="10" max="10"/>
    <col width="30" customWidth="1" style="17" min="11" max="11"/>
    <col width="40" customWidth="1" style="17" min="12" max="12"/>
    <col width="34" customWidth="1" style="17" min="13" max="13"/>
    <col width="30" customWidth="1" style="17" min="14" max="14"/>
    <col width="16" customWidth="1" style="17" min="15" max="15"/>
    <col width="30" customWidth="1" style="17" min="16" max="16"/>
    <col width="18" customWidth="1" style="17" min="17" max="17"/>
    <col width="14" customWidth="1" style="17" min="18" max="18"/>
    <col width="40" customWidth="1" style="17" min="19" max="19"/>
    <col width="40" customWidth="1" style="17" min="20" max="20"/>
  </cols>
  <sheetData>
    <row r="1">
      <c r="A1" s="23" t="inlineStr">
        <is>
          <t>#</t>
        </is>
      </c>
      <c r="B1" s="23" t="inlineStr">
        <is>
          <t>Instrument</t>
        </is>
      </c>
      <c r="C1" s="23" t="inlineStr">
        <is>
          <t>Code</t>
        </is>
      </c>
      <c r="D1" s="23" t="inlineStr">
        <is>
          <t>NovoPsych categories</t>
        </is>
      </c>
      <c r="E1" s="23" t="inlineStr">
        <is>
          <t>What it measures</t>
        </is>
      </c>
      <c r="F1" s="23" t="inlineStr">
        <is>
          <t>Items</t>
        </is>
      </c>
      <c r="G1" s="23" t="inlineStr">
        <is>
          <t>Respondent</t>
        </is>
      </c>
      <c r="H1" s="23" t="inlineStr">
        <is>
          <t>Age range</t>
        </is>
      </c>
      <c r="I1" s="23" t="inlineStr">
        <is>
          <t>Minutes</t>
        </is>
      </c>
      <c r="J1" s="23" t="inlineStr">
        <is>
          <t>Subscales</t>
        </is>
      </c>
      <c r="K1" s="23" t="inlineStr">
        <is>
          <t>Response scale (as fetched)</t>
        </is>
      </c>
      <c r="L1" s="23" t="inlineStr">
        <is>
          <t>Scoring (as fetched)</t>
        </is>
      </c>
      <c r="M1" s="23" t="inlineStr">
        <is>
          <t>Citation (as fetched)</t>
        </is>
      </c>
      <c r="N1" s="23" t="inlineStr">
        <is>
          <t>Copyright text on page</t>
        </is>
      </c>
      <c r="O1" s="23" t="inlineStr">
        <is>
          <t>Availability (as fetched)</t>
        </is>
      </c>
      <c r="P1" s="23" t="inlineStr">
        <is>
          <t>Hub relevance (suggested)</t>
        </is>
      </c>
      <c r="Q1" s="23" t="inlineStr">
        <is>
          <t>Licence confirmed (to fill in)</t>
        </is>
      </c>
      <c r="R1" s="23" t="inlineStr">
        <is>
          <t>Decision (add / skip)</t>
        </is>
      </c>
      <c r="S1" s="23" t="inlineStr">
        <is>
          <t>Notes</t>
        </is>
      </c>
      <c r="T1" s="23" t="inlineStr">
        <is>
          <t>URL</t>
        </is>
      </c>
    </row>
    <row r="2">
      <c r="A2" s="24" t="n">
        <v>1</v>
      </c>
      <c r="B2" s="24" t="inlineStr">
        <is>
          <t>Adult ADHD Self-Report Scale (ASRS v1.1)</t>
        </is>
      </c>
      <c r="C2" s="24" t="inlineStr">
        <is>
          <t>ASRS</t>
        </is>
      </c>
      <c r="D2" s="24" t="inlineStr">
        <is>
          <t>ADHD, Diagnosis</t>
        </is>
      </c>
      <c r="E2" s="24" t="inlineStr">
        <is>
          <t>Screens for ADHD symptoms in adults, aligned to DSM criteria.</t>
        </is>
      </c>
      <c r="F2" s="24" t="n">
        <v>18</v>
      </c>
      <c r="G2" s="24" t="inlineStr">
        <is>
          <t>Self report</t>
        </is>
      </c>
      <c r="H2" s="24" t="inlineStr">
        <is>
          <t>18+</t>
        </is>
      </c>
      <c r="I2" s="24" t="n">
        <v>3</v>
      </c>
      <c r="J2" s="24" t="inlineStr">
        <is>
          <t>Part A (screener, 6 items), Part B (12 items), Inattentiveness, Motor Hyperactivity/Impulsivity, Verbal Hyperactivity</t>
        </is>
      </c>
      <c r="K2" s="24" t="inlineStr">
        <is>
          <t>5 point, scored 0 to 4 (anchor labels not stated); original version dichotomous 0 or 1</t>
        </is>
      </c>
      <c r="L2" s="24" t="inlineStr">
        <is>
          <t>Items scored 0 to 4 and summed; higher scores indicate more symptoms. Part A of 14 or above is the recommended ADHD cut off; total of 40 or above (79th percentile) typically indicates ADHD; Part B of 27 or above is clinically significant.</t>
        </is>
      </c>
      <c r="M2" s="24" t="inlineStr">
        <is>
          <t>Kessler et al. (2005), based on the WHO Composite International Diagnostic Interview (2001); validation Brevik et al. (2020); norms Adler et al. (2018). Journals not given.</t>
        </is>
      </c>
      <c r="N2" s="24" t="inlineStr">
        <is>
          <t>No copyright, licensing, permission or free to use statement on the page</t>
        </is>
      </c>
      <c r="O2" s="24" t="inlineStr">
        <is>
          <t>not stated</t>
        </is>
      </c>
      <c r="P2" s="24" t="inlineStr">
        <is>
          <t>Already in codebook</t>
        </is>
      </c>
      <c r="Q2" s="24" t="inlineStr"/>
      <c r="R2" s="24" t="inlineStr"/>
      <c r="S2" s="24" t="inlineStr">
        <is>
          <t>Factor structure from Stanton et al. (2018). Page gives no licensing statement.</t>
        </is>
      </c>
      <c r="T2" s="24" t="inlineStr">
        <is>
          <t>https://novopsych.com/assessments/diagnosis/adult-adhd-self-report-scale-asrs/</t>
        </is>
      </c>
    </row>
    <row r="3">
      <c r="A3" s="24" t="n">
        <v>2</v>
      </c>
      <c r="B3" s="24" t="inlineStr">
        <is>
          <t>Adult ADHD Observer-Report Scale</t>
        </is>
      </c>
      <c r="C3" s="24" t="inlineStr">
        <is>
          <t>ASRS-O</t>
        </is>
      </c>
      <c r="D3" s="24" t="inlineStr">
        <is>
          <t>ADHD, Diagnosis</t>
        </is>
      </c>
      <c r="E3" s="24" t="inlineStr">
        <is>
          <t>Informant rated observations of adult ADHD symptoms over the past 6 months, complementing the self report ASRS.</t>
        </is>
      </c>
      <c r="F3" s="24" t="n">
        <v>18</v>
      </c>
      <c r="G3" s="24" t="inlineStr">
        <is>
          <t>Informant (partner, parent, relative, friend) or clinician who has regularly observed the adult</t>
        </is>
      </c>
      <c r="H3" s="24" t="inlineStr">
        <is>
          <t>18+</t>
        </is>
      </c>
      <c r="I3" s="24" t="n">
        <v>3</v>
      </c>
      <c r="J3" s="24" t="inlineStr">
        <is>
          <t>Inattentiveness, Hyperactivity/Impulsivity (motor and verbal components)</t>
        </is>
      </c>
      <c r="K3" s="24" t="inlineStr">
        <is>
          <t>Not stated; frequency rating over the past 6 months</t>
        </is>
      </c>
      <c r="L3" s="24" t="inlineStr">
        <is>
          <t>Total and 2 subscale scores produced; method and direction not stated. NovoPsych applies the self report ASRS screener thresholds as reference points, noting these are not validated for observer ratings.</t>
        </is>
      </c>
      <c r="M3" s="24" t="inlineStr">
        <is>
          <t>No developer citation given; background references American Psychiatric Association (2022), Sibley et al. (2012), Achenbach et al. (2005).</t>
        </is>
      </c>
      <c r="N3" s="24" t="inlineStr">
        <is>
          <t>No copyright, licensing, permission or free to use statement on the page</t>
        </is>
      </c>
      <c r="O3" s="24" t="inlineStr">
        <is>
          <t>not stated</t>
        </is>
      </c>
      <c r="P3" s="24" t="inlineStr">
        <is>
          <t>Out of scope for the hub (not self report)</t>
        </is>
      </c>
      <c r="Q3" s="24" t="inlineStr"/>
      <c r="R3" s="24" t="inlineStr"/>
      <c r="S3" s="24" t="inlineStr">
        <is>
          <t>Observer adaptation appears to be a NovoPsych construction; no original publication cited.</t>
        </is>
      </c>
      <c r="T3" s="24" t="inlineStr">
        <is>
          <t>https://novopsych.com/assessments/diagnosis/adult-adhd-observer-report-scale-asrs-o/</t>
        </is>
      </c>
    </row>
    <row r="4">
      <c r="A4" s="24" t="n">
        <v>3</v>
      </c>
      <c r="B4" s="24" t="inlineStr">
        <is>
          <t>Depression Anxiety Stress Scales – Short Form</t>
        </is>
      </c>
      <c r="C4" s="24" t="inlineStr">
        <is>
          <t>DASS-21</t>
        </is>
      </c>
      <c r="D4" s="24" t="inlineStr">
        <is>
          <t>Anxiety, Depression, Outcome monitoring</t>
        </is>
      </c>
      <c r="E4" s="24" t="inlineStr">
        <is>
          <t>Measures general psychological distress and symptoms of depression, anxiety and stress over the past week.</t>
        </is>
      </c>
      <c r="F4" s="24" t="n">
        <v>21</v>
      </c>
      <c r="G4" s="24" t="inlineStr">
        <is>
          <t>Self report</t>
        </is>
      </c>
      <c r="H4" s="24" t="inlineStr">
        <is>
          <t>17+</t>
        </is>
      </c>
      <c r="I4" s="24" t="n">
        <v>4</v>
      </c>
      <c r="J4" s="24" t="inlineStr">
        <is>
          <t>Depression, Anxiety, Stress, Total Distress</t>
        </is>
      </c>
      <c r="K4" s="24" t="inlineStr">
        <is>
          <t>Not stated on the page</t>
        </is>
      </c>
      <c r="L4" s="24" t="inlineStr">
        <is>
          <t>Each subscale is the sum of its 7 items, doubled to apply DASS-42 severity bands (e.g. Depression Normal 0 to 9, Extremely Severe 28+); higher scores indicate greater severity. Percentiles against a non clinical adult sample.</t>
        </is>
      </c>
      <c r="M4" s="24" t="inlineStr">
        <is>
          <t>Lovibond, S.H., &amp; Lovibond, P.F. (1995). Manual for the Depression Anxiety Stress Scales (2nd ed.). Psychology Foundation, Sydney.</t>
        </is>
      </c>
      <c r="N4" s="24" t="inlineStr">
        <is>
          <t>© 2026 Copyright – NovoPsych – All rights reserved (site wide footer; no instrument specific statement on the page); page also states: "For full interpretive information please purchase the DASS manual"</t>
        </is>
      </c>
      <c r="O4" s="24" t="inlineStr">
        <is>
          <t>not stated</t>
        </is>
      </c>
      <c r="P4" s="24" t="inlineStr">
        <is>
          <t>Already in codebook</t>
        </is>
      </c>
      <c r="Q4" s="24" t="inlineStr"/>
      <c r="R4" s="24" t="inlineStr"/>
      <c r="S4" s="24" t="inlineStr">
        <is>
          <t>No instrument level licence statement; the DASS is widely described as public domain elsewhere but the page does not say so.</t>
        </is>
      </c>
      <c r="T4" s="24" t="inlineStr">
        <is>
          <t>https://novopsych.com/assessments/depression/depression-anxiety-stress-scales-short-form-dass-21/</t>
        </is>
      </c>
    </row>
    <row r="5">
      <c r="A5" s="24" t="n">
        <v>4</v>
      </c>
      <c r="B5" s="24" t="inlineStr">
        <is>
          <t>Multilevel Assessment of Psychopathology</t>
        </is>
      </c>
      <c r="C5" s="24" t="inlineStr">
        <is>
          <t>MAPsy</t>
        </is>
      </c>
      <c r="D5" s="24" t="inlineStr">
        <is>
          <t>Formulation</t>
        </is>
      </c>
      <c r="E5" s="24" t="inlineStr">
        <is>
          <t>Broad self report of DSM-5 disorder symptoms via 41 disorder scales and 127 dimensions of an empirically derived hierarchy of psychopathology.</t>
        </is>
      </c>
      <c r="F5" s="24" t="n">
        <v>154</v>
      </c>
      <c r="G5" s="24" t="inlineStr">
        <is>
          <t>Self report</t>
        </is>
      </c>
      <c r="H5" s="24" t="inlineStr">
        <is>
          <t>16+</t>
        </is>
      </c>
      <c r="I5" s="24" t="n">
        <v>20</v>
      </c>
      <c r="J5" s="24" t="inlineStr">
        <is>
          <t>41 disorder scales, 127 hierarchy dimensions across 9 broad spectra (spectra, subfactors, clusters), 23 personality facets, 7 personality disorder scales, Harmful Substance Use spectrum and 3 substance use checklist clusters</t>
        </is>
      </c>
      <c r="K5" s="24" t="inlineStr">
        <is>
          <t>Not stated on the page</t>
        </is>
      </c>
      <c r="L5" s="24" t="inlineStr">
        <is>
          <t>Scores compared with percentiles from a mental health reference sample and assigned to severity bands including Elevated and Clinically Significant; hierarchy thresholds are sums of item thresholds. Sum or mean method not stated.</t>
        </is>
      </c>
      <c r="M5" s="24" t="inlineStr">
        <is>
          <t>No developer citation; framework references Kotov et al. (2017) and Forbes et al. (2025). Page author Simon Baker, PhD, NovoPsych.</t>
        </is>
      </c>
      <c r="N5" s="24" t="inlineStr">
        <is>
          <t>No copyright, licensing, permission or free to use statement on the page</t>
        </is>
      </c>
      <c r="O5" s="24" t="inlineStr">
        <is>
          <t>not stated</t>
        </is>
      </c>
      <c r="P5" s="24" t="inlineStr">
        <is>
          <t>Shortlist: screening or clinical (Sarah only if used)</t>
        </is>
      </c>
      <c r="Q5" s="24" t="inlineStr"/>
      <c r="R5" s="24" t="inlineStr"/>
      <c r="S5" s="24" t="inlineStr">
        <is>
          <t>Appears to be a NovoPsych developed instrument offered under Professional Access, but the page does not state ownership.</t>
        </is>
      </c>
      <c r="T5" s="24" t="inlineStr">
        <is>
          <t>https://novopsych.com/assessments/formulation/multilevel-assessment-of-psychopathology-mapsy/</t>
        </is>
      </c>
    </row>
    <row r="6">
      <c r="A6" s="24" t="n">
        <v>5</v>
      </c>
      <c r="B6" s="24" t="inlineStr">
        <is>
          <t>PTSD Checklist for DSM-5</t>
        </is>
      </c>
      <c r="C6" s="24" t="inlineStr">
        <is>
          <t>PCL-5</t>
        </is>
      </c>
      <c r="D6" s="24" t="inlineStr">
        <is>
          <t>Diagnosis, Trauma</t>
        </is>
      </c>
      <c r="E6" s="24" t="inlineStr">
        <is>
          <t>Measures adult PTSD symptoms over the past month mapped to the DSM-5 criteria.</t>
        </is>
      </c>
      <c r="F6" s="24" t="n">
        <v>20</v>
      </c>
      <c r="G6" s="24" t="inlineStr">
        <is>
          <t>Self report</t>
        </is>
      </c>
      <c r="H6" s="24" t="inlineStr">
        <is>
          <t>18+</t>
        </is>
      </c>
      <c r="I6" s="24" t="n">
        <v>3</v>
      </c>
      <c r="J6" s="24" t="inlineStr">
        <is>
          <t>Re-experiencing, Avoidance, Negative alterations in cognition and mood, Hyperarousal</t>
        </is>
      </c>
      <c r="K6" s="24" t="inlineStr">
        <is>
          <t>5 point, 0 to 4 (anchor labels not stated)</t>
        </is>
      </c>
      <c r="L6" s="24" t="inlineStr">
        <is>
          <t>Items summed to a total of 0 to 80, higher indicating more symptoms; 33 cited as the commonly used cut off. Cluster scores averaged on the 0 to 4 scale; a 12 point change is clinically meaningful.</t>
        </is>
      </c>
      <c r="M6" s="24" t="inlineStr">
        <is>
          <t>Weathers, F.W., Litz, B.T., Keane, T.M., Palmieri, P.A., Marx, B.P., &amp; Schnurr, P.P. (2013). The PTSD Checklist for DSM-5 (PCL-5). National Center for PTSD, www.ptsd.va.gov.</t>
        </is>
      </c>
      <c r="N6" s="24" t="inlineStr">
        <is>
          <t>© 2026 Copyright – NovoPsych – All rights reserved (site wide footer; no instrument specific statement on the page); video transcript states: "Developed by the VA's National Center for PTSD, it is well validated, widely used, and free."</t>
        </is>
      </c>
      <c r="O6" s="24" t="inlineStr">
        <is>
          <t>free, copyright held by authors</t>
        </is>
      </c>
      <c r="P6" s="24" t="inlineStr">
        <is>
          <t>Shortlist: screening or clinical (Sarah only if used)</t>
        </is>
      </c>
      <c r="Q6" s="24" t="inlineStr"/>
      <c r="R6" s="24" t="inlineStr"/>
      <c r="S6" s="24" t="inlineStr">
        <is>
          <t>Only free statement is in the video transcript; page does not use the words public domain.</t>
        </is>
      </c>
      <c r="T6" s="24" t="inlineStr">
        <is>
          <t>https://novopsych.com/assessments/diagnosis/ptsd-checklist-5-pcl-5/</t>
        </is>
      </c>
    </row>
    <row r="7">
      <c r="A7" s="24" t="n">
        <v>6</v>
      </c>
      <c r="B7" s="24" t="inlineStr">
        <is>
          <t>Generalised Anxiety Disorder Assessment</t>
        </is>
      </c>
      <c r="C7" s="24" t="inlineStr">
        <is>
          <t>GAD-7</t>
        </is>
      </c>
      <c r="D7" s="24" t="inlineStr">
        <is>
          <t>Anxiety, Outcome monitoring</t>
        </is>
      </c>
      <c r="E7" s="24" t="inlineStr">
        <is>
          <t>Screens for anxiety symptoms based on the DSM criteria for generalised anxiety disorder.</t>
        </is>
      </c>
      <c r="F7" s="24" t="n"/>
      <c r="G7" s="24" t="inlineStr">
        <is>
          <t>Not stated (self report by convention)</t>
        </is>
      </c>
      <c r="H7" s="24" t="inlineStr">
        <is>
          <t>12+</t>
        </is>
      </c>
      <c r="I7" s="24" t="n">
        <v>1</v>
      </c>
      <c r="J7" s="24" t="inlineStr"/>
      <c r="K7" s="24" t="inlineStr">
        <is>
          <t>Not stated on the page</t>
        </is>
      </c>
      <c r="L7" s="24" t="inlineStr">
        <is>
          <t>Not available; scoring section empty in fetched content.</t>
        </is>
      </c>
      <c r="M7" s="24" t="inlineStr">
        <is>
          <t>Spitzer, R. L., Kroenke, K., Williams, J. B., &amp; Löwe, B. (2006). A brief measure for assessing generalized anxiety disorder: the GAD-7. Archives of Internal Medicine, 166(10), 1092-1097.</t>
        </is>
      </c>
      <c r="N7" s="24" t="inlineStr">
        <is>
          <t>© 2026 Copyright – NovoPsych – All rights reserved (site wide footer; no instrument specific statement on the page)</t>
        </is>
      </c>
      <c r="O7" s="24" t="inlineStr">
        <is>
          <t>not stated</t>
        </is>
      </c>
      <c r="P7" s="24" t="inlineStr">
        <is>
          <t>Shortlist: coaching and wellbeing (client facing possible)</t>
        </is>
      </c>
      <c r="Q7" s="24" t="inlineStr"/>
      <c r="R7" s="24" t="inlineStr"/>
      <c r="S7" s="24" t="inlineStr">
        <is>
          <t>Scoring and Interpretation and Psychometric sections are rendered client side and were not visible to the fetcher. Item count (7) implied by the name but not stated in fetched text.</t>
        </is>
      </c>
      <c r="T7" s="24" t="inlineStr">
        <is>
          <t>https://novopsych.com/assessments/anxiety/generalised-anxiety-disorder-assessment-gad-7/</t>
        </is>
      </c>
    </row>
    <row r="8">
      <c r="A8" s="24" t="n">
        <v>7</v>
      </c>
      <c r="B8" s="24" t="inlineStr">
        <is>
          <t>Patient Health Questionnaire – Depression</t>
        </is>
      </c>
      <c r="C8" s="24" t="inlineStr">
        <is>
          <t>PHQ-9</t>
        </is>
      </c>
      <c r="D8" s="24" t="inlineStr">
        <is>
          <t>Depression, Outcome monitoring</t>
        </is>
      </c>
      <c r="E8" s="24" t="inlineStr">
        <is>
          <t>Screens for depression and monitors treatment response, originally for primary care.</t>
        </is>
      </c>
      <c r="F8" s="24" t="n">
        <v>9</v>
      </c>
      <c r="G8" s="24" t="inlineStr">
        <is>
          <t>Not stated (self report by convention)</t>
        </is>
      </c>
      <c r="H8" s="24" t="inlineStr">
        <is>
          <t>13+</t>
        </is>
      </c>
      <c r="I8" s="24" t="n">
        <v>2</v>
      </c>
      <c r="J8" s="24" t="inlineStr"/>
      <c r="K8" s="24" t="inlineStr">
        <is>
          <t>Not stated on the page</t>
        </is>
      </c>
      <c r="L8" s="24" t="inlineStr">
        <is>
          <t>Not available; scoring section empty in fetched content.</t>
        </is>
      </c>
      <c r="M8" s="24" t="inlineStr">
        <is>
          <t>Kroenke, K., Spitzer, R. L., &amp; Williams, J. B. W. (2001). The PHQ-9. Journal of General Internal Medicine, 16(9), 606-613. https://doi.org/10.1046/j.1525-1497.2001.016009606.x</t>
        </is>
      </c>
      <c r="N8" s="24" t="inlineStr">
        <is>
          <t>© 2026 Copyright – NovoPsych – All rights reserved (site wide footer; no instrument specific statement on the page)</t>
        </is>
      </c>
      <c r="O8" s="24" t="inlineStr">
        <is>
          <t>not stated</t>
        </is>
      </c>
      <c r="P8" s="24" t="inlineStr">
        <is>
          <t>Shortlist: coaching and wellbeing (client facing possible)</t>
        </is>
      </c>
      <c r="Q8" s="24" t="inlineStr"/>
      <c r="R8" s="24" t="inlineStr"/>
      <c r="S8" s="24" t="inlineStr">
        <is>
          <t>Scoring and Interpretation and Psychometric sections are rendered client side and were not visible to the fetcher. Page offers a PDF download and Administer Now with no terms of use.</t>
        </is>
      </c>
      <c r="T8" s="24" t="inlineStr">
        <is>
          <t>https://novopsych.com/assessments/depression/patient-health-questionnaire-depression-phq-9/</t>
        </is>
      </c>
    </row>
    <row r="9">
      <c r="A9" s="24" t="n">
        <v>8</v>
      </c>
      <c r="B9" s="24" t="inlineStr">
        <is>
          <t>Autism Spectrum Quotient</t>
        </is>
      </c>
      <c r="C9" s="24" t="inlineStr">
        <is>
          <t>AQ</t>
        </is>
      </c>
      <c r="D9" s="24" t="inlineStr">
        <is>
          <t>Autism, Diagnosis</t>
        </is>
      </c>
      <c r="E9" s="24" t="inlineStr">
        <is>
          <t>Measures autistic traits in adults and adolescents aged 16 and over.</t>
        </is>
      </c>
      <c r="F9" s="24" t="n">
        <v>50</v>
      </c>
      <c r="G9" s="24" t="inlineStr">
        <is>
          <t>Self report</t>
        </is>
      </c>
      <c r="H9" s="24" t="inlineStr">
        <is>
          <t>16+</t>
        </is>
      </c>
      <c r="I9" s="24" t="n">
        <v>8</v>
      </c>
      <c r="J9" s="24" t="inlineStr"/>
      <c r="K9" s="24" t="inlineStr">
        <is>
          <t>Not stated on the page</t>
        </is>
      </c>
      <c r="L9" s="24" t="inlineStr">
        <is>
          <t>Not available; scoring section empty in fetched content.</t>
        </is>
      </c>
      <c r="M9" s="24" t="inlineStr">
        <is>
          <t>Baron-Cohen, S., Wheelwright, S., Skinner, R., Martin, J., &amp; Clubley, E. (2001). The Autism-Spectrum Quotient (AQ). Journal of Autism and Developmental Disorders, 31(1), 5-17.</t>
        </is>
      </c>
      <c r="N9" s="24" t="inlineStr">
        <is>
          <t>© 2026 Copyright – NovoPsych – All rights reserved (site wide footer; no instrument specific statement on the page)</t>
        </is>
      </c>
      <c r="O9" s="24" t="inlineStr">
        <is>
          <t>not stated</t>
        </is>
      </c>
      <c r="P9" s="24" t="inlineStr">
        <is>
          <t>Shortlist: screening or clinical (Sarah only if used)</t>
        </is>
      </c>
      <c r="Q9" s="24" t="inlineStr"/>
      <c r="R9" s="24" t="inlineStr"/>
      <c r="S9" s="24" t="inlineStr">
        <is>
          <t>Scoring and Interpretation and Psychometric sections are rendered client side and were not visible to the fetcher. Psychometric references listed (Ruzich et al. 2015; Broadbent et al. 2013; Woodbury-Smith et al. 2005) without figures.</t>
        </is>
      </c>
      <c r="T9" s="24" t="inlineStr">
        <is>
          <t>https://novopsych.com/assessments/diagnosis/autism-spectrum-quotient/</t>
        </is>
      </c>
    </row>
    <row r="10">
      <c r="A10" s="24" t="n">
        <v>9</v>
      </c>
      <c r="B10" s="24" t="inlineStr">
        <is>
          <t>Executive Skills Questionnaire – Revised</t>
        </is>
      </c>
      <c r="C10" s="24" t="inlineStr">
        <is>
          <t>ESQ-R</t>
        </is>
      </c>
      <c r="D10" s="24" t="inlineStr">
        <is>
          <t>ADHD, Autism, Formulation</t>
        </is>
      </c>
      <c r="E10" s="24" t="inlineStr">
        <is>
          <t>Measures executive functioning skills including planning, time management, organisation, and emotional and behavioural regulation.</t>
        </is>
      </c>
      <c r="F10" s="24" t="n">
        <v>25</v>
      </c>
      <c r="G10" s="24" t="inlineStr">
        <is>
          <t>Self report</t>
        </is>
      </c>
      <c r="H10" s="24" t="inlineStr">
        <is>
          <t>14+</t>
        </is>
      </c>
      <c r="I10" s="24" t="n">
        <v>5</v>
      </c>
      <c r="J10" s="24" t="inlineStr"/>
      <c r="K10" s="24" t="inlineStr">
        <is>
          <t>Not stated on the page</t>
        </is>
      </c>
      <c r="L10" s="24" t="inlineStr">
        <is>
          <t>Not available; scoring section empty in fetched content.</t>
        </is>
      </c>
      <c r="M10" s="24" t="inlineStr">
        <is>
          <t>Strait, J. E., Dawson, P., Walther, C. A. P., Strait, G. G., Barton, A. K., &amp; McClain, M. B. (2020). Refinement and psychometric evaluation of the Executive Skills Questionnaire-Revised. Contemporary School Psychology, 24, 378-388.</t>
        </is>
      </c>
      <c r="N10" s="24" t="inlineStr">
        <is>
          <t>"included on NovoPsych with permission from Dr. Peg Dawson at Smart But Scattered Kids"; plus © 2026 Copyright – NovoPsych – All rights reserved (site wide footer; no instrument specific statement on the page)</t>
        </is>
      </c>
      <c r="O10" s="24" t="inlineStr">
        <is>
          <t>permission required</t>
        </is>
      </c>
      <c r="P10" s="24" t="inlineStr">
        <is>
          <t>Already in codebook</t>
        </is>
      </c>
      <c r="Q10" s="24" t="inlineStr"/>
      <c r="R10" s="24" t="inlineStr"/>
      <c r="S10" s="24" t="inlineStr">
        <is>
          <t>Scoring and Interpretation and Psychometric sections are rendered client side and were not visible to the fetcher. Classified as permission required because the page says it is hosted with the developer's permission.</t>
        </is>
      </c>
      <c r="T10" s="24" t="inlineStr">
        <is>
          <t>https://novopsych.com/assessments/formulation/executive-skills-questionnaire-revised-esq-r/</t>
        </is>
      </c>
    </row>
    <row r="11">
      <c r="A11" s="24" t="n">
        <v>10</v>
      </c>
      <c r="B11" s="24" t="inlineStr">
        <is>
          <t>Athens Insomnia Scale (8 item)</t>
        </is>
      </c>
      <c r="C11" s="24" t="inlineStr">
        <is>
          <t>AIS (AIS-8)</t>
        </is>
      </c>
      <c r="D11" s="24" t="inlineStr">
        <is>
          <t>Sleep</t>
        </is>
      </c>
      <c r="E11" s="24" t="inlineStr">
        <is>
          <t>Measures self reported insomnia severity in adults, referenced to ICD-10 criteria for nonorganic insomnia.</t>
        </is>
      </c>
      <c r="F11" s="24" t="n">
        <v>8</v>
      </c>
      <c r="G11" s="24" t="inlineStr">
        <is>
          <t>Self report</t>
        </is>
      </c>
      <c r="H11" s="24" t="inlineStr">
        <is>
          <t>18+</t>
        </is>
      </c>
      <c r="I11" s="24" t="n">
        <v>1</v>
      </c>
      <c r="J11" s="24" t="inlineStr">
        <is>
          <t>Sleep Difficulty (items 1 to 5), Daytime Consequences (items 6 to 8)</t>
        </is>
      </c>
      <c r="K11" s="24" t="inlineStr">
        <is>
          <t>Not stated on the page</t>
        </is>
      </c>
      <c r="L11" s="24" t="inlineStr">
        <is>
          <t>Total scored 0 to 24 with a validated clinical cut off of 6 or higher indicating clinically significant insomnia warranting fuller assessment. Domain scores reported separately without cut offs or norms.</t>
        </is>
      </c>
      <c r="M11" s="24" t="inlineStr">
        <is>
          <t>Soldatos et al. (2000); validation Soldatos et al. (2003). Journal not given.</t>
        </is>
      </c>
      <c r="N11" s="24" t="inlineStr">
        <is>
          <t>No licensing statement; meta description reads "Administer and score it free with NovoPsych."</t>
        </is>
      </c>
      <c r="O11" s="24" t="inlineStr">
        <is>
          <t>not stated</t>
        </is>
      </c>
      <c r="P11" s="24" t="inlineStr">
        <is>
          <t>Consider</t>
        </is>
      </c>
      <c r="Q11" s="24" t="inlineStr"/>
      <c r="R11" s="24" t="inlineStr"/>
      <c r="S11" s="24" t="inlineStr">
        <is>
          <t>The free wording refers to administration on the NovoPsych platform, not to the instrument licence. Domain groupings are author described, not validated subscales.</t>
        </is>
      </c>
      <c r="T11" s="24" t="inlineStr">
        <is>
          <t>https://novopsych.com/assessments/sleep/athens-insomnia-scale-ais/</t>
        </is>
      </c>
    </row>
    <row r="12">
      <c r="A12" s="24" t="n">
        <v>11</v>
      </c>
      <c r="B12" s="24" t="inlineStr">
        <is>
          <t>CRAFFT Substance Use Assessment (version 2.1+N)</t>
        </is>
      </c>
      <c r="C12" s="24" t="inlineStr">
        <is>
          <t>CRAFFT 2.1+N</t>
        </is>
      </c>
      <c r="D12" s="24" t="inlineStr">
        <is>
          <t>Addiction, Adolescent</t>
        </is>
      </c>
      <c r="E12" s="24" t="inlineStr">
        <is>
          <t>Screens young people for substance use, substance related riding and driving risk, and risk of substance use disorder, with a nicotine checklist.</t>
        </is>
      </c>
      <c r="F12" s="24" t="n">
        <v>20</v>
      </c>
      <c r="G12" s="24" t="inlineStr">
        <is>
          <t>Self report (young person completes in private)</t>
        </is>
      </c>
      <c r="H12" s="24" t="inlineStr">
        <is>
          <t>12 to 21</t>
        </is>
      </c>
      <c r="I12" s="24" t="n">
        <v>2</v>
      </c>
      <c r="J12" s="24" t="inlineStr">
        <is>
          <t>Part A (past 12 month use frequency by substance), Part B (6 CRAFFT items), Part C (Hooked on Nicotine Checklist, HONC, 10 items)</t>
        </is>
      </c>
      <c r="K12" s="24" t="inlineStr">
        <is>
          <t>Not stated; branching means respondents answer 5 to 20 questions</t>
        </is>
      </c>
      <c r="L12" s="24" t="inlineStr">
        <is>
          <t>CRAFFT total 0 to 6 from the 6 Part B items, higher indicating greater risk; 4 or more described as a strong signal and a High risk result is a positive screen. HONC reported separately; a single Yes is treated as meaningful.</t>
        </is>
      </c>
      <c r="M12" s="24" t="inlineStr">
        <is>
          <t>Knight et al. (2002); CABHRe (2021); HONC: Wheeler et al. (2004). Journals not given.</t>
        </is>
      </c>
      <c r="N12" s="24" t="inlineStr">
        <is>
          <t>No copyright, licensing, permission or free to use statement on the page</t>
        </is>
      </c>
      <c r="O12" s="24" t="inlineStr">
        <is>
          <t>not stated</t>
        </is>
      </c>
      <c r="P12" s="24" t="inlineStr">
        <is>
          <t>Out of scope for the hub (child, adolescent, sport, eating, clinician or service feedback)</t>
        </is>
      </c>
      <c r="Q12" s="24" t="inlineStr"/>
      <c r="R12" s="24" t="inlineStr"/>
      <c r="S12" s="24" t="inlineStr">
        <is>
          <t>Exact cut offs per risk category not stated on the page.</t>
        </is>
      </c>
      <c r="T12" s="24" t="inlineStr">
        <is>
          <t>https://novopsych.com/assessments/addiction/crafft-substance-use-assessment-crafft-2-1-n/</t>
        </is>
      </c>
    </row>
    <row r="13">
      <c r="A13" s="24" t="n">
        <v>12</v>
      </c>
      <c r="B13" s="24" t="inlineStr">
        <is>
          <t>Alexian Brothers Urge to Self-Injure Scale</t>
        </is>
      </c>
      <c r="C13" s="24" t="inlineStr">
        <is>
          <t>ABUSI</t>
        </is>
      </c>
      <c r="D13" s="24" t="inlineStr">
        <is>
          <t>Adolescent, Outcome monitoring</t>
        </is>
      </c>
      <c r="E13" s="24" t="inlineStr">
        <is>
          <t>Measures the severity of the urge to engage in non suicidal self injury over the past week.</t>
        </is>
      </c>
      <c r="F13" s="24" t="n">
        <v>5</v>
      </c>
      <c r="G13" s="24" t="inlineStr">
        <is>
          <t>Self report</t>
        </is>
      </c>
      <c r="H13" s="24" t="inlineStr">
        <is>
          <t>11+</t>
        </is>
      </c>
      <c r="I13" s="24" t="n">
        <v>2</v>
      </c>
      <c r="J13" s="24" t="inlineStr">
        <is>
          <t>Frequency, Intensity, Duration, Resistance, Overall urge (facets of a single construct, not formal subscales)</t>
        </is>
      </c>
      <c r="K13" s="24" t="inlineStr">
        <is>
          <t>Not stated on the page</t>
        </is>
      </c>
      <c r="L13" s="24" t="inlineStr">
        <is>
          <t>Total score with percentile against a treatment seeking reference sample and severity categories; method and cut offs not stated. A change of 7 or more points is treated as real change.</t>
        </is>
      </c>
      <c r="M13" s="24" t="inlineStr">
        <is>
          <t>Washburn et al. (2010); adapted from the Penn Alcohol Craving Scale (Flannery et al., 1999). Journal not given.</t>
        </is>
      </c>
      <c r="N13" s="24" t="inlineStr">
        <is>
          <t>No copyright, licensing, permission or free to use statement on the page</t>
        </is>
      </c>
      <c r="O13" s="24" t="inlineStr">
        <is>
          <t>not stated</t>
        </is>
      </c>
      <c r="P13" s="24" t="inlineStr">
        <is>
          <t>Out of scope for the hub (child, adolescent, sport, eating, clinician or service feedback)</t>
        </is>
      </c>
      <c r="Q13" s="24" t="inlineStr"/>
      <c r="R13" s="24" t="inlineStr"/>
      <c r="S13" s="24" t="inlineStr">
        <is>
          <t>Scoring and Interpretation and Psychometric sections are rendered client side and were not visible to the fetcher.</t>
        </is>
      </c>
      <c r="T13" s="24" t="inlineStr">
        <is>
          <t>https://novopsych.com/assessments/adolescent/alexian-brothers-urge-to-self-injure-scale-abusi/</t>
        </is>
      </c>
    </row>
    <row r="14">
      <c r="A14" s="24" t="n">
        <v>13</v>
      </c>
      <c r="B14" s="24" t="inlineStr">
        <is>
          <t>Why Have Sex? Questionnaire Short Form</t>
        </is>
      </c>
      <c r="C14" s="24" t="inlineStr">
        <is>
          <t>YSEX-SF</t>
        </is>
      </c>
      <c r="D14" s="24" t="inlineStr">
        <is>
          <t>Formulation</t>
        </is>
      </c>
      <c r="E14" s="24" t="inlineStr">
        <is>
          <t>Profiles sexual motivation across 14 reasons adults have (or would have) sex.</t>
        </is>
      </c>
      <c r="F14" s="24" t="n">
        <v>28</v>
      </c>
      <c r="G14" s="24" t="inlineStr">
        <is>
          <t>Self report</t>
        </is>
      </c>
      <c r="H14" s="24" t="inlineStr">
        <is>
          <t>18+</t>
        </is>
      </c>
      <c r="I14" s="24" t="n">
        <v>5</v>
      </c>
      <c r="J14" s="24" t="inlineStr">
        <is>
          <t>Stress Reduction, Pleasure, Physical Desirability, Experience Seeking, Resources, Reproduction, Social Status, Revenge, Practical, Love and Commitment, Expression, Self-Esteem Boost, Duty/Pressure, Mate Guarding</t>
        </is>
      </c>
      <c r="K14" s="24" t="inlineStr">
        <is>
          <t>Not stated on the page</t>
        </is>
      </c>
      <c r="L14" s="24" t="inlineStr">
        <is>
          <t>Profile across 14 subscales of 2 items each; sum or mean, direction and cut offs not stated.</t>
        </is>
      </c>
      <c r="M14" s="24" t="inlineStr">
        <is>
          <t>Meston et al. (2020). Full authors and journal not given.</t>
        </is>
      </c>
      <c r="N14" s="24" t="inlineStr">
        <is>
          <t>No copyright, licensing, permission or free to use statement on the page</t>
        </is>
      </c>
      <c r="O14" s="24" t="inlineStr">
        <is>
          <t>not stated</t>
        </is>
      </c>
      <c r="P14" s="24" t="inlineStr">
        <is>
          <t>Shortlist: screening or clinical (Sarah only if used)</t>
        </is>
      </c>
      <c r="Q14" s="24" t="inlineStr"/>
      <c r="R14" s="24" t="inlineStr"/>
      <c r="S14" s="24" t="inlineStr">
        <is>
          <t>Respondents who have not had sex rate likelihood rather than frequency.</t>
        </is>
      </c>
      <c r="T14" s="24" t="inlineStr">
        <is>
          <t>https://novopsych.com/assessments/formulation/why-have-sex-questionnaire-short-form-ysex-sf/</t>
        </is>
      </c>
    </row>
    <row r="15">
      <c r="A15" s="24" t="n">
        <v>14</v>
      </c>
      <c r="B15" s="24" t="inlineStr">
        <is>
          <t>Brief Addiction Monitor – Continuous</t>
        </is>
      </c>
      <c r="C15" s="24" t="inlineStr">
        <is>
          <t>BAM</t>
        </is>
      </c>
      <c r="D15" s="24" t="inlineStr">
        <is>
          <t>Addiction, Outcome monitoring</t>
        </is>
      </c>
      <c r="E15" s="24" t="inlineStr">
        <is>
          <t>Monitors substance use and related recovery factors in adults in treatment for substance use disorders.</t>
        </is>
      </c>
      <c r="F15" s="24" t="n">
        <v>17</v>
      </c>
      <c r="G15" s="24" t="inlineStr">
        <is>
          <t>Self report or clinician administered (in person or telephone)</t>
        </is>
      </c>
      <c r="H15" s="24" t="inlineStr">
        <is>
          <t>18+</t>
        </is>
      </c>
      <c r="I15" s="24" t="n">
        <v>5</v>
      </c>
      <c r="J15" s="24" t="inlineStr">
        <is>
          <t>Substance Use, Risk Factors, Protective Factors</t>
        </is>
      </c>
      <c r="K15" s="24" t="inlineStr">
        <is>
          <t>Not stated on the page</t>
        </is>
      </c>
      <c r="L15" s="24" t="inlineStr">
        <is>
          <t>3 raw domain scores reported with no established cut off or general population norms; rises in Substance Use or Risk Factors, or falls in Protective Factors, indicate less favourable status.</t>
        </is>
      </c>
      <c r="M15" s="24" t="inlineStr">
        <is>
          <t>Cacciola et al. (2013). Journal not given.</t>
        </is>
      </c>
      <c r="N15" s="24" t="inlineStr">
        <is>
          <t>No copyright, licensing, permission or free to use statement on the page</t>
        </is>
      </c>
      <c r="O15" s="24" t="inlineStr">
        <is>
          <t>not stated</t>
        </is>
      </c>
      <c r="P15" s="24" t="inlineStr">
        <is>
          <t>Out of scope for the hub (not self report)</t>
        </is>
      </c>
      <c r="Q15" s="24" t="inlineStr"/>
      <c r="R15" s="24" t="inlineStr"/>
      <c r="S15" s="24" t="inlineStr">
        <is>
          <t>Developed within the US Veterans Affairs system; page does not state licensing.</t>
        </is>
      </c>
      <c r="T15" s="24" t="inlineStr">
        <is>
          <t>https://novopsych.com/assessments/addiction/brief-addiction-monitor-bam/</t>
        </is>
      </c>
    </row>
    <row r="16">
      <c r="A16" s="24" t="n">
        <v>15</v>
      </c>
      <c r="B16" s="24" t="inlineStr">
        <is>
          <t>Ask Suicide-Screening Questions</t>
        </is>
      </c>
      <c r="C16" s="24" t="inlineStr">
        <is>
          <t>asQ</t>
        </is>
      </c>
      <c r="D16" s="24" t="inlineStr">
        <is>
          <t>Formulation, Clinician self assessment</t>
        </is>
      </c>
      <c r="E16" s="24" t="inlineStr">
        <is>
          <t>Brief clinician administered screen that flags suicide risk requiring further assessment; not a diagnostic or severity measure.</t>
        </is>
      </c>
      <c r="F16" s="24" t="n">
        <v>5</v>
      </c>
      <c r="G16" s="24" t="inlineStr">
        <is>
          <t>Clinician administered (4 core items plus 1 acuity item); self report evidence limited</t>
        </is>
      </c>
      <c r="H16" s="24" t="inlineStr">
        <is>
          <t>8+</t>
        </is>
      </c>
      <c r="I16" s="24" t="n">
        <v>5</v>
      </c>
      <c r="J16" s="24" t="inlineStr"/>
      <c r="K16" s="24" t="inlineStr">
        <is>
          <t>Dichotomous, Yes/No</t>
        </is>
      </c>
      <c r="L16" s="24" t="inlineStr">
        <is>
          <t>No summed score. A Yes to any of the 4 core items is a positive screen; the fifth item separates acute from non acute positives.</t>
        </is>
      </c>
      <c r="M16" s="24" t="inlineStr">
        <is>
          <t>Horowitz et al. (2012); developed at the US National Institute of Mental Health. Journal not given.</t>
        </is>
      </c>
      <c r="N16" s="24" t="inlineStr">
        <is>
          <t>No instrument licence statement; page describes the NIMH asQ Toolkit as "freely available".</t>
        </is>
      </c>
      <c r="O16" s="24" t="inlineStr">
        <is>
          <t>free, copyright held by authors</t>
        </is>
      </c>
      <c r="P16" s="24" t="inlineStr">
        <is>
          <t>Out of scope for the hub (child, adolescent, sport, eating, clinician or service feedback)</t>
        </is>
      </c>
      <c r="Q16" s="24" t="inlineStr"/>
      <c r="R16" s="24" t="inlineStr"/>
      <c r="S16" s="24" t="inlineStr">
        <is>
          <t>Page says typically completed in under 2 minutes despite the 5 minute header. Classified free on the basis of the NIMH toolkit wording; public domain not stated.</t>
        </is>
      </c>
      <c r="T16" s="24" t="inlineStr">
        <is>
          <t>https://novopsych.com/assessments/formulation/ask-suicide-screening-questionnaire-asq/</t>
        </is>
      </c>
    </row>
    <row r="17">
      <c r="A17" s="24" t="n">
        <v>16</v>
      </c>
      <c r="B17" s="24" t="inlineStr">
        <is>
          <t>MASCC Unmet Needs Assessment for Cancer-Related Cognitive Impairment Impact</t>
        </is>
      </c>
      <c r="C17" s="24" t="inlineStr">
        <is>
          <t>MASCC COG-IMPACT</t>
        </is>
      </c>
      <c r="D17" s="24" t="inlineStr">
        <is>
          <t>Health</t>
        </is>
      </c>
      <c r="E17" s="24" t="inlineStr">
        <is>
          <t>Assesses the difficulties and unmet supportive care needs caused by cancer related cognitive impairment in survivors.</t>
        </is>
      </c>
      <c r="F17" s="24" t="n">
        <v>55</v>
      </c>
      <c r="G17" s="24" t="inlineStr">
        <is>
          <t>Self report</t>
        </is>
      </c>
      <c r="H17" s="24" t="inlineStr">
        <is>
          <t>18+</t>
        </is>
      </c>
      <c r="I17" s="24" t="n">
        <v>7</v>
      </c>
      <c r="J17" s="24" t="inlineStr">
        <is>
          <t>Executing Regular Activities, Finding Meaning and Enjoyment in Activities, Relational Difficulties, Occupational/Vocational Functioning, Psychological Challenges, Verbal Communication Challenges, Social Functioning and Withdrawal, Informational Needs</t>
        </is>
      </c>
      <c r="K17" s="24" t="inlineStr">
        <is>
          <t>Not stated on the page</t>
        </is>
      </c>
      <c r="L17" s="24" t="inlineStr">
        <is>
          <t>Each domain yields a Difficulties index and an Unmet Supportive Care Needs index, with an Unmet Needs Score and author anchored descriptor bands; sum or mean and cut offs not stated.</t>
        </is>
      </c>
      <c r="M17" s="24" t="inlineStr">
        <is>
          <t>Haywood, Chan, Chan, Baughman, et al. (2025b), developed under the auspices of MASCC. Journal not given.</t>
        </is>
      </c>
      <c r="N17" s="24" t="inlineStr">
        <is>
          <t>No copyright, licensing, permission or free to use statement on the page</t>
        </is>
      </c>
      <c r="O17" s="24" t="inlineStr">
        <is>
          <t>not stated</t>
        </is>
      </c>
      <c r="P17" s="24" t="inlineStr">
        <is>
          <t>Consider</t>
        </is>
      </c>
      <c r="Q17" s="24" t="inlineStr"/>
      <c r="R17" s="24" t="inlineStr"/>
      <c r="S17" s="24" t="inlineStr">
        <is>
          <t>Scoring and Interpretation and Psychometric sections are rendered client side and were not visible to the fetcher.</t>
        </is>
      </c>
      <c r="T17" s="24" t="inlineStr">
        <is>
          <t>https://novopsych.com/assessments/health/mascc-unmet-needs-assessment-for-cancer-related-cognitive-impairment-impact-mascc-cog-impact/</t>
        </is>
      </c>
    </row>
    <row r="18">
      <c r="A18" s="24" t="n">
        <v>17</v>
      </c>
      <c r="B18" s="24" t="inlineStr">
        <is>
          <t>Strengths and Difficulties Questionnaire</t>
        </is>
      </c>
      <c r="C18" s="24" t="inlineStr">
        <is>
          <t>SDQ</t>
        </is>
      </c>
      <c r="D18" s="24" t="inlineStr">
        <is>
          <t>Child, Outcome monitoring</t>
        </is>
      </c>
      <c r="E18" s="24" t="inlineStr">
        <is>
          <t>Broad behavioural and emotional screening measure for children and young people, including prosocial behaviour.</t>
        </is>
      </c>
      <c r="F18" s="24" t="n">
        <v>25</v>
      </c>
      <c r="G18" s="24" t="inlineStr">
        <is>
          <t>Parent, teacher, and self report (self report from age 11)</t>
        </is>
      </c>
      <c r="H18" s="24" t="inlineStr">
        <is>
          <t>2 to 17</t>
        </is>
      </c>
      <c r="I18" s="24" t="n">
        <v>5</v>
      </c>
      <c r="J18" s="24" t="inlineStr">
        <is>
          <t>Emotional symptoms, Conduct problems, Hyperactivity/inattention, Peer relationship problems, Prosocial behaviour</t>
        </is>
      </c>
      <c r="K18" s="24" t="inlineStr">
        <is>
          <t>Not stated on the page</t>
        </is>
      </c>
      <c r="L18" s="24" t="inlineStr">
        <is>
          <t>Not available; scoring section empty in fetched content. Impact Supplement has a gateway question; a No means no Impact score is calculated.</t>
        </is>
      </c>
      <c r="M18" s="24" t="inlineStr">
        <is>
          <t>Goodman (1997). Full reference not given.</t>
        </is>
      </c>
      <c r="N18" s="24" t="inlineStr">
        <is>
          <t>No licensing statement; page reads "Log in or create an account to access the full suite of SDQ measures in NovoPsych."</t>
        </is>
      </c>
      <c r="O18" s="24" t="inlineStr">
        <is>
          <t>not stated</t>
        </is>
      </c>
      <c r="P18" s="24" t="inlineStr">
        <is>
          <t>Out of scope for the hub (child, adolescent, sport, eating, clinician or service feedback)</t>
        </is>
      </c>
      <c r="Q18" s="24" t="inlineStr"/>
      <c r="R18" s="24" t="inlineStr"/>
      <c r="S18" s="24" t="inlineStr">
        <is>
          <t>Scoring and Interpretation and Psychometric sections are rendered client side and were not visible to the fetcher. Versions for ages 2 to 4 and 4 to 10, parent and teacher forms, and a Follow-up version.</t>
        </is>
      </c>
      <c r="T18" s="24" t="inlineStr">
        <is>
          <t>https://novopsych.com/assessments/child/strengths-and-difficulties-questionnaire-sdq/</t>
        </is>
      </c>
    </row>
    <row r="19">
      <c r="A19" s="24" t="n">
        <v>18</v>
      </c>
      <c r="B19" s="24" t="inlineStr">
        <is>
          <t>Ruminative Responses Scale</t>
        </is>
      </c>
      <c r="C19" s="24" t="inlineStr">
        <is>
          <t>RRS</t>
        </is>
      </c>
      <c r="D19" s="24" t="inlineStr">
        <is>
          <t>Formulation, Depression</t>
        </is>
      </c>
      <c r="E19" s="24" t="inlineStr">
        <is>
          <t>Measures how often adults engage in ruminative responses when feeling down, sad or depressed.</t>
        </is>
      </c>
      <c r="F19" s="24" t="n">
        <v>22</v>
      </c>
      <c r="G19" s="24" t="inlineStr">
        <is>
          <t>Self report</t>
        </is>
      </c>
      <c r="H19" s="24" t="inlineStr">
        <is>
          <t>18+</t>
        </is>
      </c>
      <c r="I19" s="24" t="n">
        <v>2</v>
      </c>
      <c r="J19" s="24" t="inlineStr">
        <is>
          <t>Brooding (5 items), Reflection (5 items)</t>
        </is>
      </c>
      <c r="K19" s="24" t="inlineStr">
        <is>
          <t>Not stated on the page</t>
        </is>
      </c>
      <c r="L19" s="24" t="inlineStr">
        <is>
          <t>Total score plus Brooding and Reflection subscale scores; 12 items contribute to the total only. Sum or mean, direction and cut offs not stated.</t>
        </is>
      </c>
      <c r="M19" s="24" t="inlineStr">
        <is>
          <t>Treynor et al. (2003) for the Brooding and Reflection subscales; original scale citation not given.</t>
        </is>
      </c>
      <c r="N19" s="24" t="inlineStr">
        <is>
          <t>No copyright, licensing, permission or free to use statement on the page</t>
        </is>
      </c>
      <c r="O19" s="24" t="inlineStr">
        <is>
          <t>not stated</t>
        </is>
      </c>
      <c r="P19" s="24" t="inlineStr">
        <is>
          <t>Already in codebook</t>
        </is>
      </c>
      <c r="Q19" s="24" t="inlineStr"/>
      <c r="R19" s="24" t="inlineStr"/>
      <c r="S19" s="24" t="inlineStr">
        <is>
          <t>Scoring and Interpretation and Psychometric sections are rendered client side and were not visible to the fetcher.</t>
        </is>
      </c>
      <c r="T19" s="24" t="inlineStr">
        <is>
          <t>https://novopsych.com/assessments/formulation/ruminative-responses-scale-rrs/</t>
        </is>
      </c>
    </row>
    <row r="20">
      <c r="A20" s="24" t="n">
        <v>19</v>
      </c>
      <c r="B20" s="24" t="inlineStr">
        <is>
          <t>Work and Social Adjustment Scale</t>
        </is>
      </c>
      <c r="C20" s="24" t="inlineStr">
        <is>
          <t>WSAS</t>
        </is>
      </c>
      <c r="D20" s="24" t="inlineStr">
        <is>
          <t>Disability, Health, Outcome monitoring</t>
        </is>
      </c>
      <c r="E20" s="24" t="inlineStr">
        <is>
          <t>Measures functional impairment across work, home, leisure and relationships resulting from a person's difficulties.</t>
        </is>
      </c>
      <c r="F20" s="24" t="n">
        <v>5</v>
      </c>
      <c r="G20" s="24" t="inlineStr">
        <is>
          <t>Self report</t>
        </is>
      </c>
      <c r="H20" s="24" t="inlineStr">
        <is>
          <t>18+</t>
        </is>
      </c>
      <c r="I20" s="24" t="n">
        <v>1</v>
      </c>
      <c r="J20" s="24" t="inlineStr"/>
      <c r="K20" s="24" t="inlineStr">
        <is>
          <t>Not stated on the page</t>
        </is>
      </c>
      <c r="L20" s="24" t="inlineStr">
        <is>
          <t>Total score with severity bands; method and cut offs not stated in fetched content. A change of 5 or more points is clinically meaningful.</t>
        </is>
      </c>
      <c r="M20" s="24" t="inlineStr">
        <is>
          <t>Mundt et al. (2002). Journal not given.</t>
        </is>
      </c>
      <c r="N20" s="24" t="inlineStr">
        <is>
          <t>No copyright, licensing, permission or free to use statement on the page</t>
        </is>
      </c>
      <c r="O20" s="24" t="inlineStr">
        <is>
          <t>not stated</t>
        </is>
      </c>
      <c r="P20" s="24" t="inlineStr">
        <is>
          <t>Shortlist: coaching and wellbeing (client facing possible)</t>
        </is>
      </c>
      <c r="Q20" s="24" t="inlineStr"/>
      <c r="R20" s="24" t="inlineStr"/>
      <c r="S20" s="24" t="inlineStr">
        <is>
          <t>Each item corresponds to a distinct life domain rather than a subscale.</t>
        </is>
      </c>
      <c r="T20" s="24" t="inlineStr">
        <is>
          <t>https://novopsych.com/assessments/disability/work-and-social-adjustment-scale/</t>
        </is>
      </c>
    </row>
    <row r="21">
      <c r="A21" s="24" t="n">
        <v>20</v>
      </c>
      <c r="B21" s="24" t="inlineStr">
        <is>
          <t>Reflective Practice Questionnaire – Extended</t>
        </is>
      </c>
      <c r="C21" s="24" t="inlineStr">
        <is>
          <t>RPQ-E</t>
        </is>
      </c>
      <c r="D21" s="24" t="inlineStr">
        <is>
          <t>Clinician self assessment</t>
        </is>
      </c>
      <c r="E21" s="24" t="inlineStr">
        <is>
          <t>Measures reflective practice and related attributes among professionals in client facing roles.</t>
        </is>
      </c>
      <c r="F21" s="24" t="n">
        <v>30</v>
      </c>
      <c r="G21" s="24" t="inlineStr">
        <is>
          <t>Self report (clinician self assessment, also used in supervision or training)</t>
        </is>
      </c>
      <c r="H21" s="24" t="inlineStr">
        <is>
          <t>Not stated</t>
        </is>
      </c>
      <c r="I21" s="24" t="n">
        <v>5</v>
      </c>
      <c r="J21" s="24" t="inlineStr">
        <is>
          <t>Uncertainty/Stress, Confidence, Work Satisfaction, Fourth subscale not named on page</t>
        </is>
      </c>
      <c r="K21" s="24" t="inlineStr">
        <is>
          <t>Not stated on the page</t>
        </is>
      </c>
      <c r="L21" s="24" t="inlineStr">
        <is>
          <t>Results compared with a sample of mental health practitioners; both very low and very high scores warrant interpretation. Sum or mean and cut offs not stated.</t>
        </is>
      </c>
      <c r="M21" s="24" t="inlineStr">
        <is>
          <t>No developer citation given; Mann, Gordon, &amp; MacLeod (2009) cited only for background.</t>
        </is>
      </c>
      <c r="N21" s="24" t="inlineStr">
        <is>
          <t>No copyright, licensing, permission or free to use statement on the page</t>
        </is>
      </c>
      <c r="O21" s="24" t="inlineStr">
        <is>
          <t>not stated</t>
        </is>
      </c>
      <c r="P21" s="24" t="inlineStr">
        <is>
          <t>Out of scope for the hub (child, adolescent, sport, eating, clinician or service feedback)</t>
        </is>
      </c>
      <c r="Q21" s="24" t="inlineStr"/>
      <c r="R21" s="24" t="inlineStr"/>
      <c r="S21" s="24" t="inlineStr">
        <is>
          <t>Scoring and Interpretation and Psychometric sections are rendered client side and were not visible to the fetcher. Developer is likely Priddis and Rogers (2018) but the page does not say so.</t>
        </is>
      </c>
      <c r="T21" s="24" t="inlineStr">
        <is>
          <t>https://novopsych.com/assessments/clinician-self-assessment/reflective-practice-questionnaire-extended/</t>
        </is>
      </c>
    </row>
    <row r="22">
      <c r="A22" s="24" t="n">
        <v>21</v>
      </c>
      <c r="B22" s="24" t="inlineStr">
        <is>
          <t>Penn Alcohol Craving Scale</t>
        </is>
      </c>
      <c r="C22" s="24" t="inlineStr">
        <is>
          <t>PACS</t>
        </is>
      </c>
      <c r="D22" s="24" t="inlineStr">
        <is>
          <t>Addiction, Outcome monitoring</t>
        </is>
      </c>
      <c r="E22" s="24" t="inlineStr">
        <is>
          <t>Measures alcohol craving over the preceding week as a single construct.</t>
        </is>
      </c>
      <c r="F22" s="24" t="n">
        <v>5</v>
      </c>
      <c r="G22" s="24" t="inlineStr">
        <is>
          <t>Self report</t>
        </is>
      </c>
      <c r="H22" s="24" t="inlineStr">
        <is>
          <t>18+</t>
        </is>
      </c>
      <c r="I22" s="24" t="n">
        <v>1</v>
      </c>
      <c r="J22" s="24" t="inlineStr"/>
      <c r="K22" s="24" t="inlineStr">
        <is>
          <t>Not stated on the page</t>
        </is>
      </c>
      <c r="L22" s="24" t="inlineStr">
        <is>
          <t>Total score; sum or mean not stated. 21 or above is in the Elevated range; 15 or above corresponded with clinician endorsed craving (Hartwell et al., 2019). A reduction of 3 or more points indicates meaningful improvement.</t>
        </is>
      </c>
      <c r="M22" s="24" t="inlineStr">
        <is>
          <t>Flannery et al. (1999). Full authors and journal not given.</t>
        </is>
      </c>
      <c r="N22" s="24" t="inlineStr">
        <is>
          <t>No copyright, licensing, permission or free to use statement on the page</t>
        </is>
      </c>
      <c r="O22" s="24" t="inlineStr">
        <is>
          <t>not stated</t>
        </is>
      </c>
      <c r="P22" s="24" t="inlineStr">
        <is>
          <t>Shortlist: screening or clinical (Sarah only if used)</t>
        </is>
      </c>
      <c r="Q22" s="24" t="inlineStr"/>
      <c r="R22" s="24" t="inlineStr"/>
      <c r="S22" s="24" t="inlineStr"/>
      <c r="T22" s="24" t="inlineStr">
        <is>
          <t>https://novopsych.com/assessments/addiction/penn-alcohol-craving-scale-pacs/</t>
        </is>
      </c>
    </row>
    <row r="23">
      <c r="A23" s="24" t="n">
        <v>22</v>
      </c>
      <c r="B23" s="24" t="inlineStr">
        <is>
          <t>Manic and Depression Symptoms Paired Screening (Patient Mania Questionnaire-9 and Patient Health Questionnaire-9)</t>
        </is>
      </c>
      <c r="C23" s="24" t="inlineStr">
        <is>
          <t>PMQ-9 and PHQ-9</t>
        </is>
      </c>
      <c r="D23" s="24" t="inlineStr">
        <is>
          <t>Bipolar, Outcome monitoring</t>
        </is>
      </c>
      <c r="E23" s="24" t="inlineStr">
        <is>
          <t>Monitors manic symptoms over the past week and depressive symptoms to track mood state change in adults with bipolar disorder.</t>
        </is>
      </c>
      <c r="F23" s="24" t="n">
        <v>18</v>
      </c>
      <c r="G23" s="24" t="inlineStr">
        <is>
          <t>Self report</t>
        </is>
      </c>
      <c r="H23" s="24" t="inlineStr">
        <is>
          <t>18+</t>
        </is>
      </c>
      <c r="I23" s="24" t="n">
        <v>3</v>
      </c>
      <c r="J23" s="24" t="inlineStr">
        <is>
          <t>PMQ-9 (9 items), PHQ-9 (9 items)</t>
        </is>
      </c>
      <c r="K23" s="24" t="inlineStr">
        <is>
          <t>Not stated; PMQ-9 designed to match the PHQ-9 response format</t>
        </is>
      </c>
      <c r="L23" s="24" t="inlineStr">
        <is>
          <t>Each measure scored against a clinical cut off of 10; the 2 results combine to classify 1 of 4 mood states. Total computation and direction not stated.</t>
        </is>
      </c>
      <c r="M23" s="24" t="inlineStr">
        <is>
          <t>Cerimele et al. (2022), PMQ-9 development and validation within the SPIRIT trial. Journal not given.</t>
        </is>
      </c>
      <c r="N23" s="24" t="inlineStr">
        <is>
          <t>No copyright, licensing, permission or free to use statement on the page</t>
        </is>
      </c>
      <c r="O23" s="24" t="inlineStr">
        <is>
          <t>not stated</t>
        </is>
      </c>
      <c r="P23" s="24" t="inlineStr">
        <is>
          <t>Shortlist: screening or clinical (Sarah only if used)</t>
        </is>
      </c>
      <c r="Q23" s="24" t="inlineStr"/>
      <c r="R23" s="24" t="inlineStr"/>
      <c r="S23" s="24" t="inlineStr"/>
      <c r="T23" s="24" t="inlineStr">
        <is>
          <t>https://novopsych.com/assessments/bipolar/manic-and-depression-symptoms-paired-screening-pmq-9-and-phq-9/</t>
        </is>
      </c>
    </row>
    <row r="24">
      <c r="A24" s="24" t="n">
        <v>23</v>
      </c>
      <c r="B24" s="24" t="inlineStr">
        <is>
          <t>Pica, ARFID, and Rumination Disorder Interview – ARFID Questionnaire: Informant report</t>
        </is>
      </c>
      <c r="C24" s="24" t="inlineStr">
        <is>
          <t>PARDI-AR-Q-Informant</t>
        </is>
      </c>
      <c r="D24" s="24" t="inlineStr">
        <is>
          <t>Body image and eating</t>
        </is>
      </c>
      <c r="E24" s="24" t="inlineStr">
        <is>
          <t>Screens for avoidant/restrictive food intake disorder in children and profiles the drivers of restricted or avoidant eating.</t>
        </is>
      </c>
      <c r="F24" s="24" t="n">
        <v>29</v>
      </c>
      <c r="G24" s="24" t="inlineStr">
        <is>
          <t>Parent or carer reporting on a child</t>
        </is>
      </c>
      <c r="H24" s="24" t="inlineStr">
        <is>
          <t>4+</t>
        </is>
      </c>
      <c r="I24" s="24" t="n">
        <v>4</v>
      </c>
      <c r="J24" s="24" t="inlineStr">
        <is>
          <t>Sensory-based avoidance, Lack of interest in eating or food, Concern about aversive consequences, Severity of impact (separate psychosocial impairment index)</t>
        </is>
      </c>
      <c r="K24" s="24" t="inlineStr">
        <is>
          <t>Not stated on the page</t>
        </is>
      </c>
      <c r="L24" s="24" t="inlineStr">
        <is>
          <t>3 driver subscales reported separately with no total score; method and cut offs not stated. A positive screen indicates further assessment is warranted, not a diagnosis.</t>
        </is>
      </c>
      <c r="M24" s="24" t="inlineStr">
        <is>
          <t>Not given; page mentions validation work without a citation. Content author Emerson Bartholomew (NovoPsych).</t>
        </is>
      </c>
      <c r="N24" s="24" t="inlineStr">
        <is>
          <t>No copyright, licensing, permission or free to use statement on the page</t>
        </is>
      </c>
      <c r="O24" s="24" t="inlineStr">
        <is>
          <t>not stated</t>
        </is>
      </c>
      <c r="P24" s="24" t="inlineStr">
        <is>
          <t>Out of scope for the hub (child, adolescent, sport, eating, clinician or service feedback)</t>
        </is>
      </c>
      <c r="Q24" s="24" t="inlineStr"/>
      <c r="R24" s="24" t="inlineStr"/>
      <c r="S24" s="24" t="inlineStr"/>
      <c r="T24" s="24" t="inlineStr">
        <is>
          <t>https://novopsych.com/assessments/eating/pica-arfid-and-rumination-disorder-interview-arfid-questionnaire-informant-report-pardi-ar-q-informant/</t>
        </is>
      </c>
    </row>
    <row r="25">
      <c r="A25" s="24" t="n">
        <v>24</v>
      </c>
      <c r="B25" s="24" t="inlineStr">
        <is>
          <t>Pica, ARFID, and Rumination Disorder Interview – ARFID Questionnaire</t>
        </is>
      </c>
      <c r="C25" s="24" t="inlineStr">
        <is>
          <t>PARDI-AR-Q</t>
        </is>
      </c>
      <c r="D25" s="24" t="inlineStr">
        <is>
          <t>Body image and eating</t>
        </is>
      </c>
      <c r="E25" s="24" t="inlineStr">
        <is>
          <t>Screens for avoidant/restrictive food intake disorder and identifies the main driver of restricted or avoidant eating.</t>
        </is>
      </c>
      <c r="F25" s="24" t="n">
        <v>29</v>
      </c>
      <c r="G25" s="24" t="inlineStr">
        <is>
          <t>Self report (14+); separate parent or carer version for 4+</t>
        </is>
      </c>
      <c r="H25" s="24" t="inlineStr">
        <is>
          <t>14+ (self report); 4+ (parent/carer version)</t>
        </is>
      </c>
      <c r="I25" s="24" t="n">
        <v>4</v>
      </c>
      <c r="J25" s="24" t="inlineStr">
        <is>
          <t>Sensory-based avoidance, Lack of interest in eating or food, Concern about aversive consequences, Severity of impact (separate psychosocial impairment index)</t>
        </is>
      </c>
      <c r="K25" s="24" t="inlineStr">
        <is>
          <t>Not stated on the page</t>
        </is>
      </c>
      <c r="L25" s="24" t="inlineStr">
        <is>
          <t>3 driver subscales reported separately with no total score; method and cut offs not stated. A positive screen suggests further assessment, not a diagnosis.</t>
        </is>
      </c>
      <c r="M25" s="24" t="inlineStr">
        <is>
          <t>Not given; page mentions validation work without a citation.</t>
        </is>
      </c>
      <c r="N25" s="24" t="inlineStr">
        <is>
          <t>No copyright, licensing, permission or free to use statement on the page</t>
        </is>
      </c>
      <c r="O25" s="24" t="inlineStr">
        <is>
          <t>not stated</t>
        </is>
      </c>
      <c r="P25" s="24" t="inlineStr">
        <is>
          <t>Out of scope for the hub (child, adolescent, sport, eating, clinician or service feedback)</t>
        </is>
      </c>
      <c r="Q25" s="24" t="inlineStr"/>
      <c r="R25" s="24" t="inlineStr"/>
      <c r="S25" s="24" t="inlineStr"/>
      <c r="T25" s="24" t="inlineStr">
        <is>
          <t>https://novopsych.com/assessments/eating/pardi-ar-q-arfid-questionnaire/</t>
        </is>
      </c>
    </row>
    <row r="26">
      <c r="A26" s="24" t="n">
        <v>25</v>
      </c>
      <c r="B26" s="24" t="inlineStr">
        <is>
          <t>Fatigue Assessment Scale</t>
        </is>
      </c>
      <c r="C26" s="24" t="inlineStr">
        <is>
          <t>FAS</t>
        </is>
      </c>
      <c r="D26" s="24" t="inlineStr">
        <is>
          <t>Health</t>
        </is>
      </c>
      <c r="E26" s="24" t="inlineStr">
        <is>
          <t>Measures general fatigue including physical and mental symptoms.</t>
        </is>
      </c>
      <c r="F26" s="24" t="n">
        <v>10</v>
      </c>
      <c r="G26" s="24" t="inlineStr">
        <is>
          <t>Self report</t>
        </is>
      </c>
      <c r="H26" s="24" t="inlineStr">
        <is>
          <t>18+</t>
        </is>
      </c>
      <c r="I26" s="24" t="n">
        <v>2</v>
      </c>
      <c r="J26" s="24" t="inlineStr"/>
      <c r="K26" s="24" t="inlineStr">
        <is>
          <t>Not stated on the page</t>
        </is>
      </c>
      <c r="L26" s="24" t="inlineStr">
        <is>
          <t>Total score: below 22 no substantial fatigue, 22 to 34 mild to moderate (NovoPsych splits into mild 22 to 27 and moderate 28 to 34), 35 or above severe; described as clinical guidelines rather than validated thresholds. Minimal clinically important difference of 4 points.</t>
        </is>
      </c>
      <c r="M26" s="24" t="inlineStr">
        <is>
          <t>Not given on the page.</t>
        </is>
      </c>
      <c r="N26" s="24" t="inlineStr">
        <is>
          <t>No copyright, licensing, permission or free to use statement on the page</t>
        </is>
      </c>
      <c r="O26" s="24" t="inlineStr">
        <is>
          <t>not stated</t>
        </is>
      </c>
      <c r="P26" s="24" t="inlineStr">
        <is>
          <t>Shortlist: screening or clinical (Sarah only if used)</t>
        </is>
      </c>
      <c r="Q26" s="24" t="inlineStr"/>
      <c r="R26" s="24" t="inlineStr"/>
      <c r="S26" s="24" t="inlineStr">
        <is>
          <t>Developer (Michielsen et al., 2003) not cited in fetched content.</t>
        </is>
      </c>
      <c r="T26" s="24" t="inlineStr">
        <is>
          <t>https://novopsych.com/assessments/health/fatigue-assessment-scale-fas/</t>
        </is>
      </c>
    </row>
    <row r="27">
      <c r="A27" s="24" t="n">
        <v>26</v>
      </c>
      <c r="B27" s="24" t="inlineStr">
        <is>
          <t>Swanson, Nolan and Pelham Rating Scale, 18 Item Version</t>
        </is>
      </c>
      <c r="C27" s="24" t="inlineStr">
        <is>
          <t>SNAP-IV</t>
        </is>
      </c>
      <c r="D27" s="24" t="inlineStr">
        <is>
          <t>ADHD, Adolescent, Child, Diagnosis</t>
        </is>
      </c>
      <c r="E27" s="24" t="inlineStr">
        <is>
          <t>Rates difficulties in attention and behavioural regulation in children and adolescents.</t>
        </is>
      </c>
      <c r="F27" s="24" t="n">
        <v>18</v>
      </c>
      <c r="G27" s="24" t="inlineStr">
        <is>
          <t>Informant (parent, caregiver or teacher)</t>
        </is>
      </c>
      <c r="H27" s="24" t="inlineStr">
        <is>
          <t>5 to 17</t>
        </is>
      </c>
      <c r="I27" s="24" t="n">
        <v>3</v>
      </c>
      <c r="J27" s="24" t="inlineStr">
        <is>
          <t>Inattention (9 items), Hyperactivity/Impulsivity (9 items)</t>
        </is>
      </c>
      <c r="K27" s="24" t="inlineStr">
        <is>
          <t>Not stated on the page</t>
        </is>
      </c>
      <c r="L27" s="24" t="inlineStr">
        <is>
          <t>Not available; scoring section empty in fetched content.</t>
        </is>
      </c>
      <c r="M27" s="24" t="inlineStr">
        <is>
          <t>Swanson (1992); Swanson et al. (2012). Journal details not given.</t>
        </is>
      </c>
      <c r="N27" s="24" t="inlineStr">
        <is>
          <t>No copyright, licensing, permission or free to use statement on the page</t>
        </is>
      </c>
      <c r="O27" s="24" t="inlineStr">
        <is>
          <t>not stated</t>
        </is>
      </c>
      <c r="P27" s="24" t="inlineStr">
        <is>
          <t>Out of scope for the hub (child, adolescent, sport, eating, clinician or service feedback)</t>
        </is>
      </c>
      <c r="Q27" s="24" t="inlineStr"/>
      <c r="R27" s="24" t="inlineStr"/>
      <c r="S27" s="24" t="inlineStr">
        <is>
          <t>Scoring and Interpretation and Psychometric sections are rendered client side and were not visible to the fetcher. Note the URL sits under /adhd/ rather than /assessments/.</t>
        </is>
      </c>
      <c r="T27" s="24" t="inlineStr">
        <is>
          <t>https://novopsych.com/adhd/swanson-nolan-and-pelham-rating-scale-snap-iv-18-item-version/</t>
        </is>
      </c>
    </row>
    <row r="28">
      <c r="A28" s="24" t="n">
        <v>27</v>
      </c>
      <c r="B28" s="24" t="inlineStr">
        <is>
          <t>Comprehensive Autistic Trait Inventory</t>
        </is>
      </c>
      <c r="C28" s="24" t="inlineStr">
        <is>
          <t>CATI</t>
        </is>
      </c>
      <c r="D28" s="24" t="inlineStr">
        <is>
          <t>Autism, Diagnosis</t>
        </is>
      </c>
      <c r="E28" s="24" t="inlineStr">
        <is>
          <t>Measures traits and characteristics relevant to identifying autism in adults.</t>
        </is>
      </c>
      <c r="F28" s="24" t="n">
        <v>42</v>
      </c>
      <c r="G28" s="24" t="inlineStr">
        <is>
          <t>Self report</t>
        </is>
      </c>
      <c r="H28" s="24" t="inlineStr">
        <is>
          <t>16+</t>
        </is>
      </c>
      <c r="I28" s="24" t="n">
        <v>7</v>
      </c>
      <c r="J28" s="24" t="inlineStr"/>
      <c r="K28" s="24" t="inlineStr">
        <is>
          <t>Not stated on the page</t>
        </is>
      </c>
      <c r="L28" s="24" t="inlineStr">
        <is>
          <t>Not available; scoring section empty in fetched content.</t>
        </is>
      </c>
      <c r="M28" s="24" t="inlineStr">
        <is>
          <t>English, M. C. W., Gignac, G. E., Visser, T. A. W., Whitehouse, A. J. O., Enns, J. T., &amp; Maybery, M. T. (2021). The Comprehensive Autistic Trait Inventory (CATI). Molecular Autism, 12(1), 37. https://doi.org/10.1186/s13229-021-00445-7</t>
        </is>
      </c>
      <c r="N28" s="24" t="inlineStr">
        <is>
          <t>© 2026 Copyright – NovoPsych – All rights reserved (site wide footer; no instrument specific statement on the page)</t>
        </is>
      </c>
      <c r="O28" s="24" t="inlineStr">
        <is>
          <t>not stated</t>
        </is>
      </c>
      <c r="P28" s="24" t="inlineStr">
        <is>
          <t>Shortlist: screening or clinical (Sarah only if used)</t>
        </is>
      </c>
      <c r="Q28" s="24" t="inlineStr"/>
      <c r="R28" s="24" t="inlineStr"/>
      <c r="S28" s="24" t="inlineStr">
        <is>
          <t>Scoring and Interpretation and Psychometric sections are rendered client side and were not visible to the fetcher. Page directs readers to cati-autism.com for forms and translations; also cites English et al. (2024) preprint.</t>
        </is>
      </c>
      <c r="T28" s="24" t="inlineStr">
        <is>
          <t>https://novopsych.com/assessments/diagnosis/comprehensive-autistic-trait-inventory-cati/</t>
        </is>
      </c>
    </row>
    <row r="29">
      <c r="A29" s="24" t="n">
        <v>28</v>
      </c>
      <c r="B29" s="24" t="inlineStr">
        <is>
          <t>Attachment Style Questionnaire – Short Form</t>
        </is>
      </c>
      <c r="C29" s="24" t="inlineStr">
        <is>
          <t>ASQ-SF</t>
        </is>
      </c>
      <c r="D29" s="24" t="inlineStr">
        <is>
          <t>Formulation</t>
        </is>
      </c>
      <c r="E29" s="24" t="inlineStr">
        <is>
          <t>Measures adult attachment patterns in non clinical and mental health settings.</t>
        </is>
      </c>
      <c r="F29" s="24" t="n">
        <v>29</v>
      </c>
      <c r="G29" s="24" t="inlineStr">
        <is>
          <t>Self report</t>
        </is>
      </c>
      <c r="H29" s="24" t="inlineStr">
        <is>
          <t>15+</t>
        </is>
      </c>
      <c r="I29" s="24" t="n">
        <v>5</v>
      </c>
      <c r="J29" s="24" t="inlineStr"/>
      <c r="K29" s="24" t="inlineStr">
        <is>
          <t>Not stated on the page</t>
        </is>
      </c>
      <c r="L29" s="24" t="inlineStr">
        <is>
          <t>Not available; scoring section empty in fetched content.</t>
        </is>
      </c>
      <c r="M29" s="24" t="inlineStr">
        <is>
          <t>Alexander, R., Feeney, J., Hohaus, L., &amp; Noller, P. (2001). Attachment style and coping resources as predictors of coping strategies in the transition to parenthood. Personal Relationships, 8(2), 137-152.</t>
        </is>
      </c>
      <c r="N29" s="24" t="inlineStr">
        <is>
          <t>© 2026 Copyright – NovoPsych – All rights reserved (site wide footer; no instrument specific statement on the page)</t>
        </is>
      </c>
      <c r="O29" s="24" t="inlineStr">
        <is>
          <t>not stated</t>
        </is>
      </c>
      <c r="P29" s="24" t="inlineStr">
        <is>
          <t>Shortlist: coaching and wellbeing (client facing possible)</t>
        </is>
      </c>
      <c r="Q29" s="24" t="inlineStr"/>
      <c r="R29" s="24" t="inlineStr"/>
      <c r="S29" s="24" t="inlineStr">
        <is>
          <t>Scoring and Interpretation and Psychometric sections are rendered client side and were not visible to the fetcher. Page offers a PDF download without usage terms.</t>
        </is>
      </c>
      <c r="T29" s="24" t="inlineStr">
        <is>
          <t>https://novopsych.com/assessments/formulation/attachment-style-questionnaire-short-form-asq-sf/</t>
        </is>
      </c>
    </row>
    <row r="30">
      <c r="A30" s="24" t="n">
        <v>29</v>
      </c>
      <c r="B30" s="24" t="inlineStr">
        <is>
          <t>Mood Disorder Questionnaire</t>
        </is>
      </c>
      <c r="C30" s="24" t="inlineStr">
        <is>
          <t>MDQ</t>
        </is>
      </c>
      <c r="D30" s="24" t="inlineStr">
        <is>
          <t>Bipolar, Diagnosis, Formulation</t>
        </is>
      </c>
      <c r="E30" s="24" t="inlineStr">
        <is>
          <t>Screens adults for bipolar disorder via lifetime manic and hypomanic symptoms, symptom clustering and functional impairment.</t>
        </is>
      </c>
      <c r="F30" s="24" t="n">
        <v>15</v>
      </c>
      <c r="G30" s="24" t="inlineStr">
        <is>
          <t>Self report</t>
        </is>
      </c>
      <c r="H30" s="24" t="inlineStr">
        <is>
          <t>18+</t>
        </is>
      </c>
      <c r="I30" s="24" t="n">
        <v>3</v>
      </c>
      <c r="J30" s="24" t="inlineStr">
        <is>
          <t>Positive Activation, Negative Activation</t>
        </is>
      </c>
      <c r="K30" s="24" t="inlineStr">
        <is>
          <t>Not stated on the page</t>
        </is>
      </c>
      <c r="L30" s="24" t="inlineStr">
        <is>
          <t>Not available; scoring section empty in fetched content.</t>
        </is>
      </c>
      <c r="M30" s="24" t="inlineStr">
        <is>
          <t>Hirschfeld, R. M. A., Williams, J. B. W., Spitzer, R. L., Calabrese, J. R., Flynn, L., Keck Jr, P. E., et al. (2000). Development and validation of a screening instrument for bipolar spectrum disorder: The Mood Disorder Questionnaire. American Journal of Psychiatry, 157(11), 1873-1875.</t>
        </is>
      </c>
      <c r="N30" s="24" t="inlineStr">
        <is>
          <t>© 2026 Copyright – NovoPsych – All rights reserved (site wide footer; no instrument specific statement on the page)</t>
        </is>
      </c>
      <c r="O30" s="24" t="inlineStr">
        <is>
          <t>not stated</t>
        </is>
      </c>
      <c r="P30" s="24" t="inlineStr">
        <is>
          <t>Shortlist: screening or clinical (Sarah only if used)</t>
        </is>
      </c>
      <c r="Q30" s="24" t="inlineStr"/>
      <c r="R30" s="24" t="inlineStr"/>
      <c r="S30" s="24" t="inlineStr">
        <is>
          <t>Scoring and Interpretation and Psychometric sections are rendered client side and were not visible to the fetcher.</t>
        </is>
      </c>
      <c r="T30" s="24" t="inlineStr">
        <is>
          <t>https://novopsych.com/assessments/diagnosis/mood-disorder-questionnaire-mdq/</t>
        </is>
      </c>
    </row>
    <row r="31">
      <c r="A31" s="24" t="n">
        <v>30</v>
      </c>
      <c r="B31" s="24" t="inlineStr">
        <is>
          <t>Extreme Demand Avoidance Questionnaire – Adult</t>
        </is>
      </c>
      <c r="C31" s="24" t="inlineStr">
        <is>
          <t>EDA-QA</t>
        </is>
      </c>
      <c r="D31" s="24" t="inlineStr">
        <is>
          <t>Autism, Formulation</t>
        </is>
      </c>
      <c r="E31" s="24" t="inlineStr">
        <is>
          <t>Measures demand avoidance characteristics in adults linked to anxiety and a need for control.</t>
        </is>
      </c>
      <c r="F31" s="24" t="n"/>
      <c r="G31" s="24" t="inlineStr">
        <is>
          <t>Self report</t>
        </is>
      </c>
      <c r="H31" s="24" t="inlineStr">
        <is>
          <t>18+</t>
        </is>
      </c>
      <c r="I31" s="24" t="n">
        <v>4</v>
      </c>
      <c r="J31" s="24" t="inlineStr"/>
      <c r="K31" s="24" t="inlineStr">
        <is>
          <t>Not stated on the page</t>
        </is>
      </c>
      <c r="L31" s="24" t="inlineStr">
        <is>
          <t>Results given as percentiles against general population and clinical samples; sum or mean, direction and cut offs not stated.</t>
        </is>
      </c>
      <c r="M31" s="24" t="inlineStr">
        <is>
          <t>Egan et al. (2019). Title and journal not given.</t>
        </is>
      </c>
      <c r="N31" s="24" t="inlineStr">
        <is>
          <t>No copyright, licensing, permission or free to use statement on the page</t>
        </is>
      </c>
      <c r="O31" s="24" t="inlineStr">
        <is>
          <t>not stated</t>
        </is>
      </c>
      <c r="P31" s="24" t="inlineStr">
        <is>
          <t>Shortlist: coaching and wellbeing (client facing possible)</t>
        </is>
      </c>
      <c r="Q31" s="24" t="inlineStr"/>
      <c r="R31" s="24" t="inlineStr"/>
      <c r="S31" s="24" t="inlineStr">
        <is>
          <t>Item count not stated in fetched content. Scoring and Interpretation and Psychometric sections are rendered client side and were not visible to the fetcher.</t>
        </is>
      </c>
      <c r="T31" s="24" t="inlineStr">
        <is>
          <t>https://novopsych.com/assessments/autism/extreme-demand-avoidance-questionnaire-adult-eda-qa/</t>
        </is>
      </c>
    </row>
    <row r="32">
      <c r="A32" s="24" t="n">
        <v>31</v>
      </c>
      <c r="B32" s="24" t="inlineStr">
        <is>
          <t>Extreme Demand Avoidance 8</t>
        </is>
      </c>
      <c r="C32" s="24" t="inlineStr">
        <is>
          <t>EDA-8</t>
        </is>
      </c>
      <c r="D32" s="24" t="inlineStr">
        <is>
          <t>Autism, Adolescent, Child, Formulation</t>
        </is>
      </c>
      <c r="E32" s="24" t="inlineStr">
        <is>
          <t>Pathological (extreme) demand avoidance traits in children and adolescents.</t>
        </is>
      </c>
      <c r="F32" s="24" t="n"/>
      <c r="G32" s="24" t="inlineStr">
        <is>
          <t>Parent or caregiver report</t>
        </is>
      </c>
      <c r="H32" s="24" t="inlineStr">
        <is>
          <t>5 to 17 years</t>
        </is>
      </c>
      <c r="I32" s="24" t="n">
        <v>1</v>
      </c>
      <c r="J32" s="24" t="inlineStr"/>
      <c r="K32" s="24" t="inlineStr">
        <is>
          <t>Not stated on page.</t>
        </is>
      </c>
      <c r="L32" s="24" t="inlineStr">
        <is>
          <t>Not stated on page.</t>
        </is>
      </c>
      <c r="M32" s="24" t="inlineStr">
        <is>
          <t>O'Nions et al. (2021)</t>
        </is>
      </c>
      <c r="N32" s="24" t="inlineStr">
        <is>
          <t>None stated on page.</t>
        </is>
      </c>
      <c r="O32" s="24" t="inlineStr">
        <is>
          <t>not stated</t>
        </is>
      </c>
      <c r="P32" s="24" t="inlineStr">
        <is>
          <t>Out of scope for the hub (child, adolescent, sport, eating, clinician or service feedback)</t>
        </is>
      </c>
      <c r="Q32" s="24" t="inlineStr"/>
      <c r="R32" s="24" t="inlineStr"/>
      <c r="S32" s="24" t="inlineStr">
        <is>
          <t>Item count not shown in fetched text (the EDA-8 is understood to have 8 items). Scoring and Interpretation, Psychometrics and Professional Access sections render client side and were empty in the fetched text. No instrument specific licence statement on page.</t>
        </is>
      </c>
      <c r="T32" s="24" t="inlineStr">
        <is>
          <t>https://novopsych.com/assessments/autism/extreme-demand-avoidance-8-eda-8/</t>
        </is>
      </c>
    </row>
    <row r="33">
      <c r="A33" s="24" t="n">
        <v>32</v>
      </c>
      <c r="B33" s="24" t="inlineStr">
        <is>
          <t>Dimensions of Anger Reactions 5</t>
        </is>
      </c>
      <c r="C33" s="24" t="inlineStr">
        <is>
          <t>DAR-5</t>
        </is>
      </c>
      <c r="D33" s="24" t="inlineStr">
        <is>
          <t>Trauma</t>
        </is>
      </c>
      <c r="E33" s="24" t="inlineStr">
        <is>
          <t>Frequency and impact of anger reactions over the past 4 weeks, particularly after trauma.</t>
        </is>
      </c>
      <c r="F33" s="24" t="n">
        <v>5</v>
      </c>
      <c r="G33" s="24" t="inlineStr">
        <is>
          <t>Self report</t>
        </is>
      </c>
      <c r="H33" s="24" t="inlineStr">
        <is>
          <t>18+</t>
        </is>
      </c>
      <c r="I33" s="24" t="n">
        <v>1</v>
      </c>
      <c r="J33" s="24" t="inlineStr"/>
      <c r="K33" s="24" t="inlineStr">
        <is>
          <t>Not stated on page.</t>
        </is>
      </c>
      <c r="L33" s="24" t="inlineStr">
        <is>
          <t>Not stated on page; individual item scores described as informing treatment planning.</t>
        </is>
      </c>
      <c r="M33" s="24" t="inlineStr">
        <is>
          <t>Not stated on page (page cites DAR-5 psychometric papers only).</t>
        </is>
      </c>
      <c r="N33" s="24" t="inlineStr">
        <is>
          <t>None stated on page.</t>
        </is>
      </c>
      <c r="O33" s="24" t="inlineStr">
        <is>
          <t>not stated</t>
        </is>
      </c>
      <c r="P33" s="24" t="inlineStr">
        <is>
          <t>Shortlist: coaching and wellbeing (client facing possible)</t>
        </is>
      </c>
      <c r="Q33" s="24" t="inlineStr"/>
      <c r="R33" s="24" t="inlineStr"/>
      <c r="S33" s="24" t="inlineStr">
        <is>
          <t>Scoring and Interpretation, Psychometrics and Professional Access sections render client side and were empty in the fetched text. No instrument specific licence statement on page.</t>
        </is>
      </c>
      <c r="T33" s="24" t="inlineStr">
        <is>
          <t>https://novopsych.com/assessments/trauma/dar-5/</t>
        </is>
      </c>
    </row>
    <row r="34">
      <c r="A34" s="24" t="n">
        <v>33</v>
      </c>
      <c r="B34" s="24" t="inlineStr">
        <is>
          <t>Menopause Depression Rating Scale</t>
        </is>
      </c>
      <c r="C34" s="24" t="inlineStr">
        <is>
          <t>MENO-D</t>
        </is>
      </c>
      <c r="D34" s="24" t="inlineStr">
        <is>
          <t>Depression</t>
        </is>
      </c>
      <c r="E34" s="24" t="inlineStr">
        <is>
          <t>Depressive symptoms in perimenopausal women, including physical and psychological symptoms.</t>
        </is>
      </c>
      <c r="F34" s="24" t="n">
        <v>12</v>
      </c>
      <c r="G34" s="24" t="inlineStr">
        <is>
          <t>Self report (implied)</t>
        </is>
      </c>
      <c r="H34" s="24" t="inlineStr">
        <is>
          <t>40+</t>
        </is>
      </c>
      <c r="I34" s="24" t="n">
        <v>2</v>
      </c>
      <c r="J34" s="24" t="inlineStr">
        <is>
          <t>Self, Sexual, Somatic, Cognitive, Sleep</t>
        </is>
      </c>
      <c r="K34" s="24" t="inlineStr">
        <is>
          <t>Not stated on page.</t>
        </is>
      </c>
      <c r="L34" s="24" t="inlineStr">
        <is>
          <t>Total score indicates depression severity with a None to Minimal band; higher scores worse. High score on the self esteem item should prompt self harm risk assessment. No numeric cut offs in fetched text.</t>
        </is>
      </c>
      <c r="M34" s="24" t="inlineStr">
        <is>
          <t>Not stated as developer; page cites Kulkarni (2017) and Gibbs et al. (2015) as background.</t>
        </is>
      </c>
      <c r="N34" s="24" t="inlineStr">
        <is>
          <t>None stated on page.</t>
        </is>
      </c>
      <c r="O34" s="24" t="inlineStr">
        <is>
          <t>not stated</t>
        </is>
      </c>
      <c r="P34" s="24" t="inlineStr">
        <is>
          <t>Shortlist: screening or clinical (Sarah only if used)</t>
        </is>
      </c>
      <c r="Q34" s="24" t="inlineStr"/>
      <c r="R34" s="24" t="inlineStr"/>
      <c r="S34" s="24" t="inlineStr">
        <is>
          <t>Scoring and Interpretation, Psychometrics and Professional Access sections render client side and were empty in the fetched text. No instrument specific licence statement on page.</t>
        </is>
      </c>
      <c r="T34" s="24" t="inlineStr">
        <is>
          <t>https://novopsych.com/assessments/depression/meno-d/</t>
        </is>
      </c>
    </row>
    <row r="35">
      <c r="A35" s="24" t="n">
        <v>34</v>
      </c>
      <c r="B35" s="24" t="inlineStr">
        <is>
          <t>Pain Self-Efficacy Questionnaire</t>
        </is>
      </c>
      <c r="C35" s="24" t="inlineStr">
        <is>
          <t>PSEQ</t>
        </is>
      </c>
      <c r="D35" s="24" t="inlineStr">
        <is>
          <t>Health</t>
        </is>
      </c>
      <c r="E35" s="24" t="inlineStr">
        <is>
          <t>Confidence in performing activities despite ongoing pain.</t>
        </is>
      </c>
      <c r="F35" s="24" t="n">
        <v>10</v>
      </c>
      <c r="G35" s="24" t="inlineStr">
        <is>
          <t>Self report</t>
        </is>
      </c>
      <c r="H35" s="24" t="inlineStr">
        <is>
          <t>18+</t>
        </is>
      </c>
      <c r="I35" s="24" t="n">
        <v>2</v>
      </c>
      <c r="J35" s="24" t="inlineStr"/>
      <c r="K35" s="24" t="inlineStr">
        <is>
          <t>Not stated on page.</t>
        </is>
      </c>
      <c r="L35" s="24" t="inlineStr">
        <is>
          <t>Sum, range 0 to 60, higher is greater self efficacy. Bands: 40+ high, 18 to 29 moderate, 5 to 17 low, 0 to 4 very low; below 22 linked to higher daily opioid use; MCID 6.65 points.</t>
        </is>
      </c>
      <c r="M35" s="24" t="inlineStr">
        <is>
          <t>Nicholas (2007)</t>
        </is>
      </c>
      <c r="N35" s="24" t="inlineStr">
        <is>
          <t>None stated on page.</t>
        </is>
      </c>
      <c r="O35" s="24" t="inlineStr">
        <is>
          <t>not stated</t>
        </is>
      </c>
      <c r="P35" s="24" t="inlineStr">
        <is>
          <t>Shortlist: screening or clinical (Sarah only if used)</t>
        </is>
      </c>
      <c r="Q35" s="24" t="inlineStr"/>
      <c r="R35" s="24" t="inlineStr"/>
      <c r="S35" s="24" t="inlineStr">
        <is>
          <t>FAQ gives 2 to 3 minutes completion time. Scoring and Interpretation, Psychometrics and Professional Access sections render client side and were empty in the fetched text. No instrument specific licence statement on page.</t>
        </is>
      </c>
      <c r="T35" s="24" t="inlineStr">
        <is>
          <t>https://novopsych.com/assessments/health/pain-self-efficacy-questionnaire-pseq/</t>
        </is>
      </c>
    </row>
    <row r="36">
      <c r="A36" s="24" t="n">
        <v>35</v>
      </c>
      <c r="B36" s="24" t="inlineStr">
        <is>
          <t>Autism Treatment Evaluation Checklist</t>
        </is>
      </c>
      <c r="C36" s="24" t="inlineStr">
        <is>
          <t>ATEC</t>
        </is>
      </c>
      <c r="D36" s="24" t="inlineStr">
        <is>
          <t>Autism</t>
        </is>
      </c>
      <c r="E36" s="24" t="inlineStr">
        <is>
          <t>Change in autistic characteristics over time, including response to treatment.</t>
        </is>
      </c>
      <c r="F36" s="24" t="n"/>
      <c r="G36" s="24" t="inlineStr">
        <is>
          <t>Parent or caregiver report</t>
        </is>
      </c>
      <c r="H36" s="24" t="inlineStr">
        <is>
          <t>2+ (children and adults)</t>
        </is>
      </c>
      <c r="I36" s="24" t="n">
        <v>13</v>
      </c>
      <c r="J36" s="24" t="inlineStr">
        <is>
          <t>Speech/Language/Communication, Sociability, Sensory/Cognitive Awareness, Health/Physical/Behaviour</t>
        </is>
      </c>
      <c r="K36" s="24" t="inlineStr">
        <is>
          <t>Not stated on page.</t>
        </is>
      </c>
      <c r="L36" s="24" t="inlineStr">
        <is>
          <t>Percentile ranges generated per subscale; lower scores indicate fewer autistic characteristics and scores typically decrease with age. No cut offs stated.</t>
        </is>
      </c>
      <c r="M36" s="24" t="inlineStr">
        <is>
          <t>Not stated as developer; page cites Jarusiewicz (2002) and Magiati et al. (2011).</t>
        </is>
      </c>
      <c r="N36" s="24" t="inlineStr">
        <is>
          <t>None stated on page.</t>
        </is>
      </c>
      <c r="O36" s="24" t="inlineStr">
        <is>
          <t>not stated</t>
        </is>
      </c>
      <c r="P36" s="24" t="inlineStr">
        <is>
          <t>Out of scope for the hub (not self report)</t>
        </is>
      </c>
      <c r="Q36" s="24" t="inlineStr"/>
      <c r="R36" s="24" t="inlineStr"/>
      <c r="S36" s="24" t="inlineStr">
        <is>
          <t>Item count not in fetched text. Scoring and Interpretation, Psychometrics and Professional Access sections render client side and were empty in the fetched text. No instrument specific licence statement on page.</t>
        </is>
      </c>
      <c r="T36" s="24" t="inlineStr">
        <is>
          <t>https://novopsych.com/assessments/autism/autism-treatment-evaluation-checklist-atec/</t>
        </is>
      </c>
    </row>
    <row r="37">
      <c r="A37" s="24" t="n">
        <v>36</v>
      </c>
      <c r="B37" s="24" t="inlineStr">
        <is>
          <t>Death Anxiety Beliefs and Behaviours Scale</t>
        </is>
      </c>
      <c r="C37" s="24" t="inlineStr">
        <is>
          <t>DABBS</t>
        </is>
      </c>
      <c r="D37" s="24" t="inlineStr">
        <is>
          <t>Formulation</t>
        </is>
      </c>
      <c r="E37" s="24" t="inlineStr">
        <is>
          <t>Death anxiety, described as fears of death or dying, across affect, beliefs and behaviours.</t>
        </is>
      </c>
      <c r="F37" s="24" t="n">
        <v>18</v>
      </c>
      <c r="G37" s="24" t="inlineStr">
        <is>
          <t>Self report</t>
        </is>
      </c>
      <c r="H37" s="24" t="inlineStr">
        <is>
          <t>18+</t>
        </is>
      </c>
      <c r="I37" s="24" t="n">
        <v>3</v>
      </c>
      <c r="J37" s="24" t="inlineStr">
        <is>
          <t>Affect, Beliefs, Behaviours</t>
        </is>
      </c>
      <c r="K37" s="24" t="inlineStr">
        <is>
          <t>Not stated on page.</t>
        </is>
      </c>
      <c r="L37" s="24" t="inlineStr">
        <is>
          <t>Total score with clinical cut off of 55; minimally important difference of 7 points for monitoring change. Higher scores indicate greater death anxiety.</t>
        </is>
      </c>
      <c r="M37" s="24" t="inlineStr">
        <is>
          <t>Not stated on page; article author is Dr David Hegarty (NovoPsych).</t>
        </is>
      </c>
      <c r="N37" s="24" t="inlineStr">
        <is>
          <t>None stated on page.</t>
        </is>
      </c>
      <c r="O37" s="24" t="inlineStr">
        <is>
          <t>not stated</t>
        </is>
      </c>
      <c r="P37" s="24" t="inlineStr">
        <is>
          <t>Shortlist: coaching and wellbeing (client facing possible)</t>
        </is>
      </c>
      <c r="Q37" s="24" t="inlineStr"/>
      <c r="R37" s="24" t="inlineStr"/>
      <c r="S37" s="24" t="inlineStr">
        <is>
          <t>Scoring and Interpretation, Psychometrics and Professional Access sections render client side and were empty in the fetched text. No instrument specific licence statement on page.</t>
        </is>
      </c>
      <c r="T37" s="24" t="inlineStr">
        <is>
          <t>https://novopsych.com/assessments/formulation/death-anxiety-beliefs-and-behaviours-scale-dabbs/</t>
        </is>
      </c>
    </row>
    <row r="38">
      <c r="A38" s="24" t="n">
        <v>37</v>
      </c>
      <c r="B38" s="24" t="inlineStr">
        <is>
          <t>Couples Satisfaction Index 16</t>
        </is>
      </c>
      <c r="C38" s="24" t="inlineStr">
        <is>
          <t>CSI-16</t>
        </is>
      </c>
      <c r="D38" s="24" t="inlineStr">
        <is>
          <t>Well-being</t>
        </is>
      </c>
      <c r="E38" s="24" t="inlineStr">
        <is>
          <t>Romantic relationship satisfaction and functioning.</t>
        </is>
      </c>
      <c r="F38" s="24" t="n">
        <v>16</v>
      </c>
      <c r="G38" s="24" t="inlineStr">
        <is>
          <t>Self report (one or both partners separately)</t>
        </is>
      </c>
      <c r="H38" s="24" t="inlineStr">
        <is>
          <t>18+</t>
        </is>
      </c>
      <c r="I38" s="24" t="n">
        <v>3</v>
      </c>
      <c r="J38" s="24" t="inlineStr"/>
      <c r="K38" s="24" t="inlineStr">
        <is>
          <t>Not stated on page.</t>
        </is>
      </c>
      <c r="L38" s="24" t="inlineStr">
        <is>
          <t>Total score, higher is greater satisfaction; clinical cut off 51.5 with scores below indicating relationship distress; reliable change approximately 8 to 10 points.</t>
        </is>
      </c>
      <c r="M38" s="24" t="inlineStr">
        <is>
          <t>Funk, J. L., &amp; Rogge, R. D. (2007). Journal of Family Psychology, 21(4), 572 to 583. doi:10.1037/0893-3200.21.4.572</t>
        </is>
      </c>
      <c r="N38" s="24" t="inlineStr">
        <is>
          <t>© 2026 Copyright – NovoPsych – All rights reserved (site footer only)</t>
        </is>
      </c>
      <c r="O38" s="24" t="inlineStr">
        <is>
          <t>not stated</t>
        </is>
      </c>
      <c r="P38" s="24" t="inlineStr">
        <is>
          <t>Shortlist: coaching and wellbeing (client facing possible)</t>
        </is>
      </c>
      <c r="Q38" s="24" t="inlineStr"/>
      <c r="R38" s="24" t="inlineStr"/>
      <c r="S38" s="24" t="inlineStr">
        <is>
          <t>PDF download offered without stated licence. Scoring and Interpretation, Psychometrics and Professional Access sections render client side and were empty in the fetched text. No instrument specific licence statement on page.</t>
        </is>
      </c>
      <c r="T38" s="24" t="inlineStr">
        <is>
          <t>https://novopsych.com/assessments/well-being/couples-satisfaction-index-csi-16/</t>
        </is>
      </c>
    </row>
    <row r="39">
      <c r="A39" s="24" t="n">
        <v>38</v>
      </c>
      <c r="B39" s="24" t="inlineStr">
        <is>
          <t>State Difficulties in Emotion Regulation Scale</t>
        </is>
      </c>
      <c r="C39" s="24" t="inlineStr">
        <is>
          <t>S-DERS</t>
        </is>
      </c>
      <c r="D39" s="24" t="inlineStr">
        <is>
          <t>Formulation</t>
        </is>
      </c>
      <c r="E39" s="24" t="inlineStr">
        <is>
          <t>Momentary (state) difficulties in emotion regulation across 4 dimensions.</t>
        </is>
      </c>
      <c r="F39" s="24" t="n"/>
      <c r="G39" s="24" t="inlineStr">
        <is>
          <t>Self report</t>
        </is>
      </c>
      <c r="H39" s="24" t="inlineStr">
        <is>
          <t>18+</t>
        </is>
      </c>
      <c r="I39" s="24" t="n">
        <v>4</v>
      </c>
      <c r="J39" s="24" t="inlineStr">
        <is>
          <t>Nonacceptance, Modulate, Awareness, Clarity</t>
        </is>
      </c>
      <c r="K39" s="24" t="inlineStr">
        <is>
          <t>5 point, 1 Not at all to 5 Completely, rated for right now</t>
        </is>
      </c>
      <c r="L39" s="24" t="inlineStr">
        <is>
          <t>Not stated on page.</t>
        </is>
      </c>
      <c r="M39" s="24" t="inlineStr">
        <is>
          <t>Not stated on page.</t>
        </is>
      </c>
      <c r="N39" s="24" t="inlineStr">
        <is>
          <t>None stated on page.</t>
        </is>
      </c>
      <c r="O39" s="24" t="inlineStr">
        <is>
          <t>not stated</t>
        </is>
      </c>
      <c r="P39" s="24" t="inlineStr">
        <is>
          <t>Shortlist: coaching and wellbeing (client facing possible)</t>
        </is>
      </c>
      <c r="Q39" s="24" t="inlineStr"/>
      <c r="R39" s="24" t="inlineStr"/>
      <c r="S39" s="24" t="inlineStr">
        <is>
          <t>Item count not in fetched text. Scoring and Interpretation, Psychometrics and Professional Access sections render client side and were empty in the fetched text. No instrument specific licence statement on page.</t>
        </is>
      </c>
      <c r="T39" s="24" t="inlineStr">
        <is>
          <t>https://novopsych.com/assessments/formulation/state-difficulties-in-emotion-regulation-scale-s-ders/</t>
        </is>
      </c>
    </row>
    <row r="40">
      <c r="A40" s="24" t="n">
        <v>39</v>
      </c>
      <c r="B40" s="24" t="inlineStr">
        <is>
          <t>Ten Item Personality Inventory</t>
        </is>
      </c>
      <c r="C40" s="24" t="inlineStr">
        <is>
          <t>TIPI</t>
        </is>
      </c>
      <c r="D40" s="24" t="inlineStr">
        <is>
          <t>Personality</t>
        </is>
      </c>
      <c r="E40" s="24" t="inlineStr">
        <is>
          <t>Brief measure of the Big Five personality domains.</t>
        </is>
      </c>
      <c r="F40" s="24" t="n">
        <v>10</v>
      </c>
      <c r="G40" s="24" t="inlineStr">
        <is>
          <t>Self report</t>
        </is>
      </c>
      <c r="H40" s="24" t="inlineStr">
        <is>
          <t>18+</t>
        </is>
      </c>
      <c r="I40" s="24" t="n">
        <v>2</v>
      </c>
      <c r="J40" s="24" t="inlineStr">
        <is>
          <t>Extraversion, Agreeableness, Conscientiousness, Emotional Stability, Openness to Experience</t>
        </is>
      </c>
      <c r="K40" s="24" t="inlineStr">
        <is>
          <t>7 point agreement scale; anchor labels not given on page</t>
        </is>
      </c>
      <c r="L40" s="24" t="inlineStr">
        <is>
          <t>Each domain is the mean of its 2 items (range 1 to 7), higher is more of the trait; reported as percentile ranks against norms, no cut offs.</t>
        </is>
      </c>
      <c r="M40" s="24" t="inlineStr">
        <is>
          <t>Gosling et al. (2003)</t>
        </is>
      </c>
      <c r="N40" s="24" t="inlineStr">
        <is>
          <t>None stated on page.</t>
        </is>
      </c>
      <c r="O40" s="24" t="inlineStr">
        <is>
          <t>not stated</t>
        </is>
      </c>
      <c r="P40" s="24" t="inlineStr">
        <is>
          <t>Shortlist: coaching and wellbeing (client facing possible)</t>
        </is>
      </c>
      <c r="Q40" s="24" t="inlineStr"/>
      <c r="R40" s="24" t="inlineStr"/>
      <c r="S40" s="24" t="inlineStr">
        <is>
          <t>Scoring and Interpretation, Psychometrics and Professional Access sections render client side and were empty in the fetched text. No instrument specific licence statement on page.</t>
        </is>
      </c>
      <c r="T40" s="24" t="inlineStr">
        <is>
          <t>https://novopsych.com/personality/ten-item-personality-inventory-tipi/</t>
        </is>
      </c>
    </row>
    <row r="41">
      <c r="A41" s="24" t="n">
        <v>40</v>
      </c>
      <c r="B41" s="24" t="inlineStr">
        <is>
          <t>Perfectionistic Cognitions Inventory</t>
        </is>
      </c>
      <c r="C41" s="24" t="inlineStr">
        <is>
          <t>PCI</t>
        </is>
      </c>
      <c r="D41" s="24" t="inlineStr">
        <is>
          <t>Formulation, Adolescent</t>
        </is>
      </c>
      <c r="E41" s="24" t="inlineStr">
        <is>
          <t>Frequency of automatic perfectionistic thoughts, including self critical thinking.</t>
        </is>
      </c>
      <c r="F41" s="24" t="n"/>
      <c r="G41" s="24" t="inlineStr">
        <is>
          <t>Self report (implied)</t>
        </is>
      </c>
      <c r="H41" s="24" t="inlineStr">
        <is>
          <t>15+</t>
        </is>
      </c>
      <c r="I41" s="24" t="n">
        <v>4</v>
      </c>
      <c r="J41" s="24" t="inlineStr"/>
      <c r="K41" s="24" t="inlineStr">
        <is>
          <t>Not stated on page.</t>
        </is>
      </c>
      <c r="L41" s="24" t="inlineStr">
        <is>
          <t>Not stated on page.</t>
        </is>
      </c>
      <c r="M41" s="24" t="inlineStr">
        <is>
          <t>Not stated as developer; page cites Flett et al. (1998, 2007).</t>
        </is>
      </c>
      <c r="N41" s="24" t="inlineStr">
        <is>
          <t>None stated on page.</t>
        </is>
      </c>
      <c r="O41" s="24" t="inlineStr">
        <is>
          <t>not stated</t>
        </is>
      </c>
      <c r="P41" s="24" t="inlineStr">
        <is>
          <t>Already in codebook</t>
        </is>
      </c>
      <c r="Q41" s="24" t="inlineStr"/>
      <c r="R41" s="24" t="inlineStr"/>
      <c r="S41" s="24" t="inlineStr">
        <is>
          <t>Item count not in fetched text. Scoring and Interpretation, Psychometrics and Professional Access sections render client side and were empty in the fetched text. No instrument specific licence statement on page.</t>
        </is>
      </c>
      <c r="T41" s="24" t="inlineStr">
        <is>
          <t>https://novopsych.com/assessments/formulation/perfectionistic-cognitions-inventory-pci/</t>
        </is>
      </c>
    </row>
    <row r="42">
      <c r="A42" s="24" t="n">
        <v>41</v>
      </c>
      <c r="B42" s="24" t="inlineStr">
        <is>
          <t>Phobic Stimuli Response Scale</t>
        </is>
      </c>
      <c r="C42" s="24" t="inlineStr">
        <is>
          <t>PSRS</t>
        </is>
      </c>
      <c r="D42" s="24" t="inlineStr">
        <is>
          <t>Anxiety, Clinician self assessment</t>
        </is>
      </c>
      <c r="E42" s="24" t="inlineStr">
        <is>
          <t>Fear responses across 5 specific phobia subtypes, covering cognitive and emotional components.</t>
        </is>
      </c>
      <c r="F42" s="24" t="n"/>
      <c r="G42" s="24" t="inlineStr">
        <is>
          <t>Self report</t>
        </is>
      </c>
      <c r="H42" s="24" t="inlineStr">
        <is>
          <t>18+</t>
        </is>
      </c>
      <c r="I42" s="24" t="n">
        <v>8</v>
      </c>
      <c r="J42" s="24" t="inlineStr">
        <is>
          <t>Blood-injection (only subtype named in fetched text; 5 subtypes in total)</t>
        </is>
      </c>
      <c r="K42" s="24" t="inlineStr">
        <is>
          <t>Not stated on page.</t>
        </is>
      </c>
      <c r="L42" s="24" t="inlineStr">
        <is>
          <t>Not stated on page.</t>
        </is>
      </c>
      <c r="M42" s="24" t="inlineStr">
        <is>
          <t>Cutshall and Watson (2004)</t>
        </is>
      </c>
      <c r="N42" s="24" t="inlineStr">
        <is>
          <t>None stated on page.</t>
        </is>
      </c>
      <c r="O42" s="24" t="inlineStr">
        <is>
          <t>not stated</t>
        </is>
      </c>
      <c r="P42" s="24" t="inlineStr">
        <is>
          <t>Out of scope for the hub (child, adolescent, sport, eating, clinician or service feedback)</t>
        </is>
      </c>
      <c r="Q42" s="24" t="inlineStr"/>
      <c r="R42" s="24" t="inlineStr"/>
      <c r="S42" s="24" t="inlineStr">
        <is>
          <t>Item count and full subscale list not in fetched text. Scoring and Interpretation, Psychometrics and Professional Access sections render client side and were empty in the fetched text. No instrument specific licence statement on page.</t>
        </is>
      </c>
      <c r="T42" s="24" t="inlineStr">
        <is>
          <t>https://novopsych.com/assessments/anxiety/phobic-stimuli-response-scale-psrs/</t>
        </is>
      </c>
    </row>
    <row r="43">
      <c r="A43" s="24" t="n">
        <v>42</v>
      </c>
      <c r="B43" s="24" t="inlineStr">
        <is>
          <t>Herth Hope Index</t>
        </is>
      </c>
      <c r="C43" s="24" t="inlineStr">
        <is>
          <t>HHI</t>
        </is>
      </c>
      <c r="D43" s="24" t="inlineStr">
        <is>
          <t>Well-being</t>
        </is>
      </c>
      <c r="E43" s="24" t="inlineStr">
        <is>
          <t>Levels of hope and change in hope over time in adults experiencing illness.</t>
        </is>
      </c>
      <c r="F43" s="24" t="n">
        <v>12</v>
      </c>
      <c r="G43" s="24" t="inlineStr">
        <is>
          <t>Self report</t>
        </is>
      </c>
      <c r="H43" s="24" t="inlineStr">
        <is>
          <t>18+</t>
        </is>
      </c>
      <c r="I43" s="24" t="n">
        <v>2</v>
      </c>
      <c r="J43" s="24" t="inlineStr">
        <is>
          <t>Temporality and future, Positive readiness and expectancy, Interconnectedness</t>
        </is>
      </c>
      <c r="K43" s="24" t="inlineStr">
        <is>
          <t>Not stated on page.</t>
        </is>
      </c>
      <c r="L43" s="24" t="inlineStr">
        <is>
          <t>Not stated on page.</t>
        </is>
      </c>
      <c r="M43" s="24" t="inlineStr">
        <is>
          <t>Herth, K. (1992). Journal of Advanced Nursing, 17(10), 1251 to 1259. doi:10.1111/j.1365-2648.1992.tb01843.x</t>
        </is>
      </c>
      <c r="N43" s="24" t="inlineStr">
        <is>
          <t>© 2026 Copyright – NovoPsych – All rights reserved (site footer only)</t>
        </is>
      </c>
      <c r="O43" s="24" t="inlineStr">
        <is>
          <t>not stated</t>
        </is>
      </c>
      <c r="P43" s="24" t="inlineStr">
        <is>
          <t>Shortlist: coaching and wellbeing (client facing possible)</t>
        </is>
      </c>
      <c r="Q43" s="24" t="inlineStr"/>
      <c r="R43" s="24" t="inlineStr"/>
      <c r="S43" s="24" t="inlineStr">
        <is>
          <t>Subscale names inferred from dimensions mentioned in text; not formally listed. PDF offered without stated licence. Scoring and Interpretation, Psychometrics and Professional Access sections render client side and were empty in the fetched text. No instrument specific licence statement on page.</t>
        </is>
      </c>
      <c r="T43" s="24" t="inlineStr">
        <is>
          <t>https://novopsych.com/assessments/well-being/herth-hope-index-hhi/</t>
        </is>
      </c>
    </row>
    <row r="44">
      <c r="A44" s="24" t="n">
        <v>43</v>
      </c>
      <c r="B44" s="24" t="inlineStr">
        <is>
          <t>Drug Use Disorders Identification Test</t>
        </is>
      </c>
      <c r="C44" s="24" t="inlineStr">
        <is>
          <t>DUDIT</t>
        </is>
      </c>
      <c r="D44" s="24" t="inlineStr">
        <is>
          <t>Addiction</t>
        </is>
      </c>
      <c r="E44" s="24" t="inlineStr">
        <is>
          <t>Drug involvement including frequency of use, dependence symptoms and drug related problems.</t>
        </is>
      </c>
      <c r="F44" s="24" t="n"/>
      <c r="G44" s="24" t="inlineStr">
        <is>
          <t>Self report</t>
        </is>
      </c>
      <c r="H44" s="24" t="inlineStr">
        <is>
          <t>18+</t>
        </is>
      </c>
      <c r="I44" s="24" t="n">
        <v>2</v>
      </c>
      <c r="J44" s="24" t="inlineStr"/>
      <c r="K44" s="24" t="inlineStr">
        <is>
          <t>Not stated on page.</t>
        </is>
      </c>
      <c r="L44" s="24" t="inlineStr">
        <is>
          <t>Sum, range 0 to 44, higher is more drug related problems. Cut offs: men 6+ and women 2+ indicate probable drug related problems; 25+ indicates probable dependence.</t>
        </is>
      </c>
      <c r="M44" s="24" t="inlineStr">
        <is>
          <t>Not stated on page.</t>
        </is>
      </c>
      <c r="N44" s="24" t="inlineStr">
        <is>
          <t>None stated on page.</t>
        </is>
      </c>
      <c r="O44" s="24" t="inlineStr">
        <is>
          <t>not stated</t>
        </is>
      </c>
      <c r="P44" s="24" t="inlineStr">
        <is>
          <t>Shortlist: screening or clinical (Sarah only if used)</t>
        </is>
      </c>
      <c r="Q44" s="24" t="inlineStr"/>
      <c r="R44" s="24" t="inlineStr"/>
      <c r="S44" s="24" t="inlineStr">
        <is>
          <t>Item count not in fetched text (DUDIT is understood to have 11 items). FAQ gives 5 to 10 minutes. Scoring and Interpretation, Psychometrics and Professional Access sections render client side and were empty in the fetched text. No instrument specific licence statement on page.</t>
        </is>
      </c>
      <c r="T44" s="24" t="inlineStr">
        <is>
          <t>https://novopsych.com/assessments/addiction/drug-use-disorders-identification-test-dudit/</t>
        </is>
      </c>
    </row>
    <row r="45">
      <c r="A45" s="24" t="n">
        <v>44</v>
      </c>
      <c r="B45" s="24" t="inlineStr">
        <is>
          <t>Brief Resilience Scale</t>
        </is>
      </c>
      <c r="C45" s="24" t="inlineStr">
        <is>
          <t>BRS</t>
        </is>
      </c>
      <c r="D45" s="24" t="inlineStr">
        <is>
          <t>Formulation</t>
        </is>
      </c>
      <c r="E45" s="24" t="inlineStr">
        <is>
          <t>Ability to bounce back or recover from stress and adversity.</t>
        </is>
      </c>
      <c r="F45" s="24" t="n">
        <v>6</v>
      </c>
      <c r="G45" s="24" t="inlineStr">
        <is>
          <t>Self report</t>
        </is>
      </c>
      <c r="H45" s="24" t="inlineStr">
        <is>
          <t>18+</t>
        </is>
      </c>
      <c r="I45" s="24" t="n">
        <v>1</v>
      </c>
      <c r="J45" s="24" t="inlineStr"/>
      <c r="K45" s="24" t="inlineStr">
        <is>
          <t>Not stated on page.</t>
        </is>
      </c>
      <c r="L45" s="24" t="inlineStr">
        <is>
          <t>Not stated on page.</t>
        </is>
      </c>
      <c r="M45" s="24" t="inlineStr">
        <is>
          <t>Smith et al. (2008)</t>
        </is>
      </c>
      <c r="N45" s="24" t="inlineStr">
        <is>
          <t>None stated on page.</t>
        </is>
      </c>
      <c r="O45" s="24" t="inlineStr">
        <is>
          <t>not stated</t>
        </is>
      </c>
      <c r="P45" s="24" t="inlineStr">
        <is>
          <t>Shortlist: coaching and wellbeing (client facing possible)</t>
        </is>
      </c>
      <c r="Q45" s="24" t="inlineStr"/>
      <c r="R45" s="24" t="inlineStr"/>
      <c r="S45" s="24" t="inlineStr">
        <is>
          <t>Scoring and Interpretation, Psychometrics and Professional Access sections render client side and were empty in the fetched text. No instrument specific licence statement on page.</t>
        </is>
      </c>
      <c r="T45" s="24" t="inlineStr">
        <is>
          <t>https://novopsych.com/assessments/formulation/brief-resilience-scale/</t>
        </is>
      </c>
    </row>
    <row r="46">
      <c r="A46" s="24" t="n">
        <v>45</v>
      </c>
      <c r="B46" s="24" t="inlineStr">
        <is>
          <t>Life Orientation Test Revised</t>
        </is>
      </c>
      <c r="C46" s="24" t="inlineStr">
        <is>
          <t>LOT-R</t>
        </is>
      </c>
      <c r="D46" s="24" t="inlineStr">
        <is>
          <t>Formulation</t>
        </is>
      </c>
      <c r="E46" s="24" t="inlineStr">
        <is>
          <t>Dispositional optimism, as generalised positive expectancies about future outcomes.</t>
        </is>
      </c>
      <c r="F46" s="24" t="n">
        <v>10</v>
      </c>
      <c r="G46" s="24" t="inlineStr">
        <is>
          <t>Self report</t>
        </is>
      </c>
      <c r="H46" s="24" t="inlineStr">
        <is>
          <t>14+</t>
        </is>
      </c>
      <c r="I46" s="24" t="n">
        <v>2</v>
      </c>
      <c r="J46" s="24" t="inlineStr">
        <is>
          <t>Optimism, Pessimism</t>
        </is>
      </c>
      <c r="K46" s="24" t="inlineStr">
        <is>
          <t>Not stated on page.</t>
        </is>
      </c>
      <c r="L46" s="24" t="inlineStr">
        <is>
          <t>Method not stated. Percentile guidance: below 30th percentile (under 13) may indicate problematic pessimism; above 75th percentile (over 19) indicates high optimism.</t>
        </is>
      </c>
      <c r="M46" s="24" t="inlineStr">
        <is>
          <t>Scheier, Carver, &amp; Bridges (1994); original LOT Scheier &amp; Carver (1985).</t>
        </is>
      </c>
      <c r="N46" s="24" t="inlineStr">
        <is>
          <t>None stated on page.</t>
        </is>
      </c>
      <c r="O46" s="24" t="inlineStr">
        <is>
          <t>not stated</t>
        </is>
      </c>
      <c r="P46" s="24" t="inlineStr">
        <is>
          <t>Shortlist: coaching and wellbeing (client facing possible)</t>
        </is>
      </c>
      <c r="Q46" s="24" t="inlineStr"/>
      <c r="R46" s="24" t="inlineStr"/>
      <c r="S46" s="24" t="inlineStr">
        <is>
          <t>Scoring and Interpretation, Psychometrics and Professional Access sections render client side and were empty in the fetched text. No instrument specific licence statement on page.</t>
        </is>
      </c>
      <c r="T46" s="24" t="inlineStr">
        <is>
          <t>https://novopsych.com/assessments/formulation/life-orientation-test-revised/</t>
        </is>
      </c>
    </row>
    <row r="47">
      <c r="A47" s="24" t="n">
        <v>46</v>
      </c>
      <c r="B47" s="24" t="inlineStr">
        <is>
          <t>Athlete Psychological Strain Questionnaire</t>
        </is>
      </c>
      <c r="C47" s="24" t="inlineStr">
        <is>
          <t>APSQ</t>
        </is>
      </c>
      <c r="D47" s="24" t="inlineStr">
        <is>
          <t>Sport</t>
        </is>
      </c>
      <c r="E47" s="24" t="inlineStr">
        <is>
          <t>Psychological distress and strain in elite athletes.</t>
        </is>
      </c>
      <c r="F47" s="24" t="n">
        <v>10</v>
      </c>
      <c r="G47" s="24" t="inlineStr">
        <is>
          <t>Self report</t>
        </is>
      </c>
      <c r="H47" s="24" t="inlineStr">
        <is>
          <t>18+</t>
        </is>
      </c>
      <c r="I47" s="24" t="n">
        <v>2</v>
      </c>
      <c r="J47" s="24" t="inlineStr">
        <is>
          <t>Self-Regulation, Performance, External Coping</t>
        </is>
      </c>
      <c r="K47" s="24" t="inlineStr">
        <is>
          <t>Not stated on page.</t>
        </is>
      </c>
      <c r="L47" s="24" t="inlineStr">
        <is>
          <t>Not stated on page.</t>
        </is>
      </c>
      <c r="M47" s="24" t="inlineStr">
        <is>
          <t>Rice, S.M., et al. (2020). International Journal of Sport and Exercise Psychology, 18(6), 850 to 865. doi:10.1080/1612197X.2019.1611900</t>
        </is>
      </c>
      <c r="N47" s="24" t="inlineStr">
        <is>
          <t>© 2026 Copyright – NovoPsych – All rights reserved (site footer only)</t>
        </is>
      </c>
      <c r="O47" s="24" t="inlineStr">
        <is>
          <t>not stated</t>
        </is>
      </c>
      <c r="P47" s="24" t="inlineStr">
        <is>
          <t>Out of scope for the hub (child, adolescent, sport, eating, clinician or service feedback)</t>
        </is>
      </c>
      <c r="Q47" s="24" t="inlineStr"/>
      <c r="R47" s="24" t="inlineStr"/>
      <c r="S47" s="24" t="inlineStr">
        <is>
          <t>PDF offered without stated licence. Scoring and Interpretation, Psychometrics and Professional Access sections render client side and were empty in the fetched text. No instrument specific licence statement on page.</t>
        </is>
      </c>
      <c r="T47" s="24" t="inlineStr">
        <is>
          <t>https://novopsych.com/assessments/sport-assessments/athlete-psychological-strain-questionnaire/</t>
        </is>
      </c>
    </row>
    <row r="48">
      <c r="A48" s="24" t="n">
        <v>47</v>
      </c>
      <c r="B48" s="24" t="inlineStr">
        <is>
          <t>Strengths and Stressors</t>
        </is>
      </c>
      <c r="C48" s="24" t="inlineStr">
        <is>
          <t>SAS</t>
        </is>
      </c>
      <c r="D48" s="24" t="inlineStr">
        <is>
          <t>Child</t>
        </is>
      </c>
      <c r="E48" s="24" t="inlineStr">
        <is>
          <t>Family functioning and child psychosocial wellbeing in child protection settings.</t>
        </is>
      </c>
      <c r="F48" s="24" t="n">
        <v>56</v>
      </c>
      <c r="G48" s="24" t="inlineStr">
        <is>
          <t>Clinician rated</t>
        </is>
      </c>
      <c r="H48" s="24" t="inlineStr">
        <is>
          <t>1 to 17 years</t>
        </is>
      </c>
      <c r="I48" s="24" t="n">
        <v>3</v>
      </c>
      <c r="J48" s="24" t="inlineStr">
        <is>
          <t>Environment, Social Support, Parental Capabilities, Family Interactions, Family Safety, Child Well-Being</t>
        </is>
      </c>
      <c r="K48" s="24" t="inlineStr">
        <is>
          <t>Bidirectional 6 point, -3 serious stressor to +2 clear strength</t>
        </is>
      </c>
      <c r="L48" s="24" t="inlineStr">
        <is>
          <t>Not stated on page.</t>
        </is>
      </c>
      <c r="M48" s="24" t="inlineStr">
        <is>
          <t>Berry et al. (2003)</t>
        </is>
      </c>
      <c r="N48" s="24" t="inlineStr">
        <is>
          <t>None stated on page.</t>
        </is>
      </c>
      <c r="O48" s="24" t="inlineStr">
        <is>
          <t>not stated</t>
        </is>
      </c>
      <c r="P48" s="24" t="inlineStr">
        <is>
          <t>Out of scope for the hub (child, adolescent, sport, eating, clinician or service feedback)</t>
        </is>
      </c>
      <c r="Q48" s="24" t="inlineStr"/>
      <c r="R48" s="24" t="inlineStr"/>
      <c r="S48" s="24" t="inlineStr">
        <is>
          <t>Scoring and Interpretation, Psychometrics and Professional Access sections render client side and were empty in the fetched text. No instrument specific licence statement on page.</t>
        </is>
      </c>
      <c r="T48" s="24" t="inlineStr">
        <is>
          <t>https://novopsych.com/assessments/child/strengths-and-stressors/</t>
        </is>
      </c>
    </row>
    <row r="49">
      <c r="A49" s="24" t="n">
        <v>48</v>
      </c>
      <c r="B49" s="24" t="inlineStr">
        <is>
          <t>UPPS-P Impulsive Behavior Scale</t>
        </is>
      </c>
      <c r="C49" s="24" t="inlineStr">
        <is>
          <t>UPPS-P</t>
        </is>
      </c>
      <c r="D49" s="24" t="inlineStr">
        <is>
          <t>ADHD, Adolescent, Formulation</t>
        </is>
      </c>
      <c r="E49" s="24" t="inlineStr">
        <is>
          <t>Multidimensional impulsive personality traits.</t>
        </is>
      </c>
      <c r="F49" s="24" t="n">
        <v>59</v>
      </c>
      <c r="G49" s="24" t="inlineStr">
        <is>
          <t>Self report</t>
        </is>
      </c>
      <c r="H49" s="24" t="inlineStr">
        <is>
          <t>13+</t>
        </is>
      </c>
      <c r="I49" s="24" t="n">
        <v>10</v>
      </c>
      <c r="J49" s="24" t="inlineStr">
        <is>
          <t>Negative Urgency, Positive Urgency, Lack of Premeditation, Lack of Perseverance, Sensation Seeking</t>
        </is>
      </c>
      <c r="K49" s="24" t="inlineStr">
        <is>
          <t>Not stated on page.</t>
        </is>
      </c>
      <c r="L49" s="24" t="inlineStr">
        <is>
          <t>Not stated on page.</t>
        </is>
      </c>
      <c r="M49" s="24" t="inlineStr">
        <is>
          <t>Cyders et al. (2007); original UPPS Whiteside &amp; Lynam (2001).</t>
        </is>
      </c>
      <c r="N49" s="24" t="inlineStr">
        <is>
          <t>None stated on page.</t>
        </is>
      </c>
      <c r="O49" s="24" t="inlineStr">
        <is>
          <t>not stated</t>
        </is>
      </c>
      <c r="P49" s="24" t="inlineStr">
        <is>
          <t>Out of scope for the hub (child, adolescent, sport, eating, clinician or service feedback)</t>
        </is>
      </c>
      <c r="Q49" s="24" t="inlineStr"/>
      <c r="R49" s="24" t="inlineStr"/>
      <c r="S49" s="24" t="inlineStr">
        <is>
          <t>Scoring and Interpretation, Psychometrics and Professional Access sections render client side and were empty in the fetched text. No instrument specific licence statement on page.</t>
        </is>
      </c>
      <c r="T49" s="24" t="inlineStr">
        <is>
          <t>https://novopsych.com/adhd/upps-p-impulsive-behavior-scale-upps-p/</t>
        </is>
      </c>
    </row>
    <row r="50">
      <c r="A50" s="24" t="n">
        <v>49</v>
      </c>
      <c r="B50" s="24" t="inlineStr">
        <is>
          <t>Protective Factors of Resilience Scale</t>
        </is>
      </c>
      <c r="C50" s="24" t="inlineStr">
        <is>
          <t>PFRS</t>
        </is>
      </c>
      <c r="D50" s="24" t="inlineStr">
        <is>
          <t>Formulation</t>
        </is>
      </c>
      <c r="E50" s="24" t="inlineStr">
        <is>
          <t>Personal, family and peer protective factors supporting resilience.</t>
        </is>
      </c>
      <c r="F50" s="24" t="n">
        <v>15</v>
      </c>
      <c r="G50" s="24" t="inlineStr">
        <is>
          <t>Self report</t>
        </is>
      </c>
      <c r="H50" s="24" t="inlineStr">
        <is>
          <t>16+</t>
        </is>
      </c>
      <c r="I50" s="24" t="n">
        <v>2</v>
      </c>
      <c r="J50" s="24" t="inlineStr">
        <is>
          <t>Personal Resources, Family Resources, Peer Resources</t>
        </is>
      </c>
      <c r="K50" s="24" t="inlineStr">
        <is>
          <t>Not stated on page.</t>
        </is>
      </c>
      <c r="L50" s="24" t="inlineStr">
        <is>
          <t>Method not stated. Percentile interpretation: top 30 percent indicates greater resources, bottom 30 percent indicates areas to build; no numeric cut offs.</t>
        </is>
      </c>
      <c r="M50" s="24" t="inlineStr">
        <is>
          <t>Harms et al. (2017)</t>
        </is>
      </c>
      <c r="N50" s="24" t="inlineStr">
        <is>
          <t>None stated on page.</t>
        </is>
      </c>
      <c r="O50" s="24" t="inlineStr">
        <is>
          <t>not stated</t>
        </is>
      </c>
      <c r="P50" s="24" t="inlineStr">
        <is>
          <t>Shortlist: coaching and wellbeing (client facing possible)</t>
        </is>
      </c>
      <c r="Q50" s="24" t="inlineStr"/>
      <c r="R50" s="24" t="inlineStr"/>
      <c r="S50" s="24" t="inlineStr">
        <is>
          <t>Scoring and Interpretation, Psychometrics and Professional Access sections render client side and were empty in the fetched text. No instrument specific licence statement on page.</t>
        </is>
      </c>
      <c r="T50" s="24" t="inlineStr">
        <is>
          <t>https://novopsych.com/assessments/formulation/protective-factors-of-resilience-scale/</t>
        </is>
      </c>
    </row>
    <row r="51">
      <c r="A51" s="24" t="n">
        <v>50</v>
      </c>
      <c r="B51" s="24" t="inlineStr">
        <is>
          <t>Brief Hierarchical Taxonomy of Psychopathology</t>
        </is>
      </c>
      <c r="C51" s="24" t="inlineStr">
        <is>
          <t>B-HiTOP</t>
        </is>
      </c>
      <c r="D51" s="24" t="inlineStr">
        <is>
          <t>Formulation</t>
        </is>
      </c>
      <c r="E51" s="24" t="inlineStr">
        <is>
          <t>Dimensional screening across the hierarchical spectra of psychopathology in adults.</t>
        </is>
      </c>
      <c r="F51" s="24" t="n">
        <v>45</v>
      </c>
      <c r="G51" s="24" t="inlineStr">
        <is>
          <t>Self report</t>
        </is>
      </c>
      <c r="H51" s="24" t="inlineStr">
        <is>
          <t>18+</t>
        </is>
      </c>
      <c r="I51" s="24" t="n">
        <v>8</v>
      </c>
      <c r="J51" s="24" t="inlineStr">
        <is>
          <t>Internalising, Somatoform, Detachment, Thought Disorder, Disinhibition, Antagonism, p-Factor, Externalising</t>
        </is>
      </c>
      <c r="K51" s="24" t="inlineStr">
        <is>
          <t>Not stated on page.</t>
        </is>
      </c>
      <c r="L51" s="24" t="inlineStr">
        <is>
          <t>Dimensional; higher scores indicate greater severity within each spectrum. Sum or mean not stated; no cut offs.</t>
        </is>
      </c>
      <c r="M51" s="24" t="inlineStr">
        <is>
          <t>HiTOP Consortium. (2025). B-HiTOP Overview. https://www.hitop-system.org/hitop-self-report-measures</t>
        </is>
      </c>
      <c r="N51" s="24" t="inlineStr">
        <is>
          <t>© 2026 Copyright – NovoPsych – All rights reserved (site footer). HiTOP model figure: "Taken from: https://www.hitop-system.org/current-model and licensed under CC BY 4.0."</t>
        </is>
      </c>
      <c r="O51" s="24" t="inlineStr">
        <is>
          <t>not stated</t>
        </is>
      </c>
      <c r="P51" s="24" t="inlineStr">
        <is>
          <t>Shortlist: screening or clinical (Sarah only if used)</t>
        </is>
      </c>
      <c r="Q51" s="24" t="inlineStr"/>
      <c r="R51" s="24" t="inlineStr"/>
      <c r="S51" s="24" t="inlineStr">
        <is>
          <t>CC BY 4.0 applies to the model figure only, not stated for the instrument. HiTOP self report measures are generally free from the consortium, but the page does not say so. Scoring and Interpretation, Psychometrics and Professional Access sections render client side and were empty in the fetched text. No instrument specific licence statement on page.</t>
        </is>
      </c>
      <c r="T51" s="24" t="inlineStr">
        <is>
          <t>https://novopsych.com/assessments/formulation/brief-hierarchical-taxonomy-of-psychopathology-b-hitop/</t>
        </is>
      </c>
    </row>
    <row r="52">
      <c r="A52" s="24" t="n">
        <v>51</v>
      </c>
      <c r="B52" s="24" t="inlineStr">
        <is>
          <t>Brief 2-Way Social Support Scale</t>
        </is>
      </c>
      <c r="C52" s="24" t="inlineStr">
        <is>
          <t>Brief 2-Way SSS</t>
        </is>
      </c>
      <c r="D52" s="24" t="inlineStr">
        <is>
          <t>Formulation</t>
        </is>
      </c>
      <c r="E52" s="24" t="inlineStr">
        <is>
          <t>Giving and receiving of emotional and instrumental social support.</t>
        </is>
      </c>
      <c r="F52" s="24" t="n">
        <v>12</v>
      </c>
      <c r="G52" s="24" t="inlineStr">
        <is>
          <t>Self report</t>
        </is>
      </c>
      <c r="H52" s="24" t="inlineStr">
        <is>
          <t>18+</t>
        </is>
      </c>
      <c r="I52" s="24" t="n">
        <v>2</v>
      </c>
      <c r="J52" s="24" t="inlineStr">
        <is>
          <t>Receiving Emotional Support, Receiving Instrumental Support, Giving Emotional Support, Giving Instrumental Support</t>
        </is>
      </c>
      <c r="K52" s="24" t="inlineStr">
        <is>
          <t>Not stated on page.</t>
        </is>
      </c>
      <c r="L52" s="24" t="inlineStr">
        <is>
          <t>Not stated on page.</t>
        </is>
      </c>
      <c r="M52" s="24" t="inlineStr">
        <is>
          <t>Obst, P., Shakespeare-Finch, J., Krosch, D. J., &amp; Rogers, E. J. (2019). SAGE Open Medicine, 7, 1 to 10. doi:10.1177/2050312119836020</t>
        </is>
      </c>
      <c r="N52" s="24" t="inlineStr">
        <is>
          <t>© 2026 Copyright – NovoPsych – All rights reserved (site footer only)</t>
        </is>
      </c>
      <c r="O52" s="24" t="inlineStr">
        <is>
          <t>not stated</t>
        </is>
      </c>
      <c r="P52" s="24" t="inlineStr">
        <is>
          <t>Shortlist: coaching and wellbeing (client facing possible)</t>
        </is>
      </c>
      <c r="Q52" s="24" t="inlineStr"/>
      <c r="R52" s="24" t="inlineStr"/>
      <c r="S52" s="24" t="inlineStr">
        <is>
          <t>PDF offered without stated licence. Scoring and Interpretation, Psychometrics and Professional Access sections render client side and were empty in the fetched text. No instrument specific licence statement on page.</t>
        </is>
      </c>
      <c r="T52" s="24" t="inlineStr">
        <is>
          <t>https://novopsych.com/assessments/formulation/brief-2-way-social-support-scale/</t>
        </is>
      </c>
    </row>
    <row r="53">
      <c r="A53" s="24" t="n">
        <v>52</v>
      </c>
      <c r="B53" s="24" t="inlineStr">
        <is>
          <t>Team Psychological Safety Scale</t>
        </is>
      </c>
      <c r="C53" s="24" t="inlineStr">
        <is>
          <t>TPS-7</t>
        </is>
      </c>
      <c r="D53" s="24" t="inlineStr">
        <is>
          <t>Sport</t>
        </is>
      </c>
      <c r="E53" s="24" t="inlineStr">
        <is>
          <t>Perceived psychological safety within teams, the belief that interpersonal risk taking is safe.</t>
        </is>
      </c>
      <c r="F53" s="24" t="n">
        <v>7</v>
      </c>
      <c r="G53" s="24" t="inlineStr">
        <is>
          <t>Self report</t>
        </is>
      </c>
      <c r="H53" s="24" t="inlineStr">
        <is>
          <t>18+</t>
        </is>
      </c>
      <c r="I53" s="24" t="n">
        <v>1</v>
      </c>
      <c r="J53" s="24" t="inlineStr"/>
      <c r="K53" s="24" t="inlineStr">
        <is>
          <t>Not stated on page.</t>
        </is>
      </c>
      <c r="L53" s="24" t="inlineStr">
        <is>
          <t>3 items reverse scored; percentile scores compared with elite athlete norms; higher is greater psychological safety. No cut offs.</t>
        </is>
      </c>
      <c r="M53" s="24" t="inlineStr">
        <is>
          <t>Edmondson, A. (1999). Administrative Science Quarterly, 44(2), 350 to 383.</t>
        </is>
      </c>
      <c r="N53" s="24" t="inlineStr">
        <is>
          <t>© 2026 Copyright – NovoPsych – All rights reserved (site footer only)</t>
        </is>
      </c>
      <c r="O53" s="24" t="inlineStr">
        <is>
          <t>not stated</t>
        </is>
      </c>
      <c r="P53" s="24" t="inlineStr">
        <is>
          <t>Out of scope for the hub (child, adolescent, sport, eating, clinician or service feedback)</t>
        </is>
      </c>
      <c r="Q53" s="24" t="inlineStr"/>
      <c r="R53" s="24" t="inlineStr"/>
      <c r="S53" s="24" t="inlineStr">
        <is>
          <t>Page lists Edmondson (1999) as developer. PDF offered without stated licence. Scoring and Interpretation, Psychometrics and Professional Access sections render client side and were empty in the fetched text. No instrument specific licence statement on page.</t>
        </is>
      </c>
      <c r="T53" s="24" t="inlineStr">
        <is>
          <t>https://novopsych.com/assessments/sport-assessments/team-psychological-safety-tps-7/</t>
        </is>
      </c>
    </row>
    <row r="54">
      <c r="A54" s="24" t="n">
        <v>53</v>
      </c>
      <c r="B54" s="24" t="inlineStr">
        <is>
          <t>Leadership Scale for Sports 15</t>
        </is>
      </c>
      <c r="C54" s="24" t="inlineStr">
        <is>
          <t>LSS-15</t>
        </is>
      </c>
      <c r="D54" s="24" t="inlineStr">
        <is>
          <t>Sport, Clinician self assessment</t>
        </is>
      </c>
      <c r="E54" s="24" t="inlineStr">
        <is>
          <t>Athletes' perceptions of their coach's leadership behaviours.</t>
        </is>
      </c>
      <c r="F54" s="24" t="n">
        <v>15</v>
      </c>
      <c r="G54" s="24" t="inlineStr">
        <is>
          <t>Self report (athlete rating coach)</t>
        </is>
      </c>
      <c r="H54" s="24" t="inlineStr">
        <is>
          <t>18+ (16+ at clinician discretion)</t>
        </is>
      </c>
      <c r="I54" s="24" t="n">
        <v>2</v>
      </c>
      <c r="J54" s="24" t="inlineStr">
        <is>
          <t>Training &amp; Instruction, Democratic Behaviour, Autocratic Behaviour, Social Support, Positive Feedback</t>
        </is>
      </c>
      <c r="K54" s="24" t="inlineStr">
        <is>
          <t>Not stated on page.</t>
        </is>
      </c>
      <c r="L54" s="24" t="inlineStr">
        <is>
          <t>Percentiles against normative data, 50th is average; higher is more positive except Autocratic Behaviour where lower is more positive. No cut offs.</t>
        </is>
      </c>
      <c r="M54" s="24" t="inlineStr">
        <is>
          <t>Teques, P., Silva, C., Rosado, A., Calmeiro, L., &amp; Serpa, S. (2020). Psychological Reports. doi:10.1177/0033294120953560; framework Chelladurai &amp; Saleh (1980).</t>
        </is>
      </c>
      <c r="N54" s="24" t="inlineStr">
        <is>
          <t>© 2026 Copyright – NovoPsych – All rights reserved (site footer only)</t>
        </is>
      </c>
      <c r="O54" s="24" t="inlineStr">
        <is>
          <t>not stated</t>
        </is>
      </c>
      <c r="P54" s="24" t="inlineStr">
        <is>
          <t>Out of scope for the hub (child, adolescent, sport, eating, clinician or service feedback)</t>
        </is>
      </c>
      <c r="Q54" s="24" t="inlineStr"/>
      <c r="R54" s="24" t="inlineStr"/>
      <c r="S54" s="24" t="inlineStr">
        <is>
          <t>Image alt text refers to LSS-13; title and body say LSS-15. Scoring and Interpretation, Psychometrics and Professional Access sections render client side and were empty in the fetched text. No instrument specific licence statement on page.</t>
        </is>
      </c>
      <c r="T54" s="24" t="inlineStr">
        <is>
          <t>https://novopsych.com/assessments/sport-assessments/leadership-scale-for-sports-lss-15/</t>
        </is>
      </c>
    </row>
    <row r="55">
      <c r="A55" s="24" t="n">
        <v>54</v>
      </c>
      <c r="B55" s="24" t="inlineStr">
        <is>
          <t>Screen for Child Anxiety Related Emotional Disorders, Parent Version</t>
        </is>
      </c>
      <c r="C55" s="24" t="inlineStr">
        <is>
          <t>SCARED-P</t>
        </is>
      </c>
      <c r="D55" s="24" t="inlineStr">
        <is>
          <t>Child, Adolescent, Anxiety</t>
        </is>
      </c>
      <c r="E55" s="24" t="inlineStr">
        <is>
          <t>Parent reported anxiety disorder symptoms in children and adolescents.</t>
        </is>
      </c>
      <c r="F55" s="24" t="n"/>
      <c r="G55" s="24" t="inlineStr">
        <is>
          <t>Parent report</t>
        </is>
      </c>
      <c r="H55" s="24" t="inlineStr">
        <is>
          <t>8 to 18 years (child); metadata box lists 18+ for respondent</t>
        </is>
      </c>
      <c r="I55" s="24" t="n">
        <v>4</v>
      </c>
      <c r="J55" s="24" t="inlineStr">
        <is>
          <t>Somatic/Panic, General Anxiety, Separation Anxiety, Social Phobia, School Avoidance</t>
        </is>
      </c>
      <c r="K55" s="24" t="inlineStr">
        <is>
          <t>Not stated on page.</t>
        </is>
      </c>
      <c r="L55" s="24" t="inlineStr">
        <is>
          <t>Reported as standardised scores and percentiles; method and cut offs not in fetched text.</t>
        </is>
      </c>
      <c r="M55" s="24" t="inlineStr">
        <is>
          <t>Birmaher, B., et al. (1997). Journal of the American Academy of Child and Adolescent Psychiatry, 36(4), 545 to 553.</t>
        </is>
      </c>
      <c r="N55" s="24" t="inlineStr">
        <is>
          <t>© 2026 Copyright – NovoPsych – All rights reserved (site footer only)</t>
        </is>
      </c>
      <c r="O55" s="24" t="inlineStr">
        <is>
          <t>not stated</t>
        </is>
      </c>
      <c r="P55" s="24" t="inlineStr">
        <is>
          <t>Out of scope for the hub (child, adolescent, sport, eating, clinician or service feedback)</t>
        </is>
      </c>
      <c r="Q55" s="24" t="inlineStr"/>
      <c r="R55" s="24" t="inlineStr"/>
      <c r="S55" s="24" t="inlineStr">
        <is>
          <t>Item count not in fetched text (SCARED has 41 items). Subscales taken from the SCARED Child page; parent page lists only disorder areas. PDF offered without stated licence. Scoring and Interpretation, Psychometrics and Professional Access sections render client side and were empty in the fetched text. No instrument specific licence statement on page.</t>
        </is>
      </c>
      <c r="T55" s="24" t="inlineStr">
        <is>
          <t>https://novopsych.com/assessments/child/screen-for-child-anxiety-related-emotional-disorders-parent-version-scared-parent/</t>
        </is>
      </c>
    </row>
    <row r="56">
      <c r="A56" s="24" t="n">
        <v>55</v>
      </c>
      <c r="B56" s="24" t="inlineStr">
        <is>
          <t>Screen for Child Anxiety Related Emotional Disorders, Child Version</t>
        </is>
      </c>
      <c r="C56" s="24" t="inlineStr">
        <is>
          <t>SCARED-C</t>
        </is>
      </c>
      <c r="D56" s="24" t="inlineStr">
        <is>
          <t>Child, Adolescent, Anxiety</t>
        </is>
      </c>
      <c r="E56" s="24" t="inlineStr">
        <is>
          <t>Child self reported anxiety disorder symptoms across DSM anxiety categories.</t>
        </is>
      </c>
      <c r="F56" s="24" t="n"/>
      <c r="G56" s="24" t="inlineStr">
        <is>
          <t>Child self report</t>
        </is>
      </c>
      <c r="H56" s="24" t="inlineStr">
        <is>
          <t>8 to 18 years</t>
        </is>
      </c>
      <c r="I56" s="24" t="n">
        <v>7</v>
      </c>
      <c r="J56" s="24" t="inlineStr">
        <is>
          <t>Somatic/Panic, General Anxiety, Separation Anxiety, Social Phobia, School Avoidance</t>
        </is>
      </c>
      <c r="K56" s="24" t="inlineStr">
        <is>
          <t>Not stated on page.</t>
        </is>
      </c>
      <c r="L56" s="24" t="inlineStr">
        <is>
          <t>Total score with overall clinical cut off of 25; percentiles against anxious clinical and community samples, community scores above 95th percentile indicate clinical concern.</t>
        </is>
      </c>
      <c r="M56" s="24" t="inlineStr">
        <is>
          <t>Birmaher, B., et al. (1997). Journal of the American Academy of Child and Adolescent Psychiatry, 36(4), 545 to 553. doi:10.1097/00004583-199704000-00018</t>
        </is>
      </c>
      <c r="N56" s="24" t="inlineStr">
        <is>
          <t>© 2026 Copyright – NovoPsych – All rights reserved (site footer only)</t>
        </is>
      </c>
      <c r="O56" s="24" t="inlineStr">
        <is>
          <t>not stated</t>
        </is>
      </c>
      <c r="P56" s="24" t="inlineStr">
        <is>
          <t>Out of scope for the hub (child, adolescent, sport, eating, clinician or service feedback)</t>
        </is>
      </c>
      <c r="Q56" s="24" t="inlineStr"/>
      <c r="R56" s="24" t="inlineStr"/>
      <c r="S56" s="24" t="inlineStr">
        <is>
          <t>Item count not in fetched text (SCARED has 41 items). Scoring and Interpretation, Psychometrics and Professional Access sections render client side and were empty in the fetched text. No instrument specific licence statement on page.</t>
        </is>
      </c>
      <c r="T56" s="24" t="inlineStr">
        <is>
          <t>https://novopsych.com/assessments/child/screen-for-child-anxiety-related-emotional-disorders-child-version-scared-child/</t>
        </is>
      </c>
    </row>
    <row r="57">
      <c r="A57" s="24" t="n">
        <v>56</v>
      </c>
      <c r="B57" s="24" t="inlineStr">
        <is>
          <t>World Health Organization Quality of Life, Brief Version</t>
        </is>
      </c>
      <c r="C57" s="24" t="inlineStr">
        <is>
          <t>WHOQOL-BREF</t>
        </is>
      </c>
      <c r="D57" s="24" t="inlineStr">
        <is>
          <t>Formulation, Health, Well-being</t>
        </is>
      </c>
      <c r="E57" s="24" t="inlineStr">
        <is>
          <t>Self perceived quality of life across physical, psychological, social and environmental domains.</t>
        </is>
      </c>
      <c r="F57" s="24" t="n">
        <v>26</v>
      </c>
      <c r="G57" s="24" t="inlineStr">
        <is>
          <t>Self report</t>
        </is>
      </c>
      <c r="H57" s="24" t="inlineStr">
        <is>
          <t>18+</t>
        </is>
      </c>
      <c r="I57" s="24" t="n">
        <v>4</v>
      </c>
      <c r="J57" s="24" t="inlineStr">
        <is>
          <t>Physical Health, Psychological, Social Relationships, Environment</t>
        </is>
      </c>
      <c r="K57" s="24" t="inlineStr">
        <is>
          <t>Not stated on page; 2 week reference period.</t>
        </is>
      </c>
      <c r="L57" s="24" t="inlineStr">
        <is>
          <t>Domain scores transformed to 0 to 100, higher is better quality of life; no formal cut offs, scores below 30th percentile in a domain may warrant attention.</t>
        </is>
      </c>
      <c r="M57" s="24" t="inlineStr">
        <is>
          <t>The WHOQOL Group. (1994). In Orley &amp; Kuyken (eds) Quality of Life Assessment: International Perspectives. Springer. doi:10.1007/978-3-642-79123-9_4</t>
        </is>
      </c>
      <c r="N57" s="24" t="inlineStr">
        <is>
          <t>© 2026 Copyright – NovoPsych – All rights reserved (site footer only)</t>
        </is>
      </c>
      <c r="O57" s="24" t="inlineStr">
        <is>
          <t>not stated</t>
        </is>
      </c>
      <c r="P57" s="24" t="inlineStr">
        <is>
          <t>Shortlist: coaching and wellbeing (client facing possible)</t>
        </is>
      </c>
      <c r="Q57" s="24" t="inlineStr"/>
      <c r="R57" s="24" t="inlineStr"/>
      <c r="S57" s="24" t="inlineStr">
        <is>
          <t>WHO holds copyright on the WHOQOL-BREF and requires registration; the page does not state this. Scoring and Interpretation, Psychometrics and Professional Access sections render client side and were empty in the fetched text. No instrument specific licence statement on page.</t>
        </is>
      </c>
      <c r="T57" s="24" t="inlineStr">
        <is>
          <t>https://novopsych.com/assessments/formulation/who-quality-of-life-brief-whoqol-bref/</t>
        </is>
      </c>
    </row>
    <row r="58">
      <c r="A58" s="24" t="n">
        <v>57</v>
      </c>
      <c r="B58" s="24" t="inlineStr">
        <is>
          <t>Young Person's Clinical Outcomes in Routine Evaluation</t>
        </is>
      </c>
      <c r="C58" s="24" t="inlineStr">
        <is>
          <t>YP-CORE</t>
        </is>
      </c>
      <c r="D58" s="24" t="inlineStr">
        <is>
          <t>Outcome monitoring, Adolescent, Child</t>
        </is>
      </c>
      <c r="E58" s="24" t="inlineStr">
        <is>
          <t>Psychological distress and wellbeing in young people for routine outcome monitoring.</t>
        </is>
      </c>
      <c r="F58" s="24" t="n">
        <v>10</v>
      </c>
      <c r="G58" s="24" t="inlineStr">
        <is>
          <t>Self report</t>
        </is>
      </c>
      <c r="H58" s="24" t="inlineStr">
        <is>
          <t>11 to 16 years</t>
        </is>
      </c>
      <c r="I58" s="24" t="n">
        <v>2</v>
      </c>
      <c r="J58" s="24" t="inlineStr"/>
      <c r="K58" s="24" t="inlineStr">
        <is>
          <t>Not stated on page; past week reference period.</t>
        </is>
      </c>
      <c r="L58" s="24" t="inlineStr">
        <is>
          <t>Single total score; method, direction and cut offs not in fetched text.</t>
        </is>
      </c>
      <c r="M58" s="24" t="inlineStr">
        <is>
          <t>Twigg, E., Barkham, M., Bewick, B. M., Mulhern, B., Connell, J., &amp; Cooper, M. (2009). Counselling and Psychotherapy Research, 9(3), 160 to 168. doi:10.1080/14733140902979722</t>
        </is>
      </c>
      <c r="N58" s="24" t="inlineStr">
        <is>
          <t>"The copyright holder for the YP-CORE is the CORE System Trust." FAQ: "All CORE measures are the copyright of the CORE System Trust."</t>
        </is>
      </c>
      <c r="O58" s="24" t="inlineStr">
        <is>
          <t>not stated</t>
        </is>
      </c>
      <c r="P58" s="24" t="inlineStr">
        <is>
          <t>Out of scope for the hub (child, adolescent, sport, eating, clinician or service feedback)</t>
        </is>
      </c>
      <c r="Q58" s="24" t="inlineStr"/>
      <c r="R58" s="24" t="inlineStr"/>
      <c r="S58" s="24" t="inlineStr">
        <is>
          <t>Copyright holder named but no permission or free use statement. CORE System Trust measures are generally free under a CC licence, but the page does not say so. Scoring and Interpretation, Psychometrics and Professional Access sections render client side and were empty in the fetched text. No instrument specific licence statement on page.</t>
        </is>
      </c>
      <c r="T58" s="24" t="inlineStr">
        <is>
          <t>https://novopsych.com/assessments/outcome-monitoring/young-persons-core-yp-core/</t>
        </is>
      </c>
    </row>
    <row r="59">
      <c r="A59" s="24" t="n">
        <v>58</v>
      </c>
      <c r="B59" s="24" t="inlineStr">
        <is>
          <t>Thought Action Fusion Scale Revised</t>
        </is>
      </c>
      <c r="C59" s="24" t="inlineStr">
        <is>
          <t>TAFS-R</t>
        </is>
      </c>
      <c r="D59" s="24" t="inlineStr">
        <is>
          <t>Formulation, OCD</t>
        </is>
      </c>
      <c r="E59" s="24" t="inlineStr">
        <is>
          <t>Thought action fusion beliefs, a cognitive distortion relevant to OCD.</t>
        </is>
      </c>
      <c r="F59" s="24" t="n">
        <v>19</v>
      </c>
      <c r="G59" s="24" t="inlineStr">
        <is>
          <t>Self report</t>
        </is>
      </c>
      <c r="H59" s="24" t="inlineStr">
        <is>
          <t>18+</t>
        </is>
      </c>
      <c r="I59" s="24" t="n">
        <v>3</v>
      </c>
      <c r="J59" s="24" t="inlineStr">
        <is>
          <t>TAF-Moral (12 items), TAF-Likelihood-Other (4 items), TAF-Likelihood-Self (3 items)</t>
        </is>
      </c>
      <c r="K59" s="24" t="inlineStr">
        <is>
          <t>Not stated on page.</t>
        </is>
      </c>
      <c r="L59" s="24" t="inlineStr">
        <is>
          <t>Method not stated; elevated subscale scores flagged as treatment targets. No cut offs.</t>
        </is>
      </c>
      <c r="M59" s="24" t="inlineStr">
        <is>
          <t>Shafran, R., Thordarson, D. S., &amp; Rachman, S. (1996). Journal of Anxiety Disorders, 10, 379 to 391. doi:10.1016/0887-6185(96)00018-7</t>
        </is>
      </c>
      <c r="N59" s="24" t="inlineStr">
        <is>
          <t>© 2026 Copyright – NovoPsych – All rights reserved (site footer only)</t>
        </is>
      </c>
      <c r="O59" s="24" t="inlineStr">
        <is>
          <t>not stated</t>
        </is>
      </c>
      <c r="P59" s="24" t="inlineStr">
        <is>
          <t>Shortlist: coaching and wellbeing (client facing possible)</t>
        </is>
      </c>
      <c r="Q59" s="24" t="inlineStr"/>
      <c r="R59" s="24" t="inlineStr"/>
      <c r="S59" s="24" t="inlineStr">
        <is>
          <t>PDF offered without stated licence. Scoring and Interpretation, Psychometrics and Professional Access sections render client side and were empty in the fetched text. No instrument specific licence statement on page.</t>
        </is>
      </c>
      <c r="T59" s="24" t="inlineStr">
        <is>
          <t>https://novopsych.com/assessments/formulation/thought-action-fusion-scale-revised-tafs-r/</t>
        </is>
      </c>
    </row>
    <row r="60">
      <c r="A60" s="24" t="n">
        <v>59</v>
      </c>
      <c r="B60" s="24" t="inlineStr">
        <is>
          <t>Athletic Coping Skills Inventory 28</t>
        </is>
      </c>
      <c r="C60" s="24" t="inlineStr">
        <is>
          <t>ACSI-28</t>
        </is>
      </c>
      <c r="D60" s="24" t="inlineStr">
        <is>
          <t>Sport</t>
        </is>
      </c>
      <c r="E60" s="24" t="inlineStr">
        <is>
          <t>Psychological coping skills used by athletes in competitive sport.</t>
        </is>
      </c>
      <c r="F60" s="24" t="n">
        <v>28</v>
      </c>
      <c r="G60" s="24" t="inlineStr">
        <is>
          <t>Self report</t>
        </is>
      </c>
      <c r="H60" s="24" t="inlineStr">
        <is>
          <t>14+</t>
        </is>
      </c>
      <c r="I60" s="24" t="n">
        <v>5</v>
      </c>
      <c r="J60" s="24" t="inlineStr">
        <is>
          <t>Concentration, Coping with Adversity (only 2 of 7 subscales named in fetched text)</t>
        </is>
      </c>
      <c r="K60" s="24" t="inlineStr">
        <is>
          <t>Not stated on page.</t>
        </is>
      </c>
      <c r="L60" s="24" t="inlineStr">
        <is>
          <t>Higher scores indicate better coping skills; balance across subscales emphasised over total. Method and cut offs not stated.</t>
        </is>
      </c>
      <c r="M60" s="24" t="inlineStr">
        <is>
          <t>Smith et al. (1995)</t>
        </is>
      </c>
      <c r="N60" s="24" t="inlineStr">
        <is>
          <t>None stated on page.</t>
        </is>
      </c>
      <c r="O60" s="24" t="inlineStr">
        <is>
          <t>not stated</t>
        </is>
      </c>
      <c r="P60" s="24" t="inlineStr">
        <is>
          <t>Out of scope for the hub (child, adolescent, sport, eating, clinician or service feedback)</t>
        </is>
      </c>
      <c r="Q60" s="24" t="inlineStr"/>
      <c r="R60" s="24" t="inlineStr"/>
      <c r="S60" s="24" t="inlineStr">
        <is>
          <t>Full subscale list not in fetched text. Scoring and Interpretation, Psychometrics and Professional Access sections render client side and were empty in the fetched text. No instrument specific licence statement on page.</t>
        </is>
      </c>
      <c r="T60" s="24" t="inlineStr">
        <is>
          <t>https://novopsych.com/assessments/sport-assessments/athletic-coping-skills-inventory-acsi-28/</t>
        </is>
      </c>
    </row>
    <row r="61">
      <c r="A61" s="24" t="n">
        <v>60</v>
      </c>
      <c r="B61" s="24" t="inlineStr">
        <is>
          <t>Wender Utah Rating Scale, 25 item version</t>
        </is>
      </c>
      <c r="C61" s="24" t="inlineStr">
        <is>
          <t>WURS-25</t>
        </is>
      </c>
      <c r="D61" s="24" t="inlineStr">
        <is>
          <t>ADHD, Diagnosis, Formulation</t>
        </is>
      </c>
      <c r="E61" s="24" t="inlineStr">
        <is>
          <t>Retrospective self report of childhood ADHD symptoms in adults.</t>
        </is>
      </c>
      <c r="F61" s="24" t="n">
        <v>25</v>
      </c>
      <c r="G61" s="24" t="inlineStr">
        <is>
          <t>Self report (retrospective)</t>
        </is>
      </c>
      <c r="H61" s="24" t="inlineStr">
        <is>
          <t>18+</t>
        </is>
      </c>
      <c r="I61" s="24" t="n">
        <v>4</v>
      </c>
      <c r="J61" s="24" t="inlineStr">
        <is>
          <t>ADHD factor, Disruptive mood/behaviour factor, Anxiety/dysphoria factor</t>
        </is>
      </c>
      <c r="K61" s="24" t="inlineStr">
        <is>
          <t>Not stated on page.</t>
        </is>
      </c>
      <c r="L61" s="24" t="inlineStr">
        <is>
          <t>NovoPsych scoring uses logistic regression fitted values to estimate probability of ADHD versus non clinical and versus depression/anxiety; no simple sum cut off stated.</t>
        </is>
      </c>
      <c r="M61" s="24" t="inlineStr">
        <is>
          <t>Ward, M. F., Wender, P. H., &amp; Reimherr, F. W. (1993). American Journal of Psychiatry, 150(6), 885 to 890. doi:10.1176/ajp.150.6.885</t>
        </is>
      </c>
      <c r="N61" s="24" t="inlineStr">
        <is>
          <t>© 2026 Copyright – NovoPsych – All rights reserved (site footer only)</t>
        </is>
      </c>
      <c r="O61" s="24" t="inlineStr">
        <is>
          <t>not stated</t>
        </is>
      </c>
      <c r="P61" s="24" t="inlineStr">
        <is>
          <t>Shortlist: coaching and wellbeing (client facing possible)</t>
        </is>
      </c>
      <c r="Q61" s="24" t="inlineStr"/>
      <c r="R61" s="24" t="inlineStr"/>
      <c r="S61" s="24" t="inlineStr">
        <is>
          <t>Scoring and Interpretation, Psychometrics and Professional Access sections render client side and were empty in the fetched text. No instrument specific licence statement on page.</t>
        </is>
      </c>
      <c r="T61" s="24" t="inlineStr">
        <is>
          <t>https://novopsych.com/assessments/diagnosis/wender-utah-rating-scale-25-item-version-wurs-25/</t>
        </is>
      </c>
    </row>
    <row r="62">
      <c r="A62" s="24" t="n">
        <v>61</v>
      </c>
      <c r="B62" s="24" t="inlineStr">
        <is>
          <t>Personality Inventory for DSM-5 Short Form</t>
        </is>
      </c>
      <c r="C62" s="24" t="inlineStr">
        <is>
          <t>PID-5-SF</t>
        </is>
      </c>
      <c r="D62" s="24" t="inlineStr">
        <is>
          <t>Diagnosis, Formulation, Personality</t>
        </is>
      </c>
      <c r="E62" s="24" t="inlineStr">
        <is>
          <t>Maladaptive personality traits across 5 domains and 25 facets of the DSM-5 Alternative Model of Personality Disorders.</t>
        </is>
      </c>
      <c r="F62" s="24" t="n">
        <v>100</v>
      </c>
      <c r="G62" s="24" t="inlineStr">
        <is>
          <t>Self report</t>
        </is>
      </c>
      <c r="H62" s="24" t="inlineStr">
        <is>
          <t>18+</t>
        </is>
      </c>
      <c r="I62" s="24" t="n">
        <v>16</v>
      </c>
      <c r="J62" s="24" t="inlineStr">
        <is>
          <t>Negative Affectivity, Detachment, Antagonism, Disinhibition, Psychoticism</t>
        </is>
      </c>
      <c r="K62" s="24" t="inlineStr">
        <is>
          <t>Not stated on page</t>
        </is>
      </c>
      <c r="L62" s="24" t="inlineStr">
        <is>
          <t>Not stated on page. Page says it yields domain, facet and AMPD composite scores, with higher elevations indicating more maladaptive traits.</t>
        </is>
      </c>
      <c r="M62" s="24" t="inlineStr">
        <is>
          <t>Maples, J. L., et al. (2015). Cited on page without full reference.</t>
        </is>
      </c>
      <c r="N62" s="24" t="inlineStr">
        <is>
          <t>Site footer only: "© 2026 Copyright – NovoPsych – All rights reserved". No instrument specific statement on the page.</t>
        </is>
      </c>
      <c r="O62" s="24" t="inlineStr">
        <is>
          <t>not stated</t>
        </is>
      </c>
      <c r="P62" s="24" t="inlineStr">
        <is>
          <t>Shortlist: screening or clinical (Sarah only if used)</t>
        </is>
      </c>
      <c r="Q62" s="24" t="inlineStr"/>
      <c r="R62" s="24" t="inlineStr"/>
      <c r="S62" s="24" t="inlineStr">
        <is>
          <t>Scoring and Interpretation and Psychometric Properties sections are gated behind Professional Access login and not visible to an unauthenticated fetch. Page also mentions an adaptive version PID-5-A averaging about 66 items. Intended for qualified professionals.</t>
        </is>
      </c>
      <c r="T62" s="24" t="inlineStr">
        <is>
          <t>https://novopsych.com/assessments/diagnosis/personality-inventory-for-dsm-5-short-form-pid-5-sf/</t>
        </is>
      </c>
    </row>
    <row r="63">
      <c r="A63" s="24" t="n">
        <v>62</v>
      </c>
      <c r="B63" s="24" t="inlineStr">
        <is>
          <t>Child Dissociative Checklist</t>
        </is>
      </c>
      <c r="C63" s="24" t="inlineStr">
        <is>
          <t>CDC</t>
        </is>
      </c>
      <c r="D63" s="24" t="inlineStr">
        <is>
          <t>Child, Trauma</t>
        </is>
      </c>
      <c r="E63" s="24" t="inlineStr">
        <is>
          <t>Screening measure of dissociative symptoms in children, completed by an adult observer.</t>
        </is>
      </c>
      <c r="F63" s="24" t="n">
        <v>20</v>
      </c>
      <c r="G63" s="24" t="inlineStr">
        <is>
          <t>Observer report (parent or carer)</t>
        </is>
      </c>
      <c r="H63" s="24" t="inlineStr">
        <is>
          <t>5 to 12 years</t>
        </is>
      </c>
      <c r="I63" s="24" t="n">
        <v>4</v>
      </c>
      <c r="J63" s="24" t="inlineStr"/>
      <c r="K63" s="24" t="inlineStr">
        <is>
          <t>Not stated on page</t>
        </is>
      </c>
      <c r="L63" s="24" t="inlineStr">
        <is>
          <t>Not stated on page. Image alt text references a dissociative disorder screening cut off and a normative percentile chart, values not shown.</t>
        </is>
      </c>
      <c r="M63" s="24" t="inlineStr">
        <is>
          <t>Putnam, F. W., Helmers, K., &amp; Trickett, P. K. (1993). Development, reliability, and validity of a child dissociation scale. Child Abuse &amp; Neglect, 17(6), 731-741.</t>
        </is>
      </c>
      <c r="N63" s="24" t="inlineStr">
        <is>
          <t>Site footer only: "© 2026 Copyright – NovoPsych – All rights reserved". No instrument specific statement on the page.</t>
        </is>
      </c>
      <c r="O63" s="24" t="inlineStr">
        <is>
          <t>not stated</t>
        </is>
      </c>
      <c r="P63" s="24" t="inlineStr">
        <is>
          <t>Out of scope for the hub (child, adolescent, sport, eating, clinician or service feedback)</t>
        </is>
      </c>
      <c r="Q63" s="24" t="inlineStr"/>
      <c r="R63" s="24" t="inlineStr"/>
      <c r="S63" s="24" t="inlineStr">
        <is>
          <t>Scoring and Interpretation and Psychometric Properties sections are gated behind Professional Access login and not visible to an unauthenticated fetch.</t>
        </is>
      </c>
      <c r="T63" s="24" t="inlineStr">
        <is>
          <t>https://novopsych.com/assessments/child/child-dissociative-checklist-scale-cdc/</t>
        </is>
      </c>
    </row>
    <row r="64">
      <c r="A64" s="24" t="n">
        <v>63</v>
      </c>
      <c r="B64" s="24" t="inlineStr">
        <is>
          <t>Trauma Recovery Measure</t>
        </is>
      </c>
      <c r="C64" s="24" t="inlineStr">
        <is>
          <t>TRM</t>
        </is>
      </c>
      <c r="D64" s="24" t="inlineStr">
        <is>
          <t>Outcome monitoring, Trauma</t>
        </is>
      </c>
      <c r="E64" s="24" t="inlineStr">
        <is>
          <t>Psychological recovery in adults following trauma exposure, for outcome monitoring.</t>
        </is>
      </c>
      <c r="F64" s="24" t="n">
        <v>15</v>
      </c>
      <c r="G64" s="24" t="inlineStr">
        <is>
          <t>Self report</t>
        </is>
      </c>
      <c r="H64" s="24" t="inlineStr">
        <is>
          <t>18+</t>
        </is>
      </c>
      <c r="I64" s="24" t="n">
        <v>3</v>
      </c>
      <c r="J64" s="24" t="inlineStr"/>
      <c r="K64" s="24" t="inlineStr">
        <is>
          <t>Not stated on page</t>
        </is>
      </c>
      <c r="L64" s="24" t="inlineStr">
        <is>
          <t>Not stated on page.</t>
        </is>
      </c>
      <c r="M64" s="24" t="inlineStr">
        <is>
          <t>Smith, S. (2022). The cognitive path to trauma recovery. Doctoral thesis, Bond University.</t>
        </is>
      </c>
      <c r="N64" s="24" t="inlineStr">
        <is>
          <t>Site footer only: "© 2026 Copyright – NovoPsych – All rights reserved". No instrument specific statement on the page.</t>
        </is>
      </c>
      <c r="O64" s="24" t="inlineStr">
        <is>
          <t>not stated</t>
        </is>
      </c>
      <c r="P64" s="24" t="inlineStr">
        <is>
          <t>Shortlist: screening or clinical (Sarah only if used)</t>
        </is>
      </c>
      <c r="Q64" s="24" t="inlineStr"/>
      <c r="R64" s="24" t="inlineStr"/>
      <c r="S64" s="24" t="inlineStr">
        <is>
          <t>Scoring and Interpretation and Psychometric Properties sections are gated behind Professional Access login and not visible to an unauthenticated fetch. Developer citation is a doctoral thesis, not a journal article.</t>
        </is>
      </c>
      <c r="T64" s="24" t="inlineStr">
        <is>
          <t>https://novopsych.com/assessments/outcome-monitoring/trauma-recovery-measure-trm/</t>
        </is>
      </c>
    </row>
    <row r="65">
      <c r="A65" s="24" t="n">
        <v>64</v>
      </c>
      <c r="B65" s="24" t="inlineStr">
        <is>
          <t>Zung Self-Rating Depression Scale</t>
        </is>
      </c>
      <c r="C65" s="24" t="inlineStr">
        <is>
          <t>SDS (also ZSDS)</t>
        </is>
      </c>
      <c r="D65" s="24" t="inlineStr">
        <is>
          <t>Adolescent, Depression, Outcome monitoring</t>
        </is>
      </c>
      <c r="E65" s="24" t="inlineStr">
        <is>
          <t>Depressive symptoms across affective, cognitive, anxious and somatic domains.</t>
        </is>
      </c>
      <c r="F65" s="24" t="n"/>
      <c r="G65" s="24" t="inlineStr">
        <is>
          <t>Self report</t>
        </is>
      </c>
      <c r="H65" s="24" t="inlineStr">
        <is>
          <t>16+</t>
        </is>
      </c>
      <c r="I65" s="24" t="n">
        <v>3</v>
      </c>
      <c r="J65" s="24" t="inlineStr">
        <is>
          <t>Affective, Cognitive, Anxious, Somatic</t>
        </is>
      </c>
      <c r="K65" s="24" t="inlineStr">
        <is>
          <t>Not stated on page</t>
        </is>
      </c>
      <c r="L65" s="24" t="inlineStr">
        <is>
          <t>Not stated on page. Reference list cites a percentile rankings and qualitative descriptors review and norm studies by Holmes et al. (1988) and Knight et al. (1983).</t>
        </is>
      </c>
      <c r="M65" s="24" t="inlineStr">
        <is>
          <t>Zung, W. W. (1965). A Self-Rating Depression Scale. Archives of General Psychiatry, 12, 63-70.</t>
        </is>
      </c>
      <c r="N65" s="24" t="inlineStr">
        <is>
          <t>Site footer only: "© 2026 Copyright – NovoPsych – All rights reserved". No instrument specific statement on the page.</t>
        </is>
      </c>
      <c r="O65" s="24" t="inlineStr">
        <is>
          <t>not stated</t>
        </is>
      </c>
      <c r="P65" s="24" t="inlineStr">
        <is>
          <t>Out of scope for the hub (child, adolescent, sport, eating, clinician or service feedback)</t>
        </is>
      </c>
      <c r="Q65" s="24" t="inlineStr"/>
      <c r="R65" s="24" t="inlineStr"/>
      <c r="S65" s="24" t="inlineStr">
        <is>
          <t>Scoring and Interpretation and Psychometric Properties sections are gated behind Professional Access login and not visible to an unauthenticated fetch. Item count not stated on page (published scale has 20 items; verify).</t>
        </is>
      </c>
      <c r="T65" s="24" t="inlineStr">
        <is>
          <t>https://novopsych.com/assessments/depression/zung-self-rating-depression-scale/</t>
        </is>
      </c>
    </row>
    <row r="66">
      <c r="A66" s="24" t="n">
        <v>65</v>
      </c>
      <c r="B66" s="24" t="inlineStr">
        <is>
          <t>Digital Stress Scale</t>
        </is>
      </c>
      <c r="C66" s="24" t="inlineStr">
        <is>
          <t>DSS</t>
        </is>
      </c>
      <c r="D66" s="24" t="inlineStr">
        <is>
          <t>Formulation</t>
        </is>
      </c>
      <c r="E66" s="24" t="inlineStr">
        <is>
          <t>Perceived stress linked to use of digital devices, mainly phones and social media.</t>
        </is>
      </c>
      <c r="F66" s="24" t="n">
        <v>24</v>
      </c>
      <c r="G66" s="24" t="inlineStr">
        <is>
          <t>Self report</t>
        </is>
      </c>
      <c r="H66" s="24" t="inlineStr">
        <is>
          <t>14+</t>
        </is>
      </c>
      <c r="I66" s="24" t="n">
        <v>4</v>
      </c>
      <c r="J66" s="24" t="inlineStr"/>
      <c r="K66" s="24" t="inlineStr">
        <is>
          <t>Not stated on page</t>
        </is>
      </c>
      <c r="L66" s="24" t="inlineStr">
        <is>
          <t>Not stated on page.</t>
        </is>
      </c>
      <c r="M66" s="24" t="inlineStr">
        <is>
          <t>Hall, J. A., Steele, R. G., Christofferson, J. L., &amp; Mihailova, T. (2021). Development and initial evaluation of a multidimensional digital stress scale. Psychological Assessment, 33(3), 230-242.</t>
        </is>
      </c>
      <c r="N66" s="24" t="inlineStr">
        <is>
          <t>Site footer only: "© 2026 Copyright – NovoPsych – All rights reserved". No instrument specific statement on the page.</t>
        </is>
      </c>
      <c r="O66" s="24" t="inlineStr">
        <is>
          <t>not stated</t>
        </is>
      </c>
      <c r="P66" s="24" t="inlineStr">
        <is>
          <t>Shortlist: coaching and wellbeing (client facing possible)</t>
        </is>
      </c>
      <c r="Q66" s="24" t="inlineStr"/>
      <c r="R66" s="24" t="inlineStr"/>
      <c r="S66" s="24" t="inlineStr">
        <is>
          <t>Scoring and Interpretation and Psychometric Properties sections are gated behind Professional Access login and not visible to an unauthenticated fetch. Translations section notes translators sought approval from the first author before translating.</t>
        </is>
      </c>
      <c r="T66" s="24" t="inlineStr">
        <is>
          <t>https://novopsych.com/assessments/formulation/digital-stress-scale/</t>
        </is>
      </c>
    </row>
    <row r="67">
      <c r="A67" s="24" t="n">
        <v>66</v>
      </c>
      <c r="B67" s="24" t="inlineStr">
        <is>
          <t>International Trauma Questionnaire Child and Adolescent Version</t>
        </is>
      </c>
      <c r="C67" s="24" t="inlineStr">
        <is>
          <t>ITQ-CA</t>
        </is>
      </c>
      <c r="D67" s="24" t="inlineStr">
        <is>
          <t>Adolescent, Child, Diagnosis, Trauma</t>
        </is>
      </c>
      <c r="E67" s="24" t="inlineStr">
        <is>
          <t>ICD-11 PTSD and Disturbances in Self Organisation (Complex PTSD) symptoms in children and adolescents.</t>
        </is>
      </c>
      <c r="F67" s="24" t="n">
        <v>22</v>
      </c>
      <c r="G67" s="24" t="inlineStr">
        <is>
          <t>Self report</t>
        </is>
      </c>
      <c r="H67" s="24" t="inlineStr">
        <is>
          <t>7 to 17 years</t>
        </is>
      </c>
      <c r="I67" s="24" t="n">
        <v>4</v>
      </c>
      <c r="J67" s="24" t="inlineStr">
        <is>
          <t>PTSD, Disturbances in Self Organisation (DSO)</t>
        </is>
      </c>
      <c r="K67" s="24" t="inlineStr">
        <is>
          <t>Symptom items 5 point, scored 0 to 4 (2 = Moderately); functional impairment items binary Yes/No scored 1/0</t>
        </is>
      </c>
      <c r="L67" s="24" t="inlineStr">
        <is>
          <t>PTSD and DSO severity are item sums (6 items each, range 0 to 24), higher = more severe; percentile severity bands given. Reliable change threshold 7 points (PTSD) and 6 points (DSO).</t>
        </is>
      </c>
      <c r="M67" s="24" t="inlineStr">
        <is>
          <t>Cloitre, M., Shevlin, M., Brewin, C. R., Bisson, J. I., Roberts, N. P., Maercker, A., Karatzias, T., &amp; Hyland, P. (2018). Acta Psychiatrica Scandinavica, 138(6), 536-546.</t>
        </is>
      </c>
      <c r="N67" s="24" t="inlineStr">
        <is>
          <t>Site footer only: "© 2026 Copyright – NovoPsych – All rights reserved". No instrument specific statement on the page.</t>
        </is>
      </c>
      <c r="O67" s="24" t="inlineStr">
        <is>
          <t>not stated</t>
        </is>
      </c>
      <c r="P67" s="24" t="inlineStr">
        <is>
          <t>Out of scope for the hub (child, adolescent, sport, eating, clinician or service feedback)</t>
        </is>
      </c>
      <c r="Q67" s="24" t="inlineStr"/>
      <c r="R67" s="24" t="inlineStr"/>
      <c r="S67" s="24" t="inlineStr">
        <is>
          <t>Scoring details visible on this page unlike most others in this batch.</t>
        </is>
      </c>
      <c r="T67" s="24" t="inlineStr">
        <is>
          <t>https://novopsych.com/assessments/diagnosis/international-trauma-questionnaire-child-and-adolescent-version-itq-ca/</t>
        </is>
      </c>
    </row>
    <row r="68">
      <c r="A68" s="24" t="n">
        <v>67</v>
      </c>
      <c r="B68" s="24" t="inlineStr">
        <is>
          <t>International Trauma Questionnaire</t>
        </is>
      </c>
      <c r="C68" s="24" t="inlineStr">
        <is>
          <t>ITQ</t>
        </is>
      </c>
      <c r="D68" s="24" t="inlineStr">
        <is>
          <t>Diagnosis, Trauma</t>
        </is>
      </c>
      <c r="E68" s="24" t="inlineStr">
        <is>
          <t>ICD-11 PTSD and Disturbances in Self Organisation (Complex PTSD) symptoms in adults.</t>
        </is>
      </c>
      <c r="F68" s="24" t="n">
        <v>18</v>
      </c>
      <c r="G68" s="24" t="inlineStr">
        <is>
          <t>Self report</t>
        </is>
      </c>
      <c r="H68" s="24" t="inlineStr">
        <is>
          <t>18+</t>
        </is>
      </c>
      <c r="I68" s="24" t="n">
        <v>3</v>
      </c>
      <c r="J68" s="24" t="inlineStr">
        <is>
          <t>Re-experiencing, Avoidance, Sense of Threat, Affective Dysregulation, Negative Self-Concept, Disturbances in Relationships, Functional impairment</t>
        </is>
      </c>
      <c r="K68" s="24" t="inlineStr">
        <is>
          <t>Not fully stated; symptom items rated so that 2 = Moderately, with severity descriptors Severe and Very Severe</t>
        </is>
      </c>
      <c r="L68" s="24" t="inlineStr">
        <is>
          <t>Dimensional severity scoring plus dichotomous diagnostic algorithm: a symptom counts at a rating of 2 or more; PTSD needs 1 symptom per PTSD cluster plus impairment, CPTSD adds 1 per DSO cluster. No numeric cut offs on page.</t>
        </is>
      </c>
      <c r="M68" s="24" t="inlineStr">
        <is>
          <t>Cloitre, M., Shevlin, M., Brewin, C. R., Bisson, J. I., Roberts, N. P., Maercker, A., Karatzias, T., &amp; Hyland, P. (2018). Acta Psychiatrica Scandinavica, 138(6), 536-546. doi:10.1111/acps.12956</t>
        </is>
      </c>
      <c r="N68" s="24" t="inlineStr">
        <is>
          <t>Site footer only: "© 2026 Copyright – NovoPsych – All rights reserved". No instrument specific statement on the page.</t>
        </is>
      </c>
      <c r="O68" s="24" t="inlineStr">
        <is>
          <t>not stated</t>
        </is>
      </c>
      <c r="P68" s="24" t="inlineStr">
        <is>
          <t>Shortlist: screening or clinical (Sarah only if used)</t>
        </is>
      </c>
      <c r="Q68" s="24" t="inlineStr"/>
      <c r="R68" s="24" t="inlineStr"/>
      <c r="S68" s="24" t="inlineStr">
        <is>
          <t>Scoring and Interpretation and Psychometric Properties sections are gated behind Professional Access login and not visible to an unauthenticated fetch. Scoring summary drawn from FAQ text.</t>
        </is>
      </c>
      <c r="T68" s="24" t="inlineStr">
        <is>
          <t>https://novopsych.com/assessments/diagnosis/international-trauma-questionnaire-itq/</t>
        </is>
      </c>
    </row>
    <row r="69">
      <c r="A69" s="24" t="n">
        <v>68</v>
      </c>
      <c r="B69" s="24" t="inlineStr">
        <is>
          <t>Adolescent Dissociative Experiences Scale</t>
        </is>
      </c>
      <c r="C69" s="24" t="inlineStr">
        <is>
          <t>A-DES</t>
        </is>
      </c>
      <c r="D69" s="24" t="inlineStr">
        <is>
          <t>Diagnosis, Adolescent</t>
        </is>
      </c>
      <c r="E69" s="24" t="inlineStr">
        <is>
          <t>Typical and pathological dissociative experiences in adolescents.</t>
        </is>
      </c>
      <c r="F69" s="24" t="n">
        <v>30</v>
      </c>
      <c r="G69" s="24" t="inlineStr">
        <is>
          <t>Self report</t>
        </is>
      </c>
      <c r="H69" s="24" t="inlineStr">
        <is>
          <t>11 to 18 years</t>
        </is>
      </c>
      <c r="I69" s="24" t="n">
        <v>5</v>
      </c>
      <c r="J69" s="24" t="inlineStr"/>
      <c r="K69" s="24" t="inlineStr">
        <is>
          <t>Not stated on page</t>
        </is>
      </c>
      <c r="L69" s="24" t="inlineStr">
        <is>
          <t>Not stated on page.</t>
        </is>
      </c>
      <c r="M69" s="24" t="inlineStr">
        <is>
          <t>Armstrong, J. G., Putnam, F. W., Carlson, E. B., Libero, D. Z., &amp; Smith, S. R. (1997). The Journal of Nervous and Mental Disease, 185(8), 491-497.</t>
        </is>
      </c>
      <c r="N69" s="24" t="inlineStr">
        <is>
          <t>Site footer only: "© 2026 Copyright – NovoPsych – All rights reserved". No instrument specific statement on the page.</t>
        </is>
      </c>
      <c r="O69" s="24" t="inlineStr">
        <is>
          <t>not stated</t>
        </is>
      </c>
      <c r="P69" s="24" t="inlineStr">
        <is>
          <t>Out of scope for the hub (child, adolescent, sport, eating, clinician or service feedback)</t>
        </is>
      </c>
      <c r="Q69" s="24" t="inlineStr"/>
      <c r="R69" s="24" t="inlineStr"/>
      <c r="S69" s="24" t="inlineStr">
        <is>
          <t>Scoring and Interpretation and Psychometric Properties sections are gated behind Professional Access login and not visible to an unauthenticated fetch.</t>
        </is>
      </c>
      <c r="T69" s="24" t="inlineStr">
        <is>
          <t>https://novopsych.com/assessments/diagnosis/adolescent-dissociative-experiences-scale-a-des/</t>
        </is>
      </c>
    </row>
    <row r="70">
      <c r="A70" s="24" t="n">
        <v>69</v>
      </c>
      <c r="B70" s="24" t="inlineStr">
        <is>
          <t>Positive Childhood Experiences Scale</t>
        </is>
      </c>
      <c r="C70" s="24" t="inlineStr">
        <is>
          <t>PCEs</t>
        </is>
      </c>
      <c r="D70" s="24" t="inlineStr">
        <is>
          <t>Formulation, Trauma</t>
        </is>
      </c>
      <c r="E70" s="24" t="inlineStr">
        <is>
          <t>Retrospective report of interpersonal childhood experiences (birth to 18) that act as developmental assets.</t>
        </is>
      </c>
      <c r="F70" s="24" t="n">
        <v>7</v>
      </c>
      <c r="G70" s="24" t="inlineStr">
        <is>
          <t>Self report</t>
        </is>
      </c>
      <c r="H70" s="24" t="inlineStr">
        <is>
          <t>18+</t>
        </is>
      </c>
      <c r="I70" s="24" t="n">
        <v>1</v>
      </c>
      <c r="J70" s="24" t="inlineStr"/>
      <c r="K70" s="24" t="inlineStr">
        <is>
          <t>Not stated on page</t>
        </is>
      </c>
      <c r="L70" s="24" t="inlineStr">
        <is>
          <t>Not stated on page.</t>
        </is>
      </c>
      <c r="M70" s="24" t="inlineStr">
        <is>
          <t>Bethell, C., Jones, J., Gombojav, N., Linkenbach, J., &amp; Sege, R. (2019). JAMA Pediatrics, 173(11), e193007.</t>
        </is>
      </c>
      <c r="N70" s="24" t="inlineStr">
        <is>
          <t>Site footer only: "© 2026 Copyright – NovoPsych – All rights reserved". No instrument specific statement on the page.</t>
        </is>
      </c>
      <c r="O70" s="24" t="inlineStr">
        <is>
          <t>not stated</t>
        </is>
      </c>
      <c r="P70" s="24" t="inlineStr">
        <is>
          <t>Shortlist: coaching and wellbeing (client facing possible)</t>
        </is>
      </c>
      <c r="Q70" s="24" t="inlineStr"/>
      <c r="R70" s="24" t="inlineStr"/>
      <c r="S70" s="24" t="inlineStr">
        <is>
          <t>Scoring and Interpretation and Psychometric Properties sections are gated behind Professional Access login and not visible to an unauthenticated fetch.</t>
        </is>
      </c>
      <c r="T70" s="24" t="inlineStr">
        <is>
          <t>https://novopsych.com/assessments/formulation/positive-childhood-experiences-pces-scale/</t>
        </is>
      </c>
    </row>
    <row r="71">
      <c r="A71" s="24" t="n">
        <v>70</v>
      </c>
      <c r="B71" s="24" t="inlineStr">
        <is>
          <t>Benevolent Childhood Experiences Scale</t>
        </is>
      </c>
      <c r="C71" s="24" t="inlineStr">
        <is>
          <t>BCEs</t>
        </is>
      </c>
      <c r="D71" s="24" t="inlineStr">
        <is>
          <t>Formulation, Trauma</t>
        </is>
      </c>
      <c r="E71" s="24" t="inlineStr">
        <is>
          <t>Retrospective report of positive childhood experiences (birth to 18) across multiple systems in a child's life.</t>
        </is>
      </c>
      <c r="F71" s="24" t="n">
        <v>20</v>
      </c>
      <c r="G71" s="24" t="inlineStr">
        <is>
          <t>Self report</t>
        </is>
      </c>
      <c r="H71" s="24" t="inlineStr">
        <is>
          <t>18+</t>
        </is>
      </c>
      <c r="I71" s="24" t="n">
        <v>3</v>
      </c>
      <c r="J71" s="24" t="inlineStr"/>
      <c r="K71" s="24" t="inlineStr">
        <is>
          <t>Not stated on page</t>
        </is>
      </c>
      <c r="L71" s="24" t="inlineStr">
        <is>
          <t>Not stated on page.</t>
        </is>
      </c>
      <c r="M71" s="24" t="inlineStr">
        <is>
          <t>Narayan, A. J., Rivera, L. M., Bernstein, R. E., Harris, W. W., &amp; Lieberman, A. F. (2018). Child Abuse and Neglect, 78, 19-30; revised BCEs: Narayan et al. (2023). Development and Psychopathology, 35(5), 2444-2463.</t>
        </is>
      </c>
      <c r="N71" s="24" t="inlineStr">
        <is>
          <t>Site footer only: "© 2026 Copyright – NovoPsych – All rights reserved". No instrument specific statement on the page.</t>
        </is>
      </c>
      <c r="O71" s="24" t="inlineStr">
        <is>
          <t>not stated</t>
        </is>
      </c>
      <c r="P71" s="24" t="inlineStr">
        <is>
          <t>Shortlist: coaching and wellbeing (client facing possible)</t>
        </is>
      </c>
      <c r="Q71" s="24" t="inlineStr"/>
      <c r="R71" s="24" t="inlineStr"/>
      <c r="S71" s="24" t="inlineStr">
        <is>
          <t>Scoring and Interpretation and Psychometric Properties sections are gated behind Professional Access login and not visible to an unauthenticated fetch. 20 items suggests the revised BCEs version (original had 10).</t>
        </is>
      </c>
      <c r="T71" s="24" t="inlineStr">
        <is>
          <t>https://novopsych.com/assessments/formulation/benevolent-childhood-experiences-bces-scale/</t>
        </is>
      </c>
    </row>
    <row r="72">
      <c r="A72" s="24" t="n">
        <v>71</v>
      </c>
      <c r="B72" s="24" t="inlineStr">
        <is>
          <t>Repetitive Behaviours Questionnaire 3</t>
        </is>
      </c>
      <c r="C72" s="24" t="inlineStr">
        <is>
          <t>RBQ-3</t>
        </is>
      </c>
      <c r="D72" s="24" t="inlineStr">
        <is>
          <t>Autism, Formulation</t>
        </is>
      </c>
      <c r="E72" s="24" t="inlineStr">
        <is>
          <t>Restricted and repetitive behaviours as a core feature of autism.</t>
        </is>
      </c>
      <c r="F72" s="24" t="n">
        <v>20</v>
      </c>
      <c r="G72" s="24" t="inlineStr">
        <is>
          <t>Self report (13+) or informant report (parent or other)</t>
        </is>
      </c>
      <c r="H72" s="24" t="inlineStr">
        <is>
          <t>Self report 13+; informant 15 months+</t>
        </is>
      </c>
      <c r="I72" s="24" t="n">
        <v>3</v>
      </c>
      <c r="J72" s="24" t="inlineStr"/>
      <c r="K72" s="24" t="inlineStr">
        <is>
          <t>Not stated on page</t>
        </is>
      </c>
      <c r="L72" s="24" t="inlineStr">
        <is>
          <t>Not stated on page.</t>
        </is>
      </c>
      <c r="M72" s="24" t="inlineStr">
        <is>
          <t>Jones, C. R. G., Livingston, L. A., Fretwell, C., Uljarevic, M., Carrington, S. J., Shah, P., &amp; Leekam, S. R. (2024). Molecular Autism, 15(1), 24. doi:10.1186/s13229-024-00603-7</t>
        </is>
      </c>
      <c r="N72" s="24" t="inlineStr">
        <is>
          <t>Site footer only: "© 2026 Copyright – NovoPsych – All rights reserved". No instrument specific statement on the page. Page notes the manual and PDF questionnaires are available from Cardiff University Wales Autism Research Centre.</t>
        </is>
      </c>
      <c r="O72" s="24" t="inlineStr">
        <is>
          <t>not stated</t>
        </is>
      </c>
      <c r="P72" s="24" t="inlineStr">
        <is>
          <t>Out of scope for the hub (not self report)</t>
        </is>
      </c>
      <c r="Q72" s="24" t="inlineStr"/>
      <c r="R72" s="24" t="inlineStr"/>
      <c r="S72" s="24" t="inlineStr">
        <is>
          <t>Scoring and Interpretation and Psychometric Properties sections are gated behind Professional Access login and not visible to an unauthenticated fetch. Access link points to NovoPsych registration.</t>
        </is>
      </c>
      <c r="T72" s="24" t="inlineStr">
        <is>
          <t>https://novopsych.com/assessments/formulation/repetitive-behaviours-questionnaire-3/</t>
        </is>
      </c>
    </row>
    <row r="73">
      <c r="A73" s="24" t="n">
        <v>72</v>
      </c>
      <c r="B73" s="24" t="inlineStr">
        <is>
          <t>Gender Preoccupation and Stability Questionnaire 2</t>
        </is>
      </c>
      <c r="C73" s="24" t="inlineStr">
        <is>
          <t>GPSQ-2</t>
        </is>
      </c>
      <c r="D73" s="24" t="inlineStr">
        <is>
          <t>Formulation</t>
        </is>
      </c>
      <c r="E73" s="24" t="inlineStr">
        <is>
          <t>Gender related distress (gender dysphoria).</t>
        </is>
      </c>
      <c r="F73" s="24" t="n">
        <v>14</v>
      </c>
      <c r="G73" s="24" t="inlineStr">
        <is>
          <t>Self report</t>
        </is>
      </c>
      <c r="H73" s="24" t="inlineStr">
        <is>
          <t>13+</t>
        </is>
      </c>
      <c r="I73" s="24" t="n">
        <v>3</v>
      </c>
      <c r="J73" s="24" t="inlineStr"/>
      <c r="K73" s="24" t="inlineStr">
        <is>
          <t>Not stated on page</t>
        </is>
      </c>
      <c r="L73" s="24" t="inlineStr">
        <is>
          <t>Not stated on page.</t>
        </is>
      </c>
      <c r="M73" s="24" t="inlineStr">
        <is>
          <t>Bowman, S. J., Hakeem, A., Demant, D., McAloon, J., &amp; Wootton, B. M. (2024). Journal of Homosexuality, 71(3), 666-690.</t>
        </is>
      </c>
      <c r="N73" s="24" t="inlineStr">
        <is>
          <t>Site footer only: "© 2026 Copyright – NovoPsych – All rights reserved". No instrument specific statement on the page.</t>
        </is>
      </c>
      <c r="O73" s="24" t="inlineStr">
        <is>
          <t>not stated</t>
        </is>
      </c>
      <c r="P73" s="24" t="inlineStr">
        <is>
          <t>Shortlist: screening or clinical (Sarah only if used)</t>
        </is>
      </c>
      <c r="Q73" s="24" t="inlineStr"/>
      <c r="R73" s="24" t="inlineStr"/>
      <c r="S73" s="24" t="inlineStr">
        <is>
          <t>Scoring and Interpretation and Psychometric Properties sections are gated behind Professional Access login and not visible to an unauthenticated fetch.</t>
        </is>
      </c>
      <c r="T73" s="24" t="inlineStr">
        <is>
          <t>https://novopsych.com/assessments/formulation/gender-preoccupation-stability-questionnaire-2/</t>
        </is>
      </c>
    </row>
    <row r="74">
      <c r="A74" s="24" t="n">
        <v>73</v>
      </c>
      <c r="B74" s="24" t="inlineStr">
        <is>
          <t>Autism Spectrum Quotient Adolescent Version</t>
        </is>
      </c>
      <c r="C74" s="24" t="inlineStr">
        <is>
          <t>AQ-Adolescent</t>
        </is>
      </c>
      <c r="D74" s="24" t="inlineStr">
        <is>
          <t>Adolescent, Autism, Diagnosis</t>
        </is>
      </c>
      <c r="E74" s="24" t="inlineStr">
        <is>
          <t>Autistic traits in adolescents, reported by a parent.</t>
        </is>
      </c>
      <c r="F74" s="24" t="n">
        <v>50</v>
      </c>
      <c r="G74" s="24" t="inlineStr">
        <is>
          <t>Parent report</t>
        </is>
      </c>
      <c r="H74" s="24" t="inlineStr">
        <is>
          <t>12 to 15 years</t>
        </is>
      </c>
      <c r="I74" s="24" t="n">
        <v>8</v>
      </c>
      <c r="J74" s="24" t="inlineStr"/>
      <c r="K74" s="24" t="inlineStr">
        <is>
          <t>Not stated on page</t>
        </is>
      </c>
      <c r="L74" s="24" t="inlineStr">
        <is>
          <t>Not stated on page.</t>
        </is>
      </c>
      <c r="M74" s="24" t="inlineStr">
        <is>
          <t>Baron-Cohen, S., Hoekstra, R. A., Knickmeyer, R., &amp; Wheelwright, S. (2006). Journal of Autism and Developmental Disorders, 36(3), 343-350.</t>
        </is>
      </c>
      <c r="N74" s="24" t="inlineStr">
        <is>
          <t>Site footer only: "© 2026 Copyright – NovoPsych – All rights reserved". No instrument specific statement on the page.</t>
        </is>
      </c>
      <c r="O74" s="24" t="inlineStr">
        <is>
          <t>not stated</t>
        </is>
      </c>
      <c r="P74" s="24" t="inlineStr">
        <is>
          <t>Out of scope for the hub (child, adolescent, sport, eating, clinician or service feedback)</t>
        </is>
      </c>
      <c r="Q74" s="24" t="inlineStr"/>
      <c r="R74" s="24" t="inlineStr"/>
      <c r="S74" s="24" t="inlineStr">
        <is>
          <t>Scoring and Interpretation and Psychometric Properties sections are gated behind Professional Access login and not visible to an unauthenticated fetch. A PDF download is offered without stated terms.</t>
        </is>
      </c>
      <c r="T74" s="24" t="inlineStr">
        <is>
          <t>https://novopsych.com/assessments/diagnosis/autism-spectrum-quotient-adolescent/</t>
        </is>
      </c>
    </row>
    <row r="75">
      <c r="A75" s="24" t="n">
        <v>74</v>
      </c>
      <c r="B75" s="24" t="inlineStr">
        <is>
          <t>Autism Spectrum Quotient Children's Version</t>
        </is>
      </c>
      <c r="C75" s="24" t="inlineStr">
        <is>
          <t>AQ-Child</t>
        </is>
      </c>
      <c r="D75" s="24" t="inlineStr">
        <is>
          <t>Child, Autism, Diagnosis</t>
        </is>
      </c>
      <c r="E75" s="24" t="inlineStr">
        <is>
          <t>Autistic traits in children, reported by a parent.</t>
        </is>
      </c>
      <c r="F75" s="24" t="n">
        <v>50</v>
      </c>
      <c r="G75" s="24" t="inlineStr">
        <is>
          <t>Parent report</t>
        </is>
      </c>
      <c r="H75" s="24" t="inlineStr">
        <is>
          <t>4 to 11 years</t>
        </is>
      </c>
      <c r="I75" s="24" t="n">
        <v>8</v>
      </c>
      <c r="J75" s="24" t="inlineStr"/>
      <c r="K75" s="24" t="inlineStr">
        <is>
          <t>Not stated on page</t>
        </is>
      </c>
      <c r="L75" s="24" t="inlineStr">
        <is>
          <t>Not stated on page.</t>
        </is>
      </c>
      <c r="M75" s="24" t="inlineStr">
        <is>
          <t>Auyeung, B., Baron-Cohen, S., Wheelwright, S., &amp; Allison, C. (2008). Journal of Autism and Developmental Disorders, 38(7), 1230-1240.</t>
        </is>
      </c>
      <c r="N75" s="24" t="inlineStr">
        <is>
          <t>Site footer only: "© 2026 Copyright – NovoPsych – All rights reserved". No instrument specific statement on the page.</t>
        </is>
      </c>
      <c r="O75" s="24" t="inlineStr">
        <is>
          <t>not stated</t>
        </is>
      </c>
      <c r="P75" s="24" t="inlineStr">
        <is>
          <t>Out of scope for the hub (child, adolescent, sport, eating, clinician or service feedback)</t>
        </is>
      </c>
      <c r="Q75" s="24" t="inlineStr"/>
      <c r="R75" s="24" t="inlineStr"/>
      <c r="S75" s="24" t="inlineStr">
        <is>
          <t>Scoring and Interpretation and Psychometric Properties sections are gated behind Professional Access login and not visible to an unauthenticated fetch. A PDF download is offered without stated terms.</t>
        </is>
      </c>
      <c r="T75" s="24" t="inlineStr">
        <is>
          <t>https://novopsych.com/assessments/diagnosis/autism-spectrum-quotient-child/</t>
        </is>
      </c>
    </row>
    <row r="76">
      <c r="A76" s="24" t="n">
        <v>75</v>
      </c>
      <c r="B76" s="24" t="inlineStr">
        <is>
          <t>Brief Emotional Intelligence Scale</t>
        </is>
      </c>
      <c r="C76" s="24" t="inlineStr">
        <is>
          <t>BEIS-10</t>
        </is>
      </c>
      <c r="D76" s="24" t="inlineStr">
        <is>
          <t>Formulation</t>
        </is>
      </c>
      <c r="E76" s="24" t="inlineStr">
        <is>
          <t>Emotional intelligence in adults.</t>
        </is>
      </c>
      <c r="F76" s="24" t="n">
        <v>10</v>
      </c>
      <c r="G76" s="24" t="inlineStr">
        <is>
          <t>Self report</t>
        </is>
      </c>
      <c r="H76" s="24" t="inlineStr">
        <is>
          <t>18+</t>
        </is>
      </c>
      <c r="I76" s="24" t="n">
        <v>2</v>
      </c>
      <c r="J76" s="24" t="inlineStr"/>
      <c r="K76" s="24" t="inlineStr">
        <is>
          <t>Not stated on page</t>
        </is>
      </c>
      <c r="L76" s="24" t="inlineStr">
        <is>
          <t>Not stated on page.</t>
        </is>
      </c>
      <c r="M76" s="24" t="inlineStr">
        <is>
          <t>Davies, K. A., Lane, A. M., Devonport, T. J., &amp; Scott, J. A. (2010). Journal of Individual Differences, 31(4), 198-208.</t>
        </is>
      </c>
      <c r="N76" s="24" t="inlineStr">
        <is>
          <t>Site footer only: "© 2026 Copyright – NovoPsych – All rights reserved". No instrument specific statement on the page.</t>
        </is>
      </c>
      <c r="O76" s="24" t="inlineStr">
        <is>
          <t>not stated</t>
        </is>
      </c>
      <c r="P76" s="24" t="inlineStr">
        <is>
          <t>Shortlist: coaching and wellbeing (client facing possible)</t>
        </is>
      </c>
      <c r="Q76" s="24" t="inlineStr"/>
      <c r="R76" s="24" t="inlineStr"/>
      <c r="S76" s="24" t="inlineStr">
        <is>
          <t>Scoring and Interpretation and Psychometric Properties sections are gated behind Professional Access login and not visible to an unauthenticated fetch.</t>
        </is>
      </c>
      <c r="T76" s="24" t="inlineStr">
        <is>
          <t>https://novopsych.com/assessments/formulation/brief-emotional-intelligence-scale/</t>
        </is>
      </c>
    </row>
    <row r="77">
      <c r="A77" s="24" t="n">
        <v>76</v>
      </c>
      <c r="B77" s="24" t="inlineStr">
        <is>
          <t>General Behaviour Inventory (Revised)</t>
        </is>
      </c>
      <c r="C77" s="24" t="inlineStr">
        <is>
          <t>GBI / GBI-R</t>
        </is>
      </c>
      <c r="D77" s="24" t="inlineStr">
        <is>
          <t>Bipolar, Formulation</t>
        </is>
      </c>
      <c r="E77" s="24" t="inlineStr">
        <is>
          <t>Frequency, intensity and duration of symptoms associated with bipolar I, bipolar II and cyclothymia.</t>
        </is>
      </c>
      <c r="F77" s="24" t="n">
        <v>73</v>
      </c>
      <c r="G77" s="24" t="inlineStr">
        <is>
          <t>Self report</t>
        </is>
      </c>
      <c r="H77" s="24" t="inlineStr">
        <is>
          <t>13+</t>
        </is>
      </c>
      <c r="I77" s="24" t="n">
        <v>13</v>
      </c>
      <c r="J77" s="24" t="inlineStr"/>
      <c r="K77" s="24" t="inlineStr">
        <is>
          <t>Not stated on page</t>
        </is>
      </c>
      <c r="L77" s="24" t="inlineStr">
        <is>
          <t>Not stated on page.</t>
        </is>
      </c>
      <c r="M77" s="24" t="inlineStr">
        <is>
          <t>Depue, R. A., Krauss, S., Spoont, M. R., &amp; Arbisi, P. (1989). Journal of Abnormal Psychology, 98(2), 117-126.</t>
        </is>
      </c>
      <c r="N77" s="24" t="inlineStr">
        <is>
          <t>Site footer only: "© 2026 Copyright – NovoPsych – All rights reserved". No instrument specific statement on the page.</t>
        </is>
      </c>
      <c r="O77" s="24" t="inlineStr">
        <is>
          <t>not stated</t>
        </is>
      </c>
      <c r="P77" s="24" t="inlineStr">
        <is>
          <t>Consider</t>
        </is>
      </c>
      <c r="Q77" s="24" t="inlineStr"/>
      <c r="R77" s="24" t="inlineStr"/>
      <c r="S77" s="24" t="inlineStr">
        <is>
          <t>Scoring and Interpretation and Psychometric Properties sections are gated behind Professional Access login and not visible to an unauthenticated fetch. Page title says GBI; body refers to the revised GBI-R.</t>
        </is>
      </c>
      <c r="T77" s="24" t="inlineStr">
        <is>
          <t>https://novopsych.com/assessments/formulation/general-behaviour-inventory-gbi/</t>
        </is>
      </c>
    </row>
    <row r="78">
      <c r="A78" s="24" t="n">
        <v>77</v>
      </c>
      <c r="B78" s="24" t="inlineStr">
        <is>
          <t>Adult Separation Anxiety Questionnaire</t>
        </is>
      </c>
      <c r="C78" s="24" t="inlineStr">
        <is>
          <t>ASA-27</t>
        </is>
      </c>
      <c r="D78" s="24" t="inlineStr">
        <is>
          <t>Anxiety, Diagnosis, Formulation</t>
        </is>
      </c>
      <c r="E78" s="24" t="inlineStr">
        <is>
          <t>Adult separation anxiety symptoms including worry, distress and avoidance around separation from loved ones or familiar places.</t>
        </is>
      </c>
      <c r="F78" s="24" t="n">
        <v>27</v>
      </c>
      <c r="G78" s="24" t="inlineStr">
        <is>
          <t>Self report</t>
        </is>
      </c>
      <c r="H78" s="24" t="inlineStr">
        <is>
          <t>18+</t>
        </is>
      </c>
      <c r="I78" s="24" t="n">
        <v>5</v>
      </c>
      <c r="J78" s="24" t="inlineStr"/>
      <c r="K78" s="24" t="inlineStr">
        <is>
          <t>Not stated on page</t>
        </is>
      </c>
      <c r="L78" s="24" t="inlineStr">
        <is>
          <t>Not stated on page.</t>
        </is>
      </c>
      <c r="M78" s="24" t="inlineStr">
        <is>
          <t>Manicavasagar, V., Silove, D., Wagner, R., &amp; Drobny, J. (2003). Comprehensive Psychiatry, 44(2), 146-153.</t>
        </is>
      </c>
      <c r="N78" s="24" t="inlineStr">
        <is>
          <t>Site footer only: "© 2026 Copyright – NovoPsych – All rights reserved". No instrument specific statement on the page.</t>
        </is>
      </c>
      <c r="O78" s="24" t="inlineStr">
        <is>
          <t>not stated</t>
        </is>
      </c>
      <c r="P78" s="24" t="inlineStr">
        <is>
          <t>Shortlist: screening or clinical (Sarah only if used)</t>
        </is>
      </c>
      <c r="Q78" s="24" t="inlineStr"/>
      <c r="R78" s="24" t="inlineStr"/>
      <c r="S78" s="24" t="inlineStr">
        <is>
          <t>Scoring and Interpretation and Psychometric Properties sections are gated behind Professional Access login and not visible to an unauthenticated fetch. Item count inferred from the code ASA-27, not stated explicitly. PDF download offered.</t>
        </is>
      </c>
      <c r="T78" s="24" t="inlineStr">
        <is>
          <t>https://novopsych.com/assessments/diagnosis/adult-separation-anxiety-questionnaire/</t>
        </is>
      </c>
    </row>
    <row r="79">
      <c r="A79" s="24" t="n">
        <v>78</v>
      </c>
      <c r="B79" s="24" t="inlineStr">
        <is>
          <t>ADHD Clinical Outcome Scale, Self Report Version</t>
        </is>
      </c>
      <c r="C79" s="24" t="inlineStr">
        <is>
          <t>ACOS-Self</t>
        </is>
      </c>
      <c r="D79" s="24" t="inlineStr">
        <is>
          <t>ADHD, Outcome monitoring</t>
        </is>
      </c>
      <c r="E79" s="24" t="inlineStr">
        <is>
          <t>Routine outcome measure of ADHD symptoms, related mental health problems and functional difficulties in adults.</t>
        </is>
      </c>
      <c r="F79" s="24" t="n">
        <v>15</v>
      </c>
      <c r="G79" s="24" t="inlineStr">
        <is>
          <t>Self report</t>
        </is>
      </c>
      <c r="H79" s="24" t="inlineStr">
        <is>
          <t>18+</t>
        </is>
      </c>
      <c r="I79" s="24" t="n">
        <v>3</v>
      </c>
      <c r="J79" s="24" t="inlineStr"/>
      <c r="K79" s="24" t="inlineStr">
        <is>
          <t>Not stated on page</t>
        </is>
      </c>
      <c r="L79" s="24" t="inlineStr">
        <is>
          <t>Not stated on page.</t>
        </is>
      </c>
      <c r="M79" s="24" t="inlineStr">
        <is>
          <t>Adamis, D., Singh, J., Coada, I., Wrigley, M., Gavin, B., &amp; McNicholas, F. (2024). BJPsych Open, 10(6), e180.</t>
        </is>
      </c>
      <c r="N79" s="24" t="inlineStr">
        <is>
          <t>Site footer only: "© 2026 Copyright – NovoPsych – All rights reserved". No instrument specific statement on the page.</t>
        </is>
      </c>
      <c r="O79" s="24" t="inlineStr">
        <is>
          <t>not stated</t>
        </is>
      </c>
      <c r="P79" s="24" t="inlineStr">
        <is>
          <t>Shortlist: coaching and wellbeing (client facing possible)</t>
        </is>
      </c>
      <c r="Q79" s="24" t="inlineStr"/>
      <c r="R79" s="24" t="inlineStr"/>
      <c r="S79" s="24" t="inlineStr">
        <is>
          <t>Scoring and Interpretation and Psychometric Properties sections are gated behind Professional Access login and not visible to an unauthenticated fetch. Companion clinician version catalogued separately.</t>
        </is>
      </c>
      <c r="T79" s="24" t="inlineStr">
        <is>
          <t>https://novopsych.com/assessments/outcome-monitoring/adhd-clinical-outcome-scale-acos-self-report-version/</t>
        </is>
      </c>
    </row>
    <row r="80">
      <c r="A80" s="24" t="n">
        <v>79</v>
      </c>
      <c r="B80" s="24" t="inlineStr">
        <is>
          <t>ADHD Clinical Outcome Scale, Clinician Version</t>
        </is>
      </c>
      <c r="C80" s="24" t="inlineStr">
        <is>
          <t>ACOS-Clinician</t>
        </is>
      </c>
      <c r="D80" s="24" t="inlineStr">
        <is>
          <t>ADHD, Outcome monitoring</t>
        </is>
      </c>
      <c r="E80" s="24" t="inlineStr">
        <is>
          <t>Clinician rated routine outcome measure of ADHD, related mental health problems and functional difficulties in adults.</t>
        </is>
      </c>
      <c r="F80" s="24" t="n">
        <v>15</v>
      </c>
      <c r="G80" s="24" t="inlineStr">
        <is>
          <t>Clinician</t>
        </is>
      </c>
      <c r="H80" s="24" t="inlineStr">
        <is>
          <t>18+</t>
        </is>
      </c>
      <c r="I80" s="24" t="n">
        <v>3</v>
      </c>
      <c r="J80" s="24" t="inlineStr"/>
      <c r="K80" s="24" t="inlineStr">
        <is>
          <t>Not stated on page</t>
        </is>
      </c>
      <c r="L80" s="24" t="inlineStr">
        <is>
          <t>Not stated on page.</t>
        </is>
      </c>
      <c r="M80" s="24" t="inlineStr">
        <is>
          <t>Adamis, D., Singh, J., Coada, I., Wrigley, M., Gavin, B., &amp; McNicholas, F. (2024). BJPsych Open, 10(6), e180. doi:10.1192/bjo.2024.739</t>
        </is>
      </c>
      <c r="N80" s="24" t="inlineStr">
        <is>
          <t>Site footer only: "© 2026 Copyright – NovoPsych – All rights reserved". No instrument specific statement on the page.</t>
        </is>
      </c>
      <c r="O80" s="24" t="inlineStr">
        <is>
          <t>not stated</t>
        </is>
      </c>
      <c r="P80" s="24" t="inlineStr">
        <is>
          <t>Out of scope for the hub (not self report)</t>
        </is>
      </c>
      <c r="Q80" s="24" t="inlineStr"/>
      <c r="R80" s="24" t="inlineStr"/>
      <c r="S80" s="24" t="inlineStr">
        <is>
          <t>Scoring and Interpretation and Psychometric Properties sections are gated behind Professional Access login and not visible to an unauthenticated fetch.</t>
        </is>
      </c>
      <c r="T80" s="24" t="inlineStr">
        <is>
          <t>https://novopsych.com/assessments/outcome-monitoring/adhd-clinical-outcome-scale-acos-clinician-version/</t>
        </is>
      </c>
    </row>
    <row r="81">
      <c r="A81" s="24" t="n">
        <v>80</v>
      </c>
      <c r="B81" s="24" t="inlineStr">
        <is>
          <t>Flourishing Scale</t>
        </is>
      </c>
      <c r="C81" s="24" t="inlineStr">
        <is>
          <t>FS</t>
        </is>
      </c>
      <c r="D81" s="24" t="inlineStr">
        <is>
          <t>Well-being</t>
        </is>
      </c>
      <c r="E81" s="24" t="inlineStr">
        <is>
          <t>Self perceived success in important life areas such as relationships, self esteem, purpose and optimism.</t>
        </is>
      </c>
      <c r="F81" s="24" t="n">
        <v>8</v>
      </c>
      <c r="G81" s="24" t="inlineStr">
        <is>
          <t>Self report</t>
        </is>
      </c>
      <c r="H81" s="24" t="inlineStr">
        <is>
          <t>18+</t>
        </is>
      </c>
      <c r="I81" s="24" t="n">
        <v>1</v>
      </c>
      <c r="J81" s="24" t="inlineStr"/>
      <c r="K81" s="24" t="inlineStr">
        <is>
          <t>Not stated on page</t>
        </is>
      </c>
      <c r="L81" s="24" t="inlineStr">
        <is>
          <t>Not stated on page.</t>
        </is>
      </c>
      <c r="M81" s="24" t="inlineStr">
        <is>
          <t>Diener, E., Wirtz, D., Tov, W., Kim-Prieto, C., Choi, D. W., Oishi, S., &amp; Biswas-Diener, R. (2010). Social Indicators Research, 97(2), 143-156.</t>
        </is>
      </c>
      <c r="N81" s="24" t="inlineStr">
        <is>
          <t>Site footer only: "© 2026 Copyright – NovoPsych – All rights reserved". No instrument specific statement on the page.</t>
        </is>
      </c>
      <c r="O81" s="24" t="inlineStr">
        <is>
          <t>not stated</t>
        </is>
      </c>
      <c r="P81" s="24" t="inlineStr">
        <is>
          <t>Shortlist: coaching and wellbeing (client facing possible)</t>
        </is>
      </c>
      <c r="Q81" s="24" t="inlineStr"/>
      <c r="R81" s="24" t="inlineStr"/>
      <c r="S81" s="24" t="inlineStr">
        <is>
          <t>Scoring and Interpretation and Psychometric Properties sections are gated behind Professional Access login and not visible to an unauthenticated fetch.</t>
        </is>
      </c>
      <c r="T81" s="24" t="inlineStr">
        <is>
          <t>https://novopsych.com/assessments/well-being/flourishing-scale-fs/</t>
        </is>
      </c>
    </row>
    <row r="82">
      <c r="A82" s="24" t="n">
        <v>81</v>
      </c>
      <c r="B82" s="24" t="inlineStr">
        <is>
          <t>Clinical Outcomes in Routine Evaluation Outcome Measure</t>
        </is>
      </c>
      <c r="C82" s="24" t="inlineStr">
        <is>
          <t>CORE-OM</t>
        </is>
      </c>
      <c r="D82" s="24" t="inlineStr">
        <is>
          <t>Outcome monitoring</t>
        </is>
      </c>
      <c r="E82" s="24" t="inlineStr">
        <is>
          <t>General psychological distress, used to track treatment response over the course of therapy.</t>
        </is>
      </c>
      <c r="F82" s="24" t="n"/>
      <c r="G82" s="24" t="inlineStr">
        <is>
          <t>Self report</t>
        </is>
      </c>
      <c r="H82" s="24" t="inlineStr">
        <is>
          <t>18+</t>
        </is>
      </c>
      <c r="I82" s="24" t="n">
        <v>6</v>
      </c>
      <c r="J82" s="24" t="inlineStr"/>
      <c r="K82" s="24" t="inlineStr">
        <is>
          <t>Not stated on page</t>
        </is>
      </c>
      <c r="L82" s="24" t="inlineStr">
        <is>
          <t>Not stated on page.</t>
        </is>
      </c>
      <c r="M82" s="24" t="inlineStr">
        <is>
          <t>Evans, C., Connell, J., Barkham, M., Margison, F., McGrath, G., Mellor-Clark, J., &amp; Audin, K. (2002). The British Journal of Psychiatry, 180, 51-60.</t>
        </is>
      </c>
      <c r="N82" s="24" t="inlineStr">
        <is>
          <t>"The copyright holder for the CORE-OM is the CORE System Trust." No further licensing terms on page.</t>
        </is>
      </c>
      <c r="O82" s="24" t="inlineStr">
        <is>
          <t>not stated</t>
        </is>
      </c>
      <c r="P82" s="24" t="inlineStr">
        <is>
          <t>Shortlist: coaching and wellbeing (client facing possible)</t>
        </is>
      </c>
      <c r="Q82" s="24" t="inlineStr"/>
      <c r="R82" s="24" t="inlineStr"/>
      <c r="S82" s="24" t="inlineStr">
        <is>
          <t>Scoring and Interpretation and Psychometric Properties sections are gated behind Professional Access login and not visible to an unauthenticated fetch. Copyright held by a third party (CORE System Trust); item count not stated (published measure has 34 items; verify).</t>
        </is>
      </c>
      <c r="T82" s="24" t="inlineStr">
        <is>
          <t>https://novopsych.com/assessments/outcome-monitoring/clinical-outcomes-in-routine-evaluation-core-om/</t>
        </is>
      </c>
    </row>
    <row r="83">
      <c r="A83" s="24" t="n">
        <v>82</v>
      </c>
      <c r="B83" s="24" t="inlineStr">
        <is>
          <t>Clinical Outcomes in Routine Evaluation 10</t>
        </is>
      </c>
      <c r="C83" s="24" t="inlineStr">
        <is>
          <t>CORE-10</t>
        </is>
      </c>
      <c r="D83" s="24" t="inlineStr">
        <is>
          <t>Outcome monitoring</t>
        </is>
      </c>
      <c r="E83" s="24" t="inlineStr">
        <is>
          <t>Psychological distress over the past week for routine symptom tracking during treatment.</t>
        </is>
      </c>
      <c r="F83" s="24" t="n">
        <v>10</v>
      </c>
      <c r="G83" s="24" t="inlineStr">
        <is>
          <t>Self report</t>
        </is>
      </c>
      <c r="H83" s="24" t="inlineStr">
        <is>
          <t>17+</t>
        </is>
      </c>
      <c r="I83" s="24" t="n">
        <v>2</v>
      </c>
      <c r="J83" s="24" t="inlineStr"/>
      <c r="K83" s="24" t="inlineStr">
        <is>
          <t>Not stated on page</t>
        </is>
      </c>
      <c r="L83" s="24" t="inlineStr">
        <is>
          <t>Not stated on page.</t>
        </is>
      </c>
      <c r="M83" s="24" t="inlineStr">
        <is>
          <t>Barkham, M., Bewick, B., Mullin, T., Gilbody, S., Connell, J., Cahill, J., Mellor-Clark, J., Richards, D., Unsworth, G., &amp; Evans, C. (2013). Counselling and Psychotherapy Research. doi:10.1080/14733145.2012.729069</t>
        </is>
      </c>
      <c r="N83" s="24" t="inlineStr">
        <is>
          <t>"The copyright holder for the CORE-10 is the CORE System Trust". No further licensing terms on page.</t>
        </is>
      </c>
      <c r="O83" s="24" t="inlineStr">
        <is>
          <t>not stated</t>
        </is>
      </c>
      <c r="P83" s="24" t="inlineStr">
        <is>
          <t>Shortlist: coaching and wellbeing (client facing possible)</t>
        </is>
      </c>
      <c r="Q83" s="24" t="inlineStr"/>
      <c r="R83" s="24" t="inlineStr"/>
      <c r="S83" s="24" t="inlineStr">
        <is>
          <t>Scoring and Interpretation and Psychometric Properties sections are gated behind Professional Access login and not visible to an unauthenticated fetch. Copyright held by a third party (CORE System Trust). Page developer section lists a different DOI (10.4236/psych.2014.510141) that appears to be an error.</t>
        </is>
      </c>
      <c r="T83" s="24" t="inlineStr">
        <is>
          <t>https://novopsych.com/assessments/outcome-monitoring/clinical-outcomes-in-routine-evaluation-10-core-10/</t>
        </is>
      </c>
    </row>
    <row r="84">
      <c r="A84" s="24" t="n">
        <v>83</v>
      </c>
      <c r="B84" s="24" t="inlineStr">
        <is>
          <t>Camouflaging Autistic Traits Questionnaire</t>
        </is>
      </c>
      <c r="C84" s="24" t="inlineStr">
        <is>
          <t>CAT-Q</t>
        </is>
      </c>
      <c r="D84" s="24" t="inlineStr">
        <is>
          <t>Adolescent, Autism, Formulation</t>
        </is>
      </c>
      <c r="E84" s="24" t="inlineStr">
        <is>
          <t>Strategies used to adapt to or mask autistic traits in social situations.</t>
        </is>
      </c>
      <c r="F84" s="24" t="n">
        <v>25</v>
      </c>
      <c r="G84" s="24" t="inlineStr">
        <is>
          <t>Self report</t>
        </is>
      </c>
      <c r="H84" s="24" t="inlineStr">
        <is>
          <t>16+</t>
        </is>
      </c>
      <c r="I84" s="24" t="n"/>
      <c r="J84" s="24" t="inlineStr">
        <is>
          <t>Compensation, Masking, Assimilation</t>
        </is>
      </c>
      <c r="K84" s="24" t="inlineStr">
        <is>
          <t>Not stated on page</t>
        </is>
      </c>
      <c r="L84" s="24" t="inlineStr">
        <is>
          <t>Total and subscale scores reported as percentiles against non autistic adults of the same gender; higher = more camouflaging. Qualitative descriptors described without cut off values. A change of 13 or more total points is treated as meaningful.</t>
        </is>
      </c>
      <c r="M84" s="24" t="inlineStr">
        <is>
          <t>Hull, L., Mandy, W., Lai, M. C., Baron-Cohen, S., Allison, C., Smith, P., &amp; Petrides, K. V. (2019). Journal of Autism and Developmental Disorders, 49(3), 819-833.</t>
        </is>
      </c>
      <c r="N84" s="24" t="inlineStr">
        <is>
          <t>No copyright, licensing or permission statement found on page.</t>
        </is>
      </c>
      <c r="O84" s="24" t="inlineStr">
        <is>
          <t>not stated</t>
        </is>
      </c>
      <c r="P84" s="24" t="inlineStr">
        <is>
          <t>Out of scope for the hub (child, adolescent, sport, eating, clinician or service feedback)</t>
        </is>
      </c>
      <c r="Q84" s="24" t="inlineStr"/>
      <c r="R84" s="24" t="inlineStr"/>
      <c r="S84" s="24" t="inlineStr">
        <is>
          <t>Administration time not stated.</t>
        </is>
      </c>
      <c r="T84" s="24" t="inlineStr">
        <is>
          <t>https://novopsych.com/assessments/formulation/camouflaging-autistic-traits-questionnaire-cat-q/</t>
        </is>
      </c>
    </row>
    <row r="85">
      <c r="A85" s="24" t="n">
        <v>84</v>
      </c>
      <c r="B85" s="24" t="inlineStr">
        <is>
          <t>Maladaptive Schema Scale</t>
        </is>
      </c>
      <c r="C85" s="24" t="inlineStr">
        <is>
          <t>MSS</t>
        </is>
      </c>
      <c r="D85" s="24" t="inlineStr">
        <is>
          <t>Formulation</t>
        </is>
      </c>
      <c r="E85" s="24" t="inlineStr">
        <is>
          <t>Maladaptive patterns of thought, behaviour and emotion (27 schemas) relevant to mental ill health, for case formulation.</t>
        </is>
      </c>
      <c r="F85" s="24" t="n">
        <v>108</v>
      </c>
      <c r="G85" s="24" t="inlineStr">
        <is>
          <t>Self report</t>
        </is>
      </c>
      <c r="H85" s="24" t="inlineStr">
        <is>
          <t>18+</t>
        </is>
      </c>
      <c r="I85" s="24" t="n">
        <v>15</v>
      </c>
      <c r="J85" s="24" t="inlineStr">
        <is>
          <t>27 schemas (not all named on page), Childhood Unmet Needs Clusters, Schema Focus Categories</t>
        </is>
      </c>
      <c r="K85" s="24" t="inlineStr">
        <is>
          <t>Not stated on page</t>
        </is>
      </c>
      <c r="L85" s="24" t="inlineStr">
        <is>
          <t>Method not stated. Clinical thresholds are set at the 90th percentile of a clinical sample; numeric cut offs not published on page.</t>
        </is>
      </c>
      <c r="M85" s="24" t="inlineStr">
        <is>
          <t>Not stated on page for the MSS. Related: Buchanan, B., et al. (2025). Assessment. doi:10.1177/10731911251390083. Page says NovoPsych developed the adaptive MSS-Dynamic.</t>
        </is>
      </c>
      <c r="N85" s="24" t="inlineStr">
        <is>
          <t>"The MSS is distributed under an open-source license, removing the restrictive copyright and financial barriers associated with the YSQ and its derivatives, thereby providing free access for clinical and research use."</t>
        </is>
      </c>
      <c r="O85" s="24" t="inlineStr">
        <is>
          <t>free, copyright held by authors</t>
        </is>
      </c>
      <c r="P85" s="24" t="inlineStr">
        <is>
          <t>Shortlist: coaching and wellbeing (client facing possible)</t>
        </is>
      </c>
      <c r="Q85" s="24" t="inlineStr"/>
      <c r="R85" s="24" t="inlineStr"/>
      <c r="S85" s="24" t="inlineStr">
        <is>
          <t>Open source licence stated; exact licence name not given. Example schemas named: Excessive Self-Reliance / Avoidant Attachment, Lack of Coherent Identity, Meaningless World, Unfairness. Page published 28 October 2024.</t>
        </is>
      </c>
      <c r="T85" s="24" t="inlineStr">
        <is>
          <t>https://novopsych.com/assessments/formulation/maladaptive-schema-scale-mss/</t>
        </is>
      </c>
    </row>
    <row r="86">
      <c r="A86" s="24" t="n">
        <v>85</v>
      </c>
      <c r="B86" s="24" t="inlineStr">
        <is>
          <t>Maladaptive Schema Scale, Young Schema Aligned</t>
        </is>
      </c>
      <c r="C86" s="24" t="inlineStr">
        <is>
          <t>MSS-YSQ</t>
        </is>
      </c>
      <c r="D86" s="24" t="inlineStr">
        <is>
          <t>Formulation</t>
        </is>
      </c>
      <c r="E86" s="24" t="inlineStr">
        <is>
          <t>Problematic thinking, behavioural and emotional patterns aligned with the schemas of the 1990 Young Schema Questionnaire.</t>
        </is>
      </c>
      <c r="F86" s="24" t="n">
        <v>76</v>
      </c>
      <c r="G86" s="24" t="inlineStr">
        <is>
          <t>Self report (implied; not stated)</t>
        </is>
      </c>
      <c r="H86" s="24" t="inlineStr">
        <is>
          <t>18+</t>
        </is>
      </c>
      <c r="I86" s="24" t="n">
        <v>8</v>
      </c>
      <c r="J86" s="24" t="inlineStr"/>
      <c r="K86" s="24" t="inlineStr">
        <is>
          <t>Not stated on page</t>
        </is>
      </c>
      <c r="L86" s="24" t="inlineStr">
        <is>
          <t>Not stated on page. A schema scores bar chart is referenced.</t>
        </is>
      </c>
      <c r="M86" s="24" t="inlineStr">
        <is>
          <t>Buchanan, B., Bartholomew, E., Smyth, C., &amp; Hegarty, D. (2024). The Maladaptive Schema Scale, Young Schema Aligned. Parent instrument: Buchanan et al. (2025). Assessment. doi:10.1177/10731911251390083</t>
        </is>
      </c>
      <c r="N86" s="24" t="inlineStr">
        <is>
          <t>Site footer only: "© 2026 Copyright – NovoPsych – All rights reserved". No instrument specific statement on the page.</t>
        </is>
      </c>
      <c r="O86" s="24" t="inlineStr">
        <is>
          <t>not stated</t>
        </is>
      </c>
      <c r="P86" s="24" t="inlineStr">
        <is>
          <t>Shortlist: coaching and wellbeing (client facing possible)</t>
        </is>
      </c>
      <c r="Q86" s="24" t="inlineStr"/>
      <c r="R86" s="24" t="inlineStr"/>
      <c r="S86" s="24" t="inlineStr">
        <is>
          <t>Scoring and Interpretation and Psychometric Properties sections are gated behind Professional Access login and not visible to an unauthenticated fetch. Schema names section present but not captured. Parent MSS page states an open source licence; not restated here.</t>
        </is>
      </c>
      <c r="T86" s="24" t="inlineStr">
        <is>
          <t>https://novopsych.com/assessments/formulation/mss-ysq-young-schema-questionnaire/</t>
        </is>
      </c>
    </row>
    <row r="87">
      <c r="A87" s="24" t="n">
        <v>86</v>
      </c>
      <c r="B87" s="24" t="inlineStr">
        <is>
          <t>Brief Experiential Avoidance Questionnaire</t>
        </is>
      </c>
      <c r="C87" s="24" t="inlineStr">
        <is>
          <t>BEAQ</t>
        </is>
      </c>
      <c r="D87" s="24" t="inlineStr">
        <is>
          <t>Formulation</t>
        </is>
      </c>
      <c r="E87" s="24" t="inlineStr">
        <is>
          <t>Tendency to avoid unpleasant emotions, thoughts, memories or bodily sensations.</t>
        </is>
      </c>
      <c r="F87" s="24" t="n"/>
      <c r="G87" s="24" t="inlineStr">
        <is>
          <t>Self report (implied; not stated)</t>
        </is>
      </c>
      <c r="H87" s="24" t="inlineStr">
        <is>
          <t>18+</t>
        </is>
      </c>
      <c r="I87" s="24" t="n">
        <v>3</v>
      </c>
      <c r="J87" s="24" t="inlineStr"/>
      <c r="K87" s="24" t="inlineStr">
        <is>
          <t>Not stated on page</t>
        </is>
      </c>
      <c r="L87" s="24" t="inlineStr">
        <is>
          <t>Not stated on page.</t>
        </is>
      </c>
      <c r="M87" s="24" t="inlineStr">
        <is>
          <t>Gamez, W., Chmielewski, M., Kotov, R., Ruggero, C., Suzuki, N., &amp; Watson, D. (2014). Psychological Assessment, 26(1), 35-45. doi:10.1037/a0034473</t>
        </is>
      </c>
      <c r="N87" s="24" t="inlineStr">
        <is>
          <t>Site footer only: "© 2026 Copyright – NovoPsych – All rights reserved". No instrument specific statement on the page.</t>
        </is>
      </c>
      <c r="O87" s="24" t="inlineStr">
        <is>
          <t>not stated</t>
        </is>
      </c>
      <c r="P87" s="24" t="inlineStr">
        <is>
          <t>Shortlist: coaching and wellbeing (client facing possible)</t>
        </is>
      </c>
      <c r="Q87" s="24" t="inlineStr"/>
      <c r="R87" s="24" t="inlineStr"/>
      <c r="S87" s="24" t="inlineStr">
        <is>
          <t>Scoring and Interpretation and Psychometric Properties sections are gated behind Professional Access login and not visible to an unauthenticated fetch. Item count not stated (published BEAQ has 15 items; verify).</t>
        </is>
      </c>
      <c r="T87" s="24" t="inlineStr">
        <is>
          <t>https://novopsych.com/assessments/formulation/brief-experiential-avoidance-questionnaire-beaq/</t>
        </is>
      </c>
    </row>
    <row r="88">
      <c r="A88" s="24" t="n">
        <v>87</v>
      </c>
      <c r="B88" s="24" t="inlineStr">
        <is>
          <t>Strengths and Weaknesses of ADHD Symptoms and Normal Behavior Scale</t>
        </is>
      </c>
      <c r="C88" s="24" t="inlineStr">
        <is>
          <t>SWAN</t>
        </is>
      </c>
      <c r="D88" s="24" t="inlineStr">
        <is>
          <t>ADHD</t>
        </is>
      </c>
      <c r="E88" s="24" t="inlineStr">
        <is>
          <t>Strengths and difficulties in attention and behavioural regulation in children and adolescents.</t>
        </is>
      </c>
      <c r="F88" s="24" t="n">
        <v>18</v>
      </c>
      <c r="G88" s="24" t="inlineStr">
        <is>
          <t>Parent report (typical); other versions not stated</t>
        </is>
      </c>
      <c r="H88" s="24" t="inlineStr">
        <is>
          <t>5 to 18 years</t>
        </is>
      </c>
      <c r="I88" s="24" t="n">
        <v>3</v>
      </c>
      <c r="J88" s="24" t="inlineStr"/>
      <c r="K88" s="24" t="inlineStr">
        <is>
          <t>Not stated on page</t>
        </is>
      </c>
      <c r="L88" s="24" t="inlineStr">
        <is>
          <t>Not stated on page.</t>
        </is>
      </c>
      <c r="M88" s="24" t="inlineStr">
        <is>
          <t>Developer James M. Swanson. Swanson, J. M., Schuck, S., Porter, M. M., et al. (2012). The International Journal of Educational and Psychological Assessment, 10(1), 51-70.</t>
        </is>
      </c>
      <c r="N88" s="24" t="inlineStr">
        <is>
          <t>Site footer only: "© 2026 Copyright – NovoPsych – All rights reserved". No instrument specific statement on the page.</t>
        </is>
      </c>
      <c r="O88" s="24" t="inlineStr">
        <is>
          <t>not stated</t>
        </is>
      </c>
      <c r="P88" s="24" t="inlineStr">
        <is>
          <t>Out of scope for the hub (not self report)</t>
        </is>
      </c>
      <c r="Q88" s="24" t="inlineStr"/>
      <c r="R88" s="24" t="inlineStr"/>
      <c r="S88" s="24" t="inlineStr">
        <is>
          <t>Scoring and Interpretation and Psychometric Properties sections are gated behind Professional Access login and not visible to an unauthenticated fetch. PDF download offered without stated terms. URL sits under /adhd/ rather than /assessments/.</t>
        </is>
      </c>
      <c r="T88" s="24" t="inlineStr">
        <is>
          <t>https://novopsych.com/adhd/strengths-and-weaknesses-of-adhd-symptoms-and-normal-behavior-scale-swan/</t>
        </is>
      </c>
    </row>
    <row r="89">
      <c r="A89" s="24" t="n">
        <v>88</v>
      </c>
      <c r="B89" s="24" t="inlineStr">
        <is>
          <t>Brief Early Schema Questionnaire</t>
        </is>
      </c>
      <c r="C89" s="24" t="inlineStr">
        <is>
          <t>BESQ</t>
        </is>
      </c>
      <c r="D89" s="24" t="inlineStr">
        <is>
          <t>Formulation</t>
        </is>
      </c>
      <c r="E89" s="24" t="inlineStr">
        <is>
          <t>Rapid screening of maladaptive patterns of thoughts, behaviours and emotions (early maladaptive schemas).</t>
        </is>
      </c>
      <c r="F89" s="24" t="n">
        <v>24</v>
      </c>
      <c r="G89" s="24" t="inlineStr">
        <is>
          <t>Self report (implied; not stated)</t>
        </is>
      </c>
      <c r="H89" s="24" t="inlineStr">
        <is>
          <t>18+</t>
        </is>
      </c>
      <c r="I89" s="24" t="n">
        <v>6</v>
      </c>
      <c r="J89" s="24" t="inlineStr"/>
      <c r="K89" s="24" t="inlineStr">
        <is>
          <t>Not stated on page</t>
        </is>
      </c>
      <c r="L89" s="24" t="inlineStr">
        <is>
          <t>Not stated on page.</t>
        </is>
      </c>
      <c r="M89" s="24" t="inlineStr">
        <is>
          <t>Brockman, R., Hayes, C., &amp; Behary, W. (2023). Brief Early Schema Questionnaire (BESQ). No journal listed.</t>
        </is>
      </c>
      <c r="N89" s="24" t="inlineStr">
        <is>
          <t>Site footer only: "© 2026 Copyright – NovoPsych – All rights reserved". No instrument specific statement on the page.</t>
        </is>
      </c>
      <c r="O89" s="24" t="inlineStr">
        <is>
          <t>not stated</t>
        </is>
      </c>
      <c r="P89" s="24" t="inlineStr">
        <is>
          <t>Shortlist: coaching and wellbeing (client facing possible)</t>
        </is>
      </c>
      <c r="Q89" s="24" t="inlineStr"/>
      <c r="R89" s="24" t="inlineStr"/>
      <c r="S89" s="24" t="inlineStr">
        <is>
          <t>Scoring and Interpretation and Psychometric Properties sections are gated behind Professional Access login and not visible to an unauthenticated fetch.</t>
        </is>
      </c>
      <c r="T89" s="24" t="inlineStr">
        <is>
          <t>https://novopsych.com/assessments/formulation/brief-early-schema-questionnaire-besq/</t>
        </is>
      </c>
    </row>
    <row r="90">
      <c r="A90" s="24" t="n">
        <v>89</v>
      </c>
      <c r="B90" s="24" t="inlineStr">
        <is>
          <t>Binge Eating Scale</t>
        </is>
      </c>
      <c r="C90" s="24" t="inlineStr">
        <is>
          <t>BES</t>
        </is>
      </c>
      <c r="D90" s="24" t="inlineStr">
        <is>
          <t>Body image and eating</t>
        </is>
      </c>
      <c r="E90" s="24" t="inlineStr">
        <is>
          <t>Presence and behavioural features of binge eating disorder.</t>
        </is>
      </c>
      <c r="F90" s="24" t="n">
        <v>16</v>
      </c>
      <c r="G90" s="24" t="inlineStr">
        <is>
          <t>Self report</t>
        </is>
      </c>
      <c r="H90" s="24" t="inlineStr">
        <is>
          <t>18+</t>
        </is>
      </c>
      <c r="I90" s="24" t="n">
        <v>5</v>
      </c>
      <c r="J90" s="24" t="inlineStr"/>
      <c r="K90" s="24" t="inlineStr">
        <is>
          <t>Not stated on page</t>
        </is>
      </c>
      <c r="L90" s="24" t="inlineStr">
        <is>
          <t>Not stated on page.</t>
        </is>
      </c>
      <c r="M90" s="24" t="inlineStr">
        <is>
          <t>Gormally, J., Black, S., Daston, S., &amp; Rardin, D. (1982). Addictive Behaviors, 7(1), 47-55.</t>
        </is>
      </c>
      <c r="N90" s="24" t="inlineStr">
        <is>
          <t>Site footer only: "© 2026 Copyright – NovoPsych – All rights reserved". No instrument specific statement on the page.</t>
        </is>
      </c>
      <c r="O90" s="24" t="inlineStr">
        <is>
          <t>not stated</t>
        </is>
      </c>
      <c r="P90" s="24" t="inlineStr">
        <is>
          <t>Out of scope for the hub (child, adolescent, sport, eating, clinician or service feedback)</t>
        </is>
      </c>
      <c r="Q90" s="24" t="inlineStr"/>
      <c r="R90" s="24" t="inlineStr"/>
      <c r="S90" s="24" t="inlineStr">
        <is>
          <t>Scoring and Interpretation and Psychometric Properties sections are gated behind Professional Access login and not visible to an unauthenticated fetch.</t>
        </is>
      </c>
      <c r="T90" s="24" t="inlineStr">
        <is>
          <t>https://novopsych.com/assessments/eating/binge-eating-scale-bes/</t>
        </is>
      </c>
    </row>
    <row r="91">
      <c r="A91" s="24" t="n">
        <v>90</v>
      </c>
      <c r="B91" s="24" t="inlineStr">
        <is>
          <t>Childhood Autism Spectrum Test</t>
        </is>
      </c>
      <c r="C91" s="24" t="inlineStr">
        <is>
          <t>CAST</t>
        </is>
      </c>
      <c r="D91" s="24" t="inlineStr">
        <is>
          <t>Autism, Child, Diagnosis</t>
        </is>
      </c>
      <c r="E91" s="24" t="inlineStr">
        <is>
          <t>Screens for developmental differences in children's social and communication functioning.</t>
        </is>
      </c>
      <c r="F91" s="24" t="n"/>
      <c r="G91" s="24" t="inlineStr">
        <is>
          <t>Informant report (parent, carer or teacher)</t>
        </is>
      </c>
      <c r="H91" s="24" t="inlineStr">
        <is>
          <t>4 to 11 years</t>
        </is>
      </c>
      <c r="I91" s="24" t="n">
        <v>5</v>
      </c>
      <c r="J91" s="24" t="inlineStr"/>
      <c r="K91" s="24" t="inlineStr">
        <is>
          <t>Not stated on page</t>
        </is>
      </c>
      <c r="L91" s="24" t="inlineStr">
        <is>
          <t>Not stated on page.</t>
        </is>
      </c>
      <c r="M91" s="24" t="inlineStr">
        <is>
          <t>Scott, F. J., Baron-Cohen, S., Bolton, P., &amp; Brayne, C. (2002). The CAST (Childhood Asperger Syndrome Test). Autism, 6(1), 9-31.</t>
        </is>
      </c>
      <c r="N91" s="24" t="inlineStr">
        <is>
          <t>Site footer only: "© 2026 Copyright – NovoPsych – All rights reserved". No instrument specific statement on the page.</t>
        </is>
      </c>
      <c r="O91" s="24" t="inlineStr">
        <is>
          <t>not stated</t>
        </is>
      </c>
      <c r="P91" s="24" t="inlineStr">
        <is>
          <t>Out of scope for the hub (child, adolescent, sport, eating, clinician or service feedback)</t>
        </is>
      </c>
      <c r="Q91" s="24" t="inlineStr"/>
      <c r="R91" s="24" t="inlineStr"/>
      <c r="S91" s="24" t="inlineStr">
        <is>
          <t>Scoring and Interpretation and Psychometric Properties sections are gated behind Professional Access login and not visible to an unauthenticated fetch. Originally named Childhood Asperger Syndrome Test. Item count not stated (published CAST has 37 items; verify). Blank PDF download offered.</t>
        </is>
      </c>
      <c r="T91" s="24" t="inlineStr">
        <is>
          <t>https://novopsych.com/assessments/diagnosis/childhood-autism-spectrum-test-cast/</t>
        </is>
      </c>
    </row>
    <row r="92">
      <c r="A92" s="24" t="n">
        <v>91</v>
      </c>
      <c r="B92" s="24" t="inlineStr">
        <is>
          <t>Anxiety, Depression, and Mood Scale</t>
        </is>
      </c>
      <c r="C92" s="24" t="inlineStr">
        <is>
          <t>ADAMS</t>
        </is>
      </c>
      <c r="D92" s="24" t="inlineStr">
        <is>
          <t>Disability</t>
        </is>
      </c>
      <c r="E92" s="24" t="inlineStr">
        <is>
          <t>Symptoms of anxiety, depression and other mood disorders in people with intellectual disability.</t>
        </is>
      </c>
      <c r="F92" s="24" t="n"/>
      <c r="G92" s="24" t="inlineStr">
        <is>
          <t>Informant report</t>
        </is>
      </c>
      <c r="H92" s="24" t="inlineStr">
        <is>
          <t>10+</t>
        </is>
      </c>
      <c r="I92" s="24" t="n">
        <v>5</v>
      </c>
      <c r="J92" s="24" t="inlineStr"/>
      <c r="K92" s="24" t="inlineStr">
        <is>
          <t>Not stated on page</t>
        </is>
      </c>
      <c r="L92" s="24" t="inlineStr">
        <is>
          <t>Not stated on page</t>
        </is>
      </c>
      <c r="M92" s="24" t="inlineStr">
        <is>
          <t>Esbensen, A. J., Rojahn, J., Aman, M. G., &amp; Ruedrich, S. (2003). Reliability and validity of an assessment instrument for anxiety, depression, and mood among individuals with mental retardation. Journal of Autism and Developmental Disorders, 33(6), 617-629.</t>
        </is>
      </c>
      <c r="N92" s="24" t="inlineStr">
        <is>
          <t>© 2026 Copyright – NovoPsych – All rights reserved</t>
        </is>
      </c>
      <c r="O92" s="24" t="inlineStr">
        <is>
          <t>not stated</t>
        </is>
      </c>
      <c r="P92" s="24" t="inlineStr">
        <is>
          <t>Out of scope for the hub (not self report)</t>
        </is>
      </c>
      <c r="Q92" s="24" t="inlineStr"/>
      <c r="R92" s="24" t="inlineStr"/>
      <c r="S92" s="24" t="inlineStr">
        <is>
          <t>Item count, response scale and scoring not visible. Detailed sections are behind Professional Access; only the site footer copyright notice appears on the public page.</t>
        </is>
      </c>
      <c r="T92" s="24" t="inlineStr">
        <is>
          <t>https://novopsych.com/assessments/disability/anxiety-depression-mood-scale-adams/</t>
        </is>
      </c>
    </row>
    <row r="93">
      <c r="A93" s="24" t="n">
        <v>92</v>
      </c>
      <c r="B93" s="24" t="inlineStr">
        <is>
          <t>Mental Health Literacy Scale</t>
        </is>
      </c>
      <c r="C93" s="24" t="inlineStr">
        <is>
          <t>MHLS</t>
        </is>
      </c>
      <c r="D93" s="24" t="inlineStr">
        <is>
          <t>Clinician self assessment, Formulation</t>
        </is>
      </c>
      <c r="E93" s="24" t="inlineStr">
        <is>
          <t>Knowledge and beliefs about mental disorders that support their recognition, management or prevention.</t>
        </is>
      </c>
      <c r="F93" s="24" t="n">
        <v>35</v>
      </c>
      <c r="G93" s="24" t="inlineStr">
        <is>
          <t>Self report (listed under clinician self assessment)</t>
        </is>
      </c>
      <c r="H93" s="24" t="inlineStr">
        <is>
          <t>13+</t>
        </is>
      </c>
      <c r="I93" s="24" t="n">
        <v>5</v>
      </c>
      <c r="J93" s="24" t="inlineStr"/>
      <c r="K93" s="24" t="inlineStr">
        <is>
          <t>Not stated on page</t>
        </is>
      </c>
      <c r="L93" s="24" t="inlineStr">
        <is>
          <t>Not stated on page</t>
        </is>
      </c>
      <c r="M93" s="24" t="inlineStr">
        <is>
          <t>O'Connor, M., &amp; Casey, L. (2015). The Mental Health Literacy Scale (MHLS): A new scale-based measure of mental health literacy. Psychiatry Research, 229(1-2), 511-516.</t>
        </is>
      </c>
      <c r="N93" s="24" t="inlineStr">
        <is>
          <t>"The MHLS is not to be used for commercial purposes." Page also states that those interested in using the MHLS for research purposes should contact the developer. Site footer: © 2026 Copyright – NovoPsych – All rights reserved</t>
        </is>
      </c>
      <c r="O93" s="24" t="inlineStr">
        <is>
          <t>permission required</t>
        </is>
      </c>
      <c r="P93" s="24" t="inlineStr">
        <is>
          <t>Out of scope for the hub (child, adolescent, sport, eating, clinician or service feedback)</t>
        </is>
      </c>
      <c r="Q93" s="24" t="inlineStr"/>
      <c r="R93" s="24" t="inlineStr"/>
      <c r="S93" s="24" t="inlineStr">
        <is>
          <t>Non commercial use only; developer contact required for research use. Scoring section not visible on public page.</t>
        </is>
      </c>
      <c r="T93" s="24" t="inlineStr">
        <is>
          <t>https://novopsych.com/assessments/clinician-self-assessment/mental-health-literacy-scale-mhls/</t>
        </is>
      </c>
    </row>
    <row r="94">
      <c r="A94" s="24" t="n">
        <v>93</v>
      </c>
      <c r="B94" s="24" t="inlineStr">
        <is>
          <t>Buss and Perry Aggression Questionnaire</t>
        </is>
      </c>
      <c r="C94" s="24" t="inlineStr">
        <is>
          <t>BPAQ</t>
        </is>
      </c>
      <c r="D94" s="24" t="inlineStr">
        <is>
          <t>Formulation, Personality</t>
        </is>
      </c>
      <c r="E94" s="24" t="inlineStr">
        <is>
          <t>Self reported aggression across physical and verbal aggression, anger and hostility.</t>
        </is>
      </c>
      <c r="F94" s="24" t="n">
        <v>29</v>
      </c>
      <c r="G94" s="24" t="inlineStr">
        <is>
          <t>Self report</t>
        </is>
      </c>
      <c r="H94" s="24" t="inlineStr">
        <is>
          <t>18+</t>
        </is>
      </c>
      <c r="I94" s="24" t="n">
        <v>5</v>
      </c>
      <c r="J94" s="24" t="inlineStr">
        <is>
          <t>Physical Aggression, Verbal Aggression, Anger, Hostility</t>
        </is>
      </c>
      <c r="K94" s="24" t="inlineStr">
        <is>
          <t>5 point rating scale; anchor labels not stated on page</t>
        </is>
      </c>
      <c r="L94" s="24" t="inlineStr">
        <is>
          <t>Subscales summed; ranges Physical Aggression 9 to 45, Verbal Aggression 5 to 25, Anger 7 to 35, Hostility 8 to 40. Higher scores indicate more of the construct. No cut offs stated.</t>
        </is>
      </c>
      <c r="M94" s="24" t="inlineStr">
        <is>
          <t>Buss, A. H., &amp; Perry, M. (1992). The Aggression Questionnaire. Journal of Personality and Social Psychology, 63(3), 452-459.</t>
        </is>
      </c>
      <c r="N94" s="24" t="inlineStr">
        <is>
          <t>© 2026 Copyright – NovoPsych – All rights reserved</t>
        </is>
      </c>
      <c r="O94" s="24" t="inlineStr">
        <is>
          <t>not stated</t>
        </is>
      </c>
      <c r="P94" s="24" t="inlineStr">
        <is>
          <t>Shortlist: coaching and wellbeing (client facing possible)</t>
        </is>
      </c>
      <c r="Q94" s="24" t="inlineStr"/>
      <c r="R94" s="24" t="inlineStr"/>
      <c r="S94" s="24" t="inlineStr">
        <is>
          <t>Repeat administrations graphed over time on the platform.</t>
        </is>
      </c>
      <c r="T94" s="24" t="inlineStr">
        <is>
          <t>https://novopsych.com/assessments/formulation/buss-perry-aggression-questionnaire-bpaq/</t>
        </is>
      </c>
    </row>
    <row r="95">
      <c r="A95" s="24" t="n">
        <v>94</v>
      </c>
      <c r="B95" s="24" t="inlineStr">
        <is>
          <t>Brief Emotional Distress Scale for Youth</t>
        </is>
      </c>
      <c r="C95" s="24" t="inlineStr">
        <is>
          <t>BEDSY</t>
        </is>
      </c>
      <c r="D95" s="24" t="inlineStr">
        <is>
          <t>Adolescent, Outcome monitoring</t>
        </is>
      </c>
      <c r="E95" s="24" t="inlineStr">
        <is>
          <t>General emotional distress in young people rather than specific anxiety or depression symptoms.</t>
        </is>
      </c>
      <c r="F95" s="24" t="n">
        <v>8</v>
      </c>
      <c r="G95" s="24" t="inlineStr">
        <is>
          <t>Self report</t>
        </is>
      </c>
      <c r="H95" s="24" t="inlineStr">
        <is>
          <t>11 to 17</t>
        </is>
      </c>
      <c r="I95" s="24" t="n">
        <v>1</v>
      </c>
      <c r="J95" s="24" t="inlineStr"/>
      <c r="K95" s="24" t="inlineStr">
        <is>
          <t>Not stated on page</t>
        </is>
      </c>
      <c r="L95" s="24" t="inlineStr">
        <is>
          <t>Not stated on page</t>
        </is>
      </c>
      <c r="M95" s="24" t="inlineStr">
        <is>
          <t>Spence, S. H., &amp; Rapee, R. M. (2022). Journal of Anxiety Disorders, 85, 102495. https://doi.org/10.1016/j.janxdis.2021.102495</t>
        </is>
      </c>
      <c r="N95" s="24" t="inlineStr">
        <is>
          <t>© 2026 Copyright – NovoPsych – All rights reserved</t>
        </is>
      </c>
      <c r="O95" s="24" t="inlineStr">
        <is>
          <t>not stated</t>
        </is>
      </c>
      <c r="P95" s="24" t="inlineStr">
        <is>
          <t>Out of scope for the hub (child, adolescent, sport, eating, clinician or service feedback)</t>
        </is>
      </c>
      <c r="Q95" s="24" t="inlineStr"/>
      <c r="R95" s="24" t="inlineStr"/>
      <c r="S95" s="24" t="inlineStr">
        <is>
          <t>Scoring and interpretation heading present without visible content. Detailed sections are behind Professional Access; only the site footer copyright notice appears on the public page.</t>
        </is>
      </c>
      <c r="T95" s="24" t="inlineStr">
        <is>
          <t>https://novopsych.com/assessments/outcome-monitoring/brief-emotional-distress-scale-for-youth-bedsy/</t>
        </is>
      </c>
    </row>
    <row r="96">
      <c r="A96" s="24" t="n">
        <v>95</v>
      </c>
      <c r="B96" s="24" t="inlineStr">
        <is>
          <t>Geriatric Depression Scale 15</t>
        </is>
      </c>
      <c r="C96" s="24" t="inlineStr">
        <is>
          <t>GDS-15</t>
        </is>
      </c>
      <c r="D96" s="24" t="inlineStr">
        <is>
          <t>Depression, Diagnosis</t>
        </is>
      </c>
      <c r="E96" s="24" t="inlineStr">
        <is>
          <t>Screening for depression in older adults based on feelings over the past week.</t>
        </is>
      </c>
      <c r="F96" s="24" t="n">
        <v>15</v>
      </c>
      <c r="G96" s="24" t="inlineStr">
        <is>
          <t>Not stated on page (self report by design)</t>
        </is>
      </c>
      <c r="H96" s="24" t="inlineStr">
        <is>
          <t>55+</t>
        </is>
      </c>
      <c r="I96" s="24" t="n">
        <v>3</v>
      </c>
      <c r="J96" s="24" t="inlineStr"/>
      <c r="K96" s="24" t="inlineStr">
        <is>
          <t>Not stated on page</t>
        </is>
      </c>
      <c r="L96" s="24" t="inlineStr">
        <is>
          <t>Cut off of 6 for clinical depression; results shown as percentiles against older adult norms. Sum method and direction not stated on page.</t>
        </is>
      </c>
      <c r="M96" s="24" t="inlineStr">
        <is>
          <t>Yesavage, J. A., Brink, T. L., Rose, T. L., Lum, O., Huang, V., Adey, M., &amp; Leirer, V. O. (1982). Development and validation of a geriatric depression screening scale: A preliminary report. Journal of Psychiatric Research, 17(1), 37-49.</t>
        </is>
      </c>
      <c r="N96" s="24" t="inlineStr">
        <is>
          <t>© 2026 Copyright – NovoPsych – All rights reserved</t>
        </is>
      </c>
      <c r="O96" s="24" t="inlineStr">
        <is>
          <t>not stated</t>
        </is>
      </c>
      <c r="P96" s="24" t="inlineStr">
        <is>
          <t>Shortlist: screening or clinical (Sarah only if used)</t>
        </is>
      </c>
      <c r="Q96" s="24" t="inlineStr"/>
      <c r="R96" s="24" t="inlineStr"/>
      <c r="S96" s="24" t="inlineStr">
        <is>
          <t>Meta description mentions 2 subscales but they are not named on the page.</t>
        </is>
      </c>
      <c r="T96" s="24" t="inlineStr">
        <is>
          <t>https://novopsych.com/assessments/diagnosis/geriatric-depression-scale-15-gds/</t>
        </is>
      </c>
    </row>
    <row r="97">
      <c r="A97" s="24" t="n">
        <v>96</v>
      </c>
      <c r="B97" s="24" t="inlineStr">
        <is>
          <t>Weiss Symptom Record II</t>
        </is>
      </c>
      <c r="C97" s="24" t="inlineStr">
        <is>
          <t>WSR-II</t>
        </is>
      </c>
      <c r="D97" s="24" t="inlineStr">
        <is>
          <t>Formulation</t>
        </is>
      </c>
      <c r="E97" s="24" t="inlineStr">
        <is>
          <t>Broad screening tool for systematically gathering information about a wide range of psychiatric symptoms.</t>
        </is>
      </c>
      <c r="F97" s="24" t="n">
        <v>123</v>
      </c>
      <c r="G97" s="24" t="inlineStr">
        <is>
          <t>Not stated on page</t>
        </is>
      </c>
      <c r="H97" s="24" t="inlineStr">
        <is>
          <t>6+</t>
        </is>
      </c>
      <c r="I97" s="24" t="n">
        <v>20</v>
      </c>
      <c r="J97" s="24" t="inlineStr"/>
      <c r="K97" s="24" t="inlineStr">
        <is>
          <t>Not stated on page</t>
        </is>
      </c>
      <c r="L97" s="24" t="inlineStr">
        <is>
          <t>Not stated on page</t>
        </is>
      </c>
      <c r="M97" s="24" t="inlineStr">
        <is>
          <t>Weiss, M. D. (developer named on page; no full bibliographic citation given).</t>
        </is>
      </c>
      <c r="N97" s="24" t="inlineStr">
        <is>
          <t>© 2026 Copyright – NovoPsych – All rights reserved</t>
        </is>
      </c>
      <c r="O97" s="24" t="inlineStr">
        <is>
          <t>not stated</t>
        </is>
      </c>
      <c r="P97" s="24" t="inlineStr">
        <is>
          <t>Shortlist: screening or clinical (Sarah only if used)</t>
        </is>
      </c>
      <c r="Q97" s="24" t="inlineStr"/>
      <c r="R97" s="24" t="inlineStr"/>
      <c r="S97" s="24" t="inlineStr">
        <is>
          <t>Blank PDF and sample report offered without terms of use. Detailed sections are behind Professional Access; only the site footer copyright notice appears on the public page.</t>
        </is>
      </c>
      <c r="T97" s="24" t="inlineStr">
        <is>
          <t>https://novopsych.com/assessments/formulation/weiss-symptom-record-ii-wsr-ii/</t>
        </is>
      </c>
    </row>
    <row r="98">
      <c r="A98" s="24" t="n">
        <v>97</v>
      </c>
      <c r="B98" s="24" t="inlineStr">
        <is>
          <t>Indigenous Risk Impact Screen</t>
        </is>
      </c>
      <c r="C98" s="24" t="inlineStr">
        <is>
          <t>IRIS</t>
        </is>
      </c>
      <c r="D98" s="24" t="inlineStr">
        <is>
          <t>Addiction, Outcome monitoring</t>
        </is>
      </c>
      <c r="E98" s="24" t="inlineStr">
        <is>
          <t>Alcohol and other drug risk and mental health and emotional wellbeing risk in Indigenous Australian adults.</t>
        </is>
      </c>
      <c r="F98" s="24" t="n">
        <v>13</v>
      </c>
      <c r="G98" s="24" t="inlineStr">
        <is>
          <t>Not stated on page</t>
        </is>
      </c>
      <c r="H98" s="24" t="inlineStr">
        <is>
          <t>18+</t>
        </is>
      </c>
      <c r="I98" s="24" t="n">
        <v>3</v>
      </c>
      <c r="J98" s="24" t="inlineStr">
        <is>
          <t>Alcohol and Other Drug risk, Mental Health and Emotional Well-being risk</t>
        </is>
      </c>
      <c r="K98" s="24" t="inlineStr">
        <is>
          <t>Not stated on page</t>
        </is>
      </c>
      <c r="L98" s="24" t="inlineStr">
        <is>
          <t>Summed subscales, higher indicates greater risk. AOD risk ranges 7 to 28, score of 10 or more clinically significant. Mental health risk ranges 6 to 18, score of 11 or more clinically significant.</t>
        </is>
      </c>
      <c r="M98" s="24" t="inlineStr">
        <is>
          <t>Schlesinger, C. M., Ober, C., McCarthy, M. M., Watson, J. D., &amp; Seinen, A. (2007). The development and validation of the Indigenous Risk Impact Screen (IRIS). Drug and Alcohol Review, 26(2), 109-117.</t>
        </is>
      </c>
      <c r="N98" s="24" t="inlineStr">
        <is>
          <t>© 2026 Copyright – NovoPsych – All rights reserved</t>
        </is>
      </c>
      <c r="O98" s="24" t="inlineStr">
        <is>
          <t>not stated</t>
        </is>
      </c>
      <c r="P98" s="24" t="inlineStr">
        <is>
          <t>Consider</t>
        </is>
      </c>
      <c r="Q98" s="24" t="inlineStr"/>
      <c r="R98" s="24" t="inlineStr"/>
      <c r="S98" s="24" t="inlineStr">
        <is>
          <t>Items 1 to 7 form the AOD subscale and items 8 to 13 the mental health subscale.</t>
        </is>
      </c>
      <c r="T98" s="24" t="inlineStr">
        <is>
          <t>https://novopsych.com/assessments/outcome-monitoring/indigenous_risk_impact_screen/</t>
        </is>
      </c>
    </row>
    <row r="99">
      <c r="A99" s="24" t="n">
        <v>98</v>
      </c>
      <c r="B99" s="24" t="inlineStr">
        <is>
          <t>Children's Eating Attitudes Test</t>
        </is>
      </c>
      <c r="C99" s="24" t="inlineStr">
        <is>
          <t>ChEAT</t>
        </is>
      </c>
      <c r="D99" s="24" t="inlineStr">
        <is>
          <t>Adolescent, Body image and eating, Child</t>
        </is>
      </c>
      <c r="E99" s="24" t="inlineStr">
        <is>
          <t>Eating attitudes and disordered eating behaviours in children, used to screen for eating disorder risk.</t>
        </is>
      </c>
      <c r="F99" s="24" t="n">
        <v>26</v>
      </c>
      <c r="G99" s="24" t="inlineStr">
        <is>
          <t>Self report; items read aloud by administrator for younger children</t>
        </is>
      </c>
      <c r="H99" s="24" t="inlineStr">
        <is>
          <t>8 to 15</t>
        </is>
      </c>
      <c r="I99" s="24" t="n">
        <v>3</v>
      </c>
      <c r="J99" s="24" t="inlineStr"/>
      <c r="K99" s="24" t="inlineStr">
        <is>
          <t>Not stated on page</t>
        </is>
      </c>
      <c r="L99" s="24" t="inlineStr">
        <is>
          <t>Not stated on page</t>
        </is>
      </c>
      <c r="M99" s="24" t="inlineStr">
        <is>
          <t>Maloney, M. J., McGuire, J. B., &amp; Daniels, S. R. (1988). Reliability testing of a children's version of the Eating Attitude Test. Journal of the American Academy of Child &amp; Adolescent Psychiatry, 27(5), 541-543.</t>
        </is>
      </c>
      <c r="N99" s="24" t="inlineStr">
        <is>
          <t>© 2026 Copyright – NovoPsych – All rights reserved</t>
        </is>
      </c>
      <c r="O99" s="24" t="inlineStr">
        <is>
          <t>not stated</t>
        </is>
      </c>
      <c r="P99" s="24" t="inlineStr">
        <is>
          <t>Out of scope for the hub (child, adolescent, sport, eating, clinician or service feedback)</t>
        </is>
      </c>
      <c r="Q99" s="24" t="inlineStr"/>
      <c r="R99" s="24" t="inlineStr"/>
      <c r="S99" s="24" t="inlineStr">
        <is>
          <t>Second reference: Maloney et al. (1989), Pediatrics, 84(3), 482-489. Detailed sections are behind Professional Access; only the site footer copyright notice appears on the public page.</t>
        </is>
      </c>
      <c r="T99" s="24" t="inlineStr">
        <is>
          <t>https://novopsych.com/assessments/child/children-eating-attitudes-test-cheat/</t>
        </is>
      </c>
    </row>
    <row r="100">
      <c r="A100" s="24" t="n">
        <v>99</v>
      </c>
      <c r="B100" s="24" t="inlineStr">
        <is>
          <t>Oldenburg Burnout Inventory</t>
        </is>
      </c>
      <c r="C100" s="24" t="inlineStr">
        <is>
          <t>OLBI</t>
        </is>
      </c>
      <c r="D100" s="24" t="inlineStr">
        <is>
          <t>Outcome monitoring, Well-being</t>
        </is>
      </c>
      <c r="E100" s="24" t="inlineStr">
        <is>
          <t>Burnout in employed adults, covering exhaustion and disengagement from work.</t>
        </is>
      </c>
      <c r="F100" s="24" t="n">
        <v>16</v>
      </c>
      <c r="G100" s="24" t="inlineStr">
        <is>
          <t>Self report</t>
        </is>
      </c>
      <c r="H100" s="24" t="inlineStr">
        <is>
          <t>18+</t>
        </is>
      </c>
      <c r="I100" s="24" t="n">
        <v>3</v>
      </c>
      <c r="J100" s="24" t="inlineStr">
        <is>
          <t>Exhaustion, Disengagement</t>
        </is>
      </c>
      <c r="K100" s="24" t="inlineStr">
        <is>
          <t>Not stated on page</t>
        </is>
      </c>
      <c r="L100" s="24" t="inlineStr">
        <is>
          <t>Summed; subscales range 8 to 32 each, higher indicates more burnout. Percentiles against pooled norms; total of 43 is about the 49th percentile. Above 50th percentile described as clinically significant. Exhaustion 23+ and Disengagement 22+ described as high.</t>
        </is>
      </c>
      <c r="M100" s="24" t="inlineStr">
        <is>
          <t>Demerouti, E. (1999). Burnout: Eine Folge konkreter Arbeitsbedingungen bei Dienstleistungs- und Produktionstaetigkeiten. Peter Lang.</t>
        </is>
      </c>
      <c r="N100" s="24" t="inlineStr">
        <is>
          <t>© 2026 Copyright – NovoPsych – All rights reserved</t>
        </is>
      </c>
      <c r="O100" s="24" t="inlineStr">
        <is>
          <t>not stated</t>
        </is>
      </c>
      <c r="P100" s="24" t="inlineStr">
        <is>
          <t>Shortlist: coaching and wellbeing (client facing possible)</t>
        </is>
      </c>
      <c r="Q100" s="24" t="inlineStr"/>
      <c r="R100" s="24" t="inlineStr"/>
      <c r="S100" s="24" t="inlineStr">
        <is>
          <t>Change over time assessed against a minimally important difference of half a standard deviation.</t>
        </is>
      </c>
      <c r="T100" s="24" t="inlineStr">
        <is>
          <t>https://novopsych.com/assessments/well-being/oldenburg-burnout-inventory-olbi/</t>
        </is>
      </c>
    </row>
    <row r="101">
      <c r="A101" s="24" t="n">
        <v>100</v>
      </c>
      <c r="B101" s="24" t="inlineStr">
        <is>
          <t>Eating Disorder-15</t>
        </is>
      </c>
      <c r="C101" s="24" t="inlineStr">
        <is>
          <t>ED-15</t>
        </is>
      </c>
      <c r="D101" s="24" t="inlineStr">
        <is>
          <t>Body image and eating, Outcome monitoring</t>
        </is>
      </c>
      <c r="E101" s="24" t="inlineStr">
        <is>
          <t>Eating disorder attitudes and behaviours for session by session change monitoring.</t>
        </is>
      </c>
      <c r="F101" s="24" t="n">
        <v>15</v>
      </c>
      <c r="G101" s="24" t="inlineStr">
        <is>
          <t>Self report (a separate caregiver version, ED-15-P, exists)</t>
        </is>
      </c>
      <c r="H101" s="24" t="inlineStr">
        <is>
          <t>15+; youth adaptation from age 8</t>
        </is>
      </c>
      <c r="I101" s="24" t="n">
        <v>2</v>
      </c>
      <c r="J101" s="24" t="inlineStr">
        <is>
          <t>Weight &amp; Shape Concerns, Eating Concerns</t>
        </is>
      </c>
      <c r="K101" s="24" t="inlineStr">
        <is>
          <t>7 point (0 to 6) for attitudinal items; behavioural items 11 to 15 rated by frequency over the past week. Anchor labels not stated.</t>
        </is>
      </c>
      <c r="L101" s="24" t="inlineStr">
        <is>
          <t>Subscale scores are item means from 0 to 6. Scores of 2.1 or above are clinically significant (sensitivity .73, specificity .73). Reported as community and clinical percentiles; a change of 1 or more in total is clinically meaningful.</t>
        </is>
      </c>
      <c r="M101" s="24" t="inlineStr">
        <is>
          <t>Tatham, M., Turner, H., Mountford, V. A., Tritt, A., Dyas, R., &amp; Waller, G. (2015). Development, psychometric properties and preliminary clinical validation of a brief, session-by-session measure of eating disorder cognitions and behaviors: The ED-15. International Journal of Eating Disorders, 48(7), 1005-1015.</t>
        </is>
      </c>
      <c r="N101" s="24" t="inlineStr">
        <is>
          <t>© 2026 Copyright – NovoPsych – All rights reserved</t>
        </is>
      </c>
      <c r="O101" s="24" t="inlineStr">
        <is>
          <t>not stated</t>
        </is>
      </c>
      <c r="P101" s="24" t="inlineStr">
        <is>
          <t>Out of scope for the hub (child, adolescent, sport, eating, clinician or service feedback)</t>
        </is>
      </c>
      <c r="Q101" s="24" t="inlineStr"/>
      <c r="R101" s="24" t="inlineStr"/>
      <c r="S101" s="24" t="inlineStr">
        <is>
          <t>Weight &amp; Shape Concerns uses items 2, 4, 5, 6, 9, 10; Eating Concerns uses items 1, 3, 7, 8.</t>
        </is>
      </c>
      <c r="T101" s="24" t="inlineStr">
        <is>
          <t>https://novopsych.com/assessments/outcome-monitoring/eating_disorder-15ed-15/</t>
        </is>
      </c>
    </row>
    <row r="102">
      <c r="A102" s="24" t="n">
        <v>101</v>
      </c>
      <c r="B102" s="24" t="inlineStr">
        <is>
          <t>Leeds Dependence Questionnaire</t>
        </is>
      </c>
      <c r="C102" s="24" t="inlineStr">
        <is>
          <t>LDQ</t>
        </is>
      </c>
      <c r="D102" s="24" t="inlineStr">
        <is>
          <t>Addiction, Diagnosis, Health</t>
        </is>
      </c>
      <c r="E102" s="24" t="inlineStr">
        <is>
          <t>Substance dependence as a unitary continuous construct across all substance classes.</t>
        </is>
      </c>
      <c r="F102" s="24" t="n">
        <v>10</v>
      </c>
      <c r="G102" s="24" t="inlineStr">
        <is>
          <t>Self report</t>
        </is>
      </c>
      <c r="H102" s="24" t="inlineStr">
        <is>
          <t>18+</t>
        </is>
      </c>
      <c r="I102" s="24" t="n">
        <v>2</v>
      </c>
      <c r="J102" s="24" t="inlineStr"/>
      <c r="K102" s="24" t="inlineStr">
        <is>
          <t>Not stated on page</t>
        </is>
      </c>
      <c r="L102" s="24" t="inlineStr">
        <is>
          <t>Yields a unitary continuous measure of dependence; scoring detail and cut offs not visible on page.</t>
        </is>
      </c>
      <c r="M102" s="24" t="inlineStr">
        <is>
          <t>Raistrick, D., Bradshaw, J., Tober, G., Weiner, J., Allison, J., &amp; Healey, C. (1994). Development of the Leeds Dependence Questionnaire (LDQ). Addiction, 89(5), 563-572.</t>
        </is>
      </c>
      <c r="N102" s="24" t="inlineStr">
        <is>
          <t>© 2026 Copyright – NovoPsych – All rights reserved</t>
        </is>
      </c>
      <c r="O102" s="24" t="inlineStr">
        <is>
          <t>not stated</t>
        </is>
      </c>
      <c r="P102" s="24" t="inlineStr">
        <is>
          <t>Shortlist: screening or clinical (Sarah only if used)</t>
        </is>
      </c>
      <c r="Q102" s="24" t="inlineStr"/>
      <c r="R102" s="24" t="inlineStr"/>
      <c r="S102" s="24" t="inlineStr">
        <is>
          <t>URL slug refers to alcohol addiction questionnaire but the page is the LDQ. Detailed sections are behind Professional Access; only the site footer copyright notice appears on the public page.</t>
        </is>
      </c>
      <c r="T102" s="24" t="inlineStr">
        <is>
          <t>https://novopsych.com/assessments/diagnosis/alcohol-addiction-questionnaire/</t>
        </is>
      </c>
    </row>
    <row r="103">
      <c r="A103" s="24" t="n">
        <v>102</v>
      </c>
      <c r="B103" s="24" t="inlineStr">
        <is>
          <t>Institute for Basic Research Modified Overt Aggression Scale</t>
        </is>
      </c>
      <c r="C103" s="24" t="inlineStr">
        <is>
          <t>IBR-MOAS</t>
        </is>
      </c>
      <c r="D103" s="24" t="inlineStr">
        <is>
          <t>Autism, Child</t>
        </is>
      </c>
      <c r="E103" s="24" t="inlineStr">
        <is>
          <t>Type, frequency and severity of aggressive behaviours in autistic, brain injured and intellectually disabled populations.</t>
        </is>
      </c>
      <c r="F103" s="24" t="n">
        <v>20</v>
      </c>
      <c r="G103" s="24" t="inlineStr">
        <is>
          <t>Caregiver report</t>
        </is>
      </c>
      <c r="H103" s="24" t="inlineStr">
        <is>
          <t>6+</t>
        </is>
      </c>
      <c r="I103" s="24" t="n">
        <v>3</v>
      </c>
      <c r="J103" s="24" t="inlineStr"/>
      <c r="K103" s="24" t="inlineStr">
        <is>
          <t>Not stated on page</t>
        </is>
      </c>
      <c r="L103" s="24" t="inlineStr">
        <is>
          <t>Not stated on page</t>
        </is>
      </c>
      <c r="M103" s="24" t="inlineStr">
        <is>
          <t>Cohen, I. L., Tsiouris, J. A., Flory, M. J., et al. (2010). A large scale study of the psychometric characteristics of the IBR Modified Overt Aggression Scale. Journal of Autism and Developmental Disorders, 40, 599-609.</t>
        </is>
      </c>
      <c r="N103" s="24" t="inlineStr">
        <is>
          <t>© 2026 Copyright – NovoPsych – All rights reserved</t>
        </is>
      </c>
      <c r="O103" s="24" t="inlineStr">
        <is>
          <t>not stated</t>
        </is>
      </c>
      <c r="P103" s="24" t="inlineStr">
        <is>
          <t>Out of scope for the hub (child, adolescent, sport, eating, clinician or service feedback)</t>
        </is>
      </c>
      <c r="Q103" s="24" t="inlineStr"/>
      <c r="R103" s="24" t="inlineStr"/>
      <c r="S103" s="24" t="inlineStr">
        <is>
          <t>Detailed sections are behind Professional Access; only the site footer copyright notice appears on the public page.</t>
        </is>
      </c>
      <c r="T103" s="24" t="inlineStr">
        <is>
          <t>https://novopsych.com/assessments/child/aggression-scale-for-autism/</t>
        </is>
      </c>
    </row>
    <row r="104">
      <c r="A104" s="24" t="n">
        <v>103</v>
      </c>
      <c r="B104" s="24" t="inlineStr">
        <is>
          <t>Toronto Alexithymia Scale</t>
        </is>
      </c>
      <c r="C104" s="24" t="inlineStr">
        <is>
          <t>TAS-20</t>
        </is>
      </c>
      <c r="D104" s="24" t="inlineStr">
        <is>
          <t>Formulation</t>
        </is>
      </c>
      <c r="E104" s="24" t="inlineStr">
        <is>
          <t>Alexithymia, including difficulty identifying and describing feelings and externally oriented thinking.</t>
        </is>
      </c>
      <c r="F104" s="24" t="n">
        <v>20</v>
      </c>
      <c r="G104" s="24" t="inlineStr">
        <is>
          <t>Self report</t>
        </is>
      </c>
      <c r="H104" s="24" t="inlineStr">
        <is>
          <t>17+</t>
        </is>
      </c>
      <c r="I104" s="24" t="n">
        <v>4</v>
      </c>
      <c r="J104" s="24" t="inlineStr"/>
      <c r="K104" s="24" t="inlineStr">
        <is>
          <t>Not stated on page</t>
        </is>
      </c>
      <c r="L104" s="24" t="inlineStr">
        <is>
          <t>Not stated on page</t>
        </is>
      </c>
      <c r="M104" s="24" t="inlineStr">
        <is>
          <t>Bagby, R. M., Parker, J. D., &amp; Taylor, G. J. (1994). The twenty-item Toronto Alexithymia Scale I. Item selection and cross-validation of the factor structure. Journal of Psychosomatic Research, 38(1), 23-32.</t>
        </is>
      </c>
      <c r="N104" s="24" t="inlineStr">
        <is>
          <t>© 2026 Copyright – NovoPsych – All rights reserved</t>
        </is>
      </c>
      <c r="O104" s="24" t="inlineStr">
        <is>
          <t>not stated</t>
        </is>
      </c>
      <c r="P104" s="24" t="inlineStr">
        <is>
          <t>Shortlist: coaching and wellbeing (client facing possible)</t>
        </is>
      </c>
      <c r="Q104" s="24" t="inlineStr"/>
      <c r="R104" s="24" t="inlineStr"/>
      <c r="S104" s="24" t="inlineStr">
        <is>
          <t>The 3 factors named in the construct are described but not listed as scored subscales on the public page. Detailed sections are behind Professional Access; only the site footer copyright notice appears on the public page.</t>
        </is>
      </c>
      <c r="T104" s="24" t="inlineStr">
        <is>
          <t>https://novopsych.com/assessments/formulation/toronto-alexithymia-scale/</t>
        </is>
      </c>
    </row>
    <row r="105">
      <c r="A105" s="24" t="n">
        <v>104</v>
      </c>
      <c r="B105" s="24" t="inlineStr">
        <is>
          <t>Kessler Psychological Distress Scale 5</t>
        </is>
      </c>
      <c r="C105" s="24" t="inlineStr">
        <is>
          <t>K5</t>
        </is>
      </c>
      <c r="D105" s="24" t="inlineStr">
        <is>
          <t>Anxiety, Depression, Outcome monitoring</t>
        </is>
      </c>
      <c r="E105" s="24" t="inlineStr">
        <is>
          <t>Psychological distress over the past 4 weeks, designed for Australian Indigenous adults.</t>
        </is>
      </c>
      <c r="F105" s="24" t="n">
        <v>5</v>
      </c>
      <c r="G105" s="24" t="inlineStr">
        <is>
          <t>Self report</t>
        </is>
      </c>
      <c r="H105" s="24" t="inlineStr">
        <is>
          <t>16+ per page text; listing shows 18+</t>
        </is>
      </c>
      <c r="I105" s="24" t="n">
        <v>1</v>
      </c>
      <c r="J105" s="24" t="inlineStr"/>
      <c r="K105" s="24" t="inlineStr">
        <is>
          <t>Not stated on page</t>
        </is>
      </c>
      <c r="L105" s="24" t="inlineStr">
        <is>
          <t>Not stated on page</t>
        </is>
      </c>
      <c r="M105" s="24" t="inlineStr">
        <is>
          <t>Kessler, R., &amp; Mroczek, D. (1992). An update of the development of mental health screening scales for the US national health interview study. Survey Research Center, University of Michigan.</t>
        </is>
      </c>
      <c r="N105" s="24" t="inlineStr">
        <is>
          <t>© 2026 Copyright – NovoPsych – All rights reserved</t>
        </is>
      </c>
      <c r="O105" s="24" t="inlineStr">
        <is>
          <t>not stated</t>
        </is>
      </c>
      <c r="P105" s="24" t="inlineStr">
        <is>
          <t>Shortlist: coaching and wellbeing (client facing possible)</t>
        </is>
      </c>
      <c r="Q105" s="24" t="inlineStr"/>
      <c r="R105" s="24" t="inlineStr"/>
      <c r="S105" s="24" t="inlineStr">
        <is>
          <t>Scoring reference also cited: Australian Government Department of Health (2018), Scoring the Kessler-5. Age range conflicts between page text and listing.</t>
        </is>
      </c>
      <c r="T105" s="24" t="inlineStr">
        <is>
          <t>https://novopsych.com/assessments/depression/kessler-psychological-distress-scale-5/</t>
        </is>
      </c>
    </row>
    <row r="106">
      <c r="A106" s="24" t="n">
        <v>105</v>
      </c>
      <c r="B106" s="24" t="inlineStr">
        <is>
          <t>Male Depression Risk Scale</t>
        </is>
      </c>
      <c r="C106" s="24" t="inlineStr">
        <is>
          <t>MDRS-22</t>
        </is>
      </c>
      <c r="D106" s="24" t="inlineStr">
        <is>
          <t>Depression, Formulation</t>
        </is>
      </c>
      <c r="E106" s="24" t="inlineStr">
        <is>
          <t>Depression risk in adult men with emphasis on externalising symptoms such as aggression and substance use.</t>
        </is>
      </c>
      <c r="F106" s="24" t="n">
        <v>22</v>
      </c>
      <c r="G106" s="24" t="inlineStr">
        <is>
          <t>Self report</t>
        </is>
      </c>
      <c r="H106" s="24" t="inlineStr">
        <is>
          <t>18+</t>
        </is>
      </c>
      <c r="I106" s="24" t="n">
        <v>4</v>
      </c>
      <c r="J106" s="24" t="inlineStr">
        <is>
          <t>Emotional Suppression, Somatic Symptoms, Drug Use, Alcohol Use, Anger &amp; Aggression, Risk-Taking</t>
        </is>
      </c>
      <c r="K106" s="24" t="inlineStr">
        <is>
          <t>8 point, 0 Not at all to 7 Almost always</t>
        </is>
      </c>
      <c r="L106" s="24" t="inlineStr">
        <is>
          <t>Mean scores on the 0 to 7 metric for total and each subscale; higher indicates greater risk. Subscale risk thresholds: Emotional Suppression 2.75, Drug Use 0.33, Alcohol Use 0.25, Anger &amp; Aggression 1.50, Somatic Symptoms 1.50, Risk-Taking 1.00. No total cut off stated.</t>
        </is>
      </c>
      <c r="M106" s="24" t="inlineStr">
        <is>
          <t>Rice, S. M., Fallon, B. J., Aucote, H. M., Moeller-Leimkuehler, A., Treeby, M. S., &amp; Amminger, G. P. (2015). Longitudinal sex differences of externalising and internalising depression symptom trajectories. International Journal of Social Psychiatry, 61(3), 236-240.</t>
        </is>
      </c>
      <c r="N106" s="24" t="inlineStr">
        <is>
          <t>© 2026 Copyright – NovoPsych – All rights reserved</t>
        </is>
      </c>
      <c r="O106" s="24" t="inlineStr">
        <is>
          <t>not stated</t>
        </is>
      </c>
      <c r="P106" s="24" t="inlineStr">
        <is>
          <t>Shortlist: screening or clinical (Sarah only if used)</t>
        </is>
      </c>
      <c r="Q106" s="24" t="inlineStr"/>
      <c r="R106" s="24" t="inlineStr"/>
      <c r="S106" s="24" t="inlineStr">
        <is>
          <t>Administration listed as 3 to 4 minutes. Page narrative also describes any drug or alcohol score above 0 as elevated.</t>
        </is>
      </c>
      <c r="T106" s="24" t="inlineStr">
        <is>
          <t>https://novopsych.com/assessments/depression/male-depression-risk-scale-mdrs-22/</t>
        </is>
      </c>
    </row>
    <row r="107">
      <c r="A107" s="24" t="n">
        <v>106</v>
      </c>
      <c r="B107" s="24" t="inlineStr">
        <is>
          <t>Empathy Quotient 40 item version</t>
        </is>
      </c>
      <c r="C107" s="24" t="inlineStr">
        <is>
          <t>EQ-40</t>
        </is>
      </c>
      <c r="D107" s="24" t="inlineStr">
        <is>
          <t>Autism, Formulation</t>
        </is>
      </c>
      <c r="E107" s="24" t="inlineStr">
        <is>
          <t>Empathy in adults across cognitive, emotional and social aspects.</t>
        </is>
      </c>
      <c r="F107" s="24" t="n">
        <v>40</v>
      </c>
      <c r="G107" s="24" t="inlineStr">
        <is>
          <t>Self report</t>
        </is>
      </c>
      <c r="H107" s="24" t="inlineStr">
        <is>
          <t>18+</t>
        </is>
      </c>
      <c r="I107" s="24" t="n">
        <v>7</v>
      </c>
      <c r="J107" s="24" t="inlineStr">
        <is>
          <t>Cognitive Empathy, Emotional Empathy, Social Skills</t>
        </is>
      </c>
      <c r="K107" s="24" t="inlineStr">
        <is>
          <t>Not stated on page</t>
        </is>
      </c>
      <c r="L107" s="24" t="inlineStr">
        <is>
          <t>Not stated on page</t>
        </is>
      </c>
      <c r="M107" s="24" t="inlineStr">
        <is>
          <t>Baron-Cohen, S., &amp; Wheelwright, S. (2004). The Empathy Quotient: An investigation of adults with Asperger syndrome or high functioning autism, and normal sex differences. Journal of Autism and Developmental Disorders, 34(2), 163-175.</t>
        </is>
      </c>
      <c r="N107" s="24" t="inlineStr">
        <is>
          <t>© 2026 Copyright – NovoPsych – All rights reserved</t>
        </is>
      </c>
      <c r="O107" s="24" t="inlineStr">
        <is>
          <t>not stated</t>
        </is>
      </c>
      <c r="P107" s="24" t="inlineStr">
        <is>
          <t>Shortlist: coaching and wellbeing (client facing possible)</t>
        </is>
      </c>
      <c r="Q107" s="24" t="inlineStr"/>
      <c r="R107" s="24" t="inlineStr"/>
      <c r="S107" s="24" t="inlineStr">
        <is>
          <t>Detailed sections are behind Professional Access; only the site footer copyright notice appears on the public page.</t>
        </is>
      </c>
      <c r="T107" s="24" t="inlineStr">
        <is>
          <t>https://novopsych.com/assessments/formulation/empathy-quotient-40-item-version/</t>
        </is>
      </c>
    </row>
    <row r="108">
      <c r="A108" s="24" t="n">
        <v>107</v>
      </c>
      <c r="B108" s="24" t="inlineStr">
        <is>
          <t>Life Events Checklist for DSM-5</t>
        </is>
      </c>
      <c r="C108" s="24" t="inlineStr">
        <is>
          <t>LEC-5</t>
        </is>
      </c>
      <c r="D108" s="24" t="inlineStr">
        <is>
          <t>Diagnosis, Trauma</t>
        </is>
      </c>
      <c r="E108" s="24" t="inlineStr">
        <is>
          <t>Exposure to potentially traumatic events, used to establish PTSD Criterion A.</t>
        </is>
      </c>
      <c r="F108" s="24" t="n">
        <v>17</v>
      </c>
      <c r="G108" s="24" t="inlineStr">
        <is>
          <t>Self report</t>
        </is>
      </c>
      <c r="H108" s="24" t="inlineStr">
        <is>
          <t>18+</t>
        </is>
      </c>
      <c r="I108" s="24" t="n">
        <v>3</v>
      </c>
      <c r="J108" s="24" t="inlineStr"/>
      <c r="K108" s="24" t="inlineStr">
        <is>
          <t>Not stated on page</t>
        </is>
      </c>
      <c r="L108" s="24" t="inlineStr">
        <is>
          <t>Not stated on page</t>
        </is>
      </c>
      <c r="M108" s="24" t="inlineStr">
        <is>
          <t>Weathers, F. W., Blake, D. D., Schnurr, P. P., Kaloupek, D. G., Marx, B. P., &amp; Keane, T. M. (2013). The Life Events Checklist for DSM-5 (LEC-5). National Center for PTSD, www.ptsd.va.gov</t>
        </is>
      </c>
      <c r="N108" s="24" t="inlineStr">
        <is>
          <t>© 2026 Copyright – NovoPsych – All rights reserved</t>
        </is>
      </c>
      <c r="O108" s="24" t="inlineStr">
        <is>
          <t>not stated</t>
        </is>
      </c>
      <c r="P108" s="24" t="inlineStr">
        <is>
          <t>Shortlist: screening or clinical (Sarah only if used)</t>
        </is>
      </c>
      <c r="Q108" s="24" t="inlineStr"/>
      <c r="R108" s="24" t="inlineStr"/>
      <c r="S108" s="24" t="inlineStr">
        <is>
          <t>Page notes the instrument is available from the National Center for PTSD but does not state licensing terms. Detailed sections are behind Professional Access; only the site footer copyright notice appears on the public page.</t>
        </is>
      </c>
      <c r="T108" s="24" t="inlineStr">
        <is>
          <t>https://novopsych.com/assessments/diagnosis/life-events-checklist-5-lec-5/</t>
        </is>
      </c>
    </row>
    <row r="109">
      <c r="A109" s="24" t="n">
        <v>108</v>
      </c>
      <c r="B109" s="24" t="inlineStr">
        <is>
          <t>World Health Organisation Disability Assessment Schedule, Children and Youth version</t>
        </is>
      </c>
      <c r="C109" s="24" t="inlineStr">
        <is>
          <t>WHODAS-Child</t>
        </is>
      </c>
      <c r="D109" s="24" t="inlineStr">
        <is>
          <t>Adolescent, Child, Disability, Health</t>
        </is>
      </c>
      <c r="E109" s="24" t="inlineStr">
        <is>
          <t>Health and disability in children and youth, adapted from the adult WHODAS 2.0.</t>
        </is>
      </c>
      <c r="F109" s="24" t="n"/>
      <c r="G109" s="24" t="inlineStr">
        <is>
          <t>Parent report, or self report for youth aged 11+</t>
        </is>
      </c>
      <c r="H109" s="24" t="inlineStr">
        <is>
          <t>10 to 17</t>
        </is>
      </c>
      <c r="I109" s="24" t="n">
        <v>7</v>
      </c>
      <c r="J109" s="24" t="inlineStr"/>
      <c r="K109" s="24" t="inlineStr">
        <is>
          <t>Not stated on page</t>
        </is>
      </c>
      <c r="L109" s="24" t="inlineStr">
        <is>
          <t>Not stated on page</t>
        </is>
      </c>
      <c r="M109" s="24" t="inlineStr">
        <is>
          <t>Scorza, P., Stevenson, A., Canino, G., Mushashi, C., Kanyanganzi, F., Munyanah, M., &amp; Betancourt, T. (2013). Validation of the WHODAS-Child in Rwanda. PLoS One, 8(3), e57725.</t>
        </is>
      </c>
      <c r="N109" s="24" t="inlineStr">
        <is>
          <t>© 2026 Copyright – NovoPsych – All rights reserved</t>
        </is>
      </c>
      <c r="O109" s="24" t="inlineStr">
        <is>
          <t>not stated</t>
        </is>
      </c>
      <c r="P109" s="24" t="inlineStr">
        <is>
          <t>Out of scope for the hub (child, adolescent, sport, eating, clinician or service feedback)</t>
        </is>
      </c>
      <c r="Q109" s="24" t="inlineStr"/>
      <c r="R109" s="24" t="inlineStr"/>
      <c r="S109" s="24" t="inlineStr">
        <is>
          <t>Item count not stated on page. Detailed sections are behind Professional Access; only the site footer copyright notice appears on the public page.</t>
        </is>
      </c>
      <c r="T109" s="24" t="inlineStr">
        <is>
          <t>https://novopsych.com/assessments/child/the-world-health-organisation-disability-assessment-schedule-whodas-child/</t>
        </is>
      </c>
    </row>
    <row r="110">
      <c r="A110" s="24" t="n">
        <v>109</v>
      </c>
      <c r="B110" s="24" t="inlineStr">
        <is>
          <t>Montgomery-Asberg Depression Rating Scale</t>
        </is>
      </c>
      <c r="C110" s="24" t="inlineStr">
        <is>
          <t>MADRS</t>
        </is>
      </c>
      <c r="D110" s="24" t="inlineStr">
        <is>
          <t>Depression, Outcome monitoring</t>
        </is>
      </c>
      <c r="E110" s="24" t="inlineStr">
        <is>
          <t>Depression severity with emphasis on functional impairment and somatic symptoms.</t>
        </is>
      </c>
      <c r="F110" s="24" t="n">
        <v>10</v>
      </c>
      <c r="G110" s="24" t="inlineStr">
        <is>
          <t>Clinician rated</t>
        </is>
      </c>
      <c r="H110" s="24" t="inlineStr">
        <is>
          <t>18+</t>
        </is>
      </c>
      <c r="I110" s="24" t="n">
        <v>2</v>
      </c>
      <c r="J110" s="24" t="inlineStr"/>
      <c r="K110" s="24" t="inlineStr">
        <is>
          <t>Not stated on page</t>
        </is>
      </c>
      <c r="L110" s="24" t="inlineStr">
        <is>
          <t>Total range 0 to 60; page refers to severity ranges and clinically meaningful change but details are not visible.</t>
        </is>
      </c>
      <c r="M110" s="24" t="inlineStr">
        <is>
          <t>Montgomery, S. A., &amp; Asberg, M. (1979). A new depression scale designed to be sensitive to change. British Journal of Psychiatry, 134(4), 382-389.</t>
        </is>
      </c>
      <c r="N110" s="24" t="inlineStr">
        <is>
          <t>© 2026 Copyright – NovoPsych – All rights reserved</t>
        </is>
      </c>
      <c r="O110" s="24" t="inlineStr">
        <is>
          <t>not stated</t>
        </is>
      </c>
      <c r="P110" s="24" t="inlineStr">
        <is>
          <t>Out of scope for the hub (not self report)</t>
        </is>
      </c>
      <c r="Q110" s="24" t="inlineStr"/>
      <c r="R110" s="24" t="inlineStr"/>
      <c r="S110" s="24" t="inlineStr">
        <is>
          <t>Detailed sections are behind Professional Access; only the site footer copyright notice appears on the public page.</t>
        </is>
      </c>
      <c r="T110" s="24" t="inlineStr">
        <is>
          <t>https://novopsych.com/assessments/depression/the-montgomery-asberg-rating-scale-madrs/</t>
        </is>
      </c>
    </row>
    <row r="111">
      <c r="A111" s="24" t="n">
        <v>110</v>
      </c>
      <c r="B111" s="24" t="inlineStr">
        <is>
          <t>Kessler Psychological Distress Scale PLUS</t>
        </is>
      </c>
      <c r="C111" s="24" t="inlineStr">
        <is>
          <t>K10+</t>
        </is>
      </c>
      <c r="D111" s="24" t="inlineStr">
        <is>
          <t>Outcome monitoring</t>
        </is>
      </c>
      <c r="E111" s="24" t="inlineStr">
        <is>
          <t>Screening for significant psychological distress in adults, with additional functional impact items.</t>
        </is>
      </c>
      <c r="F111" s="24" t="n">
        <v>14</v>
      </c>
      <c r="G111" s="24" t="inlineStr">
        <is>
          <t>Not stated on page (self report by design)</t>
        </is>
      </c>
      <c r="H111" s="24" t="inlineStr">
        <is>
          <t>18+</t>
        </is>
      </c>
      <c r="I111" s="24" t="n">
        <v>2</v>
      </c>
      <c r="J111" s="24" t="inlineStr"/>
      <c r="K111" s="24" t="inlineStr">
        <is>
          <t>Not stated on page</t>
        </is>
      </c>
      <c r="L111" s="24" t="inlineStr">
        <is>
          <t>Not stated on page</t>
        </is>
      </c>
      <c r="M111" s="24" t="inlineStr">
        <is>
          <t>Kessler, R. C., Andrews, G., Colpe, L. J., Hiripi, E., Mroczek, D. K., Normand, S.-L. T., Walters, E. E., &amp; Zaslavsky, A. M. (2002). Short screening scales to monitor population prevalences and trends in non-specific psychological distress. Psychological Medicine, 32(6), 959-976.</t>
        </is>
      </c>
      <c r="N111" s="24" t="inlineStr">
        <is>
          <t>© 2026 Copyright – NovoPsych – All rights reserved</t>
        </is>
      </c>
      <c r="O111" s="24" t="inlineStr">
        <is>
          <t>not stated</t>
        </is>
      </c>
      <c r="P111" s="24" t="inlineStr">
        <is>
          <t>Shortlist: coaching and wellbeing (client facing possible)</t>
        </is>
      </c>
      <c r="Q111" s="24" t="inlineStr"/>
      <c r="R111" s="24" t="inlineStr"/>
      <c r="S111" s="24" t="inlineStr">
        <is>
          <t>K10 plus 4 supplementary items. Detailed sections are behind Professional Access; only the site footer copyright notice appears on the public page.</t>
        </is>
      </c>
      <c r="T111" s="24" t="inlineStr">
        <is>
          <t>https://novopsych.com/assessments/outcome-monitoring/kessler-psychological-distress-scale-plus-k10/</t>
        </is>
      </c>
    </row>
    <row r="112">
      <c r="A112" s="24" t="n">
        <v>111</v>
      </c>
      <c r="B112" s="24" t="inlineStr">
        <is>
          <t>Problem Gambling Severity Index</t>
        </is>
      </c>
      <c r="C112" s="24" t="inlineStr">
        <is>
          <t>PGSI</t>
        </is>
      </c>
      <c r="D112" s="24" t="inlineStr">
        <is>
          <t>Addiction, Health</t>
        </is>
      </c>
      <c r="E112" s="24" t="inlineStr">
        <is>
          <t>Problematic gambling behaviour in the general population, classified by risk status.</t>
        </is>
      </c>
      <c r="F112" s="24" t="n">
        <v>9</v>
      </c>
      <c r="G112" s="24" t="inlineStr">
        <is>
          <t>Self report</t>
        </is>
      </c>
      <c r="H112" s="24" t="inlineStr">
        <is>
          <t>18+</t>
        </is>
      </c>
      <c r="I112" s="24" t="n">
        <v>2</v>
      </c>
      <c r="J112" s="24" t="inlineStr"/>
      <c r="K112" s="24" t="inlineStr">
        <is>
          <t>Not stated on page</t>
        </is>
      </c>
      <c r="L112" s="24" t="inlineStr">
        <is>
          <t>Four risk categories named (none, low, moderate, problematic); scoring method and cut offs not visible on page.</t>
        </is>
      </c>
      <c r="M112" s="24" t="inlineStr">
        <is>
          <t>Ferris, J., &amp; Wynne, H. (2001). The Canadian Problem Gambling Index: Final report. Canadian Centre on Substance Abuse.</t>
        </is>
      </c>
      <c r="N112" s="24" t="inlineStr">
        <is>
          <t>© 2026 Copyright – NovoPsych – All rights reserved</t>
        </is>
      </c>
      <c r="O112" s="24" t="inlineStr">
        <is>
          <t>not stated</t>
        </is>
      </c>
      <c r="P112" s="24" t="inlineStr">
        <is>
          <t>Shortlist: screening or clinical (Sarah only if used)</t>
        </is>
      </c>
      <c r="Q112" s="24" t="inlineStr"/>
      <c r="R112" s="24" t="inlineStr"/>
      <c r="S112" s="24" t="inlineStr">
        <is>
          <t>Detailed sections are behind Professional Access; only the site footer copyright notice appears on the public page.</t>
        </is>
      </c>
      <c r="T112" s="24" t="inlineStr">
        <is>
          <t>https://novopsych.com/assessments/health/problem-gambling-severity-index-pgsi/</t>
        </is>
      </c>
    </row>
    <row r="113">
      <c r="A113" s="24" t="n">
        <v>112</v>
      </c>
      <c r="B113" s="24" t="inlineStr">
        <is>
          <t>Life Skills Profile 16 item version</t>
        </is>
      </c>
      <c r="C113" s="24" t="inlineStr">
        <is>
          <t>LSP-16</t>
        </is>
      </c>
      <c r="D113" s="24" t="inlineStr">
        <is>
          <t>Disability</t>
        </is>
      </c>
      <c r="E113" s="24" t="inlineStr">
        <is>
          <t>Day to day functioning and disability in people with mental illness.</t>
        </is>
      </c>
      <c r="F113" s="24" t="n">
        <v>16</v>
      </c>
      <c r="G113" s="24" t="inlineStr">
        <is>
          <t>Clinician rated</t>
        </is>
      </c>
      <c r="H113" s="24" t="inlineStr">
        <is>
          <t>18+</t>
        </is>
      </c>
      <c r="I113" s="24" t="n">
        <v>2</v>
      </c>
      <c r="J113" s="24" t="inlineStr"/>
      <c r="K113" s="24" t="inlineStr">
        <is>
          <t>Not stated on page</t>
        </is>
      </c>
      <c r="L113" s="24" t="inlineStr">
        <is>
          <t>Not stated on page</t>
        </is>
      </c>
      <c r="M113" s="24" t="inlineStr">
        <is>
          <t>Rosen, A., Hadzi-Pavlovic, D., &amp; Parker, G. (1989). The Life Skills Profile: A measure assessing function and disability in schizophrenia. Schizophrenia Bulletin, 15(2), 325-337.</t>
        </is>
      </c>
      <c r="N113" s="24" t="inlineStr">
        <is>
          <t>© 2026 Copyright – NovoPsych – All rights reserved</t>
        </is>
      </c>
      <c r="O113" s="24" t="inlineStr">
        <is>
          <t>not stated</t>
        </is>
      </c>
      <c r="P113" s="24" t="inlineStr">
        <is>
          <t>Out of scope for the hub (not self report)</t>
        </is>
      </c>
      <c r="Q113" s="24" t="inlineStr"/>
      <c r="R113" s="24" t="inlineStr"/>
      <c r="S113" s="24" t="inlineStr">
        <is>
          <t>Detailed sections are behind Professional Access; only the site footer copyright notice appears on the public page.</t>
        </is>
      </c>
      <c r="T113" s="24" t="inlineStr">
        <is>
          <t>https://novopsych.com/assessments/disability/life-skills-profile-16-item-version/</t>
        </is>
      </c>
    </row>
    <row r="114">
      <c r="A114" s="24" t="n">
        <v>113</v>
      </c>
      <c r="B114" s="24" t="inlineStr">
        <is>
          <t>Session Reactions Scale 3 Brief</t>
        </is>
      </c>
      <c r="C114" s="24" t="inlineStr">
        <is>
          <t>SRS-3-B</t>
        </is>
      </c>
      <c r="D114" s="24" t="inlineStr">
        <is>
          <t>Feedback-informed</t>
        </is>
      </c>
      <c r="E114" s="24" t="inlineStr">
        <is>
          <t>Client reactions to a therapy session, used to track the therapeutic relationship in feedback informed treatment.</t>
        </is>
      </c>
      <c r="F114" s="24" t="n">
        <v>15</v>
      </c>
      <c r="G114" s="24" t="inlineStr">
        <is>
          <t>Self report</t>
        </is>
      </c>
      <c r="H114" s="24" t="inlineStr">
        <is>
          <t>18+</t>
        </is>
      </c>
      <c r="I114" s="24" t="n">
        <v>2</v>
      </c>
      <c r="J114" s="24" t="inlineStr">
        <is>
          <t>Helpful Reactions, Hindering Reactions</t>
        </is>
      </c>
      <c r="K114" s="24" t="inlineStr">
        <is>
          <t>5 point (1 to 5); anchor labels not stated</t>
        </is>
      </c>
      <c r="L114" s="24" t="inlineStr">
        <is>
          <t>Raw and mean scores (1 to 5) per subscale; higher indicates greater endorsement. A positive session shows higher Helpful and lower Hindering scores. Item level review recommended when within subscale SD is 0.85 or greater. No cut offs.</t>
        </is>
      </c>
      <c r="M114" s="24" t="inlineStr">
        <is>
          <t>Rihacek, T., Elliott, R., Owen, J., Ladmanova, M., Coleman, J. J., &amp; Bugatti, M. (2023). Session Reactions Scale-3: Initial psychometric evidence. Psychotherapy Research. https://doi.org/10.1080/10503307.2023.2241983</t>
        </is>
      </c>
      <c r="N114" s="24" t="inlineStr">
        <is>
          <t>© 2026 Copyright – NovoPsych – All rights reserved</t>
        </is>
      </c>
      <c r="O114" s="24" t="inlineStr">
        <is>
          <t>not stated</t>
        </is>
      </c>
      <c r="P114" s="24" t="inlineStr">
        <is>
          <t>Out of scope for the hub (child, adolescent, sport, eating, clinician or service feedback)</t>
        </is>
      </c>
      <c r="Q114" s="24" t="inlineStr"/>
      <c r="R114" s="24" t="inlineStr"/>
      <c r="S114" s="24" t="inlineStr">
        <is>
          <t>Helpful Reactions has 10 items and Hindering Reactions 4 items; 1 further item not allocated on page.</t>
        </is>
      </c>
      <c r="T114" s="24" t="inlineStr">
        <is>
          <t>https://novopsych.com/assessments/feedback-informed/session-reactions-scale-3-brief-srs-3-b/</t>
        </is>
      </c>
    </row>
    <row r="115">
      <c r="A115" s="24" t="n">
        <v>114</v>
      </c>
      <c r="B115" s="24" t="inlineStr">
        <is>
          <t>Your Experience of Service</t>
        </is>
      </c>
      <c r="C115" s="24" t="inlineStr">
        <is>
          <t>YES</t>
        </is>
      </c>
      <c r="D115" s="24" t="inlineStr">
        <is>
          <t>Feedback-informed</t>
        </is>
      </c>
      <c r="E115" s="24" t="inlineStr">
        <is>
          <t>Consumer experience of mental health care, used to assess service quality.</t>
        </is>
      </c>
      <c r="F115" s="24" t="n">
        <v>28</v>
      </c>
      <c r="G115" s="24" t="inlineStr">
        <is>
          <t>Self report (service user)</t>
        </is>
      </c>
      <c r="H115" s="24" t="inlineStr">
        <is>
          <t>18+</t>
        </is>
      </c>
      <c r="I115" s="24" t="n">
        <v>5</v>
      </c>
      <c r="J115" s="24" t="inlineStr">
        <is>
          <t>Frequency Scale, Performance Scale, Making a Difference, Providing Information &amp; Support, Valuing Individuality, Supporting Active Participation, Showing Respect, Ensuring Safety and Fairness</t>
        </is>
      </c>
      <c r="K115" s="24" t="inlineStr">
        <is>
          <t>5 point Likert with Not Applicable option; frequency items Never to Always, performance items Poor to Excellent</t>
        </is>
      </c>
      <c r="L115" s="24" t="inlineStr">
        <is>
          <t>Items summed and divided by number completed (NA excluded) to give a mean; higher indicates better experience. Descriptor bands: below 1.5, below 2.5, below 3.5, below 4.5, and up to 5. Domain means calculated the same way.</t>
        </is>
      </c>
      <c r="M115" s="24" t="inlineStr">
        <is>
          <t>Victorian Department of Health (2013). National Mental Health Consumer Experiences of Care Report: Development and Evaluation of a Consumer Experiences of Care Survey Instrument.</t>
        </is>
      </c>
      <c r="N115" s="24" t="inlineStr">
        <is>
          <t>© 2026 Copyright – NovoPsych – All rights reserved</t>
        </is>
      </c>
      <c r="O115" s="24" t="inlineStr">
        <is>
          <t>not stated</t>
        </is>
      </c>
      <c r="P115" s="24" t="inlineStr">
        <is>
          <t>Out of scope for the hub (child, adolescent, sport, eating, clinician or service feedback)</t>
        </is>
      </c>
      <c r="Q115" s="24" t="inlineStr"/>
      <c r="R115" s="24" t="inlineStr"/>
      <c r="S115" s="24" t="inlineStr">
        <is>
          <t>26 Likert items plus 2 open ended questions. Also cites AMHOCN (2020) reporting domains guide. Blank PDF available.</t>
        </is>
      </c>
      <c r="T115" s="24" t="inlineStr">
        <is>
          <t>https://novopsych.com/assessments/feedback-informed/your-experience-of-service-yes/</t>
        </is>
      </c>
    </row>
    <row r="116">
      <c r="A116" s="24" t="n">
        <v>115</v>
      </c>
      <c r="B116" s="24" t="inlineStr">
        <is>
          <t>NovoPsych Five Factor Personality Scale 30 item version</t>
        </is>
      </c>
      <c r="C116" s="24" t="inlineStr">
        <is>
          <t>NFFPS-30</t>
        </is>
      </c>
      <c r="D116" s="24" t="inlineStr">
        <is>
          <t>Formulation, Personality</t>
        </is>
      </c>
      <c r="E116" s="24" t="inlineStr">
        <is>
          <t>Big Five personality traits (Openness, Conscientiousness, Extraversion, Agreeableness, Neuroticism) with 6 facets each.</t>
        </is>
      </c>
      <c r="F116" s="24" t="n">
        <v>30</v>
      </c>
      <c r="G116" s="24" t="inlineStr">
        <is>
          <t>Self report</t>
        </is>
      </c>
      <c r="H116" s="24" t="inlineStr">
        <is>
          <t>16+</t>
        </is>
      </c>
      <c r="I116" s="24" t="n">
        <v>5</v>
      </c>
      <c r="J116" s="24" t="inlineStr">
        <is>
          <t>Openness, Conscientiousness, Extraversion, Agreeableness, Neuroticism</t>
        </is>
      </c>
      <c r="K116" s="24" t="inlineStr">
        <is>
          <t>Not stated on page</t>
        </is>
      </c>
      <c r="L116" s="24" t="inlineStr">
        <is>
          <t>Reported as percentiles against an age and gender matched Australian sample; 50 is typical. High 70th percentile or above, Average 30 to 70, Low 30 or below. Each facet rests on a single item so facet scores need caution.</t>
        </is>
      </c>
      <c r="M116" s="24" t="inlineStr">
        <is>
          <t>Buchanan, B., &amp; Hegarty, D. (2023). Development of a Short Personality Assessment: The NovoPsych Five Factor Personality Scale, 30-item version.</t>
        </is>
      </c>
      <c r="N116" s="24" t="inlineStr">
        <is>
          <t>© 2026 Copyright – NovoPsych – All rights reserved. A link labelled "Open source License" appears under the Developer section; licence terms not on page.</t>
        </is>
      </c>
      <c r="O116" s="24" t="inlineStr">
        <is>
          <t>copyright NovoPsych</t>
        </is>
      </c>
      <c r="P116" s="24" t="inlineStr">
        <is>
          <t>Shortlist: coaching and wellbeing (client facing possible)</t>
        </is>
      </c>
      <c r="Q116" s="24" t="inlineStr"/>
      <c r="R116" s="24" t="inlineStr"/>
      <c r="S116" s="24" t="inlineStr">
        <is>
          <t>Developed by NovoPsych. Open source licence link present but terms not shown; check the linked licence before assuming free use. 30 facets listed on page under the 5 factors.</t>
        </is>
      </c>
      <c r="T116" s="24" t="inlineStr">
        <is>
          <t>https://novopsych.com/assessments/formulation/novopsych-five-factor-personality-scale-30-item-version-nffps-30/</t>
        </is>
      </c>
    </row>
    <row r="117">
      <c r="A117" s="24" t="n">
        <v>116</v>
      </c>
      <c r="B117" s="24" t="inlineStr">
        <is>
          <t>International Personality Item Pool NEO 120 item version</t>
        </is>
      </c>
      <c r="C117" s="24" t="inlineStr">
        <is>
          <t>IPIP-NEO-120</t>
        </is>
      </c>
      <c r="D117" s="24" t="inlineStr">
        <is>
          <t>Adolescent, Formulation, Personality</t>
        </is>
      </c>
      <c r="E117" s="24" t="inlineStr">
        <is>
          <t>Five broad personality factors each with 6 facets, for clinical and non clinical use.</t>
        </is>
      </c>
      <c r="F117" s="24" t="n">
        <v>120</v>
      </c>
      <c r="G117" s="24" t="inlineStr">
        <is>
          <t>Self report</t>
        </is>
      </c>
      <c r="H117" s="24" t="inlineStr">
        <is>
          <t>16+</t>
        </is>
      </c>
      <c r="I117" s="24" t="n">
        <v>20</v>
      </c>
      <c r="J117" s="24" t="inlineStr">
        <is>
          <t>Neuroticism, Extraversion, Openness, Agreeableness, Conscientiousness, Socially Desirable Responding</t>
        </is>
      </c>
      <c r="K117" s="24" t="inlineStr">
        <is>
          <t>Not stated on page</t>
        </is>
      </c>
      <c r="L117" s="24" t="inlineStr">
        <is>
          <t>Raw scores converted to community percentiles with High, Average and Low descriptors by age and gender. SDR scale elevated above the 90th percentile and very low below the 10th. Sum or mean method not stated.</t>
        </is>
      </c>
      <c r="M117" s="24" t="inlineStr">
        <is>
          <t>Johnson, J. A. (2014). Measuring thirty facets of the five factor model with a 120-item public domain inventory: Development of the IPIP-NEO-120. Journal of Research in Personality, 51, 78-89.</t>
        </is>
      </c>
      <c r="N117" s="24" t="inlineStr">
        <is>
          <t>© 2026 Copyright – NovoPsych – All rights reserved</t>
        </is>
      </c>
      <c r="O117" s="24" t="inlineStr">
        <is>
          <t>not stated</t>
        </is>
      </c>
      <c r="P117" s="24" t="inlineStr">
        <is>
          <t>Out of scope for the hub (child, adolescent, sport, eating, clinician or service feedback)</t>
        </is>
      </c>
      <c r="Q117" s="24" t="inlineStr"/>
      <c r="R117" s="24" t="inlineStr"/>
      <c r="S117" s="24" t="inlineStr">
        <is>
          <t>The cited article title describes the inventory as public domain, but the NovoPsych page makes no explicit availability statement. 30 facets; only some facet names listed on page.</t>
        </is>
      </c>
      <c r="T117" s="24" t="inlineStr">
        <is>
          <t>https://novopsych.com/assessments/formulation/international-personality-item-pool-neo-120-item-version-ipip-neo-120/</t>
        </is>
      </c>
    </row>
    <row r="118">
      <c r="A118" s="24" t="n">
        <v>117</v>
      </c>
      <c r="B118" s="24" t="inlineStr">
        <is>
          <t>Acceptance and Action Questionnaire version 2</t>
        </is>
      </c>
      <c r="C118" s="24" t="inlineStr">
        <is>
          <t>AAQ-2</t>
        </is>
      </c>
      <c r="D118" s="24" t="inlineStr">
        <is>
          <t>Formulation</t>
        </is>
      </c>
      <c r="E118" s="24" t="inlineStr">
        <is>
          <t>Psychological inflexibility and experiential avoidance.</t>
        </is>
      </c>
      <c r="F118" s="24" t="n"/>
      <c r="G118" s="24" t="inlineStr">
        <is>
          <t>Not stated on page (self report by design)</t>
        </is>
      </c>
      <c r="H118" s="24" t="inlineStr">
        <is>
          <t>18+</t>
        </is>
      </c>
      <c r="I118" s="24" t="n">
        <v>1</v>
      </c>
      <c r="J118" s="24" t="inlineStr"/>
      <c r="K118" s="24" t="inlineStr">
        <is>
          <t>Not stated on page</t>
        </is>
      </c>
      <c r="L118" s="24" t="inlineStr">
        <is>
          <t>Total score; higher indicates greater inflexibility and experiential avoidance. Normative percentile against Bond et al. (2011) norms. A total of 25 or above (about the 86th percentile) suggests inflexibility may affect wellbeing.</t>
        </is>
      </c>
      <c r="M118" s="24" t="inlineStr">
        <is>
          <t>Bond, F. W., Hayes, S. C., Baer, R. A., Carpenter, K. M., Guenole, N., Orcutt, H. K., Waltz, T., &amp; Zettle, R. D. (2011). Preliminary psychometric properties of the Acceptance and Action Questionnaire II. Behavior Therapy, 42, 676-688.</t>
        </is>
      </c>
      <c r="N118" s="24" t="inlineStr">
        <is>
          <t>© 2026 Copyright – NovoPsych – All rights reserved</t>
        </is>
      </c>
      <c r="O118" s="24" t="inlineStr">
        <is>
          <t>not stated</t>
        </is>
      </c>
      <c r="P118" s="24" t="inlineStr">
        <is>
          <t>Shortlist: coaching and wellbeing (client facing possible)</t>
        </is>
      </c>
      <c r="Q118" s="24" t="inlineStr"/>
      <c r="R118" s="24" t="inlineStr"/>
      <c r="S118" s="24" t="inlineStr">
        <is>
          <t>Also known as AAQ-II. Item count not stated on page (7 items in the published version). Psychometric section behind Professional Access.</t>
        </is>
      </c>
      <c r="T118" s="24" t="inlineStr">
        <is>
          <t>https://novopsych.com/assessments/formulation/acceptance-and-action-questionnaire-version-2-aaq-2/</t>
        </is>
      </c>
    </row>
    <row r="119">
      <c r="A119" s="24" t="n">
        <v>118</v>
      </c>
      <c r="B119" s="24" t="inlineStr">
        <is>
          <t>Multidimensional Inventory of Dissociation 60 item Adolescent version</t>
        </is>
      </c>
      <c r="C119" s="24" t="inlineStr">
        <is>
          <t>MID-60-A</t>
        </is>
      </c>
      <c r="D119" s="24" t="inlineStr">
        <is>
          <t>Adolescent, Formulation, Trauma</t>
        </is>
      </c>
      <c r="E119" s="24" t="inlineStr">
        <is>
          <t>Screening for dissociative symptoms linked to DSM-5-TR dissociative disorders, with PTSD and somatic symptom coverage.</t>
        </is>
      </c>
      <c r="F119" s="24" t="n">
        <v>60</v>
      </c>
      <c r="G119" s="24" t="inlineStr">
        <is>
          <t>Not stated on page (self report by design)</t>
        </is>
      </c>
      <c r="H119" s="24" t="inlineStr">
        <is>
          <t>16 to 19</t>
        </is>
      </c>
      <c r="I119" s="24" t="n">
        <v>10</v>
      </c>
      <c r="J119" s="24" t="inlineStr"/>
      <c r="K119" s="24" t="inlineStr">
        <is>
          <t>Not stated on page</t>
        </is>
      </c>
      <c r="L119" s="24" t="inlineStr">
        <is>
          <t>Not stated on page</t>
        </is>
      </c>
      <c r="M119" s="24" t="inlineStr">
        <is>
          <t>Kate, M.-A. (2022). The Adolescent Multidimensional Inventory of Dissociation 60 item version (A-MID-60). Unpublished measurement instrument, Southern Cross University.</t>
        </is>
      </c>
      <c r="N119" s="24" t="inlineStr">
        <is>
          <t>© 2026 Copyright – NovoPsych – All rights reserved</t>
        </is>
      </c>
      <c r="O119" s="24" t="inlineStr">
        <is>
          <t>not stated</t>
        </is>
      </c>
      <c r="P119" s="24" t="inlineStr">
        <is>
          <t>Out of scope for the hub (child, adolescent, sport, eating, clinician or service feedback)</t>
        </is>
      </c>
      <c r="Q119" s="24" t="inlineStr"/>
      <c r="R119" s="24" t="inlineStr"/>
      <c r="S119" s="24" t="inlineStr">
        <is>
          <t>Overview, scoring and psychometric sections all behind Professional Access.</t>
        </is>
      </c>
      <c r="T119" s="24" t="inlineStr">
        <is>
          <t>https://novopsych.com/assessments/formulation/multidimensional-inventory-of-dissociation-60-item-adolescent-version-mid-60-a/</t>
        </is>
      </c>
    </row>
    <row r="120">
      <c r="A120" s="24" t="n">
        <v>119</v>
      </c>
      <c r="B120" s="24" t="inlineStr">
        <is>
          <t>Difficulties in Emotion Regulation Scale 16 item version</t>
        </is>
      </c>
      <c r="C120" s="24" t="inlineStr">
        <is>
          <t>DERS-16</t>
        </is>
      </c>
      <c r="D120" s="24" t="inlineStr">
        <is>
          <t>Formulation</t>
        </is>
      </c>
      <c r="E120" s="24" t="inlineStr">
        <is>
          <t>Difficulties in emotion regulation.</t>
        </is>
      </c>
      <c r="F120" s="24" t="n">
        <v>16</v>
      </c>
      <c r="G120" s="24" t="inlineStr">
        <is>
          <t>Self report</t>
        </is>
      </c>
      <c r="H120" s="24" t="inlineStr">
        <is>
          <t>18+</t>
        </is>
      </c>
      <c r="I120" s="24" t="n">
        <v>3</v>
      </c>
      <c r="J120" s="24" t="inlineStr"/>
      <c r="K120" s="24" t="inlineStr">
        <is>
          <t>Not stated on page</t>
        </is>
      </c>
      <c r="L120" s="24" t="inlineStr">
        <is>
          <t>Not stated on page</t>
        </is>
      </c>
      <c r="M120" s="24" t="inlineStr">
        <is>
          <t>Bjureberg, J., Ljotsson, B., Tull, M. T., Hedman, E., Sahlin, H., Lundh, L.-G., Bjarehed, J., DiLillo, D., Messman-Moore, T., Gumpert, C. H., &amp; Gratz, K. L. (2016). Development and validation of a brief version of the Difficulties in Emotion Regulation Scale: The DERS-16. Journal of Psychopathology and Behavioral Assessment, 38(2), 284-296.</t>
        </is>
      </c>
      <c r="N120" s="24" t="inlineStr">
        <is>
          <t>© 2026 Copyright – NovoPsych – All rights reserved</t>
        </is>
      </c>
      <c r="O120" s="24" t="inlineStr">
        <is>
          <t>not stated</t>
        </is>
      </c>
      <c r="P120" s="24" t="inlineStr">
        <is>
          <t>Shortlist: coaching and wellbeing (client facing possible)</t>
        </is>
      </c>
      <c r="Q120" s="24" t="inlineStr"/>
      <c r="R120" s="24" t="inlineStr"/>
      <c r="S120" s="24" t="inlineStr">
        <is>
          <t>Detailed sections are behind Professional Access; only the site footer copyright notice appears on the public page.</t>
        </is>
      </c>
      <c r="T120" s="24" t="inlineStr">
        <is>
          <t>https://novopsych.com/assessments/formulation/difficulties-in-emotion-regulation-scale-16-item-version-ders-16/</t>
        </is>
      </c>
    </row>
    <row r="121">
      <c r="A121" s="24" t="n">
        <v>120</v>
      </c>
      <c r="B121" s="24" t="inlineStr">
        <is>
          <t>Short Health Anxiety Inventory</t>
        </is>
      </c>
      <c r="C121" s="24" t="inlineStr">
        <is>
          <t>SHAI</t>
        </is>
      </c>
      <c r="D121" s="24" t="inlineStr">
        <is>
          <t>Anxiety, Health</t>
        </is>
      </c>
      <c r="E121" s="24" t="inlineStr">
        <is>
          <t>Health anxiety independent of physical health status.</t>
        </is>
      </c>
      <c r="F121" s="24" t="n">
        <v>18</v>
      </c>
      <c r="G121" s="24" t="inlineStr">
        <is>
          <t>Not stated on page (self report by design)</t>
        </is>
      </c>
      <c r="H121" s="24" t="inlineStr">
        <is>
          <t>18+</t>
        </is>
      </c>
      <c r="I121" s="24" t="n">
        <v>3</v>
      </c>
      <c r="J121" s="24" t="inlineStr"/>
      <c r="K121" s="24" t="inlineStr">
        <is>
          <t>Not stated on page</t>
        </is>
      </c>
      <c r="L121" s="24" t="inlineStr">
        <is>
          <t>Not stated on page</t>
        </is>
      </c>
      <c r="M121" s="24" t="inlineStr">
        <is>
          <t>Salkovskis, P. M., Rimes, K. A., Warwick, H. M. C., &amp; Clark, D. M. (2002). The Health Anxiety Inventory: Development and validation of scales for the measurement of health anxiety and hypochondriasis. Psychological Medicine, 32(5), 843-853.</t>
        </is>
      </c>
      <c r="N121" s="24" t="inlineStr">
        <is>
          <t>© 2026 Copyright – NovoPsych – All rights reserved</t>
        </is>
      </c>
      <c r="O121" s="24" t="inlineStr">
        <is>
          <t>not stated</t>
        </is>
      </c>
      <c r="P121" s="24" t="inlineStr">
        <is>
          <t>Shortlist: coaching and wellbeing (client facing possible)</t>
        </is>
      </c>
      <c r="Q121" s="24" t="inlineStr"/>
      <c r="R121" s="24" t="inlineStr"/>
      <c r="S121" s="24" t="inlineStr">
        <is>
          <t>Detailed sections are behind Professional Access; only the site footer copyright notice appears on the public page.</t>
        </is>
      </c>
      <c r="T121" s="24" t="inlineStr">
        <is>
          <t>https://novopsych.com/assessments/health/short-health-anxiety-inventory-shai/</t>
        </is>
      </c>
    </row>
    <row r="122">
      <c r="A122" s="24" t="n">
        <v>121</v>
      </c>
      <c r="B122" s="24" t="inlineStr">
        <is>
          <t>Regensburg Insomnia Scale</t>
        </is>
      </c>
      <c r="C122" s="24" t="inlineStr">
        <is>
          <t>RIS</t>
        </is>
      </c>
      <c r="D122" s="24" t="inlineStr">
        <is>
          <t>Sleep</t>
        </is>
      </c>
      <c r="E122" s="24" t="inlineStr">
        <is>
          <t>Measures cognitive, behavioural and emotional aspects of psychophysiological insomnia.</t>
        </is>
      </c>
      <c r="F122" s="24" t="n">
        <v>10</v>
      </c>
      <c r="G122" s="24" t="inlineStr">
        <is>
          <t>self report</t>
        </is>
      </c>
      <c r="H122" s="24" t="inlineStr">
        <is>
          <t>18+</t>
        </is>
      </c>
      <c r="I122" s="24" t="n">
        <v>2</v>
      </c>
      <c r="J122" s="24" t="inlineStr"/>
      <c r="K122" s="24" t="inlineStr">
        <is>
          <t>not stated</t>
        </is>
      </c>
      <c r="L122" s="24" t="inlineStr">
        <is>
          <t>not stated</t>
        </is>
      </c>
      <c r="M122" s="24" t="inlineStr">
        <is>
          <t>Crönlein, T., Langguth, B., Popp, R., Lukesch, H., Pieh, C., Hajak, G., &amp; Geisler, P. (2013). Regensburg Insomnia Scale (RIS): a new short rating scale for the assessment of psychological symptoms and sleep in insomnia. Health and Quality of Life Outcomes, 11(1), 1 to 8.</t>
        </is>
      </c>
      <c r="N122" s="24" t="inlineStr">
        <is>
          <t>© 2026 Copyright – NovoPsych – All rights reserved</t>
        </is>
      </c>
      <c r="O122" s="24" t="inlineStr">
        <is>
          <t>not stated</t>
        </is>
      </c>
      <c r="P122" s="24" t="inlineStr">
        <is>
          <t>Shortlist: coaching and wellbeing (client facing possible)</t>
        </is>
      </c>
      <c r="Q122" s="24" t="inlineStr"/>
      <c r="R122" s="24" t="inlineStr"/>
      <c r="S122" s="24" t="inlineStr">
        <is>
          <t>Only the site wide footer copyright appears; no instrument specific licence statement. Scoring and Interpretation and Psychometric Properties tab content not present in fetched page text; only overview, developer and reference sections were readable.</t>
        </is>
      </c>
      <c r="T122" s="24" t="inlineStr">
        <is>
          <t>https://novopsych.com/assessments/sleep/regensburg-insomnia-scale-ris/</t>
        </is>
      </c>
    </row>
    <row r="123">
      <c r="A123" s="24" t="n">
        <v>122</v>
      </c>
      <c r="B123" s="24" t="inlineStr">
        <is>
          <t>Clinical Impairment Assessment Questionnaire</t>
        </is>
      </c>
      <c r="C123" s="24" t="inlineStr">
        <is>
          <t>CIA</t>
        </is>
      </c>
      <c r="D123" s="24" t="inlineStr">
        <is>
          <t>Adolescent, Body image and eating, Diagnosis</t>
        </is>
      </c>
      <c r="E123" s="24" t="inlineStr">
        <is>
          <t>Measures the severity of psychosocial impairment due to eating disorder features over the past 28 days.</t>
        </is>
      </c>
      <c r="F123" s="24" t="n">
        <v>16</v>
      </c>
      <c r="G123" s="24" t="inlineStr">
        <is>
          <t>self report</t>
        </is>
      </c>
      <c r="H123" s="24" t="inlineStr">
        <is>
          <t>17+ (normed in adults aged 17 to 65)</t>
        </is>
      </c>
      <c r="I123" s="24" t="n">
        <v>3</v>
      </c>
      <c r="J123" s="24" t="inlineStr"/>
      <c r="K123" s="24" t="inlineStr">
        <is>
          <t>not stated</t>
        </is>
      </c>
      <c r="L123" s="24" t="inlineStr">
        <is>
          <t>not stated</t>
        </is>
      </c>
      <c r="M123" s="24" t="inlineStr">
        <is>
          <t>Bohn, K., Doll, H. A., Cooper, Z., O'Connor, M., Palmer, R. L., &amp; Fairburn, C. G. (2008). The measurement of impairment due to eating disorder psychopathology. Behaviour Research and Therapy, 46(10), 1105 to 1110. Also Bohn &amp; Fairburn (2008), CIA 3.0, in Fairburn, Cognitive Behavior Therapy and Eating Disorders, Guilford Press.</t>
        </is>
      </c>
      <c r="N123" s="24" t="inlineStr">
        <is>
          <t>© 2026 Copyright – NovoPsych – All rights reserved</t>
        </is>
      </c>
      <c r="O123" s="24" t="inlineStr">
        <is>
          <t>not stated</t>
        </is>
      </c>
      <c r="P123" s="24" t="inlineStr">
        <is>
          <t>Out of scope for the hub (child, adolescent, sport, eating, clinician or service feedback)</t>
        </is>
      </c>
      <c r="Q123" s="24" t="inlineStr"/>
      <c r="R123" s="24" t="inlineStr"/>
      <c r="S123" s="24" t="inlineStr">
        <is>
          <t>Only the site wide footer copyright appears; no instrument specific licence statement. Scoring and Interpretation and Psychometric Properties tab content not present in fetched page text; only overview, developer and reference sections were readable.</t>
        </is>
      </c>
      <c r="T123" s="24" t="inlineStr">
        <is>
          <t>https://novopsych.com/assessments/diagnosis/clinical-impairment-assessment-questionnaire-cia/</t>
        </is>
      </c>
    </row>
    <row r="124">
      <c r="A124" s="24" t="n">
        <v>123</v>
      </c>
      <c r="B124" s="24" t="inlineStr">
        <is>
          <t>Depression Anxiety Stress Scales Youth Version</t>
        </is>
      </c>
      <c r="C124" s="24" t="inlineStr">
        <is>
          <t>DASS-Y</t>
        </is>
      </c>
      <c r="D124" s="24" t="inlineStr">
        <is>
          <t>Adolescent, Anxiety, Child, Depression, Outcome monitoring</t>
        </is>
      </c>
      <c r="E124" s="24" t="inlineStr">
        <is>
          <t>Measures general psychological distress and the negative emotional states of depression, anxiety and stress in young people, with simplified wording.</t>
        </is>
      </c>
      <c r="F124" s="24" t="n"/>
      <c r="G124" s="24" t="inlineStr">
        <is>
          <t>self report (child or adolescent)</t>
        </is>
      </c>
      <c r="H124" s="24" t="inlineStr">
        <is>
          <t>7 to 18 years</t>
        </is>
      </c>
      <c r="I124" s="24" t="n">
        <v>4</v>
      </c>
      <c r="J124" s="24" t="inlineStr">
        <is>
          <t>Depression, Anxiety, Stress</t>
        </is>
      </c>
      <c r="K124" s="24" t="inlineStr">
        <is>
          <t>not stated</t>
        </is>
      </c>
      <c r="L124" s="24" t="inlineStr">
        <is>
          <t>not stated</t>
        </is>
      </c>
      <c r="M124" s="24" t="inlineStr">
        <is>
          <t>Szabo, M., &amp; Lovibond, P. F. (2022). Development and Psychometric Properties of the DASS-Youth (DASS-Y). Frontiers in Psychology, 13, 766890. https://doi.org/10.3389/fpsyg.2022.766890</t>
        </is>
      </c>
      <c r="N124" s="24" t="inlineStr">
        <is>
          <t>© 2026 Copyright – NovoPsych – All rights reserved</t>
        </is>
      </c>
      <c r="O124" s="24" t="inlineStr">
        <is>
          <t>not stated</t>
        </is>
      </c>
      <c r="P124" s="24" t="inlineStr">
        <is>
          <t>Out of scope for the hub (child, adolescent, sport, eating, clinician or service feedback)</t>
        </is>
      </c>
      <c r="Q124" s="24" t="inlineStr"/>
      <c r="R124" s="24" t="inlineStr"/>
      <c r="S124" s="24" t="inlineStr">
        <is>
          <t>Item count not stated in readable text (the developer paper describes a 21 item youth adaptation of the DASS-21). Subscales inferred from the 3 constructs named. 1995 DASS manual noted as available from the Psychology Foundation. Scoring and Interpretation and Psychometric Properties tab content not present in fetched page text; only overview, developer and reference sections were readable.</t>
        </is>
      </c>
      <c r="T124" s="24" t="inlineStr">
        <is>
          <t>https://novopsych.com/assessments/child/depression-anxiety-stress-scale-youth-version-dass-y/</t>
        </is>
      </c>
    </row>
    <row r="125">
      <c r="A125" s="24" t="n">
        <v>124</v>
      </c>
      <c r="B125" s="24" t="inlineStr">
        <is>
          <t>Personal Wellbeing Index Adult</t>
        </is>
      </c>
      <c r="C125" s="24" t="inlineStr">
        <is>
          <t>PWI-A</t>
        </is>
      </c>
      <c r="D125" s="24" t="inlineStr">
        <is>
          <t>Formulation, Well-being</t>
        </is>
      </c>
      <c r="E125" s="24" t="inlineStr">
        <is>
          <t>Measures subjective wellbeing as satisfaction with several major life domains.</t>
        </is>
      </c>
      <c r="F125" s="24" t="n">
        <v>9</v>
      </c>
      <c r="G125" s="24" t="inlineStr">
        <is>
          <t>self report</t>
        </is>
      </c>
      <c r="H125" s="24" t="inlineStr">
        <is>
          <t>18+ (older adolescents at administrator discretion)</t>
        </is>
      </c>
      <c r="I125" s="24" t="n">
        <v>2</v>
      </c>
      <c r="J125" s="24" t="inlineStr">
        <is>
          <t>Standard of living, Health, Achievement in life, Personal relationships, Safety, Community, Future security</t>
        </is>
      </c>
      <c r="K125" s="24" t="inlineStr">
        <is>
          <t>Satisfaction rating per domain; number of points and anchors not stated on page (manual uses 0 to 10)</t>
        </is>
      </c>
      <c r="L125" s="24" t="inlineStr">
        <is>
          <t>Composite is the mean of the 7 core domain items (optional spirituality item included only if completed; life as a whole item not scored), higher is better. Bands: 70 to 100 normal, 50 to 69 compromised, 0 to 49 challenged; reliable change 14 or more points; percentiles against Australian adults (Khor et al., 2020).</t>
        </is>
      </c>
      <c r="M125" s="24" t="inlineStr">
        <is>
          <t>International Wellbeing Group (2024). Personal Wellbeing Index Manual: 6th Edition, Version 2, 190624. Cummins, R. A. (Ed.). Geelong: Australian Centre on Quality of Life, School of Psychology, Deakin University.</t>
        </is>
      </c>
      <c r="N125" s="24" t="inlineStr">
        <is>
          <t>© 2026 Copyright – NovoPsych – All rights reserved</t>
        </is>
      </c>
      <c r="O125" s="24" t="inlineStr">
        <is>
          <t>not stated</t>
        </is>
      </c>
      <c r="P125" s="24" t="inlineStr">
        <is>
          <t>Shortlist: coaching and wellbeing (client facing possible)</t>
        </is>
      </c>
      <c r="Q125" s="24" t="inlineStr"/>
      <c r="R125" s="24" t="inlineStr"/>
      <c r="S125" s="24" t="inlineStr">
        <is>
          <t>Page lists 5th edition in title; 9 items comprise 7 core domains plus 1 optional life as a whole item and 1 optional spirituality or religion item. Only the site wide footer copyright appears.</t>
        </is>
      </c>
      <c r="T125" s="24" t="inlineStr">
        <is>
          <t>https://novopsych.com/assessments/well-being/personal-wellbeing-index-adult-5-pwi-a/</t>
        </is>
      </c>
    </row>
    <row r="126">
      <c r="A126" s="24" t="n">
        <v>125</v>
      </c>
      <c r="B126" s="24" t="inlineStr">
        <is>
          <t>Pediatric Symptom Checklist 17</t>
        </is>
      </c>
      <c r="C126" s="24" t="inlineStr">
        <is>
          <t>PSC-17</t>
        </is>
      </c>
      <c r="D126" s="24" t="inlineStr">
        <is>
          <t>Adolescent, Child</t>
        </is>
      </c>
      <c r="E126" s="24" t="inlineStr">
        <is>
          <t>Screens for emotional, behavioural and attentional difficulties in children.</t>
        </is>
      </c>
      <c r="F126" s="24" t="n">
        <v>17</v>
      </c>
      <c r="G126" s="24" t="inlineStr">
        <is>
          <t>parent report</t>
        </is>
      </c>
      <c r="H126" s="24" t="inlineStr">
        <is>
          <t>4 to 16 years</t>
        </is>
      </c>
      <c r="I126" s="24" t="n">
        <v>3</v>
      </c>
      <c r="J126" s="24" t="inlineStr">
        <is>
          <t>Internalising, Attention, Externalising, Total</t>
        </is>
      </c>
      <c r="K126" s="24" t="inlineStr">
        <is>
          <t>not stated</t>
        </is>
      </c>
      <c r="L126" s="24" t="inlineStr">
        <is>
          <t>Higher scores indicate more difficulties; results banded as within typical range, mild (monitoring flag) or above clinical screening threshold. Numeric cut offs not shown in readable text. Reliable change 6 or more points on Total and 2 or more on each subscale.</t>
        </is>
      </c>
      <c r="M126" s="24" t="inlineStr">
        <is>
          <t>Gardner, W., Murphy, M., Childs, G., Kelleher, K., Pagano, M., Jellinek, M., McInerny, T. K., Wasserman, R. C., Nutting, P., &amp; Chiappetta, L. (1999). The PSC-17: a brief Pediatric Symptom Checklist with psychosocial problem subscales. Ambulatory Child Health, 5(3), 225 to 236.</t>
        </is>
      </c>
      <c r="N126" s="24" t="inlineStr">
        <is>
          <t>© 2026 Copyright – NovoPsych – All rights reserved</t>
        </is>
      </c>
      <c r="O126" s="24" t="inlineStr">
        <is>
          <t>not stated</t>
        </is>
      </c>
      <c r="P126" s="24" t="inlineStr">
        <is>
          <t>Out of scope for the hub (child, adolescent, sport, eating, clinician or service feedback)</t>
        </is>
      </c>
      <c r="Q126" s="24" t="inlineStr"/>
      <c r="R126" s="24" t="inlineStr"/>
      <c r="S126" s="24" t="inlineStr">
        <is>
          <t>FAQ gives about 2.5 minutes versus 3 minutes in the header. Only the site wide footer copyright appears. Scoring and Interpretation and Psychometric Properties tab content not present in fetched page text; only overview, developer and reference sections were readable.</t>
        </is>
      </c>
      <c r="T126" s="24" t="inlineStr">
        <is>
          <t>https://novopsych.com/assessments/child/pediatric-symptom-checklist-17-psc-17/</t>
        </is>
      </c>
    </row>
    <row r="127">
      <c r="A127" s="24" t="n">
        <v>126</v>
      </c>
      <c r="B127" s="24" t="inlineStr">
        <is>
          <t>Composite Caregiving Questionnaire</t>
        </is>
      </c>
      <c r="C127" s="24" t="inlineStr">
        <is>
          <t>CCQ</t>
        </is>
      </c>
      <c r="D127" s="24" t="inlineStr">
        <is>
          <t>Child</t>
        </is>
      </c>
      <c r="E127" s="24" t="inlineStr">
        <is>
          <t>Measures parenting constructs linked to attachment security in young children.</t>
        </is>
      </c>
      <c r="F127" s="24" t="n">
        <v>42</v>
      </c>
      <c r="G127" s="24" t="inlineStr">
        <is>
          <t>parent or caregiver report</t>
        </is>
      </c>
      <c r="H127" s="24" t="inlineStr">
        <is>
          <t>child 0 to 6 years</t>
        </is>
      </c>
      <c r="I127" s="24" t="n">
        <v>7</v>
      </c>
      <c r="J127" s="24" t="inlineStr">
        <is>
          <t>Parenting self efficacy in empathy, Parenting self efficacy in expressing affection and managing child emotion, Caregiving helplessness, Hostile perceptions of the child, Parent mentalisation</t>
        </is>
      </c>
      <c r="K127" s="24" t="inlineStr">
        <is>
          <t>not stated</t>
        </is>
      </c>
      <c r="L127" s="24" t="inlineStr">
        <is>
          <t>not stated</t>
        </is>
      </c>
      <c r="M127" s="24" t="inlineStr">
        <is>
          <t>Byron, B., &amp; Hawkins, E. (2022). Unpublished data. Scale information composed by Dr David Hegarty, Head of Psychometrics, NovoPsych.</t>
        </is>
      </c>
      <c r="N127" s="24" t="inlineStr">
        <is>
          <t>© 2026 Copyright – NovoPsych – All rights reserved</t>
        </is>
      </c>
      <c r="O127" s="24" t="inlineStr">
        <is>
          <t>not stated</t>
        </is>
      </c>
      <c r="P127" s="24" t="inlineStr">
        <is>
          <t>Out of scope for the hub (child, adolescent, sport, eating, clinician or service feedback)</t>
        </is>
      </c>
      <c r="Q127" s="24" t="inlineStr"/>
      <c r="R127" s="24" t="inlineStr"/>
      <c r="S127" s="24" t="inlineStr">
        <is>
          <t>Original developer not explicitly named; reference is to unpublished data. Only the site wide footer copyright appears. Scoring and Interpretation and Psychometric Properties tab content not present in fetched page text; only overview, developer and reference sections were readable.</t>
        </is>
      </c>
      <c r="T127" s="24" t="inlineStr">
        <is>
          <t>https://novopsych.com/assessments/child/composite-caregiving-questionnaire-ccq/</t>
        </is>
      </c>
    </row>
    <row r="128">
      <c r="A128" s="24" t="n">
        <v>127</v>
      </c>
      <c r="B128" s="24" t="inlineStr">
        <is>
          <t>Obsessive Compulsive Inventory Revised</t>
        </is>
      </c>
      <c r="C128" s="24" t="inlineStr">
        <is>
          <t>OCI-R</t>
        </is>
      </c>
      <c r="D128" s="24" t="inlineStr">
        <is>
          <t>Diagnosis, OCD</t>
        </is>
      </c>
      <c r="E128" s="24" t="inlineStr">
        <is>
          <t>Measures obsessive compulsive symptoms with a separate hoarding component.</t>
        </is>
      </c>
      <c r="F128" s="24" t="n">
        <v>18</v>
      </c>
      <c r="G128" s="24" t="inlineStr">
        <is>
          <t>self report</t>
        </is>
      </c>
      <c r="H128" s="24" t="inlineStr">
        <is>
          <t>18+</t>
        </is>
      </c>
      <c r="I128" s="24" t="n">
        <v>3</v>
      </c>
      <c r="J128" s="24" t="inlineStr">
        <is>
          <t>Washing, Checking, Ordering, Obsessing, Neutralising, Hoarding</t>
        </is>
      </c>
      <c r="K128" s="24" t="inlineStr">
        <is>
          <t>not stated</t>
        </is>
      </c>
      <c r="L128" s="24" t="inlineStr">
        <is>
          <t>Summed scores: OCI-OCD 15 items range 0 to 60, OCI-HD 3 items range 0 to 12; higher means more symptoms. Clinical threshold of 12 or above referenced for severity descriptors.</t>
        </is>
      </c>
      <c r="M128" s="24" t="inlineStr">
        <is>
          <t>Foa, E. B., et al. (2002). The Obsessive-Compulsive Inventory: development and validation of a short version. Also cites Wootton et al. (2015) and Abramovitch et al. (2006).</t>
        </is>
      </c>
      <c r="N128" s="24" t="inlineStr">
        <is>
          <t>© 2026 Copyright – NovoPsych – All rights reserved</t>
        </is>
      </c>
      <c r="O128" s="24" t="inlineStr">
        <is>
          <t>not stated</t>
        </is>
      </c>
      <c r="P128" s="24" t="inlineStr">
        <is>
          <t>Shortlist: screening or clinical (Sarah only if used)</t>
        </is>
      </c>
      <c r="Q128" s="24" t="inlineStr"/>
      <c r="R128" s="24" t="inlineStr"/>
      <c r="S128" s="24" t="inlineStr">
        <is>
          <t>Full bibliographic reference for Foa et al. (2002) not shown in readable text. No copyright or licence statement found on page beyond site footer.</t>
        </is>
      </c>
      <c r="T128" s="24" t="inlineStr">
        <is>
          <t>https://novopsych.com/assessments/diagnosis/obsessional-compulsive-inventory-revised-oci-r/</t>
        </is>
      </c>
    </row>
    <row r="129">
      <c r="A129" s="24" t="n">
        <v>128</v>
      </c>
      <c r="B129" s="24" t="inlineStr">
        <is>
          <t>Multidimensional Inventory of Dissociation 60 item version</t>
        </is>
      </c>
      <c r="C129" s="24" t="inlineStr">
        <is>
          <t>MID-60</t>
        </is>
      </c>
      <c r="D129" s="24" t="inlineStr">
        <is>
          <t>Formulation, Trauma</t>
        </is>
      </c>
      <c r="E129" s="24" t="inlineStr">
        <is>
          <t>Measures dissociative symptoms and experiences consistent with DSM-5-TR dissociative disorders plus PTSD, somatic symptoms, trance and self confusion.</t>
        </is>
      </c>
      <c r="F129" s="24" t="n">
        <v>60</v>
      </c>
      <c r="G129" s="24" t="inlineStr">
        <is>
          <t>self report</t>
        </is>
      </c>
      <c r="H129" s="24" t="inlineStr">
        <is>
          <t>18+ (MID-60-A covers 16 to 19)</t>
        </is>
      </c>
      <c r="I129" s="24" t="n">
        <v>10</v>
      </c>
      <c r="J129" s="24" t="inlineStr">
        <is>
          <t>Amnesia, Subjective Awareness of Alter Personalities and Self States, Angry Intrusions, Persecutory Intrusions, Derealisation/Depersonalisation, Distress about Severe Memory Problems, Loss of Autobiographical Memory, Flashbacks, Body Symptoms, Psychogenic Non Epileptic Seizures, Trance, Self Confusion</t>
        </is>
      </c>
      <c r="K129" s="24" t="inlineStr">
        <is>
          <t>11 point, 0 Never to 10 Always, representing estimated percentage of time a symptom is experienced</t>
        </is>
      </c>
      <c r="L129" s="24" t="inlineStr">
        <is>
          <t>Mean score equals average percentage of time dissociative symptoms are reported; higher means more dissociation. No formal cut offs; mean 65 or above may be consistent with severe dissociation and scores over 80 interpreted cautiously. Subscale cut offs exist but values not shown.</t>
        </is>
      </c>
      <c r="M129" s="24" t="inlineStr">
        <is>
          <t>Kate, M.-A., Jamieson, G., Dorahy, M. J., &amp; Middleton, W. (2020). Measuring Dissociative Symptoms and Experiences in an Australian College Sample Using a Short Version of the Multidimensional Inventory of Dissociation. Journal of Trauma &amp; Dissociation, 22(3), 265 to 287. https://doi.org/10.1080/15299732.2020.1792024</t>
        </is>
      </c>
      <c r="N129" s="24" t="inlineStr">
        <is>
          <t>© 2026 Copyright – NovoPsych – All rights reserved</t>
        </is>
      </c>
      <c r="O129" s="24" t="inlineStr">
        <is>
          <t>not stated</t>
        </is>
      </c>
      <c r="P129" s="24" t="inlineStr">
        <is>
          <t>Shortlist: screening or clinical (Sarah only if used)</t>
        </is>
      </c>
      <c r="Q129" s="24" t="inlineStr"/>
      <c r="R129" s="24" t="inlineStr"/>
      <c r="S129" s="24" t="inlineStr">
        <is>
          <t>Only the site wide footer copyright appears; no instrument specific licence statement.</t>
        </is>
      </c>
      <c r="T129" s="24" t="inlineStr">
        <is>
          <t>https://novopsych.com/assessments/formulation/multidimensional-inventory-of-dissociation-60-item-version-mid-60/</t>
        </is>
      </c>
    </row>
    <row r="130">
      <c r="A130" s="24" t="n">
        <v>129</v>
      </c>
      <c r="B130" s="24" t="inlineStr">
        <is>
          <t>McLean Screening Instrument for Borderline Personality Disorder</t>
        </is>
      </c>
      <c r="C130" s="24" t="inlineStr">
        <is>
          <t>MSI-BPD</t>
        </is>
      </c>
      <c r="D130" s="24" t="inlineStr">
        <is>
          <t>Diagnosis, Personality</t>
        </is>
      </c>
      <c r="E130" s="24" t="inlineStr">
        <is>
          <t>Screens for borderline personality disorder against the DSM-5 criteria.</t>
        </is>
      </c>
      <c r="F130" s="24" t="n">
        <v>10</v>
      </c>
      <c r="G130" s="24" t="inlineStr">
        <is>
          <t>self report</t>
        </is>
      </c>
      <c r="H130" s="24" t="inlineStr">
        <is>
          <t>15+ (youth and adults)</t>
        </is>
      </c>
      <c r="I130" s="24" t="n">
        <v>2</v>
      </c>
      <c r="J130" s="24" t="inlineStr"/>
      <c r="K130" s="24" t="inlineStr">
        <is>
          <t>not stated</t>
        </is>
      </c>
      <c r="L130" s="24" t="inlineStr">
        <is>
          <t>Positive responses indicate symptoms; a total at or above the clinical cut off warrants further evaluation. Numeric cut off not shown in readable text; a borderline range of 5 to 6 is mentioned.</t>
        </is>
      </c>
      <c r="M130" s="24" t="inlineStr">
        <is>
          <t>Zanarini, M. C., et al. (2003). A screening measure for BPD: the McLean Screening Instrument for Borderline Personality Disorder (MSI-BPD). Journal of Personality Disorders, 17(6), 568 to 573.</t>
        </is>
      </c>
      <c r="N130" s="24" t="inlineStr">
        <is>
          <t>© 2026 Copyright – NovoPsych – All rights reserved</t>
        </is>
      </c>
      <c r="O130" s="24" t="inlineStr">
        <is>
          <t>not stated</t>
        </is>
      </c>
      <c r="P130" s="24" t="inlineStr">
        <is>
          <t>Shortlist: screening or clinical (Sarah only if used)</t>
        </is>
      </c>
      <c r="Q130" s="24" t="inlineStr"/>
      <c r="R130" s="24" t="inlineStr"/>
      <c r="S130" s="24" t="inlineStr">
        <is>
          <t>Page cites Zanarini et al. (2003) without a full reference in readable text; citation completed from the standard source. Items map to the 9 DSM-5 BPD criteria, with paranoia or dissociation covered by 2 items. No copyright statement beyond site footer.</t>
        </is>
      </c>
      <c r="T130" s="24" t="inlineStr">
        <is>
          <t>https://novopsych.com/assessments/diagnosis/mclean-screening-instrument-for-bpd-msi-bpd/</t>
        </is>
      </c>
    </row>
    <row r="131">
      <c r="A131" s="24" t="n">
        <v>130</v>
      </c>
      <c r="B131" s="24" t="inlineStr">
        <is>
          <t>Vanderbilt ADHD Diagnostic Teacher Rating Scale</t>
        </is>
      </c>
      <c r="C131" s="24" t="inlineStr">
        <is>
          <t>VADTRS</t>
        </is>
      </c>
      <c r="D131" s="24" t="inlineStr">
        <is>
          <t>ADHD, Child, Diagnosis</t>
        </is>
      </c>
      <c r="E131" s="24" t="inlineStr">
        <is>
          <t>Measures ADHD symptoms, common comorbid conditions and functional impairment in academic and classroom behaviour performance.</t>
        </is>
      </c>
      <c r="F131" s="24" t="n">
        <v>43</v>
      </c>
      <c r="G131" s="24" t="inlineStr">
        <is>
          <t>teacher report</t>
        </is>
      </c>
      <c r="H131" s="24" t="inlineStr">
        <is>
          <t>5 to 12 years</t>
        </is>
      </c>
      <c r="I131" s="24" t="n">
        <v>7</v>
      </c>
      <c r="J131" s="24" t="inlineStr">
        <is>
          <t>Inattention, Hyperactivity/Impulsivity, Oppositional Defiant/Conduct, Anxiety/Depression, Academic Performance, Classroom Behavioural Performance</t>
        </is>
      </c>
      <c r="K131" s="24" t="inlineStr">
        <is>
          <t>not stated</t>
        </is>
      </c>
      <c r="L131" s="24" t="inlineStr">
        <is>
          <t>not stated</t>
        </is>
      </c>
      <c r="M131" s="24" t="inlineStr">
        <is>
          <t>Wolraich, M. L., Feurer, I. D., Hannah, J. N., Baumgaertel, A., &amp; Pinnock, T. Y. (1998). Obtaining systematic teacher reports of disruptive behaviour disorders utilizing DSM-IV. Journal of Abnormal Child Psychology, 26(2), 141 to 152. https://doi.org/10.1023/a:1022673906401</t>
        </is>
      </c>
      <c r="N131" s="24" t="inlineStr">
        <is>
          <t>© 2026 Copyright – NovoPsych – All rights reserved</t>
        </is>
      </c>
      <c r="O131" s="24" t="inlineStr">
        <is>
          <t>not stated</t>
        </is>
      </c>
      <c r="P131" s="24" t="inlineStr">
        <is>
          <t>Out of scope for the hub (child, adolescent, sport, eating, clinician or service feedback)</t>
        </is>
      </c>
      <c r="Q131" s="24" t="inlineStr"/>
      <c r="R131" s="24" t="inlineStr"/>
      <c r="S131" s="24" t="inlineStr">
        <is>
          <t>Page names Oppositional Defiant/Conduct and Anxiety/Depression plus academic and classroom performance domains; inattention and hyperactivity subscales inferred from the instrument. Only the site wide footer copyright appears. Scoring and Interpretation and Psychometric Properties tab content not present in fetched page text; only overview, developer and reference sections were readable.</t>
        </is>
      </c>
      <c r="T131" s="24" t="inlineStr">
        <is>
          <t>https://novopsych.com/assessments/diagnosis/vanderbilt-adhd-diagnostic-teacher-rating-scale-vadtrs/</t>
        </is>
      </c>
    </row>
    <row r="132">
      <c r="A132" s="24" t="n">
        <v>131</v>
      </c>
      <c r="B132" s="24" t="inlineStr">
        <is>
          <t>Positive and Negative Affect Schedule</t>
        </is>
      </c>
      <c r="C132" s="24" t="inlineStr">
        <is>
          <t>PANAS</t>
        </is>
      </c>
      <c r="D132" s="24" t="inlineStr">
        <is>
          <t>Formulation, Outcome monitoring</t>
        </is>
      </c>
      <c r="E132" s="24" t="inlineStr">
        <is>
          <t>Measures positive and negative emotional states, with positive affect reflecting engagement and negative affect reflecting general distress.</t>
        </is>
      </c>
      <c r="F132" s="24" t="n">
        <v>20</v>
      </c>
      <c r="G132" s="24" t="inlineStr">
        <is>
          <t>self report</t>
        </is>
      </c>
      <c r="H132" s="24" t="inlineStr">
        <is>
          <t>18+</t>
        </is>
      </c>
      <c r="I132" s="24" t="n">
        <v>3</v>
      </c>
      <c r="J132" s="24" t="inlineStr">
        <is>
          <t>Positive Affect, Negative Affect</t>
        </is>
      </c>
      <c r="K132" s="24" t="inlineStr">
        <is>
          <t>not stated</t>
        </is>
      </c>
      <c r="L132" s="24" t="inlineStr">
        <is>
          <t>Scoring method not shown in readable text. Australian non clinical norms (state version, n = 1059, ages 18 to 50): Positive Affect M 26.48 SD 8.1; Negative Affect M 14.80 SD 5.49.</t>
        </is>
      </c>
      <c r="M132" s="24" t="inlineStr">
        <is>
          <t>Watson, D., Clark, L. A., &amp; Tellegen, A. (1988). Development and validation of brief measures of positive and negative affect: The PANAS scales. Journal of Personality and Social Psychology, 54(6), 1063 to 1070. https://doi.org/10.1037/0022-3514.54.6.1063</t>
        </is>
      </c>
      <c r="N132" s="24" t="inlineStr">
        <is>
          <t>© 2026 Copyright – NovoPsych – All rights reserved</t>
        </is>
      </c>
      <c r="O132" s="24" t="inlineStr">
        <is>
          <t>not stated</t>
        </is>
      </c>
      <c r="P132" s="24" t="inlineStr">
        <is>
          <t>Shortlist: coaching and wellbeing (client facing possible)</t>
        </is>
      </c>
      <c r="Q132" s="24" t="inlineStr"/>
      <c r="R132" s="24" t="inlineStr"/>
      <c r="S132" s="24" t="inlineStr">
        <is>
          <t>Only the site wide footer copyright appears; no instrument specific licence statement. Scoring and Interpretation and Psychometric Properties tab content not present in fetched page text; only overview, developer and reference sections were readable.</t>
        </is>
      </c>
      <c r="T132" s="24" t="inlineStr">
        <is>
          <t>https://novopsych.com/assessments/formulation/positive-and-negative-affect-schedule-panas/</t>
        </is>
      </c>
    </row>
    <row r="133">
      <c r="A133" s="24" t="n">
        <v>132</v>
      </c>
      <c r="B133" s="24" t="inlineStr">
        <is>
          <t>Mindfulness Based Self Efficacy Scale Revised</t>
        </is>
      </c>
      <c r="C133" s="24" t="inlineStr">
        <is>
          <t>MSES-R</t>
        </is>
      </c>
      <c r="D133" s="24" t="inlineStr">
        <is>
          <t>Formulation</t>
        </is>
      </c>
      <c r="E133" s="24" t="inlineStr">
        <is>
          <t>Measures self efficacy in overcoming daily stressors using skills gained through mindfulness practice.</t>
        </is>
      </c>
      <c r="F133" s="24" t="n">
        <v>22</v>
      </c>
      <c r="G133" s="24" t="inlineStr">
        <is>
          <t>self report</t>
        </is>
      </c>
      <c r="H133" s="24" t="inlineStr">
        <is>
          <t>16+</t>
        </is>
      </c>
      <c r="I133" s="24" t="n">
        <v>4</v>
      </c>
      <c r="J133" s="24" t="inlineStr"/>
      <c r="K133" s="24" t="inlineStr">
        <is>
          <t>not stated</t>
        </is>
      </c>
      <c r="L133" s="24" t="inlineStr">
        <is>
          <t>not stated</t>
        </is>
      </c>
      <c r="M133" s="24" t="inlineStr">
        <is>
          <t>Cayoun, B., Elphinstone, B., Kasselis, N., Bilsborrow, G., &amp; Skilbeck, C. (2022). Validation and Factor Structure of the Mindfulness-Based Self Efficacy Scale-Revised. Mindfulness, 13(3), 751 to 765. https://doi.org/10.1007/s12671-022-01834-6</t>
        </is>
      </c>
      <c r="N133" s="24" t="inlineStr">
        <is>
          <t>© 2026 Copyright – NovoPsych – All rights reserved</t>
        </is>
      </c>
      <c r="O133" s="24" t="inlineStr">
        <is>
          <t>not stated</t>
        </is>
      </c>
      <c r="P133" s="24" t="inlineStr">
        <is>
          <t>Shortlist: coaching and wellbeing (client facing possible)</t>
        </is>
      </c>
      <c r="Q133" s="24" t="inlineStr"/>
      <c r="R133" s="24" t="inlineStr"/>
      <c r="S133" s="24" t="inlineStr">
        <is>
          <t>Only the site wide footer copyright appears; no instrument specific licence statement. Scoring and Interpretation and Psychometric Properties tab content not present in fetched page text; only overview, developer and reference sections were readable.</t>
        </is>
      </c>
      <c r="T133" s="24" t="inlineStr">
        <is>
          <t>https://novopsych.com/assessments/formulation/mindfulness-based-self-efficacy-scale-mses-r/</t>
        </is>
      </c>
    </row>
    <row r="134">
      <c r="A134" s="24" t="n">
        <v>133</v>
      </c>
      <c r="B134" s="24" t="inlineStr">
        <is>
          <t>Equanimity Scale 16</t>
        </is>
      </c>
      <c r="C134" s="24" t="inlineStr">
        <is>
          <t>ES-16</t>
        </is>
      </c>
      <c r="D134" s="24" t="inlineStr">
        <is>
          <t>Formulation</t>
        </is>
      </c>
      <c r="E134" s="24" t="inlineStr">
        <is>
          <t>Measures the degree to which a person responds to thoughts, feelings and experiences without reactivity.</t>
        </is>
      </c>
      <c r="F134" s="24" t="n">
        <v>16</v>
      </c>
      <c r="G134" s="24" t="inlineStr">
        <is>
          <t>self report</t>
        </is>
      </c>
      <c r="H134" s="24" t="inlineStr">
        <is>
          <t>18+</t>
        </is>
      </c>
      <c r="I134" s="24" t="n">
        <v>3</v>
      </c>
      <c r="J134" s="24" t="inlineStr"/>
      <c r="K134" s="24" t="inlineStr">
        <is>
          <t>not stated</t>
        </is>
      </c>
      <c r="L134" s="24" t="inlineStr">
        <is>
          <t>not stated</t>
        </is>
      </c>
      <c r="M134" s="24" t="inlineStr">
        <is>
          <t>Rogers, H. T., Shires, A. G., &amp; Cayoun, B. A. (2021). Development and Validation of the Equanimity Scale-16. Mindfulness, 12(1), 107 to 120. https://doi.org/10.1007/s12671-020-01503-6</t>
        </is>
      </c>
      <c r="N134" s="24" t="inlineStr">
        <is>
          <t>© 2026 Copyright – NovoPsych – All rights reserved</t>
        </is>
      </c>
      <c r="O134" s="24" t="inlineStr">
        <is>
          <t>not stated</t>
        </is>
      </c>
      <c r="P134" s="24" t="inlineStr">
        <is>
          <t>Shortlist: coaching and wellbeing (client facing possible)</t>
        </is>
      </c>
      <c r="Q134" s="24" t="inlineStr"/>
      <c r="R134" s="24" t="inlineStr"/>
      <c r="S134" s="24" t="inlineStr">
        <is>
          <t>Only the site wide footer copyright appears; no instrument specific licence statement. Scoring and Interpretation and Psychometric Properties tab content not present in fetched page text; only overview, developer and reference sections were readable.</t>
        </is>
      </c>
      <c r="T134" s="24" t="inlineStr">
        <is>
          <t>https://novopsych.com/assessments/formulation/equanimity-scale-es-16/</t>
        </is>
      </c>
    </row>
    <row r="135">
      <c r="A135" s="24" t="n">
        <v>134</v>
      </c>
      <c r="B135" s="24" t="inlineStr">
        <is>
          <t>Tinnitus Handicap Inventory</t>
        </is>
      </c>
      <c r="C135" s="24" t="inlineStr">
        <is>
          <t>THI</t>
        </is>
      </c>
      <c r="D135" s="24" t="inlineStr">
        <is>
          <t>Health</t>
        </is>
      </c>
      <c r="E135" s="24" t="inlineStr">
        <is>
          <t>Measures perceived severity of tinnitus related handicap.</t>
        </is>
      </c>
      <c r="F135" s="24" t="n">
        <v>25</v>
      </c>
      <c r="G135" s="24" t="inlineStr">
        <is>
          <t>self report</t>
        </is>
      </c>
      <c r="H135" s="24" t="inlineStr">
        <is>
          <t>18+</t>
        </is>
      </c>
      <c r="I135" s="24" t="n">
        <v>4</v>
      </c>
      <c r="J135" s="24" t="inlineStr"/>
      <c r="K135" s="24" t="inlineStr">
        <is>
          <t>not stated</t>
        </is>
      </c>
      <c r="L135" s="24" t="inlineStr">
        <is>
          <t>not stated</t>
        </is>
      </c>
      <c r="M135" s="24" t="inlineStr">
        <is>
          <t>Newman, C. W., Jacobson, G. P., &amp; Spitzer, J. B. (1996). Development of the Tinnitus Handicap Inventory. Archives of Otolaryngology, Head &amp; Neck Surgery, 122(2), 143 to 148. https://doi.org/10.1001/archotol.1996.01890140029007</t>
        </is>
      </c>
      <c r="N135" s="24" t="inlineStr">
        <is>
          <t>© 2026 Copyright – NovoPsych – All rights reserved</t>
        </is>
      </c>
      <c r="O135" s="24" t="inlineStr">
        <is>
          <t>not stated</t>
        </is>
      </c>
      <c r="P135" s="24" t="inlineStr">
        <is>
          <t>Consider</t>
        </is>
      </c>
      <c r="Q135" s="24" t="inlineStr"/>
      <c r="R135" s="24" t="inlineStr"/>
      <c r="S135" s="24" t="inlineStr">
        <is>
          <t>Only the site wide footer copyright appears; no instrument specific licence statement. Scoring and Interpretation and Psychometric Properties tab content not present in fetched page text; only overview, developer and reference sections were readable.</t>
        </is>
      </c>
      <c r="T135" s="24" t="inlineStr">
        <is>
          <t>https://novopsych.com/assessments/diagnosis/tinnitus-handicap-inventory-thi/</t>
        </is>
      </c>
    </row>
    <row r="136">
      <c r="A136" s="24" t="n">
        <v>135</v>
      </c>
      <c r="B136" s="24" t="inlineStr">
        <is>
          <t>Multidimensional Assessment of Interoceptive Awareness Youth Version</t>
        </is>
      </c>
      <c r="C136" s="24" t="inlineStr">
        <is>
          <t>MAIA-Y</t>
        </is>
      </c>
      <c r="D136" s="24" t="inlineStr">
        <is>
          <t>Adolescent, Autism, Child</t>
        </is>
      </c>
      <c r="E136" s="24" t="inlineStr">
        <is>
          <t>Measures several dimensions of interoception, meaning awareness of bodily sensations, in children and adolescents.</t>
        </is>
      </c>
      <c r="F136" s="24" t="n">
        <v>32</v>
      </c>
      <c r="G136" s="24" t="inlineStr">
        <is>
          <t>self report (youth)</t>
        </is>
      </c>
      <c r="H136" s="24" t="inlineStr">
        <is>
          <t>7 to 17 years</t>
        </is>
      </c>
      <c r="I136" s="24" t="n">
        <v>5</v>
      </c>
      <c r="J136" s="24" t="inlineStr"/>
      <c r="K136" s="24" t="inlineStr">
        <is>
          <t>not stated</t>
        </is>
      </c>
      <c r="L136" s="24" t="inlineStr">
        <is>
          <t>not stated</t>
        </is>
      </c>
      <c r="M136" s="24" t="inlineStr">
        <is>
          <t>Jones, A., Silas, J., Todd, J., Stewart, A., Acree, M., Coulson, M., &amp; Mehling, W. E. (2021). Exploring the Multidimensional Assessment of Interoceptive Awareness in youth aged 7-17 years. Journal of Clinical Psychology, 77(3), 661 to 682. https://doi.org/10.1002/jclp.23067</t>
        </is>
      </c>
      <c r="N136" s="24" t="inlineStr">
        <is>
          <t>© 2026 Copyright – NovoPsych – All rights reserved</t>
        </is>
      </c>
      <c r="O136" s="24" t="inlineStr">
        <is>
          <t>not stated</t>
        </is>
      </c>
      <c r="P136" s="24" t="inlineStr">
        <is>
          <t>Out of scope for the hub (child, adolescent, sport, eating, clinician or service feedback)</t>
        </is>
      </c>
      <c r="Q136" s="24" t="inlineStr"/>
      <c r="R136" s="24" t="inlineStr"/>
      <c r="S136" s="24" t="inlineStr">
        <is>
          <t>Page states 8 scales but names were not in readable text. Respondent inferred as youth self report. Only the site wide footer copyright appears. Scoring and Interpretation and Psychometric Properties tab content not present in fetched page text; only overview, developer and reference sections were readable.</t>
        </is>
      </c>
      <c r="T136" s="24" t="inlineStr">
        <is>
          <t>https://novopsych.com/assessments/child/multidimensional-assessment-of-interoceptive-awareness-youth-version-maia-y/</t>
        </is>
      </c>
    </row>
    <row r="137">
      <c r="A137" s="24" t="n">
        <v>136</v>
      </c>
      <c r="B137" s="24" t="inlineStr">
        <is>
          <t>Multidimensional Assessment of Interoceptive Awareness Version 2</t>
        </is>
      </c>
      <c r="C137" s="24" t="inlineStr">
        <is>
          <t>MAIA-2</t>
        </is>
      </c>
      <c r="D137" s="24" t="inlineStr">
        <is>
          <t>Autism, Formulation, Well-being</t>
        </is>
      </c>
      <c r="E137" s="24" t="inlineStr">
        <is>
          <t>Measures adults' self reported interoceptive awareness, meaning how they perceive, interpret and respond to internal bodily sensations.</t>
        </is>
      </c>
      <c r="F137" s="24" t="n">
        <v>37</v>
      </c>
      <c r="G137" s="24" t="inlineStr">
        <is>
          <t>self report</t>
        </is>
      </c>
      <c r="H137" s="24" t="inlineStr">
        <is>
          <t>18+</t>
        </is>
      </c>
      <c r="I137" s="24" t="n">
        <v>6</v>
      </c>
      <c r="J137" s="24" t="inlineStr">
        <is>
          <t>Noticing, Not-Distracting, Not-Worrying, Attention Regulation, Emotional Awareness, Self-Regulation, Body Listening, Trusting</t>
        </is>
      </c>
      <c r="K137" s="24" t="inlineStr">
        <is>
          <t>not stated</t>
        </is>
      </c>
      <c r="L137" s="24" t="inlineStr">
        <is>
          <t>No total score; each subscale interpreted separately, with scores below the 25th or above the 75th percentile of a community sample flagged. Higher scores indicate greater interoceptive capacity. Sum or mean not stated.</t>
        </is>
      </c>
      <c r="M137" s="24" t="inlineStr">
        <is>
          <t>Mehling, W. E., Acree, M., Stewart, A., Silas, J., &amp; Jones, A. (2018). The Multidimensional Assessment of Interoceptive Awareness, Version 2 (MAIA-2). PLoS ONE, 13(12), e0208034.</t>
        </is>
      </c>
      <c r="N137" s="24" t="inlineStr">
        <is>
          <t>© 2026 Copyright – NovoPsych – All rights reserved</t>
        </is>
      </c>
      <c r="O137" s="24" t="inlineStr">
        <is>
          <t>not stated</t>
        </is>
      </c>
      <c r="P137" s="24" t="inlineStr">
        <is>
          <t>Shortlist: coaching and wellbeing (client facing possible)</t>
        </is>
      </c>
      <c r="Q137" s="24" t="inlineStr"/>
      <c r="R137" s="24" t="inlineStr"/>
      <c r="S137" s="24" t="inlineStr">
        <is>
          <t>Page names 6 of the 8 subscales; Attention Regulation and Self-Regulation added from the instrument. Full citation completed from the standard source; page gives Mehling et al., 2018 only. No copyright statement found beyond site footer.</t>
        </is>
      </c>
      <c r="T137" s="24" t="inlineStr">
        <is>
          <t>https://novopsych.com/assessments/well-being/multidimensional-assessment-of-interoceptive-awareness-version-2-maia-2/</t>
        </is>
      </c>
    </row>
    <row r="138">
      <c r="A138" s="24" t="n">
        <v>137</v>
      </c>
      <c r="B138" s="24" t="inlineStr">
        <is>
          <t>Ritvo Autism Asperger Diagnostic Scale Revised</t>
        </is>
      </c>
      <c r="C138" s="24" t="inlineStr">
        <is>
          <t>RAADS-R</t>
        </is>
      </c>
      <c r="D138" s="24" t="inlineStr">
        <is>
          <t>Autism, Diagnosis</t>
        </is>
      </c>
      <c r="E138" s="24" t="inlineStr">
        <is>
          <t>A self report screen for autistic traits in adults.</t>
        </is>
      </c>
      <c r="F138" s="24" t="n">
        <v>80</v>
      </c>
      <c r="G138" s="24" t="inlineStr">
        <is>
          <t>self report</t>
        </is>
      </c>
      <c r="H138" s="24" t="inlineStr">
        <is>
          <t>18+</t>
        </is>
      </c>
      <c r="I138" s="24" t="n">
        <v>13</v>
      </c>
      <c r="J138" s="24" t="inlineStr">
        <is>
          <t>Social Relatedness, Circumscribed Interests, Language, Sensory-Motor</t>
        </is>
      </c>
      <c r="K138" s="24" t="inlineStr">
        <is>
          <t>4 point, from never true, through true only when younger than 16 and true only now, to true now and when young</t>
        </is>
      </c>
      <c r="L138" s="24" t="inlineStr">
        <is>
          <t>Total score, higher indicates more autistic traits. Bands: 65 to 105 some autistic traits (original 65 cut off), 106 or above consistent with autism, 140 or above pronounced traits.</t>
        </is>
      </c>
      <c r="M138" s="24" t="inlineStr">
        <is>
          <t>Ritvo, R. A., Ritvo, E. R., Guthrie, D., Ritvo, M. J., Hufnagel, D. H., McMahon, W., et al. (2011). The Ritvo Autism Asperger Diagnostic Scale-Revised (RAADS-R). Journal of Autism and Developmental Disorders, 41(8), 1076 to 1089.</t>
        </is>
      </c>
      <c r="N138" s="24" t="inlineStr">
        <is>
          <t>© 2026 Copyright – NovoPsych – All rights reserved</t>
        </is>
      </c>
      <c r="O138" s="24" t="inlineStr">
        <is>
          <t>not stated</t>
        </is>
      </c>
      <c r="P138" s="24" t="inlineStr">
        <is>
          <t>Shortlist: screening or clinical (Sarah only if used)</t>
        </is>
      </c>
      <c r="Q138" s="24" t="inlineStr"/>
      <c r="R138" s="24" t="inlineStr"/>
      <c r="S138" s="24" t="inlineStr">
        <is>
          <t>Subscale item counts: Social Relatedness 39, Circumscribed Interests 14, Language 7, Sensory-Motor 20. Page cites Ritvo et al. (2011) without full reference; completed from the standard source. No copyright statement found beyond site footer.</t>
        </is>
      </c>
      <c r="T138" s="24" t="inlineStr">
        <is>
          <t>https://novopsych.com/assessments/diagnosis/ritvo-autism-asperger-diagnostic-scale-revised-raads-r/</t>
        </is>
      </c>
    </row>
    <row r="139">
      <c r="A139" s="24" t="n">
        <v>138</v>
      </c>
      <c r="B139" s="24" t="inlineStr">
        <is>
          <t>Borderline Symptom List Short Version</t>
        </is>
      </c>
      <c r="C139" s="24" t="inlineStr">
        <is>
          <t>BSL-23</t>
        </is>
      </c>
      <c r="D139" s="24" t="inlineStr">
        <is>
          <t>Diagnosis, Personality</t>
        </is>
      </c>
      <c r="E139" s="24" t="inlineStr">
        <is>
          <t>Measures self reported severity of borderline personality disorder symptoms in adults over the past week.</t>
        </is>
      </c>
      <c r="F139" s="24" t="n">
        <v>23</v>
      </c>
      <c r="G139" s="24" t="inlineStr">
        <is>
          <t>self report</t>
        </is>
      </c>
      <c r="H139" s="24" t="inlineStr">
        <is>
          <t>18+</t>
        </is>
      </c>
      <c r="I139" s="24" t="n">
        <v>4</v>
      </c>
      <c r="J139" s="24" t="inlineStr"/>
      <c r="K139" s="24" t="inlineStr">
        <is>
          <t>5 point, 0 Not at all to 4 Very strong; plus a separate 0 to 100 wellbeing item not included in the total</t>
        </is>
      </c>
      <c r="L139" s="24" t="inlineStr">
        <is>
          <t>Higher scores indicate greater likelihood of BPD. Sum or mean not stated; Kleindienst et al. (2020) severity classification referenced but thresholds not shown in readable text.</t>
        </is>
      </c>
      <c r="M139" s="24" t="inlineStr">
        <is>
          <t>Bohus, M., Kleindienst, N., Limberger, M. F., Stieglitz, R.-D., Domsalla, M., Chapman, A. L., Steil, R., Philipsen, A., &amp; Wolf, M. (2009). The short version of the Borderline Symptom List (BSL-23): development and initial data on psychometric properties. Psychopathology, 42(1), 32 to 39.</t>
        </is>
      </c>
      <c r="N139" s="24" t="inlineStr">
        <is>
          <t>© 2026 Copyright – NovoPsych – All rights reserved</t>
        </is>
      </c>
      <c r="O139" s="24" t="inlineStr">
        <is>
          <t>not stated</t>
        </is>
      </c>
      <c r="P139" s="24" t="inlineStr">
        <is>
          <t>Shortlist: screening or clinical (Sarah only if used)</t>
        </is>
      </c>
      <c r="Q139" s="24" t="inlineStr"/>
      <c r="R139" s="24" t="inlineStr"/>
      <c r="S139" s="24" t="inlineStr">
        <is>
          <t>23 scored items plus item 24 wellbeing rating. Only the site wide footer copyright appears; no instrument specific licence statement.</t>
        </is>
      </c>
      <c r="T139" s="24" t="inlineStr">
        <is>
          <t>https://novopsych.com/assessments/diagnosis/borderline-symptom-list-bsl-23/</t>
        </is>
      </c>
    </row>
    <row r="140">
      <c r="A140" s="24" t="n">
        <v>139</v>
      </c>
      <c r="B140" s="24" t="inlineStr">
        <is>
          <t>Vanderbilt ADHD Diagnostic Parent Rating Scale</t>
        </is>
      </c>
      <c r="C140" s="24" t="inlineStr">
        <is>
          <t>VADPRS</t>
        </is>
      </c>
      <c r="D140" s="24" t="inlineStr">
        <is>
          <t>ADHD, Child, Diagnosis</t>
        </is>
      </c>
      <c r="E140" s="24" t="inlineStr">
        <is>
          <t>Measures parent reported symptoms of ADHD and common comorbid conditions in children.</t>
        </is>
      </c>
      <c r="F140" s="24" t="n">
        <v>55</v>
      </c>
      <c r="G140" s="24" t="inlineStr">
        <is>
          <t>parent report</t>
        </is>
      </c>
      <c r="H140" s="24" t="inlineStr">
        <is>
          <t>5 to 12 years</t>
        </is>
      </c>
      <c r="I140" s="24" t="n">
        <v>9</v>
      </c>
      <c r="J140" s="24" t="inlineStr"/>
      <c r="K140" s="24" t="inlineStr">
        <is>
          <t>not stated</t>
        </is>
      </c>
      <c r="L140" s="24" t="inlineStr">
        <is>
          <t>not stated</t>
        </is>
      </c>
      <c r="M140" s="24" t="inlineStr">
        <is>
          <t>Wolraich, M. L., Lambert, W., Doffing, M. A., Bickman, L., Simmons, T., &amp; Worley, K. (2003). Psychometric properties of the Vanderbilt ADHD diagnostic parent rating scale in a referred population. Journal of Pediatric Psychology, 28(8), 559 to 567. https://doi.org/10.1093/jpepsy/jsg046</t>
        </is>
      </c>
      <c r="N140" s="24" t="inlineStr">
        <is>
          <t>© 2026 Copyright – NovoPsych – All rights reserved</t>
        </is>
      </c>
      <c r="O140" s="24" t="inlineStr">
        <is>
          <t>not stated</t>
        </is>
      </c>
      <c r="P140" s="24" t="inlineStr">
        <is>
          <t>Out of scope for the hub (child, adolescent, sport, eating, clinician or service feedback)</t>
        </is>
      </c>
      <c r="Q140" s="24" t="inlineStr"/>
      <c r="R140" s="24" t="inlineStr"/>
      <c r="S140" s="24" t="inlineStr">
        <is>
          <t>Only the site wide footer copyright appears; no instrument specific licence statement. Scoring and Interpretation and Psychometric Properties tab content not present in fetched page text; only overview, developer and reference sections were readable.</t>
        </is>
      </c>
      <c r="T140" s="24" t="inlineStr">
        <is>
          <t>https://novopsych.com/assessments/diagnosis/vanderbilt-adhd-diagnostic-parent-rating-scale-vadprs/</t>
        </is>
      </c>
    </row>
    <row r="141">
      <c r="A141" s="24" t="n">
        <v>140</v>
      </c>
      <c r="B141" s="24" t="inlineStr">
        <is>
          <t>Compassion Motivation and Action Scales Self Compassion</t>
        </is>
      </c>
      <c r="C141" s="24" t="inlineStr">
        <is>
          <t>CMAS-Self</t>
        </is>
      </c>
      <c r="D141" s="24" t="inlineStr">
        <is>
          <t>Formulation</t>
        </is>
      </c>
      <c r="E141" s="24" t="inlineStr">
        <is>
          <t>Measures self directed compassionate motivation and action.</t>
        </is>
      </c>
      <c r="F141" s="24" t="n">
        <v>18</v>
      </c>
      <c r="G141" s="24" t="inlineStr">
        <is>
          <t>self report</t>
        </is>
      </c>
      <c r="H141" s="24" t="inlineStr">
        <is>
          <t>18+</t>
        </is>
      </c>
      <c r="I141" s="24" t="n">
        <v>3</v>
      </c>
      <c r="J141" s="24" t="inlineStr"/>
      <c r="K141" s="24" t="inlineStr">
        <is>
          <t>not stated</t>
        </is>
      </c>
      <c r="L141" s="24" t="inlineStr">
        <is>
          <t>not stated</t>
        </is>
      </c>
      <c r="M141"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1" s="24" t="inlineStr">
        <is>
          <t>© 2026 Copyright – NovoPsych – All rights reserved</t>
        </is>
      </c>
      <c r="O141" s="24" t="inlineStr">
        <is>
          <t>not stated</t>
        </is>
      </c>
      <c r="P141" s="24" t="inlineStr">
        <is>
          <t>Shortlist: coaching and wellbeing (client facing possible)</t>
        </is>
      </c>
      <c r="Q141" s="24" t="inlineStr"/>
      <c r="R141" s="24" t="inlineStr"/>
      <c r="S141" s="24" t="inlineStr">
        <is>
          <t>Page notes Overview, Scoring and Interpretation and Psychometric Properties sit behind Professional Access. Only the site wide footer copyright appears.</t>
        </is>
      </c>
      <c r="T141" s="24" t="inlineStr">
        <is>
          <t>https://novopsych.com/assessments/formulation/compassion-motivation-and-action-scales-self-compassion-cmas-self/</t>
        </is>
      </c>
    </row>
    <row r="142">
      <c r="A142" s="24" t="n">
        <v>141</v>
      </c>
      <c r="B142" s="24" t="inlineStr">
        <is>
          <t>Compassion Motivation and Action Scales Compassion for Others</t>
        </is>
      </c>
      <c r="C142" s="24" t="inlineStr">
        <is>
          <t>CMAS-Other</t>
        </is>
      </c>
      <c r="D142" s="24" t="inlineStr">
        <is>
          <t>Formulation</t>
        </is>
      </c>
      <c r="E142" s="24" t="inlineStr">
        <is>
          <t>Measures compassionate motivation and action directed toward other people; companion to the CMAS-Self.</t>
        </is>
      </c>
      <c r="F142" s="24" t="n"/>
      <c r="G142" s="24" t="inlineStr">
        <is>
          <t>self report</t>
        </is>
      </c>
      <c r="H142" s="24" t="inlineStr">
        <is>
          <t>18+</t>
        </is>
      </c>
      <c r="I142" s="24" t="n">
        <v>2</v>
      </c>
      <c r="J142" s="24" t="inlineStr"/>
      <c r="K142" s="24" t="inlineStr">
        <is>
          <t>not stated</t>
        </is>
      </c>
      <c r="L142" s="24" t="inlineStr">
        <is>
          <t>not stated</t>
        </is>
      </c>
      <c r="M142"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2" s="24" t="inlineStr">
        <is>
          <t>© 2026 Copyright – NovoPsych – All rights reserved</t>
        </is>
      </c>
      <c r="O142" s="24" t="inlineStr">
        <is>
          <t>not stated</t>
        </is>
      </c>
      <c r="P142" s="24" t="inlineStr">
        <is>
          <t>Shortlist: coaching and wellbeing (client facing possible)</t>
        </is>
      </c>
      <c r="Q142" s="24" t="inlineStr"/>
      <c r="R142" s="24" t="inlineStr"/>
      <c r="S142" s="24" t="inlineStr">
        <is>
          <t>Item count not stated in readable text. Only the site wide footer copyright appears. Scoring and Interpretation and Psychometric Properties tab content not present in fetched page text; only overview, developer and reference sections were readable.</t>
        </is>
      </c>
      <c r="T142" s="24" t="inlineStr">
        <is>
          <t>https://novopsych.com/assessments/formulation/compassion-motivation-and-action-scales-compassion-cmas-other/</t>
        </is>
      </c>
    </row>
    <row r="143">
      <c r="A143" s="24" t="n">
        <v>142</v>
      </c>
      <c r="B143" s="24" t="inlineStr">
        <is>
          <t>Adverse Childhood Experiences Questionnaire</t>
        </is>
      </c>
      <c r="C143" s="24" t="inlineStr">
        <is>
          <t>ACE-Q</t>
        </is>
      </c>
      <c r="D143" s="24" t="inlineStr">
        <is>
          <t>Trauma, Formulation</t>
        </is>
      </c>
      <c r="E143" s="24" t="inlineStr">
        <is>
          <t>Measures retrospective exposure to potentially traumatic experiences before age 18, covering abuse and neglect and household dysfunction.</t>
        </is>
      </c>
      <c r="F143" s="24" t="n">
        <v>10</v>
      </c>
      <c r="G143" s="24" t="inlineStr">
        <is>
          <t>self report</t>
        </is>
      </c>
      <c r="H143" s="24" t="inlineStr">
        <is>
          <t>18+</t>
        </is>
      </c>
      <c r="I143" s="24" t="n">
        <v>2</v>
      </c>
      <c r="J143" s="24" t="inlineStr">
        <is>
          <t>Abuse and neglect, Household dysfunction</t>
        </is>
      </c>
      <c r="K143" s="24" t="inlineStr">
        <is>
          <t>not stated</t>
        </is>
      </c>
      <c r="L143" s="24" t="inlineStr">
        <is>
          <t>not stated</t>
        </is>
      </c>
      <c r="M143" s="24" t="inlineStr">
        <is>
          <t>Felitti, V. J., Anda, R. F., Nordenberg, D., Williamson, D. F., Spitz, A. M., Edwards, V., Koss, M. P., &amp; Marks, J. S. (1998). Relationship of childhood abuse and household dysfunction to many of the leading causes of death in adults. American Journal of Preventive Medicine, 14(4), 245 to 258. https://doi.org/10.1016/s0749-3797(98)00017-8</t>
        </is>
      </c>
      <c r="N143" s="24" t="inlineStr">
        <is>
          <t>© 2026 Copyright – NovoPsych – All rights reserved</t>
        </is>
      </c>
      <c r="O143" s="24" t="inlineStr">
        <is>
          <t>not stated</t>
        </is>
      </c>
      <c r="P143" s="24" t="inlineStr">
        <is>
          <t>Shortlist: coaching and wellbeing (client facing possible)</t>
        </is>
      </c>
      <c r="Q143" s="24" t="inlineStr"/>
      <c r="R143" s="24" t="inlineStr"/>
      <c r="S143" s="24" t="inlineStr">
        <is>
          <t>Subscales listed are the 2 broad categories described on the page rather than formal subscales. Only the site wide footer copyright appears. Scoring and Interpretation and Psychometric Properties tab content not present in fetched page text; only overview, developer and reference sections were readable.</t>
        </is>
      </c>
      <c r="T143" s="24" t="inlineStr">
        <is>
          <t>https://novopsych.com/assessments/trauma/adverse-childhood-experiences-questionnaire-ace-q/</t>
        </is>
      </c>
    </row>
    <row r="144">
      <c r="A144" s="24" t="n">
        <v>143</v>
      </c>
      <c r="B144" s="24" t="inlineStr">
        <is>
          <t>Cognitive Flexibility Inventory</t>
        </is>
      </c>
      <c r="C144" s="24" t="inlineStr">
        <is>
          <t>CFI</t>
        </is>
      </c>
      <c r="D144" s="24" t="inlineStr">
        <is>
          <t>Formulation</t>
        </is>
      </c>
      <c r="E144" s="24" t="inlineStr">
        <is>
          <t>Measures how regularly people apply the thought challenging strategies used in cognitive behavioural therapy.</t>
        </is>
      </c>
      <c r="F144" s="24" t="n">
        <v>20</v>
      </c>
      <c r="G144" s="24" t="inlineStr">
        <is>
          <t>self report</t>
        </is>
      </c>
      <c r="H144" s="24" t="inlineStr">
        <is>
          <t>18+</t>
        </is>
      </c>
      <c r="I144" s="24" t="n">
        <v>3</v>
      </c>
      <c r="J144" s="24" t="inlineStr"/>
      <c r="K144" s="24" t="inlineStr">
        <is>
          <t>not stated</t>
        </is>
      </c>
      <c r="L144" s="24" t="inlineStr">
        <is>
          <t>not stated</t>
        </is>
      </c>
      <c r="M144" s="24" t="inlineStr">
        <is>
          <t>Dennis, J. P., &amp; Vander Wal, J. S. (2010). The cognitive flexibility inventory: Instrument development and estimates of reliability and validity. Cognitive Therapy and Research, 34(3), 241 to 253. https://doi.org/10.1007/s10608-009-9276-4</t>
        </is>
      </c>
      <c r="N144" s="24" t="inlineStr">
        <is>
          <t>© 2026 Copyright – NovoPsych – All rights reserved</t>
        </is>
      </c>
      <c r="O144" s="24" t="inlineStr">
        <is>
          <t>not stated</t>
        </is>
      </c>
      <c r="P144" s="24" t="inlineStr">
        <is>
          <t>Already in codebook</t>
        </is>
      </c>
      <c r="Q144" s="24" t="inlineStr"/>
      <c r="R144" s="24" t="inlineStr"/>
      <c r="S144" s="24" t="inlineStr">
        <is>
          <t>Sample report mentions a scored subscale bar chart but names were not in readable text (the instrument has Alternatives and Control subscales). Only the site wide footer copyright appears. Scoring and Interpretation and Psychometric Properties tab content not present in fetched page text; only overview, developer and reference sections were readable.</t>
        </is>
      </c>
      <c r="T144" s="24" t="inlineStr">
        <is>
          <t>https://novopsych.com/assessments/formulation/cognitive-flexibility-inventory-cfi/</t>
        </is>
      </c>
    </row>
    <row r="145">
      <c r="A145" s="24" t="n">
        <v>144</v>
      </c>
      <c r="B145" s="24" t="inlineStr">
        <is>
          <t>Automatic Thoughts Questionnaire Believability</t>
        </is>
      </c>
      <c r="C145" s="24" t="inlineStr">
        <is>
          <t>ATQ-B</t>
        </is>
      </c>
      <c r="D145" s="24" t="inlineStr">
        <is>
          <t>Depression, Formulation</t>
        </is>
      </c>
      <c r="E145" s="24" t="inlineStr">
        <is>
          <t>Measures the believability of depression related cognitions, meaning how true the client considers those thoughts rather than how often they occur.</t>
        </is>
      </c>
      <c r="F145" s="24" t="n">
        <v>15</v>
      </c>
      <c r="G145" s="24" t="inlineStr">
        <is>
          <t>self report</t>
        </is>
      </c>
      <c r="H145" s="24" t="inlineStr">
        <is>
          <t>18+</t>
        </is>
      </c>
      <c r="I145" s="24" t="n">
        <v>3</v>
      </c>
      <c r="J145" s="24" t="inlineStr"/>
      <c r="K145" s="24" t="inlineStr">
        <is>
          <t>not stated</t>
        </is>
      </c>
      <c r="L145" s="24" t="inlineStr">
        <is>
          <t>not stated</t>
        </is>
      </c>
      <c r="M145" s="24" t="inlineStr">
        <is>
          <t>Netemeyer, R. G., Williamson, D. A., Burton, S., Biswas, D., Jindal, S., Landreth, S., Mills, G., &amp; Primeaux, S. (2002). Psychometric properties of shortened versions of the automatic thoughts questionnaire. Educational and Psychological Measurement, 62(1), 111 to 129. https://doi.org/10.1177/0013164402062001008</t>
        </is>
      </c>
      <c r="N145" s="24" t="inlineStr">
        <is>
          <t>© 2026 Copyright – NovoPsych – All rights reserved</t>
        </is>
      </c>
      <c r="O145" s="24" t="inlineStr">
        <is>
          <t>not stated</t>
        </is>
      </c>
      <c r="P145" s="24" t="inlineStr">
        <is>
          <t>Shortlist: coaching and wellbeing (client facing possible)</t>
        </is>
      </c>
      <c r="Q145" s="24" t="inlineStr"/>
      <c r="R145" s="24" t="inlineStr"/>
      <c r="S145" s="24" t="inlineStr">
        <is>
          <t>Page also refers to the scale as ATQ-B-15. Only the site wide footer copyright appears. Scoring and Interpretation and Psychometric Properties tab content not present in fetched page text; only overview, developer and reference sections were readable.</t>
        </is>
      </c>
      <c r="T145" s="24" t="inlineStr">
        <is>
          <t>https://novopsych.com/assessments/depression/automatic-thoughts-questionnaire-believability-atq-b/</t>
        </is>
      </c>
    </row>
    <row r="146">
      <c r="A146" s="24" t="n">
        <v>145</v>
      </c>
      <c r="B146" s="24" t="inlineStr">
        <is>
          <t>World Health Organisation Disability Assessment Schedule 2.0 Interview</t>
        </is>
      </c>
      <c r="C146" s="24" t="inlineStr">
        <is>
          <t>WHODAS 2.0 Interview</t>
        </is>
      </c>
      <c r="D146" s="24" t="inlineStr">
        <is>
          <t>Disability, Formulation, Health</t>
        </is>
      </c>
      <c r="E146" s="24" t="inlineStr">
        <is>
          <t>A generic instrument for assessing health and disability across functioning domains, usable at population level or in clinical practice.</t>
        </is>
      </c>
      <c r="F146" s="24" t="n"/>
      <c r="G146" s="24" t="inlineStr">
        <is>
          <t>clinician administered interview</t>
        </is>
      </c>
      <c r="H146" s="24" t="inlineStr">
        <is>
          <t>18+</t>
        </is>
      </c>
      <c r="I146" s="24" t="n">
        <v>7</v>
      </c>
      <c r="J146" s="24" t="inlineStr"/>
      <c r="K146" s="24" t="inlineStr">
        <is>
          <t>not stated</t>
        </is>
      </c>
      <c r="L146" s="24" t="inlineStr">
        <is>
          <t>not stated</t>
        </is>
      </c>
      <c r="M146" s="24" t="inlineStr">
        <is>
          <t>Üstün, T. B., Kostanjsek, N., Chatterji, S., &amp; Rehm, J. (Eds.). (2010). Measuring health and disability: Manual for WHO Disability Assessment Schedule (WHODAS 2.0). World Health Organization.</t>
        </is>
      </c>
      <c r="N146" s="24" t="inlineStr">
        <is>
          <t>© 2026 Copyright – NovoPsych – All rights reserved</t>
        </is>
      </c>
      <c r="O146" s="24" t="inlineStr">
        <is>
          <t>not stated</t>
        </is>
      </c>
      <c r="P146" s="24" t="inlineStr">
        <is>
          <t>Out of scope for the hub (not self report)</t>
        </is>
      </c>
      <c r="Q146" s="24" t="inlineStr"/>
      <c r="R146" s="24" t="inlineStr"/>
      <c r="S146"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6" s="24" t="inlineStr">
        <is>
          <t>https://novopsych.com/assessments/health/world-health-organisation-disability-assessment-schedule-2-0-interview-whodas-interview/</t>
        </is>
      </c>
    </row>
    <row r="147">
      <c r="A147" s="24" t="n">
        <v>146</v>
      </c>
      <c r="B147" s="24" t="inlineStr">
        <is>
          <t>World Health Organisation Disability Assessment Schedule 2.0 Proxy</t>
        </is>
      </c>
      <c r="C147" s="24" t="inlineStr">
        <is>
          <t>WHODAS 2.0 Proxy</t>
        </is>
      </c>
      <c r="D147" s="24" t="inlineStr">
        <is>
          <t>Disability, Formulation, Health</t>
        </is>
      </c>
      <c r="E147" s="24" t="inlineStr">
        <is>
          <t>A generic instrument for assessing health and disability completed by a proxy such as a family member or carer.</t>
        </is>
      </c>
      <c r="F147" s="24" t="n"/>
      <c r="G147" s="24" t="inlineStr">
        <is>
          <t>proxy report</t>
        </is>
      </c>
      <c r="H147" s="24" t="inlineStr">
        <is>
          <t>18+</t>
        </is>
      </c>
      <c r="I147" s="24" t="n">
        <v>7</v>
      </c>
      <c r="J147" s="24" t="inlineStr"/>
      <c r="K147" s="24" t="inlineStr">
        <is>
          <t>not stated</t>
        </is>
      </c>
      <c r="L147" s="24" t="inlineStr">
        <is>
          <t>not stated</t>
        </is>
      </c>
      <c r="M147" s="24" t="inlineStr">
        <is>
          <t>Üstün, T. B., Kostanjsek, N., Chatterji, S., &amp; Rehm, J. (Eds.). (2010). Measuring health and disability: Manual for WHO Disability Assessment Schedule (WHODAS 2.0). World Health Organization.</t>
        </is>
      </c>
      <c r="N147" s="24" t="inlineStr">
        <is>
          <t>© 2026 Copyright – NovoPsych – All rights reserved</t>
        </is>
      </c>
      <c r="O147" s="24" t="inlineStr">
        <is>
          <t>not stated</t>
        </is>
      </c>
      <c r="P147" s="24" t="inlineStr">
        <is>
          <t>Out of scope for the hub (not self report)</t>
        </is>
      </c>
      <c r="Q147" s="24" t="inlineStr"/>
      <c r="R147" s="24" t="inlineStr"/>
      <c r="S147"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7" s="24" t="inlineStr">
        <is>
          <t>https://novopsych.com/assessments/health/world-health-organisation-disability-assessment-schedule-2-0-proxy-whodas-proxy/</t>
        </is>
      </c>
    </row>
    <row r="148">
      <c r="A148" s="24" t="n">
        <v>147</v>
      </c>
      <c r="B148" s="24" t="inlineStr">
        <is>
          <t>World Health Organisation Disability Assessment Schedule 2.0 Self Report</t>
        </is>
      </c>
      <c r="C148" s="24" t="inlineStr">
        <is>
          <t>WHODAS 2.0</t>
        </is>
      </c>
      <c r="D148" s="24" t="inlineStr">
        <is>
          <t>Disability, Formulation, Health</t>
        </is>
      </c>
      <c r="E148" s="24" t="inlineStr">
        <is>
          <t>A generic instrument for assessing health and disability across functioning domains, usable at population level or in clinical practice.</t>
        </is>
      </c>
      <c r="F148" s="24" t="n"/>
      <c r="G148" s="24" t="inlineStr">
        <is>
          <t>self report</t>
        </is>
      </c>
      <c r="H148" s="24" t="inlineStr">
        <is>
          <t>18+</t>
        </is>
      </c>
      <c r="I148" s="24" t="n">
        <v>7</v>
      </c>
      <c r="J148" s="24" t="inlineStr"/>
      <c r="K148" s="24" t="inlineStr">
        <is>
          <t>not stated</t>
        </is>
      </c>
      <c r="L148" s="24" t="inlineStr">
        <is>
          <t>not stated</t>
        </is>
      </c>
      <c r="M148" s="24" t="inlineStr">
        <is>
          <t>Üstün, T. B., Kostanjsek, N., Chatterji, S., &amp; Rehm, J. (Eds.). (2010). Measuring health and disability: Manual for WHO Disability Assessment Schedule (WHODAS 2.0). World Health Organization.</t>
        </is>
      </c>
      <c r="N148" s="24" t="inlineStr">
        <is>
          <t>© 2026 Copyright – NovoPsych – All rights reserved</t>
        </is>
      </c>
      <c r="O148" s="24" t="inlineStr">
        <is>
          <t>not stated</t>
        </is>
      </c>
      <c r="P148" s="24" t="inlineStr">
        <is>
          <t>Shortlist: coaching and wellbeing (client facing possible)</t>
        </is>
      </c>
      <c r="Q148" s="24" t="inlineStr"/>
      <c r="R148" s="24" t="inlineStr"/>
      <c r="S148"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8" s="24" t="inlineStr">
        <is>
          <t>https://novopsych.com/assessments/health/the-world-health-organisation-disability-assessment-schedule-whodas-2-0-self-report-version/</t>
        </is>
      </c>
    </row>
    <row r="149">
      <c r="A149" s="24" t="n">
        <v>148</v>
      </c>
      <c r="B149" s="24" t="inlineStr">
        <is>
          <t>Self Compassion Scale Short Form</t>
        </is>
      </c>
      <c r="C149" s="24" t="inlineStr">
        <is>
          <t>SCS-SF</t>
        </is>
      </c>
      <c r="D149" s="24" t="inlineStr">
        <is>
          <t>Formulation, Well-being</t>
        </is>
      </c>
      <c r="E149" s="24" t="inlineStr">
        <is>
          <t>Measures self compassion as a brief alternative to Neff's original 26 item scale.</t>
        </is>
      </c>
      <c r="F149" s="24" t="n">
        <v>12</v>
      </c>
      <c r="G149" s="24" t="inlineStr">
        <is>
          <t>self report</t>
        </is>
      </c>
      <c r="H149" s="24" t="inlineStr">
        <is>
          <t>18+</t>
        </is>
      </c>
      <c r="I149" s="24" t="n">
        <v>2</v>
      </c>
      <c r="J149" s="24" t="inlineStr">
        <is>
          <t>Self Disparagement, Self Care</t>
        </is>
      </c>
      <c r="K149" s="24" t="inlineStr">
        <is>
          <t>not stated</t>
        </is>
      </c>
      <c r="L149" s="24" t="inlineStr">
        <is>
          <t>Total average score and subscale average scores compared against a community sample; direction and cut offs not stated.</t>
        </is>
      </c>
      <c r="M149" s="24" t="inlineStr">
        <is>
          <t>Raes, F., Pommier, E., Neff, K. D., &amp; Van Gucht, D. (2011). Construction and factorial validation of a short form of the Self-Compassion Scale. Clinical Psychology &amp; Psychotherapy, 18(3), 250 to 255. Original scale: Neff (2003).</t>
        </is>
      </c>
      <c r="N149" s="24" t="inlineStr">
        <is>
          <t>© 2026 Copyright – NovoPsych – All rights reserved</t>
        </is>
      </c>
      <c r="O149" s="24" t="inlineStr">
        <is>
          <t>not stated</t>
        </is>
      </c>
      <c r="P149" s="24" t="inlineStr">
        <is>
          <t>Already in codebook</t>
        </is>
      </c>
      <c r="Q149" s="24" t="inlineStr"/>
      <c r="R149" s="24" t="inlineStr"/>
      <c r="S149" s="24" t="inlineStr">
        <is>
          <t>Page cites Raes et al. (2011) without full reference; completed from the standard source. No copyright statement found beyond site footer.</t>
        </is>
      </c>
      <c r="T149" s="24" t="inlineStr">
        <is>
          <t>https://novopsych.com/assessments/well-being/self-compassion-scale-short-form-scs-sf/</t>
        </is>
      </c>
    </row>
    <row r="150">
      <c r="A150" s="24" t="n">
        <v>149</v>
      </c>
      <c r="B150" s="24" t="inlineStr">
        <is>
          <t>Preschool Anxiety Scale</t>
        </is>
      </c>
      <c r="C150" s="24" t="inlineStr">
        <is>
          <t>PAS</t>
        </is>
      </c>
      <c r="D150" s="24" t="inlineStr">
        <is>
          <t>Anxiety, Child, Diagnosis</t>
        </is>
      </c>
      <c r="E150" s="24" t="inlineStr">
        <is>
          <t>Measures anxiety in young children, giving an overall anxiety score and 5 specific anxiety domain scores.</t>
        </is>
      </c>
      <c r="F150" s="24" t="n">
        <v>28</v>
      </c>
      <c r="G150" s="24" t="inlineStr">
        <is>
          <t>parent or guardian report</t>
        </is>
      </c>
      <c r="H150" s="24" t="inlineStr">
        <is>
          <t>2.5 to 6.5 years</t>
        </is>
      </c>
      <c r="I150" s="24" t="n">
        <v>6</v>
      </c>
      <c r="J150" s="24" t="inlineStr">
        <is>
          <t>Generalised anxiety, Social anxiety, Obsessive compulsive disorder, Physical injury fears, Separation anxiety</t>
        </is>
      </c>
      <c r="K150" s="24" t="inlineStr">
        <is>
          <t>not stated</t>
        </is>
      </c>
      <c r="L150" s="24" t="inlineStr">
        <is>
          <t>not stated</t>
        </is>
      </c>
      <c r="M150" s="24" t="inlineStr">
        <is>
          <t>Spence, S. H., Rapee, R., McDonald, C., &amp; Ingram, M. (2001). The structure of anxiety symptoms among preschoolers. Behaviour Research and Therapy, 39(11), 1293 to 1316.</t>
        </is>
      </c>
      <c r="N150" s="24" t="inlineStr">
        <is>
          <t>© 2026 Copyright – NovoPsych – All rights reserved</t>
        </is>
      </c>
      <c r="O150" s="24" t="inlineStr">
        <is>
          <t>not stated</t>
        </is>
      </c>
      <c r="P150" s="24" t="inlineStr">
        <is>
          <t>Out of scope for the hub (child, adolescent, sport, eating, clinician or service feedback)</t>
        </is>
      </c>
      <c r="Q150" s="24" t="inlineStr"/>
      <c r="R150" s="24" t="inlineStr"/>
      <c r="S150" s="24" t="inlineStr">
        <is>
          <t>Page links to a blank PDF form. Only the site wide footer copyright appears. Scoring and Interpretation and Psychometric Properties tab content not present in fetched page text; only overview, developer and reference sections were readable.</t>
        </is>
      </c>
      <c r="T150" s="24" t="inlineStr">
        <is>
          <t>https://novopsych.com/assessments/diagnosis/preschool-anxiety-scale-pas/</t>
        </is>
      </c>
    </row>
    <row r="151">
      <c r="A151" s="24" t="n">
        <v>150</v>
      </c>
      <c r="B151" s="24" t="inlineStr">
        <is>
          <t>Depression Anxiety Stress Scale 10</t>
        </is>
      </c>
      <c r="C151" s="24" t="inlineStr">
        <is>
          <t>DASS-10</t>
        </is>
      </c>
      <c r="D151" s="24" t="inlineStr">
        <is>
          <t>Anxiety, Depression, Outcome monitoring</t>
        </is>
      </c>
      <c r="E151" s="24" t="inlineStr">
        <is>
          <t>Measures overall psychological distress with subscale scores for depression and for anxiety and stress symptoms.</t>
        </is>
      </c>
      <c r="F151" s="24" t="n">
        <v>10</v>
      </c>
      <c r="G151" s="24" t="inlineStr">
        <is>
          <t>self report</t>
        </is>
      </c>
      <c r="H151" s="24" t="inlineStr">
        <is>
          <t>18+</t>
        </is>
      </c>
      <c r="I151" s="24" t="n">
        <v>2</v>
      </c>
      <c r="J151" s="24" t="inlineStr">
        <is>
          <t>Depression, Anxiety/Stress</t>
        </is>
      </c>
      <c r="K151" s="24" t="inlineStr">
        <is>
          <t>not stated</t>
        </is>
      </c>
      <c r="L151" s="24" t="inlineStr">
        <is>
          <t>not stated</t>
        </is>
      </c>
      <c r="M151" s="24" t="inlineStr">
        <is>
          <t>Halford, W. K., &amp; Frost, A. D. J. (2021). Depression Anxiety Stress Scale-10: A Brief Measure for Routine Psychotherapy Outcome and Progress Assessment. Behaviour Change, 1 to 14. https://doi.org/10.1017/bec.2021.12</t>
        </is>
      </c>
      <c r="N151" s="24" t="inlineStr">
        <is>
          <t>© 2026 Copyright – NovoPsych – All rights reserved</t>
        </is>
      </c>
      <c r="O151" s="24" t="inlineStr">
        <is>
          <t>not stated</t>
        </is>
      </c>
      <c r="P151" s="24" t="inlineStr">
        <is>
          <t>Shortlist: coaching and wellbeing (client facing possible)</t>
        </is>
      </c>
      <c r="Q151" s="24" t="inlineStr"/>
      <c r="R151" s="24" t="inlineStr"/>
      <c r="S151" s="24" t="inlineStr">
        <is>
          <t>Short form of the DASS-42. Also references Lovibond &amp; Lovibond (1995) DASS manual, Psychology Foundation. Only the site wide footer copyright appears. Scoring and Interpretation and Psychometric Properties tab content not present in fetched page text; only overview, developer and reference sections were readable.</t>
        </is>
      </c>
      <c r="T151" s="24" t="inlineStr">
        <is>
          <t>https://novopsych.com/assessments/depression/depression-anxiety-stress-scale-dass-10/</t>
        </is>
      </c>
    </row>
  </sheetData>
  <autoFilter ref="A1:T151"/>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I3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16" min="1" max="1"/>
    <col width="24" customWidth="1" style="16" min="2" max="2"/>
    <col width="20" customWidth="1" style="16" min="3" max="3"/>
    <col width="44" customWidth="1" style="16" min="4" max="4"/>
    <col width="11" customWidth="1" style="16" min="5" max="5"/>
    <col width="40" customWidth="1" style="16" min="6" max="6"/>
    <col width="26" customWidth="1" style="16" min="7" max="7"/>
    <col width="60" customWidth="1" style="16" min="8" max="9"/>
  </cols>
  <sheetData>
    <row r="1" ht="30" customHeight="1" s="17">
      <c r="A1" s="25" t="inlineStr">
        <is>
          <t>Battery (form name)</t>
        </is>
      </c>
      <c r="B1" s="25" t="inlineStr">
        <is>
          <t>Notion tag</t>
        </is>
      </c>
      <c r="C1" s="25" t="inlineStr">
        <is>
          <t>Instrument codes</t>
        </is>
      </c>
      <c r="D1" s="25" t="inlineStr">
        <is>
          <t>Instruments</t>
        </is>
      </c>
      <c r="E1" s="25" t="inlineStr">
        <is>
          <t>Items in battery</t>
        </is>
      </c>
      <c r="F1" s="25" t="inlineStr">
        <is>
          <t>Administration time by instrument</t>
        </is>
      </c>
      <c r="G1" s="25" t="inlineStr">
        <is>
          <t>Report skill</t>
        </is>
      </c>
      <c r="H1" s="25" t="inlineStr">
        <is>
          <t>What it assesses</t>
        </is>
      </c>
      <c r="I1" s="25" t="inlineStr">
        <is>
          <t>Scoring and interpretation notes</t>
        </is>
      </c>
    </row>
    <row r="2" ht="94.5" customHeight="1" s="17">
      <c r="A2" s="26" t="inlineStr">
        <is>
          <t>Executive Function Measures</t>
        </is>
      </c>
      <c r="B2" s="27" t="inlineStr">
        <is>
          <t>Executive Function (NT)</t>
        </is>
      </c>
      <c r="C2" s="27" t="inlineStr">
        <is>
          <t>ESQ-R</t>
        </is>
      </c>
      <c r="D2" s="27" t="inlineStr">
        <is>
          <t>Executive Skills Questionnaire - Revised (ESQ-R)</t>
        </is>
      </c>
      <c r="E2" s="28">
        <f>COUNTIF('Master Item List'!$A:$A,"ESQ-R")</f>
        <v/>
      </c>
      <c r="F2" s="27" t="inlineStr">
        <is>
          <t>ESQ-R: 5 minutes</t>
        </is>
      </c>
      <c r="G2" s="27" t="inlineStr">
        <is>
          <t>ef-measures-report-nt</t>
        </is>
      </c>
      <c r="H2" s="27" t="inlineStr">
        <is>
          <t>Executive skills profile for clients without an ADHD diagnosis, locating difficulty across plan management, time management, organisation, emotional regulation and behavioural regulation.</t>
        </is>
      </c>
      <c r="I2" s="27" t="inlineStr">
        <is>
          <t>Single instrument battery. Higher ESQ-R scores mean more difficulty. The CFI was removed from this battery on 26 September 2026; check the report skill no longer expects it.</t>
        </is>
      </c>
    </row>
    <row r="3" ht="94.5" customHeight="1" s="17">
      <c r="A3" s="26" t="inlineStr">
        <is>
          <t>Executive Function Measures (ADHD)</t>
        </is>
      </c>
      <c r="B3" s="27" t="inlineStr">
        <is>
          <t>Executive Function (ADHD)</t>
        </is>
      </c>
      <c r="C3" s="27" t="inlineStr">
        <is>
          <t>ASRS, ESQ-R</t>
        </is>
      </c>
      <c r="D3" s="27" t="inlineStr">
        <is>
          <t>Adult ADHD Self-Report Scale (ASRS v1.1)
Executive Skills Questionnaire - Revised (ESQ-R)</t>
        </is>
      </c>
      <c r="E3" s="28">
        <f>COUNTIF('Master Item List'!$A:$A,"ASRS")+COUNTIF('Master Item List'!$A:$A,"ESQ-R")</f>
        <v/>
      </c>
      <c r="F3" s="27" t="inlineStr">
        <is>
          <t>ASRS: 3 minutes
ESQ-R: 5 minutes</t>
        </is>
      </c>
      <c r="G3" s="27" t="inlineStr">
        <is>
          <t>ef-measures-report-adhd</t>
        </is>
      </c>
      <c r="H3" s="27" t="inlineStr">
        <is>
          <t>The executive skills profile with current adult ADHD symptom screening added. Use for clients with a diagnosis or where ADHD is a live question.</t>
        </is>
      </c>
      <c r="I3" s="27" t="inlineStr">
        <is>
          <t>ASRS Part A of 14 or more is a positive screen, not a diagnosis. The CFI was removed from this battery on 26 September 2026. The report skill description still names the CFI and the ACOS-Self, neither of which is in this battery now; check the skill matches the form.</t>
        </is>
      </c>
    </row>
    <row r="4" ht="94.5" customHeight="1" s="17">
      <c r="A4" s="26" t="inlineStr">
        <is>
          <t>Strengths Assessment</t>
        </is>
      </c>
      <c r="B4" s="27" t="inlineStr">
        <is>
          <t>Strengths</t>
        </is>
      </c>
      <c r="C4" s="27" t="inlineStr">
        <is>
          <t>SKS, SUS, SSES</t>
        </is>
      </c>
      <c r="D4" s="27" t="inlineStr">
        <is>
          <t>Strengths Knowledge Scale
Strengths Use Scale
Strengths Self-Efficacy Scale</t>
        </is>
      </c>
      <c r="E4" s="28">
        <f>COUNTIF('Master Item List'!$A:$A,"SKS")+COUNTIF('Master Item List'!$A:$A,"SUS")+COUNTIF('Master Item List'!$A:$A,"SSES")</f>
        <v/>
      </c>
      <c r="F4" s="27" t="inlineStr">
        <is>
          <t>SKS: 2-3 minutes
SUS: 3-5 minutes
SSES: 3-5 minutes</t>
        </is>
      </c>
      <c r="G4" s="27" t="inlineStr">
        <is>
          <t>strengths-report</t>
        </is>
      </c>
      <c r="H4" s="27" t="inlineStr">
        <is>
          <t>Whether a client knows their strengths, uses them, and feels confident applying them. Suited to repeat administration to show change across a coaching engagement.</t>
        </is>
      </c>
      <c r="I4" s="27" t="inlineStr">
        <is>
          <t>No population norms; read against the client’s own baseline.</t>
        </is>
      </c>
    </row>
    <row r="5" ht="94.5" customHeight="1" s="17">
      <c r="A5" s="26" t="inlineStr">
        <is>
          <t>Work Mindset Assessment</t>
        </is>
      </c>
      <c r="B5" s="27" t="inlineStr">
        <is>
          <t>Work Mindset</t>
        </is>
      </c>
      <c r="C5" s="27" t="inlineStr">
        <is>
          <t>CSES, PES</t>
        </is>
      </c>
      <c r="D5" s="27" t="inlineStr">
        <is>
          <t>Core Self-Evaluations Scale
Psychological Empowerment Scale</t>
        </is>
      </c>
      <c r="E5" s="28">
        <f>COUNTIF('Master Item List'!$A:$A,"CSES")+COUNTIF('Master Item List'!$A:$A,"PES")</f>
        <v/>
      </c>
      <c r="F5" s="27" t="inlineStr">
        <is>
          <t>CSES: 2-3 minutes
PES: 3-5 minutes</t>
        </is>
      </c>
      <c r="G5" s="27" t="inlineStr">
        <is>
          <t>work-mindset-report</t>
        </is>
      </c>
      <c r="H5" s="27" t="inlineStr">
        <is>
          <t>General positive self appraisal alongside felt empowerment in a work or study role.</t>
        </is>
      </c>
      <c r="I5" s="27" t="inlineStr">
        <is>
          <t>The PES assumes a defined work role, so it suits employed and placement clients better than full time students.</t>
        </is>
      </c>
    </row>
    <row r="6" ht="94.5" customHeight="1" s="17">
      <c r="A6" s="26" t="inlineStr">
        <is>
          <t>DASS-21</t>
        </is>
      </c>
      <c r="B6" s="27" t="inlineStr">
        <is>
          <t>Single Measure</t>
        </is>
      </c>
      <c r="C6" s="27" t="inlineStr">
        <is>
          <t>DASS-21</t>
        </is>
      </c>
      <c r="D6" s="27" t="inlineStr">
        <is>
          <t>Depression Anxiety Stress Scales, 21 item version (DASS-21)</t>
        </is>
      </c>
      <c r="E6" s="28">
        <f>COUNTIF('Master Item List'!$A:$A,"DASS-21")</f>
        <v/>
      </c>
      <c r="F6" s="27" t="inlineStr">
        <is>
          <t>DASS-21: 4 minutes</t>
        </is>
      </c>
      <c r="G6" s="27" t="inlineStr">
        <is>
          <t>dass21-report</t>
        </is>
      </c>
      <c r="H6" s="27" t="inlineStr">
        <is>
          <t>Distress screening over the past week, to establish whether coaching can safely proceed and whether clinical input is needed.</t>
        </is>
      </c>
      <c r="I6" s="27" t="inlineStr">
        <is>
          <t>Screening only. Contains no suicide item and does not assess risk; items 10, 17 and 21 are followed up directly when endorsed at 2 or 3.</t>
        </is>
      </c>
    </row>
    <row r="7" ht="94.5" customHeight="1" s="17">
      <c r="A7" s="26" t="inlineStr">
        <is>
          <t>Thinking Patterns</t>
        </is>
      </c>
      <c r="B7" s="27" t="inlineStr">
        <is>
          <t>Thinking Patterns</t>
        </is>
      </c>
      <c r="C7" s="27" t="inlineStr">
        <is>
          <t>PTQ, RRS</t>
        </is>
      </c>
      <c r="D7" s="27" t="inlineStr">
        <is>
          <t>Perseverative Thinking Questionnaire
Ruminative Responses Scale</t>
        </is>
      </c>
      <c r="E7" s="28">
        <f>COUNTIF('Master Item List'!$A:$A,"PTQ")+COUNTIF('Master Item List'!$A:$A,"RRS")</f>
        <v/>
      </c>
      <c r="F7" s="27" t="inlineStr">
        <is>
          <t>PTQ: Not stated in the source. A brief 15-item self-report measure, typically completed in a few minutes.
RRS: Approximately 2 minutes (per NovoPsych).</t>
        </is>
      </c>
      <c r="G7" s="27" t="inlineStr">
        <is>
          <t>thinking-patterns-report</t>
        </is>
      </c>
      <c r="H7" s="27" t="inlineStr">
        <is>
          <t>The process of repetitive negative thinking rather than the resulting mood: overall perseverative thinking, and brooding versus reflective rumination.</t>
        </is>
      </c>
      <c r="I7" s="27" t="inlineStr">
        <is>
          <t>Only the RRS Brooding and Reflection subscales are recommended for coaching interpretation.</t>
        </is>
      </c>
    </row>
    <row r="8" ht="94.5" customHeight="1" s="17">
      <c r="A8" s="26" t="inlineStr">
        <is>
          <t>Perfectionism</t>
        </is>
      </c>
      <c r="B8" s="27" t="inlineStr">
        <is>
          <t>Perfectionism</t>
        </is>
      </c>
      <c r="C8" s="27" t="inlineStr">
        <is>
          <t>CFI, PCI</t>
        </is>
      </c>
      <c r="D8" s="27" t="inlineStr">
        <is>
          <t>Cognitive Flexibility Inventory (CFI)
Perfectionism Cognitions Inventory</t>
        </is>
      </c>
      <c r="E8" s="28">
        <f>COUNTIF('Master Item List'!$A:$A,"CFI")+COUNTIF('Master Item List'!$A:$A,"PCI")</f>
        <v/>
      </c>
      <c r="F8" s="27" t="inlineStr">
        <is>
          <t>CFI: 3 minutes
PCI: Approximately 4 minutes (per NovoPsych).</t>
        </is>
      </c>
      <c r="G8" s="27" t="inlineStr">
        <is>
          <t>perfectionism-report</t>
        </is>
      </c>
      <c r="H8" s="27" t="inlineStr">
        <is>
          <t>Frequency of perfectionistic self talk, paired with cognitive flexibility as the capacity that loosens it.</t>
        </is>
      </c>
      <c r="I8" s="27" t="inlineStr">
        <is>
          <t>PCI higher means more perfectionistic thinking; CFI higher means more flexibility.</t>
        </is>
      </c>
    </row>
    <row r="9" ht="94.5" customHeight="1" s="17">
      <c r="A9" s="26" t="inlineStr">
        <is>
          <t>Self-Appraisal Assessment</t>
        </is>
      </c>
      <c r="B9" s="27" t="inlineStr">
        <is>
          <t>Self-Appraisal</t>
        </is>
      </c>
      <c r="C9" s="27" t="inlineStr">
        <is>
          <t>FSCRS, SCS-SF</t>
        </is>
      </c>
      <c r="D9" s="27" t="inlineStr">
        <is>
          <t>Forms of Self-Criticising/Attacking and Self-Reassuring Scale
Self-Compassion Scale – Short Form</t>
        </is>
      </c>
      <c r="E9" s="28">
        <f>COUNTIF('Master Item List'!$A:$A,"FSCRS")+COUNTIF('Master Item List'!$A:$A,"SCS-SF")</f>
        <v/>
      </c>
      <c r="F9" s="27" t="inlineStr">
        <is>
          <t>FSCRS: Not stated in the source. A brief 22-item self-report measure, typically completed in a few minutes.
SCS-SF: Approximately 2 minutes (per NovoPsych).</t>
        </is>
      </c>
      <c r="G9" s="27" t="inlineStr">
        <is>
          <t>self-appraisal-report</t>
        </is>
      </c>
      <c r="H9" s="27" t="inlineStr">
        <is>
          <t>How a client talks to themselves when things go wrong: self critical and self reassuring forms from the FSCRS, and self compassion from the SCS-SF.</t>
        </is>
      </c>
      <c r="I9" s="27" t="inlineStr">
        <is>
          <t>FSCRS item 9 sits close to self harm content; frame with care. SCS-SF higher means more self compassion, the opposite direction to the FSCRS Inadequate and Hated Self subscales.</t>
        </is>
      </c>
    </row>
    <row r="10" ht="94.5" customHeight="1" s="17">
      <c r="A10" s="26" t="inlineStr">
        <is>
          <t>Procrastination</t>
        </is>
      </c>
      <c r="B10" s="27" t="inlineStr">
        <is>
          <t>Procrastination</t>
        </is>
      </c>
      <c r="C10" s="27" t="inlineStr">
        <is>
          <t>PPS, IPS</t>
        </is>
      </c>
      <c r="D10" s="27" t="inlineStr">
        <is>
          <t>Pure Procrastination Scale
Irrational Procrastination Scale</t>
        </is>
      </c>
      <c r="E10" s="28">
        <f>COUNTIF('Master Item List'!$A:$A,"PPS")+COUNTIF('Master Item List'!$A:$A,"IPS")</f>
        <v/>
      </c>
      <c r="F10" s="27" t="inlineStr">
        <is>
          <t>PPS: 2-3 minutes
IPS: 1-2 minutes</t>
        </is>
      </c>
      <c r="G10" s="27" t="inlineStr">
        <is>
          <t>procrastination-report</t>
        </is>
      </c>
      <c r="H10" s="27" t="inlineStr">
        <is>
          <t>General delay across decisions and tasks (PPS) and delay that the client recognises as harmful to them (IPS).</t>
        </is>
      </c>
      <c r="I10" s="27" t="inlineStr">
        <is>
          <t>IPS items 2, 6 and 9 are reverse scored.</t>
        </is>
      </c>
    </row>
    <row r="11" ht="94.5" customHeight="1" s="17">
      <c r="A11" s="26" t="inlineStr">
        <is>
          <t>Goal Pursuit</t>
        </is>
      </c>
      <c r="B11" s="27" t="inlineStr">
        <is>
          <t>Goal Pursuit</t>
        </is>
      </c>
      <c r="C11" s="27" t="inlineStr">
        <is>
          <t>GSE, GCS, GADJ</t>
        </is>
      </c>
      <c r="D11" s="27" t="inlineStr">
        <is>
          <t>General Self-Efficacy Scale
Goal Commitment Scale (5-item unidimensional version)
Goal Adjustment Scale</t>
        </is>
      </c>
      <c r="E11" s="28">
        <f>COUNTIF('Master Item List'!$A:$A,"GSE")+COUNTIF('Master Item List'!$A:$A,"GCS")+COUNTIF('Master Item List'!$A:$A,"GADJ")</f>
        <v/>
      </c>
      <c r="F11" s="27" t="inlineStr">
        <is>
          <t>GSE: 4 minutes average (per the official FU Berlin documentation)
GCS: Not stated on source
GADJ: Not stated on source</t>
        </is>
      </c>
      <c r="G11" s="29" t="inlineStr">
        <is>
          <t>No report skill yet</t>
        </is>
      </c>
      <c r="H11" s="27" t="inlineStr">
        <is>
          <t>General confidence in managing difficulty (GSE), commitment to a specific goal the client names (GCS), and the capacity to let go of unattainable goals and take up new ones (GADJ).</t>
        </is>
      </c>
      <c r="I11" s="27" t="inlineStr">
        <is>
          <t>GCS items refer to a goal the client names, so the form must ask for the goal first; GCS items 1, 2 and 4 are reverse scored. Score the 2 GADJ subscales separately; GADJ items 2 and 3 are reverse scored. Both the GCS and GADJ need author permission for paid use.</t>
        </is>
      </c>
    </row>
    <row r="12" ht="94.5" customHeight="1" s="17">
      <c r="A12" s="26" t="inlineStr">
        <is>
          <t>Self-Determination</t>
        </is>
      </c>
      <c r="B12" s="27" t="inlineStr">
        <is>
          <t>Self Determination</t>
        </is>
      </c>
      <c r="C12" s="27" t="inlineStr">
        <is>
          <t>BPNSFS</t>
        </is>
      </c>
      <c r="D12" s="27" t="inlineStr">
        <is>
          <t>Basic Psychological Need Satisfaction and Frustration Scale (BPNSFS)</t>
        </is>
      </c>
      <c r="E12" s="28">
        <f>COUNTIF('Master Item List'!$A:$A,"BPNSFS")</f>
        <v/>
      </c>
      <c r="F12" s="27" t="inlineStr">
        <is>
          <t>BPNSFS: Not stated on source</t>
        </is>
      </c>
      <c r="G12" s="27" t="inlineStr">
        <is>
          <t>self-determination-report</t>
        </is>
      </c>
      <c r="H12" s="27" t="inlineStr">
        <is>
          <t>Satisfaction and frustration of the needs for autonomy, competence and relatedness, to locate whether low motivation reflects unmet needs or actively thwarted ones.</t>
        </is>
      </c>
      <c r="I12" s="27" t="inlineStr">
        <is>
          <t>Keep the 6 subscales separate. Commercial use needs written permission from the Center for Self-Determination Theory.</t>
        </is>
      </c>
    </row>
    <row r="14" ht="15" customHeight="1" s="17">
      <c r="A14" s="30" t="inlineStr">
        <is>
          <t>Instrument to battery map</t>
        </is>
      </c>
    </row>
    <row r="15" ht="15" customHeight="1" s="17">
      <c r="A15" s="25" t="inlineStr">
        <is>
          <t>Instrument code</t>
        </is>
      </c>
      <c r="B15" s="25" t="inlineStr">
        <is>
          <t>Instrument</t>
        </is>
      </c>
      <c r="C15" s="25" t="inlineStr">
        <is>
          <t>Batteries using it</t>
        </is>
      </c>
    </row>
    <row r="16" ht="46.25" customHeight="1" s="17">
      <c r="A16" s="26" t="inlineStr">
        <is>
          <t>ESQ-R</t>
        </is>
      </c>
      <c r="B16" s="27" t="inlineStr">
        <is>
          <t>Executive Skills Questionnaire - Revised (ESQ-R)</t>
        </is>
      </c>
      <c r="C16" s="27" t="inlineStr">
        <is>
          <t>Executive Function Measures
Executive Function Measures (ADHD)</t>
        </is>
      </c>
    </row>
    <row r="17" ht="23.85" customHeight="1" s="17">
      <c r="A17" s="26" t="inlineStr">
        <is>
          <t>CFI</t>
        </is>
      </c>
      <c r="B17" s="27" t="inlineStr">
        <is>
          <t>Cognitive Flexibility Inventory (CFI)</t>
        </is>
      </c>
      <c r="C17" s="27" t="inlineStr">
        <is>
          <t>Perfectionism</t>
        </is>
      </c>
    </row>
    <row r="18" ht="23.85" customHeight="1" s="17">
      <c r="A18" s="26" t="inlineStr">
        <is>
          <t>ASRS</t>
        </is>
      </c>
      <c r="B18" s="27" t="inlineStr">
        <is>
          <t>Adult ADHD Self-Report Scale (ASRS v1.1)</t>
        </is>
      </c>
      <c r="C18" s="27" t="inlineStr">
        <is>
          <t>Executive Function Measures (ADHD)</t>
        </is>
      </c>
    </row>
    <row r="19" ht="15" customHeight="1" s="17">
      <c r="A19" s="26" t="inlineStr">
        <is>
          <t>SKS</t>
        </is>
      </c>
      <c r="B19" s="27" t="inlineStr">
        <is>
          <t>Strengths Knowledge Scale</t>
        </is>
      </c>
      <c r="C19" s="27" t="inlineStr">
        <is>
          <t>Strengths Assessment</t>
        </is>
      </c>
    </row>
    <row r="20" ht="15" customHeight="1" s="17">
      <c r="A20" s="26" t="inlineStr">
        <is>
          <t>SUS</t>
        </is>
      </c>
      <c r="B20" s="27" t="inlineStr">
        <is>
          <t>Strengths Use Scale</t>
        </is>
      </c>
      <c r="C20" s="27" t="inlineStr">
        <is>
          <t>Strengths Assessment</t>
        </is>
      </c>
    </row>
    <row r="21" ht="15" customHeight="1" s="17">
      <c r="A21" s="26" t="inlineStr">
        <is>
          <t>SSES</t>
        </is>
      </c>
      <c r="B21" s="27" t="inlineStr">
        <is>
          <t>Strengths Self-Efficacy Scale</t>
        </is>
      </c>
      <c r="C21" s="27" t="inlineStr">
        <is>
          <t>Strengths Assessment</t>
        </is>
      </c>
    </row>
    <row r="22" ht="23.85" customHeight="1" s="17">
      <c r="A22" s="26" t="inlineStr">
        <is>
          <t>CSES</t>
        </is>
      </c>
      <c r="B22" s="27" t="inlineStr">
        <is>
          <t>Core Self-Evaluations Scale</t>
        </is>
      </c>
      <c r="C22" s="27" t="inlineStr">
        <is>
          <t>Work Mindset Assessment</t>
        </is>
      </c>
    </row>
    <row r="23" ht="23.85" customHeight="1" s="17">
      <c r="A23" s="26" t="inlineStr">
        <is>
          <t>PES</t>
        </is>
      </c>
      <c r="B23" s="27" t="inlineStr">
        <is>
          <t>Psychological Empowerment Scale</t>
        </is>
      </c>
      <c r="C23" s="27" t="inlineStr">
        <is>
          <t>Work Mindset Assessment</t>
        </is>
      </c>
    </row>
    <row r="24" ht="35.05" customHeight="1" s="17">
      <c r="A24" s="26" t="inlineStr">
        <is>
          <t>DASS-21</t>
        </is>
      </c>
      <c r="B24" s="27" t="inlineStr">
        <is>
          <t>Depression Anxiety Stress Scales, 21 item version (DASS-21)</t>
        </is>
      </c>
      <c r="C24" s="27" t="inlineStr">
        <is>
          <t>DASS-21</t>
        </is>
      </c>
    </row>
    <row r="25" ht="23.85" customHeight="1" s="17">
      <c r="A25" s="26" t="inlineStr">
        <is>
          <t>PTQ</t>
        </is>
      </c>
      <c r="B25" s="27" t="inlineStr">
        <is>
          <t>Perseverative Thinking Questionnaire</t>
        </is>
      </c>
      <c r="C25" s="27" t="inlineStr">
        <is>
          <t>Thinking Patterns</t>
        </is>
      </c>
    </row>
    <row r="26" ht="23.85" customHeight="1" s="17">
      <c r="A26" s="26" t="inlineStr">
        <is>
          <t>RRS</t>
        </is>
      </c>
      <c r="B26" s="27" t="inlineStr">
        <is>
          <t>Ruminative Responses Scale</t>
        </is>
      </c>
      <c r="C26" s="27" t="inlineStr">
        <is>
          <t>Thinking Patterns</t>
        </is>
      </c>
    </row>
    <row r="27" ht="35.05" customHeight="1" s="17">
      <c r="A27" s="26" t="inlineStr">
        <is>
          <t>FSCRS</t>
        </is>
      </c>
      <c r="B27" s="27" t="inlineStr">
        <is>
          <t>Forms of Self-Criticising/Attacking and Self-Reassuring Scale</t>
        </is>
      </c>
      <c r="C27" s="27" t="inlineStr">
        <is>
          <t>Self-Appraisal Assessment</t>
        </is>
      </c>
    </row>
    <row r="28" ht="23.85" customHeight="1" s="17">
      <c r="A28" s="26" t="inlineStr">
        <is>
          <t>PCI</t>
        </is>
      </c>
      <c r="B28" s="27" t="inlineStr">
        <is>
          <t>Perfectionism Cognitions Inventory</t>
        </is>
      </c>
      <c r="C28" s="27" t="inlineStr">
        <is>
          <t>Perfectionism</t>
        </is>
      </c>
    </row>
    <row r="29" ht="23.85" customHeight="1" s="17">
      <c r="A29" s="26" t="inlineStr">
        <is>
          <t>SCS-SF</t>
        </is>
      </c>
      <c r="B29" s="27" t="inlineStr">
        <is>
          <t>Self-Compassion Scale – Short Form</t>
        </is>
      </c>
      <c r="C29" s="27" t="inlineStr">
        <is>
          <t>Self-Appraisal Assessment</t>
        </is>
      </c>
    </row>
    <row r="30" ht="35.05" customHeight="1" s="17">
      <c r="A30" s="26" t="inlineStr">
        <is>
          <t>BPNSFS</t>
        </is>
      </c>
      <c r="B30" s="27" t="inlineStr">
        <is>
          <t>Basic Psychological Need Satisfaction and Frustration Scale (BPNSFS)</t>
        </is>
      </c>
      <c r="C30" s="27" t="inlineStr">
        <is>
          <t>Self-Determination</t>
        </is>
      </c>
    </row>
    <row r="31" ht="15" customHeight="1" s="17">
      <c r="A31" s="26" t="inlineStr">
        <is>
          <t>PPS</t>
        </is>
      </c>
      <c r="B31" s="27" t="inlineStr">
        <is>
          <t>Pure Procrastination Scale</t>
        </is>
      </c>
      <c r="C31" s="27" t="inlineStr">
        <is>
          <t>Procrastination</t>
        </is>
      </c>
    </row>
    <row r="32" ht="23.85" customHeight="1" s="17">
      <c r="A32" s="26" t="inlineStr">
        <is>
          <t>IPS</t>
        </is>
      </c>
      <c r="B32" s="27" t="inlineStr">
        <is>
          <t>Irrational Procrastination Scale</t>
        </is>
      </c>
      <c r="C32" s="27" t="inlineStr">
        <is>
          <t>Procrastination</t>
        </is>
      </c>
    </row>
    <row r="33" ht="15" customHeight="1" s="17">
      <c r="A33" s="26" t="inlineStr">
        <is>
          <t>GSE</t>
        </is>
      </c>
      <c r="B33" s="27" t="inlineStr">
        <is>
          <t>General Self-Efficacy Scale</t>
        </is>
      </c>
      <c r="C33" s="27" t="inlineStr">
        <is>
          <t>Goal Pursuit</t>
        </is>
      </c>
    </row>
    <row r="34" ht="23.85" customHeight="1" s="17">
      <c r="A34" s="26" t="inlineStr">
        <is>
          <t>GCS</t>
        </is>
      </c>
      <c r="B34" s="27" t="inlineStr">
        <is>
          <t>Goal Commitment Scale (5-item unidimensional version)</t>
        </is>
      </c>
      <c r="C34" s="27" t="inlineStr">
        <is>
          <t>Goal Pursuit</t>
        </is>
      </c>
    </row>
    <row r="35" ht="15" customHeight="1" s="17">
      <c r="A35" s="26" t="inlineStr">
        <is>
          <t>GADJ</t>
        </is>
      </c>
      <c r="B35" s="27" t="inlineStr">
        <is>
          <t>Goal Adjustment Scale</t>
        </is>
      </c>
      <c r="C35" s="27" t="inlineStr">
        <is>
          <t>Goal Pursuit</t>
        </is>
      </c>
    </row>
  </sheetData>
  <autoFilter ref="A1:I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6" min="1" max="1"/>
  </cols>
  <sheetData>
    <row r="1" ht="17.35" customHeight="1" s="17">
      <c r="A1" s="31" t="inlineStr">
        <is>
          <t>Tally form conversion prompt</t>
        </is>
      </c>
    </row>
    <row r="2" ht="75" customHeight="1" s="17">
      <c r="A2" s="19" t="inlineStr">
        <is>
          <t>Use this prompt in Tally when converting an existing assessment form to a different battery. Copy the prompt from the single cell in row 5 (select the cell, copy, paste into Tally), then replace the final placeholder with the rows for each instrument in the battery. The Batteries tab lists which instruments belong to each form. For each instrument, paste from the Instrument Summary: Instrument Name and Code, Instructions / prompt, Response options, Reverse-scored items, Filler items, Subscales / structure and Total scoring; and from the Master Item List, all Item Text rows for that code in item number order.</t>
        </is>
      </c>
    </row>
    <row r="4" ht="15" customHeight="1" s="17">
      <c r="A4" s="30" t="inlineStr">
        <is>
          <t>Prompt</t>
        </is>
      </c>
    </row>
    <row r="5" ht="408.75" customHeight="1" s="17">
      <c r="A5" s="32" t="inlineStr">
        <is>
          <t>I want to convert this form to a different psychometric assessment. Keep the existing layout, branding and client details section exactly as they are, and make the following changes.
1. Title
Change the form title to name the construct being measured, for example "Thinking Patterns Assessment". Use the plain construct name rather than instrument acronyms.
2. Introduction
Keep the introductory paragraph, but rewrite its closing sentence so it explains why this assessment is being used and what it will help us understand. Keep the tone warm and plain, avoid clinical or diagnostic language, and write in UK English.
3. Client details
Keep this section, its fields and its position unchanged.
4. Psychometric pages
Delete the existing psychometric questions and replace them with the instruments below, one page per instrument. On each page:
- Use the instrument's full name as the page heading.
- Add the respondent instructions exactly as given.
- Add every item exactly as worded and in the order given. Do not paraphrase, shorten or correct any item, including American spelling.
- Number the items and make every item required.
- Use the same question type for every item within an instrument.
5. Response scales
Use the response scale given for each instrument, with the exact anchor labels and numeric values. Check that the scale fits the wording of the instructions (for example, a "how often" instruction needs a frequency scale, and a "how true" instruction needs an agreement or truth scale). Directly under the instructions on each page, add one sentence explaining how to use the scale and naming its anchors, for example: "Choose 1 if the statement is not at all true of you, through to 5 if it is completely true."
6. Scoring
Add calculated fields that score each instrument according to the scoring information below.
- Reverse score the listed items before adding them up. A reversed score is (scale maximum plus scale minimum) minus the response.
- Record filler items but leave them out of every score.
- Create one calculated field per subscale, plus a total only where the scoring information says a total is used. Where it says subscales are kept separate, do not create a total.
- Name each calculated field with the instrument code and subscale, for example PTQ_Total or RRS_Brooding.
- Keep every calculated field hidden from the respondent, so that no scores appear on the form or the thank you page.
7. Check back
When you have finished, list back to me each page heading, the number of items per instrument, the response scale used, the reverse scored items, and each calculated field with its formula, so that I can check them against my codebook.
Psychometric information:
[Paste the codebook rows for each instrument here: name and code, instructions, response options, items, reverse scored items, filler items, subscales with item numbers, and total scoring.]</t>
        </is>
      </c>
    </row>
    <row r="7" ht="15" customHeight="1" s="17">
      <c r="A7" s="30" t="inlineStr">
        <is>
          <t>Checks after Tally has built the form</t>
        </is>
      </c>
    </row>
    <row r="8" ht="15" customHeight="1" s="17">
      <c r="A8" s="19" t="inlineStr">
        <is>
          <t>Item count on each page matches the Items in instrument column of the Instrument Summary.</t>
        </is>
      </c>
    </row>
    <row r="9" ht="15" customHeight="1" s="17">
      <c r="A9" s="19" t="inlineStr">
        <is>
          <t>Item wording matches the Master Item List exactly, including spelling.</t>
        </is>
      </c>
    </row>
    <row r="10" ht="15" customHeight="1" s="17">
      <c r="A10" s="19" t="inlineStr">
        <is>
          <t>Reverse scored items are reversed in the calculated fields, and filler items are excluded.</t>
        </is>
      </c>
    </row>
    <row r="11" ht="15" customHeight="1" s="17">
      <c r="A11" s="19" t="inlineStr">
        <is>
          <t>The BPNSFS and RRS have subscale fields only, with no combined total.</t>
        </is>
      </c>
    </row>
    <row r="12" ht="15" customHeight="1" s="17">
      <c r="A12" s="19" t="inlineStr">
        <is>
          <t>Calculated fields are hidden, so no scores appear on the form or the thank you page.</t>
        </is>
      </c>
    </row>
    <row r="13" ht="15" customHeight="1" s="17">
      <c r="A13" s="19" t="inlineStr">
        <is>
          <t>Submit a test response and check each calculated field by hand against the scoring rules before sending the form to a client.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Z2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16" min="1" max="1"/>
    <col width="36" customWidth="1" style="16" min="2" max="2"/>
    <col width="34" customWidth="1" style="16" min="3" max="3"/>
    <col width="26" customWidth="1" style="16" min="4" max="4"/>
    <col width="13" customWidth="1" style="16" min="5" max="6"/>
    <col width="40" customWidth="1" style="16" min="7" max="7"/>
    <col width="26" customWidth="1" style="16" min="8" max="8"/>
    <col width="16" customWidth="1" style="16" min="9" max="10"/>
    <col width="60" customWidth="1" style="16" min="11" max="12"/>
    <col width="58" customWidth="1" style="16" min="13" max="13"/>
    <col width="56" customWidth="1" style="16" min="14" max="14"/>
    <col width="46" customWidth="1" style="16" min="15" max="15"/>
    <col width="14" customWidth="1" style="16" min="16" max="17"/>
    <col width="58" customWidth="1" style="16" min="18" max="20"/>
    <col width="52" customWidth="1" style="16" min="21" max="21"/>
    <col width="58" customWidth="1" style="16" min="22" max="22"/>
    <col width="60" customWidth="1" style="16" min="23" max="23"/>
    <col width="58" customWidth="1" style="16" min="24" max="24"/>
    <col width="56" customWidth="1" style="16" min="25" max="25"/>
    <col width="52" customWidth="1" style="16" min="26" max="26"/>
  </cols>
  <sheetData>
    <row r="1" ht="30" customHeight="1" s="17">
      <c r="A1" s="25" t="inlineStr">
        <is>
          <t>Code</t>
        </is>
      </c>
      <c r="B1" s="25" t="inlineStr">
        <is>
          <t>Instrument Name</t>
        </is>
      </c>
      <c r="C1" s="25" t="inlineStr">
        <is>
          <t>Domain</t>
        </is>
      </c>
      <c r="D1" s="25" t="inlineStr">
        <is>
          <t>Availability</t>
        </is>
      </c>
      <c r="E1" s="25" t="inlineStr">
        <is>
          <t>Items in instrument</t>
        </is>
      </c>
      <c r="F1" s="25" t="inlineStr">
        <is>
          <t>Items in this codebook</t>
        </is>
      </c>
      <c r="G1" s="25" t="inlineStr">
        <is>
          <t>Construct measured</t>
        </is>
      </c>
      <c r="H1" s="25" t="inlineStr">
        <is>
          <t>Respondent</t>
        </is>
      </c>
      <c r="I1" s="25" t="inlineStr">
        <is>
          <t>Age range</t>
        </is>
      </c>
      <c r="J1" s="25" t="inlineStr">
        <is>
          <t>Administration time</t>
        </is>
      </c>
      <c r="K1" s="25" t="inlineStr">
        <is>
          <t>Cost and access</t>
        </is>
      </c>
      <c r="L1" s="25" t="inlineStr">
        <is>
          <t>Coaching application</t>
        </is>
      </c>
      <c r="M1" s="25" t="inlineStr">
        <is>
          <t>Purpose</t>
        </is>
      </c>
      <c r="N1" s="25" t="inlineStr">
        <is>
          <t>Instructions / prompt</t>
        </is>
      </c>
      <c r="O1" s="25" t="inlineStr">
        <is>
          <t>Response options</t>
        </is>
      </c>
      <c r="P1" s="25" t="inlineStr">
        <is>
          <t>Reverse-scored items</t>
        </is>
      </c>
      <c r="Q1" s="25" t="inlineStr">
        <is>
          <t>Filler items (not scored)</t>
        </is>
      </c>
      <c r="R1" s="25" t="inlineStr">
        <is>
          <t>Subscales / structure</t>
        </is>
      </c>
      <c r="S1" s="25" t="inlineStr">
        <is>
          <t>Total scoring</t>
        </is>
      </c>
      <c r="T1" s="25" t="inlineStr">
        <is>
          <t>Interpretation bands</t>
        </is>
      </c>
      <c r="U1" s="25" t="inlineStr">
        <is>
          <t>Cut-offs</t>
        </is>
      </c>
      <c r="V1" s="25" t="inlineStr">
        <is>
          <t>Normative data</t>
        </is>
      </c>
      <c r="W1" s="25" t="inlineStr">
        <is>
          <t>Psychometric properties</t>
        </is>
      </c>
      <c r="X1" s="25" t="inlineStr">
        <is>
          <t>Developer citation</t>
        </is>
      </c>
      <c r="Y1" s="25" t="inlineStr">
        <is>
          <t>Copyright and licensing</t>
        </is>
      </c>
      <c r="Z1" s="25" t="inlineStr">
        <is>
          <t>Source URL</t>
        </is>
      </c>
    </row>
    <row r="2" ht="169.5" customHeight="1" s="17">
      <c r="A2" s="26" t="inlineStr">
        <is>
          <t>ESQ-R</t>
        </is>
      </c>
      <c r="B2" s="27" t="inlineStr">
        <is>
          <t>Executive Skills Questionnaire - Revised (ESQ-R)</t>
        </is>
      </c>
      <c r="C2" s="27" t="inlineStr">
        <is>
          <t>1. Executive functioning and ADHD</t>
        </is>
      </c>
      <c r="D2" s="27" t="inlineStr">
        <is>
          <t>Free / open access</t>
        </is>
      </c>
      <c r="E2" s="28" t="n">
        <v>25</v>
      </c>
      <c r="F2" s="28">
        <f>COUNTIF('Master Item List'!$A:$A,$A2)</f>
        <v/>
      </c>
      <c r="G2" s="27" t="inlineStr">
        <is>
          <t>Executive functioning skills, including plan and time management, organization, and emotional and behavioral regulation</t>
        </is>
      </c>
      <c r="H2" s="27" t="inlineStr">
        <is>
          <t>Self-report</t>
        </is>
      </c>
      <c r="I2" s="27" t="inlineStr">
        <is>
          <t>14+</t>
        </is>
      </c>
      <c r="J2" s="27" t="inlineStr">
        <is>
          <t>5 minutes</t>
        </is>
      </c>
      <c r="K2" s="27" t="inlineStr">
        <is>
          <t>Included on NovoPsych with the permission of Dr Peg Dawson; blank form hosted free. Scoring and percentiles need a NovoPsych account.</t>
        </is>
      </c>
      <c r="L2" s="27" t="inlineStr">
        <is>
          <t>The core executive skills profile for coaching; the five subscales map directly onto coaching targets. Measures higher order skills rather than core executive functions.</t>
        </is>
      </c>
      <c r="M2"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c r="N2" s="27" t="inlineStr">
        <is>
          <t>Read each item and decide how often it's a problem for you.</t>
        </is>
      </c>
      <c r="O2" s="27" t="inlineStr">
        <is>
          <t>Never or rarely = 0 | Sometimes = 1 | Often = 2 | Very often = 3</t>
        </is>
      </c>
      <c r="P2" s="27" t="inlineStr">
        <is>
          <t>None</t>
        </is>
      </c>
      <c r="Q2" s="27" t="inlineStr">
        <is>
          <t>None</t>
        </is>
      </c>
      <c r="R2" s="27" t="inlineStr">
        <is>
          <t>Plan Management (items 6-7, 12-14, 16-18, 22-24; n=11; range 0-33)
Time Management (items 10-11, 15, 20; n=4; range 0-12)
Organization (items 3, 8-9; n=3; range 0-9)
Emotional Regulation (items 4-5, 21; n=3; range 0-9)
Behavioral Regulation (items 1-2, 19, 25; n=4; range 0-12)</t>
        </is>
      </c>
      <c r="S2"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c r="T2"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c r="U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c r="V2"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c r="W2"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c r="X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c r="Y2" s="27" t="inlineStr">
        <is>
          <t>© 2026 Copyright – NovoPsych – All rights reserved. The ESQ-R was developed and published by Strait et al. (2020) and is included on NovoPsych with permission from Dr. Peg Dawson.</t>
        </is>
      </c>
      <c r="Z2" s="27" t="inlineStr">
        <is>
          <t>https://novopsych.com/assessments/formulation/executive-skills-questionnaire-revised-esq-r/</t>
        </is>
      </c>
    </row>
    <row r="3" ht="169.5" customHeight="1" s="17">
      <c r="A3" s="26" t="inlineStr">
        <is>
          <t>CFI</t>
        </is>
      </c>
      <c r="B3" s="27" t="inlineStr">
        <is>
          <t>Cognitive Flexibility Inventory (CFI)</t>
        </is>
      </c>
      <c r="C3" s="27" t="inlineStr">
        <is>
          <t>1. Executive functioning and ADHD</t>
        </is>
      </c>
      <c r="D3" s="27" t="inlineStr">
        <is>
          <t>Free / open access</t>
        </is>
      </c>
      <c r="E3" s="28" t="n">
        <v>20</v>
      </c>
      <c r="F3" s="28">
        <f>COUNTIF('Master Item List'!$A:$A,$A3)</f>
        <v/>
      </c>
      <c r="G3" s="27" t="inlineStr">
        <is>
          <t>Cognitive flexibility - the ability to perceive multiple alternative explanations for life occurrences and human behaviour, generate multiple alternative solutions to difficult situations, and perceive difficult situations as controllable</t>
        </is>
      </c>
      <c r="H3" s="27" t="inlineStr">
        <is>
          <t>Self-report</t>
        </is>
      </c>
      <c r="I3" s="27" t="inlineStr">
        <is>
          <t>18+</t>
        </is>
      </c>
      <c r="J3" s="27" t="inlineStr">
        <is>
          <t>3 minutes</t>
        </is>
      </c>
      <c r="K3" s="27" t="inlineStr">
        <is>
          <t>Published in Dennis and Vander Wal (2010); blank form hosted free on NovoPsych.</t>
        </is>
      </c>
      <c r="L3" s="27" t="inlineStr">
        <is>
          <t>Measures cognitive flexibility, useful for tracking response to reframing and problem solving work. Scored in the opposite direction to the ESQ-R.</t>
        </is>
      </c>
      <c r="M3"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c r="N3" s="27" t="inlineStr">
        <is>
          <t>Please use the scale below to indicate the extent to which you agree or disagree with the following statements.</t>
        </is>
      </c>
      <c r="O3" s="27" t="inlineStr">
        <is>
          <t>Strongly disagree = 1 | Disagree = 2 | Somewhat disagree = 3 | Neutral = 4 | Somewhat agree = 5 | Agree = 6 | Strongly agree = 7</t>
        </is>
      </c>
      <c r="P3" s="27" t="inlineStr">
        <is>
          <t>2, 4, 7, 9, 11, 17</t>
        </is>
      </c>
      <c r="Q3" s="27" t="inlineStr">
        <is>
          <t>None</t>
        </is>
      </c>
      <c r="R3" s="27" t="inlineStr">
        <is>
          <t>Alternatives (items 1, 3, 5-6, 8, 10, 12-14, 16, 18-20; n=13; range 13-91)
Control (items 2, 4, 7, 9, 11, 15, 17; n=7; range 7-49)</t>
        </is>
      </c>
      <c r="S3"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c r="T3"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c r="U3" s="27" t="inlineStr">
        <is>
          <t>No formal diagnostic cut-off. Percentiles below approximately 25 represent clinically significant cognitive inflexibility, which would be important to target within cognitive behavioural therapy.</t>
        </is>
      </c>
      <c r="V3" s="27" t="inlineStr">
        <is>
          <t>Sample of 196 university students (Dennis &amp; Vander Wal, 2010): CFI total M = 102.98 (SD = 13.91); Alternatives M = 67.59 (SD = 9.41); Control M = 35.35 (SD = 7.02).</t>
        </is>
      </c>
      <c r="W3"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c r="X3" s="27" t="inlineStr">
        <is>
          <t>Dennis, J. P., &amp; Vander Wal, J. S. (2010). The cognitive flexibility inventory: Instrument development and estimates of reliability and validity. Cognitive Therapy and Research, 34(3), 241-253. https://doi.org/10.1007/s10608-009-9276-4</t>
        </is>
      </c>
      <c r="Y3" s="27" t="inlineStr">
        <is>
          <t>© 2026 Copyright – NovoPsych – All rights reserved. Sample report footer: Copyright 2022 NovoPsych Pty Ltd.</t>
        </is>
      </c>
      <c r="Z3" s="27" t="inlineStr">
        <is>
          <t>https://novopsych.com/assessments/formulation/cognitive-flexibility-inventory-cfi/</t>
        </is>
      </c>
    </row>
    <row r="4" ht="169.5" customHeight="1" s="17">
      <c r="A4" s="26" t="inlineStr">
        <is>
          <t>ASRS</t>
        </is>
      </c>
      <c r="B4" s="27" t="inlineStr">
        <is>
          <t>Adult ADHD Self-Report Scale (ASRS v1.1)</t>
        </is>
      </c>
      <c r="C4" s="27" t="inlineStr">
        <is>
          <t>1. Executive functioning and ADHD</t>
        </is>
      </c>
      <c r="D4" s="27" t="inlineStr">
        <is>
          <t>Free / open access</t>
        </is>
      </c>
      <c r="E4" s="28" t="n">
        <v>18</v>
      </c>
      <c r="F4" s="28">
        <f>COUNTIF('Master Item List'!$A:$A,$A4)</f>
        <v/>
      </c>
      <c r="G4" s="27" t="inlineStr">
        <is>
          <t>Attention Deficit Hyperactivity Disorder (ADHD) symptoms in adults, spanning inattentiveness and hyperactivity/impulsivity (including motor and verbal components)</t>
        </is>
      </c>
      <c r="H4" s="27" t="inlineStr">
        <is>
          <t>self-report</t>
        </is>
      </c>
      <c r="I4" s="27" t="inlineStr">
        <is>
          <t>18+</t>
        </is>
      </c>
      <c r="J4" s="27" t="inlineStr">
        <is>
          <t>3 minutes</t>
        </is>
      </c>
      <c r="K4" s="27" t="inlineStr">
        <is>
          <t>Public domain WHO instrument. Blank form hosted free on NovoPsych; scoring and reports need a NovoPsych account.</t>
        </is>
      </c>
      <c r="L4" s="27" t="inlineStr">
        <is>
          <t>Screening and severity measure for current adult ADHD symptoms; pairs with the WURS-25 for childhood history. Not a diagnostic instrument on its own.</t>
        </is>
      </c>
      <c r="M4"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c r="N4" s="27" t="inlineStr">
        <is>
          <t>Please answer the questions below, rating yourself on each of the criteria shown. As you answer each question, select the box that best describes how you have felt and conducted yourself over the past 6 months.</t>
        </is>
      </c>
      <c r="O4" s="27" t="inlineStr">
        <is>
          <t>Never = 0 | Rarely = 1 | Sometimes = 2 | Often = 3 | Very Often = 4</t>
        </is>
      </c>
      <c r="P4" s="27" t="inlineStr">
        <is>
          <t>None</t>
        </is>
      </c>
      <c r="Q4" s="27" t="inlineStr">
        <is>
          <t>None</t>
        </is>
      </c>
      <c r="R4" s="27" t="inlineStr">
        <is>
          <t>Part A (Criterion / Screener) (items 1-6; n=6; range 0-24)
Part B (Additional Symptoms) (items 7-18; n=12; range 0-48)
Inattentiveness (items 1-4, 7-11; n=9; range 0-9 (dichotomous symptom count))
Hyperactivity/Impulsivity - Motor (items 5-6, 12-14; n=5; range 0-5 (dichotomous symptom count))
Hyperactivity/Impulsivity - Verbal (items 15-18; n=4; range 0-4 (dichotomous symptom count))</t>
        </is>
      </c>
      <c r="S4"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c r="T4"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c r="U4"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c r="V4"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c r="W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c r="X4"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c r="Y4" s="27" t="inlineStr">
        <is>
          <t>Public-domain WHO instrument (ASRS v1.1 Symptom Checklist). Freely reproducible for clinical and research use; NovoPsych hosts the blank form as a public PDF.</t>
        </is>
      </c>
      <c r="Z4" s="27" t="inlineStr">
        <is>
          <t>https://novopsych.com/assessments/diagnosis/adult-adhd-self-report-scale-asrs/</t>
        </is>
      </c>
    </row>
    <row r="5" ht="169.5" customHeight="1" s="17">
      <c r="A5" s="26" t="inlineStr">
        <is>
          <t>SKS</t>
        </is>
      </c>
      <c r="B5" s="27" t="inlineStr">
        <is>
          <t>Strengths Knowledge Scale</t>
        </is>
      </c>
      <c r="C5" s="27" t="inlineStr">
        <is>
          <t>2. Strengths knowledge, use and support at work</t>
        </is>
      </c>
      <c r="D5" s="27" t="inlineStr">
        <is>
          <t>Free / open access</t>
        </is>
      </c>
      <c r="E5" s="28" t="n">
        <v>8</v>
      </c>
      <c r="F5" s="28">
        <f>COUNTIF('Master Item List'!$A:$A,$A5)</f>
        <v/>
      </c>
      <c r="G5" s="27" t="inlineStr">
        <is>
          <t>Perceived self-knowledge of one's own personal strengths, i.e. the extent to which a person is aware of what they do best.</t>
        </is>
      </c>
      <c r="H5" s="27" t="inlineStr">
        <is>
          <t>Self-report</t>
        </is>
      </c>
      <c r="I5" s="27" t="inlineStr">
        <is>
          <t>Adults and university students; used in adolescent samples (secondary school age) in later validations, but the original 2007 development sample was working adults</t>
        </is>
      </c>
      <c r="J5" s="27" t="inlineStr">
        <is>
          <t>2-3 minutes</t>
        </is>
      </c>
      <c r="K5"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5"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c r="M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c r="N5" s="27" t="inlineStr">
        <is>
          <t>Not stated on source</t>
        </is>
      </c>
      <c r="O5" s="27" t="inlineStr">
        <is>
          <t>Strongly disagree = 1 | 2 = 2 | 3 = 3 | 4 = 4 | 5 = 5 | 6 = 6 | Strongly agree = 7</t>
        </is>
      </c>
      <c r="P5" s="27" t="inlineStr">
        <is>
          <t>None</t>
        </is>
      </c>
      <c r="Q5" s="27" t="inlineStr">
        <is>
          <t>None</t>
        </is>
      </c>
      <c r="R5" s="27" t="inlineStr">
        <is>
          <t>Strengths Knowledge (total scale) (items 1-8; n=8; range 8-56)</t>
        </is>
      </c>
      <c r="S5" s="27" t="inlineStr">
        <is>
          <t>Sum (or mean) of the 8 item ratings. Higher total scores indicate greater self-perceived knowledge of one's own strengths. No published reverse-scored items were identified for this scale in the sources reviewed.</t>
        </is>
      </c>
      <c r="T5" s="27" t="inlineStr">
        <is>
          <t>Not stated on source</t>
        </is>
      </c>
      <c r="U5" s="27" t="inlineStr">
        <is>
          <t>No clinical or normative cut-off scores have been published for the SKS. It is used as a continuous research/coaching variable, typically compared against a client's own baseline over time rather than against population norms.</t>
        </is>
      </c>
      <c r="V5"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5"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c r="X5" s="27" t="inlineStr">
        <is>
          <t>Govindji, R., &amp; Linley, P. A. (2007). Strengths use, self-concordance and well-being: Implications for strengths coaching and coaching psychologists. International Coaching Psychology Review, 2(2), 143-153.</t>
        </is>
      </c>
      <c r="Y5"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5" s="27" t="inlineStr">
        <is>
          <t>https://www.frontiersin.org/journals/psychology/articles/10.3389/fpsyg.2023.1086510/full</t>
        </is>
      </c>
    </row>
    <row r="6" ht="169.5" customHeight="1" s="17">
      <c r="A6" s="26" t="inlineStr">
        <is>
          <t>SUS</t>
        </is>
      </c>
      <c r="B6" s="27" t="inlineStr">
        <is>
          <t>Strengths Use Scale</t>
        </is>
      </c>
      <c r="C6" s="27" t="inlineStr">
        <is>
          <t>2. Strengths knowledge, use and support at work</t>
        </is>
      </c>
      <c r="D6" s="27" t="inlineStr">
        <is>
          <t>Free / open access</t>
        </is>
      </c>
      <c r="E6" s="28" t="n">
        <v>14</v>
      </c>
      <c r="F6" s="28">
        <f>COUNTIF('Master Item List'!$A:$A,$A6)</f>
        <v/>
      </c>
      <c r="G6" s="27" t="inlineStr">
        <is>
          <t>Perceived deployment of one's own personal strengths in daily life, i.e. the extent to which a person actively uses what they do best across situations.</t>
        </is>
      </c>
      <c r="H6" s="27" t="inlineStr">
        <is>
          <t>Self-report</t>
        </is>
      </c>
      <c r="I6" s="27" t="inlineStr">
        <is>
          <t>Adults and university students; used in adolescent samples (secondary school age) in later validations, but the original 2007 development sample was working adults</t>
        </is>
      </c>
      <c r="J6" s="27" t="inlineStr">
        <is>
          <t>3-5 minutes</t>
        </is>
      </c>
      <c r="K6"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6"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c r="M6"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c r="N6" s="27" t="inlineStr">
        <is>
          <t>The following 14 questions ask about your strengths, that is, the things that you can do well or do best.</t>
        </is>
      </c>
      <c r="O6" s="27" t="inlineStr">
        <is>
          <t>Strongly disagree = 1 | 2 = 2 | 3 = 3 | 4 = 4 | 5 = 5 | 6 = 6 | Strongly agree = 7</t>
        </is>
      </c>
      <c r="P6" s="27" t="inlineStr">
        <is>
          <t>None</t>
        </is>
      </c>
      <c r="Q6" s="27" t="inlineStr">
        <is>
          <t>None</t>
        </is>
      </c>
      <c r="R6" s="27" t="inlineStr">
        <is>
          <t>Strengths Use (total scale) (items 1-14; n=14; range 14-98)</t>
        </is>
      </c>
      <c r="S6" s="27" t="inlineStr">
        <is>
          <t>Sum (or mean) of the 14 item ratings. Higher total scores indicate greater self-reported use of personal strengths in daily life. No reverse-scored items were identified for this scale in the sources reviewed.</t>
        </is>
      </c>
      <c r="T6" s="27" t="inlineStr">
        <is>
          <t>Not stated on source</t>
        </is>
      </c>
      <c r="U6" s="27" t="inlineStr">
        <is>
          <t>No clinical or normative cut-off scores have been published for the SUS. It is used as a continuous research/coaching variable, typically tracked against a client's own baseline over time rather than against population norms.</t>
        </is>
      </c>
      <c r="V6"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6"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c r="X6" s="27" t="inlineStr">
        <is>
          <t>Govindji, R., &amp; Linley, P. A. (2007). Strengths use, self-concordance and well-being: Implications for strengths coaching and coaching psychologists. International Coaching Psychology Review, 2(2), 143-153.</t>
        </is>
      </c>
      <c r="Y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6" s="27" t="inlineStr">
        <is>
          <t>https://www.frontiersin.org/journals/psychology/articles/10.3389/fpsyg.2023.1086510/full</t>
        </is>
      </c>
    </row>
    <row r="7" ht="169.5" customHeight="1" s="17">
      <c r="A7" s="26" t="inlineStr">
        <is>
          <t>SSES</t>
        </is>
      </c>
      <c r="B7" s="27" t="inlineStr">
        <is>
          <t>Strengths Self-Efficacy Scale</t>
        </is>
      </c>
      <c r="C7" s="27" t="inlineStr">
        <is>
          <t>2. Strengths knowledge, use and support at work</t>
        </is>
      </c>
      <c r="D7" s="27" t="inlineStr">
        <is>
          <t>Free / open access</t>
        </is>
      </c>
      <c r="E7" s="28" t="n">
        <v>11</v>
      </c>
      <c r="F7" s="28">
        <f>COUNTIF('Master Item List'!$A:$A,$A7)</f>
        <v/>
      </c>
      <c r="G7" s="27" t="inlineStr">
        <is>
          <t>Perceived self-efficacy (confidence) in one's ability to identify, apply and use one's personal strengths across everyday situations, at work or study, and in pursuit of goals.</t>
        </is>
      </c>
      <c r="H7" s="27" t="inlineStr">
        <is>
          <t>Self-report</t>
        </is>
      </c>
      <c r="I7" s="27" t="inlineStr">
        <is>
          <t>Adults; validated with U.S. college students and working adults, applicable to late-secondary and university-age coaching clients</t>
        </is>
      </c>
      <c r="J7" s="27" t="inlineStr">
        <is>
          <t>3-5 minutes</t>
        </is>
      </c>
      <c r="K7"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c r="L7"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c r="M7"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c r="N7" s="27" t="inlineStr">
        <is>
          <t>First, please list your 5 signature strengths below: [space for 5 strengths]. How confident are you in your ability to ....</t>
        </is>
      </c>
      <c r="O7" s="27" t="inlineStr">
        <is>
          <t>Not confident at all = 1 | 2 = 2 | 3 = 3 | 4 = 4 | Moderately confident = 5 | 6 = 6 | 7 = 7 | 8 = 8 | 9 = 9 | Extremely confident = 10</t>
        </is>
      </c>
      <c r="P7" s="27" t="inlineStr">
        <is>
          <t>None</t>
        </is>
      </c>
      <c r="Q7" s="27" t="inlineStr">
        <is>
          <t>None</t>
        </is>
      </c>
      <c r="R7" s="27" t="inlineStr">
        <is>
          <t>Strengths Self-Efficacy (total scale) (items 1-11; n=11; range 11-110)</t>
        </is>
      </c>
      <c r="S7" s="27" t="inlineStr">
        <is>
          <t>Sum the 11 item scores for a total (range 11-110); a weighted/mean score can also be calculated by dividing the total by 11. Higher scores indicate greater confidence in using one's strengths. No items are reverse-scored.</t>
        </is>
      </c>
      <c r="T7" s="27" t="inlineStr">
        <is>
          <t>Not stated on source</t>
        </is>
      </c>
      <c r="U7" s="27" t="inlineStr">
        <is>
          <t>No clinical or normative cut-off scores have been published for the SSES. It is intended as a continuous measure for research and for tracking an individual's own change over time, not for categorical classification.</t>
        </is>
      </c>
      <c r="V7" s="27" t="inlineStr">
        <is>
          <t>No published normative tables were located. The original validation samples were U.S. adults: 275 in the exploratory factor analysis phase, 302 in the confirmatory phase, and 36 in a 3-week test-retest reliability subsample.</t>
        </is>
      </c>
      <c r="W7"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c r="X7" s="27" t="inlineStr">
        <is>
          <t>Tsai, C.-L., Chaichanasakul, A., Zhao, R., Flores, L. Y., &amp; Lopez, S. J. (2014). Development and validation of the Strengths Self-Efficacy Scale (SSES). Journal of Career Assessment, 22(2), 221-232. https://doi.org/10.1177/1069072713493761</t>
        </is>
      </c>
      <c r="Y7"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c r="Z7" s="27" t="inlineStr">
        <is>
          <t>https://positivepsychology.com/wp-content/uploads/The-Strengths-Self-efficacy-Scale.pdf</t>
        </is>
      </c>
    </row>
    <row r="8" ht="169.5" customHeight="1" s="17">
      <c r="A8" s="26" t="inlineStr">
        <is>
          <t>CSES</t>
        </is>
      </c>
      <c r="B8" s="27" t="inlineStr">
        <is>
          <t>Core Self-Evaluations Scale</t>
        </is>
      </c>
      <c r="C8" s="27" t="inlineStr">
        <is>
          <t>3. Adjacent occupational and wellbeing</t>
        </is>
      </c>
      <c r="D8" s="27" t="inlineStr">
        <is>
          <t>Free / open access</t>
        </is>
      </c>
      <c r="E8" s="28" t="n">
        <v>12</v>
      </c>
      <c r="F8" s="28">
        <f>COUNTIF('Master Item List'!$A:$A,$A8)</f>
        <v/>
      </c>
      <c r="G8" s="27" t="inlineStr">
        <is>
          <t>Core self-evaluations: a broad, fundamental positive self-appraisal trait combining self-esteem, generalised self-efficacy, internal locus of control and low neuroticism (emotional stability).</t>
        </is>
      </c>
      <c r="H8" s="27" t="inlineStr">
        <is>
          <t>Self-report</t>
        </is>
      </c>
      <c r="I8" s="27" t="inlineStr">
        <is>
          <t>Working adults (Samples 1-2 of the original validation); also validated with university undergraduates (Samples 3-4). Suitable for university-age and early-career coaching clients.</t>
        </is>
      </c>
      <c r="J8" s="27" t="inlineStr">
        <is>
          <t>2-3 minutes</t>
        </is>
      </c>
      <c r="K8" s="27" t="inlineStr">
        <is>
          <t>The scale is explicitly stated by the developers to be non-proprietary and free to use without permission. The full 12-item scale, with response format and scoring key, is reproduced in an open PDF of the original SIOP conference/journal materials.</t>
        </is>
      </c>
      <c r="L8"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c r="M8"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c r="N8" s="27" t="inlineStr">
        <is>
          <t>Not retrieved verbatim from a fetched source; the CSES PDF reproduces the item table and response scale but the source fetched did not include a printed respondent-facing preamble/instruction sentence.</t>
        </is>
      </c>
      <c r="O8" s="27" t="inlineStr">
        <is>
          <t>Strongly Disagree = 1 | Disagree = 2 | Neutral = 3 | Agree = 4 | Strongly Agree = 5</t>
        </is>
      </c>
      <c r="P8" s="27" t="inlineStr">
        <is>
          <t>2, 4, 6, 8, 10, 12</t>
        </is>
      </c>
      <c r="Q8" s="27" t="inlineStr">
        <is>
          <t>None</t>
        </is>
      </c>
      <c r="R8" s="27" t="inlineStr">
        <is>
          <t>Core Self-Evaluations (total scale, unidimensional) (items 1-12; n=12; range 12-60)</t>
        </is>
      </c>
      <c r="S8" s="27" t="inlineStr">
        <is>
          <t>Reverse-score items 2, 4, 6, 8, 10 and 12 (6 minus the raw response on the 1-5 scale), then sum or average all 12 items. Higher scores indicate more positive core self-evaluations.</t>
        </is>
      </c>
      <c r="T8" s="27" t="inlineStr">
        <is>
          <t>Not stated on source</t>
        </is>
      </c>
      <c r="U8" s="27" t="inlineStr">
        <is>
          <t>No published clinical or normative cut-off scores; intended as a continuous individual-differences measure for research and comparison, not categorical classification.</t>
        </is>
      </c>
      <c r="V8"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c r="W8"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c r="X8" s="27" t="inlineStr">
        <is>
          <t>Judge, T. A., Erez, A., Bono, J. E., &amp; Thoresen, C. J. (2003). The Core Self-Evaluations Scale: Development of a measure. Personnel Psychology, 56(2), 303-331. https://doi.org/10.1111/j.1744-6570.2003.tb00152.x</t>
        </is>
      </c>
      <c r="Y8" s="27" t="inlineStr">
        <is>
          <t>"This measure is non-proprietary (free) and may be used without permission," as stated in the source fetched.</t>
        </is>
      </c>
      <c r="Z8" s="27" t="inlineStr">
        <is>
          <t>http://ionilies.com/SIOP03/Files/CSES.pdf</t>
        </is>
      </c>
    </row>
    <row r="9" ht="169.5" customHeight="1" s="17">
      <c r="A9" s="26" t="inlineStr">
        <is>
          <t>PES</t>
        </is>
      </c>
      <c r="B9" s="27" t="inlineStr">
        <is>
          <t>Psychological Empowerment Scale</t>
        </is>
      </c>
      <c r="C9" s="27" t="inlineStr">
        <is>
          <t>3. Adjacent occupational and wellbeing</t>
        </is>
      </c>
      <c r="D9" s="27" t="inlineStr">
        <is>
          <t>Free / open access</t>
        </is>
      </c>
      <c r="E9" s="28" t="n">
        <v>12</v>
      </c>
      <c r="F9" s="28">
        <f>COUNTIF('Master Item List'!$A:$A,$A9)</f>
        <v/>
      </c>
      <c r="G9" s="27" t="inlineStr">
        <is>
          <t>Psychological empowerment at work, a motivational construct with four cognitive dimensions: meaning, competence, self-determination and impact.</t>
        </is>
      </c>
      <c r="H9" s="27" t="inlineStr">
        <is>
          <t>Self-report, employed adults</t>
        </is>
      </c>
      <c r="I9" s="27" t="inlineStr">
        <is>
          <t>Working adults; original validation used middle managers and industrial-firm employees. Applicable to early-career and internship-stage clients holding a defined work role.</t>
        </is>
      </c>
      <c r="J9" s="27" t="inlineStr">
        <is>
          <t>3-5 minutes</t>
        </is>
      </c>
      <c r="K9" s="27" t="inlineStr">
        <is>
          <t>The instrument is hosted freely by the developer, Gretchen Spreitzer, on her own university web page for research and practice use, with no stated fee or formal permission process.</t>
        </is>
      </c>
      <c r="L9"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c r="M9" s="27" t="inlineStr">
        <is>
          <t>Spreitzer (1995) developed this scale to operationalise and measure psychological empowerment as a multidimensional motivational construct in the workplace, validating it as an antecedent of managerial effectiveness and innovation.</t>
        </is>
      </c>
      <c r="N9" s="27" t="inlineStr">
        <is>
          <t>Listed below are a number of self-orientations that people may have with regard to their work role. Using the following scale, please indicate the extent to which you agree or disagree that each one describes your self-orientation.</t>
        </is>
      </c>
      <c r="O9" s="27" t="inlineStr">
        <is>
          <t>Very Strongly Disagree = 1 | Strongly Disagree = 2 | Disagree = 3 | Neutral = 4 | Agree = 5 | Strongly Agree = 6 | Very Strongly Agree = 7</t>
        </is>
      </c>
      <c r="P9" s="27" t="inlineStr">
        <is>
          <t>None</t>
        </is>
      </c>
      <c r="Q9" s="27" t="inlineStr">
        <is>
          <t>None</t>
        </is>
      </c>
      <c r="R9" s="27" t="inlineStr">
        <is>
          <t>Meaning (items 1-3; n=3; range 3-21 (mean 1-7))
Competence (items 4-6; n=3; range 3-21 (mean 1-7))
Self-Determination (items 7-9; n=3; range 3-21 (mean 1-7))
Impact (items 10-12; n=3; range 3-21 (mean 1-7))</t>
        </is>
      </c>
      <c r="S9"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c r="T9" s="27" t="inlineStr">
        <is>
          <t>Not stated on source</t>
        </is>
      </c>
      <c r="U9" s="27" t="inlineStr">
        <is>
          <t>No published clinical or normative cut-off scores; intended as a continuous research and diagnostic measure, not categorical classification.</t>
        </is>
      </c>
      <c r="V9"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c r="W9"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c r="X9" s="27" t="inlineStr">
        <is>
          <t>Spreitzer, G. M. (1995). Psychological empowerment in the workplace: Dimensions, measurement, and validation. Academy of Management Journal, 38(5), 1442-1465. https://doi.org/10.2307/256865</t>
        </is>
      </c>
      <c r="Y9" s="27" t="inlineStr">
        <is>
          <t>Hosted freely by the author for research and practice use; no explicit restriction or fee is stated on the page.</t>
        </is>
      </c>
      <c r="Z9" s="27" t="inlineStr">
        <is>
          <t>https://webuser.bus.umich.edu/spreitze/Pdfs/EmpowerInstrument.pdf</t>
        </is>
      </c>
    </row>
    <row r="10" ht="169.5" customHeight="1" s="17">
      <c r="A10" s="26" t="inlineStr">
        <is>
          <t>DASS-21</t>
        </is>
      </c>
      <c r="B10" s="27" t="inlineStr">
        <is>
          <t>Depression Anxiety Stress Scales, 21 item version (DASS-21)</t>
        </is>
      </c>
      <c r="C10" s="27" t="inlineStr">
        <is>
          <t>4. Psychological distress screening</t>
        </is>
      </c>
      <c r="D10" s="27" t="inlineStr">
        <is>
          <t>Free / open access</t>
        </is>
      </c>
      <c r="E10" s="28" t="n">
        <v>21</v>
      </c>
      <c r="F10" s="28">
        <f>COUNTIF('Master Item List'!$A:$A,$A10)</f>
        <v/>
      </c>
      <c r="G10"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c r="H10" s="27" t="inlineStr">
        <is>
          <t>Self-report</t>
        </is>
      </c>
      <c r="I10" s="27" t="inlineStr">
        <is>
          <t>17+ (NovoPsych); adults and older adolescents</t>
        </is>
      </c>
      <c r="J10" s="27" t="inlineStr">
        <is>
          <t>4 minutes</t>
        </is>
      </c>
      <c r="K10"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c r="L10"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c r="M10"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c r="N10" s="27" t="inlineStr">
        <is>
          <t>Please read each statement and circle a number 0, 1, 2 or 3 which indicates how much the statement applied to you over the past week. There are no right or wrong answers. Do not spend too much time on any statement.</t>
        </is>
      </c>
      <c r="O10" s="27" t="inlineStr">
        <is>
          <t>Did not apply to me at all = 0 | Applied to me to some degree, or some of the time = 1 | Applied to me to a considerable degree, or a good part of time = 2 | Applied to me very much, or most of the time = 3</t>
        </is>
      </c>
      <c r="P10" s="27" t="inlineStr">
        <is>
          <t>None</t>
        </is>
      </c>
      <c r="Q10" s="27" t="inlineStr">
        <is>
          <t>None</t>
        </is>
      </c>
      <c r="R10" s="27" t="inlineStr">
        <is>
          <t>Depression (items 3, 5, 10, 13, 16-17, 21; n=7; range 0-21 raw; 0-42 after doubling)
Anxiety (items 2, 4, 7, 9, 15, 19-20; n=7; range 0-21 raw; 0-42 after doubling)
Stress (items 1, 6, 8, 11-12, 14, 18; n=7; range 0-21 raw; 0-42 after doubling)</t>
        </is>
      </c>
      <c r="S1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c r="T10"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c r="U10"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c r="V10"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c r="W10"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c r="X10" s="27" t="inlineStr">
        <is>
          <t>Lovibond, S. H., &amp; Lovibond, P. F. (1995). Manual for the Depression Anxiety Stress Scales (2nd ed.). Sydney: Psychology Foundation of Australia.</t>
        </is>
      </c>
      <c r="Y10"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c r="Z10" s="27" t="inlineStr">
        <is>
          <t>https://www2.psy.unsw.edu.au/dass/</t>
        </is>
      </c>
    </row>
    <row r="11" ht="169.5" customHeight="1" s="17">
      <c r="A11" s="26" t="inlineStr">
        <is>
          <t>PTQ</t>
        </is>
      </c>
      <c r="B11" s="27" t="inlineStr">
        <is>
          <t>Perseverative Thinking Questionnaire</t>
        </is>
      </c>
      <c r="C11" s="27" t="inlineStr">
        <is>
          <t>5. Repetitive negative thinking and self talk</t>
        </is>
      </c>
      <c r="D11" s="27" t="inlineStr">
        <is>
          <t>Free / open access</t>
        </is>
      </c>
      <c r="E11" s="28" t="n">
        <v>15</v>
      </c>
      <c r="F11" s="28">
        <f>COUNTIF('Master Item List'!$A:$A,$A11)</f>
        <v/>
      </c>
      <c r="G11" s="27" t="inlineStr">
        <is>
          <t>Repetitive negative thinking (RNT), measured as a content-independent process (applies equally to worry, rumination, or any other form of repetitive negative thought about problems), rather than a specific symptom or diagnostic construct.</t>
        </is>
      </c>
      <c r="H11" s="27" t="inlineStr">
        <is>
          <t>Adult self-report</t>
        </is>
      </c>
      <c r="I11" s="27" t="inlineStr">
        <is>
          <t>Not stated in the source article. Validation samples were adult (internet, non-clinical, clinical, and English-language) populations; no minimum/maximum age is specified in the text retrieved.</t>
        </is>
      </c>
      <c r="J11" s="27" t="inlineStr">
        <is>
          <t>Not stated in the source. A brief 15-item self-report measure, typically completed in a few minutes.</t>
        </is>
      </c>
      <c r="K11"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c r="L11"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c r="M11"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c r="N11" s="27" t="inlineStr">
        <is>
          <t>In this questionnaire, you will be asked to describe how you typically think about negative experiences or problems. Please read the following statements and rate the extent to which they apply to you when you think about negative experiences or problems.</t>
        </is>
      </c>
      <c r="O11" s="27" t="inlineStr">
        <is>
          <t>never = 0 | rarely = 1 | sometimes = 2 | often = 3 | almost always = 4</t>
        </is>
      </c>
      <c r="P11" s="27" t="inlineStr">
        <is>
          <t>None</t>
        </is>
      </c>
      <c r="Q11" s="27" t="inlineStr">
        <is>
          <t>None</t>
        </is>
      </c>
      <c r="R11" s="27" t="inlineStr">
        <is>
          <t>Core Characteristics of Repetitive Negative Thinking (items 1-3, 6-8, 11-13; n=9; range 0-36)
Unproductiveness (items 4, 9, 14; n=3; range 0-12)
Capturing Mental Capacity (items 5, 10, 15; n=3; range 0-12)</t>
        </is>
      </c>
      <c r="S11" s="27" t="inlineStr">
        <is>
          <t>Total PTQ score is the sum of all 15 items (range 0-60), computed as recommended in the source article. Each of the three subscale scores is the sum of its own items (each subscale range 0-36 for Core Characteristics, 0-12 for the other two).</t>
        </is>
      </c>
      <c r="T11" s="27" t="inlineStr">
        <is>
          <t>Not stated on source</t>
        </is>
      </c>
      <c r="U11" s="27" t="inlineStr">
        <is>
          <t>No clinical cutoff scores or interpretive bands were reported in the source article that was fetched.</t>
        </is>
      </c>
      <c r="V11"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c r="W11" s="27" t="inlineStr">
        <is>
          <t>Internal consistency: Cronbach's alpha = .95 (Study 1, internet sample), .94 (Study 1, non-clinical sample), .95 (Study 1, clinical sample), .95 (Study 2, English-language sample). Test-retest reliability over a 4-week interval: r = .69, p &lt; .001 (n = 186). (Ehring et al., 2011.)</t>
        </is>
      </c>
      <c r="X11"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c r="Y11" s="27" t="inlineStr">
        <is>
          <t>© 2010 Elsevier Ltd. All rights reserved. (Copyright notice appears on the hosted article/PDF; no separate explicit permission statement for reproduction, non-commercial use, or commercial/coaching administration was found in the fetched source.)</t>
        </is>
      </c>
      <c r="Z11" s="27" t="inlineStr">
        <is>
          <t>https://oxcadatresources.com/wp-content/uploads/2020/09/EhringetalRuminationQuestionnaire.2011.pdf</t>
        </is>
      </c>
    </row>
    <row r="12" ht="169.5" customHeight="1" s="17">
      <c r="A12" s="26" t="inlineStr">
        <is>
          <t>RRS</t>
        </is>
      </c>
      <c r="B12" s="27" t="inlineStr">
        <is>
          <t>Ruminative Responses Scale</t>
        </is>
      </c>
      <c r="C12" s="27" t="inlineStr">
        <is>
          <t>5. Repetitive negative thinking and self talk</t>
        </is>
      </c>
      <c r="D12" s="27" t="inlineStr">
        <is>
          <t>Free / open access</t>
        </is>
      </c>
      <c r="E12" s="28" t="n">
        <v>22</v>
      </c>
      <c r="F12" s="28">
        <f>COUNTIF('Master Item List'!$A:$A,$A12)</f>
        <v/>
      </c>
      <c r="G12"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c r="H12" s="27" t="inlineStr">
        <is>
          <t>Adult self-report</t>
        </is>
      </c>
      <c r="I12" s="27" t="inlineStr">
        <is>
          <t>NovoPsych lists 18 years and older. The original Nolen-Hoeksema &amp; Morrow (1991) and Treynor et al. (2003) sources do not themselves state an age range in the text retrieved.</t>
        </is>
      </c>
      <c r="J12" s="27" t="inlineStr">
        <is>
          <t>Approximately 2 minutes (per NovoPsych).</t>
        </is>
      </c>
      <c r="K12"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c r="L12"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c r="M12"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c r="N12" s="27" t="inlineStr">
        <is>
          <t>Please read each of the items below and indicate whether you almost never, sometimes, often, or almost always think or do each one when you feel down, sad, or depressed. Please indicate what you generally do, not what you think you should do.</t>
        </is>
      </c>
      <c r="O12" s="27" t="inlineStr">
        <is>
          <t>almost never = 1 | sometimes = 2 | often = 3 | almost always = 4</t>
        </is>
      </c>
      <c r="P12" s="27" t="inlineStr">
        <is>
          <t>None</t>
        </is>
      </c>
      <c r="Q12" s="27" t="inlineStr">
        <is>
          <t>None</t>
        </is>
      </c>
      <c r="R12" s="27" t="inlineStr">
        <is>
          <t>Brooding (items 5, 10, 13, 15-16; n=5; range 5-20)
Reflection (items 7, 11-12, 20-21; n=5; range 5-20)
Depression-related items (not scored as a subscale) (items 1-4, 6, 8-9, 14, 17-19, 22; n=12; range 12-48)</t>
        </is>
      </c>
      <c r="S12" s="27" t="inlineStr">
        <is>
          <t>Full-scale total: sum of all 22 items (range 22-88), per Nolen-Hoeksema's own scoring note ("simply sum the scores on the 22 items"). Brooding and Reflection subscale scores are each the sum of their 5 items (range 5-20 each), per Treynor et al. (2003).</t>
        </is>
      </c>
      <c r="T12" s="27" t="inlineStr">
        <is>
          <t>Not stated on source</t>
        </is>
      </c>
      <c r="U1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c r="V12"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c r="W12"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c r="X12" s="27" t="inlineStr">
        <is>
          <t>Nolen-Hoeksema, S., &amp; Morrow, J. (1991). A prospective study of depression and posttraumatic stress symptoms after a natural disaster: The 1989 Loma Prieta earthquake. Journal of Personality and Social Psychology, 61(1), 115–121. https://doi.org/10.1037/0022-3514.61.1.115</t>
        </is>
      </c>
      <c r="Y12"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c r="Z12" s="27" t="inlineStr">
        <is>
          <t>https://novopsych.com/assessments/formulation/ruminative-responses-scale-rrs/</t>
        </is>
      </c>
    </row>
    <row r="13" ht="169.5" customHeight="1" s="17">
      <c r="A13" s="26" t="inlineStr">
        <is>
          <t>FSCRS</t>
        </is>
      </c>
      <c r="B13" s="27" t="inlineStr">
        <is>
          <t>Forms of Self-Criticising/Attacking and Self-Reassuring Scale</t>
        </is>
      </c>
      <c r="C13" s="27" t="inlineStr">
        <is>
          <t>5. Repetitive negative thinking and self talk</t>
        </is>
      </c>
      <c r="D13" s="27" t="inlineStr">
        <is>
          <t>Free / open access</t>
        </is>
      </c>
      <c r="E13" s="28" t="n">
        <v>22</v>
      </c>
      <c r="F13" s="28">
        <f>COUNTIF('Master Item List'!$A:$A,$A13)</f>
        <v/>
      </c>
      <c r="G13"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c r="H13" s="27" t="inlineStr">
        <is>
          <t>Adult self-report</t>
        </is>
      </c>
      <c r="I13" s="27" t="inlineStr">
        <is>
          <t>Not stated on the source document. The original 2004 development sample was female university students; the scale has since been used across adult clinical and non-clinical populations, but no formal age range is specified in the fetched source.</t>
        </is>
      </c>
      <c r="J13" s="27" t="inlineStr">
        <is>
          <t>Not stated in the source. A brief 22-item self-report measure, typically completed in a few minutes.</t>
        </is>
      </c>
      <c r="K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c r="L13"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c r="M13"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c r="N13"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c r="O13" s="27" t="inlineStr">
        <is>
          <t>Not at all like me = 0 | A little bit like me = 1 | Moderately like me = 2 | Quite a bit like me = 3 | Extremely like me = 4</t>
        </is>
      </c>
      <c r="P13" s="27" t="inlineStr">
        <is>
          <t>None</t>
        </is>
      </c>
      <c r="Q13" s="27" t="inlineStr">
        <is>
          <t>None</t>
        </is>
      </c>
      <c r="R13" s="27" t="inlineStr">
        <is>
          <t>Inadequate Self (items 1-2, 4, 6-7, 14, 17-18, 20; n=9; range 0-36)
Hated Self (items 9-10, 12, 15, 22; n=5; range 0-20)
Reassured Self (items 3, 5, 8, 11, 13, 16, 19, 21; n=8; range 0-32)</t>
        </is>
      </c>
      <c r="S13" s="27" t="inlineStr">
        <is>
          <t>Each subscale is scored as the sum of its own items: Inadequate Self (9 items, range 0-36), Hated Self (5 items, range 0-20), Reassured Self (8 items, range 0-32). There is no single overall FSCRS total; the three subscales are interpreted separately (Gilbert et al., 2004).</t>
        </is>
      </c>
      <c r="T13" s="27" t="inlineStr">
        <is>
          <t>Not stated on source</t>
        </is>
      </c>
      <c r="U13" s="27" t="inlineStr">
        <is>
          <t>No clinical cutoff scores were reported in the fetched source.</t>
        </is>
      </c>
      <c r="V1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c r="W13" s="27" t="inlineStr">
        <is>
          <t>Cronbach's alpha = .90 (Inadequate Self), .86 (Hated Self), .86 (Reassured Self), as reported in the fetched source document (Gilbert et al., 2004).</t>
        </is>
      </c>
      <c r="X13" s="27" t="inlineStr">
        <is>
          <t>Gilbert, P., Clarke, M., Hempel, S., Miles, J. N. V., &amp; Irons, C. (2004). Criticizing and reassuring oneself: An exploration of forms, styles and reasons in female students. British Journal of Clinical Psychology, 43(1), 31–50. https://doi.org/10.1348/014466504772812959</t>
        </is>
      </c>
      <c r="Y13" s="27" t="inlineStr">
        <is>
          <t>© Gilbert et al., 2004 (notice appears on the source document). No explicit commercial-use grant or restriction was found beyond this author copyright notice.</t>
        </is>
      </c>
      <c r="Z13" s="27" t="inlineStr">
        <is>
          <t>https://d3n8a8pro7vhmx.cloudfront.net/portlandpsychotherapy/pages/21/attachments/original/1438799410/Forms_of_self-criticising_and_self_reassuring_scale.pdf</t>
        </is>
      </c>
    </row>
    <row r="14" ht="169.5" customHeight="1" s="17">
      <c r="A14" s="26" t="inlineStr">
        <is>
          <t>PCI</t>
        </is>
      </c>
      <c r="B14" s="27" t="inlineStr">
        <is>
          <t>Perfectionism Cognitions Inventory</t>
        </is>
      </c>
      <c r="C14" s="27" t="inlineStr">
        <is>
          <t>5. Repetitive negative thinking and self talk</t>
        </is>
      </c>
      <c r="D14" s="27" t="inlineStr">
        <is>
          <t>Free / open access</t>
        </is>
      </c>
      <c r="E14" s="28" t="n">
        <v>25</v>
      </c>
      <c r="F14" s="28">
        <f>COUNTIF('Master Item List'!$A:$A,$A14)</f>
        <v/>
      </c>
      <c r="G14" s="27" t="inlineStr">
        <is>
          <t>Frequency of perfectionism-related automatic thoughts (perfectionistic cognitions) over the preceding week, e.g. thoughts such as "Why can't I be perfect" or "My work should be flawless", as distinct from trait perfectionism itself.</t>
        </is>
      </c>
      <c r="H14" s="27" t="inlineStr">
        <is>
          <t>Self-report</t>
        </is>
      </c>
      <c r="I14" s="27" t="inlineStr">
        <is>
          <t>NovoPsych lists the PCI as suitable from age 15 and up. The original Flett, Hewitt, Blankstein &amp; Gray (1998) development/validation samples were adult (psychiatric patients, adults recovering from alcoholism, and university students).</t>
        </is>
      </c>
      <c r="J14" s="27" t="inlineStr">
        <is>
          <t>Approximately 4 minutes (per NovoPsych).</t>
        </is>
      </c>
      <c r="K14"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c r="L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c r="M14"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c r="N14" s="27" t="inlineStr">
        <is>
          <t>Listed below are a variety of thoughts about perfectionism that sometimes pop into people's heads. Please read each thought and indicate how frequently, if at all, the thoughts occurred to you over the last week.</t>
        </is>
      </c>
      <c r="O14" s="27" t="inlineStr">
        <is>
          <t>Not At All = 0 | Sometimes = 1 | Moderately Often = 2 | Often = 3 | All of the time = 4</t>
        </is>
      </c>
      <c r="P14" s="27" t="inlineStr">
        <is>
          <t>None</t>
        </is>
      </c>
      <c r="Q14" s="27" t="inlineStr">
        <is>
          <t>None</t>
        </is>
      </c>
      <c r="R14" s="27" t="inlineStr">
        <is>
          <t>Not stated on source</t>
        </is>
      </c>
      <c r="S14" s="27" t="inlineStr">
        <is>
          <t>Total score is the sum of all 25 items, converted/reported on a 0-100 scale, with higher scores indicating a greater frequency of perfectionistic cognitions (per NovoPsych's automatic scoring report). The instrument is unidimensional; no subscales are used.</t>
        </is>
      </c>
      <c r="T14"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c r="U14"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c r="V14"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c r="W1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c r="X14" s="27" t="inlineStr">
        <is>
          <t>Flett, G. L., Hewitt, P. L., Blankstein, K. R., &amp; Gray, L. (1998). Psychological distress and the frequency of perfectionistic thinking. Journal of Personality and Social Psychology, 75(5), 1363–1381. https://doi.org/10.1037/0022-3514.75.5.1363</t>
        </is>
      </c>
      <c r="Y14" s="27" t="inlineStr">
        <is>
          <t>No explicit copyright or commercial-use restriction was found on the fetched sources (Hewitt Lab-hosted document, db.arabpsychology.com scale database, or the NovoPsych sample scoring report).</t>
        </is>
      </c>
      <c r="Z14" s="27" t="inlineStr">
        <is>
          <t>https://novopsych.com/assessments/formulation/perfectionistic-cognitions-inventory-pci/</t>
        </is>
      </c>
    </row>
    <row r="15" ht="169.5" customHeight="1" s="17">
      <c r="A15" s="26" t="inlineStr">
        <is>
          <t>SCS-SF</t>
        </is>
      </c>
      <c r="B15" s="27" t="inlineStr">
        <is>
          <t>Self-Compassion Scale – Short Form</t>
        </is>
      </c>
      <c r="C15" s="27" t="inlineStr">
        <is>
          <t>5. Repetitive negative thinking and self talk</t>
        </is>
      </c>
      <c r="D15" s="27" t="inlineStr">
        <is>
          <t>Free / open access</t>
        </is>
      </c>
      <c r="E15" s="28" t="n">
        <v>12</v>
      </c>
      <c r="F15" s="28">
        <f>COUNTIF('Master Item List'!$A:$A,$A15)</f>
        <v/>
      </c>
      <c r="G15"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c r="H15" s="27" t="inlineStr">
        <is>
          <t>Self-report</t>
        </is>
      </c>
      <c r="I15" s="27" t="inlineStr">
        <is>
          <t>NovoPsych lists 18 years and over. The English validation sample was University of Texas at Austin students; construction samples were Dutch/Belgian adults.</t>
        </is>
      </c>
      <c r="J15" s="27" t="inlineStr">
        <is>
          <t>Approximately 2 minutes (per NovoPsych).</t>
        </is>
      </c>
      <c r="K15"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c r="L15"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c r="M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c r="N15" s="27" t="inlineStr">
        <is>
          <t>Please read each statement carefully before answering. Indicate how often you behave in the stated manner.</t>
        </is>
      </c>
      <c r="O15" s="27" t="inlineStr">
        <is>
          <t>Almost never = 1 | 2 = 2 | 3 = 3 | 4 = 4 | Almost always = 5</t>
        </is>
      </c>
      <c r="P15" s="27" t="inlineStr">
        <is>
          <t>1, 4, 8-9, 11-12</t>
        </is>
      </c>
      <c r="Q15" s="27" t="inlineStr">
        <is>
          <t>None</t>
        </is>
      </c>
      <c r="R15" s="27" t="inlineStr">
        <is>
          <t>Self-Kindness (items 2, 6; n=2; range 1-5 (mean of 2 items))
Self-Judgment (items 11-12; n=2; range 1-5 (mean of 2 items, reverse scored))
Common Humanity (items 5, 10; n=2; range 1-5 (mean of 2 items))
Isolation (items 4, 8; n=2; range 1-5 (mean of 2 items, reverse scored))
Mindfulness (items 3, 7; n=2; range 1-5 (mean of 2 items))
Over-Identification (items 1, 9; n=2; range 1-5 (mean of 2 items, reverse scored))</t>
        </is>
      </c>
      <c r="S15"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c r="T15" s="27" t="inlineStr">
        <is>
          <t>Average: around the 50th percentile - Level of self-compassion broadly typical of NovoPsych's comparison group (per NovoPsych's sample scoring report, which compares individual scores to a clinical/psychotherapy-client reference group).</t>
        </is>
      </c>
      <c r="U15"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c r="V15"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c r="W15"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c r="X15" s="27" t="inlineStr">
        <is>
          <t>Raes, F., Pommier, E., Neff, K. D., &amp; Van Gucht, D. (2011). Construction and factorial validation of a short form of the Self-Compassion Scale. Clinical Psychology &amp; Psychotherapy, 18(3), 250–255. https://doi.org/10.1002/cpp.702</t>
        </is>
      </c>
      <c r="Y15"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c r="Z15" s="27" t="inlineStr">
        <is>
          <t>https://self-compassion.org/wp-content/uploads/2015/02/ShortSCS.pdf</t>
        </is>
      </c>
    </row>
    <row r="16" ht="169.5" customHeight="1" s="17">
      <c r="A16" s="26" t="inlineStr">
        <is>
          <t>BPNSFS</t>
        </is>
      </c>
      <c r="B16" s="27" t="inlineStr">
        <is>
          <t>Basic Psychological Need Satisfaction and Frustration Scale (BPNSFS)</t>
        </is>
      </c>
      <c r="C16" s="27" t="inlineStr">
        <is>
          <t>6. Motivation, self determination and goal pursuit</t>
        </is>
      </c>
      <c r="D16" s="33" t="inlineStr">
        <is>
          <t>Free for research; permission needed for commercial use</t>
        </is>
      </c>
      <c r="E16" s="28" t="n">
        <v>24</v>
      </c>
      <c r="F16" s="28">
        <f>COUNTIF('Master Item List'!$A:$A,$A16)</f>
        <v/>
      </c>
      <c r="G16"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c r="H16"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c r="I16" s="27" t="inlineStr">
        <is>
          <t>Not stated precisely in the source; the general version is written for adults. Separate child and intellectual-disability versions exist but were not transcribed here.</t>
        </is>
      </c>
      <c r="J16" s="27" t="inlineStr">
        <is>
          <t>Not stated on source</t>
        </is>
      </c>
      <c r="K16"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c r="L16"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c r="M16"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c r="N16" s="27" t="inlineStr">
        <is>
          <t>Below, we ask you about the kind of experiences you actually have in your life. Please read each of the following items carefully. You can choose from 1 to 5 to indicate the degree to which the statement is true for you at this point in your life.</t>
        </is>
      </c>
      <c r="O16" s="27" t="inlineStr">
        <is>
          <t>Not true at all = 1 | 2 = 2 | 3 = 3 | 4 = 4 | Completely true = 5</t>
        </is>
      </c>
      <c r="P16" s="27" t="inlineStr">
        <is>
          <t>None</t>
        </is>
      </c>
      <c r="Q16" s="27" t="inlineStr">
        <is>
          <t>None</t>
        </is>
      </c>
      <c r="R16" s="27" t="inlineStr">
        <is>
          <t>Autonomy satisfaction (items 1, 7, 13, 19; n=4; range 4-20)
Autonomy frustration (items 2, 8, 14, 20; n=4; range 4-20)
Relatedness satisfaction (items 3, 9, 15, 21; n=4; range 4-20)
Relatedness frustration (items 4, 10, 16, 22; n=4; range 4-20)
Competence satisfaction (items 5, 11, 17, 23; n=4; range 4-20)
Competence frustration (items 6, 12, 18, 24; n=4; range 4-20)</t>
        </is>
      </c>
      <c r="S16"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c r="T16" s="27" t="inlineStr">
        <is>
          <t>Not stated on source</t>
        </is>
      </c>
      <c r="U16" s="27" t="inlineStr">
        <is>
          <t>Not stated on source</t>
        </is>
      </c>
      <c r="V16" s="27" t="inlineStr">
        <is>
          <t>Not stated on source</t>
        </is>
      </c>
      <c r="W16"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c r="X16"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c r="Y16" s="27" t="inlineStr">
        <is>
          <t>All questionnaires on selfdeterminationtheory.org, including the BPNSFS, are stated to be copyrighted. Free for academic, non-commercial research use. Written permission from the Center for Self-Determination Theory is required for any commercial use.</t>
        </is>
      </c>
      <c r="Z16" s="27" t="inlineStr">
        <is>
          <t>https://selfdeterminationtheory.org/basic-psychological-need-satisfaction-and-frustration-scale/</t>
        </is>
      </c>
    </row>
    <row r="17" ht="169.5" customHeight="1" s="17">
      <c r="A17" s="26" t="inlineStr">
        <is>
          <t>PPS</t>
        </is>
      </c>
      <c r="B17" s="27" t="inlineStr">
        <is>
          <t>Pure Procrastination Scale</t>
        </is>
      </c>
      <c r="C17" s="27" t="inlineStr">
        <is>
          <t>6. Motivation, self determination and goal pursuit</t>
        </is>
      </c>
      <c r="D17" s="27" t="inlineStr">
        <is>
          <t>Free / open access</t>
        </is>
      </c>
      <c r="E17" s="28" t="n">
        <v>12</v>
      </c>
      <c r="F17" s="28">
        <f>COUNTIF('Master Item List'!$A:$A,$A17)</f>
        <v/>
      </c>
      <c r="G1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c r="H17" s="27" t="inlineStr">
        <is>
          <t>Self-report</t>
        </is>
      </c>
      <c r="I17" s="27" t="inlineStr">
        <is>
          <t>Adults; validated in a global cross-national adult sample (used with university students and working adults)</t>
        </is>
      </c>
      <c r="J17" s="27" t="inlineStr">
        <is>
          <t>2-3 minutes</t>
        </is>
      </c>
      <c r="K17"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7"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c r="M17"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c r="N17" s="27" t="inlineStr">
        <is>
          <t>Not stated on source</t>
        </is>
      </c>
      <c r="O17" s="27" t="inlineStr">
        <is>
          <t>Very seldom or not true of me = 1 | 2 = 2 | 3 = 3 | 4 = 4 | Very often true, or true of me = 5</t>
        </is>
      </c>
      <c r="P17" s="27" t="inlineStr">
        <is>
          <t>None</t>
        </is>
      </c>
      <c r="Q17" s="27" t="inlineStr">
        <is>
          <t>None</t>
        </is>
      </c>
      <c r="R17" s="27" t="inlineStr">
        <is>
          <t>Pure Procrastination (total scale) (items 1-12; n=12; range 12-60)</t>
        </is>
      </c>
      <c r="S17" s="27" t="inlineStr">
        <is>
          <t>Sum (or mean) of the 12 item ratings. Higher total scores indicate greater trait procrastination. No reverse-scored items are indicated for the PPS in the source table (unlike the companion IPS, which has three reverse-scored items).</t>
        </is>
      </c>
      <c r="T17" s="27" t="inlineStr">
        <is>
          <t>Not stated on source</t>
        </is>
      </c>
      <c r="U17" s="27" t="inlineStr">
        <is>
          <t>No clinical or normative cut-off scores were given in the fetched source. It is used as a continuous research/coaching variable.</t>
        </is>
      </c>
      <c r="V17" s="27" t="inlineStr">
        <is>
          <t>No normative table was printed in the fetched excerpt of the source article. Piers Steel's own measure page invites direct contact for norms and scoring materials.</t>
        </is>
      </c>
      <c r="W17"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c r="X17" s="27" t="inlineStr">
        <is>
          <t>Svartdal, F., &amp; Steel, P. (2017). Irrational delay revisited: Examining five procrastination scales in a global sample. Frontiers in Psychology, 8, 1927. https://doi.org/10.3389/fpsyg.2017.01927</t>
        </is>
      </c>
      <c r="Y17"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7" s="27" t="inlineStr">
        <is>
          <t>https://www.frontiersin.org/articles/10.3389/fpsyg.2017.01927/full</t>
        </is>
      </c>
    </row>
    <row r="18" ht="169.5" customHeight="1" s="17">
      <c r="A18" s="26" t="inlineStr">
        <is>
          <t>IPS</t>
        </is>
      </c>
      <c r="B18" s="27" t="inlineStr">
        <is>
          <t>Irrational Procrastination Scale</t>
        </is>
      </c>
      <c r="C18" s="27" t="inlineStr">
        <is>
          <t>6. Motivation, self determination and goal pursuit</t>
        </is>
      </c>
      <c r="D18" s="27" t="inlineStr">
        <is>
          <t>Free / open access</t>
        </is>
      </c>
      <c r="E18" s="28" t="n">
        <v>9</v>
      </c>
      <c r="F18" s="28">
        <f>COUNTIF('Master Item List'!$A:$A,$A18)</f>
        <v/>
      </c>
      <c r="G18" s="27" t="inlineStr">
        <is>
          <t>Irrational procrastination, i.e. the tendency to delay in a way that is knowingly counterproductive to one's own well-being or efficiency, distinguishing procrastination proper from merely intentional or strategic delay.</t>
        </is>
      </c>
      <c r="H18" s="27" t="inlineStr">
        <is>
          <t>Self-report</t>
        </is>
      </c>
      <c r="I18" s="27" t="inlineStr">
        <is>
          <t>Adults; validated in a global cross-national adult sample (16,413 adults across multiple languages per Steel's own measure page)</t>
        </is>
      </c>
      <c r="J18" s="27" t="inlineStr">
        <is>
          <t>1-2 minutes</t>
        </is>
      </c>
      <c r="K18"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8"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c r="M18"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c r="N18" s="27" t="inlineStr">
        <is>
          <t>Not stated on source</t>
        </is>
      </c>
      <c r="O18" s="27" t="inlineStr">
        <is>
          <t>Very seldom or not true of me = 1 | 2 = 2 | 3 = 3 | 4 = 4 | Very often true, or true of me = 5</t>
        </is>
      </c>
      <c r="P18" s="27" t="inlineStr">
        <is>
          <t>2, 6, 9</t>
        </is>
      </c>
      <c r="Q18" s="27" t="inlineStr">
        <is>
          <t>None</t>
        </is>
      </c>
      <c r="R18" s="27" t="inlineStr">
        <is>
          <t>Irrational Procrastination (total scale) (items 1-9; n=9; range 9-45)</t>
        </is>
      </c>
      <c r="S18" s="27" t="inlineStr">
        <is>
          <t>Reverse-code items 2, 6 and 9, then sum (or mean) all 9 item ratings. Higher total scores indicate greater irrational procrastination.</t>
        </is>
      </c>
      <c r="T18" s="27" t="inlineStr">
        <is>
          <t>Not stated on source</t>
        </is>
      </c>
      <c r="U18" s="27" t="inlineStr">
        <is>
          <t>No clinical or normative cut-off scores were given in the fetched source. It is used as a continuous research/coaching variable.</t>
        </is>
      </c>
      <c r="V18" s="27" t="inlineStr">
        <is>
          <t>No normative table was printed in the fetched excerpt of the source article. Piers Steel's own measure page states the IPS has been validated across international samples totalling 16,413 adults and invites direct contact for norms and scoring materials.</t>
        </is>
      </c>
      <c r="W18" s="27" t="inlineStr">
        <is>
          <t>Svartdal and Steel (2017) report Cronbach's alpha = .91 for the 9-item IPS in their multi-country sample. The article states psychometric adequacy for the scale across the six European countries sampled, in a comparison of five procrastination scales.</t>
        </is>
      </c>
      <c r="X18" s="27" t="inlineStr">
        <is>
          <t>Svartdal, F., &amp; Steel, P. (2017). Irrational delay revisited: Examining five procrastination scales in a global sample. Frontiers in Psychology, 8, 1927. https://doi.org/10.3389/fpsyg.2017.01927</t>
        </is>
      </c>
      <c r="Y18"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8" s="27" t="inlineStr">
        <is>
          <t>https://www.frontiersin.org/articles/10.3389/fpsyg.2017.01927/full</t>
        </is>
      </c>
    </row>
    <row r="19" ht="169.5" customHeight="1" s="17">
      <c r="A19" s="26" t="inlineStr">
        <is>
          <t>GSE</t>
        </is>
      </c>
      <c r="B19" s="27" t="inlineStr">
        <is>
          <t>General Self-Efficacy Scale</t>
        </is>
      </c>
      <c r="C19" s="27" t="inlineStr">
        <is>
          <t>6. Motivation, self determination and goal pursuit</t>
        </is>
      </c>
      <c r="D19" s="27" t="inlineStr">
        <is>
          <t>Free / open access</t>
        </is>
      </c>
      <c r="E19" s="28" t="n">
        <v>10</v>
      </c>
      <c r="F19" s="28">
        <f>COUNTIF('Master Item List'!$A:$A,$A19)</f>
        <v/>
      </c>
      <c r="G19" s="27" t="inlineStr">
        <is>
          <t>Generalized self-efficacy, i.e. a broad and stable sense of personal competence to deal effectively with a variety of stressful or difficult situations, treated as a unidimensional trait rather than task-specific self-efficacy.</t>
        </is>
      </c>
      <c r="H19" s="27" t="inlineStr">
        <is>
          <t>Self-report</t>
        </is>
      </c>
      <c r="I19" s="27" t="inlineStr">
        <is>
          <t>Adolescents through adults; validated across 23 nations in general population and student samples</t>
        </is>
      </c>
      <c r="J19" s="27" t="inlineStr">
        <is>
          <t>4 minutes average (per the official FU Berlin documentation)</t>
        </is>
      </c>
      <c r="K19"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c r="L19"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c r="M19"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c r="N19" s="27" t="inlineStr">
        <is>
          <t>Not stated on source</t>
        </is>
      </c>
      <c r="O19" s="27" t="inlineStr">
        <is>
          <t>Not at all true = 1 | Hardly true = 2 | Moderately true = 3 | Exactly true = 4</t>
        </is>
      </c>
      <c r="P19" s="27" t="inlineStr">
        <is>
          <t>None</t>
        </is>
      </c>
      <c r="Q19" s="27" t="inlineStr">
        <is>
          <t>None</t>
        </is>
      </c>
      <c r="R19" s="27" t="inlineStr">
        <is>
          <t>General Self-Efficacy (total scale) (items 1-10; n=10; range 10-40)</t>
        </is>
      </c>
      <c r="S19" s="27" t="inlineStr">
        <is>
          <t>Sum of the 10 item ratings, giving a total score ranging from 10 to 40. Higher scores indicate greater generalized self-efficacy. No items are reverse-scored.</t>
        </is>
      </c>
      <c r="T19" s="27" t="inlineStr">
        <is>
          <t>Not stated on source</t>
        </is>
      </c>
      <c r="U19" s="27" t="inlineStr">
        <is>
          <t>No clinical cut-off scores are given on the official page; it is used as a continuous variable.</t>
        </is>
      </c>
      <c r="V19" s="27" t="inlineStr">
        <is>
          <t>The official page states the scale has been validated in samples from 23 nations. No specific mean/SD norm tables were printed in the fetched page text, though the page indicates such information is discussed in the accompanying FAQ documentation.</t>
        </is>
      </c>
      <c r="W19" s="27" t="inlineStr">
        <is>
          <t>Cronbach's alpha coefficients ranged from .76 to .90 across the 23-nation samples, with the majority in the high .80s, per the official FU Berlin documentation.</t>
        </is>
      </c>
      <c r="X19" s="27" t="inlineStr">
        <is>
          <t>Schwarzer, R., &amp; Jerusalem, M. (1995). Generalized Self-Efficacy scale. In J. Weinman, S. Wright, &amp; M. Johnston, Measures in health psychology: A user's portfolio. Causal and control beliefs (pp. 35-37). NFER-NELSON.</t>
        </is>
      </c>
      <c r="Y19"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c r="Z19" s="27" t="inlineStr">
        <is>
          <t>https://userpage.fu-berlin.de/~health/engscal.htm</t>
        </is>
      </c>
    </row>
    <row r="20" ht="169.5" customHeight="1" s="17">
      <c r="A20" s="26" t="inlineStr">
        <is>
          <t>GCS</t>
        </is>
      </c>
      <c r="B20" s="27" t="inlineStr">
        <is>
          <t>Goal Commitment Scale (5-item unidimensional version)</t>
        </is>
      </c>
      <c r="C20" s="27" t="inlineStr">
        <is>
          <t>6. Motivation, self determination and goal pursuit</t>
        </is>
      </c>
      <c r="D20" s="33" t="inlineStr">
        <is>
          <t>Free for research; permission needed for commercial use</t>
        </is>
      </c>
      <c r="E20" s="28" t="n">
        <v>5</v>
      </c>
      <c r="F20" s="28">
        <f>COUNTIF('Master Item List'!$A:$A,$A20)</f>
        <v/>
      </c>
      <c r="G20" s="27" t="inlineStr">
        <is>
          <t>Unidimensional goal commitment, i.e. the degree of attachment to, and determination to reach, a specific goal the respondent has in mind, independent of the goal's difficulty or content.</t>
        </is>
      </c>
      <c r="H20" s="27" t="inlineStr">
        <is>
          <t>Self-report, completed with reference to a specific goal the respondent names or is given (items are worded around "this goal"); used with working adults and students across the many studies aggregated in the 2001 meta-analysis.</t>
        </is>
      </c>
      <c r="I20" s="27" t="inlineStr">
        <is>
          <t>Adult (18+) in the studies identified; no child or adolescent validation located in the sources fetched.</t>
        </is>
      </c>
      <c r="J20" s="27" t="inlineStr">
        <is>
          <t>Not stated on source</t>
        </is>
      </c>
      <c r="K20"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c r="L20"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c r="M20"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c r="N20"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c r="O20" s="27" t="inlineStr">
        <is>
          <t>Strongly Disagree = 1 | Moderately Disagree = 2 | Neutral = 3 | Moderately Agree = 4 | Strongly Agree = 5</t>
        </is>
      </c>
      <c r="P20" s="27" t="inlineStr">
        <is>
          <t>1-2, 4</t>
        </is>
      </c>
      <c r="Q20" s="27" t="inlineStr">
        <is>
          <t>None</t>
        </is>
      </c>
      <c r="R20" s="27" t="inlineStr">
        <is>
          <t>Goal Commitment (items 1-5; n=5; range 5-25 (sum) or 1-5 (mean) on a 5 point scale)</t>
        </is>
      </c>
      <c r="S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c r="T20" s="27" t="inlineStr">
        <is>
          <t>Not stated on source</t>
        </is>
      </c>
      <c r="U20" s="27" t="inlineStr">
        <is>
          <t>Not stated on source</t>
        </is>
      </c>
      <c r="V20" s="27" t="inlineStr">
        <is>
          <t>Not stated on source</t>
        </is>
      </c>
      <c r="W20"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c r="X20" s="27" t="inlineStr">
        <is>
          <t>Klein, H. J., Wesson, M. J., Hollenbeck, J. R., Wright, P. M., &amp; DeShon, R. P. (2001). The assessment of goal commitment: A measurement model meta-analysis. Organizational Behavior and Human Decision Processes, 85(1), 32-55.</t>
        </is>
      </c>
      <c r="Y20"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c r="Z20" s="27" t="inlineStr">
        <is>
          <t>https://bearworks.missouristate.edu/cgi/viewcontent.cgi?article=4229&amp;context=theses</t>
        </is>
      </c>
    </row>
    <row r="21" ht="169.5" customHeight="1" s="17">
      <c r="A21" s="26" t="inlineStr">
        <is>
          <t>GADJ</t>
        </is>
      </c>
      <c r="B21" s="27" t="inlineStr">
        <is>
          <t>Goal Adjustment Scale</t>
        </is>
      </c>
      <c r="C21" s="27" t="inlineStr">
        <is>
          <t>6. Motivation, self determination and goal pursuit</t>
        </is>
      </c>
      <c r="D21" s="33" t="inlineStr">
        <is>
          <t>Free for research; permission needed for commercial use</t>
        </is>
      </c>
      <c r="E21" s="28" t="n">
        <v>10</v>
      </c>
      <c r="F21" s="28">
        <f>COUNTIF('Master Item List'!$A:$A,$A21)</f>
        <v/>
      </c>
      <c r="G21"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c r="H21" s="27" t="inlineStr">
        <is>
          <t>Self-report, answered with respect to a general stem about an important, unattainable goal in the respondent's own life (not a goal supplied by an interviewer).</t>
        </is>
      </c>
      <c r="I21"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c r="J21" s="27" t="inlineStr">
        <is>
          <t>Not stated on source</t>
        </is>
      </c>
      <c r="K21"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c r="L21"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c r="M21"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c r="N21"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O21" s="27" t="inlineStr">
        <is>
          <t>Almost never true = 1 | 2 = 2 | 3 = 3 | 4 = 4 | Almost always true = 5</t>
        </is>
      </c>
      <c r="P21" s="27" t="inlineStr">
        <is>
          <t>2-3</t>
        </is>
      </c>
      <c r="Q21" s="27" t="inlineStr">
        <is>
          <t>None</t>
        </is>
      </c>
      <c r="R21" s="27" t="inlineStr">
        <is>
          <t>Goal Disengagement (items 1-4; n=4; range 4-20 (sum) or 1-5 (mean))
Goal Reengagement (items 5-10; n=6; range 6-30 (sum) or 1-5 (mean))</t>
        </is>
      </c>
      <c r="S21"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c r="T21" s="27" t="inlineStr">
        <is>
          <t>Not stated on source</t>
        </is>
      </c>
      <c r="U21" s="27" t="inlineStr">
        <is>
          <t>Not stated on source</t>
        </is>
      </c>
      <c r="V21" s="27" t="inlineStr">
        <is>
          <t>Not stated on source</t>
        </is>
      </c>
      <c r="W21"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c r="X21" s="27" t="inlineStr">
        <is>
          <t>Wrosch, C., Scheier, M. F., Miller, G. E., Schulz, R., &amp; Carver, C. S. (2003). Adaptive self-regulation of unattainable goals: Goal disengagement, goal reengagement, and subjective well-being. Personality and Social Psychology Bulletin, 29(12), 1494-1508.</t>
        </is>
      </c>
      <c r="Y21"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c r="Z21" s="27" t="inlineStr">
        <is>
          <t>https://www.cmu.edu/dietrich/psychology/pdf/scales/GAS_article.pdf</t>
        </is>
      </c>
    </row>
  </sheetData>
  <autoFilter ref="A1:Z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K308"/>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4" customWidth="1" style="16" min="1" max="1"/>
    <col width="34" customWidth="1" style="16" min="2" max="3"/>
    <col width="9" customWidth="1" style="16" min="4" max="4"/>
    <col width="78" customWidth="1" style="16" min="5" max="5"/>
    <col width="34" customWidth="1" style="16" min="6" max="6"/>
    <col width="10" customWidth="1" style="16" min="7" max="7"/>
    <col width="12" customWidth="1" style="16" min="8" max="8"/>
    <col width="44" customWidth="1" style="16" min="9" max="9"/>
    <col width="60" customWidth="1" style="16" min="10" max="10"/>
    <col width="46" customWidth="1" style="16" min="11" max="11"/>
  </cols>
  <sheetData>
    <row r="1" ht="30" customHeight="1" s="17">
      <c r="A1" s="25" t="inlineStr">
        <is>
          <t>Code</t>
        </is>
      </c>
      <c r="B1" s="25" t="inlineStr">
        <is>
          <t>Instrument Name</t>
        </is>
      </c>
      <c r="C1" s="25" t="inlineStr">
        <is>
          <t>Domain</t>
        </is>
      </c>
      <c r="D1" s="25" t="inlineStr">
        <is>
          <t>Item Number</t>
        </is>
      </c>
      <c r="E1" s="25" t="inlineStr">
        <is>
          <t>Item Text (verbatim)</t>
        </is>
      </c>
      <c r="F1" s="25" t="inlineStr">
        <is>
          <t>Subscale / Domain</t>
        </is>
      </c>
      <c r="G1" s="25" t="inlineStr">
        <is>
          <t>Reverse Scored</t>
        </is>
      </c>
      <c r="H1" s="25" t="inlineStr">
        <is>
          <t>Filler (not scored)</t>
        </is>
      </c>
      <c r="I1" s="25" t="inlineStr">
        <is>
          <t>Response Options</t>
        </is>
      </c>
      <c r="J1" s="25" t="inlineStr">
        <is>
          <t>Item Notes</t>
        </is>
      </c>
      <c r="K1" s="25" t="inlineStr">
        <is>
          <t>Source URL</t>
        </is>
      </c>
    </row>
    <row r="2" ht="23.85" customHeight="1" s="17">
      <c r="A2" s="27" t="inlineStr">
        <is>
          <t>ESQ-R</t>
        </is>
      </c>
      <c r="B2" s="27" t="inlineStr">
        <is>
          <t>Executive Skills Questionnaire - Revised (ESQ-R)</t>
        </is>
      </c>
      <c r="C2" s="27" t="inlineStr">
        <is>
          <t>1. Executive functioning and ADHD</t>
        </is>
      </c>
      <c r="D2" s="28" t="n">
        <v>1</v>
      </c>
      <c r="E2" s="27" t="inlineStr">
        <is>
          <t>I act on impulse.</t>
        </is>
      </c>
      <c r="F2" s="27" t="inlineStr">
        <is>
          <t>Behavioral Regulation</t>
        </is>
      </c>
      <c r="G2" s="27" t="inlineStr">
        <is>
          <t>FALSE</t>
        </is>
      </c>
      <c r="H2" s="27" t="inlineStr">
        <is>
          <t>FALSE</t>
        </is>
      </c>
      <c r="I2" s="27" t="inlineStr">
        <is>
          <t>Never or rarely = 0 | Sometimes = 1 | Often = 2 | Very often = 3</t>
        </is>
      </c>
      <c r="J2" s="27" t="n"/>
      <c r="K2" s="27" t="inlineStr">
        <is>
          <t>https://novopsych.com/assessments/formulation/executive-skills-questionnaire-revised-esq-r/</t>
        </is>
      </c>
    </row>
    <row r="3" ht="23.85" customHeight="1" s="17">
      <c r="A3" s="27" t="inlineStr">
        <is>
          <t>ESQ-R</t>
        </is>
      </c>
      <c r="B3" s="27" t="inlineStr">
        <is>
          <t>Executive Skills Questionnaire - Revised (ESQ-R)</t>
        </is>
      </c>
      <c r="C3" s="27" t="inlineStr">
        <is>
          <t>1. Executive functioning and ADHD</t>
        </is>
      </c>
      <c r="D3" s="28" t="n">
        <v>2</v>
      </c>
      <c r="E3" s="27" t="inlineStr">
        <is>
          <t>I say things without thinking.</t>
        </is>
      </c>
      <c r="F3" s="27" t="inlineStr">
        <is>
          <t>Behavioral Regulation</t>
        </is>
      </c>
      <c r="G3" s="27" t="inlineStr">
        <is>
          <t>FALSE</t>
        </is>
      </c>
      <c r="H3" s="27" t="inlineStr">
        <is>
          <t>FALSE</t>
        </is>
      </c>
      <c r="I3" s="27" t="inlineStr">
        <is>
          <t>Never or rarely = 0 | Sometimes = 1 | Often = 2 | Very often = 3</t>
        </is>
      </c>
      <c r="J3" s="27" t="n"/>
      <c r="K3" s="27" t="inlineStr">
        <is>
          <t>https://novopsych.com/assessments/formulation/executive-skills-questionnaire-revised-esq-r/</t>
        </is>
      </c>
    </row>
    <row r="4" ht="23.85" customHeight="1" s="17">
      <c r="A4" s="27" t="inlineStr">
        <is>
          <t>ESQ-R</t>
        </is>
      </c>
      <c r="B4" s="27" t="inlineStr">
        <is>
          <t>Executive Skills Questionnaire - Revised (ESQ-R)</t>
        </is>
      </c>
      <c r="C4" s="27" t="inlineStr">
        <is>
          <t>1. Executive functioning and ADHD</t>
        </is>
      </c>
      <c r="D4" s="28" t="n">
        <v>3</v>
      </c>
      <c r="E4" s="27" t="inlineStr">
        <is>
          <t>I lose things.</t>
        </is>
      </c>
      <c r="F4" s="27" t="inlineStr">
        <is>
          <t>Organization</t>
        </is>
      </c>
      <c r="G4" s="27" t="inlineStr">
        <is>
          <t>FALSE</t>
        </is>
      </c>
      <c r="H4" s="27" t="inlineStr">
        <is>
          <t>FALSE</t>
        </is>
      </c>
      <c r="I4" s="27" t="inlineStr">
        <is>
          <t>Never or rarely = 0 | Sometimes = 1 | Often = 2 | Very often = 3</t>
        </is>
      </c>
      <c r="J4" s="27" t="n"/>
      <c r="K4" s="27" t="inlineStr">
        <is>
          <t>https://novopsych.com/assessments/formulation/executive-skills-questionnaire-revised-esq-r/</t>
        </is>
      </c>
    </row>
    <row r="5" ht="23.85" customHeight="1" s="17">
      <c r="A5" s="27" t="inlineStr">
        <is>
          <t>ESQ-R</t>
        </is>
      </c>
      <c r="B5" s="27" t="inlineStr">
        <is>
          <t>Executive Skills Questionnaire - Revised (ESQ-R)</t>
        </is>
      </c>
      <c r="C5" s="27" t="inlineStr">
        <is>
          <t>1. Executive functioning and ADHD</t>
        </is>
      </c>
      <c r="D5" s="28" t="n">
        <v>4</v>
      </c>
      <c r="E5" s="27" t="inlineStr">
        <is>
          <t>I have a short fuse.</t>
        </is>
      </c>
      <c r="F5" s="27" t="inlineStr">
        <is>
          <t>Emotional Regulation</t>
        </is>
      </c>
      <c r="G5" s="27" t="inlineStr">
        <is>
          <t>FALSE</t>
        </is>
      </c>
      <c r="H5" s="27" t="inlineStr">
        <is>
          <t>FALSE</t>
        </is>
      </c>
      <c r="I5" s="27" t="inlineStr">
        <is>
          <t>Never or rarely = 0 | Sometimes = 1 | Often = 2 | Very often = 3</t>
        </is>
      </c>
      <c r="J5" s="27" t="n"/>
      <c r="K5" s="27" t="inlineStr">
        <is>
          <t>https://novopsych.com/assessments/formulation/executive-skills-questionnaire-revised-esq-r/</t>
        </is>
      </c>
    </row>
    <row r="6" ht="23.85" customHeight="1" s="17">
      <c r="A6" s="27" t="inlineStr">
        <is>
          <t>ESQ-R</t>
        </is>
      </c>
      <c r="B6" s="27" t="inlineStr">
        <is>
          <t>Executive Skills Questionnaire - Revised (ESQ-R)</t>
        </is>
      </c>
      <c r="C6" s="27" t="inlineStr">
        <is>
          <t>1. Executive functioning and ADHD</t>
        </is>
      </c>
      <c r="D6" s="28" t="n">
        <v>5</v>
      </c>
      <c r="E6" s="27" t="inlineStr">
        <is>
          <t>I get upset when things don't go as planned.</t>
        </is>
      </c>
      <c r="F6" s="27" t="inlineStr">
        <is>
          <t>Emotional Regulation</t>
        </is>
      </c>
      <c r="G6" s="27" t="inlineStr">
        <is>
          <t>FALSE</t>
        </is>
      </c>
      <c r="H6" s="27" t="inlineStr">
        <is>
          <t>FALSE</t>
        </is>
      </c>
      <c r="I6" s="27" t="inlineStr">
        <is>
          <t>Never or rarely = 0 | Sometimes = 1 | Often = 2 | Very often = 3</t>
        </is>
      </c>
      <c r="J6" s="27" t="n"/>
      <c r="K6" s="27" t="inlineStr">
        <is>
          <t>https://novopsych.com/assessments/formulation/executive-skills-questionnaire-revised-esq-r/</t>
        </is>
      </c>
    </row>
    <row r="7" ht="23.85" customHeight="1" s="17">
      <c r="A7" s="27" t="inlineStr">
        <is>
          <t>ESQ-R</t>
        </is>
      </c>
      <c r="B7" s="27" t="inlineStr">
        <is>
          <t>Executive Skills Questionnaire - Revised (ESQ-R)</t>
        </is>
      </c>
      <c r="C7" s="27" t="inlineStr">
        <is>
          <t>1. Executive functioning and ADHD</t>
        </is>
      </c>
      <c r="D7" s="28" t="n">
        <v>6</v>
      </c>
      <c r="E7" s="27" t="inlineStr">
        <is>
          <t>I run out of steam before finishing a task.</t>
        </is>
      </c>
      <c r="F7" s="27" t="inlineStr">
        <is>
          <t>Plan Management</t>
        </is>
      </c>
      <c r="G7" s="27" t="inlineStr">
        <is>
          <t>FALSE</t>
        </is>
      </c>
      <c r="H7" s="27" t="inlineStr">
        <is>
          <t>FALSE</t>
        </is>
      </c>
      <c r="I7" s="27" t="inlineStr">
        <is>
          <t>Never or rarely = 0 | Sometimes = 1 | Often = 2 | Very often = 3</t>
        </is>
      </c>
      <c r="J7" s="27" t="n"/>
      <c r="K7" s="27" t="inlineStr">
        <is>
          <t>https://novopsych.com/assessments/formulation/executive-skills-questionnaire-revised-esq-r/</t>
        </is>
      </c>
    </row>
    <row r="8" ht="23.85" customHeight="1" s="17">
      <c r="A8" s="27" t="inlineStr">
        <is>
          <t>ESQ-R</t>
        </is>
      </c>
      <c r="B8" s="27" t="inlineStr">
        <is>
          <t>Executive Skills Questionnaire - Revised (ESQ-R)</t>
        </is>
      </c>
      <c r="C8" s="27" t="inlineStr">
        <is>
          <t>1. Executive functioning and ADHD</t>
        </is>
      </c>
      <c r="D8" s="28" t="n">
        <v>7</v>
      </c>
      <c r="E8" s="27" t="inlineStr">
        <is>
          <t>It's hard for me to set priorities when I have a lot of things to do.</t>
        </is>
      </c>
      <c r="F8" s="27" t="inlineStr">
        <is>
          <t>Plan Management</t>
        </is>
      </c>
      <c r="G8" s="27" t="inlineStr">
        <is>
          <t>FALSE</t>
        </is>
      </c>
      <c r="H8" s="27" t="inlineStr">
        <is>
          <t>FALSE</t>
        </is>
      </c>
      <c r="I8" s="27" t="inlineStr">
        <is>
          <t>Never or rarely = 0 | Sometimes = 1 | Often = 2 | Very often = 3</t>
        </is>
      </c>
      <c r="J8" s="27" t="n"/>
      <c r="K8" s="27" t="inlineStr">
        <is>
          <t>https://novopsych.com/assessments/formulation/executive-skills-questionnaire-revised-esq-r/</t>
        </is>
      </c>
    </row>
    <row r="9" ht="23.85" customHeight="1" s="17">
      <c r="A9" s="27" t="inlineStr">
        <is>
          <t>ESQ-R</t>
        </is>
      </c>
      <c r="B9" s="27" t="inlineStr">
        <is>
          <t>Executive Skills Questionnaire - Revised (ESQ-R)</t>
        </is>
      </c>
      <c r="C9" s="27" t="inlineStr">
        <is>
          <t>1. Executive functioning and ADHD</t>
        </is>
      </c>
      <c r="D9" s="28" t="n">
        <v>8</v>
      </c>
      <c r="E9" s="27" t="inlineStr">
        <is>
          <t>My desk or workspace is a mess.</t>
        </is>
      </c>
      <c r="F9" s="27" t="inlineStr">
        <is>
          <t>Organization</t>
        </is>
      </c>
      <c r="G9" s="27" t="inlineStr">
        <is>
          <t>FALSE</t>
        </is>
      </c>
      <c r="H9" s="27" t="inlineStr">
        <is>
          <t>FALSE</t>
        </is>
      </c>
      <c r="I9" s="27" t="inlineStr">
        <is>
          <t>Never or rarely = 0 | Sometimes = 1 | Often = 2 | Very often = 3</t>
        </is>
      </c>
      <c r="J9" s="27" t="n"/>
      <c r="K9" s="27" t="inlineStr">
        <is>
          <t>https://novopsych.com/assessments/formulation/executive-skills-questionnaire-revised-esq-r/</t>
        </is>
      </c>
    </row>
    <row r="10" ht="23.85" customHeight="1" s="17">
      <c r="A10" s="27" t="inlineStr">
        <is>
          <t>ESQ-R</t>
        </is>
      </c>
      <c r="B10" s="27" t="inlineStr">
        <is>
          <t>Executive Skills Questionnaire - Revised (ESQ-R)</t>
        </is>
      </c>
      <c r="C10" s="27" t="inlineStr">
        <is>
          <t>1. Executive functioning and ADHD</t>
        </is>
      </c>
      <c r="D10" s="28" t="n">
        <v>9</v>
      </c>
      <c r="E10" s="27" t="inlineStr">
        <is>
          <t>I have trouble keeping my house or room clean.</t>
        </is>
      </c>
      <c r="F10" s="27" t="inlineStr">
        <is>
          <t>Organization</t>
        </is>
      </c>
      <c r="G10" s="27" t="inlineStr">
        <is>
          <t>FALSE</t>
        </is>
      </c>
      <c r="H10" s="27" t="inlineStr">
        <is>
          <t>FALSE</t>
        </is>
      </c>
      <c r="I10" s="27" t="inlineStr">
        <is>
          <t>Never or rarely = 0 | Sometimes = 1 | Often = 2 | Very often = 3</t>
        </is>
      </c>
      <c r="J10" s="27" t="n"/>
      <c r="K10" s="27" t="inlineStr">
        <is>
          <t>https://novopsych.com/assessments/formulation/executive-skills-questionnaire-revised-esq-r/</t>
        </is>
      </c>
    </row>
    <row r="11" ht="23.85" customHeight="1" s="17">
      <c r="A11" s="27" t="inlineStr">
        <is>
          <t>ESQ-R</t>
        </is>
      </c>
      <c r="B11" s="27" t="inlineStr">
        <is>
          <t>Executive Skills Questionnaire - Revised (ESQ-R)</t>
        </is>
      </c>
      <c r="C11" s="27" t="inlineStr">
        <is>
          <t>1. Executive functioning and ADHD</t>
        </is>
      </c>
      <c r="D11" s="28" t="n">
        <v>10</v>
      </c>
      <c r="E11" s="27" t="inlineStr">
        <is>
          <t>I have trouble estimating how long it will take to complete a task.</t>
        </is>
      </c>
      <c r="F11" s="27" t="inlineStr">
        <is>
          <t>Time Management</t>
        </is>
      </c>
      <c r="G11" s="27" t="inlineStr">
        <is>
          <t>FALSE</t>
        </is>
      </c>
      <c r="H11" s="27" t="inlineStr">
        <is>
          <t>FALSE</t>
        </is>
      </c>
      <c r="I11" s="27" t="inlineStr">
        <is>
          <t>Never or rarely = 0 | Sometimes = 1 | Often = 2 | Very often = 3</t>
        </is>
      </c>
      <c r="J11" s="27" t="n"/>
      <c r="K11" s="27" t="inlineStr">
        <is>
          <t>https://novopsych.com/assessments/formulation/executive-skills-questionnaire-revised-esq-r/</t>
        </is>
      </c>
    </row>
    <row r="12" ht="23.85" customHeight="1" s="17">
      <c r="A12" s="27" t="inlineStr">
        <is>
          <t>ESQ-R</t>
        </is>
      </c>
      <c r="B12" s="27" t="inlineStr">
        <is>
          <t>Executive Skills Questionnaire - Revised (ESQ-R)</t>
        </is>
      </c>
      <c r="C12" s="27" t="inlineStr">
        <is>
          <t>1. Executive functioning and ADHD</t>
        </is>
      </c>
      <c r="D12" s="28" t="n">
        <v>11</v>
      </c>
      <c r="E12" s="27" t="inlineStr">
        <is>
          <t>I'm slow at getting ready for school, work, or appointments.</t>
        </is>
      </c>
      <c r="F12" s="27" t="inlineStr">
        <is>
          <t>Time Management</t>
        </is>
      </c>
      <c r="G12" s="27" t="inlineStr">
        <is>
          <t>FALSE</t>
        </is>
      </c>
      <c r="H12" s="27" t="inlineStr">
        <is>
          <t>FALSE</t>
        </is>
      </c>
      <c r="I12" s="27" t="inlineStr">
        <is>
          <t>Never or rarely = 0 | Sometimes = 1 | Often = 2 | Very often = 3</t>
        </is>
      </c>
      <c r="J12" s="27" t="n"/>
      <c r="K12" s="27" t="inlineStr">
        <is>
          <t>https://novopsych.com/assessments/formulation/executive-skills-questionnaire-revised-esq-r/</t>
        </is>
      </c>
    </row>
    <row r="13" ht="23.85" customHeight="1" s="17">
      <c r="A13" s="27" t="inlineStr">
        <is>
          <t>ESQ-R</t>
        </is>
      </c>
      <c r="B13" s="27" t="inlineStr">
        <is>
          <t>Executive Skills Questionnaire - Revised (ESQ-R)</t>
        </is>
      </c>
      <c r="C13" s="27" t="inlineStr">
        <is>
          <t>1. Executive functioning and ADHD</t>
        </is>
      </c>
      <c r="D13" s="28" t="n">
        <v>12</v>
      </c>
      <c r="E13" s="27" t="inlineStr">
        <is>
          <t>If the first solution to a problem doesn't work, I have trouble thinking of a different one.</t>
        </is>
      </c>
      <c r="F13" s="27" t="inlineStr">
        <is>
          <t>Plan Management</t>
        </is>
      </c>
      <c r="G13" s="27" t="inlineStr">
        <is>
          <t>FALSE</t>
        </is>
      </c>
      <c r="H13" s="27" t="inlineStr">
        <is>
          <t>FALSE</t>
        </is>
      </c>
      <c r="I13" s="27" t="inlineStr">
        <is>
          <t>Never or rarely = 0 | Sometimes = 1 | Often = 2 | Very often = 3</t>
        </is>
      </c>
      <c r="J13" s="27" t="n"/>
      <c r="K13" s="27" t="inlineStr">
        <is>
          <t>https://novopsych.com/assessments/formulation/executive-skills-questionnaire-revised-esq-r/</t>
        </is>
      </c>
    </row>
    <row r="14" ht="23.85" customHeight="1" s="17">
      <c r="A14" s="27" t="inlineStr">
        <is>
          <t>ESQ-R</t>
        </is>
      </c>
      <c r="B14" s="27" t="inlineStr">
        <is>
          <t>Executive Skills Questionnaire - Revised (ESQ-R)</t>
        </is>
      </c>
      <c r="C14" s="27" t="inlineStr">
        <is>
          <t>1. Executive functioning and ADHD</t>
        </is>
      </c>
      <c r="D14" s="28" t="n">
        <v>13</v>
      </c>
      <c r="E14" s="27" t="inlineStr">
        <is>
          <t>I skip checking my work for mistakes, even when the stakes are high.</t>
        </is>
      </c>
      <c r="F14" s="27" t="inlineStr">
        <is>
          <t>Plan Management</t>
        </is>
      </c>
      <c r="G14" s="27" t="inlineStr">
        <is>
          <t>FALSE</t>
        </is>
      </c>
      <c r="H14" s="27" t="inlineStr">
        <is>
          <t>FALSE</t>
        </is>
      </c>
      <c r="I14" s="27" t="inlineStr">
        <is>
          <t>Never or rarely = 0 | Sometimes = 1 | Often = 2 | Very often = 3</t>
        </is>
      </c>
      <c r="J14" s="27" t="n"/>
      <c r="K14" s="27" t="inlineStr">
        <is>
          <t>https://novopsych.com/assessments/formulation/executive-skills-questionnaire-revised-esq-r/</t>
        </is>
      </c>
    </row>
    <row r="15" ht="23.85" customHeight="1" s="17">
      <c r="A15" s="27" t="inlineStr">
        <is>
          <t>ESQ-R</t>
        </is>
      </c>
      <c r="B15" s="27" t="inlineStr">
        <is>
          <t>Executive Skills Questionnaire - Revised (ESQ-R)</t>
        </is>
      </c>
      <c r="C15" s="27" t="inlineStr">
        <is>
          <t>1. Executive functioning and ADHD</t>
        </is>
      </c>
      <c r="D15" s="28" t="n">
        <v>14</v>
      </c>
      <c r="E15" s="27" t="inlineStr">
        <is>
          <t>I get annoyed when tasks are too hard.</t>
        </is>
      </c>
      <c r="F15" s="27" t="inlineStr">
        <is>
          <t>Plan Management</t>
        </is>
      </c>
      <c r="G15" s="27" t="inlineStr">
        <is>
          <t>FALSE</t>
        </is>
      </c>
      <c r="H15" s="27" t="inlineStr">
        <is>
          <t>FALSE</t>
        </is>
      </c>
      <c r="I15" s="27" t="inlineStr">
        <is>
          <t>Never or rarely = 0 | Sometimes = 1 | Often = 2 | Very often = 3</t>
        </is>
      </c>
      <c r="J15" s="27" t="n"/>
      <c r="K15" s="27" t="inlineStr">
        <is>
          <t>https://novopsych.com/assessments/formulation/executive-skills-questionnaire-revised-esq-r/</t>
        </is>
      </c>
    </row>
    <row r="16" ht="23.85" customHeight="1" s="17">
      <c r="A16" s="27" t="inlineStr">
        <is>
          <t>ESQ-R</t>
        </is>
      </c>
      <c r="B16" s="27" t="inlineStr">
        <is>
          <t>Executive Skills Questionnaire - Revised (ESQ-R)</t>
        </is>
      </c>
      <c r="C16" s="27" t="inlineStr">
        <is>
          <t>1. Executive functioning and ADHD</t>
        </is>
      </c>
      <c r="D16" s="28" t="n">
        <v>15</v>
      </c>
      <c r="E16" s="27" t="inlineStr">
        <is>
          <t>It's hard for me to put aside fun activities to start things I know I need to do.</t>
        </is>
      </c>
      <c r="F16" s="27" t="inlineStr">
        <is>
          <t>Time Management</t>
        </is>
      </c>
      <c r="G16" s="27" t="inlineStr">
        <is>
          <t>FALSE</t>
        </is>
      </c>
      <c r="H16" s="27" t="inlineStr">
        <is>
          <t>FALSE</t>
        </is>
      </c>
      <c r="I16" s="27" t="inlineStr">
        <is>
          <t>Never or rarely = 0 | Sometimes = 1 | Often = 2 | Very often = 3</t>
        </is>
      </c>
      <c r="J16" s="27" t="n"/>
      <c r="K16" s="27" t="inlineStr">
        <is>
          <t>https://novopsych.com/assessments/formulation/executive-skills-questionnaire-revised-esq-r/</t>
        </is>
      </c>
    </row>
    <row r="17" ht="23.85" customHeight="1" s="17">
      <c r="A17" s="27" t="inlineStr">
        <is>
          <t>ESQ-R</t>
        </is>
      </c>
      <c r="B17" s="27" t="inlineStr">
        <is>
          <t>Executive Skills Questionnaire - Revised (ESQ-R)</t>
        </is>
      </c>
      <c r="C17" s="27" t="inlineStr">
        <is>
          <t>1. Executive functioning and ADHD</t>
        </is>
      </c>
      <c r="D17" s="28" t="n">
        <v>16</v>
      </c>
      <c r="E17" s="27" t="inlineStr">
        <is>
          <t>I have trouble with tasks where I have to come up with my own ideas.</t>
        </is>
      </c>
      <c r="F17" s="27" t="inlineStr">
        <is>
          <t>Plan Management</t>
        </is>
      </c>
      <c r="G17" s="27" t="inlineStr">
        <is>
          <t>FALSE</t>
        </is>
      </c>
      <c r="H17" s="27" t="inlineStr">
        <is>
          <t>FALSE</t>
        </is>
      </c>
      <c r="I17" s="27" t="inlineStr">
        <is>
          <t>Never or rarely = 0 | Sometimes = 1 | Often = 2 | Very often = 3</t>
        </is>
      </c>
      <c r="J17" s="27" t="n"/>
      <c r="K17" s="27" t="inlineStr">
        <is>
          <t>https://novopsych.com/assessments/formulation/executive-skills-questionnaire-revised-esq-r/</t>
        </is>
      </c>
    </row>
    <row r="18" ht="23.85" customHeight="1" s="17">
      <c r="A18" s="27" t="inlineStr">
        <is>
          <t>ESQ-R</t>
        </is>
      </c>
      <c r="B18" s="27" t="inlineStr">
        <is>
          <t>Executive Skills Questionnaire - Revised (ESQ-R)</t>
        </is>
      </c>
      <c r="C18" s="27" t="inlineStr">
        <is>
          <t>1. Executive functioning and ADHD</t>
        </is>
      </c>
      <c r="D18" s="28" t="n">
        <v>17</v>
      </c>
      <c r="E18" s="27" t="inlineStr">
        <is>
          <t>It's hard for me to tell how well I'm doing on a task.</t>
        </is>
      </c>
      <c r="F18" s="27" t="inlineStr">
        <is>
          <t>Plan Management</t>
        </is>
      </c>
      <c r="G18" s="27" t="inlineStr">
        <is>
          <t>FALSE</t>
        </is>
      </c>
      <c r="H18" s="27" t="inlineStr">
        <is>
          <t>FALSE</t>
        </is>
      </c>
      <c r="I18" s="27" t="inlineStr">
        <is>
          <t>Never or rarely = 0 | Sometimes = 1 | Often = 2 | Very often = 3</t>
        </is>
      </c>
      <c r="J18" s="27" t="n"/>
      <c r="K18" s="27" t="inlineStr">
        <is>
          <t>https://novopsych.com/assessments/formulation/executive-skills-questionnaire-revised-esq-r/</t>
        </is>
      </c>
    </row>
    <row r="19" ht="23.85" customHeight="1" s="17">
      <c r="A19" s="27" t="inlineStr">
        <is>
          <t>ESQ-R</t>
        </is>
      </c>
      <c r="B19" s="27" t="inlineStr">
        <is>
          <t>Executive Skills Questionnaire - Revised (ESQ-R)</t>
        </is>
      </c>
      <c r="C19" s="27" t="inlineStr">
        <is>
          <t>1. Executive functioning and ADHD</t>
        </is>
      </c>
      <c r="D19" s="28" t="n">
        <v>18</v>
      </c>
      <c r="E19" s="27" t="inlineStr">
        <is>
          <t>I have trouble reaching long-term goals.</t>
        </is>
      </c>
      <c r="F19" s="27" t="inlineStr">
        <is>
          <t>Plan Management</t>
        </is>
      </c>
      <c r="G19" s="27" t="inlineStr">
        <is>
          <t>FALSE</t>
        </is>
      </c>
      <c r="H19" s="27" t="inlineStr">
        <is>
          <t>FALSE</t>
        </is>
      </c>
      <c r="I19" s="27" t="inlineStr">
        <is>
          <t>Never or rarely = 0 | Sometimes = 1 | Often = 2 | Very often = 3</t>
        </is>
      </c>
      <c r="J19" s="27" t="n"/>
      <c r="K19" s="27" t="inlineStr">
        <is>
          <t>https://novopsych.com/assessments/formulation/executive-skills-questionnaire-revised-esq-r/</t>
        </is>
      </c>
    </row>
    <row r="20" ht="23.85" customHeight="1" s="17">
      <c r="A20" s="27" t="inlineStr">
        <is>
          <t>ESQ-R</t>
        </is>
      </c>
      <c r="B20" s="27" t="inlineStr">
        <is>
          <t>Executive Skills Questionnaire - Revised (ESQ-R)</t>
        </is>
      </c>
      <c r="C20" s="27" t="inlineStr">
        <is>
          <t>1. Executive functioning and ADHD</t>
        </is>
      </c>
      <c r="D20" s="28" t="n">
        <v>19</v>
      </c>
      <c r="E20" s="27" t="inlineStr">
        <is>
          <t>I "go with my gut" when making decisions.</t>
        </is>
      </c>
      <c r="F20" s="27" t="inlineStr">
        <is>
          <t>Behavioral Regulation</t>
        </is>
      </c>
      <c r="G20" s="27" t="inlineStr">
        <is>
          <t>FALSE</t>
        </is>
      </c>
      <c r="H20" s="27" t="inlineStr">
        <is>
          <t>FALSE</t>
        </is>
      </c>
      <c r="I20" s="27" t="inlineStr">
        <is>
          <t>Never or rarely = 0 | Sometimes = 1 | Often = 2 | Very often = 3</t>
        </is>
      </c>
      <c r="J20" s="27" t="n"/>
      <c r="K20" s="27" t="inlineStr">
        <is>
          <t>https://novopsych.com/assessments/formulation/executive-skills-questionnaire-revised-esq-r/</t>
        </is>
      </c>
    </row>
    <row r="21" ht="23.85" customHeight="1" s="17">
      <c r="A21" s="27" t="inlineStr">
        <is>
          <t>ESQ-R</t>
        </is>
      </c>
      <c r="B21" s="27" t="inlineStr">
        <is>
          <t>Executive Skills Questionnaire - Revised (ESQ-R)</t>
        </is>
      </c>
      <c r="C21" s="27" t="inlineStr">
        <is>
          <t>1. Executive functioning and ADHD</t>
        </is>
      </c>
      <c r="D21" s="28" t="n">
        <v>20</v>
      </c>
      <c r="E21" s="27" t="inlineStr">
        <is>
          <t>I get so wrapped up in what I'm doing that I forget about other things I need to do.</t>
        </is>
      </c>
      <c r="F21" s="27" t="inlineStr">
        <is>
          <t>Time Management</t>
        </is>
      </c>
      <c r="G21" s="27" t="inlineStr">
        <is>
          <t>FALSE</t>
        </is>
      </c>
      <c r="H21" s="27" t="inlineStr">
        <is>
          <t>FALSE</t>
        </is>
      </c>
      <c r="I21" s="27" t="inlineStr">
        <is>
          <t>Never or rarely = 0 | Sometimes = 1 | Often = 2 | Very often = 3</t>
        </is>
      </c>
      <c r="J21" s="27" t="n"/>
      <c r="K21" s="27" t="inlineStr">
        <is>
          <t>https://novopsych.com/assessments/formulation/executive-skills-questionnaire-revised-esq-r/</t>
        </is>
      </c>
    </row>
    <row r="22" ht="23.85" customHeight="1" s="17">
      <c r="A22" s="27" t="inlineStr">
        <is>
          <t>ESQ-R</t>
        </is>
      </c>
      <c r="B22" s="27" t="inlineStr">
        <is>
          <t>Executive Skills Questionnaire - Revised (ESQ-R)</t>
        </is>
      </c>
      <c r="C22" s="27" t="inlineStr">
        <is>
          <t>1. Executive functioning and ADHD</t>
        </is>
      </c>
      <c r="D22" s="28" t="n">
        <v>21</v>
      </c>
      <c r="E22" s="27" t="inlineStr">
        <is>
          <t>Little things frustrate me.</t>
        </is>
      </c>
      <c r="F22" s="27" t="inlineStr">
        <is>
          <t>Emotional Regulation</t>
        </is>
      </c>
      <c r="G22" s="27" t="inlineStr">
        <is>
          <t>FALSE</t>
        </is>
      </c>
      <c r="H22" s="27" t="inlineStr">
        <is>
          <t>FALSE</t>
        </is>
      </c>
      <c r="I22" s="27" t="inlineStr">
        <is>
          <t>Never or rarely = 0 | Sometimes = 1 | Often = 2 | Very often = 3</t>
        </is>
      </c>
      <c r="J22" s="27" t="n"/>
      <c r="K22" s="27" t="inlineStr">
        <is>
          <t>https://novopsych.com/assessments/formulation/executive-skills-questionnaire-revised-esq-r/</t>
        </is>
      </c>
    </row>
    <row r="23" ht="23.85" customHeight="1" s="17">
      <c r="A23" s="27" t="inlineStr">
        <is>
          <t>ESQ-R</t>
        </is>
      </c>
      <c r="B23" s="27" t="inlineStr">
        <is>
          <t>Executive Skills Questionnaire - Revised (ESQ-R)</t>
        </is>
      </c>
      <c r="C23" s="27" t="inlineStr">
        <is>
          <t>1. Executive functioning and ADHD</t>
        </is>
      </c>
      <c r="D23" s="28" t="n">
        <v>22</v>
      </c>
      <c r="E23" s="27" t="inlineStr">
        <is>
          <t>I have trouble getting back on track if I'm interrupted.</t>
        </is>
      </c>
      <c r="F23" s="27" t="inlineStr">
        <is>
          <t>Plan Management</t>
        </is>
      </c>
      <c r="G23" s="27" t="inlineStr">
        <is>
          <t>FALSE</t>
        </is>
      </c>
      <c r="H23" s="27" t="inlineStr">
        <is>
          <t>FALSE</t>
        </is>
      </c>
      <c r="I23" s="27" t="inlineStr">
        <is>
          <t>Never or rarely = 0 | Sometimes = 1 | Often = 2 | Very often = 3</t>
        </is>
      </c>
      <c r="J23" s="27" t="n"/>
      <c r="K23" s="27" t="inlineStr">
        <is>
          <t>https://novopsych.com/assessments/formulation/executive-skills-questionnaire-revised-esq-r/</t>
        </is>
      </c>
    </row>
    <row r="24" ht="23.85" customHeight="1" s="17">
      <c r="A24" s="27" t="inlineStr">
        <is>
          <t>ESQ-R</t>
        </is>
      </c>
      <c r="B24" s="27" t="inlineStr">
        <is>
          <t>Executive Skills Questionnaire - Revised (ESQ-R)</t>
        </is>
      </c>
      <c r="C24" s="27" t="inlineStr">
        <is>
          <t>1. Executive functioning and ADHD</t>
        </is>
      </c>
      <c r="D24" s="28" t="n">
        <v>23</v>
      </c>
      <c r="E24" s="27" t="inlineStr">
        <is>
          <t>I have trouble making a plan.</t>
        </is>
      </c>
      <c r="F24" s="27" t="inlineStr">
        <is>
          <t>Plan Management</t>
        </is>
      </c>
      <c r="G24" s="27" t="inlineStr">
        <is>
          <t>FALSE</t>
        </is>
      </c>
      <c r="H24" s="27" t="inlineStr">
        <is>
          <t>FALSE</t>
        </is>
      </c>
      <c r="I24" s="27" t="inlineStr">
        <is>
          <t>Never or rarely = 0 | Sometimes = 1 | Often = 2 | Very often = 3</t>
        </is>
      </c>
      <c r="J24" s="27" t="n"/>
      <c r="K24" s="27" t="inlineStr">
        <is>
          <t>https://novopsych.com/assessments/formulation/executive-skills-questionnaire-revised-esq-r/</t>
        </is>
      </c>
    </row>
    <row r="25" ht="23.85" customHeight="1" s="17">
      <c r="A25" s="27" t="inlineStr">
        <is>
          <t>ESQ-R</t>
        </is>
      </c>
      <c r="B25" s="27" t="inlineStr">
        <is>
          <t>Executive Skills Questionnaire - Revised (ESQ-R)</t>
        </is>
      </c>
      <c r="C25" s="27" t="inlineStr">
        <is>
          <t>1. Executive functioning and ADHD</t>
        </is>
      </c>
      <c r="D25" s="28" t="n">
        <v>24</v>
      </c>
      <c r="E25" s="27" t="inlineStr">
        <is>
          <t>I miss the big picture.</t>
        </is>
      </c>
      <c r="F25" s="27" t="inlineStr">
        <is>
          <t>Plan Management</t>
        </is>
      </c>
      <c r="G25" s="27" t="inlineStr">
        <is>
          <t>FALSE</t>
        </is>
      </c>
      <c r="H25" s="27" t="inlineStr">
        <is>
          <t>FALSE</t>
        </is>
      </c>
      <c r="I25" s="27" t="inlineStr">
        <is>
          <t>Never or rarely = 0 | Sometimes = 1 | Often = 2 | Very often = 3</t>
        </is>
      </c>
      <c r="J25" s="27" t="n"/>
      <c r="K25" s="27" t="inlineStr">
        <is>
          <t>https://novopsych.com/assessments/formulation/executive-skills-questionnaire-revised-esq-r/</t>
        </is>
      </c>
    </row>
    <row r="26" ht="23.85" customHeight="1" s="17">
      <c r="A26" s="27" t="inlineStr">
        <is>
          <t>ESQ-R</t>
        </is>
      </c>
      <c r="B26" s="27" t="inlineStr">
        <is>
          <t>Executive Skills Questionnaire - Revised (ESQ-R)</t>
        </is>
      </c>
      <c r="C26" s="27" t="inlineStr">
        <is>
          <t>1. Executive functioning and ADHD</t>
        </is>
      </c>
      <c r="D26" s="28" t="n">
        <v>25</v>
      </c>
      <c r="E26" s="27" t="inlineStr">
        <is>
          <t>I live for the moment.</t>
        </is>
      </c>
      <c r="F26" s="27" t="inlineStr">
        <is>
          <t>Behavioral Regulation</t>
        </is>
      </c>
      <c r="G26" s="27" t="inlineStr">
        <is>
          <t>FALSE</t>
        </is>
      </c>
      <c r="H26" s="27" t="inlineStr">
        <is>
          <t>FALSE</t>
        </is>
      </c>
      <c r="I26" s="27" t="inlineStr">
        <is>
          <t>Never or rarely = 0 | Sometimes = 1 | Often = 2 | Very often = 3</t>
        </is>
      </c>
      <c r="J26" s="27" t="n"/>
      <c r="K26" s="27" t="inlineStr">
        <is>
          <t>https://novopsych.com/assessments/formulation/executive-skills-questionnaire-revised-esq-r/</t>
        </is>
      </c>
    </row>
    <row r="27" ht="35.05" customHeight="1" s="17">
      <c r="A27" s="27" t="inlineStr">
        <is>
          <t>CFI</t>
        </is>
      </c>
      <c r="B27" s="27" t="inlineStr">
        <is>
          <t>Cognitive Flexibility Inventory (CFI)</t>
        </is>
      </c>
      <c r="C27" s="27" t="inlineStr">
        <is>
          <t>1. Executive functioning and ADHD</t>
        </is>
      </c>
      <c r="D27" s="28" t="n">
        <v>1</v>
      </c>
      <c r="E27" s="27" t="inlineStr">
        <is>
          <t>I am good at "sizing up" situations.</t>
        </is>
      </c>
      <c r="F27" s="27" t="inlineStr">
        <is>
          <t>Alternatives</t>
        </is>
      </c>
      <c r="G27" s="27" t="inlineStr">
        <is>
          <t>FALSE</t>
        </is>
      </c>
      <c r="H27" s="27" t="inlineStr">
        <is>
          <t>FALSE</t>
        </is>
      </c>
      <c r="I27" s="27" t="inlineStr">
        <is>
          <t>Strongly disagree = 1 | Disagree = 2 | Somewhat disagree = 3 | Neutral = 4 | Somewhat agree = 5 | Agree = 6 | Strongly agree = 7</t>
        </is>
      </c>
      <c r="J27" s="27" t="n"/>
      <c r="K27" s="27" t="inlineStr">
        <is>
          <t>https://novopsych.com/assessments/formulation/cognitive-flexibility-inventory-cfi/</t>
        </is>
      </c>
    </row>
    <row r="28" ht="35.05" customHeight="1" s="17">
      <c r="A28" s="27" t="inlineStr">
        <is>
          <t>CFI</t>
        </is>
      </c>
      <c r="B28" s="27" t="inlineStr">
        <is>
          <t>Cognitive Flexibility Inventory (CFI)</t>
        </is>
      </c>
      <c r="C28" s="27" t="inlineStr">
        <is>
          <t>1. Executive functioning and ADHD</t>
        </is>
      </c>
      <c r="D28" s="28" t="n">
        <v>2</v>
      </c>
      <c r="E28" s="27" t="inlineStr">
        <is>
          <t>I have a hard time making decisions when faced with difficult situations.</t>
        </is>
      </c>
      <c r="F28" s="27" t="inlineStr">
        <is>
          <t>Control</t>
        </is>
      </c>
      <c r="G28" s="34" t="inlineStr">
        <is>
          <t>TRUE</t>
        </is>
      </c>
      <c r="H28" s="27" t="inlineStr">
        <is>
          <t>FALSE</t>
        </is>
      </c>
      <c r="I28" s="27" t="inlineStr">
        <is>
          <t>Strongly disagree = 1 | Disagree = 2 | Somewhat disagree = 3 | Neutral = 4 | Somewhat agree = 5 | Agree = 6 | Strongly agree = 7</t>
        </is>
      </c>
      <c r="J28" s="27" t="n"/>
      <c r="K28" s="27" t="inlineStr">
        <is>
          <t>https://novopsych.com/assessments/formulation/cognitive-flexibility-inventory-cfi/</t>
        </is>
      </c>
    </row>
    <row r="29" ht="35.05" customHeight="1" s="17">
      <c r="A29" s="27" t="inlineStr">
        <is>
          <t>CFI</t>
        </is>
      </c>
      <c r="B29" s="27" t="inlineStr">
        <is>
          <t>Cognitive Flexibility Inventory (CFI)</t>
        </is>
      </c>
      <c r="C29" s="27" t="inlineStr">
        <is>
          <t>1. Executive functioning and ADHD</t>
        </is>
      </c>
      <c r="D29" s="28" t="n">
        <v>3</v>
      </c>
      <c r="E29" s="27" t="inlineStr">
        <is>
          <t>I consider multiple options before making a decision.</t>
        </is>
      </c>
      <c r="F29" s="27" t="inlineStr">
        <is>
          <t>Alternatives</t>
        </is>
      </c>
      <c r="G29" s="27" t="inlineStr">
        <is>
          <t>FALSE</t>
        </is>
      </c>
      <c r="H29" s="27" t="inlineStr">
        <is>
          <t>FALSE</t>
        </is>
      </c>
      <c r="I29" s="27" t="inlineStr">
        <is>
          <t>Strongly disagree = 1 | Disagree = 2 | Somewhat disagree = 3 | Neutral = 4 | Somewhat agree = 5 | Agree = 6 | Strongly agree = 7</t>
        </is>
      </c>
      <c r="J29" s="27" t="n"/>
      <c r="K29" s="27" t="inlineStr">
        <is>
          <t>https://novopsych.com/assessments/formulation/cognitive-flexibility-inventory-cfi/</t>
        </is>
      </c>
    </row>
    <row r="30" ht="35.05" customHeight="1" s="17">
      <c r="A30" s="27" t="inlineStr">
        <is>
          <t>CFI</t>
        </is>
      </c>
      <c r="B30" s="27" t="inlineStr">
        <is>
          <t>Cognitive Flexibility Inventory (CFI)</t>
        </is>
      </c>
      <c r="C30" s="27" t="inlineStr">
        <is>
          <t>1. Executive functioning and ADHD</t>
        </is>
      </c>
      <c r="D30" s="28" t="n">
        <v>4</v>
      </c>
      <c r="E30" s="27" t="inlineStr">
        <is>
          <t>When I encounter difficult situations, I feel like I am losing control.</t>
        </is>
      </c>
      <c r="F30" s="27" t="inlineStr">
        <is>
          <t>Control</t>
        </is>
      </c>
      <c r="G30" s="34" t="inlineStr">
        <is>
          <t>TRUE</t>
        </is>
      </c>
      <c r="H30" s="27" t="inlineStr">
        <is>
          <t>FALSE</t>
        </is>
      </c>
      <c r="I30" s="27" t="inlineStr">
        <is>
          <t>Strongly disagree = 1 | Disagree = 2 | Somewhat disagree = 3 | Neutral = 4 | Somewhat agree = 5 | Agree = 6 | Strongly agree = 7</t>
        </is>
      </c>
      <c r="J30" s="27" t="n"/>
      <c r="K30" s="27" t="inlineStr">
        <is>
          <t>https://novopsych.com/assessments/formulation/cognitive-flexibility-inventory-cfi/</t>
        </is>
      </c>
    </row>
    <row r="31" ht="35.05" customHeight="1" s="17">
      <c r="A31" s="27" t="inlineStr">
        <is>
          <t>CFI</t>
        </is>
      </c>
      <c r="B31" s="27" t="inlineStr">
        <is>
          <t>Cognitive Flexibility Inventory (CFI)</t>
        </is>
      </c>
      <c r="C31" s="27" t="inlineStr">
        <is>
          <t>1. Executive functioning and ADHD</t>
        </is>
      </c>
      <c r="D31" s="28" t="n">
        <v>5</v>
      </c>
      <c r="E31" s="27" t="inlineStr">
        <is>
          <t>I like to look at difficult situations from many different angles.</t>
        </is>
      </c>
      <c r="F31" s="27" t="inlineStr">
        <is>
          <t>Alternatives</t>
        </is>
      </c>
      <c r="G31" s="27" t="inlineStr">
        <is>
          <t>FALSE</t>
        </is>
      </c>
      <c r="H31" s="27" t="inlineStr">
        <is>
          <t>FALSE</t>
        </is>
      </c>
      <c r="I31" s="27" t="inlineStr">
        <is>
          <t>Strongly disagree = 1 | Disagree = 2 | Somewhat disagree = 3 | Neutral = 4 | Somewhat agree = 5 | Agree = 6 | Strongly agree = 7</t>
        </is>
      </c>
      <c r="J31" s="27" t="n"/>
      <c r="K31" s="27" t="inlineStr">
        <is>
          <t>https://novopsych.com/assessments/formulation/cognitive-flexibility-inventory-cfi/</t>
        </is>
      </c>
    </row>
    <row r="32" ht="35.05" customHeight="1" s="17">
      <c r="A32" s="27" t="inlineStr">
        <is>
          <t>CFI</t>
        </is>
      </c>
      <c r="B32" s="27" t="inlineStr">
        <is>
          <t>Cognitive Flexibility Inventory (CFI)</t>
        </is>
      </c>
      <c r="C32" s="27" t="inlineStr">
        <is>
          <t>1. Executive functioning and ADHD</t>
        </is>
      </c>
      <c r="D32" s="28" t="n">
        <v>6</v>
      </c>
      <c r="E32" s="27" t="inlineStr">
        <is>
          <t>I seek additional information not immediately available before attributing causes to behaviour.</t>
        </is>
      </c>
      <c r="F32" s="27" t="inlineStr">
        <is>
          <t>Alternatives</t>
        </is>
      </c>
      <c r="G32" s="27" t="inlineStr">
        <is>
          <t>FALSE</t>
        </is>
      </c>
      <c r="H32" s="27" t="inlineStr">
        <is>
          <t>FALSE</t>
        </is>
      </c>
      <c r="I32" s="27" t="inlineStr">
        <is>
          <t>Strongly disagree = 1 | Disagree = 2 | Somewhat disagree = 3 | Neutral = 4 | Somewhat agree = 5 | Agree = 6 | Strongly agree = 7</t>
        </is>
      </c>
      <c r="J32" s="27" t="n"/>
      <c r="K32" s="27" t="inlineStr">
        <is>
          <t>https://novopsych.com/assessments/formulation/cognitive-flexibility-inventory-cfi/</t>
        </is>
      </c>
    </row>
    <row r="33" ht="35.05" customHeight="1" s="17">
      <c r="A33" s="27" t="inlineStr">
        <is>
          <t>CFI</t>
        </is>
      </c>
      <c r="B33" s="27" t="inlineStr">
        <is>
          <t>Cognitive Flexibility Inventory (CFI)</t>
        </is>
      </c>
      <c r="C33" s="27" t="inlineStr">
        <is>
          <t>1. Executive functioning and ADHD</t>
        </is>
      </c>
      <c r="D33" s="28" t="n">
        <v>7</v>
      </c>
      <c r="E33" s="27" t="inlineStr">
        <is>
          <t>When encountering difficult situations, I become so stressed that I can not think of a way to resolve the situation.</t>
        </is>
      </c>
      <c r="F33" s="27" t="inlineStr">
        <is>
          <t>Control</t>
        </is>
      </c>
      <c r="G33" s="34" t="inlineStr">
        <is>
          <t>TRUE</t>
        </is>
      </c>
      <c r="H33" s="27" t="inlineStr">
        <is>
          <t>FALSE</t>
        </is>
      </c>
      <c r="I33" s="27" t="inlineStr">
        <is>
          <t>Strongly disagree = 1 | Disagree = 2 | Somewhat disagree = 3 | Neutral = 4 | Somewhat agree = 5 | Agree = 6 | Strongly agree = 7</t>
        </is>
      </c>
      <c r="J33" s="27" t="n"/>
      <c r="K33" s="27" t="inlineStr">
        <is>
          <t>https://novopsych.com/assessments/formulation/cognitive-flexibility-inventory-cfi/</t>
        </is>
      </c>
    </row>
    <row r="34" ht="35.05" customHeight="1" s="17">
      <c r="A34" s="27" t="inlineStr">
        <is>
          <t>CFI</t>
        </is>
      </c>
      <c r="B34" s="27" t="inlineStr">
        <is>
          <t>Cognitive Flexibility Inventory (CFI)</t>
        </is>
      </c>
      <c r="C34" s="27" t="inlineStr">
        <is>
          <t>1. Executive functioning and ADHD</t>
        </is>
      </c>
      <c r="D34" s="28" t="n">
        <v>8</v>
      </c>
      <c r="E34" s="27" t="inlineStr">
        <is>
          <t>I try to think about things from another person's point of view.</t>
        </is>
      </c>
      <c r="F34" s="27" t="inlineStr">
        <is>
          <t>Alternatives</t>
        </is>
      </c>
      <c r="G34" s="27" t="inlineStr">
        <is>
          <t>FALSE</t>
        </is>
      </c>
      <c r="H34" s="27" t="inlineStr">
        <is>
          <t>FALSE</t>
        </is>
      </c>
      <c r="I34" s="27" t="inlineStr">
        <is>
          <t>Strongly disagree = 1 | Disagree = 2 | Somewhat disagree = 3 | Neutral = 4 | Somewhat agree = 5 | Agree = 6 | Strongly agree = 7</t>
        </is>
      </c>
      <c r="J34" s="27" t="n"/>
      <c r="K34" s="27" t="inlineStr">
        <is>
          <t>https://novopsych.com/assessments/formulation/cognitive-flexibility-inventory-cfi/</t>
        </is>
      </c>
    </row>
    <row r="35" ht="35.05" customHeight="1" s="17">
      <c r="A35" s="27" t="inlineStr">
        <is>
          <t>CFI</t>
        </is>
      </c>
      <c r="B35" s="27" t="inlineStr">
        <is>
          <t>Cognitive Flexibility Inventory (CFI)</t>
        </is>
      </c>
      <c r="C35" s="27" t="inlineStr">
        <is>
          <t>1. Executive functioning and ADHD</t>
        </is>
      </c>
      <c r="D35" s="28" t="n">
        <v>9</v>
      </c>
      <c r="E35" s="27" t="inlineStr">
        <is>
          <t>I find it troublesome that there are so many different ways to deal with difficult situations.</t>
        </is>
      </c>
      <c r="F35" s="27" t="inlineStr">
        <is>
          <t>Control</t>
        </is>
      </c>
      <c r="G35" s="34" t="inlineStr">
        <is>
          <t>TRUE</t>
        </is>
      </c>
      <c r="H35" s="27" t="inlineStr">
        <is>
          <t>FALSE</t>
        </is>
      </c>
      <c r="I35" s="27" t="inlineStr">
        <is>
          <t>Strongly disagree = 1 | Disagree = 2 | Somewhat disagree = 3 | Neutral = 4 | Somewhat agree = 5 | Agree = 6 | Strongly agree = 7</t>
        </is>
      </c>
      <c r="J35" s="27" t="n"/>
      <c r="K35" s="27" t="inlineStr">
        <is>
          <t>https://novopsych.com/assessments/formulation/cognitive-flexibility-inventory-cfi/</t>
        </is>
      </c>
    </row>
    <row r="36" ht="35.05" customHeight="1" s="17">
      <c r="A36" s="27" t="inlineStr">
        <is>
          <t>CFI</t>
        </is>
      </c>
      <c r="B36" s="27" t="inlineStr">
        <is>
          <t>Cognitive Flexibility Inventory (CFI)</t>
        </is>
      </c>
      <c r="C36" s="27" t="inlineStr">
        <is>
          <t>1. Executive functioning and ADHD</t>
        </is>
      </c>
      <c r="D36" s="28" t="n">
        <v>10</v>
      </c>
      <c r="E36" s="27" t="inlineStr">
        <is>
          <t>I am good at putting myself in others' shoes.</t>
        </is>
      </c>
      <c r="F36" s="27" t="inlineStr">
        <is>
          <t>Alternatives</t>
        </is>
      </c>
      <c r="G36" s="27" t="inlineStr">
        <is>
          <t>FALSE</t>
        </is>
      </c>
      <c r="H36" s="27" t="inlineStr">
        <is>
          <t>FALSE</t>
        </is>
      </c>
      <c r="I36" s="27" t="inlineStr">
        <is>
          <t>Strongly disagree = 1 | Disagree = 2 | Somewhat disagree = 3 | Neutral = 4 | Somewhat agree = 5 | Agree = 6 | Strongly agree = 7</t>
        </is>
      </c>
      <c r="J36" s="27" t="n"/>
      <c r="K36" s="27" t="inlineStr">
        <is>
          <t>https://novopsych.com/assessments/formulation/cognitive-flexibility-inventory-cfi/</t>
        </is>
      </c>
    </row>
    <row r="37" ht="35.05" customHeight="1" s="17">
      <c r="A37" s="27" t="inlineStr">
        <is>
          <t>CFI</t>
        </is>
      </c>
      <c r="B37" s="27" t="inlineStr">
        <is>
          <t>Cognitive Flexibility Inventory (CFI)</t>
        </is>
      </c>
      <c r="C37" s="27" t="inlineStr">
        <is>
          <t>1. Executive functioning and ADHD</t>
        </is>
      </c>
      <c r="D37" s="28" t="n">
        <v>11</v>
      </c>
      <c r="E37" s="27" t="inlineStr">
        <is>
          <t>When I encounter difficult situations, I just don't know what to do.</t>
        </is>
      </c>
      <c r="F37" s="27" t="inlineStr">
        <is>
          <t>Control</t>
        </is>
      </c>
      <c r="G37" s="34" t="inlineStr">
        <is>
          <t>TRUE</t>
        </is>
      </c>
      <c r="H37" s="27" t="inlineStr">
        <is>
          <t>FALSE</t>
        </is>
      </c>
      <c r="I37" s="27" t="inlineStr">
        <is>
          <t>Strongly disagree = 1 | Disagree = 2 | Somewhat disagree = 3 | Neutral = 4 | Somewhat agree = 5 | Agree = 6 | Strongly agree = 7</t>
        </is>
      </c>
      <c r="J37" s="27" t="n"/>
      <c r="K37" s="27" t="inlineStr">
        <is>
          <t>https://novopsych.com/assessments/formulation/cognitive-flexibility-inventory-cfi/</t>
        </is>
      </c>
    </row>
    <row r="38" ht="35.05" customHeight="1" s="17">
      <c r="A38" s="27" t="inlineStr">
        <is>
          <t>CFI</t>
        </is>
      </c>
      <c r="B38" s="27" t="inlineStr">
        <is>
          <t>Cognitive Flexibility Inventory (CFI)</t>
        </is>
      </c>
      <c r="C38" s="27" t="inlineStr">
        <is>
          <t>1. Executive functioning and ADHD</t>
        </is>
      </c>
      <c r="D38" s="28" t="n">
        <v>12</v>
      </c>
      <c r="E38" s="27" t="inlineStr">
        <is>
          <t>It is important to look at difficult situations from many angles.</t>
        </is>
      </c>
      <c r="F38" s="27" t="inlineStr">
        <is>
          <t>Alternatives</t>
        </is>
      </c>
      <c r="G38" s="27" t="inlineStr">
        <is>
          <t>FALSE</t>
        </is>
      </c>
      <c r="H38" s="27" t="inlineStr">
        <is>
          <t>FALSE</t>
        </is>
      </c>
      <c r="I38" s="27" t="inlineStr">
        <is>
          <t>Strongly disagree = 1 | Disagree = 2 | Somewhat disagree = 3 | Neutral = 4 | Somewhat agree = 5 | Agree = 6 | Strongly agree = 7</t>
        </is>
      </c>
      <c r="J38" s="27" t="n"/>
      <c r="K38" s="27" t="inlineStr">
        <is>
          <t>https://novopsych.com/assessments/formulation/cognitive-flexibility-inventory-cfi/</t>
        </is>
      </c>
    </row>
    <row r="39" ht="35.05" customHeight="1" s="17">
      <c r="A39" s="27" t="inlineStr">
        <is>
          <t>CFI</t>
        </is>
      </c>
      <c r="B39" s="27" t="inlineStr">
        <is>
          <t>Cognitive Flexibility Inventory (CFI)</t>
        </is>
      </c>
      <c r="C39" s="27" t="inlineStr">
        <is>
          <t>1. Executive functioning and ADHD</t>
        </is>
      </c>
      <c r="D39" s="28" t="n">
        <v>13</v>
      </c>
      <c r="E39" s="27" t="inlineStr">
        <is>
          <t>When in difficult situations, I consider multiple options before deciding how to behave.</t>
        </is>
      </c>
      <c r="F39" s="27" t="inlineStr">
        <is>
          <t>Alternatives</t>
        </is>
      </c>
      <c r="G39" s="27" t="inlineStr">
        <is>
          <t>FALSE</t>
        </is>
      </c>
      <c r="H39" s="27" t="inlineStr">
        <is>
          <t>FALSE</t>
        </is>
      </c>
      <c r="I39" s="27" t="inlineStr">
        <is>
          <t>Strongly disagree = 1 | Disagree = 2 | Somewhat disagree = 3 | Neutral = 4 | Somewhat agree = 5 | Agree = 6 | Strongly agree = 7</t>
        </is>
      </c>
      <c r="J39" s="27" t="n"/>
      <c r="K39" s="27" t="inlineStr">
        <is>
          <t>https://novopsych.com/assessments/formulation/cognitive-flexibility-inventory-cfi/</t>
        </is>
      </c>
    </row>
    <row r="40" ht="35.05" customHeight="1" s="17">
      <c r="A40" s="27" t="inlineStr">
        <is>
          <t>CFI</t>
        </is>
      </c>
      <c r="B40" s="27" t="inlineStr">
        <is>
          <t>Cognitive Flexibility Inventory (CFI)</t>
        </is>
      </c>
      <c r="C40" s="27" t="inlineStr">
        <is>
          <t>1. Executive functioning and ADHD</t>
        </is>
      </c>
      <c r="D40" s="28" t="n">
        <v>14</v>
      </c>
      <c r="E40" s="27" t="inlineStr">
        <is>
          <t>I often look at a situation from different view-points.</t>
        </is>
      </c>
      <c r="F40" s="27" t="inlineStr">
        <is>
          <t>Alternatives</t>
        </is>
      </c>
      <c r="G40" s="27" t="inlineStr">
        <is>
          <t>FALSE</t>
        </is>
      </c>
      <c r="H40" s="27" t="inlineStr">
        <is>
          <t>FALSE</t>
        </is>
      </c>
      <c r="I40" s="27" t="inlineStr">
        <is>
          <t>Strongly disagree = 1 | Disagree = 2 | Somewhat disagree = 3 | Neutral = 4 | Somewhat agree = 5 | Agree = 6 | Strongly agree = 7</t>
        </is>
      </c>
      <c r="J40" s="27" t="n"/>
      <c r="K40" s="27" t="inlineStr">
        <is>
          <t>https://novopsych.com/assessments/formulation/cognitive-flexibility-inventory-cfi/</t>
        </is>
      </c>
    </row>
    <row r="41" ht="35.05" customHeight="1" s="17">
      <c r="A41" s="27" t="inlineStr">
        <is>
          <t>CFI</t>
        </is>
      </c>
      <c r="B41" s="27" t="inlineStr">
        <is>
          <t>Cognitive Flexibility Inventory (CFI)</t>
        </is>
      </c>
      <c r="C41" s="27" t="inlineStr">
        <is>
          <t>1. Executive functioning and ADHD</t>
        </is>
      </c>
      <c r="D41" s="28" t="n">
        <v>15</v>
      </c>
      <c r="E41" s="27" t="inlineStr">
        <is>
          <t>I am capable of overcoming the difficulties in life that I face.</t>
        </is>
      </c>
      <c r="F41" s="27" t="inlineStr">
        <is>
          <t>Control</t>
        </is>
      </c>
      <c r="G41" s="27" t="inlineStr">
        <is>
          <t>FALSE</t>
        </is>
      </c>
      <c r="H41" s="27" t="inlineStr">
        <is>
          <t>FALSE</t>
        </is>
      </c>
      <c r="I41" s="27" t="inlineStr">
        <is>
          <t>Strongly disagree = 1 | Disagree = 2 | Somewhat disagree = 3 | Neutral = 4 | Somewhat agree = 5 | Agree = 6 | Strongly agree = 7</t>
        </is>
      </c>
      <c r="J41" s="27" t="n"/>
      <c r="K41" s="27" t="inlineStr">
        <is>
          <t>https://novopsych.com/assessments/formulation/cognitive-flexibility-inventory-cfi/</t>
        </is>
      </c>
    </row>
    <row r="42" ht="35.05" customHeight="1" s="17">
      <c r="A42" s="27" t="inlineStr">
        <is>
          <t>CFI</t>
        </is>
      </c>
      <c r="B42" s="27" t="inlineStr">
        <is>
          <t>Cognitive Flexibility Inventory (CFI)</t>
        </is>
      </c>
      <c r="C42" s="27" t="inlineStr">
        <is>
          <t>1. Executive functioning and ADHD</t>
        </is>
      </c>
      <c r="D42" s="28" t="n">
        <v>16</v>
      </c>
      <c r="E42" s="27" t="inlineStr">
        <is>
          <t>I consider all the available facts and information when attributing causes to behaviour.</t>
        </is>
      </c>
      <c r="F42" s="27" t="inlineStr">
        <is>
          <t>Alternatives</t>
        </is>
      </c>
      <c r="G42" s="27" t="inlineStr">
        <is>
          <t>FALSE</t>
        </is>
      </c>
      <c r="H42" s="27" t="inlineStr">
        <is>
          <t>FALSE</t>
        </is>
      </c>
      <c r="I42" s="27" t="inlineStr">
        <is>
          <t>Strongly disagree = 1 | Disagree = 2 | Somewhat disagree = 3 | Neutral = 4 | Somewhat agree = 5 | Agree = 6 | Strongly agree = 7</t>
        </is>
      </c>
      <c r="J42" s="27" t="n"/>
      <c r="K42" s="27" t="inlineStr">
        <is>
          <t>https://novopsych.com/assessments/formulation/cognitive-flexibility-inventory-cfi/</t>
        </is>
      </c>
    </row>
    <row r="43" ht="35.05" customHeight="1" s="17">
      <c r="A43" s="27" t="inlineStr">
        <is>
          <t>CFI</t>
        </is>
      </c>
      <c r="B43" s="27" t="inlineStr">
        <is>
          <t>Cognitive Flexibility Inventory (CFI)</t>
        </is>
      </c>
      <c r="C43" s="27" t="inlineStr">
        <is>
          <t>1. Executive functioning and ADHD</t>
        </is>
      </c>
      <c r="D43" s="28" t="n">
        <v>17</v>
      </c>
      <c r="E43" s="27" t="inlineStr">
        <is>
          <t>I feel I have no power to change things in difficult situations.</t>
        </is>
      </c>
      <c r="F43" s="27" t="inlineStr">
        <is>
          <t>Control</t>
        </is>
      </c>
      <c r="G43" s="34" t="inlineStr">
        <is>
          <t>TRUE</t>
        </is>
      </c>
      <c r="H43" s="27" t="inlineStr">
        <is>
          <t>FALSE</t>
        </is>
      </c>
      <c r="I43" s="27" t="inlineStr">
        <is>
          <t>Strongly disagree = 1 | Disagree = 2 | Somewhat disagree = 3 | Neutral = 4 | Somewhat agree = 5 | Agree = 6 | Strongly agree = 7</t>
        </is>
      </c>
      <c r="J43" s="27" t="n"/>
      <c r="K43" s="27" t="inlineStr">
        <is>
          <t>https://novopsych.com/assessments/formulation/cognitive-flexibility-inventory-cfi/</t>
        </is>
      </c>
    </row>
    <row r="44" ht="35.05" customHeight="1" s="17">
      <c r="A44" s="27" t="inlineStr">
        <is>
          <t>CFI</t>
        </is>
      </c>
      <c r="B44" s="27" t="inlineStr">
        <is>
          <t>Cognitive Flexibility Inventory (CFI)</t>
        </is>
      </c>
      <c r="C44" s="27" t="inlineStr">
        <is>
          <t>1. Executive functioning and ADHD</t>
        </is>
      </c>
      <c r="D44" s="28" t="n">
        <v>18</v>
      </c>
      <c r="E44" s="27" t="inlineStr">
        <is>
          <t>When I encounter difficult situations, I stop and try to think of several ways to resolve it.</t>
        </is>
      </c>
      <c r="F44" s="27" t="inlineStr">
        <is>
          <t>Alternatives</t>
        </is>
      </c>
      <c r="G44" s="27" t="inlineStr">
        <is>
          <t>FALSE</t>
        </is>
      </c>
      <c r="H44" s="27" t="inlineStr">
        <is>
          <t>FALSE</t>
        </is>
      </c>
      <c r="I44" s="27" t="inlineStr">
        <is>
          <t>Strongly disagree = 1 | Disagree = 2 | Somewhat disagree = 3 | Neutral = 4 | Somewhat agree = 5 | Agree = 6 | Strongly agree = 7</t>
        </is>
      </c>
      <c r="J44" s="27" t="n"/>
      <c r="K44" s="27" t="inlineStr">
        <is>
          <t>https://novopsych.com/assessments/formulation/cognitive-flexibility-inventory-cfi/</t>
        </is>
      </c>
    </row>
    <row r="45" ht="35.05" customHeight="1" s="17">
      <c r="A45" s="27" t="inlineStr">
        <is>
          <t>CFI</t>
        </is>
      </c>
      <c r="B45" s="27" t="inlineStr">
        <is>
          <t>Cognitive Flexibility Inventory (CFI)</t>
        </is>
      </c>
      <c r="C45" s="27" t="inlineStr">
        <is>
          <t>1. Executive functioning and ADHD</t>
        </is>
      </c>
      <c r="D45" s="28" t="n">
        <v>19</v>
      </c>
      <c r="E45" s="27" t="inlineStr">
        <is>
          <t>I can think of more than one way to resolve a difficult situation I'm confronted with.</t>
        </is>
      </c>
      <c r="F45" s="27" t="inlineStr">
        <is>
          <t>Alternatives</t>
        </is>
      </c>
      <c r="G45" s="27" t="inlineStr">
        <is>
          <t>FALSE</t>
        </is>
      </c>
      <c r="H45" s="27" t="inlineStr">
        <is>
          <t>FALSE</t>
        </is>
      </c>
      <c r="I45" s="27" t="inlineStr">
        <is>
          <t>Strongly disagree = 1 | Disagree = 2 | Somewhat disagree = 3 | Neutral = 4 | Somewhat agree = 5 | Agree = 6 | Strongly agree = 7</t>
        </is>
      </c>
      <c r="J45" s="27" t="n"/>
      <c r="K45" s="27" t="inlineStr">
        <is>
          <t>https://novopsych.com/assessments/formulation/cognitive-flexibility-inventory-cfi/</t>
        </is>
      </c>
    </row>
    <row r="46" ht="35.05" customHeight="1" s="17">
      <c r="A46" s="27" t="inlineStr">
        <is>
          <t>CFI</t>
        </is>
      </c>
      <c r="B46" s="27" t="inlineStr">
        <is>
          <t>Cognitive Flexibility Inventory (CFI)</t>
        </is>
      </c>
      <c r="C46" s="27" t="inlineStr">
        <is>
          <t>1. Executive functioning and ADHD</t>
        </is>
      </c>
      <c r="D46" s="28" t="n">
        <v>20</v>
      </c>
      <c r="E46" s="27" t="inlineStr">
        <is>
          <t>I consider multiple options before responding to difficult situations.</t>
        </is>
      </c>
      <c r="F46" s="27" t="inlineStr">
        <is>
          <t>Alternatives</t>
        </is>
      </c>
      <c r="G46" s="27" t="inlineStr">
        <is>
          <t>FALSE</t>
        </is>
      </c>
      <c r="H46" s="27" t="inlineStr">
        <is>
          <t>FALSE</t>
        </is>
      </c>
      <c r="I46" s="27" t="inlineStr">
        <is>
          <t>Strongly disagree = 1 | Disagree = 2 | Somewhat disagree = 3 | Neutral = 4 | Somewhat agree = 5 | Agree = 6 | Strongly agree = 7</t>
        </is>
      </c>
      <c r="J46" s="27" t="n"/>
      <c r="K46" s="27" t="inlineStr">
        <is>
          <t>https://novopsych.com/assessments/formulation/cognitive-flexibility-inventory-cfi/</t>
        </is>
      </c>
    </row>
    <row r="47" ht="23.85" customHeight="1" s="17">
      <c r="A47" s="27" t="inlineStr">
        <is>
          <t>ASRS</t>
        </is>
      </c>
      <c r="B47" s="27" t="inlineStr">
        <is>
          <t>Adult ADHD Self-Report Scale (ASRS v1.1)</t>
        </is>
      </c>
      <c r="C47" s="27" t="inlineStr">
        <is>
          <t>1. Executive functioning and ADHD</t>
        </is>
      </c>
      <c r="D47" s="28" t="n">
        <v>1</v>
      </c>
      <c r="E47" s="27" t="inlineStr">
        <is>
          <t>How often do you have trouble wrapping up the final details of a project, once the challenging parts have been done?</t>
        </is>
      </c>
      <c r="F47" s="27" t="inlineStr">
        <is>
          <t>Part A | Inattentiveness</t>
        </is>
      </c>
      <c r="G47" s="27" t="inlineStr">
        <is>
          <t>FALSE</t>
        </is>
      </c>
      <c r="H47" s="27" t="inlineStr">
        <is>
          <t>FALSE</t>
        </is>
      </c>
      <c r="I47" s="27" t="inlineStr">
        <is>
          <t>Never = 0 | Rarely = 1 | Sometimes = 2 | Often = 3 | Very Often = 4</t>
        </is>
      </c>
      <c r="J47" s="27" t="n"/>
      <c r="K47" s="27" t="inlineStr">
        <is>
          <t>https://novopsych.com/assessments/diagnosis/adult-adhd-self-report-scale-asrs/</t>
        </is>
      </c>
    </row>
    <row r="48" ht="23.85" customHeight="1" s="17">
      <c r="A48" s="27" t="inlineStr">
        <is>
          <t>ASRS</t>
        </is>
      </c>
      <c r="B48" s="27" t="inlineStr">
        <is>
          <t>Adult ADHD Self-Report Scale (ASRS v1.1)</t>
        </is>
      </c>
      <c r="C48" s="27" t="inlineStr">
        <is>
          <t>1. Executive functioning and ADHD</t>
        </is>
      </c>
      <c r="D48" s="28" t="n">
        <v>2</v>
      </c>
      <c r="E48" s="27" t="inlineStr">
        <is>
          <t>How often do you have difficulty getting things in order when you have to do a task that requires organisation?</t>
        </is>
      </c>
      <c r="F48" s="27" t="inlineStr">
        <is>
          <t>Part A | Inattentiveness</t>
        </is>
      </c>
      <c r="G48" s="27" t="inlineStr">
        <is>
          <t>FALSE</t>
        </is>
      </c>
      <c r="H48" s="27" t="inlineStr">
        <is>
          <t>FALSE</t>
        </is>
      </c>
      <c r="I48" s="27" t="inlineStr">
        <is>
          <t>Never = 0 | Rarely = 1 | Sometimes = 2 | Often = 3 | Very Often = 4</t>
        </is>
      </c>
      <c r="J48" s="27" t="n"/>
      <c r="K48" s="27" t="inlineStr">
        <is>
          <t>https://novopsych.com/assessments/diagnosis/adult-adhd-self-report-scale-asrs/</t>
        </is>
      </c>
    </row>
    <row r="49" ht="23.85" customHeight="1" s="17">
      <c r="A49" s="27" t="inlineStr">
        <is>
          <t>ASRS</t>
        </is>
      </c>
      <c r="B49" s="27" t="inlineStr">
        <is>
          <t>Adult ADHD Self-Report Scale (ASRS v1.1)</t>
        </is>
      </c>
      <c r="C49" s="27" t="inlineStr">
        <is>
          <t>1. Executive functioning and ADHD</t>
        </is>
      </c>
      <c r="D49" s="28" t="n">
        <v>3</v>
      </c>
      <c r="E49" s="27" t="inlineStr">
        <is>
          <t>How often do you have problems remembering appointments or obligations?</t>
        </is>
      </c>
      <c r="F49" s="27" t="inlineStr">
        <is>
          <t>Part A | Inattentiveness</t>
        </is>
      </c>
      <c r="G49" s="27" t="inlineStr">
        <is>
          <t>FALSE</t>
        </is>
      </c>
      <c r="H49" s="27" t="inlineStr">
        <is>
          <t>FALSE</t>
        </is>
      </c>
      <c r="I49" s="27" t="inlineStr">
        <is>
          <t>Never = 0 | Rarely = 1 | Sometimes = 2 | Often = 3 | Very Often = 4</t>
        </is>
      </c>
      <c r="J49" s="27" t="n"/>
      <c r="K49" s="27" t="inlineStr">
        <is>
          <t>https://novopsych.com/assessments/diagnosis/adult-adhd-self-report-scale-asrs/</t>
        </is>
      </c>
    </row>
    <row r="50" ht="23.85" customHeight="1" s="17">
      <c r="A50" s="27" t="inlineStr">
        <is>
          <t>ASRS</t>
        </is>
      </c>
      <c r="B50" s="27" t="inlineStr">
        <is>
          <t>Adult ADHD Self-Report Scale (ASRS v1.1)</t>
        </is>
      </c>
      <c r="C50" s="27" t="inlineStr">
        <is>
          <t>1. Executive functioning and ADHD</t>
        </is>
      </c>
      <c r="D50" s="28" t="n">
        <v>4</v>
      </c>
      <c r="E50" s="27" t="inlineStr">
        <is>
          <t>When you have a task that requires a lot of thought, how often do you avoid or delay getting started?</t>
        </is>
      </c>
      <c r="F50" s="27" t="inlineStr">
        <is>
          <t>Part A | Inattentiveness</t>
        </is>
      </c>
      <c r="G50" s="27" t="inlineStr">
        <is>
          <t>FALSE</t>
        </is>
      </c>
      <c r="H50" s="27" t="inlineStr">
        <is>
          <t>FALSE</t>
        </is>
      </c>
      <c r="I50" s="27" t="inlineStr">
        <is>
          <t>Never = 0 | Rarely = 1 | Sometimes = 2 | Often = 3 | Very Often = 4</t>
        </is>
      </c>
      <c r="J50" s="27" t="n"/>
      <c r="K50" s="27" t="inlineStr">
        <is>
          <t>https://novopsych.com/assessments/diagnosis/adult-adhd-self-report-scale-asrs/</t>
        </is>
      </c>
    </row>
    <row r="51" ht="23.85" customHeight="1" s="17">
      <c r="A51" s="27" t="inlineStr">
        <is>
          <t>ASRS</t>
        </is>
      </c>
      <c r="B51" s="27" t="inlineStr">
        <is>
          <t>Adult ADHD Self-Report Scale (ASRS v1.1)</t>
        </is>
      </c>
      <c r="C51" s="27" t="inlineStr">
        <is>
          <t>1. Executive functioning and ADHD</t>
        </is>
      </c>
      <c r="D51" s="28" t="n">
        <v>5</v>
      </c>
      <c r="E51" s="27" t="inlineStr">
        <is>
          <t>How often do you fidget or squirm with your hands or feet when you have to sit down for a long time?</t>
        </is>
      </c>
      <c r="F51" s="27" t="inlineStr">
        <is>
          <t>Part A | Hyperactivity/Impulsivity - Motor</t>
        </is>
      </c>
      <c r="G51" s="27" t="inlineStr">
        <is>
          <t>FALSE</t>
        </is>
      </c>
      <c r="H51" s="27" t="inlineStr">
        <is>
          <t>FALSE</t>
        </is>
      </c>
      <c r="I51" s="27" t="inlineStr">
        <is>
          <t>Never = 0 | Rarely = 1 | Sometimes = 2 | Often = 3 | Very Often = 4</t>
        </is>
      </c>
      <c r="J51" s="27" t="n"/>
      <c r="K51" s="27" t="inlineStr">
        <is>
          <t>https://novopsych.com/assessments/diagnosis/adult-adhd-self-report-scale-asrs/</t>
        </is>
      </c>
    </row>
    <row r="52" ht="23.85" customHeight="1" s="17">
      <c r="A52" s="27" t="inlineStr">
        <is>
          <t>ASRS</t>
        </is>
      </c>
      <c r="B52" s="27" t="inlineStr">
        <is>
          <t>Adult ADHD Self-Report Scale (ASRS v1.1)</t>
        </is>
      </c>
      <c r="C52" s="27" t="inlineStr">
        <is>
          <t>1. Executive functioning and ADHD</t>
        </is>
      </c>
      <c r="D52" s="28" t="n">
        <v>6</v>
      </c>
      <c r="E52" s="27" t="inlineStr">
        <is>
          <t>How often do you feel overly active and compelled to do things, like you were driven by a motor?</t>
        </is>
      </c>
      <c r="F52" s="27" t="inlineStr">
        <is>
          <t>Part A | Hyperactivity/Impulsivity - Motor</t>
        </is>
      </c>
      <c r="G52" s="27" t="inlineStr">
        <is>
          <t>FALSE</t>
        </is>
      </c>
      <c r="H52" s="27" t="inlineStr">
        <is>
          <t>FALSE</t>
        </is>
      </c>
      <c r="I52" s="27" t="inlineStr">
        <is>
          <t>Never = 0 | Rarely = 1 | Sometimes = 2 | Often = 3 | Very Often = 4</t>
        </is>
      </c>
      <c r="J52" s="27" t="n"/>
      <c r="K52" s="27" t="inlineStr">
        <is>
          <t>https://novopsych.com/assessments/diagnosis/adult-adhd-self-report-scale-asrs/</t>
        </is>
      </c>
    </row>
    <row r="53" ht="23.85" customHeight="1" s="17">
      <c r="A53" s="27" t="inlineStr">
        <is>
          <t>ASRS</t>
        </is>
      </c>
      <c r="B53" s="27" t="inlineStr">
        <is>
          <t>Adult ADHD Self-Report Scale (ASRS v1.1)</t>
        </is>
      </c>
      <c r="C53" s="27" t="inlineStr">
        <is>
          <t>1. Executive functioning and ADHD</t>
        </is>
      </c>
      <c r="D53" s="28" t="n">
        <v>7</v>
      </c>
      <c r="E53" s="27" t="inlineStr">
        <is>
          <t>How often do you make careless mistakes when you have to work on a boring or difficult project?</t>
        </is>
      </c>
      <c r="F53" s="27" t="inlineStr">
        <is>
          <t>Part B | Inattentiveness</t>
        </is>
      </c>
      <c r="G53" s="27" t="inlineStr">
        <is>
          <t>FALSE</t>
        </is>
      </c>
      <c r="H53" s="27" t="inlineStr">
        <is>
          <t>FALSE</t>
        </is>
      </c>
      <c r="I53" s="27" t="inlineStr">
        <is>
          <t>Never = 0 | Rarely = 1 | Sometimes = 2 | Often = 3 | Very Often = 4</t>
        </is>
      </c>
      <c r="J53" s="27" t="n"/>
      <c r="K53" s="27" t="inlineStr">
        <is>
          <t>https://novopsych.com/assessments/diagnosis/adult-adhd-self-report-scale-asrs/</t>
        </is>
      </c>
    </row>
    <row r="54" ht="23.85" customHeight="1" s="17">
      <c r="A54" s="27" t="inlineStr">
        <is>
          <t>ASRS</t>
        </is>
      </c>
      <c r="B54" s="27" t="inlineStr">
        <is>
          <t>Adult ADHD Self-Report Scale (ASRS v1.1)</t>
        </is>
      </c>
      <c r="C54" s="27" t="inlineStr">
        <is>
          <t>1. Executive functioning and ADHD</t>
        </is>
      </c>
      <c r="D54" s="28" t="n">
        <v>8</v>
      </c>
      <c r="E54" s="27" t="inlineStr">
        <is>
          <t>How often do you have difficulty keeping your attention when you are doing boring or repetitive work?</t>
        </is>
      </c>
      <c r="F54" s="27" t="inlineStr">
        <is>
          <t>Part B | Inattentiveness</t>
        </is>
      </c>
      <c r="G54" s="27" t="inlineStr">
        <is>
          <t>FALSE</t>
        </is>
      </c>
      <c r="H54" s="27" t="inlineStr">
        <is>
          <t>FALSE</t>
        </is>
      </c>
      <c r="I54" s="27" t="inlineStr">
        <is>
          <t>Never = 0 | Rarely = 1 | Sometimes = 2 | Often = 3 | Very Often = 4</t>
        </is>
      </c>
      <c r="J54" s="27" t="n"/>
      <c r="K54" s="27" t="inlineStr">
        <is>
          <t>https://novopsych.com/assessments/diagnosis/adult-adhd-self-report-scale-asrs/</t>
        </is>
      </c>
    </row>
    <row r="55" ht="23.85" customHeight="1" s="17">
      <c r="A55" s="27" t="inlineStr">
        <is>
          <t>ASRS</t>
        </is>
      </c>
      <c r="B55" s="27" t="inlineStr">
        <is>
          <t>Adult ADHD Self-Report Scale (ASRS v1.1)</t>
        </is>
      </c>
      <c r="C55" s="27" t="inlineStr">
        <is>
          <t>1. Executive functioning and ADHD</t>
        </is>
      </c>
      <c r="D55" s="28" t="n">
        <v>9</v>
      </c>
      <c r="E55" s="27" t="inlineStr">
        <is>
          <t>How often do you have difficulty concentrating on what people say to you, even when they are speaking to you directly?</t>
        </is>
      </c>
      <c r="F55" s="27" t="inlineStr">
        <is>
          <t>Part B | Inattentiveness</t>
        </is>
      </c>
      <c r="G55" s="27" t="inlineStr">
        <is>
          <t>FALSE</t>
        </is>
      </c>
      <c r="H55" s="27" t="inlineStr">
        <is>
          <t>FALSE</t>
        </is>
      </c>
      <c r="I55" s="27" t="inlineStr">
        <is>
          <t>Never = 0 | Rarely = 1 | Sometimes = 2 | Often = 3 | Very Often = 4</t>
        </is>
      </c>
      <c r="J55" s="27" t="n"/>
      <c r="K55" s="27" t="inlineStr">
        <is>
          <t>https://novopsych.com/assessments/diagnosis/adult-adhd-self-report-scale-asrs/</t>
        </is>
      </c>
    </row>
    <row r="56" ht="23.85" customHeight="1" s="17">
      <c r="A56" s="27" t="inlineStr">
        <is>
          <t>ASRS</t>
        </is>
      </c>
      <c r="B56" s="27" t="inlineStr">
        <is>
          <t>Adult ADHD Self-Report Scale (ASRS v1.1)</t>
        </is>
      </c>
      <c r="C56" s="27" t="inlineStr">
        <is>
          <t>1. Executive functioning and ADHD</t>
        </is>
      </c>
      <c r="D56" s="28" t="n">
        <v>10</v>
      </c>
      <c r="E56" s="27" t="inlineStr">
        <is>
          <t>How often do you misplace or have difficulty finding things at home or at work?</t>
        </is>
      </c>
      <c r="F56" s="27" t="inlineStr">
        <is>
          <t>Part B | Inattentiveness</t>
        </is>
      </c>
      <c r="G56" s="27" t="inlineStr">
        <is>
          <t>FALSE</t>
        </is>
      </c>
      <c r="H56" s="27" t="inlineStr">
        <is>
          <t>FALSE</t>
        </is>
      </c>
      <c r="I56" s="27" t="inlineStr">
        <is>
          <t>Never = 0 | Rarely = 1 | Sometimes = 2 | Often = 3 | Very Often = 4</t>
        </is>
      </c>
      <c r="J56" s="27" t="n"/>
      <c r="K56" s="27" t="inlineStr">
        <is>
          <t>https://novopsych.com/assessments/diagnosis/adult-adhd-self-report-scale-asrs/</t>
        </is>
      </c>
    </row>
    <row r="57" ht="23.85" customHeight="1" s="17">
      <c r="A57" s="27" t="inlineStr">
        <is>
          <t>ASRS</t>
        </is>
      </c>
      <c r="B57" s="27" t="inlineStr">
        <is>
          <t>Adult ADHD Self-Report Scale (ASRS v1.1)</t>
        </is>
      </c>
      <c r="C57" s="27" t="inlineStr">
        <is>
          <t>1. Executive functioning and ADHD</t>
        </is>
      </c>
      <c r="D57" s="28" t="n">
        <v>11</v>
      </c>
      <c r="E57" s="27" t="inlineStr">
        <is>
          <t>How often are you distracted by activity or noise around you?</t>
        </is>
      </c>
      <c r="F57" s="27" t="inlineStr">
        <is>
          <t>Part B | Inattentiveness</t>
        </is>
      </c>
      <c r="G57" s="27" t="inlineStr">
        <is>
          <t>FALSE</t>
        </is>
      </c>
      <c r="H57" s="27" t="inlineStr">
        <is>
          <t>FALSE</t>
        </is>
      </c>
      <c r="I57" s="27" t="inlineStr">
        <is>
          <t>Never = 0 | Rarely = 1 | Sometimes = 2 | Often = 3 | Very Often = 4</t>
        </is>
      </c>
      <c r="J57" s="27" t="n"/>
      <c r="K57" s="27" t="inlineStr">
        <is>
          <t>https://novopsych.com/assessments/diagnosis/adult-adhd-self-report-scale-asrs/</t>
        </is>
      </c>
    </row>
    <row r="58" ht="23.85" customHeight="1" s="17">
      <c r="A58" s="27" t="inlineStr">
        <is>
          <t>ASRS</t>
        </is>
      </c>
      <c r="B58" s="27" t="inlineStr">
        <is>
          <t>Adult ADHD Self-Report Scale (ASRS v1.1)</t>
        </is>
      </c>
      <c r="C58" s="27" t="inlineStr">
        <is>
          <t>1. Executive functioning and ADHD</t>
        </is>
      </c>
      <c r="D58" s="28" t="n">
        <v>12</v>
      </c>
      <c r="E58" s="27" t="inlineStr">
        <is>
          <t>How often do you leave your seat in meetings or other situations in which you are expected to remain seated?</t>
        </is>
      </c>
      <c r="F58" s="27" t="inlineStr">
        <is>
          <t>Part B | Hyperactivity/Impulsivity - Motor</t>
        </is>
      </c>
      <c r="G58" s="27" t="inlineStr">
        <is>
          <t>FALSE</t>
        </is>
      </c>
      <c r="H58" s="27" t="inlineStr">
        <is>
          <t>FALSE</t>
        </is>
      </c>
      <c r="I58" s="27" t="inlineStr">
        <is>
          <t>Never = 0 | Rarely = 1 | Sometimes = 2 | Often = 3 | Very Often = 4</t>
        </is>
      </c>
      <c r="J58" s="27" t="n"/>
      <c r="K58" s="27" t="inlineStr">
        <is>
          <t>https://novopsych.com/assessments/diagnosis/adult-adhd-self-report-scale-asrs/</t>
        </is>
      </c>
    </row>
    <row r="59" ht="23.85" customHeight="1" s="17">
      <c r="A59" s="27" t="inlineStr">
        <is>
          <t>ASRS</t>
        </is>
      </c>
      <c r="B59" s="27" t="inlineStr">
        <is>
          <t>Adult ADHD Self-Report Scale (ASRS v1.1)</t>
        </is>
      </c>
      <c r="C59" s="27" t="inlineStr">
        <is>
          <t>1. Executive functioning and ADHD</t>
        </is>
      </c>
      <c r="D59" s="28" t="n">
        <v>13</v>
      </c>
      <c r="E59" s="27" t="inlineStr">
        <is>
          <t>How often do you feel restless or fidgety?</t>
        </is>
      </c>
      <c r="F59" s="27" t="inlineStr">
        <is>
          <t>Part B | Hyperactivity/Impulsivity - Motor</t>
        </is>
      </c>
      <c r="G59" s="27" t="inlineStr">
        <is>
          <t>FALSE</t>
        </is>
      </c>
      <c r="H59" s="27" t="inlineStr">
        <is>
          <t>FALSE</t>
        </is>
      </c>
      <c r="I59" s="27" t="inlineStr">
        <is>
          <t>Never = 0 | Rarely = 1 | Sometimes = 2 | Often = 3 | Very Often = 4</t>
        </is>
      </c>
      <c r="J59" s="27" t="n"/>
      <c r="K59" s="27" t="inlineStr">
        <is>
          <t>https://novopsych.com/assessments/diagnosis/adult-adhd-self-report-scale-asrs/</t>
        </is>
      </c>
    </row>
    <row r="60" ht="23.85" customHeight="1" s="17">
      <c r="A60" s="27" t="inlineStr">
        <is>
          <t>ASRS</t>
        </is>
      </c>
      <c r="B60" s="27" t="inlineStr">
        <is>
          <t>Adult ADHD Self-Report Scale (ASRS v1.1)</t>
        </is>
      </c>
      <c r="C60" s="27" t="inlineStr">
        <is>
          <t>1. Executive functioning and ADHD</t>
        </is>
      </c>
      <c r="D60" s="28" t="n">
        <v>14</v>
      </c>
      <c r="E60" s="27" t="inlineStr">
        <is>
          <t>How often do you have difficulty unwinding and relaxing when you have time to yourself?</t>
        </is>
      </c>
      <c r="F60" s="27" t="inlineStr">
        <is>
          <t>Part B | Hyperactivity/Impulsivity - Motor</t>
        </is>
      </c>
      <c r="G60" s="27" t="inlineStr">
        <is>
          <t>FALSE</t>
        </is>
      </c>
      <c r="H60" s="27" t="inlineStr">
        <is>
          <t>FALSE</t>
        </is>
      </c>
      <c r="I60" s="27" t="inlineStr">
        <is>
          <t>Never = 0 | Rarely = 1 | Sometimes = 2 | Often = 3 | Very Often = 4</t>
        </is>
      </c>
      <c r="J60" s="27" t="n"/>
      <c r="K60" s="27" t="inlineStr">
        <is>
          <t>https://novopsych.com/assessments/diagnosis/adult-adhd-self-report-scale-asrs/</t>
        </is>
      </c>
    </row>
    <row r="61" ht="23.85" customHeight="1" s="17">
      <c r="A61" s="27" t="inlineStr">
        <is>
          <t>ASRS</t>
        </is>
      </c>
      <c r="B61" s="27" t="inlineStr">
        <is>
          <t>Adult ADHD Self-Report Scale (ASRS v1.1)</t>
        </is>
      </c>
      <c r="C61" s="27" t="inlineStr">
        <is>
          <t>1. Executive functioning and ADHD</t>
        </is>
      </c>
      <c r="D61" s="28" t="n">
        <v>15</v>
      </c>
      <c r="E61" s="27" t="inlineStr">
        <is>
          <t>How often do you find yourself talking too much when you are in social situations?</t>
        </is>
      </c>
      <c r="F61" s="27" t="inlineStr">
        <is>
          <t>Part B | Hyperactivity/Impulsivity - Verbal</t>
        </is>
      </c>
      <c r="G61" s="27" t="inlineStr">
        <is>
          <t>FALSE</t>
        </is>
      </c>
      <c r="H61" s="27" t="inlineStr">
        <is>
          <t>FALSE</t>
        </is>
      </c>
      <c r="I61" s="27" t="inlineStr">
        <is>
          <t>Never = 0 | Rarely = 1 | Sometimes = 2 | Often = 3 | Very Often = 4</t>
        </is>
      </c>
      <c r="J61" s="27" t="n"/>
      <c r="K61" s="27" t="inlineStr">
        <is>
          <t>https://novopsych.com/assessments/diagnosis/adult-adhd-self-report-scale-asrs/</t>
        </is>
      </c>
    </row>
    <row r="62" ht="23.85" customHeight="1" s="17">
      <c r="A62" s="27" t="inlineStr">
        <is>
          <t>ASRS</t>
        </is>
      </c>
      <c r="B62" s="27" t="inlineStr">
        <is>
          <t>Adult ADHD Self-Report Scale (ASRS v1.1)</t>
        </is>
      </c>
      <c r="C62" s="27" t="inlineStr">
        <is>
          <t>1. Executive functioning and ADHD</t>
        </is>
      </c>
      <c r="D62" s="28" t="n">
        <v>16</v>
      </c>
      <c r="E62" s="27" t="inlineStr">
        <is>
          <t>When you're in a conversation, how often do you find yourself finishing the sentences of the people you are talking to, before they can finish them themselves?</t>
        </is>
      </c>
      <c r="F62" s="27" t="inlineStr">
        <is>
          <t>Part B | Hyperactivity/Impulsivity - Verbal</t>
        </is>
      </c>
      <c r="G62" s="27" t="inlineStr">
        <is>
          <t>FALSE</t>
        </is>
      </c>
      <c r="H62" s="27" t="inlineStr">
        <is>
          <t>FALSE</t>
        </is>
      </c>
      <c r="I62" s="27" t="inlineStr">
        <is>
          <t>Never = 0 | Rarely = 1 | Sometimes = 2 | Often = 3 | Very Often = 4</t>
        </is>
      </c>
      <c r="J62" s="27" t="n"/>
      <c r="K62" s="27" t="inlineStr">
        <is>
          <t>https://novopsych.com/assessments/diagnosis/adult-adhd-self-report-scale-asrs/</t>
        </is>
      </c>
    </row>
    <row r="63" ht="23.85" customHeight="1" s="17">
      <c r="A63" s="27" t="inlineStr">
        <is>
          <t>ASRS</t>
        </is>
      </c>
      <c r="B63" s="27" t="inlineStr">
        <is>
          <t>Adult ADHD Self-Report Scale (ASRS v1.1)</t>
        </is>
      </c>
      <c r="C63" s="27" t="inlineStr">
        <is>
          <t>1. Executive functioning and ADHD</t>
        </is>
      </c>
      <c r="D63" s="28" t="n">
        <v>17</v>
      </c>
      <c r="E63" s="27" t="inlineStr">
        <is>
          <t>How often do you have difficulty waiting your turn in situations when turn taking is required?</t>
        </is>
      </c>
      <c r="F63" s="27" t="inlineStr">
        <is>
          <t>Part B | Hyperactivity/Impulsivity - Verbal</t>
        </is>
      </c>
      <c r="G63" s="27" t="inlineStr">
        <is>
          <t>FALSE</t>
        </is>
      </c>
      <c r="H63" s="27" t="inlineStr">
        <is>
          <t>FALSE</t>
        </is>
      </c>
      <c r="I63" s="27" t="inlineStr">
        <is>
          <t>Never = 0 | Rarely = 1 | Sometimes = 2 | Often = 3 | Very Often = 4</t>
        </is>
      </c>
      <c r="J63" s="27" t="n"/>
      <c r="K63" s="27" t="inlineStr">
        <is>
          <t>https://novopsych.com/assessments/diagnosis/adult-adhd-self-report-scale-asrs/</t>
        </is>
      </c>
    </row>
    <row r="64" ht="23.85" customHeight="1" s="17">
      <c r="A64" s="27" t="inlineStr">
        <is>
          <t>ASRS</t>
        </is>
      </c>
      <c r="B64" s="27" t="inlineStr">
        <is>
          <t>Adult ADHD Self-Report Scale (ASRS v1.1)</t>
        </is>
      </c>
      <c r="C64" s="27" t="inlineStr">
        <is>
          <t>1. Executive functioning and ADHD</t>
        </is>
      </c>
      <c r="D64" s="28" t="n">
        <v>18</v>
      </c>
      <c r="E64" s="27" t="inlineStr">
        <is>
          <t>How often do you interrupt others when they are busy?</t>
        </is>
      </c>
      <c r="F64" s="27" t="inlineStr">
        <is>
          <t>Part B | Hyperactivity/Impulsivity - Verbal</t>
        </is>
      </c>
      <c r="G64" s="27" t="inlineStr">
        <is>
          <t>FALSE</t>
        </is>
      </c>
      <c r="H64" s="27" t="inlineStr">
        <is>
          <t>FALSE</t>
        </is>
      </c>
      <c r="I64" s="27" t="inlineStr">
        <is>
          <t>Never = 0 | Rarely = 1 | Sometimes = 2 | Often = 3 | Very Often = 4</t>
        </is>
      </c>
      <c r="J64" s="27" t="n"/>
      <c r="K64" s="27" t="inlineStr">
        <is>
          <t>https://novopsych.com/assessments/diagnosis/adult-adhd-self-report-scale-asrs/</t>
        </is>
      </c>
    </row>
    <row r="65" ht="23.85" customHeight="1" s="17">
      <c r="A65" s="27" t="inlineStr">
        <is>
          <t>SKS</t>
        </is>
      </c>
      <c r="B65" s="27" t="inlineStr">
        <is>
          <t>Strengths Knowledge Scale</t>
        </is>
      </c>
      <c r="C65" s="27" t="inlineStr">
        <is>
          <t>2. Strengths knowledge, use and support at work</t>
        </is>
      </c>
      <c r="D65" s="28" t="n">
        <v>1</v>
      </c>
      <c r="E65" s="27" t="inlineStr">
        <is>
          <t>Other people see the strengths that I have</t>
        </is>
      </c>
      <c r="F65" s="27" t="inlineStr">
        <is>
          <t>Strengths Knowledge (total scale)</t>
        </is>
      </c>
      <c r="G65" s="27" t="inlineStr">
        <is>
          <t>FALSE</t>
        </is>
      </c>
      <c r="H65" s="27" t="inlineStr">
        <is>
          <t>FALSE</t>
        </is>
      </c>
      <c r="I65" s="27" t="inlineStr">
        <is>
          <t>Strongly disagree = 1 | 2 = 2 | 3 = 3 | 4 = 4 | 5 = 5 | 6 = 6 | Strongly agree = 7</t>
        </is>
      </c>
      <c r="J65" s="27" t="inlineStr">
        <is>
          <t>Verbatim as reproduced in Frontiers in Psychology (2023), Table 5, citing Govindji &amp; Linley (2007).</t>
        </is>
      </c>
      <c r="K65" s="27" t="inlineStr">
        <is>
          <t>https://www.frontiersin.org/journals/psychology/articles/10.3389/fpsyg.2023.1086510/full</t>
        </is>
      </c>
    </row>
    <row r="66" ht="79.84999999999999" customHeight="1" s="17">
      <c r="A66" s="27" t="inlineStr">
        <is>
          <t>SKS</t>
        </is>
      </c>
      <c r="B66" s="27" t="inlineStr">
        <is>
          <t>Strengths Knowledge Scale</t>
        </is>
      </c>
      <c r="C66" s="27" t="inlineStr">
        <is>
          <t>2. Strengths knowledge, use and support at work</t>
        </is>
      </c>
      <c r="D66" s="28" t="n">
        <v>2</v>
      </c>
      <c r="E66" s="27" t="inlineStr">
        <is>
          <t>I have to think hard about what my strengths are</t>
        </is>
      </c>
      <c r="F66" s="27" t="inlineStr">
        <is>
          <t>Strengths Knowledge (total scale)</t>
        </is>
      </c>
      <c r="G66" s="27" t="inlineStr">
        <is>
          <t>FALSE</t>
        </is>
      </c>
      <c r="H66" s="27" t="inlineStr">
        <is>
          <t>FALSE</t>
        </is>
      </c>
      <c r="I66" s="27" t="inlineStr">
        <is>
          <t>Strongly disagree = 1 | 2 = 2 | 3 = 3 | 4 = 4 | 5 = 5 | 6 = 6 | Strongly agree = 7</t>
        </is>
      </c>
      <c r="J66"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c r="K66" s="27" t="inlineStr">
        <is>
          <t>https://www.frontiersin.org/journals/psychology/articles/10.3389/fpsyg.2023.1086510/full</t>
        </is>
      </c>
    </row>
    <row r="67" ht="23.85" customHeight="1" s="17">
      <c r="A67" s="27" t="inlineStr">
        <is>
          <t>SKS</t>
        </is>
      </c>
      <c r="B67" s="27" t="inlineStr">
        <is>
          <t>Strengths Knowledge Scale</t>
        </is>
      </c>
      <c r="C67" s="27" t="inlineStr">
        <is>
          <t>2. Strengths knowledge, use and support at work</t>
        </is>
      </c>
      <c r="D67" s="28" t="n">
        <v>3</v>
      </c>
      <c r="E67" s="27" t="inlineStr">
        <is>
          <t>I know what I do best</t>
        </is>
      </c>
      <c r="F67" s="27" t="inlineStr">
        <is>
          <t>Strengths Knowledge (total scale)</t>
        </is>
      </c>
      <c r="G67" s="27" t="inlineStr">
        <is>
          <t>FALSE</t>
        </is>
      </c>
      <c r="H67" s="27" t="inlineStr">
        <is>
          <t>FALSE</t>
        </is>
      </c>
      <c r="I67" s="27" t="inlineStr">
        <is>
          <t>Strongly disagree = 1 | 2 = 2 | 3 = 3 | 4 = 4 | 5 = 5 | 6 = 6 | Strongly agree = 7</t>
        </is>
      </c>
      <c r="J67" s="27" t="inlineStr">
        <is>
          <t>Verbatim as reproduced in Frontiers in Psychology (2023), Table 5.</t>
        </is>
      </c>
      <c r="K67" s="27" t="inlineStr">
        <is>
          <t>https://www.frontiersin.org/journals/psychology/articles/10.3389/fpsyg.2023.1086510/full</t>
        </is>
      </c>
    </row>
    <row r="68" ht="23.85" customHeight="1" s="17">
      <c r="A68" s="27" t="inlineStr">
        <is>
          <t>SKS</t>
        </is>
      </c>
      <c r="B68" s="27" t="inlineStr">
        <is>
          <t>Strengths Knowledge Scale</t>
        </is>
      </c>
      <c r="C68" s="27" t="inlineStr">
        <is>
          <t>2. Strengths knowledge, use and support at work</t>
        </is>
      </c>
      <c r="D68" s="28" t="n">
        <v>4</v>
      </c>
      <c r="E68" s="27" t="inlineStr">
        <is>
          <t>I am aware of my strengths</t>
        </is>
      </c>
      <c r="F68" s="27" t="inlineStr">
        <is>
          <t>Strengths Knowledge (total scale)</t>
        </is>
      </c>
      <c r="G68" s="27" t="inlineStr">
        <is>
          <t>FALSE</t>
        </is>
      </c>
      <c r="H68" s="27" t="inlineStr">
        <is>
          <t>FALSE</t>
        </is>
      </c>
      <c r="I68" s="27" t="inlineStr">
        <is>
          <t>Strongly disagree = 1 | 2 = 2 | 3 = 3 | 4 = 4 | 5 = 5 | 6 = 6 | Strongly agree = 7</t>
        </is>
      </c>
      <c r="J68" s="27" t="inlineStr">
        <is>
          <t>Verbatim as reproduced in Frontiers in Psychology (2023), Table 5.</t>
        </is>
      </c>
      <c r="K68" s="27" t="inlineStr">
        <is>
          <t>https://www.frontiersin.org/journals/psychology/articles/10.3389/fpsyg.2023.1086510/full</t>
        </is>
      </c>
    </row>
    <row r="69" ht="23.85" customHeight="1" s="17">
      <c r="A69" s="27" t="inlineStr">
        <is>
          <t>SKS</t>
        </is>
      </c>
      <c r="B69" s="27" t="inlineStr">
        <is>
          <t>Strengths Knowledge Scale</t>
        </is>
      </c>
      <c r="C69" s="27" t="inlineStr">
        <is>
          <t>2. Strengths knowledge, use and support at work</t>
        </is>
      </c>
      <c r="D69" s="28" t="n">
        <v>5</v>
      </c>
      <c r="E69" s="27" t="inlineStr">
        <is>
          <t>I know the things I am good at doing</t>
        </is>
      </c>
      <c r="F69" s="27" t="inlineStr">
        <is>
          <t>Strengths Knowledge (total scale)</t>
        </is>
      </c>
      <c r="G69" s="27" t="inlineStr">
        <is>
          <t>FALSE</t>
        </is>
      </c>
      <c r="H69" s="27" t="inlineStr">
        <is>
          <t>FALSE</t>
        </is>
      </c>
      <c r="I69" s="27" t="inlineStr">
        <is>
          <t>Strongly disagree = 1 | 2 = 2 | 3 = 3 | 4 = 4 | 5 = 5 | 6 = 6 | Strongly agree = 7</t>
        </is>
      </c>
      <c r="J69" s="27" t="inlineStr">
        <is>
          <t>Verbatim as reproduced in Frontiers in Psychology (2023), Table 5.</t>
        </is>
      </c>
      <c r="K69" s="27" t="inlineStr">
        <is>
          <t>https://www.frontiersin.org/journals/psychology/articles/10.3389/fpsyg.2023.1086510/full</t>
        </is>
      </c>
    </row>
    <row r="70" ht="23.85" customHeight="1" s="17">
      <c r="A70" s="27" t="inlineStr">
        <is>
          <t>SKS</t>
        </is>
      </c>
      <c r="B70" s="27" t="inlineStr">
        <is>
          <t>Strengths Knowledge Scale</t>
        </is>
      </c>
      <c r="C70" s="27" t="inlineStr">
        <is>
          <t>2. Strengths knowledge, use and support at work</t>
        </is>
      </c>
      <c r="D70" s="28" t="n">
        <v>6</v>
      </c>
      <c r="E70" s="27" t="inlineStr">
        <is>
          <t>I know my strengths well</t>
        </is>
      </c>
      <c r="F70" s="27" t="inlineStr">
        <is>
          <t>Strengths Knowledge (total scale)</t>
        </is>
      </c>
      <c r="G70" s="27" t="inlineStr">
        <is>
          <t>FALSE</t>
        </is>
      </c>
      <c r="H70" s="27" t="inlineStr">
        <is>
          <t>FALSE</t>
        </is>
      </c>
      <c r="I70" s="27" t="inlineStr">
        <is>
          <t>Strongly disagree = 1 | 2 = 2 | 3 = 3 | 4 = 4 | 5 = 5 | 6 = 6 | Strongly agree = 7</t>
        </is>
      </c>
      <c r="J70" s="27" t="inlineStr">
        <is>
          <t>Verbatim as reproduced in Frontiers in Psychology (2023), Table 5.</t>
        </is>
      </c>
      <c r="K70" s="27" t="inlineStr">
        <is>
          <t>https://www.frontiersin.org/journals/psychology/articles/10.3389/fpsyg.2023.1086510/full</t>
        </is>
      </c>
    </row>
    <row r="71" ht="23.85" customHeight="1" s="17">
      <c r="A71" s="27" t="inlineStr">
        <is>
          <t>SKS</t>
        </is>
      </c>
      <c r="B71" s="27" t="inlineStr">
        <is>
          <t>Strengths Knowledge Scale</t>
        </is>
      </c>
      <c r="C71" s="27" t="inlineStr">
        <is>
          <t>2. Strengths knowledge, use and support at work</t>
        </is>
      </c>
      <c r="D71" s="28" t="n">
        <v>7</v>
      </c>
      <c r="E71" s="27" t="inlineStr">
        <is>
          <t>I know the things I do best</t>
        </is>
      </c>
      <c r="F71" s="27" t="inlineStr">
        <is>
          <t>Strengths Knowledge (total scale)</t>
        </is>
      </c>
      <c r="G71" s="27" t="inlineStr">
        <is>
          <t>FALSE</t>
        </is>
      </c>
      <c r="H71" s="27" t="inlineStr">
        <is>
          <t>FALSE</t>
        </is>
      </c>
      <c r="I71" s="27" t="inlineStr">
        <is>
          <t>Strongly disagree = 1 | 2 = 2 | 3 = 3 | 4 = 4 | 5 = 5 | 6 = 6 | Strongly agree = 7</t>
        </is>
      </c>
      <c r="J71" s="27" t="inlineStr">
        <is>
          <t>Verbatim as reproduced in Frontiers in Psychology (2023), Table 5.</t>
        </is>
      </c>
      <c r="K71" s="27" t="inlineStr">
        <is>
          <t>https://www.frontiersin.org/journals/psychology/articles/10.3389/fpsyg.2023.1086510/full</t>
        </is>
      </c>
    </row>
    <row r="72" ht="23.85" customHeight="1" s="17">
      <c r="A72" s="27" t="inlineStr">
        <is>
          <t>SKS</t>
        </is>
      </c>
      <c r="B72" s="27" t="inlineStr">
        <is>
          <t>Strengths Knowledge Scale</t>
        </is>
      </c>
      <c r="C72" s="27" t="inlineStr">
        <is>
          <t>2. Strengths knowledge, use and support at work</t>
        </is>
      </c>
      <c r="D72" s="28" t="n">
        <v>8</v>
      </c>
      <c r="E72" s="27" t="inlineStr">
        <is>
          <t>I know when I am at my best</t>
        </is>
      </c>
      <c r="F72" s="27" t="inlineStr">
        <is>
          <t>Strengths Knowledge (total scale)</t>
        </is>
      </c>
      <c r="G72" s="27" t="inlineStr">
        <is>
          <t>FALSE</t>
        </is>
      </c>
      <c r="H72" s="27" t="inlineStr">
        <is>
          <t>FALSE</t>
        </is>
      </c>
      <c r="I72" s="27" t="inlineStr">
        <is>
          <t>Strongly disagree = 1 | 2 = 2 | 3 = 3 | 4 = 4 | 5 = 5 | 6 = 6 | Strongly agree = 7</t>
        </is>
      </c>
      <c r="J72" s="27" t="inlineStr">
        <is>
          <t>Verbatim as reproduced in Frontiers in Psychology (2023), Table 5.</t>
        </is>
      </c>
      <c r="K72" s="27" t="inlineStr">
        <is>
          <t>https://www.frontiersin.org/journals/psychology/articles/10.3389/fpsyg.2023.1086510/full</t>
        </is>
      </c>
    </row>
    <row r="73" ht="23.85" customHeight="1" s="17">
      <c r="A73" s="27" t="inlineStr">
        <is>
          <t>SUS</t>
        </is>
      </c>
      <c r="B73" s="27" t="inlineStr">
        <is>
          <t>Strengths Use Scale</t>
        </is>
      </c>
      <c r="C73" s="27" t="inlineStr">
        <is>
          <t>2. Strengths knowledge, use and support at work</t>
        </is>
      </c>
      <c r="D73" s="28" t="n">
        <v>1</v>
      </c>
      <c r="E73" s="27" t="inlineStr">
        <is>
          <t>I am regularly able to do what I do best.</t>
        </is>
      </c>
      <c r="F73" s="27" t="inlineStr">
        <is>
          <t>Strengths Use (total scale)</t>
        </is>
      </c>
      <c r="G73" s="27" t="inlineStr">
        <is>
          <t>FALSE</t>
        </is>
      </c>
      <c r="H73" s="27" t="inlineStr">
        <is>
          <t>FALSE</t>
        </is>
      </c>
      <c r="I73" s="27" t="inlineStr">
        <is>
          <t>Strongly disagree = 1 | 2 = 2 | 3 = 3 | 4 = 4 | 5 = 5 | 6 = 6 | Strongly agree = 7</t>
        </is>
      </c>
      <c r="J73" s="27" t="inlineStr">
        <is>
          <t>Verbatim as reproduced in Frontiers in Psychology (2023), Table 2, citing Govindji &amp; Linley (2007).</t>
        </is>
      </c>
      <c r="K73" s="27" t="inlineStr">
        <is>
          <t>https://www.frontiersin.org/journals/psychology/articles/10.3389/fpsyg.2023.1086510/full</t>
        </is>
      </c>
    </row>
    <row r="74" ht="23.85" customHeight="1" s="17">
      <c r="A74" s="27" t="inlineStr">
        <is>
          <t>SUS</t>
        </is>
      </c>
      <c r="B74" s="27" t="inlineStr">
        <is>
          <t>Strengths Use Scale</t>
        </is>
      </c>
      <c r="C74" s="27" t="inlineStr">
        <is>
          <t>2. Strengths knowledge, use and support at work</t>
        </is>
      </c>
      <c r="D74" s="28" t="n">
        <v>2</v>
      </c>
      <c r="E74" s="27" t="inlineStr">
        <is>
          <t>I always play to my strengths.</t>
        </is>
      </c>
      <c r="F74" s="27" t="inlineStr">
        <is>
          <t>Strengths Use (total scale)</t>
        </is>
      </c>
      <c r="G74" s="27" t="inlineStr">
        <is>
          <t>FALSE</t>
        </is>
      </c>
      <c r="H74" s="27" t="inlineStr">
        <is>
          <t>FALSE</t>
        </is>
      </c>
      <c r="I74" s="27" t="inlineStr">
        <is>
          <t>Strongly disagree = 1 | 2 = 2 | 3 = 3 | 4 = 4 | 5 = 5 | 6 = 6 | Strongly agree = 7</t>
        </is>
      </c>
      <c r="J74" s="27" t="inlineStr">
        <is>
          <t>Verbatim as reproduced in Frontiers in Psychology (2023), Table 2.</t>
        </is>
      </c>
      <c r="K74" s="27" t="inlineStr">
        <is>
          <t>https://www.frontiersin.org/journals/psychology/articles/10.3389/fpsyg.2023.1086510/full</t>
        </is>
      </c>
    </row>
    <row r="75" ht="23.85" customHeight="1" s="17">
      <c r="A75" s="27" t="inlineStr">
        <is>
          <t>SUS</t>
        </is>
      </c>
      <c r="B75" s="27" t="inlineStr">
        <is>
          <t>Strengths Use Scale</t>
        </is>
      </c>
      <c r="C75" s="27" t="inlineStr">
        <is>
          <t>2. Strengths knowledge, use and support at work</t>
        </is>
      </c>
      <c r="D75" s="28" t="n">
        <v>3</v>
      </c>
      <c r="E75" s="27" t="inlineStr">
        <is>
          <t>I always try to use my strengths.</t>
        </is>
      </c>
      <c r="F75" s="27" t="inlineStr">
        <is>
          <t>Strengths Use (total scale)</t>
        </is>
      </c>
      <c r="G75" s="27" t="inlineStr">
        <is>
          <t>FALSE</t>
        </is>
      </c>
      <c r="H75" s="27" t="inlineStr">
        <is>
          <t>FALSE</t>
        </is>
      </c>
      <c r="I75" s="27" t="inlineStr">
        <is>
          <t>Strongly disagree = 1 | 2 = 2 | 3 = 3 | 4 = 4 | 5 = 5 | 6 = 6 | Strongly agree = 7</t>
        </is>
      </c>
      <c r="J75" s="27" t="inlineStr">
        <is>
          <t>Verbatim as reproduced in Frontiers in Psychology (2023), Table 2.</t>
        </is>
      </c>
      <c r="K75" s="27" t="inlineStr">
        <is>
          <t>https://www.frontiersin.org/journals/psychology/articles/10.3389/fpsyg.2023.1086510/full</t>
        </is>
      </c>
    </row>
    <row r="76" ht="23.85" customHeight="1" s="17">
      <c r="A76" s="27" t="inlineStr">
        <is>
          <t>SUS</t>
        </is>
      </c>
      <c r="B76" s="27" t="inlineStr">
        <is>
          <t>Strengths Use Scale</t>
        </is>
      </c>
      <c r="C76" s="27" t="inlineStr">
        <is>
          <t>2. Strengths knowledge, use and support at work</t>
        </is>
      </c>
      <c r="D76" s="28" t="n">
        <v>4</v>
      </c>
      <c r="E76" s="27" t="inlineStr">
        <is>
          <t>I achieve what I want by using my strengths.</t>
        </is>
      </c>
      <c r="F76" s="27" t="inlineStr">
        <is>
          <t>Strengths Use (total scale)</t>
        </is>
      </c>
      <c r="G76" s="27" t="inlineStr">
        <is>
          <t>FALSE</t>
        </is>
      </c>
      <c r="H76" s="27" t="inlineStr">
        <is>
          <t>FALSE</t>
        </is>
      </c>
      <c r="I76" s="27" t="inlineStr">
        <is>
          <t>Strongly disagree = 1 | 2 = 2 | 3 = 3 | 4 = 4 | 5 = 5 | 6 = 6 | Strongly agree = 7</t>
        </is>
      </c>
      <c r="J76" s="27" t="inlineStr">
        <is>
          <t>Verbatim as reproduced in Frontiers in Psychology (2023), Table 2.</t>
        </is>
      </c>
      <c r="K76" s="27" t="inlineStr">
        <is>
          <t>https://www.frontiersin.org/journals/psychology/articles/10.3389/fpsyg.2023.1086510/full</t>
        </is>
      </c>
    </row>
    <row r="77" ht="23.85" customHeight="1" s="17">
      <c r="A77" s="27" t="inlineStr">
        <is>
          <t>SUS</t>
        </is>
      </c>
      <c r="B77" s="27" t="inlineStr">
        <is>
          <t>Strengths Use Scale</t>
        </is>
      </c>
      <c r="C77" s="27" t="inlineStr">
        <is>
          <t>2. Strengths knowledge, use and support at work</t>
        </is>
      </c>
      <c r="D77" s="28" t="n">
        <v>5</v>
      </c>
      <c r="E77" s="27" t="inlineStr">
        <is>
          <t>I use my strengths every day.</t>
        </is>
      </c>
      <c r="F77" s="27" t="inlineStr">
        <is>
          <t>Strengths Use (total scale)</t>
        </is>
      </c>
      <c r="G77" s="27" t="inlineStr">
        <is>
          <t>FALSE</t>
        </is>
      </c>
      <c r="H77" s="27" t="inlineStr">
        <is>
          <t>FALSE</t>
        </is>
      </c>
      <c r="I77" s="27" t="inlineStr">
        <is>
          <t>Strongly disagree = 1 | 2 = 2 | 3 = 3 | 4 = 4 | 5 = 5 | 6 = 6 | Strongly agree = 7</t>
        </is>
      </c>
      <c r="J77" s="27" t="inlineStr">
        <is>
          <t>Verbatim as reproduced in Frontiers in Psychology (2023), Table 2.</t>
        </is>
      </c>
      <c r="K77" s="27" t="inlineStr">
        <is>
          <t>https://www.frontiersin.org/journals/psychology/articles/10.3389/fpsyg.2023.1086510/full</t>
        </is>
      </c>
    </row>
    <row r="78" ht="23.85" customHeight="1" s="17">
      <c r="A78" s="27" t="inlineStr">
        <is>
          <t>SUS</t>
        </is>
      </c>
      <c r="B78" s="27" t="inlineStr">
        <is>
          <t>Strengths Use Scale</t>
        </is>
      </c>
      <c r="C78" s="27" t="inlineStr">
        <is>
          <t>2. Strengths knowledge, use and support at work</t>
        </is>
      </c>
      <c r="D78" s="28" t="n">
        <v>6</v>
      </c>
      <c r="E78" s="27" t="inlineStr">
        <is>
          <t>I use my strengths to get what I want out of life.</t>
        </is>
      </c>
      <c r="F78" s="27" t="inlineStr">
        <is>
          <t>Strengths Use (total scale)</t>
        </is>
      </c>
      <c r="G78" s="27" t="inlineStr">
        <is>
          <t>FALSE</t>
        </is>
      </c>
      <c r="H78" s="27" t="inlineStr">
        <is>
          <t>FALSE</t>
        </is>
      </c>
      <c r="I78" s="27" t="inlineStr">
        <is>
          <t>Strongly disagree = 1 | 2 = 2 | 3 = 3 | 4 = 4 | 5 = 5 | 6 = 6 | Strongly agree = 7</t>
        </is>
      </c>
      <c r="J78" s="27" t="inlineStr">
        <is>
          <t>Verbatim as reproduced in Frontiers in Psychology (2023), Table 2.</t>
        </is>
      </c>
      <c r="K78" s="27" t="inlineStr">
        <is>
          <t>https://www.frontiersin.org/journals/psychology/articles/10.3389/fpsyg.2023.1086510/full</t>
        </is>
      </c>
    </row>
    <row r="79" ht="23.85" customHeight="1" s="17">
      <c r="A79" s="27" t="inlineStr">
        <is>
          <t>SUS</t>
        </is>
      </c>
      <c r="B79" s="27" t="inlineStr">
        <is>
          <t>Strengths Use Scale</t>
        </is>
      </c>
      <c r="C79" s="27" t="inlineStr">
        <is>
          <t>2. Strengths knowledge, use and support at work</t>
        </is>
      </c>
      <c r="D79" s="28" t="n">
        <v>7</v>
      </c>
      <c r="E79" s="27" t="inlineStr">
        <is>
          <t>My work gives me lots of opportunities to use my strengths.</t>
        </is>
      </c>
      <c r="F79" s="27" t="inlineStr">
        <is>
          <t>Strengths Use (total scale)</t>
        </is>
      </c>
      <c r="G79" s="27" t="inlineStr">
        <is>
          <t>FALSE</t>
        </is>
      </c>
      <c r="H79" s="27" t="inlineStr">
        <is>
          <t>FALSE</t>
        </is>
      </c>
      <c r="I79" s="27" t="inlineStr">
        <is>
          <t>Strongly disagree = 1 | 2 = 2 | 3 = 3 | 4 = 4 | 5 = 5 | 6 = 6 | Strongly agree = 7</t>
        </is>
      </c>
      <c r="J79" s="27" t="inlineStr">
        <is>
          <t>Verbatim as reproduced in Frontiers in Psychology (2023), Table 2.</t>
        </is>
      </c>
      <c r="K79" s="27" t="inlineStr">
        <is>
          <t>https://www.frontiersin.org/journals/psychology/articles/10.3389/fpsyg.2023.1086510/full</t>
        </is>
      </c>
    </row>
    <row r="80" ht="23.85" customHeight="1" s="17">
      <c r="A80" s="27" t="inlineStr">
        <is>
          <t>SUS</t>
        </is>
      </c>
      <c r="B80" s="27" t="inlineStr">
        <is>
          <t>Strengths Use Scale</t>
        </is>
      </c>
      <c r="C80" s="27" t="inlineStr">
        <is>
          <t>2. Strengths knowledge, use and support at work</t>
        </is>
      </c>
      <c r="D80" s="28" t="n">
        <v>8</v>
      </c>
      <c r="E80" s="27" t="inlineStr">
        <is>
          <t>My life presents me with lots of different ways to use my strengths.</t>
        </is>
      </c>
      <c r="F80" s="27" t="inlineStr">
        <is>
          <t>Strengths Use (total scale)</t>
        </is>
      </c>
      <c r="G80" s="27" t="inlineStr">
        <is>
          <t>FALSE</t>
        </is>
      </c>
      <c r="H80" s="27" t="inlineStr">
        <is>
          <t>FALSE</t>
        </is>
      </c>
      <c r="I80" s="27" t="inlineStr">
        <is>
          <t>Strongly disagree = 1 | 2 = 2 | 3 = 3 | 4 = 4 | 5 = 5 | 6 = 6 | Strongly agree = 7</t>
        </is>
      </c>
      <c r="J80" s="27" t="inlineStr">
        <is>
          <t>Verbatim as reproduced in Frontiers in Psychology (2023), Table 2.</t>
        </is>
      </c>
      <c r="K80" s="27" t="inlineStr">
        <is>
          <t>https://www.frontiersin.org/journals/psychology/articles/10.3389/fpsyg.2023.1086510/full</t>
        </is>
      </c>
    </row>
    <row r="81" ht="23.85" customHeight="1" s="17">
      <c r="A81" s="27" t="inlineStr">
        <is>
          <t>SUS</t>
        </is>
      </c>
      <c r="B81" s="27" t="inlineStr">
        <is>
          <t>Strengths Use Scale</t>
        </is>
      </c>
      <c r="C81" s="27" t="inlineStr">
        <is>
          <t>2. Strengths knowledge, use and support at work</t>
        </is>
      </c>
      <c r="D81" s="28" t="n">
        <v>9</v>
      </c>
      <c r="E81" s="27" t="inlineStr">
        <is>
          <t>Using my strengths comes naturally to me.</t>
        </is>
      </c>
      <c r="F81" s="27" t="inlineStr">
        <is>
          <t>Strengths Use (total scale)</t>
        </is>
      </c>
      <c r="G81" s="27" t="inlineStr">
        <is>
          <t>FALSE</t>
        </is>
      </c>
      <c r="H81" s="27" t="inlineStr">
        <is>
          <t>FALSE</t>
        </is>
      </c>
      <c r="I81" s="27" t="inlineStr">
        <is>
          <t>Strongly disagree = 1 | 2 = 2 | 3 = 3 | 4 = 4 | 5 = 5 | 6 = 6 | Strongly agree = 7</t>
        </is>
      </c>
      <c r="J81" s="27" t="inlineStr">
        <is>
          <t>Verbatim as reproduced in Frontiers in Psychology (2023), Table 2.</t>
        </is>
      </c>
      <c r="K81" s="27" t="inlineStr">
        <is>
          <t>https://www.frontiersin.org/journals/psychology/articles/10.3389/fpsyg.2023.1086510/full</t>
        </is>
      </c>
    </row>
    <row r="82" ht="23.85" customHeight="1" s="17">
      <c r="A82" s="27" t="inlineStr">
        <is>
          <t>SUS</t>
        </is>
      </c>
      <c r="B82" s="27" t="inlineStr">
        <is>
          <t>Strengths Use Scale</t>
        </is>
      </c>
      <c r="C82" s="27" t="inlineStr">
        <is>
          <t>2. Strengths knowledge, use and support at work</t>
        </is>
      </c>
      <c r="D82" s="28" t="n">
        <v>10</v>
      </c>
      <c r="E82" s="27" t="inlineStr">
        <is>
          <t>I find it easy to use my strengths in the things I do.</t>
        </is>
      </c>
      <c r="F82" s="27" t="inlineStr">
        <is>
          <t>Strengths Use (total scale)</t>
        </is>
      </c>
      <c r="G82" s="27" t="inlineStr">
        <is>
          <t>FALSE</t>
        </is>
      </c>
      <c r="H82" s="27" t="inlineStr">
        <is>
          <t>FALSE</t>
        </is>
      </c>
      <c r="I82" s="27" t="inlineStr">
        <is>
          <t>Strongly disagree = 1 | 2 = 2 | 3 = 3 | 4 = 4 | 5 = 5 | 6 = 6 | Strongly agree = 7</t>
        </is>
      </c>
      <c r="J82" s="27" t="inlineStr">
        <is>
          <t>Verbatim as reproduced in Frontiers in Psychology (2023), Table 2.</t>
        </is>
      </c>
      <c r="K82" s="27" t="inlineStr">
        <is>
          <t>https://www.frontiersin.org/journals/psychology/articles/10.3389/fpsyg.2023.1086510/full</t>
        </is>
      </c>
    </row>
    <row r="83" ht="23.85" customHeight="1" s="17">
      <c r="A83" s="27" t="inlineStr">
        <is>
          <t>SUS</t>
        </is>
      </c>
      <c r="B83" s="27" t="inlineStr">
        <is>
          <t>Strengths Use Scale</t>
        </is>
      </c>
      <c r="C83" s="27" t="inlineStr">
        <is>
          <t>2. Strengths knowledge, use and support at work</t>
        </is>
      </c>
      <c r="D83" s="28" t="n">
        <v>11</v>
      </c>
      <c r="E83" s="27" t="inlineStr">
        <is>
          <t>I am able to use my strengths in lots of different situations.</t>
        </is>
      </c>
      <c r="F83" s="27" t="inlineStr">
        <is>
          <t>Strengths Use (total scale)</t>
        </is>
      </c>
      <c r="G83" s="27" t="inlineStr">
        <is>
          <t>FALSE</t>
        </is>
      </c>
      <c r="H83" s="27" t="inlineStr">
        <is>
          <t>FALSE</t>
        </is>
      </c>
      <c r="I83" s="27" t="inlineStr">
        <is>
          <t>Strongly disagree = 1 | 2 = 2 | 3 = 3 | 4 = 4 | 5 = 5 | 6 = 6 | Strongly agree = 7</t>
        </is>
      </c>
      <c r="J83" s="27" t="inlineStr">
        <is>
          <t>Verbatim as reproduced in Frontiers in Psychology (2023), Table 2.</t>
        </is>
      </c>
      <c r="K83" s="27" t="inlineStr">
        <is>
          <t>https://www.frontiersin.org/journals/psychology/articles/10.3389/fpsyg.2023.1086510/full</t>
        </is>
      </c>
    </row>
    <row r="84" ht="23.85" customHeight="1" s="17">
      <c r="A84" s="27" t="inlineStr">
        <is>
          <t>SUS</t>
        </is>
      </c>
      <c r="B84" s="27" t="inlineStr">
        <is>
          <t>Strengths Use Scale</t>
        </is>
      </c>
      <c r="C84" s="27" t="inlineStr">
        <is>
          <t>2. Strengths knowledge, use and support at work</t>
        </is>
      </c>
      <c r="D84" s="28" t="n">
        <v>12</v>
      </c>
      <c r="E84" s="27" t="inlineStr">
        <is>
          <t>Most of my time is spent doing the things that I am good at doing.</t>
        </is>
      </c>
      <c r="F84" s="27" t="inlineStr">
        <is>
          <t>Strengths Use (total scale)</t>
        </is>
      </c>
      <c r="G84" s="27" t="inlineStr">
        <is>
          <t>FALSE</t>
        </is>
      </c>
      <c r="H84" s="27" t="inlineStr">
        <is>
          <t>FALSE</t>
        </is>
      </c>
      <c r="I84" s="27" t="inlineStr">
        <is>
          <t>Strongly disagree = 1 | 2 = 2 | 3 = 3 | 4 = 4 | 5 = 5 | 6 = 6 | Strongly agree = 7</t>
        </is>
      </c>
      <c r="J84" s="27" t="inlineStr">
        <is>
          <t>Verbatim as reproduced in Frontiers in Psychology (2023), Table 2.</t>
        </is>
      </c>
      <c r="K84" s="27" t="inlineStr">
        <is>
          <t>https://www.frontiersin.org/journals/psychology/articles/10.3389/fpsyg.2023.1086510/full</t>
        </is>
      </c>
    </row>
    <row r="85" ht="23.85" customHeight="1" s="17">
      <c r="A85" s="27" t="inlineStr">
        <is>
          <t>SUS</t>
        </is>
      </c>
      <c r="B85" s="27" t="inlineStr">
        <is>
          <t>Strengths Use Scale</t>
        </is>
      </c>
      <c r="C85" s="27" t="inlineStr">
        <is>
          <t>2. Strengths knowledge, use and support at work</t>
        </is>
      </c>
      <c r="D85" s="28" t="n">
        <v>13</v>
      </c>
      <c r="E85" s="27" t="inlineStr">
        <is>
          <t>Using my strengths is something I am familiar with.</t>
        </is>
      </c>
      <c r="F85" s="27" t="inlineStr">
        <is>
          <t>Strengths Use (total scale)</t>
        </is>
      </c>
      <c r="G85" s="27" t="inlineStr">
        <is>
          <t>FALSE</t>
        </is>
      </c>
      <c r="H85" s="27" t="inlineStr">
        <is>
          <t>FALSE</t>
        </is>
      </c>
      <c r="I85" s="27" t="inlineStr">
        <is>
          <t>Strongly disagree = 1 | 2 = 2 | 3 = 3 | 4 = 4 | 5 = 5 | 6 = 6 | Strongly agree = 7</t>
        </is>
      </c>
      <c r="J85" s="27" t="inlineStr">
        <is>
          <t>Verbatim as reproduced in Frontiers in Psychology (2023), Table 2.</t>
        </is>
      </c>
      <c r="K85" s="27" t="inlineStr">
        <is>
          <t>https://www.frontiersin.org/journals/psychology/articles/10.3389/fpsyg.2023.1086510/full</t>
        </is>
      </c>
    </row>
    <row r="86" ht="23.85" customHeight="1" s="17">
      <c r="A86" s="27" t="inlineStr">
        <is>
          <t>SUS</t>
        </is>
      </c>
      <c r="B86" s="27" t="inlineStr">
        <is>
          <t>Strengths Use Scale</t>
        </is>
      </c>
      <c r="C86" s="27" t="inlineStr">
        <is>
          <t>2. Strengths knowledge, use and support at work</t>
        </is>
      </c>
      <c r="D86" s="28" t="n">
        <v>14</v>
      </c>
      <c r="E86" s="27" t="inlineStr">
        <is>
          <t>I am able to use my strengths in lots of different ways.</t>
        </is>
      </c>
      <c r="F86" s="27" t="inlineStr">
        <is>
          <t>Strengths Use (total scale)</t>
        </is>
      </c>
      <c r="G86" s="27" t="inlineStr">
        <is>
          <t>FALSE</t>
        </is>
      </c>
      <c r="H86" s="27" t="inlineStr">
        <is>
          <t>FALSE</t>
        </is>
      </c>
      <c r="I86" s="27" t="inlineStr">
        <is>
          <t>Strongly disagree = 1 | 2 = 2 | 3 = 3 | 4 = 4 | 5 = 5 | 6 = 6 | Strongly agree = 7</t>
        </is>
      </c>
      <c r="J86" s="27" t="inlineStr">
        <is>
          <t>Verbatim as reproduced in Frontiers in Psychology (2023), Table 2.</t>
        </is>
      </c>
      <c r="K86" s="27" t="inlineStr">
        <is>
          <t>https://www.frontiersin.org/journals/psychology/articles/10.3389/fpsyg.2023.1086510/full</t>
        </is>
      </c>
    </row>
    <row r="87" ht="35.05" customHeight="1" s="17">
      <c r="A87" s="27" t="inlineStr">
        <is>
          <t>SSES</t>
        </is>
      </c>
      <c r="B87" s="27" t="inlineStr">
        <is>
          <t>Strengths Self-Efficacy Scale</t>
        </is>
      </c>
      <c r="C87" s="27" t="inlineStr">
        <is>
          <t>2. Strengths knowledge, use and support at work</t>
        </is>
      </c>
      <c r="D87" s="28" t="n">
        <v>1</v>
      </c>
      <c r="E87" s="27" t="inlineStr">
        <is>
          <t>Use your strengths at work?</t>
        </is>
      </c>
      <c r="F87" s="27" t="inlineStr">
        <is>
          <t>Strengths Self-Efficacy (total scale)</t>
        </is>
      </c>
      <c r="G87" s="27" t="inlineStr">
        <is>
          <t>FALSE</t>
        </is>
      </c>
      <c r="H87" s="27" t="inlineStr">
        <is>
          <t>FALSE</t>
        </is>
      </c>
      <c r="I87" s="27" t="inlineStr">
        <is>
          <t>Not confident at all = 1 | 2 = 2 | 3 = 3 | 4 = 4 | Moderately confident = 5 | 6 = 6 | 7 = 7 | 8 = 8 | 9 = 9 | Extremely confident = 10</t>
        </is>
      </c>
      <c r="J87" s="27" t="inlineStr">
        <is>
          <t>Verbatim as reproduced in the PositivePsychology.com PDF and corroborated by an independent academia.edu reproduction, both stemmed from "How confident are you in your ability to ...."</t>
        </is>
      </c>
      <c r="K87" s="27" t="inlineStr">
        <is>
          <t>https://positivepsychology.com/wp-content/uploads/The-Strengths-Self-efficacy-Scale.pdf</t>
        </is>
      </c>
    </row>
    <row r="88" ht="35.05" customHeight="1" s="17">
      <c r="A88" s="27" t="inlineStr">
        <is>
          <t>SSES</t>
        </is>
      </c>
      <c r="B88" s="27" t="inlineStr">
        <is>
          <t>Strengths Self-Efficacy Scale</t>
        </is>
      </c>
      <c r="C88" s="27" t="inlineStr">
        <is>
          <t>2. Strengths knowledge, use and support at work</t>
        </is>
      </c>
      <c r="D88" s="28" t="n">
        <v>2</v>
      </c>
      <c r="E88" s="27" t="inlineStr">
        <is>
          <t>Use your strengths without any struggles?</t>
        </is>
      </c>
      <c r="F88" s="27" t="inlineStr">
        <is>
          <t>Strengths Self-Efficacy (total scale)</t>
        </is>
      </c>
      <c r="G88" s="27" t="inlineStr">
        <is>
          <t>FALSE</t>
        </is>
      </c>
      <c r="H88" s="27" t="inlineStr">
        <is>
          <t>FALSE</t>
        </is>
      </c>
      <c r="I88" s="27" t="inlineStr">
        <is>
          <t>Not confident at all = 1 | 2 = 2 | 3 = 3 | 4 = 4 | Moderately confident = 5 | 6 = 6 | 7 = 7 | 8 = 8 | 9 = 9 | Extremely confident = 10</t>
        </is>
      </c>
      <c r="J88" s="27" t="inlineStr">
        <is>
          <t>Verbatim as reproduced in the PositivePsychology.com PDF, corroborated by academia.edu reproduction.</t>
        </is>
      </c>
      <c r="K88" s="27" t="inlineStr">
        <is>
          <t>https://positivepsychology.com/wp-content/uploads/The-Strengths-Self-efficacy-Scale.pdf</t>
        </is>
      </c>
    </row>
    <row r="89" ht="35.05" customHeight="1" s="17">
      <c r="A89" s="27" t="inlineStr">
        <is>
          <t>SSES</t>
        </is>
      </c>
      <c r="B89" s="27" t="inlineStr">
        <is>
          <t>Strengths Self-Efficacy Scale</t>
        </is>
      </c>
      <c r="C89" s="27" t="inlineStr">
        <is>
          <t>2. Strengths knowledge, use and support at work</t>
        </is>
      </c>
      <c r="D89" s="28" t="n">
        <v>3</v>
      </c>
      <c r="E89" s="27" t="inlineStr">
        <is>
          <t>Find ways to apply your strengths in the things you do everyday?</t>
        </is>
      </c>
      <c r="F89" s="27" t="inlineStr">
        <is>
          <t>Strengths Self-Efficacy (total scale)</t>
        </is>
      </c>
      <c r="G89" s="27" t="inlineStr">
        <is>
          <t>FALSE</t>
        </is>
      </c>
      <c r="H89" s="27" t="inlineStr">
        <is>
          <t>FALSE</t>
        </is>
      </c>
      <c r="I89" s="27" t="inlineStr">
        <is>
          <t>Not confident at all = 1 | 2 = 2 | 3 = 3 | 4 = 4 | Moderately confident = 5 | 6 = 6 | 7 = 7 | 8 = 8 | 9 = 9 | Extremely confident = 10</t>
        </is>
      </c>
      <c r="J89" s="27" t="inlineStr">
        <is>
          <t>Verbatim as reproduced in the PositivePsychology.com PDF, corroborated by academia.edu reproduction.</t>
        </is>
      </c>
      <c r="K89" s="27" t="inlineStr">
        <is>
          <t>https://positivepsychology.com/wp-content/uploads/The-Strengths-Self-efficacy-Scale.pdf</t>
        </is>
      </c>
    </row>
    <row r="90" ht="35.05" customHeight="1" s="17">
      <c r="A90" s="27" t="inlineStr">
        <is>
          <t>SSES</t>
        </is>
      </c>
      <c r="B90" s="27" t="inlineStr">
        <is>
          <t>Strengths Self-Efficacy Scale</t>
        </is>
      </c>
      <c r="C90" s="27" t="inlineStr">
        <is>
          <t>2. Strengths knowledge, use and support at work</t>
        </is>
      </c>
      <c r="D90" s="28" t="n">
        <v>4</v>
      </c>
      <c r="E90" s="27" t="inlineStr">
        <is>
          <t>Accomplish a lot using your strengths?</t>
        </is>
      </c>
      <c r="F90" s="27" t="inlineStr">
        <is>
          <t>Strengths Self-Efficacy (total scale)</t>
        </is>
      </c>
      <c r="G90" s="27" t="inlineStr">
        <is>
          <t>FALSE</t>
        </is>
      </c>
      <c r="H90" s="27" t="inlineStr">
        <is>
          <t>FALSE</t>
        </is>
      </c>
      <c r="I90" s="27" t="inlineStr">
        <is>
          <t>Not confident at all = 1 | 2 = 2 | 3 = 3 | 4 = 4 | Moderately confident = 5 | 6 = 6 | 7 = 7 | 8 = 8 | 9 = 9 | Extremely confident = 10</t>
        </is>
      </c>
      <c r="J90" s="27" t="inlineStr">
        <is>
          <t>Verbatim as reproduced in the PositivePsychology.com PDF, corroborated by academia.edu reproduction.</t>
        </is>
      </c>
      <c r="K90" s="27" t="inlineStr">
        <is>
          <t>https://positivepsychology.com/wp-content/uploads/The-Strengths-Self-efficacy-Scale.pdf</t>
        </is>
      </c>
    </row>
    <row r="91" ht="35.05" customHeight="1" s="17">
      <c r="A91" s="27" t="inlineStr">
        <is>
          <t>SSES</t>
        </is>
      </c>
      <c r="B91" s="27" t="inlineStr">
        <is>
          <t>Strengths Self-Efficacy Scale</t>
        </is>
      </c>
      <c r="C91" s="27" t="inlineStr">
        <is>
          <t>2. Strengths knowledge, use and support at work</t>
        </is>
      </c>
      <c r="D91" s="28" t="n">
        <v>5</v>
      </c>
      <c r="E91" s="27" t="inlineStr">
        <is>
          <t>Apply your strengths at work/school?</t>
        </is>
      </c>
      <c r="F91" s="27" t="inlineStr">
        <is>
          <t>Strengths Self-Efficacy (total scale)</t>
        </is>
      </c>
      <c r="G91" s="27" t="inlineStr">
        <is>
          <t>FALSE</t>
        </is>
      </c>
      <c r="H91" s="27" t="inlineStr">
        <is>
          <t>FALSE</t>
        </is>
      </c>
      <c r="I91" s="27" t="inlineStr">
        <is>
          <t>Not confident at all = 1 | 2 = 2 | 3 = 3 | 4 = 4 | Moderately confident = 5 | 6 = 6 | 7 = 7 | 8 = 8 | 9 = 9 | Extremely confident = 10</t>
        </is>
      </c>
      <c r="J91" s="27" t="inlineStr">
        <is>
          <t>Verbatim as reproduced in the PositivePsychology.com PDF, corroborated by academia.edu reproduction.</t>
        </is>
      </c>
      <c r="K91" s="27" t="inlineStr">
        <is>
          <t>https://positivepsychology.com/wp-content/uploads/The-Strengths-Self-efficacy-Scale.pdf</t>
        </is>
      </c>
    </row>
    <row r="92" ht="35.05" customHeight="1" s="17">
      <c r="A92" s="27" t="inlineStr">
        <is>
          <t>SSES</t>
        </is>
      </c>
      <c r="B92" s="27" t="inlineStr">
        <is>
          <t>Strengths Self-Efficacy Scale</t>
        </is>
      </c>
      <c r="C92" s="27" t="inlineStr">
        <is>
          <t>2. Strengths knowledge, use and support at work</t>
        </is>
      </c>
      <c r="D92" s="28" t="n">
        <v>6</v>
      </c>
      <c r="E92" s="27" t="inlineStr">
        <is>
          <t>Use your strengths in many situations?</t>
        </is>
      </c>
      <c r="F92" s="27" t="inlineStr">
        <is>
          <t>Strengths Self-Efficacy (total scale)</t>
        </is>
      </c>
      <c r="G92" s="27" t="inlineStr">
        <is>
          <t>FALSE</t>
        </is>
      </c>
      <c r="H92" s="27" t="inlineStr">
        <is>
          <t>FALSE</t>
        </is>
      </c>
      <c r="I92" s="27" t="inlineStr">
        <is>
          <t>Not confident at all = 1 | 2 = 2 | 3 = 3 | 4 = 4 | Moderately confident = 5 | 6 = 6 | 7 = 7 | 8 = 8 | 9 = 9 | Extremely confident = 10</t>
        </is>
      </c>
      <c r="J92" s="27" t="inlineStr">
        <is>
          <t>Verbatim as reproduced in the PositivePsychology.com PDF, corroborated by academia.edu reproduction.</t>
        </is>
      </c>
      <c r="K92" s="27" t="inlineStr">
        <is>
          <t>https://positivepsychology.com/wp-content/uploads/The-Strengths-Self-efficacy-Scale.pdf</t>
        </is>
      </c>
    </row>
    <row r="93" ht="35.05" customHeight="1" s="17">
      <c r="A93" s="27" t="inlineStr">
        <is>
          <t>SSES</t>
        </is>
      </c>
      <c r="B93" s="27" t="inlineStr">
        <is>
          <t>Strengths Self-Efficacy Scale</t>
        </is>
      </c>
      <c r="C93" s="27" t="inlineStr">
        <is>
          <t>2. Strengths knowledge, use and support at work</t>
        </is>
      </c>
      <c r="D93" s="28" t="n">
        <v>7</v>
      </c>
      <c r="E93" s="27" t="inlineStr">
        <is>
          <t>Use your strengths to succeed?</t>
        </is>
      </c>
      <c r="F93" s="27" t="inlineStr">
        <is>
          <t>Strengths Self-Efficacy (total scale)</t>
        </is>
      </c>
      <c r="G93" s="27" t="inlineStr">
        <is>
          <t>FALSE</t>
        </is>
      </c>
      <c r="H93" s="27" t="inlineStr">
        <is>
          <t>FALSE</t>
        </is>
      </c>
      <c r="I93" s="27" t="inlineStr">
        <is>
          <t>Not confident at all = 1 | 2 = 2 | 3 = 3 | 4 = 4 | Moderately confident = 5 | 6 = 6 | 7 = 7 | 8 = 8 | 9 = 9 | Extremely confident = 10</t>
        </is>
      </c>
      <c r="J93" s="27" t="inlineStr">
        <is>
          <t>Verbatim as reproduced in the PositivePsychology.com PDF, corroborated by academia.edu reproduction.</t>
        </is>
      </c>
      <c r="K93" s="27" t="inlineStr">
        <is>
          <t>https://positivepsychology.com/wp-content/uploads/The-Strengths-Self-efficacy-Scale.pdf</t>
        </is>
      </c>
    </row>
    <row r="94" ht="35.05" customHeight="1" s="17">
      <c r="A94" s="27" t="inlineStr">
        <is>
          <t>SSES</t>
        </is>
      </c>
      <c r="B94" s="27" t="inlineStr">
        <is>
          <t>Strengths Self-Efficacy Scale</t>
        </is>
      </c>
      <c r="C94" s="27" t="inlineStr">
        <is>
          <t>2. Strengths knowledge, use and support at work</t>
        </is>
      </c>
      <c r="D94" s="28" t="n">
        <v>8</v>
      </c>
      <c r="E94" s="27" t="inlineStr">
        <is>
          <t>Find ways to use your strengths at work/school everyday?</t>
        </is>
      </c>
      <c r="F94" s="27" t="inlineStr">
        <is>
          <t>Strengths Self-Efficacy (total scale)</t>
        </is>
      </c>
      <c r="G94" s="27" t="inlineStr">
        <is>
          <t>FALSE</t>
        </is>
      </c>
      <c r="H94" s="27" t="inlineStr">
        <is>
          <t>FALSE</t>
        </is>
      </c>
      <c r="I94" s="27" t="inlineStr">
        <is>
          <t>Not confident at all = 1 | 2 = 2 | 3 = 3 | 4 = 4 | Moderately confident = 5 | 6 = 6 | 7 = 7 | 8 = 8 | 9 = 9 | Extremely confident = 10</t>
        </is>
      </c>
      <c r="J94" s="27" t="inlineStr">
        <is>
          <t>Verbatim as reproduced in the PositivePsychology.com PDF, corroborated by academia.edu reproduction.</t>
        </is>
      </c>
      <c r="K94" s="27" t="inlineStr">
        <is>
          <t>https://positivepsychology.com/wp-content/uploads/The-Strengths-Self-efficacy-Scale.pdf</t>
        </is>
      </c>
    </row>
    <row r="95" ht="35.05" customHeight="1" s="17">
      <c r="A95" s="27" t="inlineStr">
        <is>
          <t>SSES</t>
        </is>
      </c>
      <c r="B95" s="27" t="inlineStr">
        <is>
          <t>Strengths Self-Efficacy Scale</t>
        </is>
      </c>
      <c r="C95" s="27" t="inlineStr">
        <is>
          <t>2. Strengths knowledge, use and support at work</t>
        </is>
      </c>
      <c r="D95" s="28" t="n">
        <v>9</v>
      </c>
      <c r="E95" s="27" t="inlineStr">
        <is>
          <t>Use your strengths at any time?</t>
        </is>
      </c>
      <c r="F95" s="27" t="inlineStr">
        <is>
          <t>Strengths Self-Efficacy (total scale)</t>
        </is>
      </c>
      <c r="G95" s="27" t="inlineStr">
        <is>
          <t>FALSE</t>
        </is>
      </c>
      <c r="H95" s="27" t="inlineStr">
        <is>
          <t>FALSE</t>
        </is>
      </c>
      <c r="I95" s="27" t="inlineStr">
        <is>
          <t>Not confident at all = 1 | 2 = 2 | 3 = 3 | 4 = 4 | Moderately confident = 5 | 6 = 6 | 7 = 7 | 8 = 8 | 9 = 9 | Extremely confident = 10</t>
        </is>
      </c>
      <c r="J95" s="27" t="inlineStr">
        <is>
          <t>Verbatim as reproduced in the PositivePsychology.com PDF, corroborated by academia.edu reproduction.</t>
        </is>
      </c>
      <c r="K95" s="27" t="inlineStr">
        <is>
          <t>https://positivepsychology.com/wp-content/uploads/The-Strengths-Self-efficacy-Scale.pdf</t>
        </is>
      </c>
    </row>
    <row r="96" ht="35.05" customHeight="1" s="17">
      <c r="A96" s="27" t="inlineStr">
        <is>
          <t>SSES</t>
        </is>
      </c>
      <c r="B96" s="27" t="inlineStr">
        <is>
          <t>Strengths Self-Efficacy Scale</t>
        </is>
      </c>
      <c r="C96" s="27" t="inlineStr">
        <is>
          <t>2. Strengths knowledge, use and support at work</t>
        </is>
      </c>
      <c r="D96" s="28" t="n">
        <v>10</v>
      </c>
      <c r="E96" s="27" t="inlineStr">
        <is>
          <t>Use your strengths to help you achieve your goals in life?</t>
        </is>
      </c>
      <c r="F96" s="27" t="inlineStr">
        <is>
          <t>Strengths Self-Efficacy (total scale)</t>
        </is>
      </c>
      <c r="G96" s="27" t="inlineStr">
        <is>
          <t>FALSE</t>
        </is>
      </c>
      <c r="H96" s="27" t="inlineStr">
        <is>
          <t>FALSE</t>
        </is>
      </c>
      <c r="I96" s="27" t="inlineStr">
        <is>
          <t>Not confident at all = 1 | 2 = 2 | 3 = 3 | 4 = 4 | Moderately confident = 5 | 6 = 6 | 7 = 7 | 8 = 8 | 9 = 9 | Extremely confident = 10</t>
        </is>
      </c>
      <c r="J96" s="27" t="inlineStr">
        <is>
          <t>Verbatim as reproduced in the PositivePsychology.com PDF, corroborated by academia.edu reproduction.</t>
        </is>
      </c>
      <c r="K96" s="27" t="inlineStr">
        <is>
          <t>https://positivepsychology.com/wp-content/uploads/The-Strengths-Self-efficacy-Scale.pdf</t>
        </is>
      </c>
    </row>
    <row r="97" ht="35.05" customHeight="1" s="17">
      <c r="A97" s="27" t="inlineStr">
        <is>
          <t>SSES</t>
        </is>
      </c>
      <c r="B97" s="27" t="inlineStr">
        <is>
          <t>Strengths Self-Efficacy Scale</t>
        </is>
      </c>
      <c r="C97" s="27" t="inlineStr">
        <is>
          <t>2. Strengths knowledge, use and support at work</t>
        </is>
      </c>
      <c r="D97" s="28" t="n">
        <v>11</v>
      </c>
      <c r="E97" s="27" t="inlineStr">
        <is>
          <t>Practice your strengths in areas where you excel?</t>
        </is>
      </c>
      <c r="F97" s="27" t="inlineStr">
        <is>
          <t>Strengths Self-Efficacy (total scale)</t>
        </is>
      </c>
      <c r="G97" s="27" t="inlineStr">
        <is>
          <t>FALSE</t>
        </is>
      </c>
      <c r="H97" s="27" t="inlineStr">
        <is>
          <t>FALSE</t>
        </is>
      </c>
      <c r="I97" s="27" t="inlineStr">
        <is>
          <t>Not confident at all = 1 | 2 = 2 | 3 = 3 | 4 = 4 | Moderately confident = 5 | 6 = 6 | 7 = 7 | 8 = 8 | 9 = 9 | Extremely confident = 10</t>
        </is>
      </c>
      <c r="J97" s="27" t="inlineStr">
        <is>
          <t>Verbatim as reproduced in the PositivePsychology.com PDF, corroborated by academia.edu reproduction.</t>
        </is>
      </c>
      <c r="K97" s="27" t="inlineStr">
        <is>
          <t>https://positivepsychology.com/wp-content/uploads/The-Strengths-Self-efficacy-Scale.pdf</t>
        </is>
      </c>
    </row>
    <row r="98" ht="23.85" customHeight="1" s="17">
      <c r="A98" s="27" t="inlineStr">
        <is>
          <t>CSES</t>
        </is>
      </c>
      <c r="B98" s="27" t="inlineStr">
        <is>
          <t>Core Self-Evaluations Scale</t>
        </is>
      </c>
      <c r="C98" s="27" t="inlineStr">
        <is>
          <t>3. Adjacent occupational and wellbeing</t>
        </is>
      </c>
      <c r="D98" s="28" t="n">
        <v>1</v>
      </c>
      <c r="E98" s="27" t="inlineStr">
        <is>
          <t>I am confident I get the success I deserve in life.</t>
        </is>
      </c>
      <c r="F98" s="27" t="inlineStr">
        <is>
          <t>Core Self-Evaluations (total scale, unidimensional)</t>
        </is>
      </c>
      <c r="G98" s="27" t="inlineStr">
        <is>
          <t>FALSE</t>
        </is>
      </c>
      <c r="H98" s="27" t="inlineStr">
        <is>
          <t>FALSE</t>
        </is>
      </c>
      <c r="I98" s="27" t="inlineStr">
        <is>
          <t>Strongly Disagree = 1 | Disagree = 2 | Neutral = 3 | Agree = 4 | Strongly Agree = 5</t>
        </is>
      </c>
      <c r="J98" s="27" t="n"/>
      <c r="K98" s="27" t="inlineStr">
        <is>
          <t>http://ionilies.com/SIOP03/Files/CSES.pdf</t>
        </is>
      </c>
    </row>
    <row r="99" ht="23.85" customHeight="1" s="17">
      <c r="A99" s="27" t="inlineStr">
        <is>
          <t>CSES</t>
        </is>
      </c>
      <c r="B99" s="27" t="inlineStr">
        <is>
          <t>Core Self-Evaluations Scale</t>
        </is>
      </c>
      <c r="C99" s="27" t="inlineStr">
        <is>
          <t>3. Adjacent occupational and wellbeing</t>
        </is>
      </c>
      <c r="D99" s="28" t="n">
        <v>2</v>
      </c>
      <c r="E99" s="27" t="inlineStr">
        <is>
          <t>Sometimes I feel depressed.</t>
        </is>
      </c>
      <c r="F99" s="27" t="inlineStr">
        <is>
          <t>Core Self-Evaluations (total scale, unidimensional)</t>
        </is>
      </c>
      <c r="G99" s="34" t="inlineStr">
        <is>
          <t>TRUE</t>
        </is>
      </c>
      <c r="H99" s="27" t="inlineStr">
        <is>
          <t>FALSE</t>
        </is>
      </c>
      <c r="I99" s="27" t="inlineStr">
        <is>
          <t>Strongly Disagree = 1 | Disagree = 2 | Neutral = 3 | Agree = 4 | Strongly Agree = 5</t>
        </is>
      </c>
      <c r="J99" s="27" t="inlineStr">
        <is>
          <t>Touches on depressed mood; use sensitively with clients where wellbeing is a live concern.</t>
        </is>
      </c>
      <c r="K99" s="27" t="inlineStr">
        <is>
          <t>http://ionilies.com/SIOP03/Files/CSES.pdf</t>
        </is>
      </c>
    </row>
    <row r="100" ht="23.85" customHeight="1" s="17">
      <c r="A100" s="27" t="inlineStr">
        <is>
          <t>CSES</t>
        </is>
      </c>
      <c r="B100" s="27" t="inlineStr">
        <is>
          <t>Core Self-Evaluations Scale</t>
        </is>
      </c>
      <c r="C100" s="27" t="inlineStr">
        <is>
          <t>3. Adjacent occupational and wellbeing</t>
        </is>
      </c>
      <c r="D100" s="28" t="n">
        <v>3</v>
      </c>
      <c r="E100" s="27" t="inlineStr">
        <is>
          <t>When I try, I generally succeed.</t>
        </is>
      </c>
      <c r="F100" s="27" t="inlineStr">
        <is>
          <t>Core Self-Evaluations (total scale, unidimensional)</t>
        </is>
      </c>
      <c r="G100" s="27" t="inlineStr">
        <is>
          <t>FALSE</t>
        </is>
      </c>
      <c r="H100" s="27" t="inlineStr">
        <is>
          <t>FALSE</t>
        </is>
      </c>
      <c r="I100" s="27" t="inlineStr">
        <is>
          <t>Strongly Disagree = 1 | Disagree = 2 | Neutral = 3 | Agree = 4 | Strongly Agree = 5</t>
        </is>
      </c>
      <c r="J100" s="27" t="n"/>
      <c r="K100" s="27" t="inlineStr">
        <is>
          <t>http://ionilies.com/SIOP03/Files/CSES.pdf</t>
        </is>
      </c>
    </row>
    <row r="101" ht="23.85" customHeight="1" s="17">
      <c r="A101" s="27" t="inlineStr">
        <is>
          <t>CSES</t>
        </is>
      </c>
      <c r="B101" s="27" t="inlineStr">
        <is>
          <t>Core Self-Evaluations Scale</t>
        </is>
      </c>
      <c r="C101" s="27" t="inlineStr">
        <is>
          <t>3. Adjacent occupational and wellbeing</t>
        </is>
      </c>
      <c r="D101" s="28" t="n">
        <v>4</v>
      </c>
      <c r="E101" s="27" t="inlineStr">
        <is>
          <t>Sometimes when I fail I feel worthless.</t>
        </is>
      </c>
      <c r="F101" s="27" t="inlineStr">
        <is>
          <t>Core Self-Evaluations (total scale, unidimensional)</t>
        </is>
      </c>
      <c r="G101" s="34" t="inlineStr">
        <is>
          <t>TRUE</t>
        </is>
      </c>
      <c r="H101" s="27" t="inlineStr">
        <is>
          <t>FALSE</t>
        </is>
      </c>
      <c r="I101" s="27" t="inlineStr">
        <is>
          <t>Strongly Disagree = 1 | Disagree = 2 | Neutral = 3 | Agree = 4 | Strongly Agree = 5</t>
        </is>
      </c>
      <c r="J101" s="27" t="n"/>
      <c r="K101" s="27" t="inlineStr">
        <is>
          <t>http://ionilies.com/SIOP03/Files/CSES.pdf</t>
        </is>
      </c>
    </row>
    <row r="102" ht="23.85" customHeight="1" s="17">
      <c r="A102" s="27" t="inlineStr">
        <is>
          <t>CSES</t>
        </is>
      </c>
      <c r="B102" s="27" t="inlineStr">
        <is>
          <t>Core Self-Evaluations Scale</t>
        </is>
      </c>
      <c r="C102" s="27" t="inlineStr">
        <is>
          <t>3. Adjacent occupational and wellbeing</t>
        </is>
      </c>
      <c r="D102" s="28" t="n">
        <v>5</v>
      </c>
      <c r="E102" s="27" t="inlineStr">
        <is>
          <t>I complete tasks successfully.</t>
        </is>
      </c>
      <c r="F102" s="27" t="inlineStr">
        <is>
          <t>Core Self-Evaluations (total scale, unidimensional)</t>
        </is>
      </c>
      <c r="G102" s="27" t="inlineStr">
        <is>
          <t>FALSE</t>
        </is>
      </c>
      <c r="H102" s="27" t="inlineStr">
        <is>
          <t>FALSE</t>
        </is>
      </c>
      <c r="I102" s="27" t="inlineStr">
        <is>
          <t>Strongly Disagree = 1 | Disagree = 2 | Neutral = 3 | Agree = 4 | Strongly Agree = 5</t>
        </is>
      </c>
      <c r="J102" s="27" t="n"/>
      <c r="K102" s="27" t="inlineStr">
        <is>
          <t>http://ionilies.com/SIOP03/Files/CSES.pdf</t>
        </is>
      </c>
    </row>
    <row r="103" ht="23.85" customHeight="1" s="17">
      <c r="A103" s="27" t="inlineStr">
        <is>
          <t>CSES</t>
        </is>
      </c>
      <c r="B103" s="27" t="inlineStr">
        <is>
          <t>Core Self-Evaluations Scale</t>
        </is>
      </c>
      <c r="C103" s="27" t="inlineStr">
        <is>
          <t>3. Adjacent occupational and wellbeing</t>
        </is>
      </c>
      <c r="D103" s="28" t="n">
        <v>6</v>
      </c>
      <c r="E103" s="27" t="inlineStr">
        <is>
          <t>Sometimes, I do not feel in control of my work.</t>
        </is>
      </c>
      <c r="F103" s="27" t="inlineStr">
        <is>
          <t>Core Self-Evaluations (total scale, unidimensional)</t>
        </is>
      </c>
      <c r="G103" s="34" t="inlineStr">
        <is>
          <t>TRUE</t>
        </is>
      </c>
      <c r="H103" s="27" t="inlineStr">
        <is>
          <t>FALSE</t>
        </is>
      </c>
      <c r="I103" s="27" t="inlineStr">
        <is>
          <t>Strongly Disagree = 1 | Disagree = 2 | Neutral = 3 | Agree = 4 | Strongly Agree = 5</t>
        </is>
      </c>
      <c r="J103" s="27" t="n"/>
      <c r="K103" s="27" t="inlineStr">
        <is>
          <t>http://ionilies.com/SIOP03/Files/CSES.pdf</t>
        </is>
      </c>
    </row>
    <row r="104" ht="23.85" customHeight="1" s="17">
      <c r="A104" s="27" t="inlineStr">
        <is>
          <t>CSES</t>
        </is>
      </c>
      <c r="B104" s="27" t="inlineStr">
        <is>
          <t>Core Self-Evaluations Scale</t>
        </is>
      </c>
      <c r="C104" s="27" t="inlineStr">
        <is>
          <t>3. Adjacent occupational and wellbeing</t>
        </is>
      </c>
      <c r="D104" s="28" t="n">
        <v>7</v>
      </c>
      <c r="E104" s="27" t="inlineStr">
        <is>
          <t>Overall, I am satisfied with myself.</t>
        </is>
      </c>
      <c r="F104" s="27" t="inlineStr">
        <is>
          <t>Core Self-Evaluations (total scale, unidimensional)</t>
        </is>
      </c>
      <c r="G104" s="27" t="inlineStr">
        <is>
          <t>FALSE</t>
        </is>
      </c>
      <c r="H104" s="27" t="inlineStr">
        <is>
          <t>FALSE</t>
        </is>
      </c>
      <c r="I104" s="27" t="inlineStr">
        <is>
          <t>Strongly Disagree = 1 | Disagree = 2 | Neutral = 3 | Agree = 4 | Strongly Agree = 5</t>
        </is>
      </c>
      <c r="J104" s="27" t="n"/>
      <c r="K104" s="27" t="inlineStr">
        <is>
          <t>http://ionilies.com/SIOP03/Files/CSES.pdf</t>
        </is>
      </c>
    </row>
    <row r="105" ht="23.85" customHeight="1" s="17">
      <c r="A105" s="27" t="inlineStr">
        <is>
          <t>CSES</t>
        </is>
      </c>
      <c r="B105" s="27" t="inlineStr">
        <is>
          <t>Core Self-Evaluations Scale</t>
        </is>
      </c>
      <c r="C105" s="27" t="inlineStr">
        <is>
          <t>3. Adjacent occupational and wellbeing</t>
        </is>
      </c>
      <c r="D105" s="28" t="n">
        <v>8</v>
      </c>
      <c r="E105" s="27" t="inlineStr">
        <is>
          <t>I am filled with doubts about my competence.</t>
        </is>
      </c>
      <c r="F105" s="27" t="inlineStr">
        <is>
          <t>Core Self-Evaluations (total scale, unidimensional)</t>
        </is>
      </c>
      <c r="G105" s="34" t="inlineStr">
        <is>
          <t>TRUE</t>
        </is>
      </c>
      <c r="H105" s="27" t="inlineStr">
        <is>
          <t>FALSE</t>
        </is>
      </c>
      <c r="I105" s="27" t="inlineStr">
        <is>
          <t>Strongly Disagree = 1 | Disagree = 2 | Neutral = 3 | Agree = 4 | Strongly Agree = 5</t>
        </is>
      </c>
      <c r="J105" s="27" t="n"/>
      <c r="K105" s="27" t="inlineStr">
        <is>
          <t>http://ionilies.com/SIOP03/Files/CSES.pdf</t>
        </is>
      </c>
    </row>
    <row r="106" ht="23.85" customHeight="1" s="17">
      <c r="A106" s="27" t="inlineStr">
        <is>
          <t>CSES</t>
        </is>
      </c>
      <c r="B106" s="27" t="inlineStr">
        <is>
          <t>Core Self-Evaluations Scale</t>
        </is>
      </c>
      <c r="C106" s="27" t="inlineStr">
        <is>
          <t>3. Adjacent occupational and wellbeing</t>
        </is>
      </c>
      <c r="D106" s="28" t="n">
        <v>9</v>
      </c>
      <c r="E106" s="27" t="inlineStr">
        <is>
          <t>I determine what will happen in my life.</t>
        </is>
      </c>
      <c r="F106" s="27" t="inlineStr">
        <is>
          <t>Core Self-Evaluations (total scale, unidimensional)</t>
        </is>
      </c>
      <c r="G106" s="27" t="inlineStr">
        <is>
          <t>FALSE</t>
        </is>
      </c>
      <c r="H106" s="27" t="inlineStr">
        <is>
          <t>FALSE</t>
        </is>
      </c>
      <c r="I106" s="27" t="inlineStr">
        <is>
          <t>Strongly Disagree = 1 | Disagree = 2 | Neutral = 3 | Agree = 4 | Strongly Agree = 5</t>
        </is>
      </c>
      <c r="J106" s="27" t="n"/>
      <c r="K106" s="27" t="inlineStr">
        <is>
          <t>http://ionilies.com/SIOP03/Files/CSES.pdf</t>
        </is>
      </c>
    </row>
    <row r="107" ht="23.85" customHeight="1" s="17">
      <c r="A107" s="27" t="inlineStr">
        <is>
          <t>CSES</t>
        </is>
      </c>
      <c r="B107" s="27" t="inlineStr">
        <is>
          <t>Core Self-Evaluations Scale</t>
        </is>
      </c>
      <c r="C107" s="27" t="inlineStr">
        <is>
          <t>3. Adjacent occupational and wellbeing</t>
        </is>
      </c>
      <c r="D107" s="28" t="n">
        <v>10</v>
      </c>
      <c r="E107" s="27" t="inlineStr">
        <is>
          <t>I do not feel in control of my success in my career.</t>
        </is>
      </c>
      <c r="F107" s="27" t="inlineStr">
        <is>
          <t>Core Self-Evaluations (total scale, unidimensional)</t>
        </is>
      </c>
      <c r="G107" s="34" t="inlineStr">
        <is>
          <t>TRUE</t>
        </is>
      </c>
      <c r="H107" s="27" t="inlineStr">
        <is>
          <t>FALSE</t>
        </is>
      </c>
      <c r="I107" s="27" t="inlineStr">
        <is>
          <t>Strongly Disagree = 1 | Disagree = 2 | Neutral = 3 | Agree = 4 | Strongly Agree = 5</t>
        </is>
      </c>
      <c r="J107" s="27" t="n"/>
      <c r="K107" s="27" t="inlineStr">
        <is>
          <t>http://ionilies.com/SIOP03/Files/CSES.pdf</t>
        </is>
      </c>
    </row>
    <row r="108" ht="23.85" customHeight="1" s="17">
      <c r="A108" s="27" t="inlineStr">
        <is>
          <t>CSES</t>
        </is>
      </c>
      <c r="B108" s="27" t="inlineStr">
        <is>
          <t>Core Self-Evaluations Scale</t>
        </is>
      </c>
      <c r="C108" s="27" t="inlineStr">
        <is>
          <t>3. Adjacent occupational and wellbeing</t>
        </is>
      </c>
      <c r="D108" s="28" t="n">
        <v>11</v>
      </c>
      <c r="E108" s="27" t="inlineStr">
        <is>
          <t>I am capable of coping with most of my problems.</t>
        </is>
      </c>
      <c r="F108" s="27" t="inlineStr">
        <is>
          <t>Core Self-Evaluations (total scale, unidimensional)</t>
        </is>
      </c>
      <c r="G108" s="27" t="inlineStr">
        <is>
          <t>FALSE</t>
        </is>
      </c>
      <c r="H108" s="27" t="inlineStr">
        <is>
          <t>FALSE</t>
        </is>
      </c>
      <c r="I108" s="27" t="inlineStr">
        <is>
          <t>Strongly Disagree = 1 | Disagree = 2 | Neutral = 3 | Agree = 4 | Strongly Agree = 5</t>
        </is>
      </c>
      <c r="J108" s="27" t="n"/>
      <c r="K108" s="27" t="inlineStr">
        <is>
          <t>http://ionilies.com/SIOP03/Files/CSES.pdf</t>
        </is>
      </c>
    </row>
    <row r="109" ht="23.85" customHeight="1" s="17">
      <c r="A109" s="27" t="inlineStr">
        <is>
          <t>CSES</t>
        </is>
      </c>
      <c r="B109" s="27" t="inlineStr">
        <is>
          <t>Core Self-Evaluations Scale</t>
        </is>
      </c>
      <c r="C109" s="27" t="inlineStr">
        <is>
          <t>3. Adjacent occupational and wellbeing</t>
        </is>
      </c>
      <c r="D109" s="28" t="n">
        <v>12</v>
      </c>
      <c r="E109" s="27" t="inlineStr">
        <is>
          <t>There are times when things look pretty bleak and hopeless to me.</t>
        </is>
      </c>
      <c r="F109" s="27" t="inlineStr">
        <is>
          <t>Core Self-Evaluations (total scale, unidimensional)</t>
        </is>
      </c>
      <c r="G109" s="34" t="inlineStr">
        <is>
          <t>TRUE</t>
        </is>
      </c>
      <c r="H109" s="27" t="inlineStr">
        <is>
          <t>FALSE</t>
        </is>
      </c>
      <c r="I109" s="27" t="inlineStr">
        <is>
          <t>Strongly Disagree = 1 | Disagree = 2 | Neutral = 3 | Agree = 4 | Strongly Agree = 5</t>
        </is>
      </c>
      <c r="J109" s="27" t="inlineStr">
        <is>
          <t>Touches on hopelessness; use sensitively with clients where wellbeing is a live concern.</t>
        </is>
      </c>
      <c r="K109" s="27" t="inlineStr">
        <is>
          <t>http://ionilies.com/SIOP03/Files/CSES.pdf</t>
        </is>
      </c>
    </row>
    <row r="110" ht="35.05" customHeight="1" s="17">
      <c r="A110" s="27" t="inlineStr">
        <is>
          <t>PES</t>
        </is>
      </c>
      <c r="B110" s="27" t="inlineStr">
        <is>
          <t>Psychological Empowerment Scale</t>
        </is>
      </c>
      <c r="C110" s="27" t="inlineStr">
        <is>
          <t>3. Adjacent occupational and wellbeing</t>
        </is>
      </c>
      <c r="D110" s="28" t="n">
        <v>1</v>
      </c>
      <c r="E110" s="27" t="inlineStr">
        <is>
          <t>The work that I do is important to me.</t>
        </is>
      </c>
      <c r="F110" s="27" t="inlineStr">
        <is>
          <t>Meaning</t>
        </is>
      </c>
      <c r="G110" s="27" t="inlineStr">
        <is>
          <t>FALSE</t>
        </is>
      </c>
      <c r="H110" s="27" t="inlineStr">
        <is>
          <t>FALSE</t>
        </is>
      </c>
      <c r="I110" s="27" t="inlineStr">
        <is>
          <t>Very Strongly Disagree = 1 | Strongly Disagree = 2 | Disagree = 3 | Neutral = 4 | Agree = 5 | Strongly Agree = 6 | Very Strongly Agree = 7</t>
        </is>
      </c>
      <c r="J110" s="27" t="n"/>
      <c r="K110" s="27" t="inlineStr">
        <is>
          <t>https://webuser.bus.umich.edu/spreitze/Pdfs/EmpowerInstrument.pdf</t>
        </is>
      </c>
    </row>
    <row r="111" ht="35.05" customHeight="1" s="17">
      <c r="A111" s="27" t="inlineStr">
        <is>
          <t>PES</t>
        </is>
      </c>
      <c r="B111" s="27" t="inlineStr">
        <is>
          <t>Psychological Empowerment Scale</t>
        </is>
      </c>
      <c r="C111" s="27" t="inlineStr">
        <is>
          <t>3. Adjacent occupational and wellbeing</t>
        </is>
      </c>
      <c r="D111" s="28" t="n">
        <v>2</v>
      </c>
      <c r="E111" s="27" t="inlineStr">
        <is>
          <t>My job activities are personally meaningful to me.</t>
        </is>
      </c>
      <c r="F111" s="27" t="inlineStr">
        <is>
          <t>Meaning</t>
        </is>
      </c>
      <c r="G111" s="27" t="inlineStr">
        <is>
          <t>FALSE</t>
        </is>
      </c>
      <c r="H111" s="27" t="inlineStr">
        <is>
          <t>FALSE</t>
        </is>
      </c>
      <c r="I111" s="27" t="inlineStr">
        <is>
          <t>Very Strongly Disagree = 1 | Strongly Disagree = 2 | Disagree = 3 | Neutral = 4 | Agree = 5 | Strongly Agree = 6 | Very Strongly Agree = 7</t>
        </is>
      </c>
      <c r="J111" s="27" t="n"/>
      <c r="K111" s="27" t="inlineStr">
        <is>
          <t>https://webuser.bus.umich.edu/spreitze/Pdfs/EmpowerInstrument.pdf</t>
        </is>
      </c>
    </row>
    <row r="112" ht="35.05" customHeight="1" s="17">
      <c r="A112" s="27" t="inlineStr">
        <is>
          <t>PES</t>
        </is>
      </c>
      <c r="B112" s="27" t="inlineStr">
        <is>
          <t>Psychological Empowerment Scale</t>
        </is>
      </c>
      <c r="C112" s="27" t="inlineStr">
        <is>
          <t>3. Adjacent occupational and wellbeing</t>
        </is>
      </c>
      <c r="D112" s="28" t="n">
        <v>3</v>
      </c>
      <c r="E112" s="27" t="inlineStr">
        <is>
          <t>The work I do is meaningful to me.</t>
        </is>
      </c>
      <c r="F112" s="27" t="inlineStr">
        <is>
          <t>Meaning</t>
        </is>
      </c>
      <c r="G112" s="27" t="inlineStr">
        <is>
          <t>FALSE</t>
        </is>
      </c>
      <c r="H112" s="27" t="inlineStr">
        <is>
          <t>FALSE</t>
        </is>
      </c>
      <c r="I112" s="27" t="inlineStr">
        <is>
          <t>Very Strongly Disagree = 1 | Strongly Disagree = 2 | Disagree = 3 | Neutral = 4 | Agree = 5 | Strongly Agree = 6 | Very Strongly Agree = 7</t>
        </is>
      </c>
      <c r="J112" s="27" t="n"/>
      <c r="K112" s="27" t="inlineStr">
        <is>
          <t>https://webuser.bus.umich.edu/spreitze/Pdfs/EmpowerInstrument.pdf</t>
        </is>
      </c>
    </row>
    <row r="113" ht="35.05" customHeight="1" s="17">
      <c r="A113" s="27" t="inlineStr">
        <is>
          <t>PES</t>
        </is>
      </c>
      <c r="B113" s="27" t="inlineStr">
        <is>
          <t>Psychological Empowerment Scale</t>
        </is>
      </c>
      <c r="C113" s="27" t="inlineStr">
        <is>
          <t>3. Adjacent occupational and wellbeing</t>
        </is>
      </c>
      <c r="D113" s="28" t="n">
        <v>4</v>
      </c>
      <c r="E113" s="27" t="inlineStr">
        <is>
          <t>I am confident about my ability to do my job.</t>
        </is>
      </c>
      <c r="F113" s="27" t="inlineStr">
        <is>
          <t>Competence</t>
        </is>
      </c>
      <c r="G113" s="27" t="inlineStr">
        <is>
          <t>FALSE</t>
        </is>
      </c>
      <c r="H113" s="27" t="inlineStr">
        <is>
          <t>FALSE</t>
        </is>
      </c>
      <c r="I113" s="27" t="inlineStr">
        <is>
          <t>Very Strongly Disagree = 1 | Strongly Disagree = 2 | Disagree = 3 | Neutral = 4 | Agree = 5 | Strongly Agree = 6 | Very Strongly Agree = 7</t>
        </is>
      </c>
      <c r="J113" s="27" t="n"/>
      <c r="K113" s="27" t="inlineStr">
        <is>
          <t>https://webuser.bus.umich.edu/spreitze/Pdfs/EmpowerInstrument.pdf</t>
        </is>
      </c>
    </row>
    <row r="114" ht="35.05" customHeight="1" s="17">
      <c r="A114" s="27" t="inlineStr">
        <is>
          <t>PES</t>
        </is>
      </c>
      <c r="B114" s="27" t="inlineStr">
        <is>
          <t>Psychological Empowerment Scale</t>
        </is>
      </c>
      <c r="C114" s="27" t="inlineStr">
        <is>
          <t>3. Adjacent occupational and wellbeing</t>
        </is>
      </c>
      <c r="D114" s="28" t="n">
        <v>5</v>
      </c>
      <c r="E114" s="27" t="inlineStr">
        <is>
          <t>I have mastered the skills necessary for my job.</t>
        </is>
      </c>
      <c r="F114" s="27" t="inlineStr">
        <is>
          <t>Competence</t>
        </is>
      </c>
      <c r="G114" s="27" t="inlineStr">
        <is>
          <t>FALSE</t>
        </is>
      </c>
      <c r="H114" s="27" t="inlineStr">
        <is>
          <t>FALSE</t>
        </is>
      </c>
      <c r="I114" s="27" t="inlineStr">
        <is>
          <t>Very Strongly Disagree = 1 | Strongly Disagree = 2 | Disagree = 3 | Neutral = 4 | Agree = 5 | Strongly Agree = 6 | Very Strongly Agree = 7</t>
        </is>
      </c>
      <c r="J114" s="27" t="n"/>
      <c r="K114" s="27" t="inlineStr">
        <is>
          <t>https://webuser.bus.umich.edu/spreitze/Pdfs/EmpowerInstrument.pdf</t>
        </is>
      </c>
    </row>
    <row r="115" ht="35.05" customHeight="1" s="17">
      <c r="A115" s="27" t="inlineStr">
        <is>
          <t>PES</t>
        </is>
      </c>
      <c r="B115" s="27" t="inlineStr">
        <is>
          <t>Psychological Empowerment Scale</t>
        </is>
      </c>
      <c r="C115" s="27" t="inlineStr">
        <is>
          <t>3. Adjacent occupational and wellbeing</t>
        </is>
      </c>
      <c r="D115" s="28" t="n">
        <v>6</v>
      </c>
      <c r="E115" s="27" t="inlineStr">
        <is>
          <t>I am self-assured about my capabilities to perform my work activities.</t>
        </is>
      </c>
      <c r="F115" s="27" t="inlineStr">
        <is>
          <t>Competence</t>
        </is>
      </c>
      <c r="G115" s="27" t="inlineStr">
        <is>
          <t>FALSE</t>
        </is>
      </c>
      <c r="H115" s="27" t="inlineStr">
        <is>
          <t>FALSE</t>
        </is>
      </c>
      <c r="I115" s="27" t="inlineStr">
        <is>
          <t>Very Strongly Disagree = 1 | Strongly Disagree = 2 | Disagree = 3 | Neutral = 4 | Agree = 5 | Strongly Agree = 6 | Very Strongly Agree = 7</t>
        </is>
      </c>
      <c r="J115" s="27" t="n"/>
      <c r="K115" s="27" t="inlineStr">
        <is>
          <t>https://webuser.bus.umich.edu/spreitze/Pdfs/EmpowerInstrument.pdf</t>
        </is>
      </c>
    </row>
    <row r="116" ht="35.05" customHeight="1" s="17">
      <c r="A116" s="27" t="inlineStr">
        <is>
          <t>PES</t>
        </is>
      </c>
      <c r="B116" s="27" t="inlineStr">
        <is>
          <t>Psychological Empowerment Scale</t>
        </is>
      </c>
      <c r="C116" s="27" t="inlineStr">
        <is>
          <t>3. Adjacent occupational and wellbeing</t>
        </is>
      </c>
      <c r="D116" s="28" t="n">
        <v>7</v>
      </c>
      <c r="E116" s="27" t="inlineStr">
        <is>
          <t>I have significant autonomy in determining how I do my job.</t>
        </is>
      </c>
      <c r="F116" s="27" t="inlineStr">
        <is>
          <t>Self-Determination</t>
        </is>
      </c>
      <c r="G116" s="27" t="inlineStr">
        <is>
          <t>FALSE</t>
        </is>
      </c>
      <c r="H116" s="27" t="inlineStr">
        <is>
          <t>FALSE</t>
        </is>
      </c>
      <c r="I116" s="27" t="inlineStr">
        <is>
          <t>Very Strongly Disagree = 1 | Strongly Disagree = 2 | Disagree = 3 | Neutral = 4 | Agree = 5 | Strongly Agree = 6 | Very Strongly Agree = 7</t>
        </is>
      </c>
      <c r="J116" s="27" t="n"/>
      <c r="K116" s="27" t="inlineStr">
        <is>
          <t>https://webuser.bus.umich.edu/spreitze/Pdfs/EmpowerInstrument.pdf</t>
        </is>
      </c>
    </row>
    <row r="117" ht="35.05" customHeight="1" s="17">
      <c r="A117" s="27" t="inlineStr">
        <is>
          <t>PES</t>
        </is>
      </c>
      <c r="B117" s="27" t="inlineStr">
        <is>
          <t>Psychological Empowerment Scale</t>
        </is>
      </c>
      <c r="C117" s="27" t="inlineStr">
        <is>
          <t>3. Adjacent occupational and wellbeing</t>
        </is>
      </c>
      <c r="D117" s="28" t="n">
        <v>8</v>
      </c>
      <c r="E117" s="27" t="inlineStr">
        <is>
          <t>I can decide on my own how to go about doing my own work.</t>
        </is>
      </c>
      <c r="F117" s="27" t="inlineStr">
        <is>
          <t>Self-Determination</t>
        </is>
      </c>
      <c r="G117" s="27" t="inlineStr">
        <is>
          <t>FALSE</t>
        </is>
      </c>
      <c r="H117" s="27" t="inlineStr">
        <is>
          <t>FALSE</t>
        </is>
      </c>
      <c r="I117" s="27" t="inlineStr">
        <is>
          <t>Very Strongly Disagree = 1 | Strongly Disagree = 2 | Disagree = 3 | Neutral = 4 | Agree = 5 | Strongly Agree = 6 | Very Strongly Agree = 7</t>
        </is>
      </c>
      <c r="J117" s="27" t="n"/>
      <c r="K117" s="27" t="inlineStr">
        <is>
          <t>https://webuser.bus.umich.edu/spreitze/Pdfs/EmpowerInstrument.pdf</t>
        </is>
      </c>
    </row>
    <row r="118" ht="35.05" customHeight="1" s="17">
      <c r="A118" s="27" t="inlineStr">
        <is>
          <t>PES</t>
        </is>
      </c>
      <c r="B118" s="27" t="inlineStr">
        <is>
          <t>Psychological Empowerment Scale</t>
        </is>
      </c>
      <c r="C118" s="27" t="inlineStr">
        <is>
          <t>3. Adjacent occupational and wellbeing</t>
        </is>
      </c>
      <c r="D118" s="28" t="n">
        <v>9</v>
      </c>
      <c r="E118" s="27" t="inlineStr">
        <is>
          <t>I have considerable opportunity for independence and freedom in how I do my job.</t>
        </is>
      </c>
      <c r="F118" s="27" t="inlineStr">
        <is>
          <t>Self-Determination</t>
        </is>
      </c>
      <c r="G118" s="27" t="inlineStr">
        <is>
          <t>FALSE</t>
        </is>
      </c>
      <c r="H118" s="27" t="inlineStr">
        <is>
          <t>FALSE</t>
        </is>
      </c>
      <c r="I118" s="27" t="inlineStr">
        <is>
          <t>Very Strongly Disagree = 1 | Strongly Disagree = 2 | Disagree = 3 | Neutral = 4 | Agree = 5 | Strongly Agree = 6 | Very Strongly Agree = 7</t>
        </is>
      </c>
      <c r="J118" s="27" t="n"/>
      <c r="K118" s="27" t="inlineStr">
        <is>
          <t>https://webuser.bus.umich.edu/spreitze/Pdfs/EmpowerInstrument.pdf</t>
        </is>
      </c>
    </row>
    <row r="119" ht="35.05" customHeight="1" s="17">
      <c r="A119" s="27" t="inlineStr">
        <is>
          <t>PES</t>
        </is>
      </c>
      <c r="B119" s="27" t="inlineStr">
        <is>
          <t>Psychological Empowerment Scale</t>
        </is>
      </c>
      <c r="C119" s="27" t="inlineStr">
        <is>
          <t>3. Adjacent occupational and wellbeing</t>
        </is>
      </c>
      <c r="D119" s="28" t="n">
        <v>10</v>
      </c>
      <c r="E119" s="27" t="inlineStr">
        <is>
          <t>My impact on what happens in my department is large.</t>
        </is>
      </c>
      <c r="F119" s="27" t="inlineStr">
        <is>
          <t>Impact</t>
        </is>
      </c>
      <c r="G119" s="27" t="inlineStr">
        <is>
          <t>FALSE</t>
        </is>
      </c>
      <c r="H119" s="27" t="inlineStr">
        <is>
          <t>FALSE</t>
        </is>
      </c>
      <c r="I119" s="27" t="inlineStr">
        <is>
          <t>Very Strongly Disagree = 1 | Strongly Disagree = 2 | Disagree = 3 | Neutral = 4 | Agree = 5 | Strongly Agree = 6 | Very Strongly Agree = 7</t>
        </is>
      </c>
      <c r="J119" s="27" t="n"/>
      <c r="K119" s="27" t="inlineStr">
        <is>
          <t>https://webuser.bus.umich.edu/spreitze/Pdfs/EmpowerInstrument.pdf</t>
        </is>
      </c>
    </row>
    <row r="120" ht="35.05" customHeight="1" s="17">
      <c r="A120" s="27" t="inlineStr">
        <is>
          <t>PES</t>
        </is>
      </c>
      <c r="B120" s="27" t="inlineStr">
        <is>
          <t>Psychological Empowerment Scale</t>
        </is>
      </c>
      <c r="C120" s="27" t="inlineStr">
        <is>
          <t>3. Adjacent occupational and wellbeing</t>
        </is>
      </c>
      <c r="D120" s="28" t="n">
        <v>11</v>
      </c>
      <c r="E120" s="27" t="inlineStr">
        <is>
          <t>I have a great deal of control over what happens in my department.</t>
        </is>
      </c>
      <c r="F120" s="27" t="inlineStr">
        <is>
          <t>Impact</t>
        </is>
      </c>
      <c r="G120" s="27" t="inlineStr">
        <is>
          <t>FALSE</t>
        </is>
      </c>
      <c r="H120" s="27" t="inlineStr">
        <is>
          <t>FALSE</t>
        </is>
      </c>
      <c r="I120" s="27" t="inlineStr">
        <is>
          <t>Very Strongly Disagree = 1 | Strongly Disagree = 2 | Disagree = 3 | Neutral = 4 | Agree = 5 | Strongly Agree = 6 | Very Strongly Agree = 7</t>
        </is>
      </c>
      <c r="J120" s="27" t="n"/>
      <c r="K120" s="27" t="inlineStr">
        <is>
          <t>https://webuser.bus.umich.edu/spreitze/Pdfs/EmpowerInstrument.pdf</t>
        </is>
      </c>
    </row>
    <row r="121" ht="35.05" customHeight="1" s="17">
      <c r="A121" s="27" t="inlineStr">
        <is>
          <t>PES</t>
        </is>
      </c>
      <c r="B121" s="27" t="inlineStr">
        <is>
          <t>Psychological Empowerment Scale</t>
        </is>
      </c>
      <c r="C121" s="27" t="inlineStr">
        <is>
          <t>3. Adjacent occupational and wellbeing</t>
        </is>
      </c>
      <c r="D121" s="28" t="n">
        <v>12</v>
      </c>
      <c r="E121" s="27" t="inlineStr">
        <is>
          <t>I have significant influence over what happens in my department.</t>
        </is>
      </c>
      <c r="F121" s="27" t="inlineStr">
        <is>
          <t>Impact</t>
        </is>
      </c>
      <c r="G121" s="27" t="inlineStr">
        <is>
          <t>FALSE</t>
        </is>
      </c>
      <c r="H121" s="27" t="inlineStr">
        <is>
          <t>FALSE</t>
        </is>
      </c>
      <c r="I121" s="27" t="inlineStr">
        <is>
          <t>Very Strongly Disagree = 1 | Strongly Disagree = 2 | Disagree = 3 | Neutral = 4 | Agree = 5 | Strongly Agree = 6 | Very Strongly Agree = 7</t>
        </is>
      </c>
      <c r="J121" s="27" t="n"/>
      <c r="K121" s="27" t="inlineStr">
        <is>
          <t>https://webuser.bus.umich.edu/spreitze/Pdfs/EmpowerInstrument.pdf</t>
        </is>
      </c>
    </row>
    <row r="122" ht="46.25" customHeight="1" s="17">
      <c r="A122" s="27" t="inlineStr">
        <is>
          <t>DASS-21</t>
        </is>
      </c>
      <c r="B122" s="27" t="inlineStr">
        <is>
          <t>Depression Anxiety Stress Scales, 21 item version (DASS-21)</t>
        </is>
      </c>
      <c r="C122" s="27" t="inlineStr">
        <is>
          <t>4. Psychological distress screening</t>
        </is>
      </c>
      <c r="D122" s="28" t="n">
        <v>1</v>
      </c>
      <c r="E122" s="27" t="inlineStr">
        <is>
          <t>I found it hard to wind down</t>
        </is>
      </c>
      <c r="F122" s="27" t="inlineStr">
        <is>
          <t>Stress</t>
        </is>
      </c>
      <c r="G122" s="27" t="inlineStr">
        <is>
          <t>FALSE</t>
        </is>
      </c>
      <c r="H122" s="27" t="inlineStr">
        <is>
          <t>FALSE</t>
        </is>
      </c>
      <c r="I122" s="27" t="inlineStr">
        <is>
          <t>Did not apply to me at all = 0 | Applied to me to some degree, or some of the time = 1 | Applied to me to a considerable degree, or a good part of time = 2 | Applied to me very much, or most of the time = 3</t>
        </is>
      </c>
      <c r="J122" s="27" t="n"/>
      <c r="K122" s="27" t="inlineStr">
        <is>
          <t>https://www2.psy.unsw.edu.au/dass/</t>
        </is>
      </c>
    </row>
    <row r="123" ht="46.25" customHeight="1" s="17">
      <c r="A123" s="27" t="inlineStr">
        <is>
          <t>DASS-21</t>
        </is>
      </c>
      <c r="B123" s="27" t="inlineStr">
        <is>
          <t>Depression Anxiety Stress Scales, 21 item version (DASS-21)</t>
        </is>
      </c>
      <c r="C123" s="27" t="inlineStr">
        <is>
          <t>4. Psychological distress screening</t>
        </is>
      </c>
      <c r="D123" s="28" t="n">
        <v>2</v>
      </c>
      <c r="E123" s="27" t="inlineStr">
        <is>
          <t>I was aware of dryness of my mouth</t>
        </is>
      </c>
      <c r="F123" s="27" t="inlineStr">
        <is>
          <t>Anxiety</t>
        </is>
      </c>
      <c r="G123" s="27" t="inlineStr">
        <is>
          <t>FALSE</t>
        </is>
      </c>
      <c r="H123" s="27" t="inlineStr">
        <is>
          <t>FALSE</t>
        </is>
      </c>
      <c r="I123" s="27" t="inlineStr">
        <is>
          <t>Did not apply to me at all = 0 | Applied to me to some degree, or some of the time = 1 | Applied to me to a considerable degree, or a good part of time = 2 | Applied to me very much, or most of the time = 3</t>
        </is>
      </c>
      <c r="J123" s="27" t="n"/>
      <c r="K123" s="27" t="inlineStr">
        <is>
          <t>https://www2.psy.unsw.edu.au/dass/</t>
        </is>
      </c>
    </row>
    <row r="124" ht="46.25" customHeight="1" s="17">
      <c r="A124" s="27" t="inlineStr">
        <is>
          <t>DASS-21</t>
        </is>
      </c>
      <c r="B124" s="27" t="inlineStr">
        <is>
          <t>Depression Anxiety Stress Scales, 21 item version (DASS-21)</t>
        </is>
      </c>
      <c r="C124" s="27" t="inlineStr">
        <is>
          <t>4. Psychological distress screening</t>
        </is>
      </c>
      <c r="D124" s="28" t="n">
        <v>3</v>
      </c>
      <c r="E124" s="27" t="inlineStr">
        <is>
          <t>I couldn't seem to experience any positive feeling at all</t>
        </is>
      </c>
      <c r="F124" s="27" t="inlineStr">
        <is>
          <t>Depression</t>
        </is>
      </c>
      <c r="G124" s="27" t="inlineStr">
        <is>
          <t>FALSE</t>
        </is>
      </c>
      <c r="H124" s="27" t="inlineStr">
        <is>
          <t>FALSE</t>
        </is>
      </c>
      <c r="I124" s="27" t="inlineStr">
        <is>
          <t>Did not apply to me at all = 0 | Applied to me to some degree, or some of the time = 1 | Applied to me to a considerable degree, or a good part of time = 2 | Applied to me very much, or most of the time = 3</t>
        </is>
      </c>
      <c r="J124" s="27" t="n"/>
      <c r="K124" s="27" t="inlineStr">
        <is>
          <t>https://www2.psy.unsw.edu.au/dass/</t>
        </is>
      </c>
    </row>
    <row r="125" ht="46.25" customHeight="1" s="17">
      <c r="A125" s="27" t="inlineStr">
        <is>
          <t>DASS-21</t>
        </is>
      </c>
      <c r="B125" s="27" t="inlineStr">
        <is>
          <t>Depression Anxiety Stress Scales, 21 item version (DASS-21)</t>
        </is>
      </c>
      <c r="C125" s="27" t="inlineStr">
        <is>
          <t>4. Psychological distress screening</t>
        </is>
      </c>
      <c r="D125" s="28" t="n">
        <v>4</v>
      </c>
      <c r="E125" s="27" t="inlineStr">
        <is>
          <t>I experienced breathing difficulty (eg, excessively rapid breathing, breathlessness in the absence of physical exertion)</t>
        </is>
      </c>
      <c r="F125" s="27" t="inlineStr">
        <is>
          <t>Anxiety</t>
        </is>
      </c>
      <c r="G125" s="27" t="inlineStr">
        <is>
          <t>FALSE</t>
        </is>
      </c>
      <c r="H125" s="27" t="inlineStr">
        <is>
          <t>FALSE</t>
        </is>
      </c>
      <c r="I125" s="27" t="inlineStr">
        <is>
          <t>Did not apply to me at all = 0 | Applied to me to some degree, or some of the time = 1 | Applied to me to a considerable degree, or a good part of time = 2 | Applied to me very much, or most of the time = 3</t>
        </is>
      </c>
      <c r="J125" s="27" t="n"/>
      <c r="K125" s="27" t="inlineStr">
        <is>
          <t>https://www2.psy.unsw.edu.au/dass/</t>
        </is>
      </c>
    </row>
    <row r="126" ht="46.25" customHeight="1" s="17">
      <c r="A126" s="27" t="inlineStr">
        <is>
          <t>DASS-21</t>
        </is>
      </c>
      <c r="B126" s="27" t="inlineStr">
        <is>
          <t>Depression Anxiety Stress Scales, 21 item version (DASS-21)</t>
        </is>
      </c>
      <c r="C126" s="27" t="inlineStr">
        <is>
          <t>4. Psychological distress screening</t>
        </is>
      </c>
      <c r="D126" s="28" t="n">
        <v>5</v>
      </c>
      <c r="E126" s="27" t="inlineStr">
        <is>
          <t>I found it difficult to work up the initiative to do things</t>
        </is>
      </c>
      <c r="F126" s="27" t="inlineStr">
        <is>
          <t>Depression</t>
        </is>
      </c>
      <c r="G126" s="27" t="inlineStr">
        <is>
          <t>FALSE</t>
        </is>
      </c>
      <c r="H126" s="27" t="inlineStr">
        <is>
          <t>FALSE</t>
        </is>
      </c>
      <c r="I126" s="27" t="inlineStr">
        <is>
          <t>Did not apply to me at all = 0 | Applied to me to some degree, or some of the time = 1 | Applied to me to a considerable degree, or a good part of time = 2 | Applied to me very much, or most of the time = 3</t>
        </is>
      </c>
      <c r="J126" s="27" t="n"/>
      <c r="K126" s="27" t="inlineStr">
        <is>
          <t>https://www2.psy.unsw.edu.au/dass/</t>
        </is>
      </c>
    </row>
    <row r="127" ht="46.25" customHeight="1" s="17">
      <c r="A127" s="27" t="inlineStr">
        <is>
          <t>DASS-21</t>
        </is>
      </c>
      <c r="B127" s="27" t="inlineStr">
        <is>
          <t>Depression Anxiety Stress Scales, 21 item version (DASS-21)</t>
        </is>
      </c>
      <c r="C127" s="27" t="inlineStr">
        <is>
          <t>4. Psychological distress screening</t>
        </is>
      </c>
      <c r="D127" s="28" t="n">
        <v>6</v>
      </c>
      <c r="E127" s="27" t="inlineStr">
        <is>
          <t>I tended to over-react to situations</t>
        </is>
      </c>
      <c r="F127" s="27" t="inlineStr">
        <is>
          <t>Stress</t>
        </is>
      </c>
      <c r="G127" s="27" t="inlineStr">
        <is>
          <t>FALSE</t>
        </is>
      </c>
      <c r="H127" s="27" t="inlineStr">
        <is>
          <t>FALSE</t>
        </is>
      </c>
      <c r="I127" s="27" t="inlineStr">
        <is>
          <t>Did not apply to me at all = 0 | Applied to me to some degree, or some of the time = 1 | Applied to me to a considerable degree, or a good part of time = 2 | Applied to me very much, or most of the time = 3</t>
        </is>
      </c>
      <c r="J127" s="27" t="n"/>
      <c r="K127" s="27" t="inlineStr">
        <is>
          <t>https://www2.psy.unsw.edu.au/dass/</t>
        </is>
      </c>
    </row>
    <row r="128" ht="46.25" customHeight="1" s="17">
      <c r="A128" s="27" t="inlineStr">
        <is>
          <t>DASS-21</t>
        </is>
      </c>
      <c r="B128" s="27" t="inlineStr">
        <is>
          <t>Depression Anxiety Stress Scales, 21 item version (DASS-21)</t>
        </is>
      </c>
      <c r="C128" s="27" t="inlineStr">
        <is>
          <t>4. Psychological distress screening</t>
        </is>
      </c>
      <c r="D128" s="28" t="n">
        <v>7</v>
      </c>
      <c r="E128" s="27" t="inlineStr">
        <is>
          <t>I experienced trembling (eg, in the hands)</t>
        </is>
      </c>
      <c r="F128" s="27" t="inlineStr">
        <is>
          <t>Anxiety</t>
        </is>
      </c>
      <c r="G128" s="27" t="inlineStr">
        <is>
          <t>FALSE</t>
        </is>
      </c>
      <c r="H128" s="27" t="inlineStr">
        <is>
          <t>FALSE</t>
        </is>
      </c>
      <c r="I128" s="27" t="inlineStr">
        <is>
          <t>Did not apply to me at all = 0 | Applied to me to some degree, or some of the time = 1 | Applied to me to a considerable degree, or a good part of time = 2 | Applied to me very much, or most of the time = 3</t>
        </is>
      </c>
      <c r="J128" s="27" t="n"/>
      <c r="K128" s="27" t="inlineStr">
        <is>
          <t>https://www2.psy.unsw.edu.au/dass/</t>
        </is>
      </c>
    </row>
    <row r="129" ht="46.25" customHeight="1" s="17">
      <c r="A129" s="27" t="inlineStr">
        <is>
          <t>DASS-21</t>
        </is>
      </c>
      <c r="B129" s="27" t="inlineStr">
        <is>
          <t>Depression Anxiety Stress Scales, 21 item version (DASS-21)</t>
        </is>
      </c>
      <c r="C129" s="27" t="inlineStr">
        <is>
          <t>4. Psychological distress screening</t>
        </is>
      </c>
      <c r="D129" s="28" t="n">
        <v>8</v>
      </c>
      <c r="E129" s="27" t="inlineStr">
        <is>
          <t>I felt that I was using a lot of nervous energy</t>
        </is>
      </c>
      <c r="F129" s="27" t="inlineStr">
        <is>
          <t>Stress</t>
        </is>
      </c>
      <c r="G129" s="27" t="inlineStr">
        <is>
          <t>FALSE</t>
        </is>
      </c>
      <c r="H129" s="27" t="inlineStr">
        <is>
          <t>FALSE</t>
        </is>
      </c>
      <c r="I129" s="27" t="inlineStr">
        <is>
          <t>Did not apply to me at all = 0 | Applied to me to some degree, or some of the time = 1 | Applied to me to a considerable degree, or a good part of time = 2 | Applied to me very much, or most of the time = 3</t>
        </is>
      </c>
      <c r="J129" s="27" t="n"/>
      <c r="K129" s="27" t="inlineStr">
        <is>
          <t>https://www2.psy.unsw.edu.au/dass/</t>
        </is>
      </c>
    </row>
    <row r="130" ht="46.25" customHeight="1" s="17">
      <c r="A130" s="27" t="inlineStr">
        <is>
          <t>DASS-21</t>
        </is>
      </c>
      <c r="B130" s="27" t="inlineStr">
        <is>
          <t>Depression Anxiety Stress Scales, 21 item version (DASS-21)</t>
        </is>
      </c>
      <c r="C130" s="27" t="inlineStr">
        <is>
          <t>4. Psychological distress screening</t>
        </is>
      </c>
      <c r="D130" s="28" t="n">
        <v>9</v>
      </c>
      <c r="E130" s="27" t="inlineStr">
        <is>
          <t>I was worried about situations in which I might panic and make a fool of myself</t>
        </is>
      </c>
      <c r="F130" s="27" t="inlineStr">
        <is>
          <t>Anxiety</t>
        </is>
      </c>
      <c r="G130" s="27" t="inlineStr">
        <is>
          <t>FALSE</t>
        </is>
      </c>
      <c r="H130" s="27" t="inlineStr">
        <is>
          <t>FALSE</t>
        </is>
      </c>
      <c r="I130" s="27" t="inlineStr">
        <is>
          <t>Did not apply to me at all = 0 | Applied to me to some degree, or some of the time = 1 | Applied to me to a considerable degree, or a good part of time = 2 | Applied to me very much, or most of the time = 3</t>
        </is>
      </c>
      <c r="J130" s="27" t="n"/>
      <c r="K130" s="27" t="inlineStr">
        <is>
          <t>https://www2.psy.unsw.edu.au/dass/</t>
        </is>
      </c>
    </row>
    <row r="131" ht="46.25" customHeight="1" s="17">
      <c r="A131" s="27" t="inlineStr">
        <is>
          <t>DASS-21</t>
        </is>
      </c>
      <c r="B131" s="27" t="inlineStr">
        <is>
          <t>Depression Anxiety Stress Scales, 21 item version (DASS-21)</t>
        </is>
      </c>
      <c r="C131" s="27" t="inlineStr">
        <is>
          <t>4. Psychological distress screening</t>
        </is>
      </c>
      <c r="D131" s="28" t="n">
        <v>10</v>
      </c>
      <c r="E131" s="27" t="inlineStr">
        <is>
          <t>I felt that I had nothing to look forward to</t>
        </is>
      </c>
      <c r="F131" s="27" t="inlineStr">
        <is>
          <t>Depression</t>
        </is>
      </c>
      <c r="G131" s="27" t="inlineStr">
        <is>
          <t>FALSE</t>
        </is>
      </c>
      <c r="H131" s="27" t="inlineStr">
        <is>
          <t>FALSE</t>
        </is>
      </c>
      <c r="I131" s="27" t="inlineStr">
        <is>
          <t>Did not apply to me at all = 0 | Applied to me to some degree, or some of the time = 1 | Applied to me to a considerable degree, or a good part of time = 2 | Applied to me very much, or most of the time = 3</t>
        </is>
      </c>
      <c r="J131" s="27" t="inlineStr">
        <is>
          <t>Followed up directly when endorsed at 2 or 3 (practice protocol).</t>
        </is>
      </c>
      <c r="K131" s="27" t="inlineStr">
        <is>
          <t>https://www2.psy.unsw.edu.au/dass/</t>
        </is>
      </c>
    </row>
    <row r="132" ht="46.25" customHeight="1" s="17">
      <c r="A132" s="27" t="inlineStr">
        <is>
          <t>DASS-21</t>
        </is>
      </c>
      <c r="B132" s="27" t="inlineStr">
        <is>
          <t>Depression Anxiety Stress Scales, 21 item version (DASS-21)</t>
        </is>
      </c>
      <c r="C132" s="27" t="inlineStr">
        <is>
          <t>4. Psychological distress screening</t>
        </is>
      </c>
      <c r="D132" s="28" t="n">
        <v>11</v>
      </c>
      <c r="E132" s="27" t="inlineStr">
        <is>
          <t>I found myself getting agitated</t>
        </is>
      </c>
      <c r="F132" s="27" t="inlineStr">
        <is>
          <t>Stress</t>
        </is>
      </c>
      <c r="G132" s="27" t="inlineStr">
        <is>
          <t>FALSE</t>
        </is>
      </c>
      <c r="H132" s="27" t="inlineStr">
        <is>
          <t>FALSE</t>
        </is>
      </c>
      <c r="I132" s="27" t="inlineStr">
        <is>
          <t>Did not apply to me at all = 0 | Applied to me to some degree, or some of the time = 1 | Applied to me to a considerable degree, or a good part of time = 2 | Applied to me very much, or most of the time = 3</t>
        </is>
      </c>
      <c r="J132" s="27" t="n"/>
      <c r="K132" s="27" t="inlineStr">
        <is>
          <t>https://www2.psy.unsw.edu.au/dass/</t>
        </is>
      </c>
    </row>
    <row r="133" ht="46.25" customHeight="1" s="17">
      <c r="A133" s="27" t="inlineStr">
        <is>
          <t>DASS-21</t>
        </is>
      </c>
      <c r="B133" s="27" t="inlineStr">
        <is>
          <t>Depression Anxiety Stress Scales, 21 item version (DASS-21)</t>
        </is>
      </c>
      <c r="C133" s="27" t="inlineStr">
        <is>
          <t>4. Psychological distress screening</t>
        </is>
      </c>
      <c r="D133" s="28" t="n">
        <v>12</v>
      </c>
      <c r="E133" s="27" t="inlineStr">
        <is>
          <t>I found it difficult to relax</t>
        </is>
      </c>
      <c r="F133" s="27" t="inlineStr">
        <is>
          <t>Stress</t>
        </is>
      </c>
      <c r="G133" s="27" t="inlineStr">
        <is>
          <t>FALSE</t>
        </is>
      </c>
      <c r="H133" s="27" t="inlineStr">
        <is>
          <t>FALSE</t>
        </is>
      </c>
      <c r="I133" s="27" t="inlineStr">
        <is>
          <t>Did not apply to me at all = 0 | Applied to me to some degree, or some of the time = 1 | Applied to me to a considerable degree, or a good part of time = 2 | Applied to me very much, or most of the time = 3</t>
        </is>
      </c>
      <c r="J133" s="27" t="n"/>
      <c r="K133" s="27" t="inlineStr">
        <is>
          <t>https://www2.psy.unsw.edu.au/dass/</t>
        </is>
      </c>
    </row>
    <row r="134" ht="46.25" customHeight="1" s="17">
      <c r="A134" s="27" t="inlineStr">
        <is>
          <t>DASS-21</t>
        </is>
      </c>
      <c r="B134" s="27" t="inlineStr">
        <is>
          <t>Depression Anxiety Stress Scales, 21 item version (DASS-21)</t>
        </is>
      </c>
      <c r="C134" s="27" t="inlineStr">
        <is>
          <t>4. Psychological distress screening</t>
        </is>
      </c>
      <c r="D134" s="28" t="n">
        <v>13</v>
      </c>
      <c r="E134" s="27" t="inlineStr">
        <is>
          <t>I felt down-hearted and blue</t>
        </is>
      </c>
      <c r="F134" s="27" t="inlineStr">
        <is>
          <t>Depression</t>
        </is>
      </c>
      <c r="G134" s="27" t="inlineStr">
        <is>
          <t>FALSE</t>
        </is>
      </c>
      <c r="H134" s="27" t="inlineStr">
        <is>
          <t>FALSE</t>
        </is>
      </c>
      <c r="I134" s="27" t="inlineStr">
        <is>
          <t>Did not apply to me at all = 0 | Applied to me to some degree, or some of the time = 1 | Applied to me to a considerable degree, or a good part of time = 2 | Applied to me very much, or most of the time = 3</t>
        </is>
      </c>
      <c r="J134" s="27" t="n"/>
      <c r="K134" s="27" t="inlineStr">
        <is>
          <t>https://www2.psy.unsw.edu.au/dass/</t>
        </is>
      </c>
    </row>
    <row r="135" ht="46.25" customHeight="1" s="17">
      <c r="A135" s="27" t="inlineStr">
        <is>
          <t>DASS-21</t>
        </is>
      </c>
      <c r="B135" s="27" t="inlineStr">
        <is>
          <t>Depression Anxiety Stress Scales, 21 item version (DASS-21)</t>
        </is>
      </c>
      <c r="C135" s="27" t="inlineStr">
        <is>
          <t>4. Psychological distress screening</t>
        </is>
      </c>
      <c r="D135" s="28" t="n">
        <v>14</v>
      </c>
      <c r="E135" s="27" t="inlineStr">
        <is>
          <t>I was intolerant of anything that kept me from getting on with what I was doing</t>
        </is>
      </c>
      <c r="F135" s="27" t="inlineStr">
        <is>
          <t>Stress</t>
        </is>
      </c>
      <c r="G135" s="27" t="inlineStr">
        <is>
          <t>FALSE</t>
        </is>
      </c>
      <c r="H135" s="27" t="inlineStr">
        <is>
          <t>FALSE</t>
        </is>
      </c>
      <c r="I135" s="27" t="inlineStr">
        <is>
          <t>Did not apply to me at all = 0 | Applied to me to some degree, or some of the time = 1 | Applied to me to a considerable degree, or a good part of time = 2 | Applied to me very much, or most of the time = 3</t>
        </is>
      </c>
      <c r="J135" s="27" t="n"/>
      <c r="K135" s="27" t="inlineStr">
        <is>
          <t>https://www2.psy.unsw.edu.au/dass/</t>
        </is>
      </c>
    </row>
    <row r="136" ht="46.25" customHeight="1" s="17">
      <c r="A136" s="27" t="inlineStr">
        <is>
          <t>DASS-21</t>
        </is>
      </c>
      <c r="B136" s="27" t="inlineStr">
        <is>
          <t>Depression Anxiety Stress Scales, 21 item version (DASS-21)</t>
        </is>
      </c>
      <c r="C136" s="27" t="inlineStr">
        <is>
          <t>4. Psychological distress screening</t>
        </is>
      </c>
      <c r="D136" s="28" t="n">
        <v>15</v>
      </c>
      <c r="E136" s="27" t="inlineStr">
        <is>
          <t>I felt I was close to panic</t>
        </is>
      </c>
      <c r="F136" s="27" t="inlineStr">
        <is>
          <t>Anxiety</t>
        </is>
      </c>
      <c r="G136" s="27" t="inlineStr">
        <is>
          <t>FALSE</t>
        </is>
      </c>
      <c r="H136" s="27" t="inlineStr">
        <is>
          <t>FALSE</t>
        </is>
      </c>
      <c r="I136" s="27" t="inlineStr">
        <is>
          <t>Did not apply to me at all = 0 | Applied to me to some degree, or some of the time = 1 | Applied to me to a considerable degree, or a good part of time = 2 | Applied to me very much, or most of the time = 3</t>
        </is>
      </c>
      <c r="J136" s="27" t="n"/>
      <c r="K136" s="27" t="inlineStr">
        <is>
          <t>https://www2.psy.unsw.edu.au/dass/</t>
        </is>
      </c>
    </row>
    <row r="137" ht="46.25" customHeight="1" s="17">
      <c r="A137" s="27" t="inlineStr">
        <is>
          <t>DASS-21</t>
        </is>
      </c>
      <c r="B137" s="27" t="inlineStr">
        <is>
          <t>Depression Anxiety Stress Scales, 21 item version (DASS-21)</t>
        </is>
      </c>
      <c r="C137" s="27" t="inlineStr">
        <is>
          <t>4. Psychological distress screening</t>
        </is>
      </c>
      <c r="D137" s="28" t="n">
        <v>16</v>
      </c>
      <c r="E137" s="27" t="inlineStr">
        <is>
          <t>I was unable to become enthusiastic about anything</t>
        </is>
      </c>
      <c r="F137" s="27" t="inlineStr">
        <is>
          <t>Depression</t>
        </is>
      </c>
      <c r="G137" s="27" t="inlineStr">
        <is>
          <t>FALSE</t>
        </is>
      </c>
      <c r="H137" s="27" t="inlineStr">
        <is>
          <t>FALSE</t>
        </is>
      </c>
      <c r="I137" s="27" t="inlineStr">
        <is>
          <t>Did not apply to me at all = 0 | Applied to me to some degree, or some of the time = 1 | Applied to me to a considerable degree, or a good part of time = 2 | Applied to me very much, or most of the time = 3</t>
        </is>
      </c>
      <c r="J137" s="27" t="n"/>
      <c r="K137" s="27" t="inlineStr">
        <is>
          <t>https://www2.psy.unsw.edu.au/dass/</t>
        </is>
      </c>
    </row>
    <row r="138" ht="46.25" customHeight="1" s="17">
      <c r="A138" s="27" t="inlineStr">
        <is>
          <t>DASS-21</t>
        </is>
      </c>
      <c r="B138" s="27" t="inlineStr">
        <is>
          <t>Depression Anxiety Stress Scales, 21 item version (DASS-21)</t>
        </is>
      </c>
      <c r="C138" s="27" t="inlineStr">
        <is>
          <t>4. Psychological distress screening</t>
        </is>
      </c>
      <c r="D138" s="28" t="n">
        <v>17</v>
      </c>
      <c r="E138" s="27" t="inlineStr">
        <is>
          <t>I felt I wasn't worth much as a person</t>
        </is>
      </c>
      <c r="F138" s="27" t="inlineStr">
        <is>
          <t>Depression</t>
        </is>
      </c>
      <c r="G138" s="27" t="inlineStr">
        <is>
          <t>FALSE</t>
        </is>
      </c>
      <c r="H138" s="27" t="inlineStr">
        <is>
          <t>FALSE</t>
        </is>
      </c>
      <c r="I138" s="27" t="inlineStr">
        <is>
          <t>Did not apply to me at all = 0 | Applied to me to some degree, or some of the time = 1 | Applied to me to a considerable degree, or a good part of time = 2 | Applied to me very much, or most of the time = 3</t>
        </is>
      </c>
      <c r="J138" s="27" t="inlineStr">
        <is>
          <t>Followed up directly when endorsed at 2 or 3 (practice protocol).</t>
        </is>
      </c>
      <c r="K138" s="27" t="inlineStr">
        <is>
          <t>https://www2.psy.unsw.edu.au/dass/</t>
        </is>
      </c>
    </row>
    <row r="139" ht="46.25" customHeight="1" s="17">
      <c r="A139" s="27" t="inlineStr">
        <is>
          <t>DASS-21</t>
        </is>
      </c>
      <c r="B139" s="27" t="inlineStr">
        <is>
          <t>Depression Anxiety Stress Scales, 21 item version (DASS-21)</t>
        </is>
      </c>
      <c r="C139" s="27" t="inlineStr">
        <is>
          <t>4. Psychological distress screening</t>
        </is>
      </c>
      <c r="D139" s="28" t="n">
        <v>18</v>
      </c>
      <c r="E139" s="27" t="inlineStr">
        <is>
          <t>I felt that I was rather touchy</t>
        </is>
      </c>
      <c r="F139" s="27" t="inlineStr">
        <is>
          <t>Stress</t>
        </is>
      </c>
      <c r="G139" s="27" t="inlineStr">
        <is>
          <t>FALSE</t>
        </is>
      </c>
      <c r="H139" s="27" t="inlineStr">
        <is>
          <t>FALSE</t>
        </is>
      </c>
      <c r="I139" s="27" t="inlineStr">
        <is>
          <t>Did not apply to me at all = 0 | Applied to me to some degree, or some of the time = 1 | Applied to me to a considerable degree, or a good part of time = 2 | Applied to me very much, or most of the time = 3</t>
        </is>
      </c>
      <c r="J139" s="27" t="n"/>
      <c r="K139" s="27" t="inlineStr">
        <is>
          <t>https://www2.psy.unsw.edu.au/dass/</t>
        </is>
      </c>
    </row>
    <row r="140" ht="46.25" customHeight="1" s="17">
      <c r="A140" s="27" t="inlineStr">
        <is>
          <t>DASS-21</t>
        </is>
      </c>
      <c r="B140" s="27" t="inlineStr">
        <is>
          <t>Depression Anxiety Stress Scales, 21 item version (DASS-21)</t>
        </is>
      </c>
      <c r="C140" s="27" t="inlineStr">
        <is>
          <t>4. Psychological distress screening</t>
        </is>
      </c>
      <c r="D140" s="28" t="n">
        <v>19</v>
      </c>
      <c r="E140" s="27" t="inlineStr">
        <is>
          <t>I was aware of the action of my heart in the absence of physical exertion (eg, sense of heart rate increase, heart missing a beat)</t>
        </is>
      </c>
      <c r="F140" s="27" t="inlineStr">
        <is>
          <t>Anxiety</t>
        </is>
      </c>
      <c r="G140" s="27" t="inlineStr">
        <is>
          <t>FALSE</t>
        </is>
      </c>
      <c r="H140" s="27" t="inlineStr">
        <is>
          <t>FALSE</t>
        </is>
      </c>
      <c r="I140" s="27" t="inlineStr">
        <is>
          <t>Did not apply to me at all = 0 | Applied to me to some degree, or some of the time = 1 | Applied to me to a considerable degree, or a good part of time = 2 | Applied to me very much, or most of the time = 3</t>
        </is>
      </c>
      <c r="J140" s="27" t="n"/>
      <c r="K140" s="27" t="inlineStr">
        <is>
          <t>https://www2.psy.unsw.edu.au/dass/</t>
        </is>
      </c>
    </row>
    <row r="141" ht="46.25" customHeight="1" s="17">
      <c r="A141" s="27" t="inlineStr">
        <is>
          <t>DASS-21</t>
        </is>
      </c>
      <c r="B141" s="27" t="inlineStr">
        <is>
          <t>Depression Anxiety Stress Scales, 21 item version (DASS-21)</t>
        </is>
      </c>
      <c r="C141" s="27" t="inlineStr">
        <is>
          <t>4. Psychological distress screening</t>
        </is>
      </c>
      <c r="D141" s="28" t="n">
        <v>20</v>
      </c>
      <c r="E141" s="27" t="inlineStr">
        <is>
          <t>I felt scared without any good reason</t>
        </is>
      </c>
      <c r="F141" s="27" t="inlineStr">
        <is>
          <t>Anxiety</t>
        </is>
      </c>
      <c r="G141" s="27" t="inlineStr">
        <is>
          <t>FALSE</t>
        </is>
      </c>
      <c r="H141" s="27" t="inlineStr">
        <is>
          <t>FALSE</t>
        </is>
      </c>
      <c r="I141" s="27" t="inlineStr">
        <is>
          <t>Did not apply to me at all = 0 | Applied to me to some degree, or some of the time = 1 | Applied to me to a considerable degree, or a good part of time = 2 | Applied to me very much, or most of the time = 3</t>
        </is>
      </c>
      <c r="J141" s="27" t="n"/>
      <c r="K141" s="27" t="inlineStr">
        <is>
          <t>https://www2.psy.unsw.edu.au/dass/</t>
        </is>
      </c>
    </row>
    <row r="142" ht="46.25" customHeight="1" s="17">
      <c r="A142" s="27" t="inlineStr">
        <is>
          <t>DASS-21</t>
        </is>
      </c>
      <c r="B142" s="27" t="inlineStr">
        <is>
          <t>Depression Anxiety Stress Scales, 21 item version (DASS-21)</t>
        </is>
      </c>
      <c r="C142" s="27" t="inlineStr">
        <is>
          <t>4. Psychological distress screening</t>
        </is>
      </c>
      <c r="D142" s="28" t="n">
        <v>21</v>
      </c>
      <c r="E142" s="27" t="inlineStr">
        <is>
          <t>I felt that life was meaningless</t>
        </is>
      </c>
      <c r="F142" s="27" t="inlineStr">
        <is>
          <t>Depression</t>
        </is>
      </c>
      <c r="G142" s="27" t="inlineStr">
        <is>
          <t>FALSE</t>
        </is>
      </c>
      <c r="H142" s="27" t="inlineStr">
        <is>
          <t>FALSE</t>
        </is>
      </c>
      <c r="I142" s="27" t="inlineStr">
        <is>
          <t>Did not apply to me at all = 0 | Applied to me to some degree, or some of the time = 1 | Applied to me to a considerable degree, or a good part of time = 2 | Applied to me very much, or most of the time = 3</t>
        </is>
      </c>
      <c r="J142" s="27" t="inlineStr">
        <is>
          <t>Followed up directly when endorsed at 2 or 3 (practice protocol).</t>
        </is>
      </c>
      <c r="K142" s="27" t="inlineStr">
        <is>
          <t>https://www2.psy.unsw.edu.au/dass/</t>
        </is>
      </c>
    </row>
    <row r="143" ht="23.85" customHeight="1" s="17">
      <c r="A143" s="27" t="inlineStr">
        <is>
          <t>PTQ</t>
        </is>
      </c>
      <c r="B143" s="27" t="inlineStr">
        <is>
          <t>Perseverative Thinking Questionnaire</t>
        </is>
      </c>
      <c r="C143" s="27" t="inlineStr">
        <is>
          <t>5. Repetitive negative thinking and self talk</t>
        </is>
      </c>
      <c r="D143" s="28" t="n">
        <v>1</v>
      </c>
      <c r="E143" s="27" t="inlineStr">
        <is>
          <t>The same thoughts keep going through my mind again and again.</t>
        </is>
      </c>
      <c r="F143" s="27" t="inlineStr">
        <is>
          <t>Core Characteristics of Repetitive Negative Thinking</t>
        </is>
      </c>
      <c r="G143" s="27" t="inlineStr">
        <is>
          <t>FALSE</t>
        </is>
      </c>
      <c r="H143" s="27" t="inlineStr">
        <is>
          <t>FALSE</t>
        </is>
      </c>
      <c r="I143" s="27" t="inlineStr">
        <is>
          <t>never = 0 | rarely = 1 | sometimes = 2 | often = 3 | almost always = 4</t>
        </is>
      </c>
      <c r="J143" s="27" t="n"/>
      <c r="K143" s="27" t="inlineStr">
        <is>
          <t>https://oxcadatresources.com/wp-content/uploads/2020/09/EhringetalRuminationQuestionnaire.2011.pdf</t>
        </is>
      </c>
    </row>
    <row r="144" ht="23.85" customHeight="1" s="17">
      <c r="A144" s="27" t="inlineStr">
        <is>
          <t>PTQ</t>
        </is>
      </c>
      <c r="B144" s="27" t="inlineStr">
        <is>
          <t>Perseverative Thinking Questionnaire</t>
        </is>
      </c>
      <c r="C144" s="27" t="inlineStr">
        <is>
          <t>5. Repetitive negative thinking and self talk</t>
        </is>
      </c>
      <c r="D144" s="28" t="n">
        <v>2</v>
      </c>
      <c r="E144" s="27" t="inlineStr">
        <is>
          <t>Thoughts intrude into my mind.</t>
        </is>
      </c>
      <c r="F144" s="27" t="inlineStr">
        <is>
          <t>Core Characteristics of Repetitive Negative Thinking</t>
        </is>
      </c>
      <c r="G144" s="27" t="inlineStr">
        <is>
          <t>FALSE</t>
        </is>
      </c>
      <c r="H144" s="27" t="inlineStr">
        <is>
          <t>FALSE</t>
        </is>
      </c>
      <c r="I144" s="27" t="inlineStr">
        <is>
          <t>never = 0 | rarely = 1 | sometimes = 2 | often = 3 | almost always = 4</t>
        </is>
      </c>
      <c r="J144" s="27" t="n"/>
      <c r="K144" s="27" t="inlineStr">
        <is>
          <t>https://oxcadatresources.com/wp-content/uploads/2020/09/EhringetalRuminationQuestionnaire.2011.pdf</t>
        </is>
      </c>
    </row>
    <row r="145" ht="23.85" customHeight="1" s="17">
      <c r="A145" s="27" t="inlineStr">
        <is>
          <t>PTQ</t>
        </is>
      </c>
      <c r="B145" s="27" t="inlineStr">
        <is>
          <t>Perseverative Thinking Questionnaire</t>
        </is>
      </c>
      <c r="C145" s="27" t="inlineStr">
        <is>
          <t>5. Repetitive negative thinking and self talk</t>
        </is>
      </c>
      <c r="D145" s="28" t="n">
        <v>3</v>
      </c>
      <c r="E145" s="27" t="inlineStr">
        <is>
          <t>I can't stop dwelling on them.</t>
        </is>
      </c>
      <c r="F145" s="27" t="inlineStr">
        <is>
          <t>Core Characteristics of Repetitive Negative Thinking</t>
        </is>
      </c>
      <c r="G145" s="27" t="inlineStr">
        <is>
          <t>FALSE</t>
        </is>
      </c>
      <c r="H145" s="27" t="inlineStr">
        <is>
          <t>FALSE</t>
        </is>
      </c>
      <c r="I145" s="27" t="inlineStr">
        <is>
          <t>never = 0 | rarely = 1 | sometimes = 2 | often = 3 | almost always = 4</t>
        </is>
      </c>
      <c r="J145" s="27" t="n"/>
      <c r="K145" s="27" t="inlineStr">
        <is>
          <t>https://oxcadatresources.com/wp-content/uploads/2020/09/EhringetalRuminationQuestionnaire.2011.pdf</t>
        </is>
      </c>
    </row>
    <row r="146" ht="23.85" customHeight="1" s="17">
      <c r="A146" s="27" t="inlineStr">
        <is>
          <t>PTQ</t>
        </is>
      </c>
      <c r="B146" s="27" t="inlineStr">
        <is>
          <t>Perseverative Thinking Questionnaire</t>
        </is>
      </c>
      <c r="C146" s="27" t="inlineStr">
        <is>
          <t>5. Repetitive negative thinking and self talk</t>
        </is>
      </c>
      <c r="D146" s="28" t="n">
        <v>4</v>
      </c>
      <c r="E146" s="27" t="inlineStr">
        <is>
          <t>I think about many problems without solving any of them.</t>
        </is>
      </c>
      <c r="F146" s="27" t="inlineStr">
        <is>
          <t>Unproductiveness</t>
        </is>
      </c>
      <c r="G146" s="27" t="inlineStr">
        <is>
          <t>FALSE</t>
        </is>
      </c>
      <c r="H146" s="27" t="inlineStr">
        <is>
          <t>FALSE</t>
        </is>
      </c>
      <c r="I146" s="27" t="inlineStr">
        <is>
          <t>never = 0 | rarely = 1 | sometimes = 2 | often = 3 | almost always = 4</t>
        </is>
      </c>
      <c r="J146" s="27" t="n"/>
      <c r="K146" s="27" t="inlineStr">
        <is>
          <t>https://oxcadatresources.com/wp-content/uploads/2020/09/EhringetalRuminationQuestionnaire.2011.pdf</t>
        </is>
      </c>
    </row>
    <row r="147" ht="23.85" customHeight="1" s="17">
      <c r="A147" s="27" t="inlineStr">
        <is>
          <t>PTQ</t>
        </is>
      </c>
      <c r="B147" s="27" t="inlineStr">
        <is>
          <t>Perseverative Thinking Questionnaire</t>
        </is>
      </c>
      <c r="C147" s="27" t="inlineStr">
        <is>
          <t>5. Repetitive negative thinking and self talk</t>
        </is>
      </c>
      <c r="D147" s="28" t="n">
        <v>5</v>
      </c>
      <c r="E147" s="27" t="inlineStr">
        <is>
          <t>I can't do anything else while thinking about my problems.</t>
        </is>
      </c>
      <c r="F147" s="27" t="inlineStr">
        <is>
          <t>Capturing Mental Capacity</t>
        </is>
      </c>
      <c r="G147" s="27" t="inlineStr">
        <is>
          <t>FALSE</t>
        </is>
      </c>
      <c r="H147" s="27" t="inlineStr">
        <is>
          <t>FALSE</t>
        </is>
      </c>
      <c r="I147" s="27" t="inlineStr">
        <is>
          <t>never = 0 | rarely = 1 | sometimes = 2 | often = 3 | almost always = 4</t>
        </is>
      </c>
      <c r="J147" s="27" t="n"/>
      <c r="K147" s="27" t="inlineStr">
        <is>
          <t>https://oxcadatresources.com/wp-content/uploads/2020/09/EhringetalRuminationQuestionnaire.2011.pdf</t>
        </is>
      </c>
    </row>
    <row r="148" ht="23.85" customHeight="1" s="17">
      <c r="A148" s="27" t="inlineStr">
        <is>
          <t>PTQ</t>
        </is>
      </c>
      <c r="B148" s="27" t="inlineStr">
        <is>
          <t>Perseverative Thinking Questionnaire</t>
        </is>
      </c>
      <c r="C148" s="27" t="inlineStr">
        <is>
          <t>5. Repetitive negative thinking and self talk</t>
        </is>
      </c>
      <c r="D148" s="28" t="n">
        <v>6</v>
      </c>
      <c r="E148" s="27" t="inlineStr">
        <is>
          <t>My thoughts repeat themselves.</t>
        </is>
      </c>
      <c r="F148" s="27" t="inlineStr">
        <is>
          <t>Core Characteristics of Repetitive Negative Thinking</t>
        </is>
      </c>
      <c r="G148" s="27" t="inlineStr">
        <is>
          <t>FALSE</t>
        </is>
      </c>
      <c r="H148" s="27" t="inlineStr">
        <is>
          <t>FALSE</t>
        </is>
      </c>
      <c r="I148" s="27" t="inlineStr">
        <is>
          <t>never = 0 | rarely = 1 | sometimes = 2 | often = 3 | almost always = 4</t>
        </is>
      </c>
      <c r="J148" s="27" t="n"/>
      <c r="K148" s="27" t="inlineStr">
        <is>
          <t>https://oxcadatresources.com/wp-content/uploads/2020/09/EhringetalRuminationQuestionnaire.2011.pdf</t>
        </is>
      </c>
    </row>
    <row r="149" ht="23.85" customHeight="1" s="17">
      <c r="A149" s="27" t="inlineStr">
        <is>
          <t>PTQ</t>
        </is>
      </c>
      <c r="B149" s="27" t="inlineStr">
        <is>
          <t>Perseverative Thinking Questionnaire</t>
        </is>
      </c>
      <c r="C149" s="27" t="inlineStr">
        <is>
          <t>5. Repetitive negative thinking and self talk</t>
        </is>
      </c>
      <c r="D149" s="28" t="n">
        <v>7</v>
      </c>
      <c r="E149" s="27" t="inlineStr">
        <is>
          <t>Thoughts come to my mind without me wanting them to.</t>
        </is>
      </c>
      <c r="F149" s="27" t="inlineStr">
        <is>
          <t>Core Characteristics of Repetitive Negative Thinking</t>
        </is>
      </c>
      <c r="G149" s="27" t="inlineStr">
        <is>
          <t>FALSE</t>
        </is>
      </c>
      <c r="H149" s="27" t="inlineStr">
        <is>
          <t>FALSE</t>
        </is>
      </c>
      <c r="I149" s="27" t="inlineStr">
        <is>
          <t>never = 0 | rarely = 1 | sometimes = 2 | often = 3 | almost always = 4</t>
        </is>
      </c>
      <c r="J149" s="27" t="n"/>
      <c r="K149" s="27" t="inlineStr">
        <is>
          <t>https://oxcadatresources.com/wp-content/uploads/2020/09/EhringetalRuminationQuestionnaire.2011.pdf</t>
        </is>
      </c>
    </row>
    <row r="150" ht="23.85" customHeight="1" s="17">
      <c r="A150" s="27" t="inlineStr">
        <is>
          <t>PTQ</t>
        </is>
      </c>
      <c r="B150" s="27" t="inlineStr">
        <is>
          <t>Perseverative Thinking Questionnaire</t>
        </is>
      </c>
      <c r="C150" s="27" t="inlineStr">
        <is>
          <t>5. Repetitive negative thinking and self talk</t>
        </is>
      </c>
      <c r="D150" s="28" t="n">
        <v>8</v>
      </c>
      <c r="E150" s="27" t="inlineStr">
        <is>
          <t>I get stuck on certain issues and can't move on.</t>
        </is>
      </c>
      <c r="F150" s="27" t="inlineStr">
        <is>
          <t>Core Characteristics of Repetitive Negative Thinking</t>
        </is>
      </c>
      <c r="G150" s="27" t="inlineStr">
        <is>
          <t>FALSE</t>
        </is>
      </c>
      <c r="H150" s="27" t="inlineStr">
        <is>
          <t>FALSE</t>
        </is>
      </c>
      <c r="I150" s="27" t="inlineStr">
        <is>
          <t>never = 0 | rarely = 1 | sometimes = 2 | often = 3 | almost always = 4</t>
        </is>
      </c>
      <c r="J150" s="27" t="n"/>
      <c r="K150" s="27" t="inlineStr">
        <is>
          <t>https://oxcadatresources.com/wp-content/uploads/2020/09/EhringetalRuminationQuestionnaire.2011.pdf</t>
        </is>
      </c>
    </row>
    <row r="151" ht="23.85" customHeight="1" s="17">
      <c r="A151" s="27" t="inlineStr">
        <is>
          <t>PTQ</t>
        </is>
      </c>
      <c r="B151" s="27" t="inlineStr">
        <is>
          <t>Perseverative Thinking Questionnaire</t>
        </is>
      </c>
      <c r="C151" s="27" t="inlineStr">
        <is>
          <t>5. Repetitive negative thinking and self talk</t>
        </is>
      </c>
      <c r="D151" s="28" t="n">
        <v>9</v>
      </c>
      <c r="E151" s="27" t="inlineStr">
        <is>
          <t>I keep asking myself questions without finding an answer.</t>
        </is>
      </c>
      <c r="F151" s="27" t="inlineStr">
        <is>
          <t>Unproductiveness</t>
        </is>
      </c>
      <c r="G151" s="27" t="inlineStr">
        <is>
          <t>FALSE</t>
        </is>
      </c>
      <c r="H151" s="27" t="inlineStr">
        <is>
          <t>FALSE</t>
        </is>
      </c>
      <c r="I151" s="27" t="inlineStr">
        <is>
          <t>never = 0 | rarely = 1 | sometimes = 2 | often = 3 | almost always = 4</t>
        </is>
      </c>
      <c r="J151" s="27" t="n"/>
      <c r="K151" s="27" t="inlineStr">
        <is>
          <t>https://oxcadatresources.com/wp-content/uploads/2020/09/EhringetalRuminationQuestionnaire.2011.pdf</t>
        </is>
      </c>
    </row>
    <row r="152" ht="23.85" customHeight="1" s="17">
      <c r="A152" s="27" t="inlineStr">
        <is>
          <t>PTQ</t>
        </is>
      </c>
      <c r="B152" s="27" t="inlineStr">
        <is>
          <t>Perseverative Thinking Questionnaire</t>
        </is>
      </c>
      <c r="C152" s="27" t="inlineStr">
        <is>
          <t>5. Repetitive negative thinking and self talk</t>
        </is>
      </c>
      <c r="D152" s="28" t="n">
        <v>10</v>
      </c>
      <c r="E152" s="27" t="inlineStr">
        <is>
          <t>My thoughts prevent me from focusing on other things.</t>
        </is>
      </c>
      <c r="F152" s="27" t="inlineStr">
        <is>
          <t>Capturing Mental Capacity</t>
        </is>
      </c>
      <c r="G152" s="27" t="inlineStr">
        <is>
          <t>FALSE</t>
        </is>
      </c>
      <c r="H152" s="27" t="inlineStr">
        <is>
          <t>FALSE</t>
        </is>
      </c>
      <c r="I152" s="27" t="inlineStr">
        <is>
          <t>never = 0 | rarely = 1 | sometimes = 2 | often = 3 | almost always = 4</t>
        </is>
      </c>
      <c r="J152" s="27" t="n"/>
      <c r="K152" s="27" t="inlineStr">
        <is>
          <t>https://oxcadatresources.com/wp-content/uploads/2020/09/EhringetalRuminationQuestionnaire.2011.pdf</t>
        </is>
      </c>
    </row>
    <row r="153" ht="23.85" customHeight="1" s="17">
      <c r="A153" s="27" t="inlineStr">
        <is>
          <t>PTQ</t>
        </is>
      </c>
      <c r="B153" s="27" t="inlineStr">
        <is>
          <t>Perseverative Thinking Questionnaire</t>
        </is>
      </c>
      <c r="C153" s="27" t="inlineStr">
        <is>
          <t>5. Repetitive negative thinking and self talk</t>
        </is>
      </c>
      <c r="D153" s="28" t="n">
        <v>11</v>
      </c>
      <c r="E153" s="27" t="inlineStr">
        <is>
          <t>I keep thinking about the same issue all the time.</t>
        </is>
      </c>
      <c r="F153" s="27" t="inlineStr">
        <is>
          <t>Core Characteristics of Repetitive Negative Thinking</t>
        </is>
      </c>
      <c r="G153" s="27" t="inlineStr">
        <is>
          <t>FALSE</t>
        </is>
      </c>
      <c r="H153" s="27" t="inlineStr">
        <is>
          <t>FALSE</t>
        </is>
      </c>
      <c r="I153" s="27" t="inlineStr">
        <is>
          <t>never = 0 | rarely = 1 | sometimes = 2 | often = 3 | almost always = 4</t>
        </is>
      </c>
      <c r="J153" s="27" t="n"/>
      <c r="K153" s="27" t="inlineStr">
        <is>
          <t>https://oxcadatresources.com/wp-content/uploads/2020/09/EhringetalRuminationQuestionnaire.2011.pdf</t>
        </is>
      </c>
    </row>
    <row r="154" ht="23.85" customHeight="1" s="17">
      <c r="A154" s="27" t="inlineStr">
        <is>
          <t>PTQ</t>
        </is>
      </c>
      <c r="B154" s="27" t="inlineStr">
        <is>
          <t>Perseverative Thinking Questionnaire</t>
        </is>
      </c>
      <c r="C154" s="27" t="inlineStr">
        <is>
          <t>5. Repetitive negative thinking and self talk</t>
        </is>
      </c>
      <c r="D154" s="28" t="n">
        <v>12</v>
      </c>
      <c r="E154" s="27" t="inlineStr">
        <is>
          <t>Thoughts just pop into my mind.</t>
        </is>
      </c>
      <c r="F154" s="27" t="inlineStr">
        <is>
          <t>Core Characteristics of Repetitive Negative Thinking</t>
        </is>
      </c>
      <c r="G154" s="27" t="inlineStr">
        <is>
          <t>FALSE</t>
        </is>
      </c>
      <c r="H154" s="27" t="inlineStr">
        <is>
          <t>FALSE</t>
        </is>
      </c>
      <c r="I154" s="27" t="inlineStr">
        <is>
          <t>never = 0 | rarely = 1 | sometimes = 2 | often = 3 | almost always = 4</t>
        </is>
      </c>
      <c r="J154" s="27" t="n"/>
      <c r="K154" s="27" t="inlineStr">
        <is>
          <t>https://oxcadatresources.com/wp-content/uploads/2020/09/EhringetalRuminationQuestionnaire.2011.pdf</t>
        </is>
      </c>
    </row>
    <row r="155" ht="23.85" customHeight="1" s="17">
      <c r="A155" s="27" t="inlineStr">
        <is>
          <t>PTQ</t>
        </is>
      </c>
      <c r="B155" s="27" t="inlineStr">
        <is>
          <t>Perseverative Thinking Questionnaire</t>
        </is>
      </c>
      <c r="C155" s="27" t="inlineStr">
        <is>
          <t>5. Repetitive negative thinking and self talk</t>
        </is>
      </c>
      <c r="D155" s="28" t="n">
        <v>13</v>
      </c>
      <c r="E155" s="27" t="inlineStr">
        <is>
          <t>I feel driven to continue dwelling on the same issue.</t>
        </is>
      </c>
      <c r="F155" s="27" t="inlineStr">
        <is>
          <t>Core Characteristics of Repetitive Negative Thinking</t>
        </is>
      </c>
      <c r="G155" s="27" t="inlineStr">
        <is>
          <t>FALSE</t>
        </is>
      </c>
      <c r="H155" s="27" t="inlineStr">
        <is>
          <t>FALSE</t>
        </is>
      </c>
      <c r="I155" s="27" t="inlineStr">
        <is>
          <t>never = 0 | rarely = 1 | sometimes = 2 | often = 3 | almost always = 4</t>
        </is>
      </c>
      <c r="J155" s="27" t="n"/>
      <c r="K155" s="27" t="inlineStr">
        <is>
          <t>https://oxcadatresources.com/wp-content/uploads/2020/09/EhringetalRuminationQuestionnaire.2011.pdf</t>
        </is>
      </c>
    </row>
    <row r="156" ht="23.85" customHeight="1" s="17">
      <c r="A156" s="27" t="inlineStr">
        <is>
          <t>PTQ</t>
        </is>
      </c>
      <c r="B156" s="27" t="inlineStr">
        <is>
          <t>Perseverative Thinking Questionnaire</t>
        </is>
      </c>
      <c r="C156" s="27" t="inlineStr">
        <is>
          <t>5. Repetitive negative thinking and self talk</t>
        </is>
      </c>
      <c r="D156" s="28" t="n">
        <v>14</v>
      </c>
      <c r="E156" s="27" t="inlineStr">
        <is>
          <t>My thoughts are not much help to me.</t>
        </is>
      </c>
      <c r="F156" s="27" t="inlineStr">
        <is>
          <t>Unproductiveness</t>
        </is>
      </c>
      <c r="G156" s="27" t="inlineStr">
        <is>
          <t>FALSE</t>
        </is>
      </c>
      <c r="H156" s="27" t="inlineStr">
        <is>
          <t>FALSE</t>
        </is>
      </c>
      <c r="I156" s="27" t="inlineStr">
        <is>
          <t>never = 0 | rarely = 1 | sometimes = 2 | often = 3 | almost always = 4</t>
        </is>
      </c>
      <c r="J156" s="27" t="n"/>
      <c r="K156" s="27" t="inlineStr">
        <is>
          <t>https://oxcadatresources.com/wp-content/uploads/2020/09/EhringetalRuminationQuestionnaire.2011.pdf</t>
        </is>
      </c>
    </row>
    <row r="157" ht="23.85" customHeight="1" s="17">
      <c r="A157" s="27" t="inlineStr">
        <is>
          <t>PTQ</t>
        </is>
      </c>
      <c r="B157" s="27" t="inlineStr">
        <is>
          <t>Perseverative Thinking Questionnaire</t>
        </is>
      </c>
      <c r="C157" s="27" t="inlineStr">
        <is>
          <t>5. Repetitive negative thinking and self talk</t>
        </is>
      </c>
      <c r="D157" s="28" t="n">
        <v>15</v>
      </c>
      <c r="E157" s="27" t="inlineStr">
        <is>
          <t>My thoughts take up all my attention.</t>
        </is>
      </c>
      <c r="F157" s="27" t="inlineStr">
        <is>
          <t>Capturing Mental Capacity</t>
        </is>
      </c>
      <c r="G157" s="27" t="inlineStr">
        <is>
          <t>FALSE</t>
        </is>
      </c>
      <c r="H157" s="27" t="inlineStr">
        <is>
          <t>FALSE</t>
        </is>
      </c>
      <c r="I157" s="27" t="inlineStr">
        <is>
          <t>never = 0 | rarely = 1 | sometimes = 2 | often = 3 | almost always = 4</t>
        </is>
      </c>
      <c r="J157" s="27" t="n"/>
      <c r="K157" s="27" t="inlineStr">
        <is>
          <t>https://oxcadatresources.com/wp-content/uploads/2020/09/EhringetalRuminationQuestionnaire.2011.pdf</t>
        </is>
      </c>
    </row>
    <row r="158" ht="23.85" customHeight="1" s="17">
      <c r="A158" s="27" t="inlineStr">
        <is>
          <t>RRS</t>
        </is>
      </c>
      <c r="B158" s="27" t="inlineStr">
        <is>
          <t>Ruminative Responses Scale</t>
        </is>
      </c>
      <c r="C158" s="27" t="inlineStr">
        <is>
          <t>5. Repetitive negative thinking and self talk</t>
        </is>
      </c>
      <c r="D158" s="28" t="n">
        <v>1</v>
      </c>
      <c r="E158" s="27" t="inlineStr">
        <is>
          <t>Think about how alone you feel</t>
        </is>
      </c>
      <c r="F158" s="27" t="inlineStr">
        <is>
          <t>Depression-related items (not scored as a subscale)</t>
        </is>
      </c>
      <c r="G158" s="27" t="inlineStr">
        <is>
          <t>FALSE</t>
        </is>
      </c>
      <c r="H158" s="27" t="inlineStr">
        <is>
          <t>FALSE</t>
        </is>
      </c>
      <c r="I158" s="27" t="inlineStr">
        <is>
          <t>almost never = 1 | sometimes = 2 | often = 3 | almost always = 4</t>
        </is>
      </c>
      <c r="J158" s="27" t="n"/>
      <c r="K158" s="27" t="inlineStr">
        <is>
          <t>https://novopsych.com/assessments/formulation/ruminative-responses-scale-rrs/</t>
        </is>
      </c>
    </row>
    <row r="159" ht="23.85" customHeight="1" s="17">
      <c r="A159" s="27" t="inlineStr">
        <is>
          <t>RRS</t>
        </is>
      </c>
      <c r="B159" s="27" t="inlineStr">
        <is>
          <t>Ruminative Responses Scale</t>
        </is>
      </c>
      <c r="C159" s="27" t="inlineStr">
        <is>
          <t>5. Repetitive negative thinking and self talk</t>
        </is>
      </c>
      <c r="D159" s="28" t="n">
        <v>2</v>
      </c>
      <c r="E159" s="27" t="inlineStr">
        <is>
          <t>Think "I won't be able to do my job if I don't snap out of this"</t>
        </is>
      </c>
      <c r="F159" s="27" t="inlineStr">
        <is>
          <t>Depression-related items (not scored as a subscale)</t>
        </is>
      </c>
      <c r="G159" s="27" t="inlineStr">
        <is>
          <t>FALSE</t>
        </is>
      </c>
      <c r="H159" s="27" t="inlineStr">
        <is>
          <t>FALSE</t>
        </is>
      </c>
      <c r="I159" s="27" t="inlineStr">
        <is>
          <t>almost never = 1 | sometimes = 2 | often = 3 | almost always = 4</t>
        </is>
      </c>
      <c r="J159" s="27" t="n"/>
      <c r="K159" s="27" t="inlineStr">
        <is>
          <t>https://novopsych.com/assessments/formulation/ruminative-responses-scale-rrs/</t>
        </is>
      </c>
    </row>
    <row r="160" ht="23.85" customHeight="1" s="17">
      <c r="A160" s="27" t="inlineStr">
        <is>
          <t>RRS</t>
        </is>
      </c>
      <c r="B160" s="27" t="inlineStr">
        <is>
          <t>Ruminative Responses Scale</t>
        </is>
      </c>
      <c r="C160" s="27" t="inlineStr">
        <is>
          <t>5. Repetitive negative thinking and self talk</t>
        </is>
      </c>
      <c r="D160" s="28" t="n">
        <v>3</v>
      </c>
      <c r="E160" s="27" t="inlineStr">
        <is>
          <t>Think about your feelings of fatigue and achiness</t>
        </is>
      </c>
      <c r="F160" s="27" t="inlineStr">
        <is>
          <t>Depression-related items (not scored as a subscale)</t>
        </is>
      </c>
      <c r="G160" s="27" t="inlineStr">
        <is>
          <t>FALSE</t>
        </is>
      </c>
      <c r="H160" s="27" t="inlineStr">
        <is>
          <t>FALSE</t>
        </is>
      </c>
      <c r="I160" s="27" t="inlineStr">
        <is>
          <t>almost never = 1 | sometimes = 2 | often = 3 | almost always = 4</t>
        </is>
      </c>
      <c r="J160" s="27" t="n"/>
      <c r="K160" s="27" t="inlineStr">
        <is>
          <t>https://novopsych.com/assessments/formulation/ruminative-responses-scale-rrs/</t>
        </is>
      </c>
    </row>
    <row r="161" ht="23.85" customHeight="1" s="17">
      <c r="A161" s="27" t="inlineStr">
        <is>
          <t>RRS</t>
        </is>
      </c>
      <c r="B161" s="27" t="inlineStr">
        <is>
          <t>Ruminative Responses Scale</t>
        </is>
      </c>
      <c r="C161" s="27" t="inlineStr">
        <is>
          <t>5. Repetitive negative thinking and self talk</t>
        </is>
      </c>
      <c r="D161" s="28" t="n">
        <v>4</v>
      </c>
      <c r="E161" s="27" t="inlineStr">
        <is>
          <t>Think about how hard it is to concentrate</t>
        </is>
      </c>
      <c r="F161" s="27" t="inlineStr">
        <is>
          <t>Depression-related items (not scored as a subscale)</t>
        </is>
      </c>
      <c r="G161" s="27" t="inlineStr">
        <is>
          <t>FALSE</t>
        </is>
      </c>
      <c r="H161" s="27" t="inlineStr">
        <is>
          <t>FALSE</t>
        </is>
      </c>
      <c r="I161" s="27" t="inlineStr">
        <is>
          <t>almost never = 1 | sometimes = 2 | often = 3 | almost always = 4</t>
        </is>
      </c>
      <c r="J161" s="27" t="n"/>
      <c r="K161" s="27" t="inlineStr">
        <is>
          <t>https://novopsych.com/assessments/formulation/ruminative-responses-scale-rrs/</t>
        </is>
      </c>
    </row>
    <row r="162" ht="23.85" customHeight="1" s="17">
      <c r="A162" s="27" t="inlineStr">
        <is>
          <t>RRS</t>
        </is>
      </c>
      <c r="B162" s="27" t="inlineStr">
        <is>
          <t>Ruminative Responses Scale</t>
        </is>
      </c>
      <c r="C162" s="27" t="inlineStr">
        <is>
          <t>5. Repetitive negative thinking and self talk</t>
        </is>
      </c>
      <c r="D162" s="28" t="n">
        <v>5</v>
      </c>
      <c r="E162" s="27" t="inlineStr">
        <is>
          <t>Think "What am I doing to deserve this?"</t>
        </is>
      </c>
      <c r="F162" s="27" t="inlineStr">
        <is>
          <t>Brooding</t>
        </is>
      </c>
      <c r="G162" s="27" t="inlineStr">
        <is>
          <t>FALSE</t>
        </is>
      </c>
      <c r="H162" s="27" t="inlineStr">
        <is>
          <t>FALSE</t>
        </is>
      </c>
      <c r="I162" s="27" t="inlineStr">
        <is>
          <t>almost never = 1 | sometimes = 2 | often = 3 | almost always = 4</t>
        </is>
      </c>
      <c r="J162" s="27" t="n"/>
      <c r="K162" s="27" t="inlineStr">
        <is>
          <t>https://novopsych.com/assessments/formulation/ruminative-responses-scale-rrs/</t>
        </is>
      </c>
    </row>
    <row r="163" ht="23.85" customHeight="1" s="17">
      <c r="A163" s="27" t="inlineStr">
        <is>
          <t>RRS</t>
        </is>
      </c>
      <c r="B163" s="27" t="inlineStr">
        <is>
          <t>Ruminative Responses Scale</t>
        </is>
      </c>
      <c r="C163" s="27" t="inlineStr">
        <is>
          <t>5. Repetitive negative thinking and self talk</t>
        </is>
      </c>
      <c r="D163" s="28" t="n">
        <v>6</v>
      </c>
      <c r="E163" s="27" t="inlineStr">
        <is>
          <t>Think about how passive and unmotivated you feel</t>
        </is>
      </c>
      <c r="F163" s="27" t="inlineStr">
        <is>
          <t>Depression-related items (not scored as a subscale)</t>
        </is>
      </c>
      <c r="G163" s="27" t="inlineStr">
        <is>
          <t>FALSE</t>
        </is>
      </c>
      <c r="H163" s="27" t="inlineStr">
        <is>
          <t>FALSE</t>
        </is>
      </c>
      <c r="I163" s="27" t="inlineStr">
        <is>
          <t>almost never = 1 | sometimes = 2 | often = 3 | almost always = 4</t>
        </is>
      </c>
      <c r="J163" s="27" t="n"/>
      <c r="K163" s="27" t="inlineStr">
        <is>
          <t>https://novopsych.com/assessments/formulation/ruminative-responses-scale-rrs/</t>
        </is>
      </c>
    </row>
    <row r="164" ht="23.85" customHeight="1" s="17">
      <c r="A164" s="27" t="inlineStr">
        <is>
          <t>RRS</t>
        </is>
      </c>
      <c r="B164" s="27" t="inlineStr">
        <is>
          <t>Ruminative Responses Scale</t>
        </is>
      </c>
      <c r="C164" s="27" t="inlineStr">
        <is>
          <t>5. Repetitive negative thinking and self talk</t>
        </is>
      </c>
      <c r="D164" s="28" t="n">
        <v>7</v>
      </c>
      <c r="E164" s="27" t="inlineStr">
        <is>
          <t>Analyze recent events to try to understand why you are depressed</t>
        </is>
      </c>
      <c r="F164" s="27" t="inlineStr">
        <is>
          <t>Reflection</t>
        </is>
      </c>
      <c r="G164" s="27" t="inlineStr">
        <is>
          <t>FALSE</t>
        </is>
      </c>
      <c r="H164" s="27" t="inlineStr">
        <is>
          <t>FALSE</t>
        </is>
      </c>
      <c r="I164" s="27" t="inlineStr">
        <is>
          <t>almost never = 1 | sometimes = 2 | often = 3 | almost always = 4</t>
        </is>
      </c>
      <c r="J164" s="27" t="n"/>
      <c r="K164" s="27" t="inlineStr">
        <is>
          <t>https://novopsych.com/assessments/formulation/ruminative-responses-scale-rrs/</t>
        </is>
      </c>
    </row>
    <row r="165" ht="23.85" customHeight="1" s="17">
      <c r="A165" s="27" t="inlineStr">
        <is>
          <t>RRS</t>
        </is>
      </c>
      <c r="B165" s="27" t="inlineStr">
        <is>
          <t>Ruminative Responses Scale</t>
        </is>
      </c>
      <c r="C165" s="27" t="inlineStr">
        <is>
          <t>5. Repetitive negative thinking and self talk</t>
        </is>
      </c>
      <c r="D165" s="28" t="n">
        <v>8</v>
      </c>
      <c r="E165" s="27" t="inlineStr">
        <is>
          <t>Think about how you don't seem to feel anything anymore</t>
        </is>
      </c>
      <c r="F165" s="27" t="inlineStr">
        <is>
          <t>Depression-related items (not scored as a subscale)</t>
        </is>
      </c>
      <c r="G165" s="27" t="inlineStr">
        <is>
          <t>FALSE</t>
        </is>
      </c>
      <c r="H165" s="27" t="inlineStr">
        <is>
          <t>FALSE</t>
        </is>
      </c>
      <c r="I165" s="27" t="inlineStr">
        <is>
          <t>almost never = 1 | sometimes = 2 | often = 3 | almost always = 4</t>
        </is>
      </c>
      <c r="J165" s="27" t="n"/>
      <c r="K165" s="27" t="inlineStr">
        <is>
          <t>https://novopsych.com/assessments/formulation/ruminative-responses-scale-rrs/</t>
        </is>
      </c>
    </row>
    <row r="166" ht="23.85" customHeight="1" s="17">
      <c r="A166" s="27" t="inlineStr">
        <is>
          <t>RRS</t>
        </is>
      </c>
      <c r="B166" s="27" t="inlineStr">
        <is>
          <t>Ruminative Responses Scale</t>
        </is>
      </c>
      <c r="C166" s="27" t="inlineStr">
        <is>
          <t>5. Repetitive negative thinking and self talk</t>
        </is>
      </c>
      <c r="D166" s="28" t="n">
        <v>9</v>
      </c>
      <c r="E166" s="27" t="inlineStr">
        <is>
          <t>Think "Why can't I get going?"</t>
        </is>
      </c>
      <c r="F166" s="27" t="inlineStr">
        <is>
          <t>Depression-related items (not scored as a subscale)</t>
        </is>
      </c>
      <c r="G166" s="27" t="inlineStr">
        <is>
          <t>FALSE</t>
        </is>
      </c>
      <c r="H166" s="27" t="inlineStr">
        <is>
          <t>FALSE</t>
        </is>
      </c>
      <c r="I166" s="27" t="inlineStr">
        <is>
          <t>almost never = 1 | sometimes = 2 | often = 3 | almost always = 4</t>
        </is>
      </c>
      <c r="J166" s="27" t="n"/>
      <c r="K166" s="27" t="inlineStr">
        <is>
          <t>https://novopsych.com/assessments/formulation/ruminative-responses-scale-rrs/</t>
        </is>
      </c>
    </row>
    <row r="167" ht="23.85" customHeight="1" s="17">
      <c r="A167" s="27" t="inlineStr">
        <is>
          <t>RRS</t>
        </is>
      </c>
      <c r="B167" s="27" t="inlineStr">
        <is>
          <t>Ruminative Responses Scale</t>
        </is>
      </c>
      <c r="C167" s="27" t="inlineStr">
        <is>
          <t>5. Repetitive negative thinking and self talk</t>
        </is>
      </c>
      <c r="D167" s="28" t="n">
        <v>10</v>
      </c>
      <c r="E167" s="27" t="inlineStr">
        <is>
          <t>Think "Why do I always react this way?"</t>
        </is>
      </c>
      <c r="F167" s="27" t="inlineStr">
        <is>
          <t>Brooding</t>
        </is>
      </c>
      <c r="G167" s="27" t="inlineStr">
        <is>
          <t>FALSE</t>
        </is>
      </c>
      <c r="H167" s="27" t="inlineStr">
        <is>
          <t>FALSE</t>
        </is>
      </c>
      <c r="I167" s="27" t="inlineStr">
        <is>
          <t>almost never = 1 | sometimes = 2 | often = 3 | almost always = 4</t>
        </is>
      </c>
      <c r="J167" s="27" t="n"/>
      <c r="K167" s="27" t="inlineStr">
        <is>
          <t>https://novopsych.com/assessments/formulation/ruminative-responses-scale-rrs/</t>
        </is>
      </c>
    </row>
    <row r="168" ht="23.85" customHeight="1" s="17">
      <c r="A168" s="27" t="inlineStr">
        <is>
          <t>RRS</t>
        </is>
      </c>
      <c r="B168" s="27" t="inlineStr">
        <is>
          <t>Ruminative Responses Scale</t>
        </is>
      </c>
      <c r="C168" s="27" t="inlineStr">
        <is>
          <t>5. Repetitive negative thinking and self talk</t>
        </is>
      </c>
      <c r="D168" s="28" t="n">
        <v>11</v>
      </c>
      <c r="E168" s="27" t="inlineStr">
        <is>
          <t>Go away by yourself and think about why you feel this way</t>
        </is>
      </c>
      <c r="F168" s="27" t="inlineStr">
        <is>
          <t>Reflection</t>
        </is>
      </c>
      <c r="G168" s="27" t="inlineStr">
        <is>
          <t>FALSE</t>
        </is>
      </c>
      <c r="H168" s="27" t="inlineStr">
        <is>
          <t>FALSE</t>
        </is>
      </c>
      <c r="I168" s="27" t="inlineStr">
        <is>
          <t>almost never = 1 | sometimes = 2 | often = 3 | almost always = 4</t>
        </is>
      </c>
      <c r="J168" s="27" t="n"/>
      <c r="K168" s="27" t="inlineStr">
        <is>
          <t>https://novopsych.com/assessments/formulation/ruminative-responses-scale-rrs/</t>
        </is>
      </c>
    </row>
    <row r="169" ht="57.45" customHeight="1" s="17">
      <c r="A169" s="27" t="inlineStr">
        <is>
          <t>RRS</t>
        </is>
      </c>
      <c r="B169" s="27" t="inlineStr">
        <is>
          <t>Ruminative Responses Scale</t>
        </is>
      </c>
      <c r="C169" s="27" t="inlineStr">
        <is>
          <t>5. Repetitive negative thinking and self talk</t>
        </is>
      </c>
      <c r="D169" s="28" t="n">
        <v>12</v>
      </c>
      <c r="E169" s="27" t="inlineStr">
        <is>
          <t>Write down what you are thinking about and analyze it</t>
        </is>
      </c>
      <c r="F169" s="27" t="inlineStr">
        <is>
          <t>Reflection</t>
        </is>
      </c>
      <c r="G169" s="27" t="inlineStr">
        <is>
          <t>FALSE</t>
        </is>
      </c>
      <c r="H169" s="27" t="inlineStr">
        <is>
          <t>FALSE</t>
        </is>
      </c>
      <c r="I169" s="27" t="inlineStr">
        <is>
          <t>almost never = 1 | sometimes = 2 | often = 3 | almost always = 4</t>
        </is>
      </c>
      <c r="J169"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c r="K169" s="27" t="inlineStr">
        <is>
          <t>https://novopsych.com/assessments/formulation/ruminative-responses-scale-rrs/</t>
        </is>
      </c>
    </row>
    <row r="170" ht="23.85" customHeight="1" s="17">
      <c r="A170" s="27" t="inlineStr">
        <is>
          <t>RRS</t>
        </is>
      </c>
      <c r="B170" s="27" t="inlineStr">
        <is>
          <t>Ruminative Responses Scale</t>
        </is>
      </c>
      <c r="C170" s="27" t="inlineStr">
        <is>
          <t>5. Repetitive negative thinking and self talk</t>
        </is>
      </c>
      <c r="D170" s="28" t="n">
        <v>13</v>
      </c>
      <c r="E170" s="27" t="inlineStr">
        <is>
          <t>Think about a recent situation, wishing it had gone better</t>
        </is>
      </c>
      <c r="F170" s="27" t="inlineStr">
        <is>
          <t>Brooding</t>
        </is>
      </c>
      <c r="G170" s="27" t="inlineStr">
        <is>
          <t>FALSE</t>
        </is>
      </c>
      <c r="H170" s="27" t="inlineStr">
        <is>
          <t>FALSE</t>
        </is>
      </c>
      <c r="I170" s="27" t="inlineStr">
        <is>
          <t>almost never = 1 | sometimes = 2 | often = 3 | almost always = 4</t>
        </is>
      </c>
      <c r="J170" s="27" t="n"/>
      <c r="K170" s="27" t="inlineStr">
        <is>
          <t>https://novopsych.com/assessments/formulation/ruminative-responses-scale-rrs/</t>
        </is>
      </c>
    </row>
    <row r="171" ht="23.85" customHeight="1" s="17">
      <c r="A171" s="27" t="inlineStr">
        <is>
          <t>RRS</t>
        </is>
      </c>
      <c r="B171" s="27" t="inlineStr">
        <is>
          <t>Ruminative Responses Scale</t>
        </is>
      </c>
      <c r="C171" s="27" t="inlineStr">
        <is>
          <t>5. Repetitive negative thinking and self talk</t>
        </is>
      </c>
      <c r="D171" s="28" t="n">
        <v>14</v>
      </c>
      <c r="E171" s="27" t="inlineStr">
        <is>
          <t>Think "I won't be able to concentrate if I keep feeling this way"</t>
        </is>
      </c>
      <c r="F171" s="27" t="inlineStr">
        <is>
          <t>Depression-related items (not scored as a subscale)</t>
        </is>
      </c>
      <c r="G171" s="27" t="inlineStr">
        <is>
          <t>FALSE</t>
        </is>
      </c>
      <c r="H171" s="27" t="inlineStr">
        <is>
          <t>FALSE</t>
        </is>
      </c>
      <c r="I171" s="27" t="inlineStr">
        <is>
          <t>almost never = 1 | sometimes = 2 | often = 3 | almost always = 4</t>
        </is>
      </c>
      <c r="J171" s="27" t="n"/>
      <c r="K171" s="27" t="inlineStr">
        <is>
          <t>https://novopsych.com/assessments/formulation/ruminative-responses-scale-rrs/</t>
        </is>
      </c>
    </row>
    <row r="172" ht="23.85" customHeight="1" s="17">
      <c r="A172" s="27" t="inlineStr">
        <is>
          <t>RRS</t>
        </is>
      </c>
      <c r="B172" s="27" t="inlineStr">
        <is>
          <t>Ruminative Responses Scale</t>
        </is>
      </c>
      <c r="C172" s="27" t="inlineStr">
        <is>
          <t>5. Repetitive negative thinking and self talk</t>
        </is>
      </c>
      <c r="D172" s="28" t="n">
        <v>15</v>
      </c>
      <c r="E172" s="27" t="inlineStr">
        <is>
          <t>Think "Why do I have problems other people don't have?"</t>
        </is>
      </c>
      <c r="F172" s="27" t="inlineStr">
        <is>
          <t>Brooding</t>
        </is>
      </c>
      <c r="G172" s="27" t="inlineStr">
        <is>
          <t>FALSE</t>
        </is>
      </c>
      <c r="H172" s="27" t="inlineStr">
        <is>
          <t>FALSE</t>
        </is>
      </c>
      <c r="I172" s="27" t="inlineStr">
        <is>
          <t>almost never = 1 | sometimes = 2 | often = 3 | almost always = 4</t>
        </is>
      </c>
      <c r="J172" s="27" t="n"/>
      <c r="K172" s="27" t="inlineStr">
        <is>
          <t>https://novopsych.com/assessments/formulation/ruminative-responses-scale-rrs/</t>
        </is>
      </c>
    </row>
    <row r="173" ht="23.85" customHeight="1" s="17">
      <c r="A173" s="27" t="inlineStr">
        <is>
          <t>RRS</t>
        </is>
      </c>
      <c r="B173" s="27" t="inlineStr">
        <is>
          <t>Ruminative Responses Scale</t>
        </is>
      </c>
      <c r="C173" s="27" t="inlineStr">
        <is>
          <t>5. Repetitive negative thinking and self talk</t>
        </is>
      </c>
      <c r="D173" s="28" t="n">
        <v>16</v>
      </c>
      <c r="E173" s="27" t="inlineStr">
        <is>
          <t>Think "Why can't I handle things better?"</t>
        </is>
      </c>
      <c r="F173" s="27" t="inlineStr">
        <is>
          <t>Brooding</t>
        </is>
      </c>
      <c r="G173" s="27" t="inlineStr">
        <is>
          <t>FALSE</t>
        </is>
      </c>
      <c r="H173" s="27" t="inlineStr">
        <is>
          <t>FALSE</t>
        </is>
      </c>
      <c r="I173" s="27" t="inlineStr">
        <is>
          <t>almost never = 1 | sometimes = 2 | often = 3 | almost always = 4</t>
        </is>
      </c>
      <c r="J173" s="27" t="n"/>
      <c r="K173" s="27" t="inlineStr">
        <is>
          <t>https://novopsych.com/assessments/formulation/ruminative-responses-scale-rrs/</t>
        </is>
      </c>
    </row>
    <row r="174" ht="23.85" customHeight="1" s="17">
      <c r="A174" s="27" t="inlineStr">
        <is>
          <t>RRS</t>
        </is>
      </c>
      <c r="B174" s="27" t="inlineStr">
        <is>
          <t>Ruminative Responses Scale</t>
        </is>
      </c>
      <c r="C174" s="27" t="inlineStr">
        <is>
          <t>5. Repetitive negative thinking and self talk</t>
        </is>
      </c>
      <c r="D174" s="28" t="n">
        <v>17</v>
      </c>
      <c r="E174" s="27" t="inlineStr">
        <is>
          <t>Think about how sad you feel</t>
        </is>
      </c>
      <c r="F174" s="27" t="inlineStr">
        <is>
          <t>Depression-related items (not scored as a subscale)</t>
        </is>
      </c>
      <c r="G174" s="27" t="inlineStr">
        <is>
          <t>FALSE</t>
        </is>
      </c>
      <c r="H174" s="27" t="inlineStr">
        <is>
          <t>FALSE</t>
        </is>
      </c>
      <c r="I174" s="27" t="inlineStr">
        <is>
          <t>almost never = 1 | sometimes = 2 | often = 3 | almost always = 4</t>
        </is>
      </c>
      <c r="J174" s="27" t="n"/>
      <c r="K174" s="27" t="inlineStr">
        <is>
          <t>https://novopsych.com/assessments/formulation/ruminative-responses-scale-rrs/</t>
        </is>
      </c>
    </row>
    <row r="175" ht="23.85" customHeight="1" s="17">
      <c r="A175" s="27" t="inlineStr">
        <is>
          <t>RRS</t>
        </is>
      </c>
      <c r="B175" s="27" t="inlineStr">
        <is>
          <t>Ruminative Responses Scale</t>
        </is>
      </c>
      <c r="C175" s="27" t="inlineStr">
        <is>
          <t>5. Repetitive negative thinking and self talk</t>
        </is>
      </c>
      <c r="D175" s="28" t="n">
        <v>18</v>
      </c>
      <c r="E175" s="27" t="inlineStr">
        <is>
          <t>Think about all your shortcomings, failings, faults, mistakes</t>
        </is>
      </c>
      <c r="F175" s="27" t="inlineStr">
        <is>
          <t>Depression-related items (not scored as a subscale)</t>
        </is>
      </c>
      <c r="G175" s="27" t="inlineStr">
        <is>
          <t>FALSE</t>
        </is>
      </c>
      <c r="H175" s="27" t="inlineStr">
        <is>
          <t>FALSE</t>
        </is>
      </c>
      <c r="I175" s="27" t="inlineStr">
        <is>
          <t>almost never = 1 | sometimes = 2 | often = 3 | almost always = 4</t>
        </is>
      </c>
      <c r="J175" s="27" t="n"/>
      <c r="K175" s="27" t="inlineStr">
        <is>
          <t>https://novopsych.com/assessments/formulation/ruminative-responses-scale-rrs/</t>
        </is>
      </c>
    </row>
    <row r="176" ht="23.85" customHeight="1" s="17">
      <c r="A176" s="27" t="inlineStr">
        <is>
          <t>RRS</t>
        </is>
      </c>
      <c r="B176" s="27" t="inlineStr">
        <is>
          <t>Ruminative Responses Scale</t>
        </is>
      </c>
      <c r="C176" s="27" t="inlineStr">
        <is>
          <t>5. Repetitive negative thinking and self talk</t>
        </is>
      </c>
      <c r="D176" s="28" t="n">
        <v>19</v>
      </c>
      <c r="E176" s="27" t="inlineStr">
        <is>
          <t>Think about how you don't feel up to doing anything</t>
        </is>
      </c>
      <c r="F176" s="27" t="inlineStr">
        <is>
          <t>Depression-related items (not scored as a subscale)</t>
        </is>
      </c>
      <c r="G176" s="27" t="inlineStr">
        <is>
          <t>FALSE</t>
        </is>
      </c>
      <c r="H176" s="27" t="inlineStr">
        <is>
          <t>FALSE</t>
        </is>
      </c>
      <c r="I176" s="27" t="inlineStr">
        <is>
          <t>almost never = 1 | sometimes = 2 | often = 3 | almost always = 4</t>
        </is>
      </c>
      <c r="J176" s="27" t="n"/>
      <c r="K176" s="27" t="inlineStr">
        <is>
          <t>https://novopsych.com/assessments/formulation/ruminative-responses-scale-rrs/</t>
        </is>
      </c>
    </row>
    <row r="177" ht="23.85" customHeight="1" s="17">
      <c r="A177" s="27" t="inlineStr">
        <is>
          <t>RRS</t>
        </is>
      </c>
      <c r="B177" s="27" t="inlineStr">
        <is>
          <t>Ruminative Responses Scale</t>
        </is>
      </c>
      <c r="C177" s="27" t="inlineStr">
        <is>
          <t>5. Repetitive negative thinking and self talk</t>
        </is>
      </c>
      <c r="D177" s="28" t="n">
        <v>20</v>
      </c>
      <c r="E177" s="27" t="inlineStr">
        <is>
          <t>Analyze your personality to try to understand why you are depressed</t>
        </is>
      </c>
      <c r="F177" s="27" t="inlineStr">
        <is>
          <t>Reflection</t>
        </is>
      </c>
      <c r="G177" s="27" t="inlineStr">
        <is>
          <t>FALSE</t>
        </is>
      </c>
      <c r="H177" s="27" t="inlineStr">
        <is>
          <t>FALSE</t>
        </is>
      </c>
      <c r="I177" s="27" t="inlineStr">
        <is>
          <t>almost never = 1 | sometimes = 2 | often = 3 | almost always = 4</t>
        </is>
      </c>
      <c r="J177" s="27" t="n"/>
      <c r="K177" s="27" t="inlineStr">
        <is>
          <t>https://novopsych.com/assessments/formulation/ruminative-responses-scale-rrs/</t>
        </is>
      </c>
    </row>
    <row r="178" ht="23.85" customHeight="1" s="17">
      <c r="A178" s="27" t="inlineStr">
        <is>
          <t>RRS</t>
        </is>
      </c>
      <c r="B178" s="27" t="inlineStr">
        <is>
          <t>Ruminative Responses Scale</t>
        </is>
      </c>
      <c r="C178" s="27" t="inlineStr">
        <is>
          <t>5. Repetitive negative thinking and self talk</t>
        </is>
      </c>
      <c r="D178" s="28" t="n">
        <v>21</v>
      </c>
      <c r="E178" s="27" t="inlineStr">
        <is>
          <t>Go someplace alone to think about your feelings</t>
        </is>
      </c>
      <c r="F178" s="27" t="inlineStr">
        <is>
          <t>Reflection</t>
        </is>
      </c>
      <c r="G178" s="27" t="inlineStr">
        <is>
          <t>FALSE</t>
        </is>
      </c>
      <c r="H178" s="27" t="inlineStr">
        <is>
          <t>FALSE</t>
        </is>
      </c>
      <c r="I178" s="27" t="inlineStr">
        <is>
          <t>almost never = 1 | sometimes = 2 | often = 3 | almost always = 4</t>
        </is>
      </c>
      <c r="J178" s="27" t="n"/>
      <c r="K178" s="27" t="inlineStr">
        <is>
          <t>https://novopsych.com/assessments/formulation/ruminative-responses-scale-rrs/</t>
        </is>
      </c>
    </row>
    <row r="179" ht="23.85" customHeight="1" s="17">
      <c r="A179" s="27" t="inlineStr">
        <is>
          <t>RRS</t>
        </is>
      </c>
      <c r="B179" s="27" t="inlineStr">
        <is>
          <t>Ruminative Responses Scale</t>
        </is>
      </c>
      <c r="C179" s="27" t="inlineStr">
        <is>
          <t>5. Repetitive negative thinking and self talk</t>
        </is>
      </c>
      <c r="D179" s="28" t="n">
        <v>22</v>
      </c>
      <c r="E179" s="27" t="inlineStr">
        <is>
          <t>Think about how angry you are with yourself</t>
        </is>
      </c>
      <c r="F179" s="27" t="inlineStr">
        <is>
          <t>Depression-related items (not scored as a subscale)</t>
        </is>
      </c>
      <c r="G179" s="27" t="inlineStr">
        <is>
          <t>FALSE</t>
        </is>
      </c>
      <c r="H179" s="27" t="inlineStr">
        <is>
          <t>FALSE</t>
        </is>
      </c>
      <c r="I179" s="27" t="inlineStr">
        <is>
          <t>almost never = 1 | sometimes = 2 | often = 3 | almost always = 4</t>
        </is>
      </c>
      <c r="J179" s="27" t="n"/>
      <c r="K179" s="27" t="inlineStr">
        <is>
          <t>https://novopsych.com/assessments/formulation/ruminative-responses-scale-rrs/</t>
        </is>
      </c>
    </row>
    <row r="180" ht="46.25" customHeight="1" s="17">
      <c r="A180" s="27" t="inlineStr">
        <is>
          <t>FSCRS</t>
        </is>
      </c>
      <c r="B180" s="27" t="inlineStr">
        <is>
          <t>Forms of Self-Criticising/Attacking and Self-Reassuring Scale</t>
        </is>
      </c>
      <c r="C180" s="27" t="inlineStr">
        <is>
          <t>5. Repetitive negative thinking and self talk</t>
        </is>
      </c>
      <c r="D180" s="28" t="n">
        <v>1</v>
      </c>
      <c r="E180" s="27" t="inlineStr">
        <is>
          <t>I am easily disappointed with myself.</t>
        </is>
      </c>
      <c r="F180" s="27" t="inlineStr">
        <is>
          <t>Inadequate Self</t>
        </is>
      </c>
      <c r="G180" s="27" t="inlineStr">
        <is>
          <t>FALSE</t>
        </is>
      </c>
      <c r="H180" s="27" t="inlineStr">
        <is>
          <t>FALSE</t>
        </is>
      </c>
      <c r="I180" s="27" t="inlineStr">
        <is>
          <t>Not at all like me = 0 | A little bit like me = 1 | Moderately like me = 2 | Quite a bit like me = 3 | Extremely like me = 4</t>
        </is>
      </c>
      <c r="J180" s="27" t="n"/>
      <c r="K180" s="27" t="inlineStr">
        <is>
          <t>https://d3n8a8pro7vhmx.cloudfront.net/portlandpsychotherapy/pages/21/attachments/original/1438799410/Forms_of_self-criticising_and_self_reassuring_scale.pdf</t>
        </is>
      </c>
    </row>
    <row r="181" ht="46.25" customHeight="1" s="17">
      <c r="A181" s="27" t="inlineStr">
        <is>
          <t>FSCRS</t>
        </is>
      </c>
      <c r="B181" s="27" t="inlineStr">
        <is>
          <t>Forms of Self-Criticising/Attacking and Self-Reassuring Scale</t>
        </is>
      </c>
      <c r="C181" s="27" t="inlineStr">
        <is>
          <t>5. Repetitive negative thinking and self talk</t>
        </is>
      </c>
      <c r="D181" s="28" t="n">
        <v>2</v>
      </c>
      <c r="E181" s="27" t="inlineStr">
        <is>
          <t>There is a part of me that puts me down.</t>
        </is>
      </c>
      <c r="F181" s="27" t="inlineStr">
        <is>
          <t>Inadequate Self</t>
        </is>
      </c>
      <c r="G181" s="27" t="inlineStr">
        <is>
          <t>FALSE</t>
        </is>
      </c>
      <c r="H181" s="27" t="inlineStr">
        <is>
          <t>FALSE</t>
        </is>
      </c>
      <c r="I181" s="27" t="inlineStr">
        <is>
          <t>Not at all like me = 0 | A little bit like me = 1 | Moderately like me = 2 | Quite a bit like me = 3 | Extremely like me = 4</t>
        </is>
      </c>
      <c r="J181" s="27" t="n"/>
      <c r="K181" s="27" t="inlineStr">
        <is>
          <t>https://d3n8a8pro7vhmx.cloudfront.net/portlandpsychotherapy/pages/21/attachments/original/1438799410/Forms_of_self-criticising_and_self_reassuring_scale.pdf</t>
        </is>
      </c>
    </row>
    <row r="182" ht="46.25" customHeight="1" s="17">
      <c r="A182" s="27" t="inlineStr">
        <is>
          <t>FSCRS</t>
        </is>
      </c>
      <c r="B182" s="27" t="inlineStr">
        <is>
          <t>Forms of Self-Criticising/Attacking and Self-Reassuring Scale</t>
        </is>
      </c>
      <c r="C182" s="27" t="inlineStr">
        <is>
          <t>5. Repetitive negative thinking and self talk</t>
        </is>
      </c>
      <c r="D182" s="28" t="n">
        <v>3</v>
      </c>
      <c r="E182" s="27" t="inlineStr">
        <is>
          <t>I am able to remind myself of positive things about myself.</t>
        </is>
      </c>
      <c r="F182" s="27" t="inlineStr">
        <is>
          <t>Reassured Self</t>
        </is>
      </c>
      <c r="G182" s="27" t="inlineStr">
        <is>
          <t>FALSE</t>
        </is>
      </c>
      <c r="H182" s="27" t="inlineStr">
        <is>
          <t>FALSE</t>
        </is>
      </c>
      <c r="I182" s="27" t="inlineStr">
        <is>
          <t>Not at all like me = 0 | A little bit like me = 1 | Moderately like me = 2 | Quite a bit like me = 3 | Extremely like me = 4</t>
        </is>
      </c>
      <c r="J182" s="27" t="n"/>
      <c r="K182" s="27" t="inlineStr">
        <is>
          <t>https://d3n8a8pro7vhmx.cloudfront.net/portlandpsychotherapy/pages/21/attachments/original/1438799410/Forms_of_self-criticising_and_self_reassuring_scale.pdf</t>
        </is>
      </c>
    </row>
    <row r="183" ht="46.25" customHeight="1" s="17">
      <c r="A183" s="27" t="inlineStr">
        <is>
          <t>FSCRS</t>
        </is>
      </c>
      <c r="B183" s="27" t="inlineStr">
        <is>
          <t>Forms of Self-Criticising/Attacking and Self-Reassuring Scale</t>
        </is>
      </c>
      <c r="C183" s="27" t="inlineStr">
        <is>
          <t>5. Repetitive negative thinking and self talk</t>
        </is>
      </c>
      <c r="D183" s="28" t="n">
        <v>4</v>
      </c>
      <c r="E183" s="27" t="inlineStr">
        <is>
          <t>I find it difficult to control my anger and frustration at myself.</t>
        </is>
      </c>
      <c r="F183" s="27" t="inlineStr">
        <is>
          <t>Inadequate Self</t>
        </is>
      </c>
      <c r="G183" s="27" t="inlineStr">
        <is>
          <t>FALSE</t>
        </is>
      </c>
      <c r="H183" s="27" t="inlineStr">
        <is>
          <t>FALSE</t>
        </is>
      </c>
      <c r="I183" s="27" t="inlineStr">
        <is>
          <t>Not at all like me = 0 | A little bit like me = 1 | Moderately like me = 2 | Quite a bit like me = 3 | Extremely like me = 4</t>
        </is>
      </c>
      <c r="J183" s="27" t="n"/>
      <c r="K183" s="27" t="inlineStr">
        <is>
          <t>https://d3n8a8pro7vhmx.cloudfront.net/portlandpsychotherapy/pages/21/attachments/original/1438799410/Forms_of_self-criticising_and_self_reassuring_scale.pdf</t>
        </is>
      </c>
    </row>
    <row r="184" ht="46.25" customHeight="1" s="17">
      <c r="A184" s="27" t="inlineStr">
        <is>
          <t>FSCRS</t>
        </is>
      </c>
      <c r="B184" s="27" t="inlineStr">
        <is>
          <t>Forms of Self-Criticising/Attacking and Self-Reassuring Scale</t>
        </is>
      </c>
      <c r="C184" s="27" t="inlineStr">
        <is>
          <t>5. Repetitive negative thinking and self talk</t>
        </is>
      </c>
      <c r="D184" s="28" t="n">
        <v>5</v>
      </c>
      <c r="E184" s="27" t="inlineStr">
        <is>
          <t>I find it easy to forgive myself.</t>
        </is>
      </c>
      <c r="F184" s="27" t="inlineStr">
        <is>
          <t>Reassured Self</t>
        </is>
      </c>
      <c r="G184" s="27" t="inlineStr">
        <is>
          <t>FALSE</t>
        </is>
      </c>
      <c r="H184" s="27" t="inlineStr">
        <is>
          <t>FALSE</t>
        </is>
      </c>
      <c r="I184" s="27" t="inlineStr">
        <is>
          <t>Not at all like me = 0 | A little bit like me = 1 | Moderately like me = 2 | Quite a bit like me = 3 | Extremely like me = 4</t>
        </is>
      </c>
      <c r="J184" s="27" t="n"/>
      <c r="K184" s="27" t="inlineStr">
        <is>
          <t>https://d3n8a8pro7vhmx.cloudfront.net/portlandpsychotherapy/pages/21/attachments/original/1438799410/Forms_of_self-criticising_and_self_reassuring_scale.pdf</t>
        </is>
      </c>
    </row>
    <row r="185" ht="46.25" customHeight="1" s="17">
      <c r="A185" s="27" t="inlineStr">
        <is>
          <t>FSCRS</t>
        </is>
      </c>
      <c r="B185" s="27" t="inlineStr">
        <is>
          <t>Forms of Self-Criticising/Attacking and Self-Reassuring Scale</t>
        </is>
      </c>
      <c r="C185" s="27" t="inlineStr">
        <is>
          <t>5. Repetitive negative thinking and self talk</t>
        </is>
      </c>
      <c r="D185" s="28" t="n">
        <v>6</v>
      </c>
      <c r="E185" s="27" t="inlineStr">
        <is>
          <t>There is a part of me that feels I am not good enough.</t>
        </is>
      </c>
      <c r="F185" s="27" t="inlineStr">
        <is>
          <t>Inadequate Self</t>
        </is>
      </c>
      <c r="G185" s="27" t="inlineStr">
        <is>
          <t>FALSE</t>
        </is>
      </c>
      <c r="H185" s="27" t="inlineStr">
        <is>
          <t>FALSE</t>
        </is>
      </c>
      <c r="I185" s="27" t="inlineStr">
        <is>
          <t>Not at all like me = 0 | A little bit like me = 1 | Moderately like me = 2 | Quite a bit like me = 3 | Extremely like me = 4</t>
        </is>
      </c>
      <c r="J185" s="27" t="n"/>
      <c r="K185" s="27" t="inlineStr">
        <is>
          <t>https://d3n8a8pro7vhmx.cloudfront.net/portlandpsychotherapy/pages/21/attachments/original/1438799410/Forms_of_self-criticising_and_self_reassuring_scale.pdf</t>
        </is>
      </c>
    </row>
    <row r="186" ht="46.25" customHeight="1" s="17">
      <c r="A186" s="27" t="inlineStr">
        <is>
          <t>FSCRS</t>
        </is>
      </c>
      <c r="B186" s="27" t="inlineStr">
        <is>
          <t>Forms of Self-Criticising/Attacking and Self-Reassuring Scale</t>
        </is>
      </c>
      <c r="C186" s="27" t="inlineStr">
        <is>
          <t>5. Repetitive negative thinking and self talk</t>
        </is>
      </c>
      <c r="D186" s="28" t="n">
        <v>7</v>
      </c>
      <c r="E186" s="27" t="inlineStr">
        <is>
          <t>I feel beaten down by my own self-critical thoughts.</t>
        </is>
      </c>
      <c r="F186" s="27" t="inlineStr">
        <is>
          <t>Inadequate Self</t>
        </is>
      </c>
      <c r="G186" s="27" t="inlineStr">
        <is>
          <t>FALSE</t>
        </is>
      </c>
      <c r="H186" s="27" t="inlineStr">
        <is>
          <t>FALSE</t>
        </is>
      </c>
      <c r="I186" s="27" t="inlineStr">
        <is>
          <t>Not at all like me = 0 | A little bit like me = 1 | Moderately like me = 2 | Quite a bit like me = 3 | Extremely like me = 4</t>
        </is>
      </c>
      <c r="J186" s="27" t="n"/>
      <c r="K186" s="27" t="inlineStr">
        <is>
          <t>https://d3n8a8pro7vhmx.cloudfront.net/portlandpsychotherapy/pages/21/attachments/original/1438799410/Forms_of_self-criticising_and_self_reassuring_scale.pdf</t>
        </is>
      </c>
    </row>
    <row r="187" ht="46.25" customHeight="1" s="17">
      <c r="A187" s="27" t="inlineStr">
        <is>
          <t>FSCRS</t>
        </is>
      </c>
      <c r="B187" s="27" t="inlineStr">
        <is>
          <t>Forms of Self-Criticising/Attacking and Self-Reassuring Scale</t>
        </is>
      </c>
      <c r="C187" s="27" t="inlineStr">
        <is>
          <t>5. Repetitive negative thinking and self talk</t>
        </is>
      </c>
      <c r="D187" s="28" t="n">
        <v>8</v>
      </c>
      <c r="E187" s="27" t="inlineStr">
        <is>
          <t>I still like being me.</t>
        </is>
      </c>
      <c r="F187" s="27" t="inlineStr">
        <is>
          <t>Reassured Self</t>
        </is>
      </c>
      <c r="G187" s="27" t="inlineStr">
        <is>
          <t>FALSE</t>
        </is>
      </c>
      <c r="H187" s="27" t="inlineStr">
        <is>
          <t>FALSE</t>
        </is>
      </c>
      <c r="I187" s="27" t="inlineStr">
        <is>
          <t>Not at all like me = 0 | A little bit like me = 1 | Moderately like me = 2 | Quite a bit like me = 3 | Extremely like me = 4</t>
        </is>
      </c>
      <c r="J187" s="27" t="n"/>
      <c r="K187" s="27" t="inlineStr">
        <is>
          <t>https://d3n8a8pro7vhmx.cloudfront.net/portlandpsychotherapy/pages/21/attachments/original/1438799410/Forms_of_self-criticising_and_self_reassuring_scale.pdf</t>
        </is>
      </c>
    </row>
    <row r="188" ht="57.45" customHeight="1" s="17">
      <c r="A188" s="27" t="inlineStr">
        <is>
          <t>FSCRS</t>
        </is>
      </c>
      <c r="B188" s="27" t="inlineStr">
        <is>
          <t>Forms of Self-Criticising/Attacking and Self-Reassuring Scale</t>
        </is>
      </c>
      <c r="C188" s="27" t="inlineStr">
        <is>
          <t>5. Repetitive negative thinking and self talk</t>
        </is>
      </c>
      <c r="D188" s="28" t="n">
        <v>9</v>
      </c>
      <c r="E188" s="27" t="inlineStr">
        <is>
          <t>I have become so angry with myself that I want to hurt or injure myself.</t>
        </is>
      </c>
      <c r="F188" s="27" t="inlineStr">
        <is>
          <t>Hated Self</t>
        </is>
      </c>
      <c r="G188" s="27" t="inlineStr">
        <is>
          <t>FALSE</t>
        </is>
      </c>
      <c r="H188" s="27" t="inlineStr">
        <is>
          <t>FALSE</t>
        </is>
      </c>
      <c r="I188" s="27" t="inlineStr">
        <is>
          <t>Not at all like me = 0 | A little bit like me = 1 | Moderately like me = 2 | Quite a bit like me = 3 | Extremely like me = 4</t>
        </is>
      </c>
      <c r="J18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c r="K188" s="27" t="inlineStr">
        <is>
          <t>https://d3n8a8pro7vhmx.cloudfront.net/portlandpsychotherapy/pages/21/attachments/original/1438799410/Forms_of_self-criticising_and_self_reassuring_scale.pdf</t>
        </is>
      </c>
    </row>
    <row r="189" ht="46.25" customHeight="1" s="17">
      <c r="A189" s="27" t="inlineStr">
        <is>
          <t>FSCRS</t>
        </is>
      </c>
      <c r="B189" s="27" t="inlineStr">
        <is>
          <t>Forms of Self-Criticising/Attacking and Self-Reassuring Scale</t>
        </is>
      </c>
      <c r="C189" s="27" t="inlineStr">
        <is>
          <t>5. Repetitive negative thinking and self talk</t>
        </is>
      </c>
      <c r="D189" s="28" t="n">
        <v>10</v>
      </c>
      <c r="E189" s="27" t="inlineStr">
        <is>
          <t>I have a sense of disgust with myself.</t>
        </is>
      </c>
      <c r="F189" s="27" t="inlineStr">
        <is>
          <t>Hated Self</t>
        </is>
      </c>
      <c r="G189" s="27" t="inlineStr">
        <is>
          <t>FALSE</t>
        </is>
      </c>
      <c r="H189" s="27" t="inlineStr">
        <is>
          <t>FALSE</t>
        </is>
      </c>
      <c r="I189" s="27" t="inlineStr">
        <is>
          <t>Not at all like me = 0 | A little bit like me = 1 | Moderately like me = 2 | Quite a bit like me = 3 | Extremely like me = 4</t>
        </is>
      </c>
      <c r="J189" s="27" t="n"/>
      <c r="K189" s="27" t="inlineStr">
        <is>
          <t>https://d3n8a8pro7vhmx.cloudfront.net/portlandpsychotherapy/pages/21/attachments/original/1438799410/Forms_of_self-criticising_and_self_reassuring_scale.pdf</t>
        </is>
      </c>
    </row>
    <row r="190" ht="46.25" customHeight="1" s="17">
      <c r="A190" s="27" t="inlineStr">
        <is>
          <t>FSCRS</t>
        </is>
      </c>
      <c r="B190" s="27" t="inlineStr">
        <is>
          <t>Forms of Self-Criticising/Attacking and Self-Reassuring Scale</t>
        </is>
      </c>
      <c r="C190" s="27" t="inlineStr">
        <is>
          <t>5. Repetitive negative thinking and self talk</t>
        </is>
      </c>
      <c r="D190" s="28" t="n">
        <v>11</v>
      </c>
      <c r="E190" s="27" t="inlineStr">
        <is>
          <t>I can still feel lovable and acceptable.</t>
        </is>
      </c>
      <c r="F190" s="27" t="inlineStr">
        <is>
          <t>Reassured Self</t>
        </is>
      </c>
      <c r="G190" s="27" t="inlineStr">
        <is>
          <t>FALSE</t>
        </is>
      </c>
      <c r="H190" s="27" t="inlineStr">
        <is>
          <t>FALSE</t>
        </is>
      </c>
      <c r="I190" s="27" t="inlineStr">
        <is>
          <t>Not at all like me = 0 | A little bit like me = 1 | Moderately like me = 2 | Quite a bit like me = 3 | Extremely like me = 4</t>
        </is>
      </c>
      <c r="J190" s="27" t="n"/>
      <c r="K190" s="27" t="inlineStr">
        <is>
          <t>https://d3n8a8pro7vhmx.cloudfront.net/portlandpsychotherapy/pages/21/attachments/original/1438799410/Forms_of_self-criticising_and_self_reassuring_scale.pdf</t>
        </is>
      </c>
    </row>
    <row r="191" ht="46.25" customHeight="1" s="17">
      <c r="A191" s="27" t="inlineStr">
        <is>
          <t>FSCRS</t>
        </is>
      </c>
      <c r="B191" s="27" t="inlineStr">
        <is>
          <t>Forms of Self-Criticising/Attacking and Self-Reassuring Scale</t>
        </is>
      </c>
      <c r="C191" s="27" t="inlineStr">
        <is>
          <t>5. Repetitive negative thinking and self talk</t>
        </is>
      </c>
      <c r="D191" s="28" t="n">
        <v>12</v>
      </c>
      <c r="E191" s="27" t="inlineStr">
        <is>
          <t>I stop caring about myself.</t>
        </is>
      </c>
      <c r="F191" s="27" t="inlineStr">
        <is>
          <t>Hated Self</t>
        </is>
      </c>
      <c r="G191" s="27" t="inlineStr">
        <is>
          <t>FALSE</t>
        </is>
      </c>
      <c r="H191" s="27" t="inlineStr">
        <is>
          <t>FALSE</t>
        </is>
      </c>
      <c r="I191" s="27" t="inlineStr">
        <is>
          <t>Not at all like me = 0 | A little bit like me = 1 | Moderately like me = 2 | Quite a bit like me = 3 | Extremely like me = 4</t>
        </is>
      </c>
      <c r="J191" s="27" t="n"/>
      <c r="K191" s="27" t="inlineStr">
        <is>
          <t>https://d3n8a8pro7vhmx.cloudfront.net/portlandpsychotherapy/pages/21/attachments/original/1438799410/Forms_of_self-criticising_and_self_reassuring_scale.pdf</t>
        </is>
      </c>
    </row>
    <row r="192" ht="46.25" customHeight="1" s="17">
      <c r="A192" s="27" t="inlineStr">
        <is>
          <t>FSCRS</t>
        </is>
      </c>
      <c r="B192" s="27" t="inlineStr">
        <is>
          <t>Forms of Self-Criticising/Attacking and Self-Reassuring Scale</t>
        </is>
      </c>
      <c r="C192" s="27" t="inlineStr">
        <is>
          <t>5. Repetitive negative thinking and self talk</t>
        </is>
      </c>
      <c r="D192" s="28" t="n">
        <v>13</v>
      </c>
      <c r="E192" s="27" t="inlineStr">
        <is>
          <t>I find it easy to like myself.</t>
        </is>
      </c>
      <c r="F192" s="27" t="inlineStr">
        <is>
          <t>Reassured Self</t>
        </is>
      </c>
      <c r="G192" s="27" t="inlineStr">
        <is>
          <t>FALSE</t>
        </is>
      </c>
      <c r="H192" s="27" t="inlineStr">
        <is>
          <t>FALSE</t>
        </is>
      </c>
      <c r="I192" s="27" t="inlineStr">
        <is>
          <t>Not at all like me = 0 | A little bit like me = 1 | Moderately like me = 2 | Quite a bit like me = 3 | Extremely like me = 4</t>
        </is>
      </c>
      <c r="J192" s="27" t="n"/>
      <c r="K192" s="27" t="inlineStr">
        <is>
          <t>https://d3n8a8pro7vhmx.cloudfront.net/portlandpsychotherapy/pages/21/attachments/original/1438799410/Forms_of_self-criticising_and_self_reassuring_scale.pdf</t>
        </is>
      </c>
    </row>
    <row r="193" ht="46.25" customHeight="1" s="17">
      <c r="A193" s="27" t="inlineStr">
        <is>
          <t>FSCRS</t>
        </is>
      </c>
      <c r="B193" s="27" t="inlineStr">
        <is>
          <t>Forms of Self-Criticising/Attacking and Self-Reassuring Scale</t>
        </is>
      </c>
      <c r="C193" s="27" t="inlineStr">
        <is>
          <t>5. Repetitive negative thinking and self talk</t>
        </is>
      </c>
      <c r="D193" s="28" t="n">
        <v>14</v>
      </c>
      <c r="E193" s="27" t="inlineStr">
        <is>
          <t>I remember and dwell on my failings.</t>
        </is>
      </c>
      <c r="F193" s="27" t="inlineStr">
        <is>
          <t>Inadequate Self</t>
        </is>
      </c>
      <c r="G193" s="27" t="inlineStr">
        <is>
          <t>FALSE</t>
        </is>
      </c>
      <c r="H193" s="27" t="inlineStr">
        <is>
          <t>FALSE</t>
        </is>
      </c>
      <c r="I193" s="27" t="inlineStr">
        <is>
          <t>Not at all like me = 0 | A little bit like me = 1 | Moderately like me = 2 | Quite a bit like me = 3 | Extremely like me = 4</t>
        </is>
      </c>
      <c r="J193" s="27" t="n"/>
      <c r="K193" s="27" t="inlineStr">
        <is>
          <t>https://d3n8a8pro7vhmx.cloudfront.net/portlandpsychotherapy/pages/21/attachments/original/1438799410/Forms_of_self-criticising_and_self_reassuring_scale.pdf</t>
        </is>
      </c>
    </row>
    <row r="194" ht="46.25" customHeight="1" s="17">
      <c r="A194" s="27" t="inlineStr">
        <is>
          <t>FSCRS</t>
        </is>
      </c>
      <c r="B194" s="27" t="inlineStr">
        <is>
          <t>Forms of Self-Criticising/Attacking and Self-Reassuring Scale</t>
        </is>
      </c>
      <c r="C194" s="27" t="inlineStr">
        <is>
          <t>5. Repetitive negative thinking and self talk</t>
        </is>
      </c>
      <c r="D194" s="28" t="n">
        <v>15</v>
      </c>
      <c r="E194" s="27" t="inlineStr">
        <is>
          <t>I call myself names.</t>
        </is>
      </c>
      <c r="F194" s="27" t="inlineStr">
        <is>
          <t>Hated Self</t>
        </is>
      </c>
      <c r="G194" s="27" t="inlineStr">
        <is>
          <t>FALSE</t>
        </is>
      </c>
      <c r="H194" s="27" t="inlineStr">
        <is>
          <t>FALSE</t>
        </is>
      </c>
      <c r="I194" s="27" t="inlineStr">
        <is>
          <t>Not at all like me = 0 | A little bit like me = 1 | Moderately like me = 2 | Quite a bit like me = 3 | Extremely like me = 4</t>
        </is>
      </c>
      <c r="J194" s="27" t="n"/>
      <c r="K194" s="27" t="inlineStr">
        <is>
          <t>https://d3n8a8pro7vhmx.cloudfront.net/portlandpsychotherapy/pages/21/attachments/original/1438799410/Forms_of_self-criticising_and_self_reassuring_scale.pdf</t>
        </is>
      </c>
    </row>
    <row r="195" ht="46.25" customHeight="1" s="17">
      <c r="A195" s="27" t="inlineStr">
        <is>
          <t>FSCRS</t>
        </is>
      </c>
      <c r="B195" s="27" t="inlineStr">
        <is>
          <t>Forms of Self-Criticising/Attacking and Self-Reassuring Scale</t>
        </is>
      </c>
      <c r="C195" s="27" t="inlineStr">
        <is>
          <t>5. Repetitive negative thinking and self talk</t>
        </is>
      </c>
      <c r="D195" s="28" t="n">
        <v>16</v>
      </c>
      <c r="E195" s="27" t="inlineStr">
        <is>
          <t>I am gentle and supportive with myself.</t>
        </is>
      </c>
      <c r="F195" s="27" t="inlineStr">
        <is>
          <t>Reassured Self</t>
        </is>
      </c>
      <c r="G195" s="27" t="inlineStr">
        <is>
          <t>FALSE</t>
        </is>
      </c>
      <c r="H195" s="27" t="inlineStr">
        <is>
          <t>FALSE</t>
        </is>
      </c>
      <c r="I195" s="27" t="inlineStr">
        <is>
          <t>Not at all like me = 0 | A little bit like me = 1 | Moderately like me = 2 | Quite a bit like me = 3 | Extremely like me = 4</t>
        </is>
      </c>
      <c r="J195" s="27" t="n"/>
      <c r="K195" s="27" t="inlineStr">
        <is>
          <t>https://d3n8a8pro7vhmx.cloudfront.net/portlandpsychotherapy/pages/21/attachments/original/1438799410/Forms_of_self-criticising_and_self_reassuring_scale.pdf</t>
        </is>
      </c>
    </row>
    <row r="196" ht="46.25" customHeight="1" s="17">
      <c r="A196" s="27" t="inlineStr">
        <is>
          <t>FSCRS</t>
        </is>
      </c>
      <c r="B196" s="27" t="inlineStr">
        <is>
          <t>Forms of Self-Criticising/Attacking and Self-Reassuring Scale</t>
        </is>
      </c>
      <c r="C196" s="27" t="inlineStr">
        <is>
          <t>5. Repetitive negative thinking and self talk</t>
        </is>
      </c>
      <c r="D196" s="28" t="n">
        <v>17</v>
      </c>
      <c r="E196" s="27" t="inlineStr">
        <is>
          <t>I can't accept failures and setbacks without feeling inadequate.</t>
        </is>
      </c>
      <c r="F196" s="27" t="inlineStr">
        <is>
          <t>Inadequate Self</t>
        </is>
      </c>
      <c r="G196" s="27" t="inlineStr">
        <is>
          <t>FALSE</t>
        </is>
      </c>
      <c r="H196" s="27" t="inlineStr">
        <is>
          <t>FALSE</t>
        </is>
      </c>
      <c r="I196" s="27" t="inlineStr">
        <is>
          <t>Not at all like me = 0 | A little bit like me = 1 | Moderately like me = 2 | Quite a bit like me = 3 | Extremely like me = 4</t>
        </is>
      </c>
      <c r="J196" s="27" t="n"/>
      <c r="K196" s="27" t="inlineStr">
        <is>
          <t>https://d3n8a8pro7vhmx.cloudfront.net/portlandpsychotherapy/pages/21/attachments/original/1438799410/Forms_of_self-criticising_and_self_reassuring_scale.pdf</t>
        </is>
      </c>
    </row>
    <row r="197" ht="46.25" customHeight="1" s="17">
      <c r="A197" s="27" t="inlineStr">
        <is>
          <t>FSCRS</t>
        </is>
      </c>
      <c r="B197" s="27" t="inlineStr">
        <is>
          <t>Forms of Self-Criticising/Attacking and Self-Reassuring Scale</t>
        </is>
      </c>
      <c r="C197" s="27" t="inlineStr">
        <is>
          <t>5. Repetitive negative thinking and self talk</t>
        </is>
      </c>
      <c r="D197" s="28" t="n">
        <v>18</v>
      </c>
      <c r="E197" s="27" t="inlineStr">
        <is>
          <t>I think I deserve my self-criticism.</t>
        </is>
      </c>
      <c r="F197" s="27" t="inlineStr">
        <is>
          <t>Inadequate Self</t>
        </is>
      </c>
      <c r="G197" s="27" t="inlineStr">
        <is>
          <t>FALSE</t>
        </is>
      </c>
      <c r="H197" s="27" t="inlineStr">
        <is>
          <t>FALSE</t>
        </is>
      </c>
      <c r="I197" s="27" t="inlineStr">
        <is>
          <t>Not at all like me = 0 | A little bit like me = 1 | Moderately like me = 2 | Quite a bit like me = 3 | Extremely like me = 4</t>
        </is>
      </c>
      <c r="J197" s="27" t="n"/>
      <c r="K197" s="27" t="inlineStr">
        <is>
          <t>https://d3n8a8pro7vhmx.cloudfront.net/portlandpsychotherapy/pages/21/attachments/original/1438799410/Forms_of_self-criticising_and_self_reassuring_scale.pdf</t>
        </is>
      </c>
    </row>
    <row r="198" ht="46.25" customHeight="1" s="17">
      <c r="A198" s="27" t="inlineStr">
        <is>
          <t>FSCRS</t>
        </is>
      </c>
      <c r="B198" s="27" t="inlineStr">
        <is>
          <t>Forms of Self-Criticising/Attacking and Self-Reassuring Scale</t>
        </is>
      </c>
      <c r="C198" s="27" t="inlineStr">
        <is>
          <t>5. Repetitive negative thinking and self talk</t>
        </is>
      </c>
      <c r="D198" s="28" t="n">
        <v>19</v>
      </c>
      <c r="E198" s="27" t="inlineStr">
        <is>
          <t>I am able to care and look after myself.</t>
        </is>
      </c>
      <c r="F198" s="27" t="inlineStr">
        <is>
          <t>Reassured Self</t>
        </is>
      </c>
      <c r="G198" s="27" t="inlineStr">
        <is>
          <t>FALSE</t>
        </is>
      </c>
      <c r="H198" s="27" t="inlineStr">
        <is>
          <t>FALSE</t>
        </is>
      </c>
      <c r="I198" s="27" t="inlineStr">
        <is>
          <t>Not at all like me = 0 | A little bit like me = 1 | Moderately like me = 2 | Quite a bit like me = 3 | Extremely like me = 4</t>
        </is>
      </c>
      <c r="J198" s="27" t="n"/>
      <c r="K198" s="27" t="inlineStr">
        <is>
          <t>https://d3n8a8pro7vhmx.cloudfront.net/portlandpsychotherapy/pages/21/attachments/original/1438799410/Forms_of_self-criticising_and_self_reassuring_scale.pdf</t>
        </is>
      </c>
    </row>
    <row r="199" ht="46.25" customHeight="1" s="17">
      <c r="A199" s="27" t="inlineStr">
        <is>
          <t>FSCRS</t>
        </is>
      </c>
      <c r="B199" s="27" t="inlineStr">
        <is>
          <t>Forms of Self-Criticising/Attacking and Self-Reassuring Scale</t>
        </is>
      </c>
      <c r="C199" s="27" t="inlineStr">
        <is>
          <t>5. Repetitive negative thinking and self talk</t>
        </is>
      </c>
      <c r="D199" s="28" t="n">
        <v>20</v>
      </c>
      <c r="E199" s="27" t="inlineStr">
        <is>
          <t>There is a part of me that wants to get rid of the bits I don't like.</t>
        </is>
      </c>
      <c r="F199" s="27" t="inlineStr">
        <is>
          <t>Inadequate Self</t>
        </is>
      </c>
      <c r="G199" s="27" t="inlineStr">
        <is>
          <t>FALSE</t>
        </is>
      </c>
      <c r="H199" s="27" t="inlineStr">
        <is>
          <t>FALSE</t>
        </is>
      </c>
      <c r="I199" s="27" t="inlineStr">
        <is>
          <t>Not at all like me = 0 | A little bit like me = 1 | Moderately like me = 2 | Quite a bit like me = 3 | Extremely like me = 4</t>
        </is>
      </c>
      <c r="J199" s="27" t="n"/>
      <c r="K199" s="27" t="inlineStr">
        <is>
          <t>https://d3n8a8pro7vhmx.cloudfront.net/portlandpsychotherapy/pages/21/attachments/original/1438799410/Forms_of_self-criticising_and_self_reassuring_scale.pdf</t>
        </is>
      </c>
    </row>
    <row r="200" ht="46.25" customHeight="1" s="17">
      <c r="A200" s="27" t="inlineStr">
        <is>
          <t>FSCRS</t>
        </is>
      </c>
      <c r="B200" s="27" t="inlineStr">
        <is>
          <t>Forms of Self-Criticising/Attacking and Self-Reassuring Scale</t>
        </is>
      </c>
      <c r="C200" s="27" t="inlineStr">
        <is>
          <t>5. Repetitive negative thinking and self talk</t>
        </is>
      </c>
      <c r="D200" s="28" t="n">
        <v>21</v>
      </c>
      <c r="E200" s="27" t="inlineStr">
        <is>
          <t>I encourage myself for the future.</t>
        </is>
      </c>
      <c r="F200" s="27" t="inlineStr">
        <is>
          <t>Reassured Self</t>
        </is>
      </c>
      <c r="G200" s="27" t="inlineStr">
        <is>
          <t>FALSE</t>
        </is>
      </c>
      <c r="H200" s="27" t="inlineStr">
        <is>
          <t>FALSE</t>
        </is>
      </c>
      <c r="I200" s="27" t="inlineStr">
        <is>
          <t>Not at all like me = 0 | A little bit like me = 1 | Moderately like me = 2 | Quite a bit like me = 3 | Extremely like me = 4</t>
        </is>
      </c>
      <c r="J200" s="27" t="n"/>
      <c r="K200" s="27" t="inlineStr">
        <is>
          <t>https://d3n8a8pro7vhmx.cloudfront.net/portlandpsychotherapy/pages/21/attachments/original/1438799410/Forms_of_self-criticising_and_self_reassuring_scale.pdf</t>
        </is>
      </c>
    </row>
    <row r="201" ht="46.25" customHeight="1" s="17">
      <c r="A201" s="27" t="inlineStr">
        <is>
          <t>FSCRS</t>
        </is>
      </c>
      <c r="B201" s="27" t="inlineStr">
        <is>
          <t>Forms of Self-Criticising/Attacking and Self-Reassuring Scale</t>
        </is>
      </c>
      <c r="C201" s="27" t="inlineStr">
        <is>
          <t>5. Repetitive negative thinking and self talk</t>
        </is>
      </c>
      <c r="D201" s="28" t="n">
        <v>22</v>
      </c>
      <c r="E201" s="27" t="inlineStr">
        <is>
          <t>I do not like being me.</t>
        </is>
      </c>
      <c r="F201" s="27" t="inlineStr">
        <is>
          <t>Hated Self</t>
        </is>
      </c>
      <c r="G201" s="27" t="inlineStr">
        <is>
          <t>FALSE</t>
        </is>
      </c>
      <c r="H201" s="27" t="inlineStr">
        <is>
          <t>FALSE</t>
        </is>
      </c>
      <c r="I201" s="27" t="inlineStr">
        <is>
          <t>Not at all like me = 0 | A little bit like me = 1 | Moderately like me = 2 | Quite a bit like me = 3 | Extremely like me = 4</t>
        </is>
      </c>
      <c r="J201" s="27" t="n"/>
      <c r="K201" s="27" t="inlineStr">
        <is>
          <t>https://d3n8a8pro7vhmx.cloudfront.net/portlandpsychotherapy/pages/21/attachments/original/1438799410/Forms_of_self-criticising_and_self_reassuring_scale.pdf</t>
        </is>
      </c>
    </row>
    <row r="202" ht="23.85" customHeight="1" s="17">
      <c r="A202" s="27" t="inlineStr">
        <is>
          <t>PCI</t>
        </is>
      </c>
      <c r="B202" s="27" t="inlineStr">
        <is>
          <t>Perfectionism Cognitions Inventory</t>
        </is>
      </c>
      <c r="C202" s="27" t="inlineStr">
        <is>
          <t>5. Repetitive negative thinking and self talk</t>
        </is>
      </c>
      <c r="D202" s="28" t="n">
        <v>1</v>
      </c>
      <c r="E202" s="27" t="inlineStr">
        <is>
          <t>Why can't I be perfect</t>
        </is>
      </c>
      <c r="F202" s="27" t="inlineStr">
        <is>
          <t>Not stated on source</t>
        </is>
      </c>
      <c r="G202" s="27" t="inlineStr">
        <is>
          <t>FALSE</t>
        </is>
      </c>
      <c r="H202" s="27" t="inlineStr">
        <is>
          <t>FALSE</t>
        </is>
      </c>
      <c r="I202" s="27" t="inlineStr">
        <is>
          <t>Not At All = 0 | Sometimes = 1 | Moderately Often = 2 | Often = 3 | All of the time = 4</t>
        </is>
      </c>
      <c r="J202" s="27" t="n"/>
      <c r="K202" s="27" t="inlineStr">
        <is>
          <t>https://novopsych.com/assessments/formulation/perfectionistic-cognitions-inventory-pci/</t>
        </is>
      </c>
    </row>
    <row r="203" ht="23.85" customHeight="1" s="17">
      <c r="A203" s="27" t="inlineStr">
        <is>
          <t>PCI</t>
        </is>
      </c>
      <c r="B203" s="27" t="inlineStr">
        <is>
          <t>Perfectionism Cognitions Inventory</t>
        </is>
      </c>
      <c r="C203" s="27" t="inlineStr">
        <is>
          <t>5. Repetitive negative thinking and self talk</t>
        </is>
      </c>
      <c r="D203" s="28" t="n">
        <v>2</v>
      </c>
      <c r="E203" s="27" t="inlineStr">
        <is>
          <t>I need to do better</t>
        </is>
      </c>
      <c r="F203" s="27" t="inlineStr">
        <is>
          <t>Not stated on source</t>
        </is>
      </c>
      <c r="G203" s="27" t="inlineStr">
        <is>
          <t>FALSE</t>
        </is>
      </c>
      <c r="H203" s="27" t="inlineStr">
        <is>
          <t>FALSE</t>
        </is>
      </c>
      <c r="I203" s="27" t="inlineStr">
        <is>
          <t>Not At All = 0 | Sometimes = 1 | Moderately Often = 2 | Often = 3 | All of the time = 4</t>
        </is>
      </c>
      <c r="J203" s="27" t="n"/>
      <c r="K203" s="27" t="inlineStr">
        <is>
          <t>https://novopsych.com/assessments/formulation/perfectionistic-cognitions-inventory-pci/</t>
        </is>
      </c>
    </row>
    <row r="204" ht="23.85" customHeight="1" s="17">
      <c r="A204" s="27" t="inlineStr">
        <is>
          <t>PCI</t>
        </is>
      </c>
      <c r="B204" s="27" t="inlineStr">
        <is>
          <t>Perfectionism Cognitions Inventory</t>
        </is>
      </c>
      <c r="C204" s="27" t="inlineStr">
        <is>
          <t>5. Repetitive negative thinking and self talk</t>
        </is>
      </c>
      <c r="D204" s="28" t="n">
        <v>3</v>
      </c>
      <c r="E204" s="27" t="inlineStr">
        <is>
          <t>I should be perfect</t>
        </is>
      </c>
      <c r="F204" s="27" t="inlineStr">
        <is>
          <t>Not stated on source</t>
        </is>
      </c>
      <c r="G204" s="27" t="inlineStr">
        <is>
          <t>FALSE</t>
        </is>
      </c>
      <c r="H204" s="27" t="inlineStr">
        <is>
          <t>FALSE</t>
        </is>
      </c>
      <c r="I204" s="27" t="inlineStr">
        <is>
          <t>Not At All = 0 | Sometimes = 1 | Moderately Often = 2 | Often = 3 | All of the time = 4</t>
        </is>
      </c>
      <c r="J204" s="27" t="n"/>
      <c r="K204" s="27" t="inlineStr">
        <is>
          <t>https://novopsych.com/assessments/formulation/perfectionistic-cognitions-inventory-pci/</t>
        </is>
      </c>
    </row>
    <row r="205" ht="23.85" customHeight="1" s="17">
      <c r="A205" s="27" t="inlineStr">
        <is>
          <t>PCI</t>
        </is>
      </c>
      <c r="B205" s="27" t="inlineStr">
        <is>
          <t>Perfectionism Cognitions Inventory</t>
        </is>
      </c>
      <c r="C205" s="27" t="inlineStr">
        <is>
          <t>5. Repetitive negative thinking and self talk</t>
        </is>
      </c>
      <c r="D205" s="28" t="n">
        <v>4</v>
      </c>
      <c r="E205" s="27" t="inlineStr">
        <is>
          <t>I should never make the same mistake twice</t>
        </is>
      </c>
      <c r="F205" s="27" t="inlineStr">
        <is>
          <t>Not stated on source</t>
        </is>
      </c>
      <c r="G205" s="27" t="inlineStr">
        <is>
          <t>FALSE</t>
        </is>
      </c>
      <c r="H205" s="27" t="inlineStr">
        <is>
          <t>FALSE</t>
        </is>
      </c>
      <c r="I205" s="27" t="inlineStr">
        <is>
          <t>Not At All = 0 | Sometimes = 1 | Moderately Often = 2 | Often = 3 | All of the time = 4</t>
        </is>
      </c>
      <c r="J205" s="27" t="n"/>
      <c r="K205" s="27" t="inlineStr">
        <is>
          <t>https://novopsych.com/assessments/formulation/perfectionistic-cognitions-inventory-pci/</t>
        </is>
      </c>
    </row>
    <row r="206" ht="23.85" customHeight="1" s="17">
      <c r="A206" s="27" t="inlineStr">
        <is>
          <t>PCI</t>
        </is>
      </c>
      <c r="B206" s="27" t="inlineStr">
        <is>
          <t>Perfectionism Cognitions Inventory</t>
        </is>
      </c>
      <c r="C206" s="27" t="inlineStr">
        <is>
          <t>5. Repetitive negative thinking and self talk</t>
        </is>
      </c>
      <c r="D206" s="28" t="n">
        <v>5</v>
      </c>
      <c r="E206" s="27" t="inlineStr">
        <is>
          <t>I've got to keep working on my goals</t>
        </is>
      </c>
      <c r="F206" s="27" t="inlineStr">
        <is>
          <t>Not stated on source</t>
        </is>
      </c>
      <c r="G206" s="27" t="inlineStr">
        <is>
          <t>FALSE</t>
        </is>
      </c>
      <c r="H206" s="27" t="inlineStr">
        <is>
          <t>FALSE</t>
        </is>
      </c>
      <c r="I206" s="27" t="inlineStr">
        <is>
          <t>Not At All = 0 | Sometimes = 1 | Moderately Often = 2 | Often = 3 | All of the time = 4</t>
        </is>
      </c>
      <c r="J206" s="27" t="n"/>
      <c r="K206" s="27" t="inlineStr">
        <is>
          <t>https://novopsych.com/assessments/formulation/perfectionistic-cognitions-inventory-pci/</t>
        </is>
      </c>
    </row>
    <row r="207" ht="23.85" customHeight="1" s="17">
      <c r="A207" s="27" t="inlineStr">
        <is>
          <t>PCI</t>
        </is>
      </c>
      <c r="B207" s="27" t="inlineStr">
        <is>
          <t>Perfectionism Cognitions Inventory</t>
        </is>
      </c>
      <c r="C207" s="27" t="inlineStr">
        <is>
          <t>5. Repetitive negative thinking and self talk</t>
        </is>
      </c>
      <c r="D207" s="28" t="n">
        <v>6</v>
      </c>
      <c r="E207" s="27" t="inlineStr">
        <is>
          <t>I have to be the best</t>
        </is>
      </c>
      <c r="F207" s="27" t="inlineStr">
        <is>
          <t>Not stated on source</t>
        </is>
      </c>
      <c r="G207" s="27" t="inlineStr">
        <is>
          <t>FALSE</t>
        </is>
      </c>
      <c r="H207" s="27" t="inlineStr">
        <is>
          <t>FALSE</t>
        </is>
      </c>
      <c r="I207" s="27" t="inlineStr">
        <is>
          <t>Not At All = 0 | Sometimes = 1 | Moderately Often = 2 | Often = 3 | All of the time = 4</t>
        </is>
      </c>
      <c r="J207" s="27" t="n"/>
      <c r="K207" s="27" t="inlineStr">
        <is>
          <t>https://novopsych.com/assessments/formulation/perfectionistic-cognitions-inventory-pci/</t>
        </is>
      </c>
    </row>
    <row r="208" ht="23.85" customHeight="1" s="17">
      <c r="A208" s="27" t="inlineStr">
        <is>
          <t>PCI</t>
        </is>
      </c>
      <c r="B208" s="27" t="inlineStr">
        <is>
          <t>Perfectionism Cognitions Inventory</t>
        </is>
      </c>
      <c r="C208" s="27" t="inlineStr">
        <is>
          <t>5. Repetitive negative thinking and self talk</t>
        </is>
      </c>
      <c r="D208" s="28" t="n">
        <v>7</v>
      </c>
      <c r="E208" s="27" t="inlineStr">
        <is>
          <t>I should be doing more</t>
        </is>
      </c>
      <c r="F208" s="27" t="inlineStr">
        <is>
          <t>Not stated on source</t>
        </is>
      </c>
      <c r="G208" s="27" t="inlineStr">
        <is>
          <t>FALSE</t>
        </is>
      </c>
      <c r="H208" s="27" t="inlineStr">
        <is>
          <t>FALSE</t>
        </is>
      </c>
      <c r="I208" s="27" t="inlineStr">
        <is>
          <t>Not At All = 0 | Sometimes = 1 | Moderately Often = 2 | Often = 3 | All of the time = 4</t>
        </is>
      </c>
      <c r="J208" s="27" t="n"/>
      <c r="K208" s="27" t="inlineStr">
        <is>
          <t>https://novopsych.com/assessments/formulation/perfectionistic-cognitions-inventory-pci/</t>
        </is>
      </c>
    </row>
    <row r="209" ht="23.85" customHeight="1" s="17">
      <c r="A209" s="27" t="inlineStr">
        <is>
          <t>PCI</t>
        </is>
      </c>
      <c r="B209" s="27" t="inlineStr">
        <is>
          <t>Perfectionism Cognitions Inventory</t>
        </is>
      </c>
      <c r="C209" s="27" t="inlineStr">
        <is>
          <t>5. Repetitive negative thinking and self talk</t>
        </is>
      </c>
      <c r="D209" s="28" t="n">
        <v>8</v>
      </c>
      <c r="E209" s="27" t="inlineStr">
        <is>
          <t>I can't stand to make mistakes</t>
        </is>
      </c>
      <c r="F209" s="27" t="inlineStr">
        <is>
          <t>Not stated on source</t>
        </is>
      </c>
      <c r="G209" s="27" t="inlineStr">
        <is>
          <t>FALSE</t>
        </is>
      </c>
      <c r="H209" s="27" t="inlineStr">
        <is>
          <t>FALSE</t>
        </is>
      </c>
      <c r="I209" s="27" t="inlineStr">
        <is>
          <t>Not At All = 0 | Sometimes = 1 | Moderately Often = 2 | Often = 3 | All of the time = 4</t>
        </is>
      </c>
      <c r="J209" s="27" t="n"/>
      <c r="K209" s="27" t="inlineStr">
        <is>
          <t>https://novopsych.com/assessments/formulation/perfectionistic-cognitions-inventory-pci/</t>
        </is>
      </c>
    </row>
    <row r="210" ht="23.85" customHeight="1" s="17">
      <c r="A210" s="27" t="inlineStr">
        <is>
          <t>PCI</t>
        </is>
      </c>
      <c r="B210" s="27" t="inlineStr">
        <is>
          <t>Perfectionism Cognitions Inventory</t>
        </is>
      </c>
      <c r="C210" s="27" t="inlineStr">
        <is>
          <t>5. Repetitive negative thinking and self talk</t>
        </is>
      </c>
      <c r="D210" s="28" t="n">
        <v>9</v>
      </c>
      <c r="E210" s="27" t="inlineStr">
        <is>
          <t>I have to work hard all the time</t>
        </is>
      </c>
      <c r="F210" s="27" t="inlineStr">
        <is>
          <t>Not stated on source</t>
        </is>
      </c>
      <c r="G210" s="27" t="inlineStr">
        <is>
          <t>FALSE</t>
        </is>
      </c>
      <c r="H210" s="27" t="inlineStr">
        <is>
          <t>FALSE</t>
        </is>
      </c>
      <c r="I210" s="27" t="inlineStr">
        <is>
          <t>Not At All = 0 | Sometimes = 1 | Moderately Often = 2 | Often = 3 | All of the time = 4</t>
        </is>
      </c>
      <c r="J210" s="27" t="n"/>
      <c r="K210" s="27" t="inlineStr">
        <is>
          <t>https://novopsych.com/assessments/formulation/perfectionistic-cognitions-inventory-pci/</t>
        </is>
      </c>
    </row>
    <row r="211" ht="23.85" customHeight="1" s="17">
      <c r="A211" s="27" t="inlineStr">
        <is>
          <t>PCI</t>
        </is>
      </c>
      <c r="B211" s="27" t="inlineStr">
        <is>
          <t>Perfectionism Cognitions Inventory</t>
        </is>
      </c>
      <c r="C211" s="27" t="inlineStr">
        <is>
          <t>5. Repetitive negative thinking and self talk</t>
        </is>
      </c>
      <c r="D211" s="28" t="n">
        <v>10</v>
      </c>
      <c r="E211" s="27" t="inlineStr">
        <is>
          <t>No matter how much I do, it's never enough</t>
        </is>
      </c>
      <c r="F211" s="27" t="inlineStr">
        <is>
          <t>Not stated on source</t>
        </is>
      </c>
      <c r="G211" s="27" t="inlineStr">
        <is>
          <t>FALSE</t>
        </is>
      </c>
      <c r="H211" s="27" t="inlineStr">
        <is>
          <t>FALSE</t>
        </is>
      </c>
      <c r="I211" s="27" t="inlineStr">
        <is>
          <t>Not At All = 0 | Sometimes = 1 | Moderately Often = 2 | Often = 3 | All of the time = 4</t>
        </is>
      </c>
      <c r="J211" s="27" t="n"/>
      <c r="K211" s="27" t="inlineStr">
        <is>
          <t>https://novopsych.com/assessments/formulation/perfectionistic-cognitions-inventory-pci/</t>
        </is>
      </c>
    </row>
    <row r="212" ht="23.85" customHeight="1" s="17">
      <c r="A212" s="27" t="inlineStr">
        <is>
          <t>PCI</t>
        </is>
      </c>
      <c r="B212" s="27" t="inlineStr">
        <is>
          <t>Perfectionism Cognitions Inventory</t>
        </is>
      </c>
      <c r="C212" s="27" t="inlineStr">
        <is>
          <t>5. Repetitive negative thinking and self talk</t>
        </is>
      </c>
      <c r="D212" s="28" t="n">
        <v>11</v>
      </c>
      <c r="E212" s="27" t="inlineStr">
        <is>
          <t>People expect me to be perfect</t>
        </is>
      </c>
      <c r="F212" s="27" t="inlineStr">
        <is>
          <t>Not stated on source</t>
        </is>
      </c>
      <c r="G212" s="27" t="inlineStr">
        <is>
          <t>FALSE</t>
        </is>
      </c>
      <c r="H212" s="27" t="inlineStr">
        <is>
          <t>FALSE</t>
        </is>
      </c>
      <c r="I212" s="27" t="inlineStr">
        <is>
          <t>Not At All = 0 | Sometimes = 1 | Moderately Often = 2 | Often = 3 | All of the time = 4</t>
        </is>
      </c>
      <c r="J212" s="27" t="n"/>
      <c r="K212" s="27" t="inlineStr">
        <is>
          <t>https://novopsych.com/assessments/formulation/perfectionistic-cognitions-inventory-pci/</t>
        </is>
      </c>
    </row>
    <row r="213" ht="23.85" customHeight="1" s="17">
      <c r="A213" s="27" t="inlineStr">
        <is>
          <t>PCI</t>
        </is>
      </c>
      <c r="B213" s="27" t="inlineStr">
        <is>
          <t>Perfectionism Cognitions Inventory</t>
        </is>
      </c>
      <c r="C213" s="27" t="inlineStr">
        <is>
          <t>5. Repetitive negative thinking and self talk</t>
        </is>
      </c>
      <c r="D213" s="28" t="n">
        <v>12</v>
      </c>
      <c r="E213" s="27" t="inlineStr">
        <is>
          <t>I must be efficient at all times</t>
        </is>
      </c>
      <c r="F213" s="27" t="inlineStr">
        <is>
          <t>Not stated on source</t>
        </is>
      </c>
      <c r="G213" s="27" t="inlineStr">
        <is>
          <t>FALSE</t>
        </is>
      </c>
      <c r="H213" s="27" t="inlineStr">
        <is>
          <t>FALSE</t>
        </is>
      </c>
      <c r="I213" s="27" t="inlineStr">
        <is>
          <t>Not At All = 0 | Sometimes = 1 | Moderately Often = 2 | Often = 3 | All of the time = 4</t>
        </is>
      </c>
      <c r="J213" s="27" t="n"/>
      <c r="K213" s="27" t="inlineStr">
        <is>
          <t>https://novopsych.com/assessments/formulation/perfectionistic-cognitions-inventory-pci/</t>
        </is>
      </c>
    </row>
    <row r="214" ht="23.85" customHeight="1" s="17">
      <c r="A214" s="27" t="inlineStr">
        <is>
          <t>PCI</t>
        </is>
      </c>
      <c r="B214" s="27" t="inlineStr">
        <is>
          <t>Perfectionism Cognitions Inventory</t>
        </is>
      </c>
      <c r="C214" s="27" t="inlineStr">
        <is>
          <t>5. Repetitive negative thinking and self talk</t>
        </is>
      </c>
      <c r="D214" s="28" t="n">
        <v>13</v>
      </c>
      <c r="E214" s="27" t="inlineStr">
        <is>
          <t>My goals are very high</t>
        </is>
      </c>
      <c r="F214" s="27" t="inlineStr">
        <is>
          <t>Not stated on source</t>
        </is>
      </c>
      <c r="G214" s="27" t="inlineStr">
        <is>
          <t>FALSE</t>
        </is>
      </c>
      <c r="H214" s="27" t="inlineStr">
        <is>
          <t>FALSE</t>
        </is>
      </c>
      <c r="I214" s="27" t="inlineStr">
        <is>
          <t>Not At All = 0 | Sometimes = 1 | Moderately Often = 2 | Often = 3 | All of the time = 4</t>
        </is>
      </c>
      <c r="J214" s="27" t="n"/>
      <c r="K214" s="27" t="inlineStr">
        <is>
          <t>https://novopsych.com/assessments/formulation/perfectionistic-cognitions-inventory-pci/</t>
        </is>
      </c>
    </row>
    <row r="215" ht="23.85" customHeight="1" s="17">
      <c r="A215" s="27" t="inlineStr">
        <is>
          <t>PCI</t>
        </is>
      </c>
      <c r="B215" s="27" t="inlineStr">
        <is>
          <t>Perfectionism Cognitions Inventory</t>
        </is>
      </c>
      <c r="C215" s="27" t="inlineStr">
        <is>
          <t>5. Repetitive negative thinking and self talk</t>
        </is>
      </c>
      <c r="D215" s="28" t="n">
        <v>14</v>
      </c>
      <c r="E215" s="27" t="inlineStr">
        <is>
          <t>I can always do better, even if things are almost perfect</t>
        </is>
      </c>
      <c r="F215" s="27" t="inlineStr">
        <is>
          <t>Not stated on source</t>
        </is>
      </c>
      <c r="G215" s="27" t="inlineStr">
        <is>
          <t>FALSE</t>
        </is>
      </c>
      <c r="H215" s="27" t="inlineStr">
        <is>
          <t>FALSE</t>
        </is>
      </c>
      <c r="I215" s="27" t="inlineStr">
        <is>
          <t>Not At All = 0 | Sometimes = 1 | Moderately Often = 2 | Often = 3 | All of the time = 4</t>
        </is>
      </c>
      <c r="J215" s="27" t="n"/>
      <c r="K215" s="27" t="inlineStr">
        <is>
          <t>https://novopsych.com/assessments/formulation/perfectionistic-cognitions-inventory-pci/</t>
        </is>
      </c>
    </row>
    <row r="216" ht="23.85" customHeight="1" s="17">
      <c r="A216" s="27" t="inlineStr">
        <is>
          <t>PCI</t>
        </is>
      </c>
      <c r="B216" s="27" t="inlineStr">
        <is>
          <t>Perfectionism Cognitions Inventory</t>
        </is>
      </c>
      <c r="C216" s="27" t="inlineStr">
        <is>
          <t>5. Repetitive negative thinking and self talk</t>
        </is>
      </c>
      <c r="D216" s="28" t="n">
        <v>15</v>
      </c>
      <c r="E216" s="27" t="inlineStr">
        <is>
          <t>I expect to be perfect</t>
        </is>
      </c>
      <c r="F216" s="27" t="inlineStr">
        <is>
          <t>Not stated on source</t>
        </is>
      </c>
      <c r="G216" s="27" t="inlineStr">
        <is>
          <t>FALSE</t>
        </is>
      </c>
      <c r="H216" s="27" t="inlineStr">
        <is>
          <t>FALSE</t>
        </is>
      </c>
      <c r="I216" s="27" t="inlineStr">
        <is>
          <t>Not At All = 0 | Sometimes = 1 | Moderately Often = 2 | Often = 3 | All of the time = 4</t>
        </is>
      </c>
      <c r="J216" s="27" t="n"/>
      <c r="K216" s="27" t="inlineStr">
        <is>
          <t>https://novopsych.com/assessments/formulation/perfectionistic-cognitions-inventory-pci/</t>
        </is>
      </c>
    </row>
    <row r="217" ht="23.85" customHeight="1" s="17">
      <c r="A217" s="27" t="inlineStr">
        <is>
          <t>PCI</t>
        </is>
      </c>
      <c r="B217" s="27" t="inlineStr">
        <is>
          <t>Perfectionism Cognitions Inventory</t>
        </is>
      </c>
      <c r="C217" s="27" t="inlineStr">
        <is>
          <t>5. Repetitive negative thinking and self talk</t>
        </is>
      </c>
      <c r="D217" s="28" t="n">
        <v>16</v>
      </c>
      <c r="E217" s="27" t="inlineStr">
        <is>
          <t>Why can't things be perfect?</t>
        </is>
      </c>
      <c r="F217" s="27" t="inlineStr">
        <is>
          <t>Not stated on source</t>
        </is>
      </c>
      <c r="G217" s="27" t="inlineStr">
        <is>
          <t>FALSE</t>
        </is>
      </c>
      <c r="H217" s="27" t="inlineStr">
        <is>
          <t>FALSE</t>
        </is>
      </c>
      <c r="I217" s="27" t="inlineStr">
        <is>
          <t>Not At All = 0 | Sometimes = 1 | Moderately Often = 2 | Often = 3 | All of the time = 4</t>
        </is>
      </c>
      <c r="J217" s="27" t="n"/>
      <c r="K217" s="27" t="inlineStr">
        <is>
          <t>https://novopsych.com/assessments/formulation/perfectionistic-cognitions-inventory-pci/</t>
        </is>
      </c>
    </row>
    <row r="218" ht="23.85" customHeight="1" s="17">
      <c r="A218" s="27" t="inlineStr">
        <is>
          <t>PCI</t>
        </is>
      </c>
      <c r="B218" s="27" t="inlineStr">
        <is>
          <t>Perfectionism Cognitions Inventory</t>
        </is>
      </c>
      <c r="C218" s="27" t="inlineStr">
        <is>
          <t>5. Repetitive negative thinking and self talk</t>
        </is>
      </c>
      <c r="D218" s="28" t="n">
        <v>17</v>
      </c>
      <c r="E218" s="27" t="inlineStr">
        <is>
          <t>My work has to be superior</t>
        </is>
      </c>
      <c r="F218" s="27" t="inlineStr">
        <is>
          <t>Not stated on source</t>
        </is>
      </c>
      <c r="G218" s="27" t="inlineStr">
        <is>
          <t>FALSE</t>
        </is>
      </c>
      <c r="H218" s="27" t="inlineStr">
        <is>
          <t>FALSE</t>
        </is>
      </c>
      <c r="I218" s="27" t="inlineStr">
        <is>
          <t>Not At All = 0 | Sometimes = 1 | Moderately Often = 2 | Often = 3 | All of the time = 4</t>
        </is>
      </c>
      <c r="J218" s="27" t="n"/>
      <c r="K218" s="27" t="inlineStr">
        <is>
          <t>https://novopsych.com/assessments/formulation/perfectionistic-cognitions-inventory-pci/</t>
        </is>
      </c>
    </row>
    <row r="219" ht="23.85" customHeight="1" s="17">
      <c r="A219" s="27" t="inlineStr">
        <is>
          <t>PCI</t>
        </is>
      </c>
      <c r="B219" s="27" t="inlineStr">
        <is>
          <t>Perfectionism Cognitions Inventory</t>
        </is>
      </c>
      <c r="C219" s="27" t="inlineStr">
        <is>
          <t>5. Repetitive negative thinking and self talk</t>
        </is>
      </c>
      <c r="D219" s="28" t="n">
        <v>18</v>
      </c>
      <c r="E219" s="27" t="inlineStr">
        <is>
          <t>It would be great if everything in my life was perfect</t>
        </is>
      </c>
      <c r="F219" s="27" t="inlineStr">
        <is>
          <t>Not stated on source</t>
        </is>
      </c>
      <c r="G219" s="27" t="inlineStr">
        <is>
          <t>FALSE</t>
        </is>
      </c>
      <c r="H219" s="27" t="inlineStr">
        <is>
          <t>FALSE</t>
        </is>
      </c>
      <c r="I219" s="27" t="inlineStr">
        <is>
          <t>Not At All = 0 | Sometimes = 1 | Moderately Often = 2 | Often = 3 | All of the time = 4</t>
        </is>
      </c>
      <c r="J219" s="27" t="n"/>
      <c r="K219" s="27" t="inlineStr">
        <is>
          <t>https://novopsych.com/assessments/formulation/perfectionistic-cognitions-inventory-pci/</t>
        </is>
      </c>
    </row>
    <row r="220" ht="23.85" customHeight="1" s="17">
      <c r="A220" s="27" t="inlineStr">
        <is>
          <t>PCI</t>
        </is>
      </c>
      <c r="B220" s="27" t="inlineStr">
        <is>
          <t>Perfectionism Cognitions Inventory</t>
        </is>
      </c>
      <c r="C220" s="27" t="inlineStr">
        <is>
          <t>5. Repetitive negative thinking and self talk</t>
        </is>
      </c>
      <c r="D220" s="28" t="n">
        <v>19</v>
      </c>
      <c r="E220" s="27" t="inlineStr">
        <is>
          <t>My work should be flawless</t>
        </is>
      </c>
      <c r="F220" s="27" t="inlineStr">
        <is>
          <t>Not stated on source</t>
        </is>
      </c>
      <c r="G220" s="27" t="inlineStr">
        <is>
          <t>FALSE</t>
        </is>
      </c>
      <c r="H220" s="27" t="inlineStr">
        <is>
          <t>FALSE</t>
        </is>
      </c>
      <c r="I220" s="27" t="inlineStr">
        <is>
          <t>Not At All = 0 | Sometimes = 1 | Moderately Often = 2 | Often = 3 | All of the time = 4</t>
        </is>
      </c>
      <c r="J220" s="27" t="n"/>
      <c r="K220" s="27" t="inlineStr">
        <is>
          <t>https://novopsych.com/assessments/formulation/perfectionistic-cognitions-inventory-pci/</t>
        </is>
      </c>
    </row>
    <row r="221" ht="23.85" customHeight="1" s="17">
      <c r="A221" s="27" t="inlineStr">
        <is>
          <t>PCI</t>
        </is>
      </c>
      <c r="B221" s="27" t="inlineStr">
        <is>
          <t>Perfectionism Cognitions Inventory</t>
        </is>
      </c>
      <c r="C221" s="27" t="inlineStr">
        <is>
          <t>5. Repetitive negative thinking and self talk</t>
        </is>
      </c>
      <c r="D221" s="28" t="n">
        <v>20</v>
      </c>
      <c r="E221" s="27" t="inlineStr">
        <is>
          <t>Things are seldom ideal</t>
        </is>
      </c>
      <c r="F221" s="27" t="inlineStr">
        <is>
          <t>Not stated on source</t>
        </is>
      </c>
      <c r="G221" s="27" t="inlineStr">
        <is>
          <t>FALSE</t>
        </is>
      </c>
      <c r="H221" s="27" t="inlineStr">
        <is>
          <t>FALSE</t>
        </is>
      </c>
      <c r="I221" s="27" t="inlineStr">
        <is>
          <t>Not At All = 0 | Sometimes = 1 | Moderately Often = 2 | Often = 3 | All of the time = 4</t>
        </is>
      </c>
      <c r="J221" s="27" t="n"/>
      <c r="K221" s="27" t="inlineStr">
        <is>
          <t>https://novopsych.com/assessments/formulation/perfectionistic-cognitions-inventory-pci/</t>
        </is>
      </c>
    </row>
    <row r="222" ht="23.85" customHeight="1" s="17">
      <c r="A222" s="27" t="inlineStr">
        <is>
          <t>PCI</t>
        </is>
      </c>
      <c r="B222" s="27" t="inlineStr">
        <is>
          <t>Perfectionism Cognitions Inventory</t>
        </is>
      </c>
      <c r="C222" s="27" t="inlineStr">
        <is>
          <t>5. Repetitive negative thinking and self talk</t>
        </is>
      </c>
      <c r="D222" s="28" t="n">
        <v>21</v>
      </c>
      <c r="E222" s="27" t="inlineStr">
        <is>
          <t>How well am I doing?</t>
        </is>
      </c>
      <c r="F222" s="27" t="inlineStr">
        <is>
          <t>Not stated on source</t>
        </is>
      </c>
      <c r="G222" s="27" t="inlineStr">
        <is>
          <t>FALSE</t>
        </is>
      </c>
      <c r="H222" s="27" t="inlineStr">
        <is>
          <t>FALSE</t>
        </is>
      </c>
      <c r="I222" s="27" t="inlineStr">
        <is>
          <t>Not At All = 0 | Sometimes = 1 | Moderately Often = 2 | Often = 3 | All of the time = 4</t>
        </is>
      </c>
      <c r="J222" s="27" t="n"/>
      <c r="K222" s="27" t="inlineStr">
        <is>
          <t>https://novopsych.com/assessments/formulation/perfectionistic-cognitions-inventory-pci/</t>
        </is>
      </c>
    </row>
    <row r="223" ht="23.85" customHeight="1" s="17">
      <c r="A223" s="27" t="inlineStr">
        <is>
          <t>PCI</t>
        </is>
      </c>
      <c r="B223" s="27" t="inlineStr">
        <is>
          <t>Perfectionism Cognitions Inventory</t>
        </is>
      </c>
      <c r="C223" s="27" t="inlineStr">
        <is>
          <t>5. Repetitive negative thinking and self talk</t>
        </is>
      </c>
      <c r="D223" s="28" t="n">
        <v>22</v>
      </c>
      <c r="E223" s="27" t="inlineStr">
        <is>
          <t>I can't do this perfectly</t>
        </is>
      </c>
      <c r="F223" s="27" t="inlineStr">
        <is>
          <t>Not stated on source</t>
        </is>
      </c>
      <c r="G223" s="27" t="inlineStr">
        <is>
          <t>FALSE</t>
        </is>
      </c>
      <c r="H223" s="27" t="inlineStr">
        <is>
          <t>FALSE</t>
        </is>
      </c>
      <c r="I223" s="27" t="inlineStr">
        <is>
          <t>Not At All = 0 | Sometimes = 1 | Moderately Often = 2 | Often = 3 | All of the time = 4</t>
        </is>
      </c>
      <c r="J223" s="27" t="n"/>
      <c r="K223" s="27" t="inlineStr">
        <is>
          <t>https://novopsych.com/assessments/formulation/perfectionistic-cognitions-inventory-pci/</t>
        </is>
      </c>
    </row>
    <row r="224" ht="23.85" customHeight="1" s="17">
      <c r="A224" s="27" t="inlineStr">
        <is>
          <t>PCI</t>
        </is>
      </c>
      <c r="B224" s="27" t="inlineStr">
        <is>
          <t>Perfectionism Cognitions Inventory</t>
        </is>
      </c>
      <c r="C224" s="27" t="inlineStr">
        <is>
          <t>5. Repetitive negative thinking and self talk</t>
        </is>
      </c>
      <c r="D224" s="28" t="n">
        <v>23</v>
      </c>
      <c r="E224" s="27" t="inlineStr">
        <is>
          <t>I certainly have high standards</t>
        </is>
      </c>
      <c r="F224" s="27" t="inlineStr">
        <is>
          <t>Not stated on source</t>
        </is>
      </c>
      <c r="G224" s="27" t="inlineStr">
        <is>
          <t>FALSE</t>
        </is>
      </c>
      <c r="H224" s="27" t="inlineStr">
        <is>
          <t>FALSE</t>
        </is>
      </c>
      <c r="I224" s="27" t="inlineStr">
        <is>
          <t>Not At All = 0 | Sometimes = 1 | Moderately Often = 2 | Often = 3 | All of the time = 4</t>
        </is>
      </c>
      <c r="J224" s="27" t="n"/>
      <c r="K224" s="27" t="inlineStr">
        <is>
          <t>https://novopsych.com/assessments/formulation/perfectionistic-cognitions-inventory-pci/</t>
        </is>
      </c>
    </row>
    <row r="225" ht="23.85" customHeight="1" s="17">
      <c r="A225" s="27" t="inlineStr">
        <is>
          <t>PCI</t>
        </is>
      </c>
      <c r="B225" s="27" t="inlineStr">
        <is>
          <t>Perfectionism Cognitions Inventory</t>
        </is>
      </c>
      <c r="C225" s="27" t="inlineStr">
        <is>
          <t>5. Repetitive negative thinking and self talk</t>
        </is>
      </c>
      <c r="D225" s="28" t="n">
        <v>24</v>
      </c>
      <c r="E225" s="27" t="inlineStr">
        <is>
          <t>Maybe I should lower my goals</t>
        </is>
      </c>
      <c r="F225" s="27" t="inlineStr">
        <is>
          <t>Not stated on source</t>
        </is>
      </c>
      <c r="G225" s="27" t="inlineStr">
        <is>
          <t>FALSE</t>
        </is>
      </c>
      <c r="H225" s="27" t="inlineStr">
        <is>
          <t>FALSE</t>
        </is>
      </c>
      <c r="I225" s="27" t="inlineStr">
        <is>
          <t>Not At All = 0 | Sometimes = 1 | Moderately Often = 2 | Often = 3 | All of the time = 4</t>
        </is>
      </c>
      <c r="J225" s="27" t="n"/>
      <c r="K225" s="27" t="inlineStr">
        <is>
          <t>https://novopsych.com/assessments/formulation/perfectionistic-cognitions-inventory-pci/</t>
        </is>
      </c>
    </row>
    <row r="226" ht="23.85" customHeight="1" s="17">
      <c r="A226" s="27" t="inlineStr">
        <is>
          <t>PCI</t>
        </is>
      </c>
      <c r="B226" s="27" t="inlineStr">
        <is>
          <t>Perfectionism Cognitions Inventory</t>
        </is>
      </c>
      <c r="C226" s="27" t="inlineStr">
        <is>
          <t>5. Repetitive negative thinking and self talk</t>
        </is>
      </c>
      <c r="D226" s="28" t="n">
        <v>25</v>
      </c>
      <c r="E226" s="27" t="inlineStr">
        <is>
          <t>I am too much of a perfectionist</t>
        </is>
      </c>
      <c r="F226" s="27" t="inlineStr">
        <is>
          <t>Not stated on source</t>
        </is>
      </c>
      <c r="G226" s="27" t="inlineStr">
        <is>
          <t>FALSE</t>
        </is>
      </c>
      <c r="H226" s="27" t="inlineStr">
        <is>
          <t>FALSE</t>
        </is>
      </c>
      <c r="I226" s="27" t="inlineStr">
        <is>
          <t>Not At All = 0 | Sometimes = 1 | Moderately Often = 2 | Often = 3 | All of the time = 4</t>
        </is>
      </c>
      <c r="J226" s="27" t="n"/>
      <c r="K226" s="27" t="inlineStr">
        <is>
          <t>https://novopsych.com/assessments/formulation/perfectionistic-cognitions-inventory-pci/</t>
        </is>
      </c>
    </row>
    <row r="227" ht="23.85" customHeight="1" s="17">
      <c r="A227" s="27" t="inlineStr">
        <is>
          <t>SCS-SF</t>
        </is>
      </c>
      <c r="B227" s="27" t="inlineStr">
        <is>
          <t>Self-Compassion Scale – Short Form</t>
        </is>
      </c>
      <c r="C227" s="27" t="inlineStr">
        <is>
          <t>5. Repetitive negative thinking and self talk</t>
        </is>
      </c>
      <c r="D227" s="28" t="n">
        <v>1</v>
      </c>
      <c r="E227" s="27" t="inlineStr">
        <is>
          <t>When I fail at something important to me I become consumed by feelings of inadequacy.</t>
        </is>
      </c>
      <c r="F227" s="27" t="inlineStr">
        <is>
          <t>Over-Identification</t>
        </is>
      </c>
      <c r="G227" s="34" t="inlineStr">
        <is>
          <t>TRUE</t>
        </is>
      </c>
      <c r="H227" s="27" t="inlineStr">
        <is>
          <t>FALSE</t>
        </is>
      </c>
      <c r="I227" s="27" t="inlineStr">
        <is>
          <t>Almost never = 1 | 2 = 2 | 3 = 3 | 4 = 4 | Almost always = 5</t>
        </is>
      </c>
      <c r="J227" s="27" t="n"/>
      <c r="K227" s="27" t="inlineStr">
        <is>
          <t>https://self-compassion.org/wp-content/uploads/2015/02/ShortSCS.pdf</t>
        </is>
      </c>
    </row>
    <row r="228" ht="23.85" customHeight="1" s="17">
      <c r="A228" s="27" t="inlineStr">
        <is>
          <t>SCS-SF</t>
        </is>
      </c>
      <c r="B228" s="27" t="inlineStr">
        <is>
          <t>Self-Compassion Scale – Short Form</t>
        </is>
      </c>
      <c r="C228" s="27" t="inlineStr">
        <is>
          <t>5. Repetitive negative thinking and self talk</t>
        </is>
      </c>
      <c r="D228" s="28" t="n">
        <v>2</v>
      </c>
      <c r="E228" s="27" t="inlineStr">
        <is>
          <t>I try to be understanding and patient towards those aspects of my personality I don't like.</t>
        </is>
      </c>
      <c r="F228" s="27" t="inlineStr">
        <is>
          <t>Self-Kindness</t>
        </is>
      </c>
      <c r="G228" s="27" t="inlineStr">
        <is>
          <t>FALSE</t>
        </is>
      </c>
      <c r="H228" s="27" t="inlineStr">
        <is>
          <t>FALSE</t>
        </is>
      </c>
      <c r="I228" s="27" t="inlineStr">
        <is>
          <t>Almost never = 1 | 2 = 2 | 3 = 3 | 4 = 4 | Almost always = 5</t>
        </is>
      </c>
      <c r="J228" s="27" t="n"/>
      <c r="K228" s="27" t="inlineStr">
        <is>
          <t>https://self-compassion.org/wp-content/uploads/2015/02/ShortSCS.pdf</t>
        </is>
      </c>
    </row>
    <row r="229" ht="23.85" customHeight="1" s="17">
      <c r="A229" s="27" t="inlineStr">
        <is>
          <t>SCS-SF</t>
        </is>
      </c>
      <c r="B229" s="27" t="inlineStr">
        <is>
          <t>Self-Compassion Scale – Short Form</t>
        </is>
      </c>
      <c r="C229" s="27" t="inlineStr">
        <is>
          <t>5. Repetitive negative thinking and self talk</t>
        </is>
      </c>
      <c r="D229" s="28" t="n">
        <v>3</v>
      </c>
      <c r="E229" s="27" t="inlineStr">
        <is>
          <t>When something painful happens I try to take a balanced view of the situation.</t>
        </is>
      </c>
      <c r="F229" s="27" t="inlineStr">
        <is>
          <t>Mindfulness</t>
        </is>
      </c>
      <c r="G229" s="27" t="inlineStr">
        <is>
          <t>FALSE</t>
        </is>
      </c>
      <c r="H229" s="27" t="inlineStr">
        <is>
          <t>FALSE</t>
        </is>
      </c>
      <c r="I229" s="27" t="inlineStr">
        <is>
          <t>Almost never = 1 | 2 = 2 | 3 = 3 | 4 = 4 | Almost always = 5</t>
        </is>
      </c>
      <c r="J229" s="27" t="n"/>
      <c r="K229" s="27" t="inlineStr">
        <is>
          <t>https://self-compassion.org/wp-content/uploads/2015/02/ShortSCS.pdf</t>
        </is>
      </c>
    </row>
    <row r="230" ht="23.85" customHeight="1" s="17">
      <c r="A230" s="27" t="inlineStr">
        <is>
          <t>SCS-SF</t>
        </is>
      </c>
      <c r="B230" s="27" t="inlineStr">
        <is>
          <t>Self-Compassion Scale – Short Form</t>
        </is>
      </c>
      <c r="C230" s="27" t="inlineStr">
        <is>
          <t>5. Repetitive negative thinking and self talk</t>
        </is>
      </c>
      <c r="D230" s="28" t="n">
        <v>4</v>
      </c>
      <c r="E230" s="27" t="inlineStr">
        <is>
          <t>When I'm feeling down, I tend to feel like most other people are probably happier than I am.</t>
        </is>
      </c>
      <c r="F230" s="27" t="inlineStr">
        <is>
          <t>Isolation</t>
        </is>
      </c>
      <c r="G230" s="34" t="inlineStr">
        <is>
          <t>TRUE</t>
        </is>
      </c>
      <c r="H230" s="27" t="inlineStr">
        <is>
          <t>FALSE</t>
        </is>
      </c>
      <c r="I230" s="27" t="inlineStr">
        <is>
          <t>Almost never = 1 | 2 = 2 | 3 = 3 | 4 = 4 | Almost always = 5</t>
        </is>
      </c>
      <c r="J230" s="27" t="n"/>
      <c r="K230" s="27" t="inlineStr">
        <is>
          <t>https://self-compassion.org/wp-content/uploads/2015/02/ShortSCS.pdf</t>
        </is>
      </c>
    </row>
    <row r="231" ht="23.85" customHeight="1" s="17">
      <c r="A231" s="27" t="inlineStr">
        <is>
          <t>SCS-SF</t>
        </is>
      </c>
      <c r="B231" s="27" t="inlineStr">
        <is>
          <t>Self-Compassion Scale – Short Form</t>
        </is>
      </c>
      <c r="C231" s="27" t="inlineStr">
        <is>
          <t>5. Repetitive negative thinking and self talk</t>
        </is>
      </c>
      <c r="D231" s="28" t="n">
        <v>5</v>
      </c>
      <c r="E231" s="27" t="inlineStr">
        <is>
          <t>I try to see my failings as part of the human condition.</t>
        </is>
      </c>
      <c r="F231" s="27" t="inlineStr">
        <is>
          <t>Common Humanity</t>
        </is>
      </c>
      <c r="G231" s="27" t="inlineStr">
        <is>
          <t>FALSE</t>
        </is>
      </c>
      <c r="H231" s="27" t="inlineStr">
        <is>
          <t>FALSE</t>
        </is>
      </c>
      <c r="I231" s="27" t="inlineStr">
        <is>
          <t>Almost never = 1 | 2 = 2 | 3 = 3 | 4 = 4 | Almost always = 5</t>
        </is>
      </c>
      <c r="J231" s="27" t="n"/>
      <c r="K231" s="27" t="inlineStr">
        <is>
          <t>https://self-compassion.org/wp-content/uploads/2015/02/ShortSCS.pdf</t>
        </is>
      </c>
    </row>
    <row r="232" ht="23.85" customHeight="1" s="17">
      <c r="A232" s="27" t="inlineStr">
        <is>
          <t>SCS-SF</t>
        </is>
      </c>
      <c r="B232" s="27" t="inlineStr">
        <is>
          <t>Self-Compassion Scale – Short Form</t>
        </is>
      </c>
      <c r="C232" s="27" t="inlineStr">
        <is>
          <t>5. Repetitive negative thinking and self talk</t>
        </is>
      </c>
      <c r="D232" s="28" t="n">
        <v>6</v>
      </c>
      <c r="E232" s="27" t="inlineStr">
        <is>
          <t>When I'm going through a very hard time, I give myself the caring and tenderness I need.</t>
        </is>
      </c>
      <c r="F232" s="27" t="inlineStr">
        <is>
          <t>Self-Kindness</t>
        </is>
      </c>
      <c r="G232" s="27" t="inlineStr">
        <is>
          <t>FALSE</t>
        </is>
      </c>
      <c r="H232" s="27" t="inlineStr">
        <is>
          <t>FALSE</t>
        </is>
      </c>
      <c r="I232" s="27" t="inlineStr">
        <is>
          <t>Almost never = 1 | 2 = 2 | 3 = 3 | 4 = 4 | Almost always = 5</t>
        </is>
      </c>
      <c r="J232" s="27" t="n"/>
      <c r="K232" s="27" t="inlineStr">
        <is>
          <t>https://self-compassion.org/wp-content/uploads/2015/02/ShortSCS.pdf</t>
        </is>
      </c>
    </row>
    <row r="233" ht="23.85" customHeight="1" s="17">
      <c r="A233" s="27" t="inlineStr">
        <is>
          <t>SCS-SF</t>
        </is>
      </c>
      <c r="B233" s="27" t="inlineStr">
        <is>
          <t>Self-Compassion Scale – Short Form</t>
        </is>
      </c>
      <c r="C233" s="27" t="inlineStr">
        <is>
          <t>5. Repetitive negative thinking and self talk</t>
        </is>
      </c>
      <c r="D233" s="28" t="n">
        <v>7</v>
      </c>
      <c r="E233" s="27" t="inlineStr">
        <is>
          <t>When something upsets me I try to keep my emotions in balance.</t>
        </is>
      </c>
      <c r="F233" s="27" t="inlineStr">
        <is>
          <t>Mindfulness</t>
        </is>
      </c>
      <c r="G233" s="27" t="inlineStr">
        <is>
          <t>FALSE</t>
        </is>
      </c>
      <c r="H233" s="27" t="inlineStr">
        <is>
          <t>FALSE</t>
        </is>
      </c>
      <c r="I233" s="27" t="inlineStr">
        <is>
          <t>Almost never = 1 | 2 = 2 | 3 = 3 | 4 = 4 | Almost always = 5</t>
        </is>
      </c>
      <c r="J233" s="27" t="n"/>
      <c r="K233" s="27" t="inlineStr">
        <is>
          <t>https://self-compassion.org/wp-content/uploads/2015/02/ShortSCS.pdf</t>
        </is>
      </c>
    </row>
    <row r="234" ht="23.85" customHeight="1" s="17">
      <c r="A234" s="27" t="inlineStr">
        <is>
          <t>SCS-SF</t>
        </is>
      </c>
      <c r="B234" s="27" t="inlineStr">
        <is>
          <t>Self-Compassion Scale – Short Form</t>
        </is>
      </c>
      <c r="C234" s="27" t="inlineStr">
        <is>
          <t>5. Repetitive negative thinking and self talk</t>
        </is>
      </c>
      <c r="D234" s="28" t="n">
        <v>8</v>
      </c>
      <c r="E234" s="27" t="inlineStr">
        <is>
          <t>When I fail at something that's important to me, I tend to feel alone in my failure.</t>
        </is>
      </c>
      <c r="F234" s="27" t="inlineStr">
        <is>
          <t>Isolation</t>
        </is>
      </c>
      <c r="G234" s="34" t="inlineStr">
        <is>
          <t>TRUE</t>
        </is>
      </c>
      <c r="H234" s="27" t="inlineStr">
        <is>
          <t>FALSE</t>
        </is>
      </c>
      <c r="I234" s="27" t="inlineStr">
        <is>
          <t>Almost never = 1 | 2 = 2 | 3 = 3 | 4 = 4 | Almost always = 5</t>
        </is>
      </c>
      <c r="J234" s="27" t="n"/>
      <c r="K234" s="27" t="inlineStr">
        <is>
          <t>https://self-compassion.org/wp-content/uploads/2015/02/ShortSCS.pdf</t>
        </is>
      </c>
    </row>
    <row r="235" ht="23.85" customHeight="1" s="17">
      <c r="A235" s="27" t="inlineStr">
        <is>
          <t>SCS-SF</t>
        </is>
      </c>
      <c r="B235" s="27" t="inlineStr">
        <is>
          <t>Self-Compassion Scale – Short Form</t>
        </is>
      </c>
      <c r="C235" s="27" t="inlineStr">
        <is>
          <t>5. Repetitive negative thinking and self talk</t>
        </is>
      </c>
      <c r="D235" s="28" t="n">
        <v>9</v>
      </c>
      <c r="E235" s="27" t="inlineStr">
        <is>
          <t>When I'm feeling down I tend to obsess and fixate on everything that's wrong.</t>
        </is>
      </c>
      <c r="F235" s="27" t="inlineStr">
        <is>
          <t>Over-Identification</t>
        </is>
      </c>
      <c r="G235" s="34" t="inlineStr">
        <is>
          <t>TRUE</t>
        </is>
      </c>
      <c r="H235" s="27" t="inlineStr">
        <is>
          <t>FALSE</t>
        </is>
      </c>
      <c r="I235" s="27" t="inlineStr">
        <is>
          <t>Almost never = 1 | 2 = 2 | 3 = 3 | 4 = 4 | Almost always = 5</t>
        </is>
      </c>
      <c r="J235" s="27" t="n"/>
      <c r="K235" s="27" t="inlineStr">
        <is>
          <t>https://self-compassion.org/wp-content/uploads/2015/02/ShortSCS.pdf</t>
        </is>
      </c>
    </row>
    <row r="236" ht="23.85" customHeight="1" s="17">
      <c r="A236" s="27" t="inlineStr">
        <is>
          <t>SCS-SF</t>
        </is>
      </c>
      <c r="B236" s="27" t="inlineStr">
        <is>
          <t>Self-Compassion Scale – Short Form</t>
        </is>
      </c>
      <c r="C236" s="27" t="inlineStr">
        <is>
          <t>5. Repetitive negative thinking and self talk</t>
        </is>
      </c>
      <c r="D236" s="28" t="n">
        <v>10</v>
      </c>
      <c r="E236" s="27" t="inlineStr">
        <is>
          <t>When I feel inadequate in some way, I try to remind myself that feelings of inadequacy are shared by most people.</t>
        </is>
      </c>
      <c r="F236" s="27" t="inlineStr">
        <is>
          <t>Common Humanity</t>
        </is>
      </c>
      <c r="G236" s="27" t="inlineStr">
        <is>
          <t>FALSE</t>
        </is>
      </c>
      <c r="H236" s="27" t="inlineStr">
        <is>
          <t>FALSE</t>
        </is>
      </c>
      <c r="I236" s="27" t="inlineStr">
        <is>
          <t>Almost never = 1 | 2 = 2 | 3 = 3 | 4 = 4 | Almost always = 5</t>
        </is>
      </c>
      <c r="J236" s="27" t="n"/>
      <c r="K236" s="27" t="inlineStr">
        <is>
          <t>https://self-compassion.org/wp-content/uploads/2015/02/ShortSCS.pdf</t>
        </is>
      </c>
    </row>
    <row r="237" ht="23.85" customHeight="1" s="17">
      <c r="A237" s="27" t="inlineStr">
        <is>
          <t>SCS-SF</t>
        </is>
      </c>
      <c r="B237" s="27" t="inlineStr">
        <is>
          <t>Self-Compassion Scale – Short Form</t>
        </is>
      </c>
      <c r="C237" s="27" t="inlineStr">
        <is>
          <t>5. Repetitive negative thinking and self talk</t>
        </is>
      </c>
      <c r="D237" s="28" t="n">
        <v>11</v>
      </c>
      <c r="E237" s="27" t="inlineStr">
        <is>
          <t>I'm disapproving and judgmental about my own flaws and inadequacies.</t>
        </is>
      </c>
      <c r="F237" s="27" t="inlineStr">
        <is>
          <t>Self-Judgment</t>
        </is>
      </c>
      <c r="G237" s="34" t="inlineStr">
        <is>
          <t>TRUE</t>
        </is>
      </c>
      <c r="H237" s="27" t="inlineStr">
        <is>
          <t>FALSE</t>
        </is>
      </c>
      <c r="I237" s="27" t="inlineStr">
        <is>
          <t>Almost never = 1 | 2 = 2 | 3 = 3 | 4 = 4 | Almost always = 5</t>
        </is>
      </c>
      <c r="J237" s="27" t="n"/>
      <c r="K237" s="27" t="inlineStr">
        <is>
          <t>https://self-compassion.org/wp-content/uploads/2015/02/ShortSCS.pdf</t>
        </is>
      </c>
    </row>
    <row r="238" ht="23.85" customHeight="1" s="17">
      <c r="A238" s="27" t="inlineStr">
        <is>
          <t>SCS-SF</t>
        </is>
      </c>
      <c r="B238" s="27" t="inlineStr">
        <is>
          <t>Self-Compassion Scale – Short Form</t>
        </is>
      </c>
      <c r="C238" s="27" t="inlineStr">
        <is>
          <t>5. Repetitive negative thinking and self talk</t>
        </is>
      </c>
      <c r="D238" s="28" t="n">
        <v>12</v>
      </c>
      <c r="E238" s="27" t="inlineStr">
        <is>
          <t>I'm intolerant and impatient towards those aspects of my personality I don't like.</t>
        </is>
      </c>
      <c r="F238" s="27" t="inlineStr">
        <is>
          <t>Self-Judgment</t>
        </is>
      </c>
      <c r="G238" s="34" t="inlineStr">
        <is>
          <t>TRUE</t>
        </is>
      </c>
      <c r="H238" s="27" t="inlineStr">
        <is>
          <t>FALSE</t>
        </is>
      </c>
      <c r="I238" s="27" t="inlineStr">
        <is>
          <t>Almost never = 1 | 2 = 2 | 3 = 3 | 4 = 4 | Almost always = 5</t>
        </is>
      </c>
      <c r="J238" s="27" t="n"/>
      <c r="K238" s="27" t="inlineStr">
        <is>
          <t>https://self-compassion.org/wp-content/uploads/2015/02/ShortSCS.pdf</t>
        </is>
      </c>
    </row>
    <row r="239" ht="23.85" customHeight="1" s="17">
      <c r="A239" s="27" t="inlineStr">
        <is>
          <t>BPNSFS</t>
        </is>
      </c>
      <c r="B239" s="27" t="inlineStr">
        <is>
          <t>Basic Psychological Need Satisfaction and Frustration Scale (BPNSFS)</t>
        </is>
      </c>
      <c r="C239" s="27" t="inlineStr">
        <is>
          <t>6. Motivation, self determination and goal pursuit</t>
        </is>
      </c>
      <c r="D239" s="28" t="n">
        <v>1</v>
      </c>
      <c r="E239" s="27" t="inlineStr">
        <is>
          <t>I feel a sense of choice and freedom in the things I undertake.</t>
        </is>
      </c>
      <c r="F239" s="27" t="inlineStr">
        <is>
          <t>Autonomy satisfaction</t>
        </is>
      </c>
      <c r="G239" s="27" t="inlineStr">
        <is>
          <t>FALSE</t>
        </is>
      </c>
      <c r="H239" s="27" t="inlineStr">
        <is>
          <t>FALSE</t>
        </is>
      </c>
      <c r="I239" s="27" t="inlineStr">
        <is>
          <t>Not true at all = 1 | 2 = 2 | 3 = 3 | 4 = 4 | Completely true = 5</t>
        </is>
      </c>
      <c r="J239" s="27" t="n"/>
      <c r="K239" s="27" t="inlineStr">
        <is>
          <t>https://selfdeterminationtheory.org/basic-psychological-need-satisfaction-and-frustration-scale/</t>
        </is>
      </c>
    </row>
    <row r="240" ht="23.85" customHeight="1" s="17">
      <c r="A240" s="27" t="inlineStr">
        <is>
          <t>BPNSFS</t>
        </is>
      </c>
      <c r="B240" s="27" t="inlineStr">
        <is>
          <t>Basic Psychological Need Satisfaction and Frustration Scale (BPNSFS)</t>
        </is>
      </c>
      <c r="C240" s="27" t="inlineStr">
        <is>
          <t>6. Motivation, self determination and goal pursuit</t>
        </is>
      </c>
      <c r="D240" s="28" t="n">
        <v>2</v>
      </c>
      <c r="E240" s="27" t="inlineStr">
        <is>
          <t>Most of the things I do feel like "I have to".</t>
        </is>
      </c>
      <c r="F240" s="27" t="inlineStr">
        <is>
          <t>Autonomy frustration</t>
        </is>
      </c>
      <c r="G240" s="27" t="inlineStr">
        <is>
          <t>FALSE</t>
        </is>
      </c>
      <c r="H240" s="27" t="inlineStr">
        <is>
          <t>FALSE</t>
        </is>
      </c>
      <c r="I240" s="27" t="inlineStr">
        <is>
          <t>Not true at all = 1 | 2 = 2 | 3 = 3 | 4 = 4 | Completely true = 5</t>
        </is>
      </c>
      <c r="J240" s="27" t="n"/>
      <c r="K240" s="27" t="inlineStr">
        <is>
          <t>https://selfdeterminationtheory.org/basic-psychological-need-satisfaction-and-frustration-scale/</t>
        </is>
      </c>
    </row>
    <row r="241" ht="23.85" customHeight="1" s="17">
      <c r="A241" s="27" t="inlineStr">
        <is>
          <t>BPNSFS</t>
        </is>
      </c>
      <c r="B241" s="27" t="inlineStr">
        <is>
          <t>Basic Psychological Need Satisfaction and Frustration Scale (BPNSFS)</t>
        </is>
      </c>
      <c r="C241" s="27" t="inlineStr">
        <is>
          <t>6. Motivation, self determination and goal pursuit</t>
        </is>
      </c>
      <c r="D241" s="28" t="n">
        <v>3</v>
      </c>
      <c r="E241" s="27" t="inlineStr">
        <is>
          <t>I feel that the people I care about also care about me.</t>
        </is>
      </c>
      <c r="F241" s="27" t="inlineStr">
        <is>
          <t>Relatedness satisfaction</t>
        </is>
      </c>
      <c r="G241" s="27" t="inlineStr">
        <is>
          <t>FALSE</t>
        </is>
      </c>
      <c r="H241" s="27" t="inlineStr">
        <is>
          <t>FALSE</t>
        </is>
      </c>
      <c r="I241" s="27" t="inlineStr">
        <is>
          <t>Not true at all = 1 | 2 = 2 | 3 = 3 | 4 = 4 | Completely true = 5</t>
        </is>
      </c>
      <c r="J241" s="27" t="n"/>
      <c r="K241" s="27" t="inlineStr">
        <is>
          <t>https://selfdeterminationtheory.org/basic-psychological-need-satisfaction-and-frustration-scale/</t>
        </is>
      </c>
    </row>
    <row r="242" ht="23.85" customHeight="1" s="17">
      <c r="A242" s="27" t="inlineStr">
        <is>
          <t>BPNSFS</t>
        </is>
      </c>
      <c r="B242" s="27" t="inlineStr">
        <is>
          <t>Basic Psychological Need Satisfaction and Frustration Scale (BPNSFS)</t>
        </is>
      </c>
      <c r="C242" s="27" t="inlineStr">
        <is>
          <t>6. Motivation, self determination and goal pursuit</t>
        </is>
      </c>
      <c r="D242" s="28" t="n">
        <v>4</v>
      </c>
      <c r="E242" s="27" t="inlineStr">
        <is>
          <t>I feel excluded from the group I want to belong to.</t>
        </is>
      </c>
      <c r="F242" s="27" t="inlineStr">
        <is>
          <t>Relatedness frustration</t>
        </is>
      </c>
      <c r="G242" s="27" t="inlineStr">
        <is>
          <t>FALSE</t>
        </is>
      </c>
      <c r="H242" s="27" t="inlineStr">
        <is>
          <t>FALSE</t>
        </is>
      </c>
      <c r="I242" s="27" t="inlineStr">
        <is>
          <t>Not true at all = 1 | 2 = 2 | 3 = 3 | 4 = 4 | Completely true = 5</t>
        </is>
      </c>
      <c r="J242" s="27" t="n"/>
      <c r="K242" s="27" t="inlineStr">
        <is>
          <t>https://selfdeterminationtheory.org/basic-psychological-need-satisfaction-and-frustration-scale/</t>
        </is>
      </c>
    </row>
    <row r="243" ht="23.85" customHeight="1" s="17">
      <c r="A243" s="27" t="inlineStr">
        <is>
          <t>BPNSFS</t>
        </is>
      </c>
      <c r="B243" s="27" t="inlineStr">
        <is>
          <t>Basic Psychological Need Satisfaction and Frustration Scale (BPNSFS)</t>
        </is>
      </c>
      <c r="C243" s="27" t="inlineStr">
        <is>
          <t>6. Motivation, self determination and goal pursuit</t>
        </is>
      </c>
      <c r="D243" s="28" t="n">
        <v>5</v>
      </c>
      <c r="E243" s="27" t="inlineStr">
        <is>
          <t>I feel confident that I can do things well.</t>
        </is>
      </c>
      <c r="F243" s="27" t="inlineStr">
        <is>
          <t>Competence satisfaction</t>
        </is>
      </c>
      <c r="G243" s="27" t="inlineStr">
        <is>
          <t>FALSE</t>
        </is>
      </c>
      <c r="H243" s="27" t="inlineStr">
        <is>
          <t>FALSE</t>
        </is>
      </c>
      <c r="I243" s="27" t="inlineStr">
        <is>
          <t>Not true at all = 1 | 2 = 2 | 3 = 3 | 4 = 4 | Completely true = 5</t>
        </is>
      </c>
      <c r="J243" s="27" t="n"/>
      <c r="K243" s="27" t="inlineStr">
        <is>
          <t>https://selfdeterminationtheory.org/basic-psychological-need-satisfaction-and-frustration-scale/</t>
        </is>
      </c>
    </row>
    <row r="244" ht="23.85" customHeight="1" s="17">
      <c r="A244" s="27" t="inlineStr">
        <is>
          <t>BPNSFS</t>
        </is>
      </c>
      <c r="B244" s="27" t="inlineStr">
        <is>
          <t>Basic Psychological Need Satisfaction and Frustration Scale (BPNSFS)</t>
        </is>
      </c>
      <c r="C244" s="27" t="inlineStr">
        <is>
          <t>6. Motivation, self determination and goal pursuit</t>
        </is>
      </c>
      <c r="D244" s="28" t="n">
        <v>6</v>
      </c>
      <c r="E244" s="27" t="inlineStr">
        <is>
          <t>I have serious doubts about whether I can do things well.</t>
        </is>
      </c>
      <c r="F244" s="27" t="inlineStr">
        <is>
          <t>Competence frustration</t>
        </is>
      </c>
      <c r="G244" s="27" t="inlineStr">
        <is>
          <t>FALSE</t>
        </is>
      </c>
      <c r="H244" s="27" t="inlineStr">
        <is>
          <t>FALSE</t>
        </is>
      </c>
      <c r="I244" s="27" t="inlineStr">
        <is>
          <t>Not true at all = 1 | 2 = 2 | 3 = 3 | 4 = 4 | Completely true = 5</t>
        </is>
      </c>
      <c r="J244" s="27" t="n"/>
      <c r="K244" s="27" t="inlineStr">
        <is>
          <t>https://selfdeterminationtheory.org/basic-psychological-need-satisfaction-and-frustration-scale/</t>
        </is>
      </c>
    </row>
    <row r="245" ht="23.85" customHeight="1" s="17">
      <c r="A245" s="27" t="inlineStr">
        <is>
          <t>BPNSFS</t>
        </is>
      </c>
      <c r="B245" s="27" t="inlineStr">
        <is>
          <t>Basic Psychological Need Satisfaction and Frustration Scale (BPNSFS)</t>
        </is>
      </c>
      <c r="C245" s="27" t="inlineStr">
        <is>
          <t>6. Motivation, self determination and goal pursuit</t>
        </is>
      </c>
      <c r="D245" s="28" t="n">
        <v>7</v>
      </c>
      <c r="E245" s="27" t="inlineStr">
        <is>
          <t>I feel that my decisions reflect what I really want.</t>
        </is>
      </c>
      <c r="F245" s="27" t="inlineStr">
        <is>
          <t>Autonomy satisfaction</t>
        </is>
      </c>
      <c r="G245" s="27" t="inlineStr">
        <is>
          <t>FALSE</t>
        </is>
      </c>
      <c r="H245" s="27" t="inlineStr">
        <is>
          <t>FALSE</t>
        </is>
      </c>
      <c r="I245" s="27" t="inlineStr">
        <is>
          <t>Not true at all = 1 | 2 = 2 | 3 = 3 | 4 = 4 | Completely true = 5</t>
        </is>
      </c>
      <c r="J245" s="27" t="n"/>
      <c r="K245" s="27" t="inlineStr">
        <is>
          <t>https://selfdeterminationtheory.org/basic-psychological-need-satisfaction-and-frustration-scale/</t>
        </is>
      </c>
    </row>
    <row r="246" ht="23.85" customHeight="1" s="17">
      <c r="A246" s="27" t="inlineStr">
        <is>
          <t>BPNSFS</t>
        </is>
      </c>
      <c r="B246" s="27" t="inlineStr">
        <is>
          <t>Basic Psychological Need Satisfaction and Frustration Scale (BPNSFS)</t>
        </is>
      </c>
      <c r="C246" s="27" t="inlineStr">
        <is>
          <t>6. Motivation, self determination and goal pursuit</t>
        </is>
      </c>
      <c r="D246" s="28" t="n">
        <v>8</v>
      </c>
      <c r="E246" s="27" t="inlineStr">
        <is>
          <t>I feel forced to do many things I wouldn't choose to do.</t>
        </is>
      </c>
      <c r="F246" s="27" t="inlineStr">
        <is>
          <t>Autonomy frustration</t>
        </is>
      </c>
      <c r="G246" s="27" t="inlineStr">
        <is>
          <t>FALSE</t>
        </is>
      </c>
      <c r="H246" s="27" t="inlineStr">
        <is>
          <t>FALSE</t>
        </is>
      </c>
      <c r="I246" s="27" t="inlineStr">
        <is>
          <t>Not true at all = 1 | 2 = 2 | 3 = 3 | 4 = 4 | Completely true = 5</t>
        </is>
      </c>
      <c r="J246" s="27" t="n"/>
      <c r="K246" s="27" t="inlineStr">
        <is>
          <t>https://selfdeterminationtheory.org/basic-psychological-need-satisfaction-and-frustration-scale/</t>
        </is>
      </c>
    </row>
    <row r="247" ht="23.85" customHeight="1" s="17">
      <c r="A247" s="27" t="inlineStr">
        <is>
          <t>BPNSFS</t>
        </is>
      </c>
      <c r="B247" s="27" t="inlineStr">
        <is>
          <t>Basic Psychological Need Satisfaction and Frustration Scale (BPNSFS)</t>
        </is>
      </c>
      <c r="C247" s="27" t="inlineStr">
        <is>
          <t>6. Motivation, self determination and goal pursuit</t>
        </is>
      </c>
      <c r="D247" s="28" t="n">
        <v>9</v>
      </c>
      <c r="E247" s="27" t="inlineStr">
        <is>
          <t>I feel connected with people who care for me, and for whom I care.</t>
        </is>
      </c>
      <c r="F247" s="27" t="inlineStr">
        <is>
          <t>Relatedness satisfaction</t>
        </is>
      </c>
      <c r="G247" s="27" t="inlineStr">
        <is>
          <t>FALSE</t>
        </is>
      </c>
      <c r="H247" s="27" t="inlineStr">
        <is>
          <t>FALSE</t>
        </is>
      </c>
      <c r="I247" s="27" t="inlineStr">
        <is>
          <t>Not true at all = 1 | 2 = 2 | 3 = 3 | 4 = 4 | Completely true = 5</t>
        </is>
      </c>
      <c r="J247" s="27" t="n"/>
      <c r="K247" s="27" t="inlineStr">
        <is>
          <t>https://selfdeterminationtheory.org/basic-psychological-need-satisfaction-and-frustration-scale/</t>
        </is>
      </c>
    </row>
    <row r="248" ht="23.85" customHeight="1" s="17">
      <c r="A248" s="27" t="inlineStr">
        <is>
          <t>BPNSFS</t>
        </is>
      </c>
      <c r="B248" s="27" t="inlineStr">
        <is>
          <t>Basic Psychological Need Satisfaction and Frustration Scale (BPNSFS)</t>
        </is>
      </c>
      <c r="C248" s="27" t="inlineStr">
        <is>
          <t>6. Motivation, self determination and goal pursuit</t>
        </is>
      </c>
      <c r="D248" s="28" t="n">
        <v>10</v>
      </c>
      <c r="E248" s="27" t="inlineStr">
        <is>
          <t>I feel that people who are important to me are cold and distant towards me.</t>
        </is>
      </c>
      <c r="F248" s="27" t="inlineStr">
        <is>
          <t>Relatedness frustration</t>
        </is>
      </c>
      <c r="G248" s="27" t="inlineStr">
        <is>
          <t>FALSE</t>
        </is>
      </c>
      <c r="H248" s="27" t="inlineStr">
        <is>
          <t>FALSE</t>
        </is>
      </c>
      <c r="I248" s="27" t="inlineStr">
        <is>
          <t>Not true at all = 1 | 2 = 2 | 3 = 3 | 4 = 4 | Completely true = 5</t>
        </is>
      </c>
      <c r="J248" s="27" t="n"/>
      <c r="K248" s="27" t="inlineStr">
        <is>
          <t>https://selfdeterminationtheory.org/basic-psychological-need-satisfaction-and-frustration-scale/</t>
        </is>
      </c>
    </row>
    <row r="249" ht="23.85" customHeight="1" s="17">
      <c r="A249" s="27" t="inlineStr">
        <is>
          <t>BPNSFS</t>
        </is>
      </c>
      <c r="B249" s="27" t="inlineStr">
        <is>
          <t>Basic Psychological Need Satisfaction and Frustration Scale (BPNSFS)</t>
        </is>
      </c>
      <c r="C249" s="27" t="inlineStr">
        <is>
          <t>6. Motivation, self determination and goal pursuit</t>
        </is>
      </c>
      <c r="D249" s="28" t="n">
        <v>11</v>
      </c>
      <c r="E249" s="27" t="inlineStr">
        <is>
          <t>I feel capable at what I do.</t>
        </is>
      </c>
      <c r="F249" s="27" t="inlineStr">
        <is>
          <t>Competence satisfaction</t>
        </is>
      </c>
      <c r="G249" s="27" t="inlineStr">
        <is>
          <t>FALSE</t>
        </is>
      </c>
      <c r="H249" s="27" t="inlineStr">
        <is>
          <t>FALSE</t>
        </is>
      </c>
      <c r="I249" s="27" t="inlineStr">
        <is>
          <t>Not true at all = 1 | 2 = 2 | 3 = 3 | 4 = 4 | Completely true = 5</t>
        </is>
      </c>
      <c r="J249" s="27" t="n"/>
      <c r="K249" s="27" t="inlineStr">
        <is>
          <t>https://selfdeterminationtheory.org/basic-psychological-need-satisfaction-and-frustration-scale/</t>
        </is>
      </c>
    </row>
    <row r="250" ht="23.85" customHeight="1" s="17">
      <c r="A250" s="27" t="inlineStr">
        <is>
          <t>BPNSFS</t>
        </is>
      </c>
      <c r="B250" s="27" t="inlineStr">
        <is>
          <t>Basic Psychological Need Satisfaction and Frustration Scale (BPNSFS)</t>
        </is>
      </c>
      <c r="C250" s="27" t="inlineStr">
        <is>
          <t>6. Motivation, self determination and goal pursuit</t>
        </is>
      </c>
      <c r="D250" s="28" t="n">
        <v>12</v>
      </c>
      <c r="E250" s="27" t="inlineStr">
        <is>
          <t>I feel disappointed with many of my performances.</t>
        </is>
      </c>
      <c r="F250" s="27" t="inlineStr">
        <is>
          <t>Competence frustration</t>
        </is>
      </c>
      <c r="G250" s="27" t="inlineStr">
        <is>
          <t>FALSE</t>
        </is>
      </c>
      <c r="H250" s="27" t="inlineStr">
        <is>
          <t>FALSE</t>
        </is>
      </c>
      <c r="I250" s="27" t="inlineStr">
        <is>
          <t>Not true at all = 1 | 2 = 2 | 3 = 3 | 4 = 4 | Completely true = 5</t>
        </is>
      </c>
      <c r="J250" s="27" t="n"/>
      <c r="K250" s="27" t="inlineStr">
        <is>
          <t>https://selfdeterminationtheory.org/basic-psychological-need-satisfaction-and-frustration-scale/</t>
        </is>
      </c>
    </row>
    <row r="251" ht="23.85" customHeight="1" s="17">
      <c r="A251" s="27" t="inlineStr">
        <is>
          <t>BPNSFS</t>
        </is>
      </c>
      <c r="B251" s="27" t="inlineStr">
        <is>
          <t>Basic Psychological Need Satisfaction and Frustration Scale (BPNSFS)</t>
        </is>
      </c>
      <c r="C251" s="27" t="inlineStr">
        <is>
          <t>6. Motivation, self determination and goal pursuit</t>
        </is>
      </c>
      <c r="D251" s="28" t="n">
        <v>13</v>
      </c>
      <c r="E251" s="27" t="inlineStr">
        <is>
          <t>I feel my choices express who I really am.</t>
        </is>
      </c>
      <c r="F251" s="27" t="inlineStr">
        <is>
          <t>Autonomy satisfaction</t>
        </is>
      </c>
      <c r="G251" s="27" t="inlineStr">
        <is>
          <t>FALSE</t>
        </is>
      </c>
      <c r="H251" s="27" t="inlineStr">
        <is>
          <t>FALSE</t>
        </is>
      </c>
      <c r="I251" s="27" t="inlineStr">
        <is>
          <t>Not true at all = 1 | 2 = 2 | 3 = 3 | 4 = 4 | Completely true = 5</t>
        </is>
      </c>
      <c r="J251" s="27" t="n"/>
      <c r="K251" s="27" t="inlineStr">
        <is>
          <t>https://selfdeterminationtheory.org/basic-psychological-need-satisfaction-and-frustration-scale/</t>
        </is>
      </c>
    </row>
    <row r="252" ht="23.85" customHeight="1" s="17">
      <c r="A252" s="27" t="inlineStr">
        <is>
          <t>BPNSFS</t>
        </is>
      </c>
      <c r="B252" s="27" t="inlineStr">
        <is>
          <t>Basic Psychological Need Satisfaction and Frustration Scale (BPNSFS)</t>
        </is>
      </c>
      <c r="C252" s="27" t="inlineStr">
        <is>
          <t>6. Motivation, self determination and goal pursuit</t>
        </is>
      </c>
      <c r="D252" s="28" t="n">
        <v>14</v>
      </c>
      <c r="E252" s="27" t="inlineStr">
        <is>
          <t>I feel pressured to do too many things.</t>
        </is>
      </c>
      <c r="F252" s="27" t="inlineStr">
        <is>
          <t>Autonomy frustration</t>
        </is>
      </c>
      <c r="G252" s="27" t="inlineStr">
        <is>
          <t>FALSE</t>
        </is>
      </c>
      <c r="H252" s="27" t="inlineStr">
        <is>
          <t>FALSE</t>
        </is>
      </c>
      <c r="I252" s="27" t="inlineStr">
        <is>
          <t>Not true at all = 1 | 2 = 2 | 3 = 3 | 4 = 4 | Completely true = 5</t>
        </is>
      </c>
      <c r="J252" s="27" t="n"/>
      <c r="K252" s="27" t="inlineStr">
        <is>
          <t>https://selfdeterminationtheory.org/basic-psychological-need-satisfaction-and-frustration-scale/</t>
        </is>
      </c>
    </row>
    <row r="253" ht="23.85" customHeight="1" s="17">
      <c r="A253" s="27" t="inlineStr">
        <is>
          <t>BPNSFS</t>
        </is>
      </c>
      <c r="B253" s="27" t="inlineStr">
        <is>
          <t>Basic Psychological Need Satisfaction and Frustration Scale (BPNSFS)</t>
        </is>
      </c>
      <c r="C253" s="27" t="inlineStr">
        <is>
          <t>6. Motivation, self determination and goal pursuit</t>
        </is>
      </c>
      <c r="D253" s="28" t="n">
        <v>15</v>
      </c>
      <c r="E253" s="27" t="inlineStr">
        <is>
          <t>I feel close and connected with other people who are important to me.</t>
        </is>
      </c>
      <c r="F253" s="27" t="inlineStr">
        <is>
          <t>Relatedness satisfaction</t>
        </is>
      </c>
      <c r="G253" s="27" t="inlineStr">
        <is>
          <t>FALSE</t>
        </is>
      </c>
      <c r="H253" s="27" t="inlineStr">
        <is>
          <t>FALSE</t>
        </is>
      </c>
      <c r="I253" s="27" t="inlineStr">
        <is>
          <t>Not true at all = 1 | 2 = 2 | 3 = 3 | 4 = 4 | Completely true = 5</t>
        </is>
      </c>
      <c r="J253" s="27" t="n"/>
      <c r="K253" s="27" t="inlineStr">
        <is>
          <t>https://selfdeterminationtheory.org/basic-psychological-need-satisfaction-and-frustration-scale/</t>
        </is>
      </c>
    </row>
    <row r="254" ht="23.85" customHeight="1" s="17">
      <c r="A254" s="27" t="inlineStr">
        <is>
          <t>BPNSFS</t>
        </is>
      </c>
      <c r="B254" s="27" t="inlineStr">
        <is>
          <t>Basic Psychological Need Satisfaction and Frustration Scale (BPNSFS)</t>
        </is>
      </c>
      <c r="C254" s="27" t="inlineStr">
        <is>
          <t>6. Motivation, self determination and goal pursuit</t>
        </is>
      </c>
      <c r="D254" s="28" t="n">
        <v>16</v>
      </c>
      <c r="E254" s="27" t="inlineStr">
        <is>
          <t>I have the impression that people I spend time with dislike me.</t>
        </is>
      </c>
      <c r="F254" s="27" t="inlineStr">
        <is>
          <t>Relatedness frustration</t>
        </is>
      </c>
      <c r="G254" s="27" t="inlineStr">
        <is>
          <t>FALSE</t>
        </is>
      </c>
      <c r="H254" s="27" t="inlineStr">
        <is>
          <t>FALSE</t>
        </is>
      </c>
      <c r="I254" s="27" t="inlineStr">
        <is>
          <t>Not true at all = 1 | 2 = 2 | 3 = 3 | 4 = 4 | Completely true = 5</t>
        </is>
      </c>
      <c r="J254" s="27" t="n"/>
      <c r="K254" s="27" t="inlineStr">
        <is>
          <t>https://selfdeterminationtheory.org/basic-psychological-need-satisfaction-and-frustration-scale/</t>
        </is>
      </c>
    </row>
    <row r="255" ht="23.85" customHeight="1" s="17">
      <c r="A255" s="27" t="inlineStr">
        <is>
          <t>BPNSFS</t>
        </is>
      </c>
      <c r="B255" s="27" t="inlineStr">
        <is>
          <t>Basic Psychological Need Satisfaction and Frustration Scale (BPNSFS)</t>
        </is>
      </c>
      <c r="C255" s="27" t="inlineStr">
        <is>
          <t>6. Motivation, self determination and goal pursuit</t>
        </is>
      </c>
      <c r="D255" s="28" t="n">
        <v>17</v>
      </c>
      <c r="E255" s="27" t="inlineStr">
        <is>
          <t>I feel competent to achieve my goals.</t>
        </is>
      </c>
      <c r="F255" s="27" t="inlineStr">
        <is>
          <t>Competence satisfaction</t>
        </is>
      </c>
      <c r="G255" s="27" t="inlineStr">
        <is>
          <t>FALSE</t>
        </is>
      </c>
      <c r="H255" s="27" t="inlineStr">
        <is>
          <t>FALSE</t>
        </is>
      </c>
      <c r="I255" s="27" t="inlineStr">
        <is>
          <t>Not true at all = 1 | 2 = 2 | 3 = 3 | 4 = 4 | Completely true = 5</t>
        </is>
      </c>
      <c r="J255" s="27" t="n"/>
      <c r="K255" s="27" t="inlineStr">
        <is>
          <t>https://selfdeterminationtheory.org/basic-psychological-need-satisfaction-and-frustration-scale/</t>
        </is>
      </c>
    </row>
    <row r="256" ht="23.85" customHeight="1" s="17">
      <c r="A256" s="27" t="inlineStr">
        <is>
          <t>BPNSFS</t>
        </is>
      </c>
      <c r="B256" s="27" t="inlineStr">
        <is>
          <t>Basic Psychological Need Satisfaction and Frustration Scale (BPNSFS)</t>
        </is>
      </c>
      <c r="C256" s="27" t="inlineStr">
        <is>
          <t>6. Motivation, self determination and goal pursuit</t>
        </is>
      </c>
      <c r="D256" s="28" t="n">
        <v>18</v>
      </c>
      <c r="E256" s="27" t="inlineStr">
        <is>
          <t>I feel insecure about my abilities.</t>
        </is>
      </c>
      <c r="F256" s="27" t="inlineStr">
        <is>
          <t>Competence frustration</t>
        </is>
      </c>
      <c r="G256" s="27" t="inlineStr">
        <is>
          <t>FALSE</t>
        </is>
      </c>
      <c r="H256" s="27" t="inlineStr">
        <is>
          <t>FALSE</t>
        </is>
      </c>
      <c r="I256" s="27" t="inlineStr">
        <is>
          <t>Not true at all = 1 | 2 = 2 | 3 = 3 | 4 = 4 | Completely true = 5</t>
        </is>
      </c>
      <c r="J256" s="27" t="n"/>
      <c r="K256" s="27" t="inlineStr">
        <is>
          <t>https://selfdeterminationtheory.org/basic-psychological-need-satisfaction-and-frustration-scale/</t>
        </is>
      </c>
    </row>
    <row r="257" ht="23.85" customHeight="1" s="17">
      <c r="A257" s="27" t="inlineStr">
        <is>
          <t>BPNSFS</t>
        </is>
      </c>
      <c r="B257" s="27" t="inlineStr">
        <is>
          <t>Basic Psychological Need Satisfaction and Frustration Scale (BPNSFS)</t>
        </is>
      </c>
      <c r="C257" s="27" t="inlineStr">
        <is>
          <t>6. Motivation, self determination and goal pursuit</t>
        </is>
      </c>
      <c r="D257" s="28" t="n">
        <v>19</v>
      </c>
      <c r="E257" s="27" t="inlineStr">
        <is>
          <t>I feel I have been doing what really interests me.</t>
        </is>
      </c>
      <c r="F257" s="27" t="inlineStr">
        <is>
          <t>Autonomy satisfaction</t>
        </is>
      </c>
      <c r="G257" s="27" t="inlineStr">
        <is>
          <t>FALSE</t>
        </is>
      </c>
      <c r="H257" s="27" t="inlineStr">
        <is>
          <t>FALSE</t>
        </is>
      </c>
      <c r="I257" s="27" t="inlineStr">
        <is>
          <t>Not true at all = 1 | 2 = 2 | 3 = 3 | 4 = 4 | Completely true = 5</t>
        </is>
      </c>
      <c r="J257" s="27" t="n"/>
      <c r="K257" s="27" t="inlineStr">
        <is>
          <t>https://selfdeterminationtheory.org/basic-psychological-need-satisfaction-and-frustration-scale/</t>
        </is>
      </c>
    </row>
    <row r="258" ht="23.85" customHeight="1" s="17">
      <c r="A258" s="27" t="inlineStr">
        <is>
          <t>BPNSFS</t>
        </is>
      </c>
      <c r="B258" s="27" t="inlineStr">
        <is>
          <t>Basic Psychological Need Satisfaction and Frustration Scale (BPNSFS)</t>
        </is>
      </c>
      <c r="C258" s="27" t="inlineStr">
        <is>
          <t>6. Motivation, self determination and goal pursuit</t>
        </is>
      </c>
      <c r="D258" s="28" t="n">
        <v>20</v>
      </c>
      <c r="E258" s="27" t="inlineStr">
        <is>
          <t>My daily activities feel like a chain of obligations.</t>
        </is>
      </c>
      <c r="F258" s="27" t="inlineStr">
        <is>
          <t>Autonomy frustration</t>
        </is>
      </c>
      <c r="G258" s="27" t="inlineStr">
        <is>
          <t>FALSE</t>
        </is>
      </c>
      <c r="H258" s="27" t="inlineStr">
        <is>
          <t>FALSE</t>
        </is>
      </c>
      <c r="I258" s="27" t="inlineStr">
        <is>
          <t>Not true at all = 1 | 2 = 2 | 3 = 3 | 4 = 4 | Completely true = 5</t>
        </is>
      </c>
      <c r="J258" s="27" t="n"/>
      <c r="K258" s="27" t="inlineStr">
        <is>
          <t>https://selfdeterminationtheory.org/basic-psychological-need-satisfaction-and-frustration-scale/</t>
        </is>
      </c>
    </row>
    <row r="259" ht="23.85" customHeight="1" s="17">
      <c r="A259" s="27" t="inlineStr">
        <is>
          <t>BPNSFS</t>
        </is>
      </c>
      <c r="B259" s="27" t="inlineStr">
        <is>
          <t>Basic Psychological Need Satisfaction and Frustration Scale (BPNSFS)</t>
        </is>
      </c>
      <c r="C259" s="27" t="inlineStr">
        <is>
          <t>6. Motivation, self determination and goal pursuit</t>
        </is>
      </c>
      <c r="D259" s="28" t="n">
        <v>21</v>
      </c>
      <c r="E259" s="27" t="inlineStr">
        <is>
          <t>I experience a warm feeling with the people I spend time with.</t>
        </is>
      </c>
      <c r="F259" s="27" t="inlineStr">
        <is>
          <t>Relatedness satisfaction</t>
        </is>
      </c>
      <c r="G259" s="27" t="inlineStr">
        <is>
          <t>FALSE</t>
        </is>
      </c>
      <c r="H259" s="27" t="inlineStr">
        <is>
          <t>FALSE</t>
        </is>
      </c>
      <c r="I259" s="27" t="inlineStr">
        <is>
          <t>Not true at all = 1 | 2 = 2 | 3 = 3 | 4 = 4 | Completely true = 5</t>
        </is>
      </c>
      <c r="J259" s="27" t="n"/>
      <c r="K259" s="27" t="inlineStr">
        <is>
          <t>https://selfdeterminationtheory.org/basic-psychological-need-satisfaction-and-frustration-scale/</t>
        </is>
      </c>
    </row>
    <row r="260" ht="23.85" customHeight="1" s="17">
      <c r="A260" s="27" t="inlineStr">
        <is>
          <t>BPNSFS</t>
        </is>
      </c>
      <c r="B260" s="27" t="inlineStr">
        <is>
          <t>Basic Psychological Need Satisfaction and Frustration Scale (BPNSFS)</t>
        </is>
      </c>
      <c r="C260" s="27" t="inlineStr">
        <is>
          <t>6. Motivation, self determination and goal pursuit</t>
        </is>
      </c>
      <c r="D260" s="28" t="n">
        <v>22</v>
      </c>
      <c r="E260" s="27" t="inlineStr">
        <is>
          <t>I feel the relationships I have are just superficial.</t>
        </is>
      </c>
      <c r="F260" s="27" t="inlineStr">
        <is>
          <t>Relatedness frustration</t>
        </is>
      </c>
      <c r="G260" s="27" t="inlineStr">
        <is>
          <t>FALSE</t>
        </is>
      </c>
      <c r="H260" s="27" t="inlineStr">
        <is>
          <t>FALSE</t>
        </is>
      </c>
      <c r="I260" s="27" t="inlineStr">
        <is>
          <t>Not true at all = 1 | 2 = 2 | 3 = 3 | 4 = 4 | Completely true = 5</t>
        </is>
      </c>
      <c r="J260" s="27" t="n"/>
      <c r="K260" s="27" t="inlineStr">
        <is>
          <t>https://selfdeterminationtheory.org/basic-psychological-need-satisfaction-and-frustration-scale/</t>
        </is>
      </c>
    </row>
    <row r="261" ht="23.85" customHeight="1" s="17">
      <c r="A261" s="27" t="inlineStr">
        <is>
          <t>BPNSFS</t>
        </is>
      </c>
      <c r="B261" s="27" t="inlineStr">
        <is>
          <t>Basic Psychological Need Satisfaction and Frustration Scale (BPNSFS)</t>
        </is>
      </c>
      <c r="C261" s="27" t="inlineStr">
        <is>
          <t>6. Motivation, self determination and goal pursuit</t>
        </is>
      </c>
      <c r="D261" s="28" t="n">
        <v>23</v>
      </c>
      <c r="E261" s="27" t="inlineStr">
        <is>
          <t>I feel I can successfully complete difficult tasks.</t>
        </is>
      </c>
      <c r="F261" s="27" t="inlineStr">
        <is>
          <t>Competence satisfaction</t>
        </is>
      </c>
      <c r="G261" s="27" t="inlineStr">
        <is>
          <t>FALSE</t>
        </is>
      </c>
      <c r="H261" s="27" t="inlineStr">
        <is>
          <t>FALSE</t>
        </is>
      </c>
      <c r="I261" s="27" t="inlineStr">
        <is>
          <t>Not true at all = 1 | 2 = 2 | 3 = 3 | 4 = 4 | Completely true = 5</t>
        </is>
      </c>
      <c r="J261" s="27" t="n"/>
      <c r="K261" s="27" t="inlineStr">
        <is>
          <t>https://selfdeterminationtheory.org/basic-psychological-need-satisfaction-and-frustration-scale/</t>
        </is>
      </c>
    </row>
    <row r="262" ht="23.85" customHeight="1" s="17">
      <c r="A262" s="27" t="inlineStr">
        <is>
          <t>BPNSFS</t>
        </is>
      </c>
      <c r="B262" s="27" t="inlineStr">
        <is>
          <t>Basic Psychological Need Satisfaction and Frustration Scale (BPNSFS)</t>
        </is>
      </c>
      <c r="C262" s="27" t="inlineStr">
        <is>
          <t>6. Motivation, self determination and goal pursuit</t>
        </is>
      </c>
      <c r="D262" s="28" t="n">
        <v>24</v>
      </c>
      <c r="E262" s="27" t="inlineStr">
        <is>
          <t>I feel like a failure because of the mistakes I make.</t>
        </is>
      </c>
      <c r="F262" s="27" t="inlineStr">
        <is>
          <t>Competence frustration</t>
        </is>
      </c>
      <c r="G262" s="27" t="inlineStr">
        <is>
          <t>FALSE</t>
        </is>
      </c>
      <c r="H262" s="27" t="inlineStr">
        <is>
          <t>FALSE</t>
        </is>
      </c>
      <c r="I262" s="27" t="inlineStr">
        <is>
          <t>Not true at all = 1 | 2 = 2 | 3 = 3 | 4 = 4 | Completely true = 5</t>
        </is>
      </c>
      <c r="J262" s="27" t="n"/>
      <c r="K262" s="27" t="inlineStr">
        <is>
          <t>https://selfdeterminationtheory.org/basic-psychological-need-satisfaction-and-frustration-scale/</t>
        </is>
      </c>
    </row>
    <row r="263" ht="23.85" customHeight="1" s="17">
      <c r="A263" s="27" t="inlineStr">
        <is>
          <t>PPS</t>
        </is>
      </c>
      <c r="B263" s="27" t="inlineStr">
        <is>
          <t>Pure Procrastination Scale</t>
        </is>
      </c>
      <c r="C263" s="27" t="inlineStr">
        <is>
          <t>6. Motivation, self determination and goal pursuit</t>
        </is>
      </c>
      <c r="D263" s="28" t="n">
        <v>1</v>
      </c>
      <c r="E263" s="27" t="inlineStr">
        <is>
          <t>I delay making decision until it's too late</t>
        </is>
      </c>
      <c r="F263" s="27" t="inlineStr">
        <is>
          <t>Pure Procrastination (total scale)</t>
        </is>
      </c>
      <c r="G263" s="27" t="inlineStr">
        <is>
          <t>FALSE</t>
        </is>
      </c>
      <c r="H263" s="27" t="inlineStr">
        <is>
          <t>FALSE</t>
        </is>
      </c>
      <c r="I263" s="27" t="inlineStr">
        <is>
          <t>Very seldom or not true of me = 1 | 2 = 2 | 3 = 3 | 4 = 4 | Very often true, or true of me = 5</t>
        </is>
      </c>
      <c r="J263" s="27" t="inlineStr">
        <is>
          <t>Verbatim from Table 1, Svartdal &amp; Steel (2017); sourced from the Decisional Procrastination Scale (DPS).</t>
        </is>
      </c>
      <c r="K263" s="27" t="inlineStr">
        <is>
          <t>https://www.frontiersin.org/articles/10.3389/fpsyg.2017.01927/full</t>
        </is>
      </c>
    </row>
    <row r="264" ht="23.85" customHeight="1" s="17">
      <c r="A264" s="27" t="inlineStr">
        <is>
          <t>PPS</t>
        </is>
      </c>
      <c r="B264" s="27" t="inlineStr">
        <is>
          <t>Pure Procrastination Scale</t>
        </is>
      </c>
      <c r="C264" s="27" t="inlineStr">
        <is>
          <t>6. Motivation, self determination and goal pursuit</t>
        </is>
      </c>
      <c r="D264" s="28" t="n">
        <v>2</v>
      </c>
      <c r="E264" s="27" t="inlineStr">
        <is>
          <t>Even after I make a decision I delay acting upon it</t>
        </is>
      </c>
      <c r="F264" s="27" t="inlineStr">
        <is>
          <t>Pure Procrastination (total scale)</t>
        </is>
      </c>
      <c r="G264" s="27" t="inlineStr">
        <is>
          <t>FALSE</t>
        </is>
      </c>
      <c r="H264" s="27" t="inlineStr">
        <is>
          <t>FALSE</t>
        </is>
      </c>
      <c r="I264" s="27" t="inlineStr">
        <is>
          <t>Very seldom or not true of me = 1 | 2 = 2 | 3 = 3 | 4 = 4 | Very often true, or true of me = 5</t>
        </is>
      </c>
      <c r="J264" s="27" t="inlineStr">
        <is>
          <t>Verbatim from Table 1, Svartdal &amp; Steel (2017); sourced from the Decisional Procrastination Scale (DPS).</t>
        </is>
      </c>
      <c r="K264" s="27" t="inlineStr">
        <is>
          <t>https://www.frontiersin.org/articles/10.3389/fpsyg.2017.01927/full</t>
        </is>
      </c>
    </row>
    <row r="265" ht="23.85" customHeight="1" s="17">
      <c r="A265" s="27" t="inlineStr">
        <is>
          <t>PPS</t>
        </is>
      </c>
      <c r="B265" s="27" t="inlineStr">
        <is>
          <t>Pure Procrastination Scale</t>
        </is>
      </c>
      <c r="C265" s="27" t="inlineStr">
        <is>
          <t>6. Motivation, self determination and goal pursuit</t>
        </is>
      </c>
      <c r="D265" s="28" t="n">
        <v>3</v>
      </c>
      <c r="E265" s="27" t="inlineStr">
        <is>
          <t>I waste a lot of time on trivial matters before getting to final decisions</t>
        </is>
      </c>
      <c r="F265" s="27" t="inlineStr">
        <is>
          <t>Pure Procrastination (total scale)</t>
        </is>
      </c>
      <c r="G265" s="27" t="inlineStr">
        <is>
          <t>FALSE</t>
        </is>
      </c>
      <c r="H265" s="27" t="inlineStr">
        <is>
          <t>FALSE</t>
        </is>
      </c>
      <c r="I265" s="27" t="inlineStr">
        <is>
          <t>Very seldom or not true of me = 1 | 2 = 2 | 3 = 3 | 4 = 4 | Very often true, or true of me = 5</t>
        </is>
      </c>
      <c r="J265" s="27" t="inlineStr">
        <is>
          <t>Verbatim from Table 1, Svartdal &amp; Steel (2017); sourced from the Decisional Procrastination Scale (DPS).</t>
        </is>
      </c>
      <c r="K265" s="27" t="inlineStr">
        <is>
          <t>https://www.frontiersin.org/articles/10.3389/fpsyg.2017.01927/full</t>
        </is>
      </c>
    </row>
    <row r="266" ht="23.85" customHeight="1" s="17">
      <c r="A266" s="27" t="inlineStr">
        <is>
          <t>PPS</t>
        </is>
      </c>
      <c r="B266" s="27" t="inlineStr">
        <is>
          <t>Pure Procrastination Scale</t>
        </is>
      </c>
      <c r="C266" s="27" t="inlineStr">
        <is>
          <t>6. Motivation, self determination and goal pursuit</t>
        </is>
      </c>
      <c r="D266" s="28" t="n">
        <v>4</v>
      </c>
      <c r="E266" s="27" t="inlineStr">
        <is>
          <t>In preparation for some deadlines, I often waste time by doing other things</t>
        </is>
      </c>
      <c r="F266" s="27" t="inlineStr">
        <is>
          <t>Pure Procrastination (total scale)</t>
        </is>
      </c>
      <c r="G266" s="27" t="inlineStr">
        <is>
          <t>FALSE</t>
        </is>
      </c>
      <c r="H266" s="27" t="inlineStr">
        <is>
          <t>FALSE</t>
        </is>
      </c>
      <c r="I266" s="27" t="inlineStr">
        <is>
          <t>Very seldom or not true of me = 1 | 2 = 2 | 3 = 3 | 4 = 4 | Very often true, or true of me = 5</t>
        </is>
      </c>
      <c r="J266" s="27" t="inlineStr">
        <is>
          <t>Verbatim from Table 1, Svartdal &amp; Steel (2017); sourced from the General Procrastination Scale (GPS).</t>
        </is>
      </c>
      <c r="K266" s="27" t="inlineStr">
        <is>
          <t>https://www.frontiersin.org/articles/10.3389/fpsyg.2017.01927/full</t>
        </is>
      </c>
    </row>
    <row r="267" ht="23.85" customHeight="1" s="17">
      <c r="A267" s="27" t="inlineStr">
        <is>
          <t>PPS</t>
        </is>
      </c>
      <c r="B267" s="27" t="inlineStr">
        <is>
          <t>Pure Procrastination Scale</t>
        </is>
      </c>
      <c r="C267" s="27" t="inlineStr">
        <is>
          <t>6. Motivation, self determination and goal pursuit</t>
        </is>
      </c>
      <c r="D267" s="28" t="n">
        <v>5</v>
      </c>
      <c r="E267" s="27" t="inlineStr">
        <is>
          <t>Even jobs that require little else except sitting down and doing them, I find they seldom get done for days</t>
        </is>
      </c>
      <c r="F267" s="27" t="inlineStr">
        <is>
          <t>Pure Procrastination (total scale)</t>
        </is>
      </c>
      <c r="G267" s="27" t="inlineStr">
        <is>
          <t>FALSE</t>
        </is>
      </c>
      <c r="H267" s="27" t="inlineStr">
        <is>
          <t>FALSE</t>
        </is>
      </c>
      <c r="I267" s="27" t="inlineStr">
        <is>
          <t>Very seldom or not true of me = 1 | 2 = 2 | 3 = 3 | 4 = 4 | Very often true, or true of me = 5</t>
        </is>
      </c>
      <c r="J267" s="27" t="inlineStr">
        <is>
          <t>Verbatim from Table 1, Svartdal &amp; Steel (2017); sourced from the General Procrastination Scale (GPS).</t>
        </is>
      </c>
      <c r="K267" s="27" t="inlineStr">
        <is>
          <t>https://www.frontiersin.org/articles/10.3389/fpsyg.2017.01927/full</t>
        </is>
      </c>
    </row>
    <row r="268" ht="23.85" customHeight="1" s="17">
      <c r="A268" s="27" t="inlineStr">
        <is>
          <t>PPS</t>
        </is>
      </c>
      <c r="B268" s="27" t="inlineStr">
        <is>
          <t>Pure Procrastination Scale</t>
        </is>
      </c>
      <c r="C268" s="27" t="inlineStr">
        <is>
          <t>6. Motivation, self determination and goal pursuit</t>
        </is>
      </c>
      <c r="D268" s="28" t="n">
        <v>6</v>
      </c>
      <c r="E268" s="27" t="inlineStr">
        <is>
          <t>I often find myself performing tasks that I had intended to do days before</t>
        </is>
      </c>
      <c r="F268" s="27" t="inlineStr">
        <is>
          <t>Pure Procrastination (total scale)</t>
        </is>
      </c>
      <c r="G268" s="27" t="inlineStr">
        <is>
          <t>FALSE</t>
        </is>
      </c>
      <c r="H268" s="27" t="inlineStr">
        <is>
          <t>FALSE</t>
        </is>
      </c>
      <c r="I268" s="27" t="inlineStr">
        <is>
          <t>Very seldom or not true of me = 1 | 2 = 2 | 3 = 3 | 4 = 4 | Very often true, or true of me = 5</t>
        </is>
      </c>
      <c r="J268" s="27" t="inlineStr">
        <is>
          <t>Verbatim from Table 1, Svartdal &amp; Steel (2017); sourced from the General Procrastination Scale (GPS).</t>
        </is>
      </c>
      <c r="K268" s="27" t="inlineStr">
        <is>
          <t>https://www.frontiersin.org/articles/10.3389/fpsyg.2017.01927/full</t>
        </is>
      </c>
    </row>
    <row r="269" ht="23.85" customHeight="1" s="17">
      <c r="A269" s="27" t="inlineStr">
        <is>
          <t>PPS</t>
        </is>
      </c>
      <c r="B269" s="27" t="inlineStr">
        <is>
          <t>Pure Procrastination Scale</t>
        </is>
      </c>
      <c r="C269" s="27" t="inlineStr">
        <is>
          <t>6. Motivation, self determination and goal pursuit</t>
        </is>
      </c>
      <c r="D269" s="28" t="n">
        <v>7</v>
      </c>
      <c r="E269" s="27" t="inlineStr">
        <is>
          <t>I am continually saying 'I'll do it tomorrow'</t>
        </is>
      </c>
      <c r="F269" s="27" t="inlineStr">
        <is>
          <t>Pure Procrastination (total scale)</t>
        </is>
      </c>
      <c r="G269" s="27" t="inlineStr">
        <is>
          <t>FALSE</t>
        </is>
      </c>
      <c r="H269" s="27" t="inlineStr">
        <is>
          <t>FALSE</t>
        </is>
      </c>
      <c r="I269" s="27" t="inlineStr">
        <is>
          <t>Very seldom or not true of me = 1 | 2 = 2 | 3 = 3 | 4 = 4 | Very often true, or true of me = 5</t>
        </is>
      </c>
      <c r="J269" s="27" t="inlineStr">
        <is>
          <t>Verbatim from Table 1, Svartdal &amp; Steel (2017); sourced from the General Procrastination Scale (GPS).</t>
        </is>
      </c>
      <c r="K269" s="27" t="inlineStr">
        <is>
          <t>https://www.frontiersin.org/articles/10.3389/fpsyg.2017.01927/full</t>
        </is>
      </c>
    </row>
    <row r="270" ht="23.85" customHeight="1" s="17">
      <c r="A270" s="27" t="inlineStr">
        <is>
          <t>PPS</t>
        </is>
      </c>
      <c r="B270" s="27" t="inlineStr">
        <is>
          <t>Pure Procrastination Scale</t>
        </is>
      </c>
      <c r="C270" s="27" t="inlineStr">
        <is>
          <t>6. Motivation, self determination and goal pursuit</t>
        </is>
      </c>
      <c r="D270" s="28" t="n">
        <v>8</v>
      </c>
      <c r="E270" s="27" t="inlineStr">
        <is>
          <t>I generally delay before starting on work I have to do</t>
        </is>
      </c>
      <c r="F270" s="27" t="inlineStr">
        <is>
          <t>Pure Procrastination (total scale)</t>
        </is>
      </c>
      <c r="G270" s="27" t="inlineStr">
        <is>
          <t>FALSE</t>
        </is>
      </c>
      <c r="H270" s="27" t="inlineStr">
        <is>
          <t>FALSE</t>
        </is>
      </c>
      <c r="I270" s="27" t="inlineStr">
        <is>
          <t>Very seldom or not true of me = 1 | 2 = 2 | 3 = 3 | 4 = 4 | Very often true, or true of me = 5</t>
        </is>
      </c>
      <c r="J270" s="27" t="inlineStr">
        <is>
          <t>Verbatim from Table 1, Svartdal &amp; Steel (2017); sourced from the General Procrastination Scale (GPS).</t>
        </is>
      </c>
      <c r="K270" s="27" t="inlineStr">
        <is>
          <t>https://www.frontiersin.org/articles/10.3389/fpsyg.2017.01927/full</t>
        </is>
      </c>
    </row>
    <row r="271" ht="23.85" customHeight="1" s="17">
      <c r="A271" s="27" t="inlineStr">
        <is>
          <t>PPS</t>
        </is>
      </c>
      <c r="B271" s="27" t="inlineStr">
        <is>
          <t>Pure Procrastination Scale</t>
        </is>
      </c>
      <c r="C271" s="27" t="inlineStr">
        <is>
          <t>6. Motivation, self determination and goal pursuit</t>
        </is>
      </c>
      <c r="D271" s="28" t="n">
        <v>9</v>
      </c>
      <c r="E271" s="27" t="inlineStr">
        <is>
          <t>I find myself running out of time</t>
        </is>
      </c>
      <c r="F271" s="27" t="inlineStr">
        <is>
          <t>Pure Procrastination (total scale)</t>
        </is>
      </c>
      <c r="G271" s="27" t="inlineStr">
        <is>
          <t>FALSE</t>
        </is>
      </c>
      <c r="H271" s="27" t="inlineStr">
        <is>
          <t>FALSE</t>
        </is>
      </c>
      <c r="I271" s="27" t="inlineStr">
        <is>
          <t>Very seldom or not true of me = 1 | 2 = 2 | 3 = 3 | 4 = 4 | Very often true, or true of me = 5</t>
        </is>
      </c>
      <c r="J271" s="27" t="inlineStr">
        <is>
          <t>Verbatim from Table 1, Svartdal &amp; Steel (2017); sourced from the Adult Inventory of Procrastination (AIP).</t>
        </is>
      </c>
      <c r="K271" s="27" t="inlineStr">
        <is>
          <t>https://www.frontiersin.org/articles/10.3389/fpsyg.2017.01927/full</t>
        </is>
      </c>
    </row>
    <row r="272" ht="23.85" customHeight="1" s="17">
      <c r="A272" s="27" t="inlineStr">
        <is>
          <t>PPS</t>
        </is>
      </c>
      <c r="B272" s="27" t="inlineStr">
        <is>
          <t>Pure Procrastination Scale</t>
        </is>
      </c>
      <c r="C272" s="27" t="inlineStr">
        <is>
          <t>6. Motivation, self determination and goal pursuit</t>
        </is>
      </c>
      <c r="D272" s="28" t="n">
        <v>10</v>
      </c>
      <c r="E272" s="27" t="inlineStr">
        <is>
          <t>I don't get things done on time</t>
        </is>
      </c>
      <c r="F272" s="27" t="inlineStr">
        <is>
          <t>Pure Procrastination (total scale)</t>
        </is>
      </c>
      <c r="G272" s="27" t="inlineStr">
        <is>
          <t>FALSE</t>
        </is>
      </c>
      <c r="H272" s="27" t="inlineStr">
        <is>
          <t>FALSE</t>
        </is>
      </c>
      <c r="I272" s="27" t="inlineStr">
        <is>
          <t>Very seldom or not true of me = 1 | 2 = 2 | 3 = 3 | 4 = 4 | Very often true, or true of me = 5</t>
        </is>
      </c>
      <c r="J272" s="27" t="inlineStr">
        <is>
          <t>Verbatim from Table 1, Svartdal &amp; Steel (2017); sourced from the Adult Inventory of Procrastination (AIP).</t>
        </is>
      </c>
      <c r="K272" s="27" t="inlineStr">
        <is>
          <t>https://www.frontiersin.org/articles/10.3389/fpsyg.2017.01927/full</t>
        </is>
      </c>
    </row>
    <row r="273" ht="23.85" customHeight="1" s="17">
      <c r="A273" s="27" t="inlineStr">
        <is>
          <t>PPS</t>
        </is>
      </c>
      <c r="B273" s="27" t="inlineStr">
        <is>
          <t>Pure Procrastination Scale</t>
        </is>
      </c>
      <c r="C273" s="27" t="inlineStr">
        <is>
          <t>6. Motivation, self determination and goal pursuit</t>
        </is>
      </c>
      <c r="D273" s="28" t="n">
        <v>11</v>
      </c>
      <c r="E273" s="27" t="inlineStr">
        <is>
          <t>I am not very good at meeting deadlines</t>
        </is>
      </c>
      <c r="F273" s="27" t="inlineStr">
        <is>
          <t>Pure Procrastination (total scale)</t>
        </is>
      </c>
      <c r="G273" s="27" t="inlineStr">
        <is>
          <t>FALSE</t>
        </is>
      </c>
      <c r="H273" s="27" t="inlineStr">
        <is>
          <t>FALSE</t>
        </is>
      </c>
      <c r="I273" s="27" t="inlineStr">
        <is>
          <t>Very seldom or not true of me = 1 | 2 = 2 | 3 = 3 | 4 = 4 | Very often true, or true of me = 5</t>
        </is>
      </c>
      <c r="J273" s="27" t="inlineStr">
        <is>
          <t>Verbatim from Table 1, Svartdal &amp; Steel (2017); sourced from the Adult Inventory of Procrastination (AIP).</t>
        </is>
      </c>
      <c r="K273" s="27" t="inlineStr">
        <is>
          <t>https://www.frontiersin.org/articles/10.3389/fpsyg.2017.01927/full</t>
        </is>
      </c>
    </row>
    <row r="274" ht="23.85" customHeight="1" s="17">
      <c r="A274" s="27" t="inlineStr">
        <is>
          <t>PPS</t>
        </is>
      </c>
      <c r="B274" s="27" t="inlineStr">
        <is>
          <t>Pure Procrastination Scale</t>
        </is>
      </c>
      <c r="C274" s="27" t="inlineStr">
        <is>
          <t>6. Motivation, self determination and goal pursuit</t>
        </is>
      </c>
      <c r="D274" s="28" t="n">
        <v>12</v>
      </c>
      <c r="E274" s="27" t="inlineStr">
        <is>
          <t>Putting things off till the last minute has cost me money in the past</t>
        </is>
      </c>
      <c r="F274" s="27" t="inlineStr">
        <is>
          <t>Pure Procrastination (total scale)</t>
        </is>
      </c>
      <c r="G274" s="27" t="inlineStr">
        <is>
          <t>FALSE</t>
        </is>
      </c>
      <c r="H274" s="27" t="inlineStr">
        <is>
          <t>FALSE</t>
        </is>
      </c>
      <c r="I274" s="27" t="inlineStr">
        <is>
          <t>Very seldom or not true of me = 1 | 2 = 2 | 3 = 3 | 4 = 4 | Very often true, or true of me = 5</t>
        </is>
      </c>
      <c r="J274" s="27" t="inlineStr">
        <is>
          <t>Verbatim from Table 1, Svartdal &amp; Steel (2017); sourced from the Adult Inventory of Procrastination (AIP).</t>
        </is>
      </c>
      <c r="K274" s="27" t="inlineStr">
        <is>
          <t>https://www.frontiersin.org/articles/10.3389/fpsyg.2017.01927/full</t>
        </is>
      </c>
    </row>
    <row r="275" ht="23.85" customHeight="1" s="17">
      <c r="A275" s="27" t="inlineStr">
        <is>
          <t>IPS</t>
        </is>
      </c>
      <c r="B275" s="27" t="inlineStr">
        <is>
          <t>Irrational Procrastination Scale</t>
        </is>
      </c>
      <c r="C275" s="27" t="inlineStr">
        <is>
          <t>6. Motivation, self determination and goal pursuit</t>
        </is>
      </c>
      <c r="D275" s="28" t="n">
        <v>1</v>
      </c>
      <c r="E275" s="27" t="inlineStr">
        <is>
          <t>I put things off so long that my well-being or efficiency unnecessarily suffers</t>
        </is>
      </c>
      <c r="F275" s="27" t="inlineStr">
        <is>
          <t>Irrational Procrastination (total scale)</t>
        </is>
      </c>
      <c r="G275" s="27" t="inlineStr">
        <is>
          <t>FALSE</t>
        </is>
      </c>
      <c r="H275" s="27" t="inlineStr">
        <is>
          <t>FALSE</t>
        </is>
      </c>
      <c r="I275" s="27" t="inlineStr">
        <is>
          <t>Very seldom or not true of me = 1 | 2 = 2 | 3 = 3 | 4 = 4 | Very often true, or true of me = 5</t>
        </is>
      </c>
      <c r="J275" s="27" t="inlineStr">
        <is>
          <t>Verbatim from Table 1, Svartdal &amp; Steel (2017).</t>
        </is>
      </c>
      <c r="K275" s="27" t="inlineStr">
        <is>
          <t>https://www.frontiersin.org/articles/10.3389/fpsyg.2017.01927/full</t>
        </is>
      </c>
    </row>
    <row r="276" ht="23.85" customHeight="1" s="17">
      <c r="A276" s="27" t="inlineStr">
        <is>
          <t>IPS</t>
        </is>
      </c>
      <c r="B276" s="27" t="inlineStr">
        <is>
          <t>Irrational Procrastination Scale</t>
        </is>
      </c>
      <c r="C276" s="27" t="inlineStr">
        <is>
          <t>6. Motivation, self determination and goal pursuit</t>
        </is>
      </c>
      <c r="D276" s="28" t="n">
        <v>2</v>
      </c>
      <c r="E276" s="27" t="inlineStr">
        <is>
          <t>If there is something I should do, I get to it before attending to lesser tasks</t>
        </is>
      </c>
      <c r="F276" s="27" t="inlineStr">
        <is>
          <t>Irrational Procrastination (total scale)</t>
        </is>
      </c>
      <c r="G276" s="34" t="inlineStr">
        <is>
          <t>TRUE</t>
        </is>
      </c>
      <c r="H276" s="27" t="inlineStr">
        <is>
          <t>FALSE</t>
        </is>
      </c>
      <c r="I276" s="27" t="inlineStr">
        <is>
          <t>Very seldom or not true of me = 1 | 2 = 2 | 3 = 3 | 4 = 4 | Very often true, or true of me = 5</t>
        </is>
      </c>
      <c r="J276" s="27" t="inlineStr">
        <is>
          <t>Verbatim from Table 1, Svartdal &amp; Steel (2017); marked '(R)' (reverse-scored) in the source table.</t>
        </is>
      </c>
      <c r="K276" s="27" t="inlineStr">
        <is>
          <t>https://www.frontiersin.org/articles/10.3389/fpsyg.2017.01927/full</t>
        </is>
      </c>
    </row>
    <row r="277" ht="23.85" customHeight="1" s="17">
      <c r="A277" s="27" t="inlineStr">
        <is>
          <t>IPS</t>
        </is>
      </c>
      <c r="B277" s="27" t="inlineStr">
        <is>
          <t>Irrational Procrastination Scale</t>
        </is>
      </c>
      <c r="C277" s="27" t="inlineStr">
        <is>
          <t>6. Motivation, self determination and goal pursuit</t>
        </is>
      </c>
      <c r="D277" s="28" t="n">
        <v>3</v>
      </c>
      <c r="E277" s="27" t="inlineStr">
        <is>
          <t>My life would be better if I did some activities or tasks earlier</t>
        </is>
      </c>
      <c r="F277" s="27" t="inlineStr">
        <is>
          <t>Irrational Procrastination (total scale)</t>
        </is>
      </c>
      <c r="G277" s="27" t="inlineStr">
        <is>
          <t>FALSE</t>
        </is>
      </c>
      <c r="H277" s="27" t="inlineStr">
        <is>
          <t>FALSE</t>
        </is>
      </c>
      <c r="I277" s="27" t="inlineStr">
        <is>
          <t>Very seldom or not true of me = 1 | 2 = 2 | 3 = 3 | 4 = 4 | Very often true, or true of me = 5</t>
        </is>
      </c>
      <c r="J277" s="27" t="inlineStr">
        <is>
          <t>Verbatim from Table 1, Svartdal &amp; Steel (2017).</t>
        </is>
      </c>
      <c r="K277" s="27" t="inlineStr">
        <is>
          <t>https://www.frontiersin.org/articles/10.3389/fpsyg.2017.01927/full</t>
        </is>
      </c>
    </row>
    <row r="278" ht="23.85" customHeight="1" s="17">
      <c r="A278" s="27" t="inlineStr">
        <is>
          <t>IPS</t>
        </is>
      </c>
      <c r="B278" s="27" t="inlineStr">
        <is>
          <t>Irrational Procrastination Scale</t>
        </is>
      </c>
      <c r="C278" s="27" t="inlineStr">
        <is>
          <t>6. Motivation, self determination and goal pursuit</t>
        </is>
      </c>
      <c r="D278" s="28" t="n">
        <v>4</v>
      </c>
      <c r="E278" s="27" t="inlineStr">
        <is>
          <t>When I should be doing one thing, I will do another</t>
        </is>
      </c>
      <c r="F278" s="27" t="inlineStr">
        <is>
          <t>Irrational Procrastination (total scale)</t>
        </is>
      </c>
      <c r="G278" s="27" t="inlineStr">
        <is>
          <t>FALSE</t>
        </is>
      </c>
      <c r="H278" s="27" t="inlineStr">
        <is>
          <t>FALSE</t>
        </is>
      </c>
      <c r="I278" s="27" t="inlineStr">
        <is>
          <t>Very seldom or not true of me = 1 | 2 = 2 | 3 = 3 | 4 = 4 | Very often true, or true of me = 5</t>
        </is>
      </c>
      <c r="J278" s="27" t="inlineStr">
        <is>
          <t>Verbatim from Table 1, Svartdal &amp; Steel (2017).</t>
        </is>
      </c>
      <c r="K278" s="27" t="inlineStr">
        <is>
          <t>https://www.frontiersin.org/articles/10.3389/fpsyg.2017.01927/full</t>
        </is>
      </c>
    </row>
    <row r="279" ht="23.85" customHeight="1" s="17">
      <c r="A279" s="27" t="inlineStr">
        <is>
          <t>IPS</t>
        </is>
      </c>
      <c r="B279" s="27" t="inlineStr">
        <is>
          <t>Irrational Procrastination Scale</t>
        </is>
      </c>
      <c r="C279" s="27" t="inlineStr">
        <is>
          <t>6. Motivation, self determination and goal pursuit</t>
        </is>
      </c>
      <c r="D279" s="28" t="n">
        <v>5</v>
      </c>
      <c r="E279" s="27" t="inlineStr">
        <is>
          <t>At the end of the day, I know I could have spent the time better</t>
        </is>
      </c>
      <c r="F279" s="27" t="inlineStr">
        <is>
          <t>Irrational Procrastination (total scale)</t>
        </is>
      </c>
      <c r="G279" s="27" t="inlineStr">
        <is>
          <t>FALSE</t>
        </is>
      </c>
      <c r="H279" s="27" t="inlineStr">
        <is>
          <t>FALSE</t>
        </is>
      </c>
      <c r="I279" s="27" t="inlineStr">
        <is>
          <t>Very seldom or not true of me = 1 | 2 = 2 | 3 = 3 | 4 = 4 | Very often true, or true of me = 5</t>
        </is>
      </c>
      <c r="J279" s="27" t="inlineStr">
        <is>
          <t>Verbatim from Table 1, Svartdal &amp; Steel (2017).</t>
        </is>
      </c>
      <c r="K279" s="27" t="inlineStr">
        <is>
          <t>https://www.frontiersin.org/articles/10.3389/fpsyg.2017.01927/full</t>
        </is>
      </c>
    </row>
    <row r="280" ht="23.85" customHeight="1" s="17">
      <c r="A280" s="27" t="inlineStr">
        <is>
          <t>IPS</t>
        </is>
      </c>
      <c r="B280" s="27" t="inlineStr">
        <is>
          <t>Irrational Procrastination Scale</t>
        </is>
      </c>
      <c r="C280" s="27" t="inlineStr">
        <is>
          <t>6. Motivation, self determination and goal pursuit</t>
        </is>
      </c>
      <c r="D280" s="28" t="n">
        <v>6</v>
      </c>
      <c r="E280" s="27" t="inlineStr">
        <is>
          <t>I spend my time wisely</t>
        </is>
      </c>
      <c r="F280" s="27" t="inlineStr">
        <is>
          <t>Irrational Procrastination (total scale)</t>
        </is>
      </c>
      <c r="G280" s="34" t="inlineStr">
        <is>
          <t>TRUE</t>
        </is>
      </c>
      <c r="H280" s="27" t="inlineStr">
        <is>
          <t>FALSE</t>
        </is>
      </c>
      <c r="I280" s="27" t="inlineStr">
        <is>
          <t>Very seldom or not true of me = 1 | 2 = 2 | 3 = 3 | 4 = 4 | Very often true, or true of me = 5</t>
        </is>
      </c>
      <c r="J280" s="27" t="inlineStr">
        <is>
          <t>Verbatim from Table 1, Svartdal &amp; Steel (2017); marked '(R)' (reverse-scored) in the source table.</t>
        </is>
      </c>
      <c r="K280" s="27" t="inlineStr">
        <is>
          <t>https://www.frontiersin.org/articles/10.3389/fpsyg.2017.01927/full</t>
        </is>
      </c>
    </row>
    <row r="281" ht="23.85" customHeight="1" s="17">
      <c r="A281" s="27" t="inlineStr">
        <is>
          <t>IPS</t>
        </is>
      </c>
      <c r="B281" s="27" t="inlineStr">
        <is>
          <t>Irrational Procrastination Scale</t>
        </is>
      </c>
      <c r="C281" s="27" t="inlineStr">
        <is>
          <t>6. Motivation, self determination and goal pursuit</t>
        </is>
      </c>
      <c r="D281" s="28" t="n">
        <v>7</v>
      </c>
      <c r="E281" s="27" t="inlineStr">
        <is>
          <t>I delay tasks beyond what is reasonable</t>
        </is>
      </c>
      <c r="F281" s="27" t="inlineStr">
        <is>
          <t>Irrational Procrastination (total scale)</t>
        </is>
      </c>
      <c r="G281" s="27" t="inlineStr">
        <is>
          <t>FALSE</t>
        </is>
      </c>
      <c r="H281" s="27" t="inlineStr">
        <is>
          <t>FALSE</t>
        </is>
      </c>
      <c r="I281" s="27" t="inlineStr">
        <is>
          <t>Very seldom or not true of me = 1 | 2 = 2 | 3 = 3 | 4 = 4 | Very often true, or true of me = 5</t>
        </is>
      </c>
      <c r="J281" s="27" t="inlineStr">
        <is>
          <t>Verbatim from Table 1, Svartdal &amp; Steel (2017).</t>
        </is>
      </c>
      <c r="K281" s="27" t="inlineStr">
        <is>
          <t>https://www.frontiersin.org/articles/10.3389/fpsyg.2017.01927/full</t>
        </is>
      </c>
    </row>
    <row r="282" ht="23.85" customHeight="1" s="17">
      <c r="A282" s="27" t="inlineStr">
        <is>
          <t>IPS</t>
        </is>
      </c>
      <c r="B282" s="27" t="inlineStr">
        <is>
          <t>Irrational Procrastination Scale</t>
        </is>
      </c>
      <c r="C282" s="27" t="inlineStr">
        <is>
          <t>6. Motivation, self determination and goal pursuit</t>
        </is>
      </c>
      <c r="D282" s="28" t="n">
        <v>8</v>
      </c>
      <c r="E282" s="27" t="inlineStr">
        <is>
          <t>I procrastinate</t>
        </is>
      </c>
      <c r="F282" s="27" t="inlineStr">
        <is>
          <t>Irrational Procrastination (total scale)</t>
        </is>
      </c>
      <c r="G282" s="27" t="inlineStr">
        <is>
          <t>FALSE</t>
        </is>
      </c>
      <c r="H282" s="27" t="inlineStr">
        <is>
          <t>FALSE</t>
        </is>
      </c>
      <c r="I282" s="27" t="inlineStr">
        <is>
          <t>Very seldom or not true of me = 1 | 2 = 2 | 3 = 3 | 4 = 4 | Very often true, or true of me = 5</t>
        </is>
      </c>
      <c r="J282" s="27" t="inlineStr">
        <is>
          <t>Verbatim from Table 1, Svartdal &amp; Steel (2017).</t>
        </is>
      </c>
      <c r="K282" s="27" t="inlineStr">
        <is>
          <t>https://www.frontiersin.org/articles/10.3389/fpsyg.2017.01927/full</t>
        </is>
      </c>
    </row>
    <row r="283" ht="23.85" customHeight="1" s="17">
      <c r="A283" s="27" t="inlineStr">
        <is>
          <t>IPS</t>
        </is>
      </c>
      <c r="B283" s="27" t="inlineStr">
        <is>
          <t>Irrational Procrastination Scale</t>
        </is>
      </c>
      <c r="C283" s="27" t="inlineStr">
        <is>
          <t>6. Motivation, self determination and goal pursuit</t>
        </is>
      </c>
      <c r="D283" s="28" t="n">
        <v>9</v>
      </c>
      <c r="E283" s="27" t="inlineStr">
        <is>
          <t>I do everything when I believe it needs to be done</t>
        </is>
      </c>
      <c r="F283" s="27" t="inlineStr">
        <is>
          <t>Irrational Procrastination (total scale)</t>
        </is>
      </c>
      <c r="G283" s="34" t="inlineStr">
        <is>
          <t>TRUE</t>
        </is>
      </c>
      <c r="H283" s="27" t="inlineStr">
        <is>
          <t>FALSE</t>
        </is>
      </c>
      <c r="I283" s="27" t="inlineStr">
        <is>
          <t>Very seldom or not true of me = 1 | 2 = 2 | 3 = 3 | 4 = 4 | Very often true, or true of me = 5</t>
        </is>
      </c>
      <c r="J283" s="27" t="inlineStr">
        <is>
          <t>Verbatim from Table 1, Svartdal &amp; Steel (2017); marked '(R)' (reverse-scored) in the source table.</t>
        </is>
      </c>
      <c r="K283" s="27" t="inlineStr">
        <is>
          <t>https://www.frontiersin.org/articles/10.3389/fpsyg.2017.01927/full</t>
        </is>
      </c>
    </row>
    <row r="284" ht="23.85" customHeight="1" s="17">
      <c r="A284" s="27" t="inlineStr">
        <is>
          <t>GSE</t>
        </is>
      </c>
      <c r="B284" s="27" t="inlineStr">
        <is>
          <t>General Self-Efficacy Scale</t>
        </is>
      </c>
      <c r="C284" s="27" t="inlineStr">
        <is>
          <t>6. Motivation, self determination and goal pursuit</t>
        </is>
      </c>
      <c r="D284" s="28" t="n">
        <v>1</v>
      </c>
      <c r="E284" s="27" t="inlineStr">
        <is>
          <t>I can always manage to solve difficult problems if I try hard enough.</t>
        </is>
      </c>
      <c r="F284" s="27" t="inlineStr">
        <is>
          <t>General Self-Efficacy (total scale)</t>
        </is>
      </c>
      <c r="G284" s="27" t="inlineStr">
        <is>
          <t>FALSE</t>
        </is>
      </c>
      <c r="H284" s="27" t="inlineStr">
        <is>
          <t>FALSE</t>
        </is>
      </c>
      <c r="I284" s="27" t="inlineStr">
        <is>
          <t>Not at all true = 1 | Hardly true = 2 | Moderately true = 3 | Exactly true = 4</t>
        </is>
      </c>
      <c r="J284" s="27" t="inlineStr">
        <is>
          <t>Verbatim from the official FU Berlin page, https://userpage.fu-berlin.de/~health/engscal.htm.</t>
        </is>
      </c>
      <c r="K284" s="27" t="inlineStr">
        <is>
          <t>https://userpage.fu-berlin.de/~health/engscal.htm</t>
        </is>
      </c>
    </row>
    <row r="285" ht="23.85" customHeight="1" s="17">
      <c r="A285" s="27" t="inlineStr">
        <is>
          <t>GSE</t>
        </is>
      </c>
      <c r="B285" s="27" t="inlineStr">
        <is>
          <t>General Self-Efficacy Scale</t>
        </is>
      </c>
      <c r="C285" s="27" t="inlineStr">
        <is>
          <t>6. Motivation, self determination and goal pursuit</t>
        </is>
      </c>
      <c r="D285" s="28" t="n">
        <v>2</v>
      </c>
      <c r="E285" s="27" t="inlineStr">
        <is>
          <t>If someone opposes me, I can find the means and ways to get what I want.</t>
        </is>
      </c>
      <c r="F285" s="27" t="inlineStr">
        <is>
          <t>General Self-Efficacy (total scale)</t>
        </is>
      </c>
      <c r="G285" s="27" t="inlineStr">
        <is>
          <t>FALSE</t>
        </is>
      </c>
      <c r="H285" s="27" t="inlineStr">
        <is>
          <t>FALSE</t>
        </is>
      </c>
      <c r="I285" s="27" t="inlineStr">
        <is>
          <t>Not at all true = 1 | Hardly true = 2 | Moderately true = 3 | Exactly true = 4</t>
        </is>
      </c>
      <c r="J285" s="27" t="inlineStr">
        <is>
          <t>Verbatim from the official FU Berlin page.</t>
        </is>
      </c>
      <c r="K285" s="27" t="inlineStr">
        <is>
          <t>https://userpage.fu-berlin.de/~health/engscal.htm</t>
        </is>
      </c>
    </row>
    <row r="286" ht="23.85" customHeight="1" s="17">
      <c r="A286" s="27" t="inlineStr">
        <is>
          <t>GSE</t>
        </is>
      </c>
      <c r="B286" s="27" t="inlineStr">
        <is>
          <t>General Self-Efficacy Scale</t>
        </is>
      </c>
      <c r="C286" s="27" t="inlineStr">
        <is>
          <t>6. Motivation, self determination and goal pursuit</t>
        </is>
      </c>
      <c r="D286" s="28" t="n">
        <v>3</v>
      </c>
      <c r="E286" s="27" t="inlineStr">
        <is>
          <t>It is easy for me to stick to my aims and accomplish my goals.</t>
        </is>
      </c>
      <c r="F286" s="27" t="inlineStr">
        <is>
          <t>General Self-Efficacy (total scale)</t>
        </is>
      </c>
      <c r="G286" s="27" t="inlineStr">
        <is>
          <t>FALSE</t>
        </is>
      </c>
      <c r="H286" s="27" t="inlineStr">
        <is>
          <t>FALSE</t>
        </is>
      </c>
      <c r="I286" s="27" t="inlineStr">
        <is>
          <t>Not at all true = 1 | Hardly true = 2 | Moderately true = 3 | Exactly true = 4</t>
        </is>
      </c>
      <c r="J286" s="27" t="inlineStr">
        <is>
          <t>Verbatim from the official FU Berlin page.</t>
        </is>
      </c>
      <c r="K286" s="27" t="inlineStr">
        <is>
          <t>https://userpage.fu-berlin.de/~health/engscal.htm</t>
        </is>
      </c>
    </row>
    <row r="287" ht="23.85" customHeight="1" s="17">
      <c r="A287" s="27" t="inlineStr">
        <is>
          <t>GSE</t>
        </is>
      </c>
      <c r="B287" s="27" t="inlineStr">
        <is>
          <t>General Self-Efficacy Scale</t>
        </is>
      </c>
      <c r="C287" s="27" t="inlineStr">
        <is>
          <t>6. Motivation, self determination and goal pursuit</t>
        </is>
      </c>
      <c r="D287" s="28" t="n">
        <v>4</v>
      </c>
      <c r="E287" s="27" t="inlineStr">
        <is>
          <t>I am confident that I could deal efficiently with unexpected events.</t>
        </is>
      </c>
      <c r="F287" s="27" t="inlineStr">
        <is>
          <t>General Self-Efficacy (total scale)</t>
        </is>
      </c>
      <c r="G287" s="27" t="inlineStr">
        <is>
          <t>FALSE</t>
        </is>
      </c>
      <c r="H287" s="27" t="inlineStr">
        <is>
          <t>FALSE</t>
        </is>
      </c>
      <c r="I287" s="27" t="inlineStr">
        <is>
          <t>Not at all true = 1 | Hardly true = 2 | Moderately true = 3 | Exactly true = 4</t>
        </is>
      </c>
      <c r="J287" s="27" t="inlineStr">
        <is>
          <t>Verbatim from the official FU Berlin page.</t>
        </is>
      </c>
      <c r="K287" s="27" t="inlineStr">
        <is>
          <t>https://userpage.fu-berlin.de/~health/engscal.htm</t>
        </is>
      </c>
    </row>
    <row r="288" ht="23.85" customHeight="1" s="17">
      <c r="A288" s="27" t="inlineStr">
        <is>
          <t>GSE</t>
        </is>
      </c>
      <c r="B288" s="27" t="inlineStr">
        <is>
          <t>General Self-Efficacy Scale</t>
        </is>
      </c>
      <c r="C288" s="27" t="inlineStr">
        <is>
          <t>6. Motivation, self determination and goal pursuit</t>
        </is>
      </c>
      <c r="D288" s="28" t="n">
        <v>5</v>
      </c>
      <c r="E288" s="27" t="inlineStr">
        <is>
          <t>Thanks to my resourcefulness, I know how to handle unforeseen situations.</t>
        </is>
      </c>
      <c r="F288" s="27" t="inlineStr">
        <is>
          <t>General Self-Efficacy (total scale)</t>
        </is>
      </c>
      <c r="G288" s="27" t="inlineStr">
        <is>
          <t>FALSE</t>
        </is>
      </c>
      <c r="H288" s="27" t="inlineStr">
        <is>
          <t>FALSE</t>
        </is>
      </c>
      <c r="I288" s="27" t="inlineStr">
        <is>
          <t>Not at all true = 1 | Hardly true = 2 | Moderately true = 3 | Exactly true = 4</t>
        </is>
      </c>
      <c r="J288" s="27" t="inlineStr">
        <is>
          <t>Verbatim from the official FU Berlin page.</t>
        </is>
      </c>
      <c r="K288" s="27" t="inlineStr">
        <is>
          <t>https://userpage.fu-berlin.de/~health/engscal.htm</t>
        </is>
      </c>
    </row>
    <row r="289" ht="23.85" customHeight="1" s="17">
      <c r="A289" s="27" t="inlineStr">
        <is>
          <t>GSE</t>
        </is>
      </c>
      <c r="B289" s="27" t="inlineStr">
        <is>
          <t>General Self-Efficacy Scale</t>
        </is>
      </c>
      <c r="C289" s="27" t="inlineStr">
        <is>
          <t>6. Motivation, self determination and goal pursuit</t>
        </is>
      </c>
      <c r="D289" s="28" t="n">
        <v>6</v>
      </c>
      <c r="E289" s="27" t="inlineStr">
        <is>
          <t>I can solve most problems if I invest the necessary effort.</t>
        </is>
      </c>
      <c r="F289" s="27" t="inlineStr">
        <is>
          <t>General Self-Efficacy (total scale)</t>
        </is>
      </c>
      <c r="G289" s="27" t="inlineStr">
        <is>
          <t>FALSE</t>
        </is>
      </c>
      <c r="H289" s="27" t="inlineStr">
        <is>
          <t>FALSE</t>
        </is>
      </c>
      <c r="I289" s="27" t="inlineStr">
        <is>
          <t>Not at all true = 1 | Hardly true = 2 | Moderately true = 3 | Exactly true = 4</t>
        </is>
      </c>
      <c r="J289" s="27" t="inlineStr">
        <is>
          <t>Verbatim from the official FU Berlin page.</t>
        </is>
      </c>
      <c r="K289" s="27" t="inlineStr">
        <is>
          <t>https://userpage.fu-berlin.de/~health/engscal.htm</t>
        </is>
      </c>
    </row>
    <row r="290" ht="23.85" customHeight="1" s="17">
      <c r="A290" s="27" t="inlineStr">
        <is>
          <t>GSE</t>
        </is>
      </c>
      <c r="B290" s="27" t="inlineStr">
        <is>
          <t>General Self-Efficacy Scale</t>
        </is>
      </c>
      <c r="C290" s="27" t="inlineStr">
        <is>
          <t>6. Motivation, self determination and goal pursuit</t>
        </is>
      </c>
      <c r="D290" s="28" t="n">
        <v>7</v>
      </c>
      <c r="E290" s="27" t="inlineStr">
        <is>
          <t>I can remain calm when facing difficulties because I can rely on my coping abilities.</t>
        </is>
      </c>
      <c r="F290" s="27" t="inlineStr">
        <is>
          <t>General Self-Efficacy (total scale)</t>
        </is>
      </c>
      <c r="G290" s="27" t="inlineStr">
        <is>
          <t>FALSE</t>
        </is>
      </c>
      <c r="H290" s="27" t="inlineStr">
        <is>
          <t>FALSE</t>
        </is>
      </c>
      <c r="I290" s="27" t="inlineStr">
        <is>
          <t>Not at all true = 1 | Hardly true = 2 | Moderately true = 3 | Exactly true = 4</t>
        </is>
      </c>
      <c r="J290" s="27" t="inlineStr">
        <is>
          <t>Verbatim from the official FU Berlin page.</t>
        </is>
      </c>
      <c r="K290" s="27" t="inlineStr">
        <is>
          <t>https://userpage.fu-berlin.de/~health/engscal.htm</t>
        </is>
      </c>
    </row>
    <row r="291" ht="23.85" customHeight="1" s="17">
      <c r="A291" s="27" t="inlineStr">
        <is>
          <t>GSE</t>
        </is>
      </c>
      <c r="B291" s="27" t="inlineStr">
        <is>
          <t>General Self-Efficacy Scale</t>
        </is>
      </c>
      <c r="C291" s="27" t="inlineStr">
        <is>
          <t>6. Motivation, self determination and goal pursuit</t>
        </is>
      </c>
      <c r="D291" s="28" t="n">
        <v>8</v>
      </c>
      <c r="E291" s="27" t="inlineStr">
        <is>
          <t>When I am confronted with a problem, I can usually find several solutions.</t>
        </is>
      </c>
      <c r="F291" s="27" t="inlineStr">
        <is>
          <t>General Self-Efficacy (total scale)</t>
        </is>
      </c>
      <c r="G291" s="27" t="inlineStr">
        <is>
          <t>FALSE</t>
        </is>
      </c>
      <c r="H291" s="27" t="inlineStr">
        <is>
          <t>FALSE</t>
        </is>
      </c>
      <c r="I291" s="27" t="inlineStr">
        <is>
          <t>Not at all true = 1 | Hardly true = 2 | Moderately true = 3 | Exactly true = 4</t>
        </is>
      </c>
      <c r="J291" s="27" t="inlineStr">
        <is>
          <t>Verbatim from the official FU Berlin page.</t>
        </is>
      </c>
      <c r="K291" s="27" t="inlineStr">
        <is>
          <t>https://userpage.fu-berlin.de/~health/engscal.htm</t>
        </is>
      </c>
    </row>
    <row r="292" ht="23.85" customHeight="1" s="17">
      <c r="A292" s="27" t="inlineStr">
        <is>
          <t>GSE</t>
        </is>
      </c>
      <c r="B292" s="27" t="inlineStr">
        <is>
          <t>General Self-Efficacy Scale</t>
        </is>
      </c>
      <c r="C292" s="27" t="inlineStr">
        <is>
          <t>6. Motivation, self determination and goal pursuit</t>
        </is>
      </c>
      <c r="D292" s="28" t="n">
        <v>9</v>
      </c>
      <c r="E292" s="27" t="inlineStr">
        <is>
          <t>If I am in trouble, I can usually think of a solution.</t>
        </is>
      </c>
      <c r="F292" s="27" t="inlineStr">
        <is>
          <t>General Self-Efficacy (total scale)</t>
        </is>
      </c>
      <c r="G292" s="27" t="inlineStr">
        <is>
          <t>FALSE</t>
        </is>
      </c>
      <c r="H292" s="27" t="inlineStr">
        <is>
          <t>FALSE</t>
        </is>
      </c>
      <c r="I292" s="27" t="inlineStr">
        <is>
          <t>Not at all true = 1 | Hardly true = 2 | Moderately true = 3 | Exactly true = 4</t>
        </is>
      </c>
      <c r="J292" s="27" t="inlineStr">
        <is>
          <t>Verbatim from the official FU Berlin page.</t>
        </is>
      </c>
      <c r="K292" s="27" t="inlineStr">
        <is>
          <t>https://userpage.fu-berlin.de/~health/engscal.htm</t>
        </is>
      </c>
    </row>
    <row r="293" ht="23.85" customHeight="1" s="17">
      <c r="A293" s="27" t="inlineStr">
        <is>
          <t>GSE</t>
        </is>
      </c>
      <c r="B293" s="27" t="inlineStr">
        <is>
          <t>General Self-Efficacy Scale</t>
        </is>
      </c>
      <c r="C293" s="27" t="inlineStr">
        <is>
          <t>6. Motivation, self determination and goal pursuit</t>
        </is>
      </c>
      <c r="D293" s="28" t="n">
        <v>10</v>
      </c>
      <c r="E293" s="27" t="inlineStr">
        <is>
          <t>I can usually handle whatever comes my way.</t>
        </is>
      </c>
      <c r="F293" s="27" t="inlineStr">
        <is>
          <t>General Self-Efficacy (total scale)</t>
        </is>
      </c>
      <c r="G293" s="27" t="inlineStr">
        <is>
          <t>FALSE</t>
        </is>
      </c>
      <c r="H293" s="27" t="inlineStr">
        <is>
          <t>FALSE</t>
        </is>
      </c>
      <c r="I293" s="27" t="inlineStr">
        <is>
          <t>Not at all true = 1 | Hardly true = 2 | Moderately true = 3 | Exactly true = 4</t>
        </is>
      </c>
      <c r="J293" s="27" t="inlineStr">
        <is>
          <t>Verbatim from the official FU Berlin page.</t>
        </is>
      </c>
      <c r="K293" s="27" t="inlineStr">
        <is>
          <t>https://userpage.fu-berlin.de/~health/engscal.htm</t>
        </is>
      </c>
    </row>
    <row r="294" ht="46.25" customHeight="1" s="17">
      <c r="A294" s="27" t="inlineStr">
        <is>
          <t>GCS</t>
        </is>
      </c>
      <c r="B294" s="27" t="inlineStr">
        <is>
          <t>Goal Commitment Scale (5-item unidimensional version)</t>
        </is>
      </c>
      <c r="C294" s="27" t="inlineStr">
        <is>
          <t>6. Motivation, self determination and goal pursuit</t>
        </is>
      </c>
      <c r="D294" s="28" t="n">
        <v>1</v>
      </c>
      <c r="E294" s="27" t="inlineStr">
        <is>
          <t>It's hard to take this goal seriously.</t>
        </is>
      </c>
      <c r="F294" s="27" t="inlineStr">
        <is>
          <t>Goal Commitment</t>
        </is>
      </c>
      <c r="G294" s="34" t="inlineStr">
        <is>
          <t>TRUE</t>
        </is>
      </c>
      <c r="H294" s="27" t="inlineStr">
        <is>
          <t>FALSE</t>
        </is>
      </c>
      <c r="I294" s="27" t="inlineStr">
        <is>
          <t>Strongly Disagree = 1 | Moderately Disagree = 2 | Neutral = 3 | Moderately Agree = 4 | Strongly Agree = 5</t>
        </is>
      </c>
      <c r="J294" s="27" t="inlineStr">
        <is>
          <t>Item wording and reverse keying per Klein et al. (2001, p. 34) as quoted in Missouri State University thesis https://bearworks.missouristate.edu/cgi/viewcontent.cgi?article=4229&amp;context=theses.</t>
        </is>
      </c>
      <c r="K294" s="27" t="inlineStr">
        <is>
          <t>https://bearworks.missouristate.edu/cgi/viewcontent.cgi?article=4229&amp;context=theses</t>
        </is>
      </c>
    </row>
    <row r="295" ht="46.25" customHeight="1" s="17">
      <c r="A295" s="27" t="inlineStr">
        <is>
          <t>GCS</t>
        </is>
      </c>
      <c r="B295" s="27" t="inlineStr">
        <is>
          <t>Goal Commitment Scale (5-item unidimensional version)</t>
        </is>
      </c>
      <c r="C295" s="27" t="inlineStr">
        <is>
          <t>6. Motivation, self determination and goal pursuit</t>
        </is>
      </c>
      <c r="D295" s="28" t="n">
        <v>2</v>
      </c>
      <c r="E295" s="27" t="inlineStr">
        <is>
          <t>Quite frankly, I don't care if I achieve this goal or not.</t>
        </is>
      </c>
      <c r="F295" s="27" t="inlineStr">
        <is>
          <t>Goal Commitment</t>
        </is>
      </c>
      <c r="G295" s="34" t="inlineStr">
        <is>
          <t>TRUE</t>
        </is>
      </c>
      <c r="H295" s="27" t="inlineStr">
        <is>
          <t>FALSE</t>
        </is>
      </c>
      <c r="I295" s="27" t="inlineStr">
        <is>
          <t>Strongly Disagree = 1 | Moderately Disagree = 2 | Neutral = 3 | Moderately Agree = 4 | Strongly Agree = 5</t>
        </is>
      </c>
      <c r="J295" s="27" t="inlineStr">
        <is>
          <t>Item wording and reverse keying per Klein et al. (2001, p. 34) as quoted in Missouri State University thesis https://bearworks.missouristate.edu/cgi/viewcontent.cgi?article=4229&amp;context=theses.</t>
        </is>
      </c>
      <c r="K295" s="27" t="inlineStr">
        <is>
          <t>https://bearworks.missouristate.edu/cgi/viewcontent.cgi?article=4229&amp;context=theses</t>
        </is>
      </c>
    </row>
    <row r="296" ht="46.25" customHeight="1" s="17">
      <c r="A296" s="27" t="inlineStr">
        <is>
          <t>GCS</t>
        </is>
      </c>
      <c r="B296" s="27" t="inlineStr">
        <is>
          <t>Goal Commitment Scale (5-item unidimensional version)</t>
        </is>
      </c>
      <c r="C296" s="27" t="inlineStr">
        <is>
          <t>6. Motivation, self determination and goal pursuit</t>
        </is>
      </c>
      <c r="D296" s="28" t="n">
        <v>3</v>
      </c>
      <c r="E296" s="27" t="inlineStr">
        <is>
          <t>I am strongly committed to pursuing this goal.</t>
        </is>
      </c>
      <c r="F296" s="27" t="inlineStr">
        <is>
          <t>Goal Commitment</t>
        </is>
      </c>
      <c r="G296" s="27" t="inlineStr">
        <is>
          <t>FALSE</t>
        </is>
      </c>
      <c r="H296" s="27" t="inlineStr">
        <is>
          <t>FALSE</t>
        </is>
      </c>
      <c r="I296" s="27" t="inlineStr">
        <is>
          <t>Strongly Disagree = 1 | Moderately Disagree = 2 | Neutral = 3 | Moderately Agree = 4 | Strongly Agree = 5</t>
        </is>
      </c>
      <c r="J296" s="27" t="inlineStr">
        <is>
          <t>Item wording and reverse keying per Klein et al. (2001, p. 34) as quoted in Missouri State University thesis https://bearworks.missouristate.edu/cgi/viewcontent.cgi?article=4229&amp;context=theses.</t>
        </is>
      </c>
      <c r="K296" s="27" t="inlineStr">
        <is>
          <t>https://bearworks.missouristate.edu/cgi/viewcontent.cgi?article=4229&amp;context=theses</t>
        </is>
      </c>
    </row>
    <row r="297" ht="46.25" customHeight="1" s="17">
      <c r="A297" s="27" t="inlineStr">
        <is>
          <t>GCS</t>
        </is>
      </c>
      <c r="B297" s="27" t="inlineStr">
        <is>
          <t>Goal Commitment Scale (5-item unidimensional version)</t>
        </is>
      </c>
      <c r="C297" s="27" t="inlineStr">
        <is>
          <t>6. Motivation, self determination and goal pursuit</t>
        </is>
      </c>
      <c r="D297" s="28" t="n">
        <v>4</v>
      </c>
      <c r="E297" s="27" t="inlineStr">
        <is>
          <t>It wouldn't take much to make me abandon this goal.</t>
        </is>
      </c>
      <c r="F297" s="27" t="inlineStr">
        <is>
          <t>Goal Commitment</t>
        </is>
      </c>
      <c r="G297" s="34" t="inlineStr">
        <is>
          <t>TRUE</t>
        </is>
      </c>
      <c r="H297" s="27" t="inlineStr">
        <is>
          <t>FALSE</t>
        </is>
      </c>
      <c r="I297" s="27" t="inlineStr">
        <is>
          <t>Strongly Disagree = 1 | Moderately Disagree = 2 | Neutral = 3 | Moderately Agree = 4 | Strongly Agree = 5</t>
        </is>
      </c>
      <c r="J297" s="27" t="inlineStr">
        <is>
          <t>Item wording and reverse keying per Klein et al. (2001, p. 34) as quoted in Missouri State University thesis https://bearworks.missouristate.edu/cgi/viewcontent.cgi?article=4229&amp;context=theses.</t>
        </is>
      </c>
      <c r="K297" s="27" t="inlineStr">
        <is>
          <t>https://bearworks.missouristate.edu/cgi/viewcontent.cgi?article=4229&amp;context=theses</t>
        </is>
      </c>
    </row>
    <row r="298" ht="46.25" customHeight="1" s="17">
      <c r="A298" s="27" t="inlineStr">
        <is>
          <t>GCS</t>
        </is>
      </c>
      <c r="B298" s="27" t="inlineStr">
        <is>
          <t>Goal Commitment Scale (5-item unidimensional version)</t>
        </is>
      </c>
      <c r="C298" s="27" t="inlineStr">
        <is>
          <t>6. Motivation, self determination and goal pursuit</t>
        </is>
      </c>
      <c r="D298" s="28" t="n">
        <v>5</v>
      </c>
      <c r="E298" s="27" t="inlineStr">
        <is>
          <t>I think this is a good goal to shoot for.</t>
        </is>
      </c>
      <c r="F298" s="27" t="inlineStr">
        <is>
          <t>Goal Commitment</t>
        </is>
      </c>
      <c r="G298" s="27" t="inlineStr">
        <is>
          <t>FALSE</t>
        </is>
      </c>
      <c r="H298" s="27" t="inlineStr">
        <is>
          <t>FALSE</t>
        </is>
      </c>
      <c r="I298" s="27" t="inlineStr">
        <is>
          <t>Strongly Disagree = 1 | Moderately Disagree = 2 | Neutral = 3 | Moderately Agree = 4 | Strongly Agree = 5</t>
        </is>
      </c>
      <c r="J298" s="27" t="inlineStr">
        <is>
          <t>Item wording and reverse keying per Klein et al. (2001, p. 34) as quoted in Missouri State University thesis https://bearworks.missouristate.edu/cgi/viewcontent.cgi?article=4229&amp;context=theses.</t>
        </is>
      </c>
      <c r="K298" s="27" t="inlineStr">
        <is>
          <t>https://bearworks.missouristate.edu/cgi/viewcontent.cgi?article=4229&amp;context=theses</t>
        </is>
      </c>
    </row>
    <row r="299" ht="23.85" customHeight="1" s="17">
      <c r="A299" s="27" t="inlineStr">
        <is>
          <t>GADJ</t>
        </is>
      </c>
      <c r="B299" s="27" t="inlineStr">
        <is>
          <t>Goal Adjustment Scale</t>
        </is>
      </c>
      <c r="C299" s="27" t="inlineStr">
        <is>
          <t>6. Motivation, self determination and goal pursuit</t>
        </is>
      </c>
      <c r="D299" s="28" t="n">
        <v>1</v>
      </c>
      <c r="E299" s="27" t="inlineStr">
        <is>
          <t>It's easy for me to reduce my effort toward the goal.</t>
        </is>
      </c>
      <c r="F299" s="27" t="inlineStr">
        <is>
          <t>Goal Disengagement</t>
        </is>
      </c>
      <c r="G299" s="27" t="inlineStr">
        <is>
          <t>FALSE</t>
        </is>
      </c>
      <c r="H299" s="27" t="inlineStr">
        <is>
          <t>FALSE</t>
        </is>
      </c>
      <c r="I299" s="27" t="inlineStr">
        <is>
          <t>Almost never true = 1 | 2 = 2 | 3 = 3 | 4 = 4 | Almost always true = 5</t>
        </is>
      </c>
      <c r="J299" s="27" t="inlineStr">
        <is>
          <t>Verbatim from Table 1, Wrosch et al. (2003), fetched from the Carnegie Mellon-hosted copy of the original article.</t>
        </is>
      </c>
      <c r="K299" s="27" t="inlineStr">
        <is>
          <t>https://www.cmu.edu/dietrich/psychology/pdf/scales/GAS_article.pdf</t>
        </is>
      </c>
    </row>
    <row r="300" ht="35.05" customHeight="1" s="17">
      <c r="A300" s="27" t="inlineStr">
        <is>
          <t>GADJ</t>
        </is>
      </c>
      <c r="B300" s="27" t="inlineStr">
        <is>
          <t>Goal Adjustment Scale</t>
        </is>
      </c>
      <c r="C300" s="27" t="inlineStr">
        <is>
          <t>6. Motivation, self determination and goal pursuit</t>
        </is>
      </c>
      <c r="D300" s="28" t="n">
        <v>2</v>
      </c>
      <c r="E300" s="27" t="inlineStr">
        <is>
          <t>I find it difficult to stop trying to achieve the goal.</t>
        </is>
      </c>
      <c r="F300" s="27" t="inlineStr">
        <is>
          <t>Goal Disengagement</t>
        </is>
      </c>
      <c r="G300" s="34" t="inlineStr">
        <is>
          <t>TRUE</t>
        </is>
      </c>
      <c r="H300" s="27" t="inlineStr">
        <is>
          <t>FALSE</t>
        </is>
      </c>
      <c r="I300" s="27" t="inlineStr">
        <is>
          <t>Almost never true = 1 | 2 = 2 | 3 = 3 | 4 = 4 | Almost always true = 5</t>
        </is>
      </c>
      <c r="J300" s="27" t="inlineStr">
        <is>
          <t>Verbatim from Table 1, Wrosch et al. (2003); marked with a reverse-scoring symbol in the original table because it is worded in the direction of persistence, not disengagement.</t>
        </is>
      </c>
      <c r="K300" s="27" t="inlineStr">
        <is>
          <t>https://www.cmu.edu/dietrich/psychology/pdf/scales/GAS_article.pdf</t>
        </is>
      </c>
    </row>
    <row r="301" ht="23.85" customHeight="1" s="17">
      <c r="A301" s="27" t="inlineStr">
        <is>
          <t>GADJ</t>
        </is>
      </c>
      <c r="B301" s="27" t="inlineStr">
        <is>
          <t>Goal Adjustment Scale</t>
        </is>
      </c>
      <c r="C301" s="27" t="inlineStr">
        <is>
          <t>6. Motivation, self determination and goal pursuit</t>
        </is>
      </c>
      <c r="D301" s="28" t="n">
        <v>3</v>
      </c>
      <c r="E301" s="27" t="inlineStr">
        <is>
          <t>I stay committed to the goal for a long time; I can't let it go.</t>
        </is>
      </c>
      <c r="F301" s="27" t="inlineStr">
        <is>
          <t>Goal Disengagement</t>
        </is>
      </c>
      <c r="G301" s="34" t="inlineStr">
        <is>
          <t>TRUE</t>
        </is>
      </c>
      <c r="H301" s="27" t="inlineStr">
        <is>
          <t>FALSE</t>
        </is>
      </c>
      <c r="I301" s="27" t="inlineStr">
        <is>
          <t>Almost never true = 1 | 2 = 2 | 3 = 3 | 4 = 4 | Almost always true = 5</t>
        </is>
      </c>
      <c r="J301" s="27" t="inlineStr">
        <is>
          <t>Verbatim from Table 1, Wrosch et al. (2003); marked with a reverse-scoring symbol in the original table for the same reason as item 2.</t>
        </is>
      </c>
      <c r="K301" s="27" t="inlineStr">
        <is>
          <t>https://www.cmu.edu/dietrich/psychology/pdf/scales/GAS_article.pdf</t>
        </is>
      </c>
    </row>
    <row r="302" ht="23.85" customHeight="1" s="17">
      <c r="A302" s="27" t="inlineStr">
        <is>
          <t>GADJ</t>
        </is>
      </c>
      <c r="B302" s="27" t="inlineStr">
        <is>
          <t>Goal Adjustment Scale</t>
        </is>
      </c>
      <c r="C302" s="27" t="inlineStr">
        <is>
          <t>6. Motivation, self determination and goal pursuit</t>
        </is>
      </c>
      <c r="D302" s="28" t="n">
        <v>4</v>
      </c>
      <c r="E302" s="27" t="inlineStr">
        <is>
          <t>It's easy for me to stop thinking about the goal and let it go.</t>
        </is>
      </c>
      <c r="F302" s="27" t="inlineStr">
        <is>
          <t>Goal Disengagement</t>
        </is>
      </c>
      <c r="G302" s="27" t="inlineStr">
        <is>
          <t>FALSE</t>
        </is>
      </c>
      <c r="H302" s="27" t="inlineStr">
        <is>
          <t>FALSE</t>
        </is>
      </c>
      <c r="I302" s="27" t="inlineStr">
        <is>
          <t>Almost never true = 1 | 2 = 2 | 3 = 3 | 4 = 4 | Almost always true = 5</t>
        </is>
      </c>
      <c r="J302" s="27" t="inlineStr">
        <is>
          <t>Verbatim from Table 1, Wrosch et al. (2003).</t>
        </is>
      </c>
      <c r="K302" s="27" t="inlineStr">
        <is>
          <t>https://www.cmu.edu/dietrich/psychology/pdf/scales/GAS_article.pdf</t>
        </is>
      </c>
    </row>
    <row r="303" ht="23.85" customHeight="1" s="17">
      <c r="A303" s="27" t="inlineStr">
        <is>
          <t>GADJ</t>
        </is>
      </c>
      <c r="B303" s="27" t="inlineStr">
        <is>
          <t>Goal Adjustment Scale</t>
        </is>
      </c>
      <c r="C303" s="27" t="inlineStr">
        <is>
          <t>6. Motivation, self determination and goal pursuit</t>
        </is>
      </c>
      <c r="D303" s="28" t="n">
        <v>5</v>
      </c>
      <c r="E303" s="27" t="inlineStr">
        <is>
          <t>I think about other new goals to pursue.</t>
        </is>
      </c>
      <c r="F303" s="27" t="inlineStr">
        <is>
          <t>Goal Reengagement</t>
        </is>
      </c>
      <c r="G303" s="27" t="inlineStr">
        <is>
          <t>FALSE</t>
        </is>
      </c>
      <c r="H303" s="27" t="inlineStr">
        <is>
          <t>FALSE</t>
        </is>
      </c>
      <c r="I303" s="27" t="inlineStr">
        <is>
          <t>Almost never true = 1 | 2 = 2 | 3 = 3 | 4 = 4 | Almost always true = 5</t>
        </is>
      </c>
      <c r="J303" s="27" t="inlineStr">
        <is>
          <t>Verbatim from Table 1, Wrosch et al. (2003).</t>
        </is>
      </c>
      <c r="K303" s="27" t="inlineStr">
        <is>
          <t>https://www.cmu.edu/dietrich/psychology/pdf/scales/GAS_article.pdf</t>
        </is>
      </c>
    </row>
    <row r="304" ht="23.85" customHeight="1" s="17">
      <c r="A304" s="27" t="inlineStr">
        <is>
          <t>GADJ</t>
        </is>
      </c>
      <c r="B304" s="27" t="inlineStr">
        <is>
          <t>Goal Adjustment Scale</t>
        </is>
      </c>
      <c r="C304" s="27" t="inlineStr">
        <is>
          <t>6. Motivation, self determination and goal pursuit</t>
        </is>
      </c>
      <c r="D304" s="28" t="n">
        <v>6</v>
      </c>
      <c r="E304" s="27" t="inlineStr">
        <is>
          <t>I seek other meaningful goals.</t>
        </is>
      </c>
      <c r="F304" s="27" t="inlineStr">
        <is>
          <t>Goal Reengagement</t>
        </is>
      </c>
      <c r="G304" s="27" t="inlineStr">
        <is>
          <t>FALSE</t>
        </is>
      </c>
      <c r="H304" s="27" t="inlineStr">
        <is>
          <t>FALSE</t>
        </is>
      </c>
      <c r="I304" s="27" t="inlineStr">
        <is>
          <t>Almost never true = 1 | 2 = 2 | 3 = 3 | 4 = 4 | Almost always true = 5</t>
        </is>
      </c>
      <c r="J304" s="27" t="inlineStr">
        <is>
          <t>Verbatim from Table 1, Wrosch et al. (2003).</t>
        </is>
      </c>
      <c r="K304" s="27" t="inlineStr">
        <is>
          <t>https://www.cmu.edu/dietrich/psychology/pdf/scales/GAS_article.pdf</t>
        </is>
      </c>
    </row>
    <row r="305" ht="23.85" customHeight="1" s="17">
      <c r="A305" s="27" t="inlineStr">
        <is>
          <t>GADJ</t>
        </is>
      </c>
      <c r="B305" s="27" t="inlineStr">
        <is>
          <t>Goal Adjustment Scale</t>
        </is>
      </c>
      <c r="C305" s="27" t="inlineStr">
        <is>
          <t>6. Motivation, self determination and goal pursuit</t>
        </is>
      </c>
      <c r="D305" s="28" t="n">
        <v>7</v>
      </c>
      <c r="E305" s="27" t="inlineStr">
        <is>
          <t>I convince myself that I have other meaningful goals to pursue.</t>
        </is>
      </c>
      <c r="F305" s="27" t="inlineStr">
        <is>
          <t>Goal Reengagement</t>
        </is>
      </c>
      <c r="G305" s="27" t="inlineStr">
        <is>
          <t>FALSE</t>
        </is>
      </c>
      <c r="H305" s="27" t="inlineStr">
        <is>
          <t>FALSE</t>
        </is>
      </c>
      <c r="I305" s="27" t="inlineStr">
        <is>
          <t>Almost never true = 1 | 2 = 2 | 3 = 3 | 4 = 4 | Almost always true = 5</t>
        </is>
      </c>
      <c r="J305" s="27" t="inlineStr">
        <is>
          <t>Verbatim from Table 1, Wrosch et al. (2003).</t>
        </is>
      </c>
      <c r="K305" s="27" t="inlineStr">
        <is>
          <t>https://www.cmu.edu/dietrich/psychology/pdf/scales/GAS_article.pdf</t>
        </is>
      </c>
    </row>
    <row r="306" ht="23.85" customHeight="1" s="17">
      <c r="A306" s="27" t="inlineStr">
        <is>
          <t>GADJ</t>
        </is>
      </c>
      <c r="B306" s="27" t="inlineStr">
        <is>
          <t>Goal Adjustment Scale</t>
        </is>
      </c>
      <c r="C306" s="27" t="inlineStr">
        <is>
          <t>6. Motivation, self determination and goal pursuit</t>
        </is>
      </c>
      <c r="D306" s="28" t="n">
        <v>8</v>
      </c>
      <c r="E306" s="27" t="inlineStr">
        <is>
          <t>I tell myself that I have a number of other new goals to draw on.</t>
        </is>
      </c>
      <c r="F306" s="27" t="inlineStr">
        <is>
          <t>Goal Reengagement</t>
        </is>
      </c>
      <c r="G306" s="27" t="inlineStr">
        <is>
          <t>FALSE</t>
        </is>
      </c>
      <c r="H306" s="27" t="inlineStr">
        <is>
          <t>FALSE</t>
        </is>
      </c>
      <c r="I306" s="27" t="inlineStr">
        <is>
          <t>Almost never true = 1 | 2 = 2 | 3 = 3 | 4 = 4 | Almost always true = 5</t>
        </is>
      </c>
      <c r="J306" s="27" t="inlineStr">
        <is>
          <t>Verbatim from Table 1, Wrosch et al. (2003).</t>
        </is>
      </c>
      <c r="K306" s="27" t="inlineStr">
        <is>
          <t>https://www.cmu.edu/dietrich/psychology/pdf/scales/GAS_article.pdf</t>
        </is>
      </c>
    </row>
    <row r="307" ht="23.85" customHeight="1" s="17">
      <c r="A307" s="27" t="inlineStr">
        <is>
          <t>GADJ</t>
        </is>
      </c>
      <c r="B307" s="27" t="inlineStr">
        <is>
          <t>Goal Adjustment Scale</t>
        </is>
      </c>
      <c r="C307" s="27" t="inlineStr">
        <is>
          <t>6. Motivation, self determination and goal pursuit</t>
        </is>
      </c>
      <c r="D307" s="28" t="n">
        <v>9</v>
      </c>
      <c r="E307" s="27" t="inlineStr">
        <is>
          <t>I start working on other new goals.</t>
        </is>
      </c>
      <c r="F307" s="27" t="inlineStr">
        <is>
          <t>Goal Reengagement</t>
        </is>
      </c>
      <c r="G307" s="27" t="inlineStr">
        <is>
          <t>FALSE</t>
        </is>
      </c>
      <c r="H307" s="27" t="inlineStr">
        <is>
          <t>FALSE</t>
        </is>
      </c>
      <c r="I307" s="27" t="inlineStr">
        <is>
          <t>Almost never true = 1 | 2 = 2 | 3 = 3 | 4 = 4 | Almost always true = 5</t>
        </is>
      </c>
      <c r="J307" s="27" t="inlineStr">
        <is>
          <t>Verbatim from Table 1, Wrosch et al. (2003).</t>
        </is>
      </c>
      <c r="K307" s="27" t="inlineStr">
        <is>
          <t>https://www.cmu.edu/dietrich/psychology/pdf/scales/GAS_article.pdf</t>
        </is>
      </c>
    </row>
    <row r="308" ht="23.85" customHeight="1" s="17">
      <c r="A308" s="27" t="inlineStr">
        <is>
          <t>GADJ</t>
        </is>
      </c>
      <c r="B308" s="27" t="inlineStr">
        <is>
          <t>Goal Adjustment Scale</t>
        </is>
      </c>
      <c r="C308" s="27" t="inlineStr">
        <is>
          <t>6. Motivation, self determination and goal pursuit</t>
        </is>
      </c>
      <c r="D308" s="28" t="n">
        <v>10</v>
      </c>
      <c r="E308" s="27" t="inlineStr">
        <is>
          <t>I put effort toward other meaningful goals.</t>
        </is>
      </c>
      <c r="F308" s="27" t="inlineStr">
        <is>
          <t>Goal Reengagement</t>
        </is>
      </c>
      <c r="G308" s="27" t="inlineStr">
        <is>
          <t>FALSE</t>
        </is>
      </c>
      <c r="H308" s="27" t="inlineStr">
        <is>
          <t>FALSE</t>
        </is>
      </c>
      <c r="I308" s="27" t="inlineStr">
        <is>
          <t>Almost never true = 1 | 2 = 2 | 3 = 3 | 4 = 4 | Almost always true = 5</t>
        </is>
      </c>
      <c r="J308" s="27" t="inlineStr">
        <is>
          <t>Verbatim from Table 1, Wrosch et al. (2003).</t>
        </is>
      </c>
      <c r="K308" s="27" t="inlineStr">
        <is>
          <t>https://www.cmu.edu/dietrich/psychology/pdf/scales/GAS_article.pdf</t>
        </is>
      </c>
    </row>
  </sheetData>
  <autoFilter ref="A1:K30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42" customWidth="1" style="16" min="4" max="4"/>
    <col width="26" customWidth="1" style="16" min="5" max="5"/>
    <col width="13" customWidth="1" style="16" min="6" max="6"/>
    <col width="24" customWidth="1" style="16" min="7" max="7"/>
    <col width="88" customWidth="1" style="16" min="8" max="8"/>
  </cols>
  <sheetData>
    <row r="1" ht="30" customHeight="1" s="17">
      <c r="A1" s="25" t="inlineStr">
        <is>
          <t>Code</t>
        </is>
      </c>
      <c r="B1" s="25" t="inlineStr">
        <is>
          <t>Instrument Name</t>
        </is>
      </c>
      <c r="C1" s="25" t="inlineStr">
        <is>
          <t>Domain</t>
        </is>
      </c>
      <c r="D1" s="25" t="inlineStr">
        <is>
          <t>Subscale / Theme / Strength</t>
        </is>
      </c>
      <c r="E1" s="25" t="inlineStr">
        <is>
          <t>Item Numbers</t>
        </is>
      </c>
      <c r="F1" s="25" t="inlineStr">
        <is>
          <t>Number of Items</t>
        </is>
      </c>
      <c r="G1" s="25" t="inlineStr">
        <is>
          <t>Score Range</t>
        </is>
      </c>
      <c r="H1" s="25" t="inlineStr">
        <is>
          <t>Description</t>
        </is>
      </c>
    </row>
    <row r="2" ht="23.85" customHeight="1" s="17">
      <c r="A2" s="27" t="inlineStr">
        <is>
          <t>ESQ-R</t>
        </is>
      </c>
      <c r="B2" s="27" t="inlineStr">
        <is>
          <t>Executive Skills Questionnaire - Revised (ESQ-R)</t>
        </is>
      </c>
      <c r="C2" s="27" t="inlineStr">
        <is>
          <t>1. Executive functioning and ADHD</t>
        </is>
      </c>
      <c r="D2" s="27" t="inlineStr">
        <is>
          <t>Plan Management</t>
        </is>
      </c>
      <c r="E2" s="27" t="inlineStr">
        <is>
          <t>6-7, 12-14, 16-18, 22-24</t>
        </is>
      </c>
      <c r="F2" s="28" t="n">
        <v>11</v>
      </c>
      <c r="G2" s="27" t="inlineStr">
        <is>
          <t>0-33</t>
        </is>
      </c>
      <c r="H2" s="27" t="inlineStr">
        <is>
          <t>Ability to create and manage plans for accomplishing tasks.</t>
        </is>
      </c>
    </row>
    <row r="3" ht="23.85" customHeight="1" s="17">
      <c r="A3" s="27" t="inlineStr">
        <is>
          <t>ESQ-R</t>
        </is>
      </c>
      <c r="B3" s="27" t="inlineStr">
        <is>
          <t>Executive Skills Questionnaire - Revised (ESQ-R)</t>
        </is>
      </c>
      <c r="C3" s="27" t="inlineStr">
        <is>
          <t>1. Executive functioning and ADHD</t>
        </is>
      </c>
      <c r="D3" s="27" t="inlineStr">
        <is>
          <t>Time Management</t>
        </is>
      </c>
      <c r="E3" s="27" t="inlineStr">
        <is>
          <t>10-11, 15, 20</t>
        </is>
      </c>
      <c r="F3" s="28" t="n">
        <v>4</v>
      </c>
      <c r="G3" s="27" t="inlineStr">
        <is>
          <t>0-12</t>
        </is>
      </c>
      <c r="H3" s="27" t="inlineStr">
        <is>
          <t>Ability to organize various aspects of time, including estimating and allocating time and working within time constraints.</t>
        </is>
      </c>
    </row>
    <row r="4" ht="23.85" customHeight="1" s="17">
      <c r="A4" s="27" t="inlineStr">
        <is>
          <t>ESQ-R</t>
        </is>
      </c>
      <c r="B4" s="27" t="inlineStr">
        <is>
          <t>Executive Skills Questionnaire - Revised (ESQ-R)</t>
        </is>
      </c>
      <c r="C4" s="27" t="inlineStr">
        <is>
          <t>1. Executive functioning and ADHD</t>
        </is>
      </c>
      <c r="D4" s="27" t="inlineStr">
        <is>
          <t>Organization</t>
        </is>
      </c>
      <c r="E4" s="27" t="inlineStr">
        <is>
          <t>3, 8-9</t>
        </is>
      </c>
      <c r="F4" s="28" t="n">
        <v>3</v>
      </c>
      <c r="G4" s="27" t="inlineStr">
        <is>
          <t>0-9</t>
        </is>
      </c>
      <c r="H4" s="27" t="inlineStr">
        <is>
          <t>Ability to create and maintain systems and keep track of information or materials.</t>
        </is>
      </c>
    </row>
    <row r="5" ht="23.85" customHeight="1" s="17">
      <c r="A5" s="27" t="inlineStr">
        <is>
          <t>ESQ-R</t>
        </is>
      </c>
      <c r="B5" s="27" t="inlineStr">
        <is>
          <t>Executive Skills Questionnaire - Revised (ESQ-R)</t>
        </is>
      </c>
      <c r="C5" s="27" t="inlineStr">
        <is>
          <t>1. Executive functioning and ADHD</t>
        </is>
      </c>
      <c r="D5" s="27" t="inlineStr">
        <is>
          <t>Emotional Regulation</t>
        </is>
      </c>
      <c r="E5" s="27" t="inlineStr">
        <is>
          <t>4-5, 21</t>
        </is>
      </c>
      <c r="F5" s="28" t="n">
        <v>3</v>
      </c>
      <c r="G5" s="27" t="inlineStr">
        <is>
          <t>0-9</t>
        </is>
      </c>
      <c r="H5" s="27" t="inlineStr">
        <is>
          <t>Ability to manage emotions to achieve goals, complete tasks, or control and direct behavior.</t>
        </is>
      </c>
    </row>
    <row r="6" ht="23.85" customHeight="1" s="17">
      <c r="A6" s="27" t="inlineStr">
        <is>
          <t>ESQ-R</t>
        </is>
      </c>
      <c r="B6" s="27" t="inlineStr">
        <is>
          <t>Executive Skills Questionnaire - Revised (ESQ-R)</t>
        </is>
      </c>
      <c r="C6" s="27" t="inlineStr">
        <is>
          <t>1. Executive functioning and ADHD</t>
        </is>
      </c>
      <c r="D6" s="27" t="inlineStr">
        <is>
          <t>Behavioral Regulation</t>
        </is>
      </c>
      <c r="E6" s="27" t="inlineStr">
        <is>
          <t>1-2, 19, 25</t>
        </is>
      </c>
      <c r="F6" s="28" t="n">
        <v>4</v>
      </c>
      <c r="G6" s="27" t="inlineStr">
        <is>
          <t>0-12</t>
        </is>
      </c>
      <c r="H6" s="27" t="inlineStr">
        <is>
          <t>Ability to manage behavior (avoid undesirable behaviors, increase desirable behaviors), think before acting or responding, and consider the consequences of actions.</t>
        </is>
      </c>
    </row>
    <row r="7" ht="23.85" customHeight="1" s="17">
      <c r="A7" s="27" t="inlineStr">
        <is>
          <t>CFI</t>
        </is>
      </c>
      <c r="B7" s="27" t="inlineStr">
        <is>
          <t>Cognitive Flexibility Inventory (CFI)</t>
        </is>
      </c>
      <c r="C7" s="27" t="inlineStr">
        <is>
          <t>1. Executive functioning and ADHD</t>
        </is>
      </c>
      <c r="D7" s="27" t="inlineStr">
        <is>
          <t>Alternatives</t>
        </is>
      </c>
      <c r="E7" s="27" t="inlineStr">
        <is>
          <t>1, 3, 5-6, 8, 10, 12-14, 16, 18-20</t>
        </is>
      </c>
      <c r="F7" s="28" t="n">
        <v>13</v>
      </c>
      <c r="G7" s="27" t="inlineStr">
        <is>
          <t>13-91</t>
        </is>
      </c>
      <c r="H7" s="27" t="inlineStr">
        <is>
          <t>Measures the ability to perceive multiple alternative explanations for life occurrences and human behaviour and the ability to generate multiple alternative solutions to difficult situations.</t>
        </is>
      </c>
    </row>
    <row r="8" ht="15" customHeight="1" s="17">
      <c r="A8" s="27" t="inlineStr">
        <is>
          <t>CFI</t>
        </is>
      </c>
      <c r="B8" s="27" t="inlineStr">
        <is>
          <t>Cognitive Flexibility Inventory (CFI)</t>
        </is>
      </c>
      <c r="C8" s="27" t="inlineStr">
        <is>
          <t>1. Executive functioning and ADHD</t>
        </is>
      </c>
      <c r="D8" s="27" t="inlineStr">
        <is>
          <t>Control</t>
        </is>
      </c>
      <c r="E8" s="27" t="inlineStr">
        <is>
          <t>2, 4, 7, 9, 11, 15, 17</t>
        </is>
      </c>
      <c r="F8" s="28" t="n">
        <v>7</v>
      </c>
      <c r="G8" s="27" t="inlineStr">
        <is>
          <t>7-49</t>
        </is>
      </c>
      <c r="H8" s="27" t="inlineStr">
        <is>
          <t>Measures the tendency to perceive difficult situations as controllable.</t>
        </is>
      </c>
    </row>
    <row r="9" ht="23.85" customHeight="1" s="17">
      <c r="A9" s="27" t="inlineStr">
        <is>
          <t>ASRS</t>
        </is>
      </c>
      <c r="B9" s="27" t="inlineStr">
        <is>
          <t>Adult ADHD Self-Report Scale (ASRS v1.1)</t>
        </is>
      </c>
      <c r="C9" s="27" t="inlineStr">
        <is>
          <t>1. Executive functioning and ADHD</t>
        </is>
      </c>
      <c r="D9" s="27" t="inlineStr">
        <is>
          <t>Part A (Criterion / Screener)</t>
        </is>
      </c>
      <c r="E9" s="27" t="inlineStr">
        <is>
          <t>1-6</t>
        </is>
      </c>
      <c r="F9" s="28" t="n">
        <v>6</v>
      </c>
      <c r="G9" s="27" t="inlineStr">
        <is>
          <t>0-24</t>
        </is>
      </c>
      <c r="H9" s="27" t="inlineStr">
        <is>
          <t>The six items most predictive of ADHD diagnosis (Kessler et al., 2007). Summed on the 0-4 Likert metric. Constitutes the six-item ASRS Screener when used alone.</t>
        </is>
      </c>
    </row>
    <row r="10" ht="23.85" customHeight="1" s="17">
      <c r="A10" s="27" t="inlineStr">
        <is>
          <t>ASRS</t>
        </is>
      </c>
      <c r="B10" s="27" t="inlineStr">
        <is>
          <t>Adult ADHD Self-Report Scale (ASRS v1.1)</t>
        </is>
      </c>
      <c r="C10" s="27" t="inlineStr">
        <is>
          <t>1. Executive functioning and ADHD</t>
        </is>
      </c>
      <c r="D10" s="27" t="inlineStr">
        <is>
          <t>Part B (Additional Symptoms)</t>
        </is>
      </c>
      <c r="E10" s="27" t="inlineStr">
        <is>
          <t>7-18</t>
        </is>
      </c>
      <c r="F10" s="28" t="n">
        <v>12</v>
      </c>
      <c r="G10" s="27" t="inlineStr">
        <is>
          <t>0-48</t>
        </is>
      </c>
      <c r="H10" s="27" t="inlineStr">
        <is>
          <t>Twelve additional DSM-based items providing a broader index of symptom severity and further probes into the client's symptoms.</t>
        </is>
      </c>
    </row>
    <row r="11" ht="35.05" customHeight="1" s="17">
      <c r="A11" s="27" t="inlineStr">
        <is>
          <t>ASRS</t>
        </is>
      </c>
      <c r="B11" s="27" t="inlineStr">
        <is>
          <t>Adult ADHD Self-Report Scale (ASRS v1.1)</t>
        </is>
      </c>
      <c r="C11" s="27" t="inlineStr">
        <is>
          <t>1. Executive functioning and ADHD</t>
        </is>
      </c>
      <c r="D11" s="27" t="inlineStr">
        <is>
          <t>Inattentiveness</t>
        </is>
      </c>
      <c r="E11" s="27" t="inlineStr">
        <is>
          <t>1-4, 7-11</t>
        </is>
      </c>
      <c r="F11" s="28" t="n">
        <v>9</v>
      </c>
      <c r="G11" s="27" t="inlineStr">
        <is>
          <t>0-9 (dichotomous symptom count)</t>
        </is>
      </c>
      <c r="H11" s="27" t="inlineStr">
        <is>
          <t>Stanton et al. (2018) factor. Difficulty focussing on details, being organised, remembering appointments, making careless mistakes, and concentrating. Scored using the original dichotomous method (0 or 1 per item) and reported as number and percentage of items endorsed.</t>
        </is>
      </c>
    </row>
    <row r="12" ht="23.85" customHeight="1" s="17">
      <c r="A12" s="27" t="inlineStr">
        <is>
          <t>ASRS</t>
        </is>
      </c>
      <c r="B12" s="27" t="inlineStr">
        <is>
          <t>Adult ADHD Self-Report Scale (ASRS v1.1)</t>
        </is>
      </c>
      <c r="C12" s="27" t="inlineStr">
        <is>
          <t>1. Executive functioning and ADHD</t>
        </is>
      </c>
      <c r="D12" s="27" t="inlineStr">
        <is>
          <t>Hyperactivity/Impulsivity - Motor</t>
        </is>
      </c>
      <c r="E12" s="27" t="inlineStr">
        <is>
          <t>5-6, 12-14</t>
        </is>
      </c>
      <c r="F12" s="28" t="n">
        <v>5</v>
      </c>
      <c r="G12" s="27" t="inlineStr">
        <is>
          <t>0-5 (dichotomous symptom count)</t>
        </is>
      </c>
      <c r="H12" s="27" t="inlineStr">
        <is>
          <t>Stanton et al. (2018) factor. Difficulty sitting still, staying seated, and ability to relax.</t>
        </is>
      </c>
    </row>
    <row r="13" ht="23.85" customHeight="1" s="17">
      <c r="A13" s="27" t="inlineStr">
        <is>
          <t>ASRS</t>
        </is>
      </c>
      <c r="B13" s="27" t="inlineStr">
        <is>
          <t>Adult ADHD Self-Report Scale (ASRS v1.1)</t>
        </is>
      </c>
      <c r="C13" s="27" t="inlineStr">
        <is>
          <t>1. Executive functioning and ADHD</t>
        </is>
      </c>
      <c r="D13" s="27" t="inlineStr">
        <is>
          <t>Hyperactivity/Impulsivity - Verbal</t>
        </is>
      </c>
      <c r="E13" s="27" t="inlineStr">
        <is>
          <t>15-18</t>
        </is>
      </c>
      <c r="F13" s="28" t="n">
        <v>4</v>
      </c>
      <c r="G13" s="27" t="inlineStr">
        <is>
          <t>0-4 (dichotomous symptom count)</t>
        </is>
      </c>
      <c r="H13" s="27" t="inlineStr">
        <is>
          <t>Stanton et al. (2018) factor. Difficulty controlling how much they talk, interrupting others, and waiting their turn.</t>
        </is>
      </c>
    </row>
    <row r="14" ht="23.85" customHeight="1" s="17">
      <c r="A14" s="27" t="inlineStr">
        <is>
          <t>SKS</t>
        </is>
      </c>
      <c r="B14" s="27" t="inlineStr">
        <is>
          <t>Strengths Knowledge Scale</t>
        </is>
      </c>
      <c r="C14" s="27" t="inlineStr">
        <is>
          <t>2. Strengths knowledge, use and support at work</t>
        </is>
      </c>
      <c r="D14" s="27" t="inlineStr">
        <is>
          <t>Strengths Knowledge (total scale)</t>
        </is>
      </c>
      <c r="E14" s="27" t="inlineStr">
        <is>
          <t>1-8</t>
        </is>
      </c>
      <c r="F14" s="28" t="n">
        <v>8</v>
      </c>
      <c r="G14" s="27" t="inlineStr">
        <is>
          <t>8-56</t>
        </is>
      </c>
      <c r="H14" s="27" t="inlineStr">
        <is>
          <t>Single unidimensional factor; all 8 items load on one strengths-knowledge factor.</t>
        </is>
      </c>
    </row>
    <row r="15" ht="23.85" customHeight="1" s="17">
      <c r="A15" s="27" t="inlineStr">
        <is>
          <t>SUS</t>
        </is>
      </c>
      <c r="B15" s="27" t="inlineStr">
        <is>
          <t>Strengths Use Scale</t>
        </is>
      </c>
      <c r="C15" s="27" t="inlineStr">
        <is>
          <t>2. Strengths knowledge, use and support at work</t>
        </is>
      </c>
      <c r="D15" s="27" t="inlineStr">
        <is>
          <t>Strengths Use (total scale)</t>
        </is>
      </c>
      <c r="E15" s="27" t="inlineStr">
        <is>
          <t>1-14</t>
        </is>
      </c>
      <c r="F15" s="28" t="n">
        <v>14</v>
      </c>
      <c r="G15" s="27" t="inlineStr">
        <is>
          <t>14-98</t>
        </is>
      </c>
      <c r="H15" s="27" t="inlineStr">
        <is>
          <t>Single unidimensional factor; all 14 items load on one strengths-use factor.</t>
        </is>
      </c>
    </row>
    <row r="16" ht="23.85" customHeight="1" s="17">
      <c r="A16" s="27" t="inlineStr">
        <is>
          <t>SSES</t>
        </is>
      </c>
      <c r="B16" s="27" t="inlineStr">
        <is>
          <t>Strengths Self-Efficacy Scale</t>
        </is>
      </c>
      <c r="C16" s="27" t="inlineStr">
        <is>
          <t>2. Strengths knowledge, use and support at work</t>
        </is>
      </c>
      <c r="D16" s="27" t="inlineStr">
        <is>
          <t>Strengths Self-Efficacy (total scale)</t>
        </is>
      </c>
      <c r="E16" s="27" t="inlineStr">
        <is>
          <t>1-11</t>
        </is>
      </c>
      <c r="F16" s="28" t="n">
        <v>11</v>
      </c>
      <c r="G16" s="27" t="inlineStr">
        <is>
          <t>11-110</t>
        </is>
      </c>
      <c r="H16" s="27" t="inlineStr">
        <is>
          <t>Single unidimensional factor confirmed by both exploratory and confirmatory factor analysis in the original validation.</t>
        </is>
      </c>
    </row>
    <row r="17" ht="15" customHeight="1" s="17">
      <c r="A17" s="27" t="inlineStr">
        <is>
          <t>CSES</t>
        </is>
      </c>
      <c r="B17" s="27" t="inlineStr">
        <is>
          <t>Core Self-Evaluations Scale</t>
        </is>
      </c>
      <c r="C17" s="27" t="inlineStr">
        <is>
          <t>3. Adjacent occupational and wellbeing</t>
        </is>
      </c>
      <c r="D17" s="27" t="inlineStr">
        <is>
          <t>Core Self-Evaluations (total scale, unidimensional)</t>
        </is>
      </c>
      <c r="E17" s="27" t="inlineStr">
        <is>
          <t>1-12</t>
        </is>
      </c>
      <c r="F17" s="28" t="n">
        <v>12</v>
      </c>
      <c r="G17" s="27" t="inlineStr">
        <is>
          <t>12-60</t>
        </is>
      </c>
      <c r="H17" s="27" t="inlineStr">
        <is>
          <t>Single higher-order factor; the scale is not intended to be broken into separate subscales.</t>
        </is>
      </c>
    </row>
    <row r="18" ht="15" customHeight="1" s="17">
      <c r="A18" s="27" t="inlineStr">
        <is>
          <t>PES</t>
        </is>
      </c>
      <c r="B18" s="27" t="inlineStr">
        <is>
          <t>Psychological Empowerment Scale</t>
        </is>
      </c>
      <c r="C18" s="27" t="inlineStr">
        <is>
          <t>3. Adjacent occupational and wellbeing</t>
        </is>
      </c>
      <c r="D18" s="27" t="inlineStr">
        <is>
          <t>Meaning</t>
        </is>
      </c>
      <c r="E18" s="27" t="inlineStr">
        <is>
          <t>1-3</t>
        </is>
      </c>
      <c r="F18" s="28" t="n">
        <v>3</v>
      </c>
      <c r="G18" s="27" t="inlineStr">
        <is>
          <t>3-21 (mean 1-7)</t>
        </is>
      </c>
      <c r="H18" s="27" t="inlineStr">
        <is>
          <t>The value of a work goal or purpose, judged in relation to the individual's own ideals or standards.</t>
        </is>
      </c>
    </row>
    <row r="19" ht="15" customHeight="1" s="17">
      <c r="A19" s="27" t="inlineStr">
        <is>
          <t>PES</t>
        </is>
      </c>
      <c r="B19" s="27" t="inlineStr">
        <is>
          <t>Psychological Empowerment Scale</t>
        </is>
      </c>
      <c r="C19" s="27" t="inlineStr">
        <is>
          <t>3. Adjacent occupational and wellbeing</t>
        </is>
      </c>
      <c r="D19" s="27" t="inlineStr">
        <is>
          <t>Competence</t>
        </is>
      </c>
      <c r="E19" s="27" t="inlineStr">
        <is>
          <t>4-6</t>
        </is>
      </c>
      <c r="F19" s="28" t="n">
        <v>3</v>
      </c>
      <c r="G19" s="27" t="inlineStr">
        <is>
          <t>3-21 (mean 1-7)</t>
        </is>
      </c>
      <c r="H19" s="27" t="inlineStr">
        <is>
          <t>Self-efficacy specific to one's work, i.e. belief in one's capability to perform activities with skill.</t>
        </is>
      </c>
    </row>
    <row r="20" ht="15" customHeight="1" s="17">
      <c r="A20" s="27" t="inlineStr">
        <is>
          <t>PES</t>
        </is>
      </c>
      <c r="B20" s="27" t="inlineStr">
        <is>
          <t>Psychological Empowerment Scale</t>
        </is>
      </c>
      <c r="C20" s="27" t="inlineStr">
        <is>
          <t>3. Adjacent occupational and wellbeing</t>
        </is>
      </c>
      <c r="D20" s="27" t="inlineStr">
        <is>
          <t>Self-Determination</t>
        </is>
      </c>
      <c r="E20" s="27" t="inlineStr">
        <is>
          <t>7-9</t>
        </is>
      </c>
      <c r="F20" s="28" t="n">
        <v>3</v>
      </c>
      <c r="G20" s="27" t="inlineStr">
        <is>
          <t>3-21 (mean 1-7)</t>
        </is>
      </c>
      <c r="H20" s="27" t="inlineStr">
        <is>
          <t>A sense of choice and autonomy in initiating and regulating one's own actions at work.</t>
        </is>
      </c>
    </row>
    <row r="21" ht="15" customHeight="1" s="17">
      <c r="A21" s="27" t="inlineStr">
        <is>
          <t>PES</t>
        </is>
      </c>
      <c r="B21" s="27" t="inlineStr">
        <is>
          <t>Psychological Empowerment Scale</t>
        </is>
      </c>
      <c r="C21" s="27" t="inlineStr">
        <is>
          <t>3. Adjacent occupational and wellbeing</t>
        </is>
      </c>
      <c r="D21" s="27" t="inlineStr">
        <is>
          <t>Impact</t>
        </is>
      </c>
      <c r="E21" s="27" t="inlineStr">
        <is>
          <t>10-12</t>
        </is>
      </c>
      <c r="F21" s="28" t="n">
        <v>3</v>
      </c>
      <c r="G21" s="27" t="inlineStr">
        <is>
          <t>3-21 (mean 1-7)</t>
        </is>
      </c>
      <c r="H21" s="27" t="inlineStr">
        <is>
          <t>The degree to which a person can influence strategic, administrative or operating outcomes in their work unit.</t>
        </is>
      </c>
    </row>
    <row r="22" ht="23.85" customHeight="1" s="17">
      <c r="A22" s="27" t="inlineStr">
        <is>
          <t>DASS-21</t>
        </is>
      </c>
      <c r="B22" s="27" t="inlineStr">
        <is>
          <t>Depression Anxiety Stress Scales, 21 item version (DASS-21)</t>
        </is>
      </c>
      <c r="C22" s="27" t="inlineStr">
        <is>
          <t>4. Psychological distress screening</t>
        </is>
      </c>
      <c r="D22" s="27" t="inlineStr">
        <is>
          <t>Depression</t>
        </is>
      </c>
      <c r="E22" s="27" t="inlineStr">
        <is>
          <t>3, 5, 10, 13, 16-17, 21</t>
        </is>
      </c>
      <c r="F22" s="28" t="n">
        <v>7</v>
      </c>
      <c r="G22" s="27" t="inlineStr">
        <is>
          <t>0-21 raw; 0-42 after doubling</t>
        </is>
      </c>
      <c r="H22" s="27" t="inlineStr">
        <is>
          <t>Dysphoria, hopelessness, devaluation of life, self deprecation, lack of interest or involvement, anhedonia and inertia.</t>
        </is>
      </c>
    </row>
    <row r="23" ht="23.85" customHeight="1" s="17">
      <c r="A23" s="27" t="inlineStr">
        <is>
          <t>DASS-21</t>
        </is>
      </c>
      <c r="B23" s="27" t="inlineStr">
        <is>
          <t>Depression Anxiety Stress Scales, 21 item version (DASS-21)</t>
        </is>
      </c>
      <c r="C23" s="27" t="inlineStr">
        <is>
          <t>4. Psychological distress screening</t>
        </is>
      </c>
      <c r="D23" s="27" t="inlineStr">
        <is>
          <t>Anxiety</t>
        </is>
      </c>
      <c r="E23" s="27" t="inlineStr">
        <is>
          <t>2, 4, 7, 9, 15, 19-20</t>
        </is>
      </c>
      <c r="F23" s="28" t="n">
        <v>7</v>
      </c>
      <c r="G23" s="27" t="inlineStr">
        <is>
          <t>0-21 raw; 0-42 after doubling</t>
        </is>
      </c>
      <c r="H23" s="27" t="inlineStr">
        <is>
          <t>Autonomic arousal, skeletal muscle effects, situational anxiety and the subjective experience of anxious affect.</t>
        </is>
      </c>
    </row>
    <row r="24" ht="23.85" customHeight="1" s="17">
      <c r="A24" s="27" t="inlineStr">
        <is>
          <t>DASS-21</t>
        </is>
      </c>
      <c r="B24" s="27" t="inlineStr">
        <is>
          <t>Depression Anxiety Stress Scales, 21 item version (DASS-21)</t>
        </is>
      </c>
      <c r="C24" s="27" t="inlineStr">
        <is>
          <t>4. Psychological distress screening</t>
        </is>
      </c>
      <c r="D24" s="27" t="inlineStr">
        <is>
          <t>Stress</t>
        </is>
      </c>
      <c r="E24" s="27" t="inlineStr">
        <is>
          <t>1, 6, 8, 11-12, 14, 18</t>
        </is>
      </c>
      <c r="F24" s="28" t="n">
        <v>7</v>
      </c>
      <c r="G24" s="27" t="inlineStr">
        <is>
          <t>0-21 raw; 0-42 after doubling</t>
        </is>
      </c>
      <c r="H24" s="27" t="inlineStr">
        <is>
          <t>Difficulty relaxing, nervous arousal, and being easily upset or agitated, irritable or over reactive, and impatient.</t>
        </is>
      </c>
    </row>
    <row r="25" ht="23.85" customHeight="1" s="17">
      <c r="A25" s="27" t="inlineStr">
        <is>
          <t>PTQ</t>
        </is>
      </c>
      <c r="B25" s="27" t="inlineStr">
        <is>
          <t>Perseverative Thinking Questionnaire</t>
        </is>
      </c>
      <c r="C25" s="27" t="inlineStr">
        <is>
          <t>5. Repetitive negative thinking and self talk</t>
        </is>
      </c>
      <c r="D25" s="27" t="inlineStr">
        <is>
          <t>Core Characteristics of Repetitive Negative Thinking</t>
        </is>
      </c>
      <c r="E25" s="27" t="inlineStr">
        <is>
          <t>1-3, 6-8, 11-13</t>
        </is>
      </c>
      <c r="F25" s="28" t="n">
        <v>9</v>
      </c>
      <c r="G25" s="27" t="inlineStr">
        <is>
          <t>0-36</t>
        </is>
      </c>
      <c r="H25" s="27" t="inlineStr">
        <is>
          <t>The repetitive, intrusive and recurrent quality of the thinking itself (e.g. thoughts repeating, intruding, feeling driven to continue, getting stuck).</t>
        </is>
      </c>
    </row>
    <row r="26" ht="23.85" customHeight="1" s="17">
      <c r="A26" s="27" t="inlineStr">
        <is>
          <t>PTQ</t>
        </is>
      </c>
      <c r="B26" s="27" t="inlineStr">
        <is>
          <t>Perseverative Thinking Questionnaire</t>
        </is>
      </c>
      <c r="C26" s="27" t="inlineStr">
        <is>
          <t>5. Repetitive negative thinking and self talk</t>
        </is>
      </c>
      <c r="D26" s="27" t="inlineStr">
        <is>
          <t>Unproductiveness</t>
        </is>
      </c>
      <c r="E26" s="27" t="inlineStr">
        <is>
          <t>4, 9, 14</t>
        </is>
      </c>
      <c r="F26" s="28" t="n">
        <v>3</v>
      </c>
      <c r="G26" s="27" t="inlineStr">
        <is>
          <t>0-12</t>
        </is>
      </c>
      <c r="H26" s="27" t="inlineStr">
        <is>
          <t>The perceived lack of resolution or usefulness of the repetitive thinking (e.g. thinking about problems without solving them, asking unanswerable questions).</t>
        </is>
      </c>
    </row>
    <row r="27" ht="23.85" customHeight="1" s="17">
      <c r="A27" s="27" t="inlineStr">
        <is>
          <t>PTQ</t>
        </is>
      </c>
      <c r="B27" s="27" t="inlineStr">
        <is>
          <t>Perseverative Thinking Questionnaire</t>
        </is>
      </c>
      <c r="C27" s="27" t="inlineStr">
        <is>
          <t>5. Repetitive negative thinking and self talk</t>
        </is>
      </c>
      <c r="D27" s="27" t="inlineStr">
        <is>
          <t>Capturing Mental Capacity</t>
        </is>
      </c>
      <c r="E27" s="27" t="inlineStr">
        <is>
          <t>5, 10, 15</t>
        </is>
      </c>
      <c r="F27" s="28" t="n">
        <v>3</v>
      </c>
      <c r="G27" s="27" t="inlineStr">
        <is>
          <t>0-12</t>
        </is>
      </c>
      <c r="H27" s="27" t="inlineStr">
        <is>
          <t>The degree to which the repetitive thinking absorbs attention and interferes with engaging in other things.</t>
        </is>
      </c>
    </row>
    <row r="28" ht="23.85" customHeight="1" s="17">
      <c r="A28" s="27" t="inlineStr">
        <is>
          <t>RRS</t>
        </is>
      </c>
      <c r="B28" s="27" t="inlineStr">
        <is>
          <t>Ruminative Responses Scale</t>
        </is>
      </c>
      <c r="C28" s="27" t="inlineStr">
        <is>
          <t>5. Repetitive negative thinking and self talk</t>
        </is>
      </c>
      <c r="D28" s="27" t="inlineStr">
        <is>
          <t>Brooding</t>
        </is>
      </c>
      <c r="E28" s="27" t="inlineStr">
        <is>
          <t>5, 10, 13, 15-16</t>
        </is>
      </c>
      <c r="F28" s="28" t="n">
        <v>5</v>
      </c>
      <c r="G28" s="27" t="inlineStr">
        <is>
          <t>5-20</t>
        </is>
      </c>
      <c r="H28" s="27" t="inlineStr">
        <is>
          <t>Passive, self-critical comparison of one's current situation against an unachieved standard (Treynor et al., 2003).</t>
        </is>
      </c>
    </row>
    <row r="29" ht="23.85" customHeight="1" s="17">
      <c r="A29" s="27" t="inlineStr">
        <is>
          <t>RRS</t>
        </is>
      </c>
      <c r="B29" s="27" t="inlineStr">
        <is>
          <t>Ruminative Responses Scale</t>
        </is>
      </c>
      <c r="C29" s="27" t="inlineStr">
        <is>
          <t>5. Repetitive negative thinking and self talk</t>
        </is>
      </c>
      <c r="D29" s="27" t="inlineStr">
        <is>
          <t>Reflection</t>
        </is>
      </c>
      <c r="E29" s="27" t="inlineStr">
        <is>
          <t>7, 11-12, 20-21</t>
        </is>
      </c>
      <c r="F29" s="28" t="n">
        <v>5</v>
      </c>
      <c r="G29" s="27" t="inlineStr">
        <is>
          <t>5-20</t>
        </is>
      </c>
      <c r="H29" s="27" t="inlineStr">
        <is>
          <t>Deliberate, purposeful turning inward to analyse and understand one's low mood (Treynor et al., 2003).</t>
        </is>
      </c>
    </row>
    <row r="30" ht="35.05" customHeight="1" s="17">
      <c r="A30" s="27" t="inlineStr">
        <is>
          <t>RRS</t>
        </is>
      </c>
      <c r="B30" s="27" t="inlineStr">
        <is>
          <t>Ruminative Responses Scale</t>
        </is>
      </c>
      <c r="C30" s="27" t="inlineStr">
        <is>
          <t>5. Repetitive negative thinking and self talk</t>
        </is>
      </c>
      <c r="D30" s="27" t="inlineStr">
        <is>
          <t>Depression-related items (not scored as a subscale)</t>
        </is>
      </c>
      <c r="E30" s="27" t="inlineStr">
        <is>
          <t>1-4, 6, 8-9, 14, 17-19, 22</t>
        </is>
      </c>
      <c r="F30" s="28" t="n">
        <v>12</v>
      </c>
      <c r="G30" s="27" t="inlineStr">
        <is>
          <t>12-48</t>
        </is>
      </c>
      <c r="H30" s="27" t="inlineStr">
        <is>
          <t>The remaining 12 of the original 22 items, found by Treynor et al. (2003) to overlap substantially with depressive symptoms rather than forming a distinct rumination-style subscale; they contribute to the full-scale total but are not used in the Brooding or Reflection subscale scores.</t>
        </is>
      </c>
    </row>
    <row r="31" ht="23.85" customHeight="1" s="17">
      <c r="A31" s="27" t="inlineStr">
        <is>
          <t>FSCRS</t>
        </is>
      </c>
      <c r="B31" s="27" t="inlineStr">
        <is>
          <t>Forms of Self-Criticising/Attacking and Self-Reassuring Scale</t>
        </is>
      </c>
      <c r="C31" s="27" t="inlineStr">
        <is>
          <t>5. Repetitive negative thinking and self talk</t>
        </is>
      </c>
      <c r="D31" s="27" t="inlineStr">
        <is>
          <t>Inadequate Self</t>
        </is>
      </c>
      <c r="E31" s="27" t="inlineStr">
        <is>
          <t>1-2, 4, 6-7, 14, 17-18, 20</t>
        </is>
      </c>
      <c r="F31" s="28" t="n">
        <v>9</v>
      </c>
      <c r="G31" s="27" t="inlineStr">
        <is>
          <t>0-36</t>
        </is>
      </c>
      <c r="H31" s="27" t="inlineStr">
        <is>
          <t>Self-criticism experienced as personal deficiency, inadequacy and disappointment in oneself.</t>
        </is>
      </c>
    </row>
    <row r="32" ht="23.85" customHeight="1" s="17">
      <c r="A32" s="27" t="inlineStr">
        <is>
          <t>FSCRS</t>
        </is>
      </c>
      <c r="B32" s="27" t="inlineStr">
        <is>
          <t>Forms of Self-Criticising/Attacking and Self-Reassuring Scale</t>
        </is>
      </c>
      <c r="C32" s="27" t="inlineStr">
        <is>
          <t>5. Repetitive negative thinking and self talk</t>
        </is>
      </c>
      <c r="D32" s="27" t="inlineStr">
        <is>
          <t>Hated Self</t>
        </is>
      </c>
      <c r="E32" s="27" t="inlineStr">
        <is>
          <t>9-10, 12, 15, 22</t>
        </is>
      </c>
      <c r="F32" s="28" t="n">
        <v>5</v>
      </c>
      <c r="G32" s="27" t="inlineStr">
        <is>
          <t>0-20</t>
        </is>
      </c>
      <c r="H32" s="27" t="inlineStr">
        <is>
          <t>A more punitive, disgust-based, hostile form of self-attacking, including a self-harm-adjacent item (item 9). See coaching note below on careful framing.</t>
        </is>
      </c>
    </row>
    <row r="33" ht="23.85" customHeight="1" s="17">
      <c r="A33" s="27" t="inlineStr">
        <is>
          <t>FSCRS</t>
        </is>
      </c>
      <c r="B33" s="27" t="inlineStr">
        <is>
          <t>Forms of Self-Criticising/Attacking and Self-Reassuring Scale</t>
        </is>
      </c>
      <c r="C33" s="27" t="inlineStr">
        <is>
          <t>5. Repetitive negative thinking and self talk</t>
        </is>
      </c>
      <c r="D33" s="27" t="inlineStr">
        <is>
          <t>Reassured Self</t>
        </is>
      </c>
      <c r="E33" s="27" t="inlineStr">
        <is>
          <t>3, 5, 8, 11, 13, 16, 19, 21</t>
        </is>
      </c>
      <c r="F33" s="28" t="n">
        <v>8</v>
      </c>
      <c r="G33" s="27" t="inlineStr">
        <is>
          <t>0-32</t>
        </is>
      </c>
      <c r="H33" s="27" t="inlineStr">
        <is>
          <t>The capacity to be self-supportive, self-forgiving and self-reassuring in the face of setbacks.</t>
        </is>
      </c>
    </row>
    <row r="34" ht="23.85" customHeight="1" s="17">
      <c r="A34" s="27" t="inlineStr">
        <is>
          <t>SCS-SF</t>
        </is>
      </c>
      <c r="B34" s="27" t="inlineStr">
        <is>
          <t>Self-Compassion Scale – Short Form</t>
        </is>
      </c>
      <c r="C34" s="27" t="inlineStr">
        <is>
          <t>5. Repetitive negative thinking and self talk</t>
        </is>
      </c>
      <c r="D34" s="27" t="inlineStr">
        <is>
          <t>Self-Kindness</t>
        </is>
      </c>
      <c r="E34" s="27" t="inlineStr">
        <is>
          <t>2, 6</t>
        </is>
      </c>
      <c r="F34" s="28" t="n">
        <v>2</v>
      </c>
      <c r="G34" s="27" t="inlineStr">
        <is>
          <t>1-5 (mean of 2 items)</t>
        </is>
      </c>
      <c r="H34" s="27" t="inlineStr">
        <is>
          <t>Being understanding, patient and caring toward oneself when facing difficulty or perceived inadequacy.</t>
        </is>
      </c>
    </row>
    <row r="35" ht="23.85" customHeight="1" s="17">
      <c r="A35" s="27" t="inlineStr">
        <is>
          <t>SCS-SF</t>
        </is>
      </c>
      <c r="B35" s="27" t="inlineStr">
        <is>
          <t>Self-Compassion Scale – Short Form</t>
        </is>
      </c>
      <c r="C35" s="27" t="inlineStr">
        <is>
          <t>5. Repetitive negative thinking and self talk</t>
        </is>
      </c>
      <c r="D35" s="27" t="inlineStr">
        <is>
          <t>Self-Judgment</t>
        </is>
      </c>
      <c r="E35" s="27" t="inlineStr">
        <is>
          <t>11-12</t>
        </is>
      </c>
      <c r="F35" s="28" t="n">
        <v>2</v>
      </c>
      <c r="G35" s="27" t="inlineStr">
        <is>
          <t>1-5 (mean of 2 items, reverse scored)</t>
        </is>
      </c>
      <c r="H35" s="27" t="inlineStr">
        <is>
          <t>Being disapproving, intolerant and impatient toward one's own flaws and inadequacies. Both items are reverse scored so that higher scale scores reflect more self-compassion.</t>
        </is>
      </c>
    </row>
    <row r="36" ht="23.85" customHeight="1" s="17">
      <c r="A36" s="27" t="inlineStr">
        <is>
          <t>SCS-SF</t>
        </is>
      </c>
      <c r="B36" s="27" t="inlineStr">
        <is>
          <t>Self-Compassion Scale – Short Form</t>
        </is>
      </c>
      <c r="C36" s="27" t="inlineStr">
        <is>
          <t>5. Repetitive negative thinking and self talk</t>
        </is>
      </c>
      <c r="D36" s="27" t="inlineStr">
        <is>
          <t>Common Humanity</t>
        </is>
      </c>
      <c r="E36" s="27" t="inlineStr">
        <is>
          <t>5, 10</t>
        </is>
      </c>
      <c r="F36" s="28" t="n">
        <v>2</v>
      </c>
      <c r="G36" s="27" t="inlineStr">
        <is>
          <t>1-5 (mean of 2 items)</t>
        </is>
      </c>
      <c r="H36" s="27" t="inlineStr">
        <is>
          <t>Recognising that failure and inadequacy are part of the shared human experience rather than something isolating.</t>
        </is>
      </c>
    </row>
    <row r="37" ht="23.85" customHeight="1" s="17">
      <c r="A37" s="27" t="inlineStr">
        <is>
          <t>SCS-SF</t>
        </is>
      </c>
      <c r="B37" s="27" t="inlineStr">
        <is>
          <t>Self-Compassion Scale – Short Form</t>
        </is>
      </c>
      <c r="C37" s="27" t="inlineStr">
        <is>
          <t>5. Repetitive negative thinking and self talk</t>
        </is>
      </c>
      <c r="D37" s="27" t="inlineStr">
        <is>
          <t>Isolation</t>
        </is>
      </c>
      <c r="E37" s="27" t="inlineStr">
        <is>
          <t>4, 8</t>
        </is>
      </c>
      <c r="F37" s="28" t="n">
        <v>2</v>
      </c>
      <c r="G37" s="27" t="inlineStr">
        <is>
          <t>1-5 (mean of 2 items, reverse scored)</t>
        </is>
      </c>
      <c r="H37" s="27" t="inlineStr">
        <is>
          <t>Feeling cut off and alone in one's failures rather than connected to others. Both items are reverse scored so that higher scale scores reflect more self-compassion.</t>
        </is>
      </c>
    </row>
    <row r="38" ht="23.85" customHeight="1" s="17">
      <c r="A38" s="27" t="inlineStr">
        <is>
          <t>SCS-SF</t>
        </is>
      </c>
      <c r="B38" s="27" t="inlineStr">
        <is>
          <t>Self-Compassion Scale – Short Form</t>
        </is>
      </c>
      <c r="C38" s="27" t="inlineStr">
        <is>
          <t>5. Repetitive negative thinking and self talk</t>
        </is>
      </c>
      <c r="D38" s="27" t="inlineStr">
        <is>
          <t>Mindfulness</t>
        </is>
      </c>
      <c r="E38" s="27" t="inlineStr">
        <is>
          <t>3, 7</t>
        </is>
      </c>
      <c r="F38" s="28" t="n">
        <v>2</v>
      </c>
      <c r="G38" s="27" t="inlineStr">
        <is>
          <t>1-5 (mean of 2 items)</t>
        </is>
      </c>
      <c r="H38" s="27" t="inlineStr">
        <is>
          <t>Holding painful thoughts and feelings in balanced awareness rather than suppressing or exaggerating them.</t>
        </is>
      </c>
    </row>
    <row r="39" ht="23.85" customHeight="1" s="17">
      <c r="A39" s="27" t="inlineStr">
        <is>
          <t>SCS-SF</t>
        </is>
      </c>
      <c r="B39" s="27" t="inlineStr">
        <is>
          <t>Self-Compassion Scale – Short Form</t>
        </is>
      </c>
      <c r="C39" s="27" t="inlineStr">
        <is>
          <t>5. Repetitive negative thinking and self talk</t>
        </is>
      </c>
      <c r="D39" s="27" t="inlineStr">
        <is>
          <t>Over-Identification</t>
        </is>
      </c>
      <c r="E39" s="27" t="inlineStr">
        <is>
          <t>1, 9</t>
        </is>
      </c>
      <c r="F39" s="28" t="n">
        <v>2</v>
      </c>
      <c r="G39" s="27" t="inlineStr">
        <is>
          <t>1-5 (mean of 2 items, reverse scored)</t>
        </is>
      </c>
      <c r="H39" s="27" t="inlineStr">
        <is>
          <t>Becoming consumed by and fixated on one's negative thoughts and feelings rather than holding them with perspective. Both items are reverse scored so that higher scale scores reflect more self-compassion.</t>
        </is>
      </c>
    </row>
    <row r="40" ht="23.85" customHeight="1" s="17">
      <c r="A40" s="27" t="inlineStr">
        <is>
          <t>BPNSFS</t>
        </is>
      </c>
      <c r="B40" s="27" t="inlineStr">
        <is>
          <t>Basic Psychological Need Satisfaction and Frustration Scale (BPNSFS)</t>
        </is>
      </c>
      <c r="C40" s="27" t="inlineStr">
        <is>
          <t>6. Motivation, self determination and goal pursuit</t>
        </is>
      </c>
      <c r="D40" s="27" t="inlineStr">
        <is>
          <t>Autonomy satisfaction</t>
        </is>
      </c>
      <c r="E40" s="27" t="inlineStr">
        <is>
          <t>1, 7, 13, 19</t>
        </is>
      </c>
      <c r="F40" s="28" t="n">
        <v>4</v>
      </c>
      <c r="G40" s="27" t="inlineStr">
        <is>
          <t>4-20</t>
        </is>
      </c>
      <c r="H40" s="27" t="inlineStr">
        <is>
          <t>Feeling one's actions and choices are self-endorsed and reflect one's own volition.</t>
        </is>
      </c>
    </row>
    <row r="41" ht="23.85" customHeight="1" s="17">
      <c r="A41" s="27" t="inlineStr">
        <is>
          <t>BPNSFS</t>
        </is>
      </c>
      <c r="B41" s="27" t="inlineStr">
        <is>
          <t>Basic Psychological Need Satisfaction and Frustration Scale (BPNSFS)</t>
        </is>
      </c>
      <c r="C41" s="27" t="inlineStr">
        <is>
          <t>6. Motivation, self determination and goal pursuit</t>
        </is>
      </c>
      <c r="D41" s="27" t="inlineStr">
        <is>
          <t>Autonomy frustration</t>
        </is>
      </c>
      <c r="E41" s="27" t="inlineStr">
        <is>
          <t>2, 8, 14, 20</t>
        </is>
      </c>
      <c r="F41" s="28" t="n">
        <v>4</v>
      </c>
      <c r="G41" s="27" t="inlineStr">
        <is>
          <t>4-20</t>
        </is>
      </c>
      <c r="H41" s="27" t="inlineStr">
        <is>
          <t>Feeling pressured or forced into actions that are not one's own choice.</t>
        </is>
      </c>
    </row>
    <row r="42" ht="23.85" customHeight="1" s="17">
      <c r="A42" s="27" t="inlineStr">
        <is>
          <t>BPNSFS</t>
        </is>
      </c>
      <c r="B42" s="27" t="inlineStr">
        <is>
          <t>Basic Psychological Need Satisfaction and Frustration Scale (BPNSFS)</t>
        </is>
      </c>
      <c r="C42" s="27" t="inlineStr">
        <is>
          <t>6. Motivation, self determination and goal pursuit</t>
        </is>
      </c>
      <c r="D42" s="27" t="inlineStr">
        <is>
          <t>Relatedness satisfaction</t>
        </is>
      </c>
      <c r="E42" s="27" t="inlineStr">
        <is>
          <t>3, 9, 15, 21</t>
        </is>
      </c>
      <c r="F42" s="28" t="n">
        <v>4</v>
      </c>
      <c r="G42" s="27" t="inlineStr">
        <is>
          <t>4-20</t>
        </is>
      </c>
      <c r="H42" s="27" t="inlineStr">
        <is>
          <t>Feeling cared for, close to, and connected with significant others.</t>
        </is>
      </c>
    </row>
    <row r="43" ht="23.85" customHeight="1" s="17">
      <c r="A43" s="27" t="inlineStr">
        <is>
          <t>BPNSFS</t>
        </is>
      </c>
      <c r="B43" s="27" t="inlineStr">
        <is>
          <t>Basic Psychological Need Satisfaction and Frustration Scale (BPNSFS)</t>
        </is>
      </c>
      <c r="C43" s="27" t="inlineStr">
        <is>
          <t>6. Motivation, self determination and goal pursuit</t>
        </is>
      </c>
      <c r="D43" s="27" t="inlineStr">
        <is>
          <t>Relatedness frustration</t>
        </is>
      </c>
      <c r="E43" s="27" t="inlineStr">
        <is>
          <t>4, 10, 16, 22</t>
        </is>
      </c>
      <c r="F43" s="28" t="n">
        <v>4</v>
      </c>
      <c r="G43" s="27" t="inlineStr">
        <is>
          <t>4-20</t>
        </is>
      </c>
      <c r="H43" s="27" t="inlineStr">
        <is>
          <t>Feeling excluded, disliked, or that relationships are cold, distant or superficial.</t>
        </is>
      </c>
    </row>
    <row r="44" ht="23.85" customHeight="1" s="17">
      <c r="A44" s="27" t="inlineStr">
        <is>
          <t>BPNSFS</t>
        </is>
      </c>
      <c r="B44" s="27" t="inlineStr">
        <is>
          <t>Basic Psychological Need Satisfaction and Frustration Scale (BPNSFS)</t>
        </is>
      </c>
      <c r="C44" s="27" t="inlineStr">
        <is>
          <t>6. Motivation, self determination and goal pursuit</t>
        </is>
      </c>
      <c r="D44" s="27" t="inlineStr">
        <is>
          <t>Competence satisfaction</t>
        </is>
      </c>
      <c r="E44" s="27" t="inlineStr">
        <is>
          <t>5, 11, 17, 23</t>
        </is>
      </c>
      <c r="F44" s="28" t="n">
        <v>4</v>
      </c>
      <c r="G44" s="27" t="inlineStr">
        <is>
          <t>4-20</t>
        </is>
      </c>
      <c r="H44" s="27" t="inlineStr">
        <is>
          <t>Feeling capable and effective in one's activities and able to master challenges.</t>
        </is>
      </c>
    </row>
    <row r="45" ht="23.85" customHeight="1" s="17">
      <c r="A45" s="27" t="inlineStr">
        <is>
          <t>BPNSFS</t>
        </is>
      </c>
      <c r="B45" s="27" t="inlineStr">
        <is>
          <t>Basic Psychological Need Satisfaction and Frustration Scale (BPNSFS)</t>
        </is>
      </c>
      <c r="C45" s="27" t="inlineStr">
        <is>
          <t>6. Motivation, self determination and goal pursuit</t>
        </is>
      </c>
      <c r="D45" s="27" t="inlineStr">
        <is>
          <t>Competence frustration</t>
        </is>
      </c>
      <c r="E45" s="27" t="inlineStr">
        <is>
          <t>6, 12, 18, 24</t>
        </is>
      </c>
      <c r="F45" s="28" t="n">
        <v>4</v>
      </c>
      <c r="G45" s="27" t="inlineStr">
        <is>
          <t>4-20</t>
        </is>
      </c>
      <c r="H45" s="27" t="inlineStr">
        <is>
          <t>Feeling like a failure, insecure or doubtful about one's abilities and performance.</t>
        </is>
      </c>
    </row>
    <row r="46" ht="35.05" customHeight="1" s="17">
      <c r="A46" s="27" t="inlineStr">
        <is>
          <t>PPS</t>
        </is>
      </c>
      <c r="B46" s="27" t="inlineStr">
        <is>
          <t>Pure Procrastination Scale</t>
        </is>
      </c>
      <c r="C46" s="27" t="inlineStr">
        <is>
          <t>6. Motivation, self determination and goal pursuit</t>
        </is>
      </c>
      <c r="D46" s="27" t="inlineStr">
        <is>
          <t>Pure Procrastination (total scale)</t>
        </is>
      </c>
      <c r="E46" s="27" t="inlineStr">
        <is>
          <t>1-12</t>
        </is>
      </c>
      <c r="F46" s="28" t="n">
        <v>12</v>
      </c>
      <c r="G46" s="27" t="inlineStr">
        <is>
          <t>12-60</t>
        </is>
      </c>
      <c r="H46" s="27" t="inlineStr">
        <is>
          <t>Single unidimensional factor; no subscales are scored separately, though items are drawn from three source scales (Decisional Procrastination Scale items 1-3, General Procrastination Scale items 4-8, Adult Inventory of Procrastination items 9-12) as noted in Table 1 of the source article.</t>
        </is>
      </c>
    </row>
    <row r="47" ht="23.85" customHeight="1" s="17">
      <c r="A47" s="27" t="inlineStr">
        <is>
          <t>IPS</t>
        </is>
      </c>
      <c r="B47" s="27" t="inlineStr">
        <is>
          <t>Irrational Procrastination Scale</t>
        </is>
      </c>
      <c r="C47" s="27" t="inlineStr">
        <is>
          <t>6. Motivation, self determination and goal pursuit</t>
        </is>
      </c>
      <c r="D47" s="27" t="inlineStr">
        <is>
          <t>Irrational Procrastination (total scale)</t>
        </is>
      </c>
      <c r="E47" s="27" t="inlineStr">
        <is>
          <t>1-9</t>
        </is>
      </c>
      <c r="F47" s="28" t="n">
        <v>9</v>
      </c>
      <c r="G47" s="27" t="inlineStr">
        <is>
          <t>9-45</t>
        </is>
      </c>
      <c r="H47" s="27" t="inlineStr">
        <is>
          <t>Single unidimensional factor. Table 1 of the source article marks items 2, 6 and 9 with '(R)', denoting reverse-scored items, exactly as stated in the source: '(R) denoted items are reversed scored.'</t>
        </is>
      </c>
    </row>
    <row r="48" ht="23.85" customHeight="1" s="17">
      <c r="A48" s="27" t="inlineStr">
        <is>
          <t>GSE</t>
        </is>
      </c>
      <c r="B48" s="27" t="inlineStr">
        <is>
          <t>General Self-Efficacy Scale</t>
        </is>
      </c>
      <c r="C48" s="27" t="inlineStr">
        <is>
          <t>6. Motivation, self determination and goal pursuit</t>
        </is>
      </c>
      <c r="D48" s="27" t="inlineStr">
        <is>
          <t>General Self-Efficacy (total scale)</t>
        </is>
      </c>
      <c r="E48" s="27" t="inlineStr">
        <is>
          <t>1-10</t>
        </is>
      </c>
      <c r="F48" s="28" t="n">
        <v>10</v>
      </c>
      <c r="G48" s="27" t="inlineStr">
        <is>
          <t>10-40</t>
        </is>
      </c>
      <c r="H48" s="27" t="inlineStr">
        <is>
          <t>Single unidimensional factor, as stated on the official page: the scale is unidimensional.</t>
        </is>
      </c>
    </row>
    <row r="49" ht="23.85" customHeight="1" s="17">
      <c r="A49" s="27" t="inlineStr">
        <is>
          <t>GCS</t>
        </is>
      </c>
      <c r="B49" s="27" t="inlineStr">
        <is>
          <t>Goal Commitment Scale (5-item unidimensional version)</t>
        </is>
      </c>
      <c r="C49" s="27" t="inlineStr">
        <is>
          <t>6. Motivation, self determination and goal pursuit</t>
        </is>
      </c>
      <c r="D49" s="27" t="inlineStr">
        <is>
          <t>Goal Commitment</t>
        </is>
      </c>
      <c r="E49" s="27" t="inlineStr">
        <is>
          <t>1-5</t>
        </is>
      </c>
      <c r="F49" s="28" t="n">
        <v>5</v>
      </c>
      <c r="G49" s="27" t="inlineStr">
        <is>
          <t>5-25 (sum) or 1-5 (mean) on a 5 point scale</t>
        </is>
      </c>
      <c r="H49" s="27" t="inlineStr">
        <is>
          <t>Unidimensional commitment to a specific goal the respondent has named.</t>
        </is>
      </c>
    </row>
    <row r="50" ht="35.05" customHeight="1" s="17">
      <c r="A50" s="27" t="inlineStr">
        <is>
          <t>GADJ</t>
        </is>
      </c>
      <c r="B50" s="27" t="inlineStr">
        <is>
          <t>Goal Adjustment Scale</t>
        </is>
      </c>
      <c r="C50" s="27" t="inlineStr">
        <is>
          <t>6. Motivation, self determination and goal pursuit</t>
        </is>
      </c>
      <c r="D50" s="27" t="inlineStr">
        <is>
          <t>Goal Disengagement</t>
        </is>
      </c>
      <c r="E50" s="27" t="inlineStr">
        <is>
          <t>1-4</t>
        </is>
      </c>
      <c r="F50" s="28" t="n">
        <v>4</v>
      </c>
      <c r="G50" s="27" t="inlineStr">
        <is>
          <t>4-20 (sum) or 1-5 (mean)</t>
        </is>
      </c>
      <c r="H50" s="27" t="inlineStr">
        <is>
          <t>4 items measuring the ability to reduce effort and commitment toward, and stop thinking about, a goal that can no longer be reached. Items 2 and 3 are reverse-scored before summing/averaging, since they are worded in the direction of persistence rather than disengagement.</t>
        </is>
      </c>
    </row>
    <row r="51" ht="23.85" customHeight="1" s="17">
      <c r="A51" s="27" t="inlineStr">
        <is>
          <t>GADJ</t>
        </is>
      </c>
      <c r="B51" s="27" t="inlineStr">
        <is>
          <t>Goal Adjustment Scale</t>
        </is>
      </c>
      <c r="C51" s="27" t="inlineStr">
        <is>
          <t>6. Motivation, self determination and goal pursuit</t>
        </is>
      </c>
      <c r="D51" s="27" t="inlineStr">
        <is>
          <t>Goal Reengagement</t>
        </is>
      </c>
      <c r="E51" s="27" t="inlineStr">
        <is>
          <t>5-10</t>
        </is>
      </c>
      <c r="F51" s="28" t="n">
        <v>6</v>
      </c>
      <c r="G51" s="27" t="inlineStr">
        <is>
          <t>6-30 (sum) or 1-5 (mean)</t>
        </is>
      </c>
      <c r="H51" s="27" t="inlineStr">
        <is>
          <t>6 items measuring the ability to identify, commit to, and start pursuing new goals after disengaging from an old one. No items in this subscale are reverse-scored.</t>
        </is>
      </c>
    </row>
    <row r="52">
      <c r="A52" s="16" t="inlineStr">
        <is>
          <t>PCI</t>
        </is>
      </c>
      <c r="B52" s="16" t="inlineStr">
        <is>
          <t>Perfectionism Cognitions Inventory</t>
        </is>
      </c>
      <c r="C52" s="16" t="inlineStr">
        <is>
          <t>5. Repetitive negative thinking and self talk</t>
        </is>
      </c>
      <c r="D52" s="16" t="inlineStr">
        <is>
          <t>Perfectionism Cognitions (total scale)</t>
        </is>
      </c>
      <c r="E52" s="16" t="inlineStr">
        <is>
          <t>1-25</t>
        </is>
      </c>
      <c r="F52" s="16" t="n">
        <v>25</v>
      </c>
      <c r="G52" s="16" t="inlineStr">
        <is>
          <t>0-100</t>
        </is>
      </c>
      <c r="H52" s="16" t="inlineStr">
        <is>
          <t>Single total score; higher means more frequent perfectionistic thoughts. Row added for the hub.</t>
        </is>
      </c>
    </row>
  </sheetData>
  <autoFilter ref="A1:H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14" customWidth="1" style="16" min="4" max="4"/>
    <col width="126" customWidth="1" style="16" min="5" max="5"/>
  </cols>
  <sheetData>
    <row r="1" ht="30" customHeight="1" s="17">
      <c r="A1" s="25" t="inlineStr">
        <is>
          <t>Code</t>
        </is>
      </c>
      <c r="B1" s="25" t="inlineStr">
        <is>
          <t>Instrument Name</t>
        </is>
      </c>
      <c r="C1" s="25" t="inlineStr">
        <is>
          <t>Domain</t>
        </is>
      </c>
      <c r="D1" s="25" t="inlineStr">
        <is>
          <t>Type</t>
        </is>
      </c>
      <c r="E1" s="25" t="inlineStr">
        <is>
          <t>Citation (APA 7)</t>
        </is>
      </c>
    </row>
    <row r="2" ht="35.05" customHeight="1" s="17">
      <c r="A2" s="27" t="inlineStr">
        <is>
          <t>ESQ-R</t>
        </is>
      </c>
      <c r="B2" s="27" t="inlineStr">
        <is>
          <t>Executive Skills Questionnaire - Revised (ESQ-R)</t>
        </is>
      </c>
      <c r="C2" s="27" t="inlineStr">
        <is>
          <t>1. Executive functioning and ADHD</t>
        </is>
      </c>
      <c r="D2" s="27" t="inlineStr">
        <is>
          <t>Developer</t>
        </is>
      </c>
      <c r="E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3" ht="23.85" customHeight="1" s="17">
      <c r="A3" s="27" t="inlineStr">
        <is>
          <t>ESQ-R</t>
        </is>
      </c>
      <c r="B3" s="27" t="inlineStr">
        <is>
          <t>Executive Skills Questionnaire - Revised (ESQ-R)</t>
        </is>
      </c>
      <c r="C3" s="27" t="inlineStr">
        <is>
          <t>1. Executive functioning and ADHD</t>
        </is>
      </c>
      <c r="D3" s="27" t="inlineStr">
        <is>
          <t>Reference</t>
        </is>
      </c>
      <c r="E3" s="27" t="inlineStr">
        <is>
          <t>Strait, J. E., Dawson, P., Walther, C. A. P., Strait, G. G., Barton, A. K., &amp; McClain, M. B. (2020). Refinement and psychometric evaluation of the Executive Skills Questionnaire-Revised. Contemporary School Psychology, 24, 378-388. https://doi.org/10.1007/s40688-018-00224-x</t>
        </is>
      </c>
    </row>
    <row r="4" ht="23.85" customHeight="1" s="17">
      <c r="A4" s="27" t="inlineStr">
        <is>
          <t>ESQ-R</t>
        </is>
      </c>
      <c r="B4" s="27" t="inlineStr">
        <is>
          <t>Executive Skills Questionnaire - Revised (ESQ-R)</t>
        </is>
      </c>
      <c r="C4" s="27" t="inlineStr">
        <is>
          <t>1. Executive functioning and ADHD</t>
        </is>
      </c>
      <c r="D4" s="27" t="inlineStr">
        <is>
          <t>Reference</t>
        </is>
      </c>
      <c r="E4" s="27" t="inlineStr">
        <is>
          <t>Aksayli, N. D., Sala, G., &amp; Gobet, F. (2019). The cognitive and academic benefits of Cogmed: A meta-analysis. Educational Research Review, 27, 229-243. https://doi.org/10.1016/j.edurev.2019.04.003</t>
        </is>
      </c>
    </row>
    <row r="5" ht="23.85" customHeight="1" s="17">
      <c r="A5" s="27" t="inlineStr">
        <is>
          <t>ESQ-R</t>
        </is>
      </c>
      <c r="B5" s="27" t="inlineStr">
        <is>
          <t>Executive Skills Questionnaire - Revised (ESQ-R)</t>
        </is>
      </c>
      <c r="C5" s="27" t="inlineStr">
        <is>
          <t>1. Executive functioning and ADHD</t>
        </is>
      </c>
      <c r="D5" s="27" t="inlineStr">
        <is>
          <t>Reference</t>
        </is>
      </c>
      <c r="E5" s="27" t="inlineStr">
        <is>
          <t>Craig, F., Margari, F., Legrottaglie, A. R., Palumbi, R., de Giambattista, C., &amp; Margari, L. (2016). A review of executive function deficits in autism spectrum disorder and attention-deficit/hyperactivity disorder. Neuropsychiatric Disease and Treatment, 12, 1191-1202. https://doi.org/10.2147/NDT.S104620</t>
        </is>
      </c>
    </row>
    <row r="6" ht="23.85" customHeight="1" s="17">
      <c r="A6" s="27" t="inlineStr">
        <is>
          <t>ESQ-R</t>
        </is>
      </c>
      <c r="B6" s="27" t="inlineStr">
        <is>
          <t>Executive Skills Questionnaire - Revised (ESQ-R)</t>
        </is>
      </c>
      <c r="C6" s="27" t="inlineStr">
        <is>
          <t>1. Executive functioning and ADHD</t>
        </is>
      </c>
      <c r="D6" s="27" t="inlineStr">
        <is>
          <t>Reference</t>
        </is>
      </c>
      <c r="E6" s="27" t="inlineStr">
        <is>
          <t>Dawson, P., &amp; Guare, R. (2018). Executive skills in children and adolescents: A practical guide to assessment and intervention (3rd ed.). The Guilford Press.</t>
        </is>
      </c>
    </row>
    <row r="7" ht="23.85" customHeight="1" s="17">
      <c r="A7" s="27" t="inlineStr">
        <is>
          <t>ESQ-R</t>
        </is>
      </c>
      <c r="B7" s="27" t="inlineStr">
        <is>
          <t>Executive Skills Questionnaire - Revised (ESQ-R)</t>
        </is>
      </c>
      <c r="C7" s="27" t="inlineStr">
        <is>
          <t>1. Executive functioning and ADHD</t>
        </is>
      </c>
      <c r="D7" s="27" t="inlineStr">
        <is>
          <t>Reference</t>
        </is>
      </c>
      <c r="E7" s="27" t="inlineStr">
        <is>
          <t>Miyake, A., Friedman, N. P., Emerson, M. J., Witzki, A. H., Howerter, A., &amp; Wager, T. D. (2000). The unity and diversity of executive functions and their contributions to complex 'frontal lobe' tasks: A latent variable analysis. Cognitive Psychology, 41, 49-100. https://doi.org/10.1006/cogp.1999.0734</t>
        </is>
      </c>
    </row>
    <row r="8" ht="23.85" customHeight="1" s="17">
      <c r="A8" s="27" t="inlineStr">
        <is>
          <t>ESQ-R</t>
        </is>
      </c>
      <c r="B8" s="27" t="inlineStr">
        <is>
          <t>Executive Skills Questionnaire - Revised (ESQ-R)</t>
        </is>
      </c>
      <c r="C8" s="27" t="inlineStr">
        <is>
          <t>1. Executive functioning and ADHD</t>
        </is>
      </c>
      <c r="D8" s="27" t="inlineStr">
        <is>
          <t>Reference</t>
        </is>
      </c>
      <c r="E8" s="27" t="inlineStr">
        <is>
          <t>Nasir, H., Tan, C. S., &amp; Pheh, K. S. (2021). The Executive Skills Questionnaire-Revised: Adaptation and psychometric properties in the working context of Malaysia. International Journal of Environmental Research and Public Health, 18(17), 8978. https://doi.org/10.3390/ijerph18178978</t>
        </is>
      </c>
    </row>
    <row r="9" ht="23.85" customHeight="1" s="17">
      <c r="A9" s="27" t="inlineStr">
        <is>
          <t>CFI</t>
        </is>
      </c>
      <c r="B9" s="27" t="inlineStr">
        <is>
          <t>Cognitive Flexibility Inventory (CFI)</t>
        </is>
      </c>
      <c r="C9" s="27" t="inlineStr">
        <is>
          <t>1. Executive functioning and ADHD</t>
        </is>
      </c>
      <c r="D9" s="27" t="inlineStr">
        <is>
          <t>Developer</t>
        </is>
      </c>
      <c r="E9" s="27" t="inlineStr">
        <is>
          <t>Dennis, J. P., &amp; Vander Wal, J. S. (2010). The cognitive flexibility inventory: Instrument development and estimates of reliability and validity. Cognitive Therapy and Research, 34(3), 241-253. https://doi.org/10.1007/s10608-009-9276-4</t>
        </is>
      </c>
    </row>
    <row r="10" ht="23.85" customHeight="1" s="17">
      <c r="A10" s="27" t="inlineStr">
        <is>
          <t>CFI</t>
        </is>
      </c>
      <c r="B10" s="27" t="inlineStr">
        <is>
          <t>Cognitive Flexibility Inventory (CFI)</t>
        </is>
      </c>
      <c r="C10" s="27" t="inlineStr">
        <is>
          <t>1. Executive functioning and ADHD</t>
        </is>
      </c>
      <c r="D10" s="27" t="inlineStr">
        <is>
          <t>Reference</t>
        </is>
      </c>
      <c r="E10" s="27" t="inlineStr">
        <is>
          <t>Johnco, C., Wuthrich, V. M., &amp; Rapee, R. M. (2014). Reliability and validity of two self-report measures of cognitive flexibility. Psychological Assessment, 26(4), 1381-1387. https://doi.org/10.1037/a0038009</t>
        </is>
      </c>
    </row>
    <row r="11" ht="35.05" customHeight="1" s="17">
      <c r="A11" s="27" t="inlineStr">
        <is>
          <t>ASRS</t>
        </is>
      </c>
      <c r="B11" s="27" t="inlineStr">
        <is>
          <t>Adult ADHD Self-Report Scale (ASRS v1.1)</t>
        </is>
      </c>
      <c r="C11" s="27" t="inlineStr">
        <is>
          <t>1. Executive functioning and ADHD</t>
        </is>
      </c>
      <c r="D11" s="27" t="inlineStr">
        <is>
          <t>Developer</t>
        </is>
      </c>
      <c r="E11"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12" ht="35.05" customHeight="1" s="17">
      <c r="A12" s="27" t="inlineStr">
        <is>
          <t>ASRS</t>
        </is>
      </c>
      <c r="B12" s="27" t="inlineStr">
        <is>
          <t>Adult ADHD Self-Report Scale (ASRS v1.1)</t>
        </is>
      </c>
      <c r="C12" s="27" t="inlineStr">
        <is>
          <t>1. Executive functioning and ADHD</t>
        </is>
      </c>
      <c r="D12" s="27" t="inlineStr">
        <is>
          <t>Reference</t>
        </is>
      </c>
      <c r="E12" s="27" t="inlineStr">
        <is>
          <t>Adler, L. A., Faraone, S. V., Sarocco, P., Atkins, N., &amp; Khachatryan, A. (2019). Establishing US norms for the Adult ADHD Self-Report Scale (ASRS-v1.1) and characterising symptom burden among adults with self-reported ADHD. International Journal of Clinical Practice, 73(1), e13260. https://doi.org/10.1111/ijcp.13260</t>
        </is>
      </c>
    </row>
    <row r="13" ht="23.85" customHeight="1" s="17">
      <c r="A13" s="27" t="inlineStr">
        <is>
          <t>ASRS</t>
        </is>
      </c>
      <c r="B13" s="27" t="inlineStr">
        <is>
          <t>Adult ADHD Self-Report Scale (ASRS v1.1)</t>
        </is>
      </c>
      <c r="C13" s="27" t="inlineStr">
        <is>
          <t>1. Executive functioning and ADHD</t>
        </is>
      </c>
      <c r="D13" s="27" t="inlineStr">
        <is>
          <t>Reference</t>
        </is>
      </c>
      <c r="E13" s="27" t="inlineStr">
        <is>
          <t>Adler, L. A., Spencer, T., Faraone, S. V., Kessler, R. C., Howes, M. J., Biederman, J., &amp; Secnik, K. (2006). Validity of pilot Adult ADHD Self-Report Scale (ASRS) to Rate Adult ADHD symptoms. Annals of Clinical Psychiatry, 18(3), 145-148. https://doi.org/10.1080/10401230600801077</t>
        </is>
      </c>
    </row>
    <row r="14" ht="23.85" customHeight="1" s="17">
      <c r="A14" s="27" t="inlineStr">
        <is>
          <t>ASRS</t>
        </is>
      </c>
      <c r="B14" s="27" t="inlineStr">
        <is>
          <t>Adult ADHD Self-Report Scale (ASRS v1.1)</t>
        </is>
      </c>
      <c r="C14" s="27" t="inlineStr">
        <is>
          <t>1. Executive functioning and ADHD</t>
        </is>
      </c>
      <c r="D14" s="27" t="inlineStr">
        <is>
          <t>Reference</t>
        </is>
      </c>
      <c r="E14" s="27" t="inlineStr">
        <is>
          <t>Alarachi, A., Merrifield, C., Rowa, K., &amp; McCabe, R. E. (2024). Are we measuring ADHD or anxiety? Examining the factor structure and discriminant validity of the Adult ADHD Self-Report Scale in an adult anxiety disorder population. Assessment, 31(7), 1508-1524. https://doi.org/10.1177/10731911231225190</t>
        </is>
      </c>
    </row>
    <row r="15" ht="35.05" customHeight="1" s="17">
      <c r="A15" s="27" t="inlineStr">
        <is>
          <t>ASRS</t>
        </is>
      </c>
      <c r="B15" s="27" t="inlineStr">
        <is>
          <t>Adult ADHD Self-Report Scale (ASRS v1.1)</t>
        </is>
      </c>
      <c r="C15" s="27" t="inlineStr">
        <is>
          <t>1. Executive functioning and ADHD</t>
        </is>
      </c>
      <c r="D15" s="27" t="inlineStr">
        <is>
          <t>Reference</t>
        </is>
      </c>
      <c r="E15" s="27" t="inlineStr">
        <is>
          <t>Brevik, E. J., Lundervold, A. J., Haavik, J., &amp; Posserud, M. B. (2020). Validity and accuracy of the Adult ADHD Self-Report Scale (ASRS) and the Wender Utah Rating Scale (WURS) symptom checklists in discriminating between adults with and without ADHD. Brain and Behavior, 10(6), e01605. https://doi.org/10.1002/brb3.1605</t>
        </is>
      </c>
    </row>
    <row r="16" ht="23.85" customHeight="1" s="17">
      <c r="A16" s="27" t="inlineStr">
        <is>
          <t>ASRS</t>
        </is>
      </c>
      <c r="B16" s="27" t="inlineStr">
        <is>
          <t>Adult ADHD Self-Report Scale (ASRS v1.1)</t>
        </is>
      </c>
      <c r="C16" s="27" t="inlineStr">
        <is>
          <t>1. Executive functioning and ADHD</t>
        </is>
      </c>
      <c r="D16" s="27" t="inlineStr">
        <is>
          <t>Reference</t>
        </is>
      </c>
      <c r="E16" s="27" t="inlineStr">
        <is>
          <t>Harvard Medical School. (2024, February 28). ASRS v1.1 screener (6Q) scoring update [PDF]. https://www.hcp.med.harvard.edu/ncs/ftpdir/adhd/ASRS_v1.1_screener(6Q)_scoring_update.pdf</t>
        </is>
      </c>
    </row>
    <row r="17" ht="23.85" customHeight="1" s="17">
      <c r="A17" s="27" t="inlineStr">
        <is>
          <t>ASRS</t>
        </is>
      </c>
      <c r="B17" s="27" t="inlineStr">
        <is>
          <t>Adult ADHD Self-Report Scale (ASRS v1.1)</t>
        </is>
      </c>
      <c r="C17" s="27" t="inlineStr">
        <is>
          <t>1. Executive functioning and ADHD</t>
        </is>
      </c>
      <c r="D17" s="27" t="inlineStr">
        <is>
          <t>Reference</t>
        </is>
      </c>
      <c r="E17" s="27" t="inlineStr">
        <is>
          <t>Hines, J. L., King, T. S., &amp; Curry, W. J. (2012). The Adult ADHD Self-Report Scale for screening for adult attention deficit-hyperactivity disorder (ADHD). Journal of the American Board of Family Medicine, 25(6), 847-853. https://doi.org/10.3122/jabfm.2012.06.120065</t>
        </is>
      </c>
    </row>
    <row r="18" ht="35.05" customHeight="1" s="17">
      <c r="A18" s="27" t="inlineStr">
        <is>
          <t>ASRS</t>
        </is>
      </c>
      <c r="B18" s="27" t="inlineStr">
        <is>
          <t>Adult ADHD Self-Report Scale (ASRS v1.1)</t>
        </is>
      </c>
      <c r="C18" s="27" t="inlineStr">
        <is>
          <t>1. Executive functioning and ADHD</t>
        </is>
      </c>
      <c r="D18" s="27" t="inlineStr">
        <is>
          <t>Reference</t>
        </is>
      </c>
      <c r="E18" s="27" t="inlineStr">
        <is>
          <t>Kessler, R. C., Adler, L. A., Gruber, M. J., Sarawate, C. A., Spencer, T., &amp; Van Brunt, D. L. (2007). Validity of the World Health Organization Adult ADHD Self-Report Scale (ASRS) Screener in a representative sample of health plan members. International Journal of Methods in Psychiatric Research, 16(2), 52-65. https://doi.org/10.1002/mpr.208</t>
        </is>
      </c>
    </row>
    <row r="19" ht="23.85" customHeight="1" s="17">
      <c r="A19" s="27" t="inlineStr">
        <is>
          <t>ASRS</t>
        </is>
      </c>
      <c r="B19" s="27" t="inlineStr">
        <is>
          <t>Adult ADHD Self-Report Scale (ASRS v1.1)</t>
        </is>
      </c>
      <c r="C19" s="27" t="inlineStr">
        <is>
          <t>1. Executive functioning and ADHD</t>
        </is>
      </c>
      <c r="D19" s="27" t="inlineStr">
        <is>
          <t>Reference</t>
        </is>
      </c>
      <c r="E19" s="27" t="inlineStr">
        <is>
          <t>Stanton, K., Forbes, M. K., &amp; Zimmerman, M. (2018). Distinct dimensions defining the Adult ADHD Self-Report Scale: Implications for assessing inattentive and hyperactive/impulsive symptoms. Psychological Assessment, 30(12), 1549-1559. https://doi.org/10.1037/pas0000604</t>
        </is>
      </c>
    </row>
    <row r="20" ht="23.85" customHeight="1" s="17">
      <c r="A20" s="27" t="inlineStr">
        <is>
          <t>SKS</t>
        </is>
      </c>
      <c r="B20" s="27" t="inlineStr">
        <is>
          <t>Strengths Knowledge Scale</t>
        </is>
      </c>
      <c r="C20" s="27" t="inlineStr">
        <is>
          <t>2. Strengths knowledge, use and support at work</t>
        </is>
      </c>
      <c r="D20" s="27" t="inlineStr">
        <is>
          <t>Developer</t>
        </is>
      </c>
      <c r="E20" s="27" t="inlineStr">
        <is>
          <t>Govindji, R., &amp; Linley, P. A. (2007). Strengths use, self-concordance and well-being: Implications for strengths coaching and coaching psychologists. International Coaching Psychology Review, 2(2), 143-153.</t>
        </is>
      </c>
    </row>
    <row r="21" ht="23.85" customHeight="1" s="17">
      <c r="A21" s="27" t="inlineStr">
        <is>
          <t>SKS</t>
        </is>
      </c>
      <c r="B21" s="27" t="inlineStr">
        <is>
          <t>Strengths Knowledge Scale</t>
        </is>
      </c>
      <c r="C21" s="27" t="inlineStr">
        <is>
          <t>2. Strengths knowledge, use and support at work</t>
        </is>
      </c>
      <c r="D21" s="27" t="inlineStr">
        <is>
          <t>Reference</t>
        </is>
      </c>
      <c r="E21" s="27" t="inlineStr">
        <is>
          <t>Duan, W., Li, J., &amp; Mu, W. (2018). Psychometric characteristics of Strengths Knowledge Scale and Strengths Use Scale among adolescents. Journal of Psychoeducational Assessment, 36(1), 41-54. https://journals.sagepub.com/doi/10.1177/0734282917705593</t>
        </is>
      </c>
    </row>
    <row r="22" ht="23.85" customHeight="1" s="17">
      <c r="A22" s="27" t="inlineStr">
        <is>
          <t>SKS</t>
        </is>
      </c>
      <c r="B22" s="27" t="inlineStr">
        <is>
          <t>Strengths Knowledge Scale</t>
        </is>
      </c>
      <c r="C22" s="27" t="inlineStr">
        <is>
          <t>2. Strengths knowledge, use and support at work</t>
        </is>
      </c>
      <c r="D22" s="27" t="inlineStr">
        <is>
          <t>Reference</t>
        </is>
      </c>
      <c r="E22"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3" ht="23.85" customHeight="1" s="17">
      <c r="A23" s="27" t="inlineStr">
        <is>
          <t>SKS</t>
        </is>
      </c>
      <c r="B23" s="27" t="inlineStr">
        <is>
          <t>Strengths Knowledge Scale</t>
        </is>
      </c>
      <c r="C23" s="27" t="inlineStr">
        <is>
          <t>2. Strengths knowledge, use and support at work</t>
        </is>
      </c>
      <c r="D23" s="27" t="inlineStr">
        <is>
          <t>Reference</t>
        </is>
      </c>
      <c r="E23" s="27" t="inlineStr">
        <is>
          <t>Psychological Scales &amp; Instruments Database entry, Strengths Use and Current Knowledge Scale (SUCK). https://db.arabpsychology.com/scales/strengths-use-and-current-knowledge-scale-suck/</t>
        </is>
      </c>
    </row>
    <row r="24" ht="23.85" customHeight="1" s="17">
      <c r="A24" s="27" t="inlineStr">
        <is>
          <t>SUS</t>
        </is>
      </c>
      <c r="B24" s="27" t="inlineStr">
        <is>
          <t>Strengths Use Scale</t>
        </is>
      </c>
      <c r="C24" s="27" t="inlineStr">
        <is>
          <t>2. Strengths knowledge, use and support at work</t>
        </is>
      </c>
      <c r="D24" s="27" t="inlineStr">
        <is>
          <t>Developer</t>
        </is>
      </c>
      <c r="E24" s="27" t="inlineStr">
        <is>
          <t>Govindji, R., &amp; Linley, P. A. (2007). Strengths use, self-concordance and well-being: Implications for strengths coaching and coaching psychologists. International Coaching Psychology Review, 2(2), 143-153.</t>
        </is>
      </c>
    </row>
    <row r="25" ht="23.85" customHeight="1" s="17">
      <c r="A25" s="27" t="inlineStr">
        <is>
          <t>SUS</t>
        </is>
      </c>
      <c r="B25" s="27" t="inlineStr">
        <is>
          <t>Strengths Use Scale</t>
        </is>
      </c>
      <c r="C25" s="27" t="inlineStr">
        <is>
          <t>2. Strengths knowledge, use and support at work</t>
        </is>
      </c>
      <c r="D25" s="27" t="inlineStr">
        <is>
          <t>Reference</t>
        </is>
      </c>
      <c r="E25" s="27" t="inlineStr">
        <is>
          <t>Duan, W., Li, J., &amp; Mu, W. (2018). Psychometric characteristics of Strengths Knowledge Scale and Strengths Use Scale among adolescents. Journal of Psychoeducational Assessment, 36(1), 41-54. https://journals.sagepub.com/doi/10.1177/0734282917705593</t>
        </is>
      </c>
    </row>
    <row r="26" ht="23.85" customHeight="1" s="17">
      <c r="A26" s="27" t="inlineStr">
        <is>
          <t>SUS</t>
        </is>
      </c>
      <c r="B26" s="27" t="inlineStr">
        <is>
          <t>Strengths Use Scale</t>
        </is>
      </c>
      <c r="C26" s="27" t="inlineStr">
        <is>
          <t>2. Strengths knowledge, use and support at work</t>
        </is>
      </c>
      <c r="D26" s="27" t="inlineStr">
        <is>
          <t>Reference</t>
        </is>
      </c>
      <c r="E26"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7" ht="23.85" customHeight="1" s="17">
      <c r="A27" s="27" t="inlineStr">
        <is>
          <t>SUS</t>
        </is>
      </c>
      <c r="B27" s="27" t="inlineStr">
        <is>
          <t>Strengths Use Scale</t>
        </is>
      </c>
      <c r="C27" s="27" t="inlineStr">
        <is>
          <t>2. Strengths knowledge, use and support at work</t>
        </is>
      </c>
      <c r="D27" s="27" t="inlineStr">
        <is>
          <t>Reference</t>
        </is>
      </c>
      <c r="E27" s="27" t="inlineStr">
        <is>
          <t>Psychological Scales &amp; Instruments Database entry, Strengths Use and Current Knowledge Scale (SUCK). https://db.arabpsychology.com/scales/strengths-use-and-current-knowledge-scale-suck/</t>
        </is>
      </c>
    </row>
    <row r="28" ht="23.85" customHeight="1" s="17">
      <c r="A28" s="27" t="inlineStr">
        <is>
          <t>SSES</t>
        </is>
      </c>
      <c r="B28" s="27" t="inlineStr">
        <is>
          <t>Strengths Self-Efficacy Scale</t>
        </is>
      </c>
      <c r="C28" s="27" t="inlineStr">
        <is>
          <t>2. Strengths knowledge, use and support at work</t>
        </is>
      </c>
      <c r="D28" s="27" t="inlineStr">
        <is>
          <t>Developer</t>
        </is>
      </c>
      <c r="E28" s="27" t="inlineStr">
        <is>
          <t>Tsai, C.-L., Chaichanasakul, A., Zhao, R., Flores, L. Y., &amp; Lopez, S. J. (2014). Development and validation of the Strengths Self-Efficacy Scale (SSES). Journal of Career Assessment, 22(2), 221-232. https://doi.org/10.1177/1069072713493761</t>
        </is>
      </c>
    </row>
    <row r="29" ht="23.85" customHeight="1" s="17">
      <c r="A29" s="27" t="inlineStr">
        <is>
          <t>SSES</t>
        </is>
      </c>
      <c r="B29" s="27" t="inlineStr">
        <is>
          <t>Strengths Self-Efficacy Scale</t>
        </is>
      </c>
      <c r="C29" s="27" t="inlineStr">
        <is>
          <t>2. Strengths knowledge, use and support at work</t>
        </is>
      </c>
      <c r="D29" s="27" t="inlineStr">
        <is>
          <t>Reference</t>
        </is>
      </c>
      <c r="E29" s="27" t="inlineStr">
        <is>
          <t>SAGE Journals abstract, Development and Validation of the Strengths Self-Efficacy Scale (SSES). https://journals.sagepub.com/doi/abs/10.1177/1069072713493761</t>
        </is>
      </c>
    </row>
    <row r="30" ht="23.85" customHeight="1" s="17">
      <c r="A30" s="27" t="inlineStr">
        <is>
          <t>SSES</t>
        </is>
      </c>
      <c r="B30" s="27" t="inlineStr">
        <is>
          <t>Strengths Self-Efficacy Scale</t>
        </is>
      </c>
      <c r="C30" s="27" t="inlineStr">
        <is>
          <t>2. Strengths knowledge, use and support at work</t>
        </is>
      </c>
      <c r="D30" s="27" t="inlineStr">
        <is>
          <t>Reference</t>
        </is>
      </c>
      <c r="E30" s="27" t="inlineStr">
        <is>
          <t>PositivePsychology.com, The Strengths Self-Efficacy Scale (free downloadable PDF reproduction of the instrument). https://positivepsychology.com/wp-content/uploads/The-Strengths-Self-efficacy-Scale.pdf</t>
        </is>
      </c>
    </row>
    <row r="31" ht="23.85" customHeight="1" s="17">
      <c r="A31" s="27" t="inlineStr">
        <is>
          <t>SSES</t>
        </is>
      </c>
      <c r="B31" s="27" t="inlineStr">
        <is>
          <t>Strengths Self-Efficacy Scale</t>
        </is>
      </c>
      <c r="C31" s="27" t="inlineStr">
        <is>
          <t>2. Strengths knowledge, use and support at work</t>
        </is>
      </c>
      <c r="D31" s="27" t="inlineStr">
        <is>
          <t>Reference</t>
        </is>
      </c>
      <c r="E31" s="27" t="inlineStr">
        <is>
          <t>Academia.edu reproduction, Strengths Self-Efficacy Scale. https://www.academia.edu/100623230/Strengths_Self_Efficacy_Scale</t>
        </is>
      </c>
    </row>
    <row r="32" ht="23.85" customHeight="1" s="17">
      <c r="A32" s="27" t="inlineStr">
        <is>
          <t>CSES</t>
        </is>
      </c>
      <c r="B32" s="27" t="inlineStr">
        <is>
          <t>Core Self-Evaluations Scale</t>
        </is>
      </c>
      <c r="C32" s="27" t="inlineStr">
        <is>
          <t>3. Adjacent occupational and wellbeing</t>
        </is>
      </c>
      <c r="D32" s="27" t="inlineStr">
        <is>
          <t>Developer</t>
        </is>
      </c>
      <c r="E32" s="27" t="inlineStr">
        <is>
          <t>Judge, T. A., Erez, A., Bono, J. E., &amp; Thoresen, C. J. (2003). The Core Self-Evaluations Scale: Development of a measure. Personnel Psychology, 56(2), 303-331. https://doi.org/10.1111/j.1744-6570.2003.tb00152.x</t>
        </is>
      </c>
    </row>
    <row r="33" ht="15" customHeight="1" s="17">
      <c r="A33" s="27" t="inlineStr">
        <is>
          <t>CSES</t>
        </is>
      </c>
      <c r="B33" s="27" t="inlineStr">
        <is>
          <t>Core Self-Evaluations Scale</t>
        </is>
      </c>
      <c r="C33" s="27" t="inlineStr">
        <is>
          <t>3. Adjacent occupational and wellbeing</t>
        </is>
      </c>
      <c r="D33" s="27" t="inlineStr">
        <is>
          <t>Reference</t>
        </is>
      </c>
      <c r="E33" s="27" t="inlineStr">
        <is>
          <t>Open-access reproduction of the CSES item table and scoring (fetched for this record). http://ionilies.com/SIOP03/Files/CSES.pdf</t>
        </is>
      </c>
    </row>
    <row r="34" ht="23.85" customHeight="1" s="17">
      <c r="A34" s="27" t="inlineStr">
        <is>
          <t>PES</t>
        </is>
      </c>
      <c r="B34" s="27" t="inlineStr">
        <is>
          <t>Psychological Empowerment Scale</t>
        </is>
      </c>
      <c r="C34" s="27" t="inlineStr">
        <is>
          <t>3. Adjacent occupational and wellbeing</t>
        </is>
      </c>
      <c r="D34" s="27" t="inlineStr">
        <is>
          <t>Developer</t>
        </is>
      </c>
      <c r="E34" s="27" t="inlineStr">
        <is>
          <t>Spreitzer, G. M. (1995). Psychological empowerment in the workplace: Dimensions, measurement, and validation. Academy of Management Journal, 38(5), 1442-1465. https://doi.org/10.2307/256865</t>
        </is>
      </c>
    </row>
    <row r="35" ht="23.85" customHeight="1" s="17">
      <c r="A35" s="27" t="inlineStr">
        <is>
          <t>PES</t>
        </is>
      </c>
      <c r="B35" s="27" t="inlineStr">
        <is>
          <t>Psychological Empowerment Scale</t>
        </is>
      </c>
      <c r="C35" s="27" t="inlineStr">
        <is>
          <t>3. Adjacent occupational and wellbeing</t>
        </is>
      </c>
      <c r="D35" s="27" t="inlineStr">
        <is>
          <t>Reference</t>
        </is>
      </c>
      <c r="E35" s="27" t="inlineStr">
        <is>
          <t>Spreitzer, G. M. Psychological Empowerment Instrument (official instrument page, fetched for this record). https://webuser.bus.umich.edu/spreitze/Pdfs/EmpowerInstrument.pdf</t>
        </is>
      </c>
    </row>
    <row r="36" ht="23.85" customHeight="1" s="17">
      <c r="A36" s="27" t="inlineStr">
        <is>
          <t>DASS-21</t>
        </is>
      </c>
      <c r="B36" s="27" t="inlineStr">
        <is>
          <t>Depression Anxiety Stress Scales, 21 item version (DASS-21)</t>
        </is>
      </c>
      <c r="C36" s="27" t="inlineStr">
        <is>
          <t>4. Psychological distress screening</t>
        </is>
      </c>
      <c r="D36" s="27" t="inlineStr">
        <is>
          <t>Developer</t>
        </is>
      </c>
      <c r="E36" s="27" t="inlineStr">
        <is>
          <t>Lovibond, S. H., &amp; Lovibond, P. F. (1995). Manual for the Depression Anxiety Stress Scales (2nd ed.). Sydney: Psychology Foundation of Australia.</t>
        </is>
      </c>
    </row>
    <row r="37" ht="35.05" customHeight="1" s="17">
      <c r="A37" s="27" t="inlineStr">
        <is>
          <t>DASS-21</t>
        </is>
      </c>
      <c r="B37" s="27" t="inlineStr">
        <is>
          <t>Depression Anxiety Stress Scales, 21 item version (DASS-21)</t>
        </is>
      </c>
      <c r="C37" s="27" t="inlineStr">
        <is>
          <t>4. Psychological distress screening</t>
        </is>
      </c>
      <c r="D37" s="27" t="inlineStr">
        <is>
          <t>Reference</t>
        </is>
      </c>
      <c r="E37" s="27" t="inlineStr">
        <is>
          <t>Antony, M. M., Bieling, P. J., Cox, B. J., Enns, M. W., &amp; Swinson, R. P. (1998). Psychometric properties of the 42-item and 21-item versions of the Depression Anxiety Stress Scales in clinical groups and a community sample. Psychological Assessment, 10(2), 176-181. https://doi.org/10.1037/1040-3590.10.2.176</t>
        </is>
      </c>
    </row>
    <row r="38" ht="23.85" customHeight="1" s="17">
      <c r="A38" s="27" t="inlineStr">
        <is>
          <t>DASS-21</t>
        </is>
      </c>
      <c r="B38" s="27" t="inlineStr">
        <is>
          <t>Depression Anxiety Stress Scales, 21 item version (DASS-21)</t>
        </is>
      </c>
      <c r="C38" s="27" t="inlineStr">
        <is>
          <t>4. Psychological distress screening</t>
        </is>
      </c>
      <c r="D38" s="27" t="inlineStr">
        <is>
          <t>Reference</t>
        </is>
      </c>
      <c r="E38" s="27" t="inlineStr">
        <is>
          <t>Brown, T. A., Chorpita, B. F., Korotitsch, W., &amp; Barlow, D. H. (1997). Psychometric properties of the Depression Anxiety Stress Scales (DASS) in clinical samples. Behaviour Research and Therapy, 35(1), 79-89. https://doi.org/10.1016/s0005-7967(96)00068-x</t>
        </is>
      </c>
    </row>
    <row r="39" ht="23.85" customHeight="1" s="17">
      <c r="A39" s="27" t="inlineStr">
        <is>
          <t>DASS-21</t>
        </is>
      </c>
      <c r="B39" s="27" t="inlineStr">
        <is>
          <t>Depression Anxiety Stress Scales, 21 item version (DASS-21)</t>
        </is>
      </c>
      <c r="C39" s="27" t="inlineStr">
        <is>
          <t>4. Psychological distress screening</t>
        </is>
      </c>
      <c r="D39" s="27" t="inlineStr">
        <is>
          <t>Reference</t>
        </is>
      </c>
      <c r="E39" s="27" t="inlineStr">
        <is>
          <t>Henry, J. D., &amp; Crawford, J. R. (2005). The short-form version of the Depression Anxiety Stress Scales (DASS-21): Construct validity and normative data in a large non-clinical sample. British Journal of Clinical Psychology, 44(2), 227-239. https://doi.org/10.1348/014466505X29657</t>
        </is>
      </c>
    </row>
    <row r="40" ht="23.85" customHeight="1" s="17">
      <c r="A40" s="27" t="inlineStr">
        <is>
          <t>DASS-21</t>
        </is>
      </c>
      <c r="B40" s="27" t="inlineStr">
        <is>
          <t>Depression Anxiety Stress Scales, 21 item version (DASS-21)</t>
        </is>
      </c>
      <c r="C40" s="27" t="inlineStr">
        <is>
          <t>4. Psychological distress screening</t>
        </is>
      </c>
      <c r="D40" s="27" t="inlineStr">
        <is>
          <t>Reference</t>
        </is>
      </c>
      <c r="E40" s="27" t="inlineStr">
        <is>
          <t>Lovibond, P. F., &amp; Lovibond, S. H. (1995). The structure of negative emotional states: Comparison of the Depression Anxiety Stress Scales (DASS) with the Beck Depression and Anxiety Inventories. Behaviour Research and Therapy, 33(3), 335-343. https://doi.org/10.1016/0005-7967(94)00075-U</t>
        </is>
      </c>
    </row>
    <row r="41" ht="23.85" customHeight="1" s="17">
      <c r="A41" s="27" t="inlineStr">
        <is>
          <t>DASS-21</t>
        </is>
      </c>
      <c r="B41" s="27" t="inlineStr">
        <is>
          <t>Depression Anxiety Stress Scales, 21 item version (DASS-21)</t>
        </is>
      </c>
      <c r="C41" s="27" t="inlineStr">
        <is>
          <t>4. Psychological distress screening</t>
        </is>
      </c>
      <c r="D41" s="27" t="inlineStr">
        <is>
          <t>Reference</t>
        </is>
      </c>
      <c r="E41" s="27" t="inlineStr">
        <is>
          <t>University of New South Wales, School of Psychology. (n.d.). DASS: Depression Anxiety Stress Scales. https://www2.psy.unsw.edu.au/dass/</t>
        </is>
      </c>
    </row>
    <row r="42" ht="35.05" customHeight="1" s="17">
      <c r="A42" s="27" t="inlineStr">
        <is>
          <t>PTQ</t>
        </is>
      </c>
      <c r="B42" s="27" t="inlineStr">
        <is>
          <t>Perseverative Thinking Questionnaire</t>
        </is>
      </c>
      <c r="C42" s="27" t="inlineStr">
        <is>
          <t>5. Repetitive negative thinking and self talk</t>
        </is>
      </c>
      <c r="D42" s="27" t="inlineStr">
        <is>
          <t>Developer</t>
        </is>
      </c>
      <c r="E42"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43" ht="23.85" customHeight="1" s="17">
      <c r="A43" s="27" t="inlineStr">
        <is>
          <t>RRS</t>
        </is>
      </c>
      <c r="B43" s="27" t="inlineStr">
        <is>
          <t>Ruminative Responses Scale</t>
        </is>
      </c>
      <c r="C43" s="27" t="inlineStr">
        <is>
          <t>5. Repetitive negative thinking and self talk</t>
        </is>
      </c>
      <c r="D43" s="27" t="inlineStr">
        <is>
          <t>Developer</t>
        </is>
      </c>
      <c r="E43"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44" ht="23.85" customHeight="1" s="17">
      <c r="A44" s="27" t="inlineStr">
        <is>
          <t>RRS</t>
        </is>
      </c>
      <c r="B44" s="27" t="inlineStr">
        <is>
          <t>Ruminative Responses Scale</t>
        </is>
      </c>
      <c r="C44" s="27" t="inlineStr">
        <is>
          <t>5. Repetitive negative thinking and self talk</t>
        </is>
      </c>
      <c r="D44" s="27" t="inlineStr">
        <is>
          <t>Reference</t>
        </is>
      </c>
      <c r="E44" s="27" t="inlineStr">
        <is>
          <t>Treynor, W., Gonzalez, R., &amp; Nolen-Hoeksema, S. (2003). Rumination reconsidered: A psychometric analysis. Cognitive Therapy and Research, 27(3), 247–259. https://doi.org/10.1023/A:1023910315561</t>
        </is>
      </c>
    </row>
    <row r="45" ht="23.85" customHeight="1" s="17">
      <c r="A45" s="27" t="inlineStr">
        <is>
          <t>FSCRS</t>
        </is>
      </c>
      <c r="B45" s="27" t="inlineStr">
        <is>
          <t>Forms of Self-Criticising/Attacking and Self-Reassuring Scale</t>
        </is>
      </c>
      <c r="C45" s="27" t="inlineStr">
        <is>
          <t>5. Repetitive negative thinking and self talk</t>
        </is>
      </c>
      <c r="D45" s="27" t="inlineStr">
        <is>
          <t>Developer</t>
        </is>
      </c>
      <c r="E45" s="27" t="inlineStr">
        <is>
          <t>Gilbert, P., Clarke, M., Hempel, S., Miles, J. N. V., &amp; Irons, C. (2004). Criticizing and reassuring oneself: An exploration of forms, styles and reasons in female students. British Journal of Clinical Psychology, 43(1), 31–50. https://doi.org/10.1348/014466504772812959</t>
        </is>
      </c>
    </row>
    <row r="46" ht="23.85" customHeight="1" s="17">
      <c r="A46" s="27" t="inlineStr">
        <is>
          <t>PCI</t>
        </is>
      </c>
      <c r="B46" s="27" t="inlineStr">
        <is>
          <t>Perfectionism Cognitions Inventory</t>
        </is>
      </c>
      <c r="C46" s="27" t="inlineStr">
        <is>
          <t>5. Repetitive negative thinking and self talk</t>
        </is>
      </c>
      <c r="D46" s="27" t="inlineStr">
        <is>
          <t>Developer</t>
        </is>
      </c>
      <c r="E46" s="27" t="inlineStr">
        <is>
          <t>Flett, G. L., Hewitt, P. L., Blankstein, K. R., &amp; Gray, L. (1998). Psychological distress and the frequency of perfectionistic thinking. Journal of Personality and Social Psychology, 75(5), 1363–1381. https://doi.org/10.1037/0022-3514.75.5.1363</t>
        </is>
      </c>
    </row>
    <row r="47" ht="23.85" customHeight="1" s="17">
      <c r="A47" s="27" t="inlineStr">
        <is>
          <t>SCS-SF</t>
        </is>
      </c>
      <c r="B47" s="27" t="inlineStr">
        <is>
          <t>Self-Compassion Scale – Short Form</t>
        </is>
      </c>
      <c r="C47" s="27" t="inlineStr">
        <is>
          <t>5. Repetitive negative thinking and self talk</t>
        </is>
      </c>
      <c r="D47" s="27" t="inlineStr">
        <is>
          <t>Developer</t>
        </is>
      </c>
      <c r="E47" s="27" t="inlineStr">
        <is>
          <t>Raes, F., Pommier, E., Neff, K. D., &amp; Van Gucht, D. (2011). Construction and factorial validation of a short form of the Self-Compassion Scale. Clinical Psychology &amp; Psychotherapy, 18(3), 250–255. https://doi.org/10.1002/cpp.702</t>
        </is>
      </c>
    </row>
    <row r="48" ht="23.85" customHeight="1" s="17">
      <c r="A48" s="27" t="inlineStr">
        <is>
          <t>SCS-SF</t>
        </is>
      </c>
      <c r="B48" s="27" t="inlineStr">
        <is>
          <t>Self-Compassion Scale – Short Form</t>
        </is>
      </c>
      <c r="C48" s="27" t="inlineStr">
        <is>
          <t>5. Repetitive negative thinking and self talk</t>
        </is>
      </c>
      <c r="D48" s="27" t="inlineStr">
        <is>
          <t>Reference</t>
        </is>
      </c>
      <c r="E48" s="27" t="inlineStr">
        <is>
          <t>Hayes, J. A., Lockard, A. J., Janis, R. A., &amp; Locke, B. D. (2016). Construct validity of the Self-Compassion Scale-Short Form among psychotherapy clients. Counselling Psychology Quarterly, 29(4), 405–422. https://doi.org/10.1080/09515070.2015.1084179</t>
        </is>
      </c>
    </row>
    <row r="49" ht="35.05" customHeight="1" s="17">
      <c r="A49" s="27" t="inlineStr">
        <is>
          <t>BPNSFS</t>
        </is>
      </c>
      <c r="B49" s="27" t="inlineStr">
        <is>
          <t>Basic Psychological Need Satisfaction and Frustration Scale (BPNSFS)</t>
        </is>
      </c>
      <c r="C49" s="27" t="inlineStr">
        <is>
          <t>6. Motivation, self determination and goal pursuit</t>
        </is>
      </c>
      <c r="D49" s="27" t="inlineStr">
        <is>
          <t>Developer</t>
        </is>
      </c>
      <c r="E49"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50" ht="23.85" customHeight="1" s="17">
      <c r="A50" s="27" t="inlineStr">
        <is>
          <t>BPNSFS</t>
        </is>
      </c>
      <c r="B50" s="27" t="inlineStr">
        <is>
          <t>Basic Psychological Need Satisfaction and Frustration Scale (BPNSFS)</t>
        </is>
      </c>
      <c r="C50" s="27" t="inlineStr">
        <is>
          <t>6. Motivation, self determination and goal pursuit</t>
        </is>
      </c>
      <c r="D50" s="27" t="inlineStr">
        <is>
          <t>Reference</t>
        </is>
      </c>
      <c r="E50" s="27" t="inlineStr">
        <is>
          <t>Center for Self-Determination Theory. (n.d.). Basic Psychological Need Satisfaction and Frustration Scale (BPNSFS). Self-Determination Theory. Retrieved September 26, 2026, from https://selfdeterminationtheory.org/basic-psychological-need-satisfaction-and-frustration-scale/</t>
        </is>
      </c>
    </row>
    <row r="51" ht="23.85" customHeight="1" s="17">
      <c r="A51" s="27" t="inlineStr">
        <is>
          <t>BPNSFS</t>
        </is>
      </c>
      <c r="B51" s="27" t="inlineStr">
        <is>
          <t>Basic Psychological Need Satisfaction and Frustration Scale (BPNSFS)</t>
        </is>
      </c>
      <c r="C51" s="27" t="inlineStr">
        <is>
          <t>6. Motivation, self determination and goal pursuit</t>
        </is>
      </c>
      <c r="D51" s="27" t="inlineStr">
        <is>
          <t>Reference</t>
        </is>
      </c>
      <c r="E51" s="27" t="inlineStr">
        <is>
          <t>Center for Self-Determination Theory. (n.d.). Questionnaires. Self-Determination Theory. Retrieved September 26, 2026, from https://selfdeterminationtheory.org/questionnaires/</t>
        </is>
      </c>
    </row>
    <row r="52" ht="23.85" customHeight="1" s="17">
      <c r="A52" s="27" t="inlineStr">
        <is>
          <t>PPS</t>
        </is>
      </c>
      <c r="B52" s="27" t="inlineStr">
        <is>
          <t>Pure Procrastination Scale</t>
        </is>
      </c>
      <c r="C52" s="27" t="inlineStr">
        <is>
          <t>6. Motivation, self determination and goal pursuit</t>
        </is>
      </c>
      <c r="D52" s="27" t="inlineStr">
        <is>
          <t>Developer</t>
        </is>
      </c>
      <c r="E52" s="27" t="inlineStr">
        <is>
          <t>Svartdal, F., &amp; Steel, P. (2017). Irrational delay revisited: Examining five procrastination scales in a global sample. Frontiers in Psychology, 8, 1927. https://doi.org/10.3389/fpsyg.2017.01927</t>
        </is>
      </c>
    </row>
    <row r="53" ht="23.85" customHeight="1" s="17">
      <c r="A53" s="27" t="inlineStr">
        <is>
          <t>PPS</t>
        </is>
      </c>
      <c r="B53" s="27" t="inlineStr">
        <is>
          <t>Pure Procrastination Scale</t>
        </is>
      </c>
      <c r="C53" s="27" t="inlineStr">
        <is>
          <t>6. Motivation, self determination and goal pursuit</t>
        </is>
      </c>
      <c r="D53" s="27" t="inlineStr">
        <is>
          <t>Reference</t>
        </is>
      </c>
      <c r="E53" s="27" t="inlineStr">
        <is>
          <t>Steel, P. (2010). Arousal, avoidant and decisional procrastinators: Do they exist? Personality and Individual Differences, 48(8), 926-934. https://doi.org/10.1016/j.paid.2010.02.025</t>
        </is>
      </c>
    </row>
    <row r="54" ht="23.85" customHeight="1" s="17">
      <c r="A54" s="27" t="inlineStr">
        <is>
          <t>IPS</t>
        </is>
      </c>
      <c r="B54" s="27" t="inlineStr">
        <is>
          <t>Irrational Procrastination Scale</t>
        </is>
      </c>
      <c r="C54" s="27" t="inlineStr">
        <is>
          <t>6. Motivation, self determination and goal pursuit</t>
        </is>
      </c>
      <c r="D54" s="27" t="inlineStr">
        <is>
          <t>Developer</t>
        </is>
      </c>
      <c r="E54" s="27" t="inlineStr">
        <is>
          <t>Svartdal, F., &amp; Steel, P. (2017). Irrational delay revisited: Examining five procrastination scales in a global sample. Frontiers in Psychology, 8, 1927. https://doi.org/10.3389/fpsyg.2017.01927</t>
        </is>
      </c>
    </row>
    <row r="55" ht="23.85" customHeight="1" s="17">
      <c r="A55" s="27" t="inlineStr">
        <is>
          <t>IPS</t>
        </is>
      </c>
      <c r="B55" s="27" t="inlineStr">
        <is>
          <t>Irrational Procrastination Scale</t>
        </is>
      </c>
      <c r="C55" s="27" t="inlineStr">
        <is>
          <t>6. Motivation, self determination and goal pursuit</t>
        </is>
      </c>
      <c r="D55" s="27" t="inlineStr">
        <is>
          <t>Reference</t>
        </is>
      </c>
      <c r="E55" s="27" t="inlineStr">
        <is>
          <t>Steel, P. (2010). Arousal, avoidant and decisional procrastinators: Do they exist? Personality and Individual Differences, 48(8), 926-934. https://doi.org/10.1016/j.paid.2010.02.025</t>
        </is>
      </c>
    </row>
    <row r="56" ht="23.85" customHeight="1" s="17">
      <c r="A56" s="27" t="inlineStr">
        <is>
          <t>GSE</t>
        </is>
      </c>
      <c r="B56" s="27" t="inlineStr">
        <is>
          <t>General Self-Efficacy Scale</t>
        </is>
      </c>
      <c r="C56" s="27" t="inlineStr">
        <is>
          <t>6. Motivation, self determination and goal pursuit</t>
        </is>
      </c>
      <c r="D56" s="27" t="inlineStr">
        <is>
          <t>Developer</t>
        </is>
      </c>
      <c r="E56" s="27" t="inlineStr">
        <is>
          <t>Schwarzer, R., &amp; Jerusalem, M. (1995). Generalized Self-Efficacy scale. In J. Weinman, S. Wright, &amp; M. Johnston, Measures in health psychology: A user's portfolio. Causal and control beliefs (pp. 35-37). NFER-NELSON.</t>
        </is>
      </c>
    </row>
    <row r="57" ht="23.85" customHeight="1" s="17">
      <c r="A57" s="27" t="inlineStr">
        <is>
          <t>GSE</t>
        </is>
      </c>
      <c r="B57" s="27" t="inlineStr">
        <is>
          <t>General Self-Efficacy Scale</t>
        </is>
      </c>
      <c r="C57" s="27" t="inlineStr">
        <is>
          <t>6. Motivation, self determination and goal pursuit</t>
        </is>
      </c>
      <c r="D57" s="27" t="inlineStr">
        <is>
          <t>Reference</t>
        </is>
      </c>
      <c r="E57" s="27" t="inlineStr">
        <is>
          <t>Freie Universität Berlin. General Self-Efficacy Scale (English version). https://userpage.fu-berlin.de/~health/engscal.htm</t>
        </is>
      </c>
    </row>
    <row r="58" ht="23.85" customHeight="1" s="17">
      <c r="A58" s="27" t="inlineStr">
        <is>
          <t>GSE</t>
        </is>
      </c>
      <c r="B58" s="27" t="inlineStr">
        <is>
          <t>General Self-Efficacy Scale</t>
        </is>
      </c>
      <c r="C58" s="27" t="inlineStr">
        <is>
          <t>6. Motivation, self determination and goal pursuit</t>
        </is>
      </c>
      <c r="D58" s="27" t="inlineStr">
        <is>
          <t>Reference</t>
        </is>
      </c>
      <c r="E58" s="27" t="inlineStr">
        <is>
          <t>Freie Universität Berlin. General Self-Efficacy Scale: FAQ and permission statement. https://userpage.fu-berlin.de/~health/faq_gse.pdf</t>
        </is>
      </c>
    </row>
    <row r="59" ht="23.85" customHeight="1" s="17">
      <c r="A59" s="27" t="inlineStr">
        <is>
          <t>GCS</t>
        </is>
      </c>
      <c r="B59" s="27" t="inlineStr">
        <is>
          <t>Goal Commitment Scale (5-item unidimensional version)</t>
        </is>
      </c>
      <c r="C59" s="27" t="inlineStr">
        <is>
          <t>6. Motivation, self determination and goal pursuit</t>
        </is>
      </c>
      <c r="D59" s="27" t="inlineStr">
        <is>
          <t>Developer</t>
        </is>
      </c>
      <c r="E59" s="27" t="inlineStr">
        <is>
          <t>Klein, H. J., Wesson, M. J., Hollenbeck, J. R., Wright, P. M., &amp; DeShon, R. P. (2001). The assessment of goal commitment: A measurement model meta-analysis. Organizational Behavior and Human Decision Processes, 85(1), 32-55.</t>
        </is>
      </c>
    </row>
    <row r="60" ht="23.85" customHeight="1" s="17">
      <c r="A60" s="27" t="inlineStr">
        <is>
          <t>GCS</t>
        </is>
      </c>
      <c r="B60" s="27" t="inlineStr">
        <is>
          <t>Goal Commitment Scale (5-item unidimensional version)</t>
        </is>
      </c>
      <c r="C60" s="27" t="inlineStr">
        <is>
          <t>6. Motivation, self determination and goal pursuit</t>
        </is>
      </c>
      <c r="D60" s="27" t="inlineStr">
        <is>
          <t>Reference</t>
        </is>
      </c>
      <c r="E60" s="27" t="inlineStr">
        <is>
          <t>Hollenbeck, J. R., Williams, C. R., &amp; Klein, H. J. (1989). An empirical examination of the antecedents of commitment to difficult goals. Journal of Applied Psychology, 74(1), 18-23.</t>
        </is>
      </c>
    </row>
    <row r="61" ht="23.85" customHeight="1" s="17">
      <c r="A61" s="27" t="inlineStr">
        <is>
          <t>GCS</t>
        </is>
      </c>
      <c r="B61" s="27" t="inlineStr">
        <is>
          <t>Goal Commitment Scale (5-item unidimensional version)</t>
        </is>
      </c>
      <c r="C61" s="27" t="inlineStr">
        <is>
          <t>6. Motivation, self determination and goal pursuit</t>
        </is>
      </c>
      <c r="D61" s="27" t="inlineStr">
        <is>
          <t>Reference</t>
        </is>
      </c>
      <c r="E61" s="27" t="inlineStr">
        <is>
          <t>Klein, H. J., Cooper, J. T., Molloy, J. C., &amp; Swanson, J. A. (2014). The assessment of commitment: Advantages of a unidimensional, target-free approach. Journal of Applied Psychology, 99(2), 222-238.</t>
        </is>
      </c>
    </row>
    <row r="62" ht="23.85" customHeight="1" s="17">
      <c r="A62" s="27" t="inlineStr">
        <is>
          <t>GADJ</t>
        </is>
      </c>
      <c r="B62" s="27" t="inlineStr">
        <is>
          <t>Goal Adjustment Scale</t>
        </is>
      </c>
      <c r="C62" s="27" t="inlineStr">
        <is>
          <t>6. Motivation, self determination and goal pursuit</t>
        </is>
      </c>
      <c r="D62" s="27" t="inlineStr">
        <is>
          <t>Developer</t>
        </is>
      </c>
      <c r="E62" s="27" t="inlineStr">
        <is>
          <t>Wrosch, C., Scheier, M. F., Miller, G. E., Schulz, R., &amp; Carver, C. S. (2003). Adaptive self-regulation of unattainable goals: Goal disengagement, goal reengagement, and subjective well-being. Personality and Social Psychology Bulletin, 29(12), 1494-1508.</t>
        </is>
      </c>
    </row>
  </sheetData>
  <autoFilter ref="A1:E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Executive Skills Questionnaire - Revised (ESQ-R)</t>
        </is>
      </c>
    </row>
    <row r="3" ht="15" customHeight="1" s="17">
      <c r="A3" s="35" t="inlineStr">
        <is>
          <t>Instrument</t>
        </is>
      </c>
      <c r="B3" s="27" t="inlineStr">
        <is>
          <t>Executive Skills Questionnaire - Revised (ESQ-R)</t>
        </is>
      </c>
    </row>
    <row r="4" ht="15" customHeight="1" s="17">
      <c r="A4" s="35" t="inlineStr">
        <is>
          <t>Code</t>
        </is>
      </c>
      <c r="B4" s="27" t="inlineStr">
        <is>
          <t>ESQ-R</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Executive functioning skills, including plan and time management, organization, and emotional and behavioral regulation</t>
        </is>
      </c>
    </row>
    <row r="8" ht="15" customHeight="1" s="17">
      <c r="A8" s="35" t="inlineStr">
        <is>
          <t>Respondent</t>
        </is>
      </c>
      <c r="B8" s="27" t="inlineStr">
        <is>
          <t>Self-report</t>
        </is>
      </c>
    </row>
    <row r="9" ht="15" customHeight="1" s="17">
      <c r="A9" s="35" t="inlineStr">
        <is>
          <t>Age range</t>
        </is>
      </c>
      <c r="B9" s="27" t="inlineStr">
        <is>
          <t>14+</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5 minutes</t>
        </is>
      </c>
    </row>
    <row r="13" ht="30" customHeight="1" s="17">
      <c r="A13" s="35" t="inlineStr">
        <is>
          <t>Cost and access</t>
        </is>
      </c>
      <c r="B13" s="27" t="inlineStr">
        <is>
          <t>Included on NovoPsych with the permission of Dr Peg Dawson; blank form hosted free. Scoring and percentiles need a NovoPsych account.</t>
        </is>
      </c>
    </row>
    <row r="14" ht="30" customHeight="1" s="17">
      <c r="A14" s="35" t="inlineStr">
        <is>
          <t>Coaching application</t>
        </is>
      </c>
      <c r="B14" s="27" t="inlineStr">
        <is>
          <t>The core executive skills profile for coaching; the five subscales map directly onto coaching targets. Measures higher order skills rather than core executive functions.</t>
        </is>
      </c>
    </row>
    <row r="15" ht="60" customHeight="1" s="17">
      <c r="A15" s="35" t="inlineStr">
        <is>
          <t>Purpose</t>
        </is>
      </c>
      <c r="B15"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row>
    <row r="16" ht="15" customHeight="1" s="17">
      <c r="A16" s="35" t="inlineStr">
        <is>
          <t>Instructions / prompt</t>
        </is>
      </c>
      <c r="B16" s="27" t="inlineStr">
        <is>
          <t>Read each item and decide how often it's a problem for you.</t>
        </is>
      </c>
    </row>
    <row r="17" ht="15" customHeight="1" s="17">
      <c r="A17" s="35" t="inlineStr">
        <is>
          <t>Response options</t>
        </is>
      </c>
      <c r="B17" s="27" t="inlineStr">
        <is>
          <t>Never or rarely = 0 | Sometimes = 1 | Often = 2 | Very often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row>
    <row r="21" ht="165" customHeight="1" s="17">
      <c r="A21" s="35" t="inlineStr">
        <is>
          <t>Interpretation bands</t>
        </is>
      </c>
      <c r="B21"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row>
    <row r="22" ht="75" customHeight="1" s="17">
      <c r="A22" s="35" t="inlineStr">
        <is>
          <t>Cut-offs</t>
        </is>
      </c>
      <c r="B2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row>
    <row r="23" ht="75" customHeight="1" s="17">
      <c r="A23" s="35" t="inlineStr">
        <is>
          <t>Normative data</t>
        </is>
      </c>
      <c r="B23"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row>
    <row r="24" ht="75" customHeight="1" s="17">
      <c r="A24" s="35" t="inlineStr">
        <is>
          <t>Psychometric properties</t>
        </is>
      </c>
      <c r="B24"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row>
    <row r="25" ht="60" customHeight="1" s="17">
      <c r="A25" s="35" t="inlineStr">
        <is>
          <t>Developer citation</t>
        </is>
      </c>
      <c r="B25"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26" ht="30" customHeight="1" s="17">
      <c r="A26" s="35" t="inlineStr">
        <is>
          <t>Copyright and licensing</t>
        </is>
      </c>
      <c r="B26" s="27" t="inlineStr">
        <is>
          <t>© 2026 Copyright – NovoPsych – All rights reserved. The ESQ-R was developed and published by Strait et al. (2020) and is included on NovoPsych with permission from Dr. Peg Dawson.</t>
        </is>
      </c>
    </row>
    <row r="27" ht="15" customHeight="1" s="17">
      <c r="A27" s="35" t="inlineStr">
        <is>
          <t>Source URL</t>
        </is>
      </c>
      <c r="B27" s="27" t="inlineStr">
        <is>
          <t>https://novopsych.com/assessments/formulation/executive-skills-questionnaire-revised-esq-r/</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act on impulse.</t>
        </is>
      </c>
      <c r="C30" s="27" t="inlineStr">
        <is>
          <t>Behavioral Regulation</t>
        </is>
      </c>
      <c r="D30" s="27" t="inlineStr">
        <is>
          <t>FALSE</t>
        </is>
      </c>
      <c r="E30" s="27" t="inlineStr">
        <is>
          <t>FALSE</t>
        </is>
      </c>
      <c r="F30" s="27" t="n"/>
    </row>
    <row r="31" ht="15" customHeight="1" s="17">
      <c r="A31" s="28" t="n">
        <v>2</v>
      </c>
      <c r="B31" s="27" t="inlineStr">
        <is>
          <t>I say things without thinking.</t>
        </is>
      </c>
      <c r="C31" s="27" t="inlineStr">
        <is>
          <t>Behavioral Regulation</t>
        </is>
      </c>
      <c r="D31" s="27" t="inlineStr">
        <is>
          <t>FALSE</t>
        </is>
      </c>
      <c r="E31" s="27" t="inlineStr">
        <is>
          <t>FALSE</t>
        </is>
      </c>
      <c r="F31" s="27" t="n"/>
    </row>
    <row r="32" ht="15" customHeight="1" s="17">
      <c r="A32" s="28" t="n">
        <v>3</v>
      </c>
      <c r="B32" s="27" t="inlineStr">
        <is>
          <t>I lose things.</t>
        </is>
      </c>
      <c r="C32" s="27" t="inlineStr">
        <is>
          <t>Organization</t>
        </is>
      </c>
      <c r="D32" s="27" t="inlineStr">
        <is>
          <t>FALSE</t>
        </is>
      </c>
      <c r="E32" s="27" t="inlineStr">
        <is>
          <t>FALSE</t>
        </is>
      </c>
      <c r="F32" s="27" t="n"/>
    </row>
    <row r="33" ht="15" customHeight="1" s="17">
      <c r="A33" s="28" t="n">
        <v>4</v>
      </c>
      <c r="B33" s="27" t="inlineStr">
        <is>
          <t>I have a short fuse.</t>
        </is>
      </c>
      <c r="C33" s="27" t="inlineStr">
        <is>
          <t>Emotional Regulation</t>
        </is>
      </c>
      <c r="D33" s="27" t="inlineStr">
        <is>
          <t>FALSE</t>
        </is>
      </c>
      <c r="E33" s="27" t="inlineStr">
        <is>
          <t>FALSE</t>
        </is>
      </c>
      <c r="F33" s="27" t="n"/>
    </row>
    <row r="34" ht="15" customHeight="1" s="17">
      <c r="A34" s="28" t="n">
        <v>5</v>
      </c>
      <c r="B34" s="27" t="inlineStr">
        <is>
          <t>I get upset when things don't go as planned.</t>
        </is>
      </c>
      <c r="C34" s="27" t="inlineStr">
        <is>
          <t>Emotional Regulation</t>
        </is>
      </c>
      <c r="D34" s="27" t="inlineStr">
        <is>
          <t>FALSE</t>
        </is>
      </c>
      <c r="E34" s="27" t="inlineStr">
        <is>
          <t>FALSE</t>
        </is>
      </c>
      <c r="F34" s="27" t="n"/>
    </row>
    <row r="35" ht="15" customHeight="1" s="17">
      <c r="A35" s="28" t="n">
        <v>6</v>
      </c>
      <c r="B35" s="27" t="inlineStr">
        <is>
          <t>I run out of steam before finishing a task.</t>
        </is>
      </c>
      <c r="C35" s="27" t="inlineStr">
        <is>
          <t>Plan Management</t>
        </is>
      </c>
      <c r="D35" s="27" t="inlineStr">
        <is>
          <t>FALSE</t>
        </is>
      </c>
      <c r="E35" s="27" t="inlineStr">
        <is>
          <t>FALSE</t>
        </is>
      </c>
      <c r="F35" s="27" t="n"/>
    </row>
    <row r="36" ht="15" customHeight="1" s="17">
      <c r="A36" s="28" t="n">
        <v>7</v>
      </c>
      <c r="B36" s="27" t="inlineStr">
        <is>
          <t>It's hard for me to set priorities when I have a lot of things to do.</t>
        </is>
      </c>
      <c r="C36" s="27" t="inlineStr">
        <is>
          <t>Plan Management</t>
        </is>
      </c>
      <c r="D36" s="27" t="inlineStr">
        <is>
          <t>FALSE</t>
        </is>
      </c>
      <c r="E36" s="27" t="inlineStr">
        <is>
          <t>FALSE</t>
        </is>
      </c>
      <c r="F36" s="27" t="n"/>
    </row>
    <row r="37" ht="15" customHeight="1" s="17">
      <c r="A37" s="28" t="n">
        <v>8</v>
      </c>
      <c r="B37" s="27" t="inlineStr">
        <is>
          <t>My desk or workspace is a mess.</t>
        </is>
      </c>
      <c r="C37" s="27" t="inlineStr">
        <is>
          <t>Organization</t>
        </is>
      </c>
      <c r="D37" s="27" t="inlineStr">
        <is>
          <t>FALSE</t>
        </is>
      </c>
      <c r="E37" s="27" t="inlineStr">
        <is>
          <t>FALSE</t>
        </is>
      </c>
      <c r="F37" s="27" t="n"/>
    </row>
    <row r="38" ht="15" customHeight="1" s="17">
      <c r="A38" s="28" t="n">
        <v>9</v>
      </c>
      <c r="B38" s="27" t="inlineStr">
        <is>
          <t>I have trouble keeping my house or room clean.</t>
        </is>
      </c>
      <c r="C38" s="27" t="inlineStr">
        <is>
          <t>Organization</t>
        </is>
      </c>
      <c r="D38" s="27" t="inlineStr">
        <is>
          <t>FALSE</t>
        </is>
      </c>
      <c r="E38" s="27" t="inlineStr">
        <is>
          <t>FALSE</t>
        </is>
      </c>
      <c r="F38" s="27" t="n"/>
    </row>
    <row r="39" ht="15" customHeight="1" s="17">
      <c r="A39" s="28" t="n">
        <v>10</v>
      </c>
      <c r="B39" s="27" t="inlineStr">
        <is>
          <t>I have trouble estimating how long it will take to complete a task.</t>
        </is>
      </c>
      <c r="C39" s="27" t="inlineStr">
        <is>
          <t>Time Management</t>
        </is>
      </c>
      <c r="D39" s="27" t="inlineStr">
        <is>
          <t>FALSE</t>
        </is>
      </c>
      <c r="E39" s="27" t="inlineStr">
        <is>
          <t>FALSE</t>
        </is>
      </c>
      <c r="F39" s="27" t="n"/>
    </row>
    <row r="40" ht="15" customHeight="1" s="17">
      <c r="A40" s="28" t="n">
        <v>11</v>
      </c>
      <c r="B40" s="27" t="inlineStr">
        <is>
          <t>I'm slow at getting ready for school, work, or appointments.</t>
        </is>
      </c>
      <c r="C40" s="27" t="inlineStr">
        <is>
          <t>Time Management</t>
        </is>
      </c>
      <c r="D40" s="27" t="inlineStr">
        <is>
          <t>FALSE</t>
        </is>
      </c>
      <c r="E40" s="27" t="inlineStr">
        <is>
          <t>FALSE</t>
        </is>
      </c>
      <c r="F40" s="27" t="n"/>
    </row>
    <row r="41" ht="15" customHeight="1" s="17">
      <c r="A41" s="28" t="n">
        <v>12</v>
      </c>
      <c r="B41" s="27" t="inlineStr">
        <is>
          <t>If the first solution to a problem doesn't work, I have trouble thinking of a different one.</t>
        </is>
      </c>
      <c r="C41" s="27" t="inlineStr">
        <is>
          <t>Plan Management</t>
        </is>
      </c>
      <c r="D41" s="27" t="inlineStr">
        <is>
          <t>FALSE</t>
        </is>
      </c>
      <c r="E41" s="27" t="inlineStr">
        <is>
          <t>FALSE</t>
        </is>
      </c>
      <c r="F41" s="27" t="n"/>
    </row>
    <row r="42" ht="15" customHeight="1" s="17">
      <c r="A42" s="28" t="n">
        <v>13</v>
      </c>
      <c r="B42" s="27" t="inlineStr">
        <is>
          <t>I skip checking my work for mistakes, even when the stakes are high.</t>
        </is>
      </c>
      <c r="C42" s="27" t="inlineStr">
        <is>
          <t>Plan Management</t>
        </is>
      </c>
      <c r="D42" s="27" t="inlineStr">
        <is>
          <t>FALSE</t>
        </is>
      </c>
      <c r="E42" s="27" t="inlineStr">
        <is>
          <t>FALSE</t>
        </is>
      </c>
      <c r="F42" s="27" t="n"/>
    </row>
    <row r="43" ht="15" customHeight="1" s="17">
      <c r="A43" s="28" t="n">
        <v>14</v>
      </c>
      <c r="B43" s="27" t="inlineStr">
        <is>
          <t>I get annoyed when tasks are too hard.</t>
        </is>
      </c>
      <c r="C43" s="27" t="inlineStr">
        <is>
          <t>Plan Management</t>
        </is>
      </c>
      <c r="D43" s="27" t="inlineStr">
        <is>
          <t>FALSE</t>
        </is>
      </c>
      <c r="E43" s="27" t="inlineStr">
        <is>
          <t>FALSE</t>
        </is>
      </c>
      <c r="F43" s="27" t="n"/>
    </row>
    <row r="44" ht="15" customHeight="1" s="17">
      <c r="A44" s="28" t="n">
        <v>15</v>
      </c>
      <c r="B44" s="27" t="inlineStr">
        <is>
          <t>It's hard for me to put aside fun activities to start things I know I need to do.</t>
        </is>
      </c>
      <c r="C44" s="27" t="inlineStr">
        <is>
          <t>Time Management</t>
        </is>
      </c>
      <c r="D44" s="27" t="inlineStr">
        <is>
          <t>FALSE</t>
        </is>
      </c>
      <c r="E44" s="27" t="inlineStr">
        <is>
          <t>FALSE</t>
        </is>
      </c>
      <c r="F44" s="27" t="n"/>
    </row>
    <row r="45" ht="15" customHeight="1" s="17">
      <c r="A45" s="28" t="n">
        <v>16</v>
      </c>
      <c r="B45" s="27" t="inlineStr">
        <is>
          <t>I have trouble with tasks where I have to come up with my own ideas.</t>
        </is>
      </c>
      <c r="C45" s="27" t="inlineStr">
        <is>
          <t>Plan Management</t>
        </is>
      </c>
      <c r="D45" s="27" t="inlineStr">
        <is>
          <t>FALSE</t>
        </is>
      </c>
      <c r="E45" s="27" t="inlineStr">
        <is>
          <t>FALSE</t>
        </is>
      </c>
      <c r="F45" s="27" t="n"/>
    </row>
    <row r="46" ht="15" customHeight="1" s="17">
      <c r="A46" s="28" t="n">
        <v>17</v>
      </c>
      <c r="B46" s="27" t="inlineStr">
        <is>
          <t>It's hard for me to tell how well I'm doing on a task.</t>
        </is>
      </c>
      <c r="C46" s="27" t="inlineStr">
        <is>
          <t>Plan Management</t>
        </is>
      </c>
      <c r="D46" s="27" t="inlineStr">
        <is>
          <t>FALSE</t>
        </is>
      </c>
      <c r="E46" s="27" t="inlineStr">
        <is>
          <t>FALSE</t>
        </is>
      </c>
      <c r="F46" s="27" t="n"/>
    </row>
    <row r="47" ht="15" customHeight="1" s="17">
      <c r="A47" s="28" t="n">
        <v>18</v>
      </c>
      <c r="B47" s="27" t="inlineStr">
        <is>
          <t>I have trouble reaching long-term goals.</t>
        </is>
      </c>
      <c r="C47" s="27" t="inlineStr">
        <is>
          <t>Plan Management</t>
        </is>
      </c>
      <c r="D47" s="27" t="inlineStr">
        <is>
          <t>FALSE</t>
        </is>
      </c>
      <c r="E47" s="27" t="inlineStr">
        <is>
          <t>FALSE</t>
        </is>
      </c>
      <c r="F47" s="27" t="n"/>
    </row>
    <row r="48" ht="15" customHeight="1" s="17">
      <c r="A48" s="28" t="n">
        <v>19</v>
      </c>
      <c r="B48" s="27" t="inlineStr">
        <is>
          <t>I "go with my gut" when making decisions.</t>
        </is>
      </c>
      <c r="C48" s="27" t="inlineStr">
        <is>
          <t>Behavioral Regulation</t>
        </is>
      </c>
      <c r="D48" s="27" t="inlineStr">
        <is>
          <t>FALSE</t>
        </is>
      </c>
      <c r="E48" s="27" t="inlineStr">
        <is>
          <t>FALSE</t>
        </is>
      </c>
      <c r="F48" s="27" t="n"/>
    </row>
    <row r="49" ht="15" customHeight="1" s="17">
      <c r="A49" s="28" t="n">
        <v>20</v>
      </c>
      <c r="B49" s="27" t="inlineStr">
        <is>
          <t>I get so wrapped up in what I'm doing that I forget about other things I need to do.</t>
        </is>
      </c>
      <c r="C49" s="27" t="inlineStr">
        <is>
          <t>Time Management</t>
        </is>
      </c>
      <c r="D49" s="27" t="inlineStr">
        <is>
          <t>FALSE</t>
        </is>
      </c>
      <c r="E49" s="27" t="inlineStr">
        <is>
          <t>FALSE</t>
        </is>
      </c>
      <c r="F49" s="27" t="n"/>
    </row>
    <row r="50" ht="15" customHeight="1" s="17">
      <c r="A50" s="28" t="n">
        <v>21</v>
      </c>
      <c r="B50" s="27" t="inlineStr">
        <is>
          <t>Little things frustrate me.</t>
        </is>
      </c>
      <c r="C50" s="27" t="inlineStr">
        <is>
          <t>Emotional Regulation</t>
        </is>
      </c>
      <c r="D50" s="27" t="inlineStr">
        <is>
          <t>FALSE</t>
        </is>
      </c>
      <c r="E50" s="27" t="inlineStr">
        <is>
          <t>FALSE</t>
        </is>
      </c>
      <c r="F50" s="27" t="n"/>
    </row>
    <row r="51" ht="15" customHeight="1" s="17">
      <c r="A51" s="28" t="n">
        <v>22</v>
      </c>
      <c r="B51" s="27" t="inlineStr">
        <is>
          <t>I have trouble getting back on track if I'm interrupted.</t>
        </is>
      </c>
      <c r="C51" s="27" t="inlineStr">
        <is>
          <t>Plan Management</t>
        </is>
      </c>
      <c r="D51" s="27" t="inlineStr">
        <is>
          <t>FALSE</t>
        </is>
      </c>
      <c r="E51" s="27" t="inlineStr">
        <is>
          <t>FALSE</t>
        </is>
      </c>
      <c r="F51" s="27" t="n"/>
    </row>
    <row r="52" ht="15" customHeight="1" s="17">
      <c r="A52" s="28" t="n">
        <v>23</v>
      </c>
      <c r="B52" s="27" t="inlineStr">
        <is>
          <t>I have trouble making a plan.</t>
        </is>
      </c>
      <c r="C52" s="27" t="inlineStr">
        <is>
          <t>Plan Management</t>
        </is>
      </c>
      <c r="D52" s="27" t="inlineStr">
        <is>
          <t>FALSE</t>
        </is>
      </c>
      <c r="E52" s="27" t="inlineStr">
        <is>
          <t>FALSE</t>
        </is>
      </c>
      <c r="F52" s="27" t="n"/>
    </row>
    <row r="53" ht="15" customHeight="1" s="17">
      <c r="A53" s="28" t="n">
        <v>24</v>
      </c>
      <c r="B53" s="27" t="inlineStr">
        <is>
          <t>I miss the big picture.</t>
        </is>
      </c>
      <c r="C53" s="27" t="inlineStr">
        <is>
          <t>Plan Management</t>
        </is>
      </c>
      <c r="D53" s="27" t="inlineStr">
        <is>
          <t>FALSE</t>
        </is>
      </c>
      <c r="E53" s="27" t="inlineStr">
        <is>
          <t>FALSE</t>
        </is>
      </c>
      <c r="F53" s="27" t="n"/>
    </row>
    <row r="54" ht="15" customHeight="1" s="17">
      <c r="A54" s="28" t="n">
        <v>25</v>
      </c>
      <c r="B54" s="27" t="inlineStr">
        <is>
          <t>I live for the moment.</t>
        </is>
      </c>
      <c r="C54" s="27" t="inlineStr">
        <is>
          <t>Behavioral Regulation</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Cognitive Flexibility Inventory (CFI)</t>
        </is>
      </c>
    </row>
    <row r="3" ht="15" customHeight="1" s="17">
      <c r="A3" s="35" t="inlineStr">
        <is>
          <t>Instrument</t>
        </is>
      </c>
      <c r="B3" s="27" t="inlineStr">
        <is>
          <t>Cognitive Flexibility Inventory (CFI)</t>
        </is>
      </c>
    </row>
    <row r="4" ht="15" customHeight="1" s="17">
      <c r="A4" s="35" t="inlineStr">
        <is>
          <t>Code</t>
        </is>
      </c>
      <c r="B4" s="27" t="inlineStr">
        <is>
          <t>CFI</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45" customHeight="1" s="17">
      <c r="A7" s="35" t="inlineStr">
        <is>
          <t>Construct</t>
        </is>
      </c>
      <c r="B7" s="27" t="inlineStr">
        <is>
          <t>Cognitive flexibility - the ability to perceive multiple alternative explanations for life occurrences and human behaviour, generate multiple alternative solutions to difficult situations, and perceive difficult situations as controllable</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20</t>
        </is>
      </c>
    </row>
    <row r="11" ht="15" customHeight="1" s="17">
      <c r="A11" s="35" t="inlineStr">
        <is>
          <t>Items reproduced here</t>
        </is>
      </c>
      <c r="B11" s="27" t="inlineStr">
        <is>
          <t>20</t>
        </is>
      </c>
    </row>
    <row r="12" ht="15" customHeight="1" s="17">
      <c r="A12" s="35" t="inlineStr">
        <is>
          <t>Administration time</t>
        </is>
      </c>
      <c r="B12" s="27" t="inlineStr">
        <is>
          <t>3 minutes</t>
        </is>
      </c>
    </row>
    <row r="13" ht="15" customHeight="1" s="17">
      <c r="A13" s="35" t="inlineStr">
        <is>
          <t>Cost and access</t>
        </is>
      </c>
      <c r="B13" s="27" t="inlineStr">
        <is>
          <t>Published in Dennis and Vander Wal (2010); blank form hosted free on NovoPsych.</t>
        </is>
      </c>
    </row>
    <row r="14" ht="30" customHeight="1" s="17">
      <c r="A14" s="35" t="inlineStr">
        <is>
          <t>Coaching application</t>
        </is>
      </c>
      <c r="B14" s="27" t="inlineStr">
        <is>
          <t>Measures cognitive flexibility, useful for tracking response to reframing and problem solving work. Scored in the opposite direction to the ESQ-R.</t>
        </is>
      </c>
    </row>
    <row r="15" ht="60" customHeight="1" s="17">
      <c r="A15" s="35" t="inlineStr">
        <is>
          <t>Purpose</t>
        </is>
      </c>
      <c r="B15"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row>
    <row r="16" ht="30" customHeight="1" s="17">
      <c r="A16" s="35" t="inlineStr">
        <is>
          <t>Instructions / prompt</t>
        </is>
      </c>
      <c r="B16" s="27" t="inlineStr">
        <is>
          <t>Please use the scale below to indicate the extent to which you agree or disagree with the following statements.</t>
        </is>
      </c>
    </row>
    <row r="17" ht="30" customHeight="1" s="17">
      <c r="A17" s="35" t="inlineStr">
        <is>
          <t>Response options</t>
        </is>
      </c>
      <c r="B17" s="27" t="inlineStr">
        <is>
          <t>Strongly disagree = 1 | Disagree = 2 | Somewhat disagree = 3 | Neutral = 4 | Somewhat agree = 5 | Agree = 6 | Strongly agree = 7</t>
        </is>
      </c>
    </row>
    <row r="18" ht="15" customHeight="1" s="17">
      <c r="A18" s="35" t="inlineStr">
        <is>
          <t>Reverse-scored items</t>
        </is>
      </c>
      <c r="B18" s="27" t="inlineStr">
        <is>
          <t>2, 4, 7, 9, 11, 17</t>
        </is>
      </c>
    </row>
    <row r="19" ht="15" customHeight="1" s="17">
      <c r="A19" s="35" t="inlineStr">
        <is>
          <t>Filler items (not scored)</t>
        </is>
      </c>
      <c r="B19" s="27" t="inlineStr">
        <is>
          <t>None</t>
        </is>
      </c>
    </row>
    <row r="20" ht="60" customHeight="1" s="17">
      <c r="A20" s="35" t="inlineStr">
        <is>
          <t>Total scoring</t>
        </is>
      </c>
      <c r="B20"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row>
    <row r="21" ht="90" customHeight="1" s="17">
      <c r="A21" s="35" t="inlineStr">
        <is>
          <t>Interpretation bands</t>
        </is>
      </c>
      <c r="B21"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row>
    <row r="22" ht="30" customHeight="1" s="17">
      <c r="A22" s="35" t="inlineStr">
        <is>
          <t>Cut-offs</t>
        </is>
      </c>
      <c r="B22" s="27" t="inlineStr">
        <is>
          <t>No formal diagnostic cut-off. Percentiles below approximately 25 represent clinically significant cognitive inflexibility, which would be important to target within cognitive behavioural therapy.</t>
        </is>
      </c>
    </row>
    <row r="23" ht="30" customHeight="1" s="17">
      <c r="A23" s="35" t="inlineStr">
        <is>
          <t>Normative data</t>
        </is>
      </c>
      <c r="B23" s="27" t="inlineStr">
        <is>
          <t>Sample of 196 university students (Dennis &amp; Vander Wal, 2010): CFI total M = 102.98 (SD = 13.91); Alternatives M = 67.59 (SD = 9.41); Control M = 35.35 (SD = 7.02).</t>
        </is>
      </c>
    </row>
    <row r="24" ht="90" customHeight="1" s="17">
      <c r="A24" s="35" t="inlineStr">
        <is>
          <t>Psychometric properties</t>
        </is>
      </c>
      <c r="B24"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row>
    <row r="25" ht="45" customHeight="1" s="17">
      <c r="A25" s="35" t="inlineStr">
        <is>
          <t>Developer citation</t>
        </is>
      </c>
      <c r="B25" s="27" t="inlineStr">
        <is>
          <t>Dennis, J. P., &amp; Vander Wal, J. S. (2010). The cognitive flexibility inventory: Instrument development and estimates of reliability and validity. Cognitive Therapy and Research, 34(3), 241-253. https://doi.org/10.1007/s10608-009-9276-4</t>
        </is>
      </c>
    </row>
    <row r="26" ht="30" customHeight="1" s="17">
      <c r="A26" s="35" t="inlineStr">
        <is>
          <t>Copyright and licensing</t>
        </is>
      </c>
      <c r="B26" s="27" t="inlineStr">
        <is>
          <t>© 2026 Copyright – NovoPsych – All rights reserved. Sample report footer: Copyright 2022 NovoPsych Pty Ltd.</t>
        </is>
      </c>
    </row>
    <row r="27" ht="15" customHeight="1" s="17">
      <c r="A27" s="35" t="inlineStr">
        <is>
          <t>Source URL</t>
        </is>
      </c>
      <c r="B27" s="27" t="inlineStr">
        <is>
          <t>https://novopsych.com/assessments/formulation/cognitive-flexibility-inventory-cfi/</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good at "sizing up" situations.</t>
        </is>
      </c>
      <c r="C30" s="27" t="inlineStr">
        <is>
          <t>Alternatives</t>
        </is>
      </c>
      <c r="D30" s="27" t="inlineStr">
        <is>
          <t>FALSE</t>
        </is>
      </c>
      <c r="E30" s="27" t="inlineStr">
        <is>
          <t>FALSE</t>
        </is>
      </c>
      <c r="F30" s="27" t="n"/>
    </row>
    <row r="31" ht="15" customHeight="1" s="17">
      <c r="A31" s="28" t="n">
        <v>2</v>
      </c>
      <c r="B31" s="27" t="inlineStr">
        <is>
          <t>I have a hard time making decisions when faced with difficult situations.</t>
        </is>
      </c>
      <c r="C31" s="27" t="inlineStr">
        <is>
          <t>Control</t>
        </is>
      </c>
      <c r="D31" s="34" t="inlineStr">
        <is>
          <t>TRUE</t>
        </is>
      </c>
      <c r="E31" s="27" t="inlineStr">
        <is>
          <t>FALSE</t>
        </is>
      </c>
      <c r="F31" s="27" t="n"/>
    </row>
    <row r="32" ht="15" customHeight="1" s="17">
      <c r="A32" s="28" t="n">
        <v>3</v>
      </c>
      <c r="B32" s="27" t="inlineStr">
        <is>
          <t>I consider multiple options before making a decision.</t>
        </is>
      </c>
      <c r="C32" s="27" t="inlineStr">
        <is>
          <t>Alternatives</t>
        </is>
      </c>
      <c r="D32" s="27" t="inlineStr">
        <is>
          <t>FALSE</t>
        </is>
      </c>
      <c r="E32" s="27" t="inlineStr">
        <is>
          <t>FALSE</t>
        </is>
      </c>
      <c r="F32" s="27" t="n"/>
    </row>
    <row r="33" ht="15" customHeight="1" s="17">
      <c r="A33" s="28" t="n">
        <v>4</v>
      </c>
      <c r="B33" s="27" t="inlineStr">
        <is>
          <t>When I encounter difficult situations, I feel like I am losing control.</t>
        </is>
      </c>
      <c r="C33" s="27" t="inlineStr">
        <is>
          <t>Control</t>
        </is>
      </c>
      <c r="D33" s="34" t="inlineStr">
        <is>
          <t>TRUE</t>
        </is>
      </c>
      <c r="E33" s="27" t="inlineStr">
        <is>
          <t>FALSE</t>
        </is>
      </c>
      <c r="F33" s="27" t="n"/>
    </row>
    <row r="34" ht="15" customHeight="1" s="17">
      <c r="A34" s="28" t="n">
        <v>5</v>
      </c>
      <c r="B34" s="27" t="inlineStr">
        <is>
          <t>I like to look at difficult situations from many different angles.</t>
        </is>
      </c>
      <c r="C34" s="27" t="inlineStr">
        <is>
          <t>Alternatives</t>
        </is>
      </c>
      <c r="D34" s="27" t="inlineStr">
        <is>
          <t>FALSE</t>
        </is>
      </c>
      <c r="E34" s="27" t="inlineStr">
        <is>
          <t>FALSE</t>
        </is>
      </c>
      <c r="F34" s="27" t="n"/>
    </row>
    <row r="35" ht="15" customHeight="1" s="17">
      <c r="A35" s="28" t="n">
        <v>6</v>
      </c>
      <c r="B35" s="27" t="inlineStr">
        <is>
          <t>I seek additional information not immediately available before attributing causes to behaviour.</t>
        </is>
      </c>
      <c r="C35" s="27" t="inlineStr">
        <is>
          <t>Alternatives</t>
        </is>
      </c>
      <c r="D35" s="27" t="inlineStr">
        <is>
          <t>FALSE</t>
        </is>
      </c>
      <c r="E35" s="27" t="inlineStr">
        <is>
          <t>FALSE</t>
        </is>
      </c>
      <c r="F35" s="27" t="n"/>
    </row>
    <row r="36" ht="23.85" customHeight="1" s="17">
      <c r="A36" s="28" t="n">
        <v>7</v>
      </c>
      <c r="B36" s="27" t="inlineStr">
        <is>
          <t>When encountering difficult situations, I become so stressed that I can not think of a way to resolve the situation.</t>
        </is>
      </c>
      <c r="C36" s="27" t="inlineStr">
        <is>
          <t>Control</t>
        </is>
      </c>
      <c r="D36" s="34" t="inlineStr">
        <is>
          <t>TRUE</t>
        </is>
      </c>
      <c r="E36" s="27" t="inlineStr">
        <is>
          <t>FALSE</t>
        </is>
      </c>
      <c r="F36" s="27" t="n"/>
    </row>
    <row r="37" ht="15" customHeight="1" s="17">
      <c r="A37" s="28" t="n">
        <v>8</v>
      </c>
      <c r="B37" s="27" t="inlineStr">
        <is>
          <t>I try to think about things from another person's point of view.</t>
        </is>
      </c>
      <c r="C37" s="27" t="inlineStr">
        <is>
          <t>Alternatives</t>
        </is>
      </c>
      <c r="D37" s="27" t="inlineStr">
        <is>
          <t>FALSE</t>
        </is>
      </c>
      <c r="E37" s="27" t="inlineStr">
        <is>
          <t>FALSE</t>
        </is>
      </c>
      <c r="F37" s="27" t="n"/>
    </row>
    <row r="38" ht="15" customHeight="1" s="17">
      <c r="A38" s="28" t="n">
        <v>9</v>
      </c>
      <c r="B38" s="27" t="inlineStr">
        <is>
          <t>I find it troublesome that there are so many different ways to deal with difficult situations.</t>
        </is>
      </c>
      <c r="C38" s="27" t="inlineStr">
        <is>
          <t>Control</t>
        </is>
      </c>
      <c r="D38" s="34" t="inlineStr">
        <is>
          <t>TRUE</t>
        </is>
      </c>
      <c r="E38" s="27" t="inlineStr">
        <is>
          <t>FALSE</t>
        </is>
      </c>
      <c r="F38" s="27" t="n"/>
    </row>
    <row r="39" ht="15" customHeight="1" s="17">
      <c r="A39" s="28" t="n">
        <v>10</v>
      </c>
      <c r="B39" s="27" t="inlineStr">
        <is>
          <t>I am good at putting myself in others' shoes.</t>
        </is>
      </c>
      <c r="C39" s="27" t="inlineStr">
        <is>
          <t>Alternatives</t>
        </is>
      </c>
      <c r="D39" s="27" t="inlineStr">
        <is>
          <t>FALSE</t>
        </is>
      </c>
      <c r="E39" s="27" t="inlineStr">
        <is>
          <t>FALSE</t>
        </is>
      </c>
      <c r="F39" s="27" t="n"/>
    </row>
    <row r="40" ht="15" customHeight="1" s="17">
      <c r="A40" s="28" t="n">
        <v>11</v>
      </c>
      <c r="B40" s="27" t="inlineStr">
        <is>
          <t>When I encounter difficult situations, I just don't know what to do.</t>
        </is>
      </c>
      <c r="C40" s="27" t="inlineStr">
        <is>
          <t>Control</t>
        </is>
      </c>
      <c r="D40" s="34" t="inlineStr">
        <is>
          <t>TRUE</t>
        </is>
      </c>
      <c r="E40" s="27" t="inlineStr">
        <is>
          <t>FALSE</t>
        </is>
      </c>
      <c r="F40" s="27" t="n"/>
    </row>
    <row r="41" ht="15" customHeight="1" s="17">
      <c r="A41" s="28" t="n">
        <v>12</v>
      </c>
      <c r="B41" s="27" t="inlineStr">
        <is>
          <t>It is important to look at difficult situations from many angles.</t>
        </is>
      </c>
      <c r="C41" s="27" t="inlineStr">
        <is>
          <t>Alternatives</t>
        </is>
      </c>
      <c r="D41" s="27" t="inlineStr">
        <is>
          <t>FALSE</t>
        </is>
      </c>
      <c r="E41" s="27" t="inlineStr">
        <is>
          <t>FALSE</t>
        </is>
      </c>
      <c r="F41" s="27" t="n"/>
    </row>
    <row r="42" ht="15" customHeight="1" s="17">
      <c r="A42" s="28" t="n">
        <v>13</v>
      </c>
      <c r="B42" s="27" t="inlineStr">
        <is>
          <t>When in difficult situations, I consider multiple options before deciding how to behave.</t>
        </is>
      </c>
      <c r="C42" s="27" t="inlineStr">
        <is>
          <t>Alternatives</t>
        </is>
      </c>
      <c r="D42" s="27" t="inlineStr">
        <is>
          <t>FALSE</t>
        </is>
      </c>
      <c r="E42" s="27" t="inlineStr">
        <is>
          <t>FALSE</t>
        </is>
      </c>
      <c r="F42" s="27" t="n"/>
    </row>
    <row r="43" ht="15" customHeight="1" s="17">
      <c r="A43" s="28" t="n">
        <v>14</v>
      </c>
      <c r="B43" s="27" t="inlineStr">
        <is>
          <t>I often look at a situation from different view-points.</t>
        </is>
      </c>
      <c r="C43" s="27" t="inlineStr">
        <is>
          <t>Alternatives</t>
        </is>
      </c>
      <c r="D43" s="27" t="inlineStr">
        <is>
          <t>FALSE</t>
        </is>
      </c>
      <c r="E43" s="27" t="inlineStr">
        <is>
          <t>FALSE</t>
        </is>
      </c>
      <c r="F43" s="27" t="n"/>
    </row>
    <row r="44" ht="15" customHeight="1" s="17">
      <c r="A44" s="28" t="n">
        <v>15</v>
      </c>
      <c r="B44" s="27" t="inlineStr">
        <is>
          <t>I am capable of overcoming the difficulties in life that I face.</t>
        </is>
      </c>
      <c r="C44" s="27" t="inlineStr">
        <is>
          <t>Control</t>
        </is>
      </c>
      <c r="D44" s="27" t="inlineStr">
        <is>
          <t>FALSE</t>
        </is>
      </c>
      <c r="E44" s="27" t="inlineStr">
        <is>
          <t>FALSE</t>
        </is>
      </c>
      <c r="F44" s="27" t="n"/>
    </row>
    <row r="45" ht="15" customHeight="1" s="17">
      <c r="A45" s="28" t="n">
        <v>16</v>
      </c>
      <c r="B45" s="27" t="inlineStr">
        <is>
          <t>I consider all the available facts and information when attributing causes to behaviour.</t>
        </is>
      </c>
      <c r="C45" s="27" t="inlineStr">
        <is>
          <t>Alternatives</t>
        </is>
      </c>
      <c r="D45" s="27" t="inlineStr">
        <is>
          <t>FALSE</t>
        </is>
      </c>
      <c r="E45" s="27" t="inlineStr">
        <is>
          <t>FALSE</t>
        </is>
      </c>
      <c r="F45" s="27" t="n"/>
    </row>
    <row r="46" ht="15" customHeight="1" s="17">
      <c r="A46" s="28" t="n">
        <v>17</v>
      </c>
      <c r="B46" s="27" t="inlineStr">
        <is>
          <t>I feel I have no power to change things in difficult situations.</t>
        </is>
      </c>
      <c r="C46" s="27" t="inlineStr">
        <is>
          <t>Control</t>
        </is>
      </c>
      <c r="D46" s="34" t="inlineStr">
        <is>
          <t>TRUE</t>
        </is>
      </c>
      <c r="E46" s="27" t="inlineStr">
        <is>
          <t>FALSE</t>
        </is>
      </c>
      <c r="F46" s="27" t="n"/>
    </row>
    <row r="47" ht="15" customHeight="1" s="17">
      <c r="A47" s="28" t="n">
        <v>18</v>
      </c>
      <c r="B47" s="27" t="inlineStr">
        <is>
          <t>When I encounter difficult situations, I stop and try to think of several ways to resolve it.</t>
        </is>
      </c>
      <c r="C47" s="27" t="inlineStr">
        <is>
          <t>Alternatives</t>
        </is>
      </c>
      <c r="D47" s="27" t="inlineStr">
        <is>
          <t>FALSE</t>
        </is>
      </c>
      <c r="E47" s="27" t="inlineStr">
        <is>
          <t>FALSE</t>
        </is>
      </c>
      <c r="F47" s="27" t="n"/>
    </row>
    <row r="48" ht="15" customHeight="1" s="17">
      <c r="A48" s="28" t="n">
        <v>19</v>
      </c>
      <c r="B48" s="27" t="inlineStr">
        <is>
          <t>I can think of more than one way to resolve a difficult situation I'm confronted with.</t>
        </is>
      </c>
      <c r="C48" s="27" t="inlineStr">
        <is>
          <t>Alternatives</t>
        </is>
      </c>
      <c r="D48" s="27" t="inlineStr">
        <is>
          <t>FALSE</t>
        </is>
      </c>
      <c r="E48" s="27" t="inlineStr">
        <is>
          <t>FALSE</t>
        </is>
      </c>
      <c r="F48" s="27" t="n"/>
    </row>
    <row r="49" ht="15" customHeight="1" s="17">
      <c r="A49" s="28" t="n">
        <v>20</v>
      </c>
      <c r="B49" s="27" t="inlineStr">
        <is>
          <t>I consider multiple options before responding to difficult situations.</t>
        </is>
      </c>
      <c r="C49" s="27" t="inlineStr">
        <is>
          <t>Alternatives</t>
        </is>
      </c>
      <c r="D49" s="27" t="inlineStr">
        <is>
          <t>FALSE</t>
        </is>
      </c>
      <c r="E49" s="27" t="inlineStr">
        <is>
          <t>FALSE</t>
        </is>
      </c>
      <c r="F49" s="27" t="n"/>
    </row>
  </sheetData>
  <autoFilter ref="A29:F4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Adult ADHD Self-Report Scale (ASRS v1.1)</t>
        </is>
      </c>
    </row>
    <row r="3" ht="15" customHeight="1" s="17">
      <c r="A3" s="35" t="inlineStr">
        <is>
          <t>Instrument</t>
        </is>
      </c>
      <c r="B3" s="27" t="inlineStr">
        <is>
          <t>Adult ADHD Self-Report Scale (ASRS v1.1)</t>
        </is>
      </c>
    </row>
    <row r="4" ht="15" customHeight="1" s="17">
      <c r="A4" s="35" t="inlineStr">
        <is>
          <t>Code</t>
        </is>
      </c>
      <c r="B4" s="27" t="inlineStr">
        <is>
          <t>ASRS</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Attention Deficit Hyperactivity Disorder (ADHD) symptoms in adults, spanning inattentiveness and hyperactivity/impulsivity (including motor and verbal components)</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18</t>
        </is>
      </c>
    </row>
    <row r="11" ht="15" customHeight="1" s="17">
      <c r="A11" s="35" t="inlineStr">
        <is>
          <t>Items reproduced here</t>
        </is>
      </c>
      <c r="B11" s="27" t="inlineStr">
        <is>
          <t>18</t>
        </is>
      </c>
    </row>
    <row r="12" ht="15" customHeight="1" s="17">
      <c r="A12" s="35" t="inlineStr">
        <is>
          <t>Administration time</t>
        </is>
      </c>
      <c r="B12" s="27" t="inlineStr">
        <is>
          <t>3 minutes</t>
        </is>
      </c>
    </row>
    <row r="13" ht="30" customHeight="1" s="17">
      <c r="A13" s="35" t="inlineStr">
        <is>
          <t>Cost and access</t>
        </is>
      </c>
      <c r="B13" s="27" t="inlineStr">
        <is>
          <t>Public domain WHO instrument. Blank form hosted free on NovoPsych; scoring and reports need a NovoPsych account.</t>
        </is>
      </c>
    </row>
    <row r="14" ht="30" customHeight="1" s="17">
      <c r="A14" s="35" t="inlineStr">
        <is>
          <t>Coaching application</t>
        </is>
      </c>
      <c r="B14" s="27" t="inlineStr">
        <is>
          <t>Screening and severity measure for current adult ADHD symptoms; pairs with the WURS-25 for childhood history. Not a diagnostic instrument on its own.</t>
        </is>
      </c>
    </row>
    <row r="15" ht="75" customHeight="1" s="17">
      <c r="A15" s="35" t="inlineStr">
        <is>
          <t>Purpose</t>
        </is>
      </c>
      <c r="B15"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row>
    <row r="16" ht="45" customHeight="1" s="17">
      <c r="A16" s="35" t="inlineStr">
        <is>
          <t>Instructions / prompt</t>
        </is>
      </c>
      <c r="B16" s="27" t="inlineStr">
        <is>
          <t>Please answer the questions below, rating yourself on each of the criteria shown. As you answer each question, select the box that best describes how you have felt and conducted yourself over the past 6 months.</t>
        </is>
      </c>
    </row>
    <row r="17" ht="15" customHeight="1" s="17">
      <c r="A17" s="35" t="inlineStr">
        <is>
          <t>Response options</t>
        </is>
      </c>
      <c r="B17" s="27" t="inlineStr">
        <is>
          <t>Never = 0 | Rarely = 1 | Sometimes = 2 | Often = 3 | Very Often = 4</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row>
    <row r="21" ht="169.5" customHeight="1" s="17">
      <c r="A21" s="35" t="inlineStr">
        <is>
          <t>Interpretation bands</t>
        </is>
      </c>
      <c r="B21"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row>
    <row r="22" ht="75" customHeight="1" s="17">
      <c r="A22" s="35" t="inlineStr">
        <is>
          <t>Cut-offs</t>
        </is>
      </c>
      <c r="B22"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row>
    <row r="23" ht="75" customHeight="1" s="17">
      <c r="A23" s="35" t="inlineStr">
        <is>
          <t>Normative data</t>
        </is>
      </c>
      <c r="B23"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row>
    <row r="24" ht="120" customHeight="1" s="17">
      <c r="A24" s="35" t="inlineStr">
        <is>
          <t>Psychometric properties</t>
        </is>
      </c>
      <c r="B2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row>
    <row r="25" ht="60" customHeight="1" s="17">
      <c r="A25" s="35" t="inlineStr">
        <is>
          <t>Developer citation</t>
        </is>
      </c>
      <c r="B25"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26" ht="30" customHeight="1" s="17">
      <c r="A26" s="35" t="inlineStr">
        <is>
          <t>Copyright and licensing</t>
        </is>
      </c>
      <c r="B26" s="27" t="inlineStr">
        <is>
          <t>Public-domain WHO instrument (ASRS v1.1 Symptom Checklist). Freely reproducible for clinical and research use; NovoPsych hosts the blank form as a public PDF.</t>
        </is>
      </c>
    </row>
    <row r="27" ht="15" customHeight="1" s="17">
      <c r="A27" s="35" t="inlineStr">
        <is>
          <t>Source URL</t>
        </is>
      </c>
      <c r="B27" s="27" t="inlineStr">
        <is>
          <t>https://novopsych.com/assessments/diagnosis/adult-adhd-self-report-scale-asrs/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How often do you have trouble wrapping up the final details of a project, once the challenging parts have been done?</t>
        </is>
      </c>
      <c r="C30" s="27" t="inlineStr">
        <is>
          <t>Part A | Inattentiveness</t>
        </is>
      </c>
      <c r="D30" s="27" t="inlineStr">
        <is>
          <t>FALSE</t>
        </is>
      </c>
      <c r="E30" s="27" t="inlineStr">
        <is>
          <t>FALSE</t>
        </is>
      </c>
      <c r="F30" s="27" t="n"/>
    </row>
    <row r="31" ht="23.85" customHeight="1" s="17">
      <c r="A31" s="28" t="n">
        <v>2</v>
      </c>
      <c r="B31" s="27" t="inlineStr">
        <is>
          <t>How often do you have difficulty getting things in order when you have to do a task that requires organisation?</t>
        </is>
      </c>
      <c r="C31" s="27" t="inlineStr">
        <is>
          <t>Part A | Inattentiveness</t>
        </is>
      </c>
      <c r="D31" s="27" t="inlineStr">
        <is>
          <t>FALSE</t>
        </is>
      </c>
      <c r="E31" s="27" t="inlineStr">
        <is>
          <t>FALSE</t>
        </is>
      </c>
      <c r="F31" s="27" t="n"/>
    </row>
    <row r="32" ht="15" customHeight="1" s="17">
      <c r="A32" s="28" t="n">
        <v>3</v>
      </c>
      <c r="B32" s="27" t="inlineStr">
        <is>
          <t>How often do you have problems remembering appointments or obligations?</t>
        </is>
      </c>
      <c r="C32" s="27" t="inlineStr">
        <is>
          <t>Part A | Inattentiveness</t>
        </is>
      </c>
      <c r="D32" s="27" t="inlineStr">
        <is>
          <t>FALSE</t>
        </is>
      </c>
      <c r="E32" s="27" t="inlineStr">
        <is>
          <t>FALSE</t>
        </is>
      </c>
      <c r="F32" s="27" t="n"/>
    </row>
    <row r="33" ht="23.85" customHeight="1" s="17">
      <c r="A33" s="28" t="n">
        <v>4</v>
      </c>
      <c r="B33" s="27" t="inlineStr">
        <is>
          <t>When you have a task that requires a lot of thought, how often do you avoid or delay getting started?</t>
        </is>
      </c>
      <c r="C33" s="27" t="inlineStr">
        <is>
          <t>Part A | Inattentiveness</t>
        </is>
      </c>
      <c r="D33" s="27" t="inlineStr">
        <is>
          <t>FALSE</t>
        </is>
      </c>
      <c r="E33" s="27" t="inlineStr">
        <is>
          <t>FALSE</t>
        </is>
      </c>
      <c r="F33" s="27" t="n"/>
    </row>
    <row r="34" ht="23.85" customHeight="1" s="17">
      <c r="A34" s="28" t="n">
        <v>5</v>
      </c>
      <c r="B34" s="27" t="inlineStr">
        <is>
          <t>How often do you fidget or squirm with your hands or feet when you have to sit down for a long time?</t>
        </is>
      </c>
      <c r="C34" s="27" t="inlineStr">
        <is>
          <t>Part A | Hyperactivity/Impulsivity - Motor</t>
        </is>
      </c>
      <c r="D34" s="27" t="inlineStr">
        <is>
          <t>FALSE</t>
        </is>
      </c>
      <c r="E34" s="27" t="inlineStr">
        <is>
          <t>FALSE</t>
        </is>
      </c>
      <c r="F34" s="27" t="n"/>
    </row>
    <row r="35" ht="15" customHeight="1" s="17">
      <c r="A35" s="28" t="n">
        <v>6</v>
      </c>
      <c r="B35" s="27" t="inlineStr">
        <is>
          <t>How often do you feel overly active and compelled to do things, like you were driven by a motor?</t>
        </is>
      </c>
      <c r="C35" s="27" t="inlineStr">
        <is>
          <t>Part A | Hyperactivity/Impulsivity - Motor</t>
        </is>
      </c>
      <c r="D35" s="27" t="inlineStr">
        <is>
          <t>FALSE</t>
        </is>
      </c>
      <c r="E35" s="27" t="inlineStr">
        <is>
          <t>FALSE</t>
        </is>
      </c>
      <c r="F35" s="27" t="n"/>
    </row>
    <row r="36" ht="15" customHeight="1" s="17">
      <c r="A36" s="28" t="n">
        <v>7</v>
      </c>
      <c r="B36" s="27" t="inlineStr">
        <is>
          <t>How often do you make careless mistakes when you have to work on a boring or difficult project?</t>
        </is>
      </c>
      <c r="C36" s="27" t="inlineStr">
        <is>
          <t>Part B | Inattentiveness</t>
        </is>
      </c>
      <c r="D36" s="27" t="inlineStr">
        <is>
          <t>FALSE</t>
        </is>
      </c>
      <c r="E36" s="27" t="inlineStr">
        <is>
          <t>FALSE</t>
        </is>
      </c>
      <c r="F36" s="27" t="n"/>
    </row>
    <row r="37" ht="23.85" customHeight="1" s="17">
      <c r="A37" s="28" t="n">
        <v>8</v>
      </c>
      <c r="B37" s="27" t="inlineStr">
        <is>
          <t>How often do you have difficulty keeping your attention when you are doing boring or repetitive work?</t>
        </is>
      </c>
      <c r="C37" s="27" t="inlineStr">
        <is>
          <t>Part B | Inattentiveness</t>
        </is>
      </c>
      <c r="D37" s="27" t="inlineStr">
        <is>
          <t>FALSE</t>
        </is>
      </c>
      <c r="E37" s="27" t="inlineStr">
        <is>
          <t>FALSE</t>
        </is>
      </c>
      <c r="F37" s="27" t="n"/>
    </row>
    <row r="38" ht="23.85" customHeight="1" s="17">
      <c r="A38" s="28" t="n">
        <v>9</v>
      </c>
      <c r="B38" s="27" t="inlineStr">
        <is>
          <t>How often do you have difficulty concentrating on what people say to you, even when they are speaking to you directly?</t>
        </is>
      </c>
      <c r="C38" s="27" t="inlineStr">
        <is>
          <t>Part B | Inattentiveness</t>
        </is>
      </c>
      <c r="D38" s="27" t="inlineStr">
        <is>
          <t>FALSE</t>
        </is>
      </c>
      <c r="E38" s="27" t="inlineStr">
        <is>
          <t>FALSE</t>
        </is>
      </c>
      <c r="F38" s="27" t="n"/>
    </row>
    <row r="39" ht="15" customHeight="1" s="17">
      <c r="A39" s="28" t="n">
        <v>10</v>
      </c>
      <c r="B39" s="27" t="inlineStr">
        <is>
          <t>How often do you misplace or have difficulty finding things at home or at work?</t>
        </is>
      </c>
      <c r="C39" s="27" t="inlineStr">
        <is>
          <t>Part B | Inattentiveness</t>
        </is>
      </c>
      <c r="D39" s="27" t="inlineStr">
        <is>
          <t>FALSE</t>
        </is>
      </c>
      <c r="E39" s="27" t="inlineStr">
        <is>
          <t>FALSE</t>
        </is>
      </c>
      <c r="F39" s="27" t="n"/>
    </row>
    <row r="40" ht="15" customHeight="1" s="17">
      <c r="A40" s="28" t="n">
        <v>11</v>
      </c>
      <c r="B40" s="27" t="inlineStr">
        <is>
          <t>How often are you distracted by activity or noise around you?</t>
        </is>
      </c>
      <c r="C40" s="27" t="inlineStr">
        <is>
          <t>Part B | Inattentiveness</t>
        </is>
      </c>
      <c r="D40" s="27" t="inlineStr">
        <is>
          <t>FALSE</t>
        </is>
      </c>
      <c r="E40" s="27" t="inlineStr">
        <is>
          <t>FALSE</t>
        </is>
      </c>
      <c r="F40" s="27" t="n"/>
    </row>
    <row r="41" ht="23.85" customHeight="1" s="17">
      <c r="A41" s="28" t="n">
        <v>12</v>
      </c>
      <c r="B41" s="27" t="inlineStr">
        <is>
          <t>How often do you leave your seat in meetings or other situations in which you are expected to remain seated?</t>
        </is>
      </c>
      <c r="C41" s="27" t="inlineStr">
        <is>
          <t>Part B | Hyperactivity/Impulsivity - Motor</t>
        </is>
      </c>
      <c r="D41" s="27" t="inlineStr">
        <is>
          <t>FALSE</t>
        </is>
      </c>
      <c r="E41" s="27" t="inlineStr">
        <is>
          <t>FALSE</t>
        </is>
      </c>
      <c r="F41" s="27" t="n"/>
    </row>
    <row r="42" ht="15" customHeight="1" s="17">
      <c r="A42" s="28" t="n">
        <v>13</v>
      </c>
      <c r="B42" s="27" t="inlineStr">
        <is>
          <t>How often do you feel restless or fidgety?</t>
        </is>
      </c>
      <c r="C42" s="27" t="inlineStr">
        <is>
          <t>Part B | Hyperactivity/Impulsivity - Motor</t>
        </is>
      </c>
      <c r="D42" s="27" t="inlineStr">
        <is>
          <t>FALSE</t>
        </is>
      </c>
      <c r="E42" s="27" t="inlineStr">
        <is>
          <t>FALSE</t>
        </is>
      </c>
      <c r="F42" s="27" t="n"/>
    </row>
    <row r="43" ht="15" customHeight="1" s="17">
      <c r="A43" s="28" t="n">
        <v>14</v>
      </c>
      <c r="B43" s="27" t="inlineStr">
        <is>
          <t>How often do you have difficulty unwinding and relaxing when you have time to yourself?</t>
        </is>
      </c>
      <c r="C43" s="27" t="inlineStr">
        <is>
          <t>Part B | Hyperactivity/Impulsivity - Motor</t>
        </is>
      </c>
      <c r="D43" s="27" t="inlineStr">
        <is>
          <t>FALSE</t>
        </is>
      </c>
      <c r="E43" s="27" t="inlineStr">
        <is>
          <t>FALSE</t>
        </is>
      </c>
      <c r="F43" s="27" t="n"/>
    </row>
    <row r="44" ht="15" customHeight="1" s="17">
      <c r="A44" s="28" t="n">
        <v>15</v>
      </c>
      <c r="B44" s="27" t="inlineStr">
        <is>
          <t>How often do you find yourself talking too much when you are in social situations?</t>
        </is>
      </c>
      <c r="C44" s="27" t="inlineStr">
        <is>
          <t>Part B | Hyperactivity/Impulsivity - Verbal</t>
        </is>
      </c>
      <c r="D44" s="27" t="inlineStr">
        <is>
          <t>FALSE</t>
        </is>
      </c>
      <c r="E44" s="27" t="inlineStr">
        <is>
          <t>FALSE</t>
        </is>
      </c>
      <c r="F44" s="27" t="n"/>
    </row>
    <row r="45" ht="23.85" customHeight="1" s="17">
      <c r="A45" s="28" t="n">
        <v>16</v>
      </c>
      <c r="B45" s="27" t="inlineStr">
        <is>
          <t>When you're in a conversation, how often do you find yourself finishing the sentences of the people you are talking to, before they can finish them themselves?</t>
        </is>
      </c>
      <c r="C45" s="27" t="inlineStr">
        <is>
          <t>Part B | Hyperactivity/Impulsivity - Verbal</t>
        </is>
      </c>
      <c r="D45" s="27" t="inlineStr">
        <is>
          <t>FALSE</t>
        </is>
      </c>
      <c r="E45" s="27" t="inlineStr">
        <is>
          <t>FALSE</t>
        </is>
      </c>
      <c r="F45" s="27" t="n"/>
    </row>
    <row r="46" ht="15" customHeight="1" s="17">
      <c r="A46" s="28" t="n">
        <v>17</v>
      </c>
      <c r="B46" s="27" t="inlineStr">
        <is>
          <t>How often do you have difficulty waiting your turn in situations when turn taking is required?</t>
        </is>
      </c>
      <c r="C46" s="27" t="inlineStr">
        <is>
          <t>Part B | Hyperactivity/Impulsivity - Verbal</t>
        </is>
      </c>
      <c r="D46" s="27" t="inlineStr">
        <is>
          <t>FALSE</t>
        </is>
      </c>
      <c r="E46" s="27" t="inlineStr">
        <is>
          <t>FALSE</t>
        </is>
      </c>
      <c r="F46" s="27" t="n"/>
    </row>
    <row r="47" ht="15" customHeight="1" s="17">
      <c r="A47" s="28" t="n">
        <v>18</v>
      </c>
      <c r="B47" s="27" t="inlineStr">
        <is>
          <t>How often do you interrupt others when they are busy?</t>
        </is>
      </c>
      <c r="C47" s="27" t="inlineStr">
        <is>
          <t>Part B | Hyperactivity/Impulsivity - Verbal</t>
        </is>
      </c>
      <c r="D47" s="27" t="inlineStr">
        <is>
          <t>FALSE</t>
        </is>
      </c>
      <c r="E47" s="27" t="inlineStr">
        <is>
          <t>FALSE</t>
        </is>
      </c>
      <c r="F47" s="27" t="n"/>
    </row>
  </sheetData>
  <autoFilter ref="A29:F4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Knowledge Scale</t>
        </is>
      </c>
    </row>
    <row r="3" ht="15" customHeight="1" s="17">
      <c r="A3" s="35" t="inlineStr">
        <is>
          <t>Instrument</t>
        </is>
      </c>
      <c r="B3" s="27" t="inlineStr">
        <is>
          <t>Strengths Knowledge Scale</t>
        </is>
      </c>
    </row>
    <row r="4" ht="15" customHeight="1" s="17">
      <c r="A4" s="35" t="inlineStr">
        <is>
          <t>Code</t>
        </is>
      </c>
      <c r="B4" s="27" t="inlineStr">
        <is>
          <t>SKS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self-knowledge of one's own personal strengths, i.e. the extent to which a person is aware of what they do best.</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8</t>
        </is>
      </c>
    </row>
    <row r="11" ht="15" customHeight="1" s="17">
      <c r="A11" s="35" t="inlineStr">
        <is>
          <t>Items reproduced here</t>
        </is>
      </c>
      <c r="B11" s="27" t="inlineStr">
        <is>
          <t>8</t>
        </is>
      </c>
    </row>
    <row r="12" ht="15" customHeight="1" s="17">
      <c r="A12" s="35" t="inlineStr">
        <is>
          <t>Administration time</t>
        </is>
      </c>
      <c r="B12" s="27" t="inlineStr">
        <is>
          <t>2-3 minutes</t>
        </is>
      </c>
    </row>
    <row r="13" ht="135" customHeight="1" s="17">
      <c r="A13" s="35" t="inlineStr">
        <is>
          <t>Cost and access</t>
        </is>
      </c>
      <c r="B13"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20" customHeight="1" s="17">
      <c r="A14" s="35" t="inlineStr">
        <is>
          <t>Coaching application</t>
        </is>
      </c>
      <c r="B14"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row>
    <row r="15" ht="60" customHeight="1" s="17">
      <c r="A15" s="35" t="inlineStr">
        <is>
          <t>Purpose</t>
        </is>
      </c>
      <c r="B1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row>
    <row r="16" ht="15" customHeight="1" s="17">
      <c r="A16" s="35" t="inlineStr">
        <is>
          <t>Instructions / prompt</t>
        </is>
      </c>
      <c r="B16" s="27" t="inlineStr">
        <is>
          <t>Not stated on source</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8 item ratings. Higher total scores indicate greater self-perceived knowledge of one's own strengths. No published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SKS. It is used as a continuous research/coaching variable, typically compared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Other people see the strengths that I have</t>
        </is>
      </c>
      <c r="C30" s="27" t="inlineStr">
        <is>
          <t>Strengths Knowledge (total scale)</t>
        </is>
      </c>
      <c r="D30" s="27" t="inlineStr">
        <is>
          <t>FALSE</t>
        </is>
      </c>
      <c r="E30" s="27" t="inlineStr">
        <is>
          <t>FALSE</t>
        </is>
      </c>
      <c r="F30" s="27" t="inlineStr">
        <is>
          <t>Verbatim as reproduced in Frontiers in Psychology (2023), Table 5, citing Govindji &amp; Linley (2007).</t>
        </is>
      </c>
    </row>
    <row r="31" ht="79.84999999999999" customHeight="1" s="17">
      <c r="A31" s="28" t="n">
        <v>2</v>
      </c>
      <c r="B31" s="27" t="inlineStr">
        <is>
          <t>I have to think hard about what my strengths are</t>
        </is>
      </c>
      <c r="C31" s="27" t="inlineStr">
        <is>
          <t>Strengths Knowledge (total scale)</t>
        </is>
      </c>
      <c r="D31" s="27" t="inlineStr">
        <is>
          <t>FALSE</t>
        </is>
      </c>
      <c r="E31" s="27" t="inlineStr">
        <is>
          <t>FALSE</t>
        </is>
      </c>
      <c r="F31"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row>
    <row r="32" ht="15" customHeight="1" s="17">
      <c r="A32" s="28" t="n">
        <v>3</v>
      </c>
      <c r="B32" s="27" t="inlineStr">
        <is>
          <t>I know what I do best</t>
        </is>
      </c>
      <c r="C32" s="27" t="inlineStr">
        <is>
          <t>Strengths Knowledge (total scale)</t>
        </is>
      </c>
      <c r="D32" s="27" t="inlineStr">
        <is>
          <t>FALSE</t>
        </is>
      </c>
      <c r="E32" s="27" t="inlineStr">
        <is>
          <t>FALSE</t>
        </is>
      </c>
      <c r="F32" s="27" t="inlineStr">
        <is>
          <t>Verbatim as reproduced in Frontiers in Psychology (2023), Table 5.</t>
        </is>
      </c>
    </row>
    <row r="33" ht="15" customHeight="1" s="17">
      <c r="A33" s="28" t="n">
        <v>4</v>
      </c>
      <c r="B33" s="27" t="inlineStr">
        <is>
          <t>I am aware of my strengths</t>
        </is>
      </c>
      <c r="C33" s="27" t="inlineStr">
        <is>
          <t>Strengths Knowledge (total scale)</t>
        </is>
      </c>
      <c r="D33" s="27" t="inlineStr">
        <is>
          <t>FALSE</t>
        </is>
      </c>
      <c r="E33" s="27" t="inlineStr">
        <is>
          <t>FALSE</t>
        </is>
      </c>
      <c r="F33" s="27" t="inlineStr">
        <is>
          <t>Verbatim as reproduced in Frontiers in Psychology (2023), Table 5.</t>
        </is>
      </c>
    </row>
    <row r="34" ht="15" customHeight="1" s="17">
      <c r="A34" s="28" t="n">
        <v>5</v>
      </c>
      <c r="B34" s="27" t="inlineStr">
        <is>
          <t>I know the things I am good at doing</t>
        </is>
      </c>
      <c r="C34" s="27" t="inlineStr">
        <is>
          <t>Strengths Knowledge (total scale)</t>
        </is>
      </c>
      <c r="D34" s="27" t="inlineStr">
        <is>
          <t>FALSE</t>
        </is>
      </c>
      <c r="E34" s="27" t="inlineStr">
        <is>
          <t>FALSE</t>
        </is>
      </c>
      <c r="F34" s="27" t="inlineStr">
        <is>
          <t>Verbatim as reproduced in Frontiers in Psychology (2023), Table 5.</t>
        </is>
      </c>
    </row>
    <row r="35" ht="15" customHeight="1" s="17">
      <c r="A35" s="28" t="n">
        <v>6</v>
      </c>
      <c r="B35" s="27" t="inlineStr">
        <is>
          <t>I know my strengths well</t>
        </is>
      </c>
      <c r="C35" s="27" t="inlineStr">
        <is>
          <t>Strengths Knowledge (total scale)</t>
        </is>
      </c>
      <c r="D35" s="27" t="inlineStr">
        <is>
          <t>FALSE</t>
        </is>
      </c>
      <c r="E35" s="27" t="inlineStr">
        <is>
          <t>FALSE</t>
        </is>
      </c>
      <c r="F35" s="27" t="inlineStr">
        <is>
          <t>Verbatim as reproduced in Frontiers in Psychology (2023), Table 5.</t>
        </is>
      </c>
    </row>
    <row r="36" ht="15" customHeight="1" s="17">
      <c r="A36" s="28" t="n">
        <v>7</v>
      </c>
      <c r="B36" s="27" t="inlineStr">
        <is>
          <t>I know the things I do best</t>
        </is>
      </c>
      <c r="C36" s="27" t="inlineStr">
        <is>
          <t>Strengths Knowledge (total scale)</t>
        </is>
      </c>
      <c r="D36" s="27" t="inlineStr">
        <is>
          <t>FALSE</t>
        </is>
      </c>
      <c r="E36" s="27" t="inlineStr">
        <is>
          <t>FALSE</t>
        </is>
      </c>
      <c r="F36" s="27" t="inlineStr">
        <is>
          <t>Verbatim as reproduced in Frontiers in Psychology (2023), Table 5.</t>
        </is>
      </c>
    </row>
    <row r="37" ht="15" customHeight="1" s="17">
      <c r="A37" s="28" t="n">
        <v>8</v>
      </c>
      <c r="B37" s="27" t="inlineStr">
        <is>
          <t>I know when I am at my best</t>
        </is>
      </c>
      <c r="C37" s="27" t="inlineStr">
        <is>
          <t>Strengths Knowledge (total scale)</t>
        </is>
      </c>
      <c r="D37" s="27" t="inlineStr">
        <is>
          <t>FALSE</t>
        </is>
      </c>
      <c r="E37" s="27" t="inlineStr">
        <is>
          <t>FALSE</t>
        </is>
      </c>
      <c r="F37" s="27" t="inlineStr">
        <is>
          <t>Verbatim as reproduced in Frontiers in Psychology (2023), Table 5.</t>
        </is>
      </c>
    </row>
  </sheetData>
  <autoFilter ref="A29:F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4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Use Scale</t>
        </is>
      </c>
    </row>
    <row r="3" ht="15" customHeight="1" s="17">
      <c r="A3" s="35" t="inlineStr">
        <is>
          <t>Instrument</t>
        </is>
      </c>
      <c r="B3" s="27" t="inlineStr">
        <is>
          <t>Strengths Use Scale</t>
        </is>
      </c>
    </row>
    <row r="4" ht="15" customHeight="1" s="17">
      <c r="A4" s="35" t="inlineStr">
        <is>
          <t>Code</t>
        </is>
      </c>
      <c r="B4" s="27" t="inlineStr">
        <is>
          <t>SUS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deployment of one's own personal strengths in daily life, i.e. the extent to which a person actively uses what they do best across situations.</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14</t>
        </is>
      </c>
    </row>
    <row r="11" ht="15" customHeight="1" s="17">
      <c r="A11" s="35" t="inlineStr">
        <is>
          <t>Items reproduced here</t>
        </is>
      </c>
      <c r="B11" s="27" t="inlineStr">
        <is>
          <t>14</t>
        </is>
      </c>
    </row>
    <row r="12" ht="15" customHeight="1" s="17">
      <c r="A12" s="35" t="inlineStr">
        <is>
          <t>Administration time</t>
        </is>
      </c>
      <c r="B12" s="27" t="inlineStr">
        <is>
          <t>3-5 minutes</t>
        </is>
      </c>
    </row>
    <row r="13" ht="135" customHeight="1" s="17">
      <c r="A13" s="35" t="inlineStr">
        <is>
          <t>Cost and access</t>
        </is>
      </c>
      <c r="B13"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05" customHeight="1" s="17">
      <c r="A14" s="35" t="inlineStr">
        <is>
          <t>Coaching application</t>
        </is>
      </c>
      <c r="B14"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row>
    <row r="15" ht="60" customHeight="1" s="17">
      <c r="A15" s="35" t="inlineStr">
        <is>
          <t>Purpose</t>
        </is>
      </c>
      <c r="B15"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row>
    <row r="16" ht="30" customHeight="1" s="17">
      <c r="A16" s="35" t="inlineStr">
        <is>
          <t>Instructions / prompt</t>
        </is>
      </c>
      <c r="B16" s="27" t="inlineStr">
        <is>
          <t>The following 14 questions ask about your strengths, that is, the things that you can do well or do best.</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14 item ratings. Higher total scores indicate greater self-reported use of personal strengths in daily life. No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SUS. It is used as a continuous research/coaching variable, typically tracked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regularly able to do what I do best.</t>
        </is>
      </c>
      <c r="C30" s="27" t="inlineStr">
        <is>
          <t>Strengths Use (total scale)</t>
        </is>
      </c>
      <c r="D30" s="27" t="inlineStr">
        <is>
          <t>FALSE</t>
        </is>
      </c>
      <c r="E30" s="27" t="inlineStr">
        <is>
          <t>FALSE</t>
        </is>
      </c>
      <c r="F30" s="27" t="inlineStr">
        <is>
          <t>Verbatim as reproduced in Frontiers in Psychology (2023), Table 2, citing Govindji &amp; Linley (2007).</t>
        </is>
      </c>
    </row>
    <row r="31" ht="15" customHeight="1" s="17">
      <c r="A31" s="28" t="n">
        <v>2</v>
      </c>
      <c r="B31" s="27" t="inlineStr">
        <is>
          <t>I always play to my strengths.</t>
        </is>
      </c>
      <c r="C31" s="27" t="inlineStr">
        <is>
          <t>Strengths Use (total scale)</t>
        </is>
      </c>
      <c r="D31" s="27" t="inlineStr">
        <is>
          <t>FALSE</t>
        </is>
      </c>
      <c r="E31" s="27" t="inlineStr">
        <is>
          <t>FALSE</t>
        </is>
      </c>
      <c r="F31" s="27" t="inlineStr">
        <is>
          <t>Verbatim as reproduced in Frontiers in Psychology (2023), Table 2.</t>
        </is>
      </c>
    </row>
    <row r="32" ht="15" customHeight="1" s="17">
      <c r="A32" s="28" t="n">
        <v>3</v>
      </c>
      <c r="B32" s="27" t="inlineStr">
        <is>
          <t>I always try to use my strengths.</t>
        </is>
      </c>
      <c r="C32" s="27" t="inlineStr">
        <is>
          <t>Strengths Use (total scale)</t>
        </is>
      </c>
      <c r="D32" s="27" t="inlineStr">
        <is>
          <t>FALSE</t>
        </is>
      </c>
      <c r="E32" s="27" t="inlineStr">
        <is>
          <t>FALSE</t>
        </is>
      </c>
      <c r="F32" s="27" t="inlineStr">
        <is>
          <t>Verbatim as reproduced in Frontiers in Psychology (2023), Table 2.</t>
        </is>
      </c>
    </row>
    <row r="33" ht="15" customHeight="1" s="17">
      <c r="A33" s="28" t="n">
        <v>4</v>
      </c>
      <c r="B33" s="27" t="inlineStr">
        <is>
          <t>I achieve what I want by using my strengths.</t>
        </is>
      </c>
      <c r="C33" s="27" t="inlineStr">
        <is>
          <t>Strengths Use (total scale)</t>
        </is>
      </c>
      <c r="D33" s="27" t="inlineStr">
        <is>
          <t>FALSE</t>
        </is>
      </c>
      <c r="E33" s="27" t="inlineStr">
        <is>
          <t>FALSE</t>
        </is>
      </c>
      <c r="F33" s="27" t="inlineStr">
        <is>
          <t>Verbatim as reproduced in Frontiers in Psychology (2023), Table 2.</t>
        </is>
      </c>
    </row>
    <row r="34" ht="15" customHeight="1" s="17">
      <c r="A34" s="28" t="n">
        <v>5</v>
      </c>
      <c r="B34" s="27" t="inlineStr">
        <is>
          <t>I use my strengths every day.</t>
        </is>
      </c>
      <c r="C34" s="27" t="inlineStr">
        <is>
          <t>Strengths Use (total scale)</t>
        </is>
      </c>
      <c r="D34" s="27" t="inlineStr">
        <is>
          <t>FALSE</t>
        </is>
      </c>
      <c r="E34" s="27" t="inlineStr">
        <is>
          <t>FALSE</t>
        </is>
      </c>
      <c r="F34" s="27" t="inlineStr">
        <is>
          <t>Verbatim as reproduced in Frontiers in Psychology (2023), Table 2.</t>
        </is>
      </c>
    </row>
    <row r="35" ht="15" customHeight="1" s="17">
      <c r="A35" s="28" t="n">
        <v>6</v>
      </c>
      <c r="B35" s="27" t="inlineStr">
        <is>
          <t>I use my strengths to get what I want out of life.</t>
        </is>
      </c>
      <c r="C35" s="27" t="inlineStr">
        <is>
          <t>Strengths Use (total scale)</t>
        </is>
      </c>
      <c r="D35" s="27" t="inlineStr">
        <is>
          <t>FALSE</t>
        </is>
      </c>
      <c r="E35" s="27" t="inlineStr">
        <is>
          <t>FALSE</t>
        </is>
      </c>
      <c r="F35" s="27" t="inlineStr">
        <is>
          <t>Verbatim as reproduced in Frontiers in Psychology (2023), Table 2.</t>
        </is>
      </c>
    </row>
    <row r="36" ht="15" customHeight="1" s="17">
      <c r="A36" s="28" t="n">
        <v>7</v>
      </c>
      <c r="B36" s="27" t="inlineStr">
        <is>
          <t>My work gives me lots of opportunities to use my strengths.</t>
        </is>
      </c>
      <c r="C36" s="27" t="inlineStr">
        <is>
          <t>Strengths Use (total scale)</t>
        </is>
      </c>
      <c r="D36" s="27" t="inlineStr">
        <is>
          <t>FALSE</t>
        </is>
      </c>
      <c r="E36" s="27" t="inlineStr">
        <is>
          <t>FALSE</t>
        </is>
      </c>
      <c r="F36" s="27" t="inlineStr">
        <is>
          <t>Verbatim as reproduced in Frontiers in Psychology (2023), Table 2.</t>
        </is>
      </c>
    </row>
    <row r="37" ht="15" customHeight="1" s="17">
      <c r="A37" s="28" t="n">
        <v>8</v>
      </c>
      <c r="B37" s="27" t="inlineStr">
        <is>
          <t>My life presents me with lots of different ways to use my strengths.</t>
        </is>
      </c>
      <c r="C37" s="27" t="inlineStr">
        <is>
          <t>Strengths Use (total scale)</t>
        </is>
      </c>
      <c r="D37" s="27" t="inlineStr">
        <is>
          <t>FALSE</t>
        </is>
      </c>
      <c r="E37" s="27" t="inlineStr">
        <is>
          <t>FALSE</t>
        </is>
      </c>
      <c r="F37" s="27" t="inlineStr">
        <is>
          <t>Verbatim as reproduced in Frontiers in Psychology (2023), Table 2.</t>
        </is>
      </c>
    </row>
    <row r="38" ht="15" customHeight="1" s="17">
      <c r="A38" s="28" t="n">
        <v>9</v>
      </c>
      <c r="B38" s="27" t="inlineStr">
        <is>
          <t>Using my strengths comes naturally to me.</t>
        </is>
      </c>
      <c r="C38" s="27" t="inlineStr">
        <is>
          <t>Strengths Use (total scale)</t>
        </is>
      </c>
      <c r="D38" s="27" t="inlineStr">
        <is>
          <t>FALSE</t>
        </is>
      </c>
      <c r="E38" s="27" t="inlineStr">
        <is>
          <t>FALSE</t>
        </is>
      </c>
      <c r="F38" s="27" t="inlineStr">
        <is>
          <t>Verbatim as reproduced in Frontiers in Psychology (2023), Table 2.</t>
        </is>
      </c>
    </row>
    <row r="39" ht="15" customHeight="1" s="17">
      <c r="A39" s="28" t="n">
        <v>10</v>
      </c>
      <c r="B39" s="27" t="inlineStr">
        <is>
          <t>I find it easy to use my strengths in the things I do.</t>
        </is>
      </c>
      <c r="C39" s="27" t="inlineStr">
        <is>
          <t>Strengths Use (total scale)</t>
        </is>
      </c>
      <c r="D39" s="27" t="inlineStr">
        <is>
          <t>FALSE</t>
        </is>
      </c>
      <c r="E39" s="27" t="inlineStr">
        <is>
          <t>FALSE</t>
        </is>
      </c>
      <c r="F39" s="27" t="inlineStr">
        <is>
          <t>Verbatim as reproduced in Frontiers in Psychology (2023), Table 2.</t>
        </is>
      </c>
    </row>
    <row r="40" ht="15" customHeight="1" s="17">
      <c r="A40" s="28" t="n">
        <v>11</v>
      </c>
      <c r="B40" s="27" t="inlineStr">
        <is>
          <t>I am able to use my strengths in lots of different situations.</t>
        </is>
      </c>
      <c r="C40" s="27" t="inlineStr">
        <is>
          <t>Strengths Use (total scale)</t>
        </is>
      </c>
      <c r="D40" s="27" t="inlineStr">
        <is>
          <t>FALSE</t>
        </is>
      </c>
      <c r="E40" s="27" t="inlineStr">
        <is>
          <t>FALSE</t>
        </is>
      </c>
      <c r="F40" s="27" t="inlineStr">
        <is>
          <t>Verbatim as reproduced in Frontiers in Psychology (2023), Table 2.</t>
        </is>
      </c>
    </row>
    <row r="41" ht="15" customHeight="1" s="17">
      <c r="A41" s="28" t="n">
        <v>12</v>
      </c>
      <c r="B41" s="27" t="inlineStr">
        <is>
          <t>Most of my time is spent doing the things that I am good at doing.</t>
        </is>
      </c>
      <c r="C41" s="27" t="inlineStr">
        <is>
          <t>Strengths Use (total scale)</t>
        </is>
      </c>
      <c r="D41" s="27" t="inlineStr">
        <is>
          <t>FALSE</t>
        </is>
      </c>
      <c r="E41" s="27" t="inlineStr">
        <is>
          <t>FALSE</t>
        </is>
      </c>
      <c r="F41" s="27" t="inlineStr">
        <is>
          <t>Verbatim as reproduced in Frontiers in Psychology (2023), Table 2.</t>
        </is>
      </c>
    </row>
    <row r="42" ht="15" customHeight="1" s="17">
      <c r="A42" s="28" t="n">
        <v>13</v>
      </c>
      <c r="B42" s="27" t="inlineStr">
        <is>
          <t>Using my strengths is something I am familiar with.</t>
        </is>
      </c>
      <c r="C42" s="27" t="inlineStr">
        <is>
          <t>Strengths Use (total scale)</t>
        </is>
      </c>
      <c r="D42" s="27" t="inlineStr">
        <is>
          <t>FALSE</t>
        </is>
      </c>
      <c r="E42" s="27" t="inlineStr">
        <is>
          <t>FALSE</t>
        </is>
      </c>
      <c r="F42" s="27" t="inlineStr">
        <is>
          <t>Verbatim as reproduced in Frontiers in Psychology (2023), Table 2.</t>
        </is>
      </c>
    </row>
    <row r="43" ht="15" customHeight="1" s="17">
      <c r="A43" s="28" t="n">
        <v>14</v>
      </c>
      <c r="B43" s="27" t="inlineStr">
        <is>
          <t>I am able to use my strengths in lots of different ways.</t>
        </is>
      </c>
      <c r="C43" s="27" t="inlineStr">
        <is>
          <t>Strengths Use (total scale)</t>
        </is>
      </c>
      <c r="D43" s="27" t="inlineStr">
        <is>
          <t>FALSE</t>
        </is>
      </c>
      <c r="E43" s="27" t="inlineStr">
        <is>
          <t>FALSE</t>
        </is>
      </c>
      <c r="F43" s="27" t="inlineStr">
        <is>
          <t>Verbatim as reproduced in Frontiers in Psychology (2023), Table 2.</t>
        </is>
      </c>
    </row>
  </sheetData>
  <autoFilter ref="A29:F4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Self-Efficacy Scale</t>
        </is>
      </c>
    </row>
    <row r="3" ht="15" customHeight="1" s="17">
      <c r="A3" s="35" t="inlineStr">
        <is>
          <t>Instrument</t>
        </is>
      </c>
      <c r="B3" s="27" t="inlineStr">
        <is>
          <t>Strengths Self-Efficacy Scale</t>
        </is>
      </c>
    </row>
    <row r="4" ht="15" customHeight="1" s="17">
      <c r="A4" s="35" t="inlineStr">
        <is>
          <t>Code</t>
        </is>
      </c>
      <c r="B4" s="27" t="inlineStr">
        <is>
          <t>SSES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self-efficacy (confidence) in one's ability to identify, apply and use one's personal strengths across everyday situations, at work or study, and in pursuit of goals.</t>
        </is>
      </c>
    </row>
    <row r="8" ht="15" customHeight="1" s="17">
      <c r="A8" s="35" t="inlineStr">
        <is>
          <t>Respondent</t>
        </is>
      </c>
      <c r="B8" s="27" t="inlineStr">
        <is>
          <t>Self-report</t>
        </is>
      </c>
    </row>
    <row r="9" ht="30" customHeight="1" s="17">
      <c r="A9" s="35" t="inlineStr">
        <is>
          <t>Age range</t>
        </is>
      </c>
      <c r="B9" s="27" t="inlineStr">
        <is>
          <t>Adults; validated with U.S. college students and working adults, applicable to late-secondary and university-age coaching clients</t>
        </is>
      </c>
    </row>
    <row r="10" ht="15" customHeight="1" s="17">
      <c r="A10" s="35" t="inlineStr">
        <is>
          <t>Items in instrument</t>
        </is>
      </c>
      <c r="B10" s="27" t="inlineStr">
        <is>
          <t>11</t>
        </is>
      </c>
    </row>
    <row r="11" ht="15" customHeight="1" s="17">
      <c r="A11" s="35" t="inlineStr">
        <is>
          <t>Items reproduced here</t>
        </is>
      </c>
      <c r="B11" s="27" t="inlineStr">
        <is>
          <t>11</t>
        </is>
      </c>
    </row>
    <row r="12" ht="15" customHeight="1" s="17">
      <c r="A12" s="35" t="inlineStr">
        <is>
          <t>Administration time</t>
        </is>
      </c>
      <c r="B12" s="27" t="inlineStr">
        <is>
          <t>3-5 minutes</t>
        </is>
      </c>
    </row>
    <row r="13" ht="90" customHeight="1" s="17">
      <c r="A13" s="35" t="inlineStr">
        <is>
          <t>Cost and access</t>
        </is>
      </c>
      <c r="B13"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row>
    <row r="14" ht="120" customHeight="1" s="17">
      <c r="A14" s="35" t="inlineStr">
        <is>
          <t>Coaching application</t>
        </is>
      </c>
      <c r="B14"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row>
    <row r="15" ht="60" customHeight="1" s="17">
      <c r="A15" s="35" t="inlineStr">
        <is>
          <t>Purpose</t>
        </is>
      </c>
      <c r="B15"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row>
    <row r="16" ht="30" customHeight="1" s="17">
      <c r="A16" s="35" t="inlineStr">
        <is>
          <t>Instructions / prompt</t>
        </is>
      </c>
      <c r="B16" s="27" t="inlineStr">
        <is>
          <t>First, please list your 5 signature strengths below: [space for 5 strengths]. How confident are you in your ability to ....</t>
        </is>
      </c>
    </row>
    <row r="17" ht="30" customHeight="1" s="17">
      <c r="A17" s="35" t="inlineStr">
        <is>
          <t>Response options</t>
        </is>
      </c>
      <c r="B17" s="27" t="inlineStr">
        <is>
          <t>Not confident at all = 1 | 2 = 2 | 3 = 3 | 4 = 4 | Moderately confident = 5 | 6 = 6 | 7 = 7 | 8 = 8 | 9 = 9 | Extremely confident = 10</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the 11 item scores for a total (range 11-110); a weighted/mean score can also be calculated by dividing the total by 11. Higher scores indicate greater confidence in using one's strengths. No items are reverse-scored.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SSES. It is intended as a continuous measure for research and for tracking an individual's own change over time, not for categorical classification.</t>
        </is>
      </c>
    </row>
    <row r="23" ht="45" customHeight="1" s="17">
      <c r="A23" s="35" t="inlineStr">
        <is>
          <t>Normative data</t>
        </is>
      </c>
      <c r="B23" s="27" t="inlineStr">
        <is>
          <t>No published normative tables were located. The original validation samples were U.S. adults: 275 in the exploratory factor analysis phase, 302 in the confirmatory phase, and 36 in a 3-week test-retest reliability subsample.</t>
        </is>
      </c>
    </row>
    <row r="24" ht="105" customHeight="1" s="17">
      <c r="A24" s="35" t="inlineStr">
        <is>
          <t>Psychometric properties</t>
        </is>
      </c>
      <c r="B24"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row>
    <row r="25" ht="45" customHeight="1" s="17">
      <c r="A25" s="35" t="inlineStr">
        <is>
          <t>Developer citation</t>
        </is>
      </c>
      <c r="B25" s="27" t="inlineStr">
        <is>
          <t>Tsai, C.-L., Chaichanasakul, A., Zhao, R., Flores, L. Y., &amp; Lopez, S. J. (2014). Development and validation of the Strengths Self-Efficacy Scale (SSES). Journal of Career Assessment, 22(2), 221-232. https://doi.org/10.1177/1069072713493761</t>
        </is>
      </c>
    </row>
    <row r="26" ht="90" customHeight="1" s="17">
      <c r="A26" s="35" t="inlineStr">
        <is>
          <t>Copyright and licensing</t>
        </is>
      </c>
      <c r="B26"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row>
    <row r="27" ht="15" customHeight="1" s="17">
      <c r="A27" s="35" t="inlineStr">
        <is>
          <t>Source URL</t>
        </is>
      </c>
      <c r="B27" s="27" t="inlineStr">
        <is>
          <t>https://positivepsychology.com/wp-content/uploads/The-Strengths-Self-efficacy-Scale.pdf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35.05" customHeight="1" s="17">
      <c r="A30" s="28" t="n">
        <v>1</v>
      </c>
      <c r="B30" s="27" t="inlineStr">
        <is>
          <t>Use your strengths at work?</t>
        </is>
      </c>
      <c r="C30" s="27" t="inlineStr">
        <is>
          <t>Strengths Self-Efficacy (total scale)</t>
        </is>
      </c>
      <c r="D30" s="27" t="inlineStr">
        <is>
          <t>FALSE</t>
        </is>
      </c>
      <c r="E30" s="27" t="inlineStr">
        <is>
          <t>FALSE</t>
        </is>
      </c>
      <c r="F30" s="27" t="inlineStr">
        <is>
          <t>Verbatim as reproduced in the PositivePsychology.com PDF and corroborated by an independent academia.edu reproduction, both stemmed from "How confident are you in your ability to ...."</t>
        </is>
      </c>
    </row>
    <row r="31" ht="23.85" customHeight="1" s="17">
      <c r="A31" s="28" t="n">
        <v>2</v>
      </c>
      <c r="B31" s="27" t="inlineStr">
        <is>
          <t>Use your strengths without any struggles?</t>
        </is>
      </c>
      <c r="C31" s="27" t="inlineStr">
        <is>
          <t>Strengths Self-Efficacy (total scale)</t>
        </is>
      </c>
      <c r="D31" s="27" t="inlineStr">
        <is>
          <t>FALSE</t>
        </is>
      </c>
      <c r="E31" s="27" t="inlineStr">
        <is>
          <t>FALSE</t>
        </is>
      </c>
      <c r="F31" s="27" t="inlineStr">
        <is>
          <t>Verbatim as reproduced in the PositivePsychology.com PDF, corroborated by academia.edu reproduction.</t>
        </is>
      </c>
    </row>
    <row r="32" ht="23.85" customHeight="1" s="17">
      <c r="A32" s="28" t="n">
        <v>3</v>
      </c>
      <c r="B32" s="27" t="inlineStr">
        <is>
          <t>Find ways to apply your strengths in the things you do everyday?</t>
        </is>
      </c>
      <c r="C32" s="27" t="inlineStr">
        <is>
          <t>Strengths Self-Efficacy (total scale)</t>
        </is>
      </c>
      <c r="D32" s="27" t="inlineStr">
        <is>
          <t>FALSE</t>
        </is>
      </c>
      <c r="E32" s="27" t="inlineStr">
        <is>
          <t>FALSE</t>
        </is>
      </c>
      <c r="F32" s="27" t="inlineStr">
        <is>
          <t>Verbatim as reproduced in the PositivePsychology.com PDF, corroborated by academia.edu reproduction.</t>
        </is>
      </c>
    </row>
    <row r="33" ht="23.85" customHeight="1" s="17">
      <c r="A33" s="28" t="n">
        <v>4</v>
      </c>
      <c r="B33" s="27" t="inlineStr">
        <is>
          <t>Accomplish a lot using your strengths?</t>
        </is>
      </c>
      <c r="C33" s="27" t="inlineStr">
        <is>
          <t>Strengths Self-Efficacy (total scale)</t>
        </is>
      </c>
      <c r="D33" s="27" t="inlineStr">
        <is>
          <t>FALSE</t>
        </is>
      </c>
      <c r="E33" s="27" t="inlineStr">
        <is>
          <t>FALSE</t>
        </is>
      </c>
      <c r="F33" s="27" t="inlineStr">
        <is>
          <t>Verbatim as reproduced in the PositivePsychology.com PDF, corroborated by academia.edu reproduction.</t>
        </is>
      </c>
    </row>
    <row r="34" ht="23.85" customHeight="1" s="17">
      <c r="A34" s="28" t="n">
        <v>5</v>
      </c>
      <c r="B34" s="27" t="inlineStr">
        <is>
          <t>Apply your strengths at work/school?</t>
        </is>
      </c>
      <c r="C34" s="27" t="inlineStr">
        <is>
          <t>Strengths Self-Efficacy (total scale)</t>
        </is>
      </c>
      <c r="D34" s="27" t="inlineStr">
        <is>
          <t>FALSE</t>
        </is>
      </c>
      <c r="E34" s="27" t="inlineStr">
        <is>
          <t>FALSE</t>
        </is>
      </c>
      <c r="F34" s="27" t="inlineStr">
        <is>
          <t>Verbatim as reproduced in the PositivePsychology.com PDF, corroborated by academia.edu reproduction.</t>
        </is>
      </c>
    </row>
    <row r="35" ht="23.85" customHeight="1" s="17">
      <c r="A35" s="28" t="n">
        <v>6</v>
      </c>
      <c r="B35" s="27" t="inlineStr">
        <is>
          <t>Use your strengths in many situations?</t>
        </is>
      </c>
      <c r="C35" s="27" t="inlineStr">
        <is>
          <t>Strengths Self-Efficacy (total scale)</t>
        </is>
      </c>
      <c r="D35" s="27" t="inlineStr">
        <is>
          <t>FALSE</t>
        </is>
      </c>
      <c r="E35" s="27" t="inlineStr">
        <is>
          <t>FALSE</t>
        </is>
      </c>
      <c r="F35" s="27" t="inlineStr">
        <is>
          <t>Verbatim as reproduced in the PositivePsychology.com PDF, corroborated by academia.edu reproduction.</t>
        </is>
      </c>
    </row>
    <row r="36" ht="23.85" customHeight="1" s="17">
      <c r="A36" s="28" t="n">
        <v>7</v>
      </c>
      <c r="B36" s="27" t="inlineStr">
        <is>
          <t>Use your strengths to succeed?</t>
        </is>
      </c>
      <c r="C36" s="27" t="inlineStr">
        <is>
          <t>Strengths Self-Efficacy (total scale)</t>
        </is>
      </c>
      <c r="D36" s="27" t="inlineStr">
        <is>
          <t>FALSE</t>
        </is>
      </c>
      <c r="E36" s="27" t="inlineStr">
        <is>
          <t>FALSE</t>
        </is>
      </c>
      <c r="F36" s="27" t="inlineStr">
        <is>
          <t>Verbatim as reproduced in the PositivePsychology.com PDF, corroborated by academia.edu reproduction.</t>
        </is>
      </c>
    </row>
    <row r="37" ht="23.85" customHeight="1" s="17">
      <c r="A37" s="28" t="n">
        <v>8</v>
      </c>
      <c r="B37" s="27" t="inlineStr">
        <is>
          <t>Find ways to use your strengths at work/school everyday?</t>
        </is>
      </c>
      <c r="C37" s="27" t="inlineStr">
        <is>
          <t>Strengths Self-Efficacy (total scale)</t>
        </is>
      </c>
      <c r="D37" s="27" t="inlineStr">
        <is>
          <t>FALSE</t>
        </is>
      </c>
      <c r="E37" s="27" t="inlineStr">
        <is>
          <t>FALSE</t>
        </is>
      </c>
      <c r="F37" s="27" t="inlineStr">
        <is>
          <t>Verbatim as reproduced in the PositivePsychology.com PDF, corroborated by academia.edu reproduction.</t>
        </is>
      </c>
    </row>
    <row r="38" ht="23.85" customHeight="1" s="17">
      <c r="A38" s="28" t="n">
        <v>9</v>
      </c>
      <c r="B38" s="27" t="inlineStr">
        <is>
          <t>Use your strengths at any time?</t>
        </is>
      </c>
      <c r="C38" s="27" t="inlineStr">
        <is>
          <t>Strengths Self-Efficacy (total scale)</t>
        </is>
      </c>
      <c r="D38" s="27" t="inlineStr">
        <is>
          <t>FALSE</t>
        </is>
      </c>
      <c r="E38" s="27" t="inlineStr">
        <is>
          <t>FALSE</t>
        </is>
      </c>
      <c r="F38" s="27" t="inlineStr">
        <is>
          <t>Verbatim as reproduced in the PositivePsychology.com PDF, corroborated by academia.edu reproduction.</t>
        </is>
      </c>
    </row>
    <row r="39" ht="23.85" customHeight="1" s="17">
      <c r="A39" s="28" t="n">
        <v>10</v>
      </c>
      <c r="B39" s="27" t="inlineStr">
        <is>
          <t>Use your strengths to help you achieve your goals in life?</t>
        </is>
      </c>
      <c r="C39" s="27" t="inlineStr">
        <is>
          <t>Strengths Self-Efficacy (total scale)</t>
        </is>
      </c>
      <c r="D39" s="27" t="inlineStr">
        <is>
          <t>FALSE</t>
        </is>
      </c>
      <c r="E39" s="27" t="inlineStr">
        <is>
          <t>FALSE</t>
        </is>
      </c>
      <c r="F39" s="27" t="inlineStr">
        <is>
          <t>Verbatim as reproduced in the PositivePsychology.com PDF, corroborated by academia.edu reproduction.</t>
        </is>
      </c>
    </row>
    <row r="40" ht="23.85" customHeight="1" s="17">
      <c r="A40" s="28" t="n">
        <v>11</v>
      </c>
      <c r="B40" s="27" t="inlineStr">
        <is>
          <t>Practice your strengths in areas where you excel?</t>
        </is>
      </c>
      <c r="C40" s="27" t="inlineStr">
        <is>
          <t>Strengths Self-Efficacy (total scale)</t>
        </is>
      </c>
      <c r="D40" s="27" t="inlineStr">
        <is>
          <t>FALSE</t>
        </is>
      </c>
      <c r="E40" s="27" t="inlineStr">
        <is>
          <t>FALSE</t>
        </is>
      </c>
      <c r="F40" s="27" t="inlineStr">
        <is>
          <t>Verbatim as reproduced in the PositivePsychology.com PDF, corroborated by academia.edu reproduction.</t>
        </is>
      </c>
    </row>
  </sheetData>
  <autoFilter ref="A29:F4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Core Self-Evaluations Scale</t>
        </is>
      </c>
    </row>
    <row r="3" ht="15" customHeight="1" s="17">
      <c r="A3" s="35" t="inlineStr">
        <is>
          <t>Instrument</t>
        </is>
      </c>
      <c r="B3" s="27" t="inlineStr">
        <is>
          <t>Core Self-Evaluations Scale</t>
        </is>
      </c>
    </row>
    <row r="4" ht="15" customHeight="1" s="17">
      <c r="A4" s="35" t="inlineStr">
        <is>
          <t>Code</t>
        </is>
      </c>
      <c r="B4" s="27" t="inlineStr">
        <is>
          <t>CSES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Core self-evaluations: a broad, fundamental positive self-appraisal trait combining self-esteem, generalised self-efficacy, internal locus of control and low neuroticism (emotional stability).</t>
        </is>
      </c>
    </row>
    <row r="8" ht="15" customHeight="1" s="17">
      <c r="A8" s="35" t="inlineStr">
        <is>
          <t>Respondent</t>
        </is>
      </c>
      <c r="B8" s="27" t="inlineStr">
        <is>
          <t>Self-report</t>
        </is>
      </c>
    </row>
    <row r="9" ht="30" customHeight="1" s="17">
      <c r="A9" s="35" t="inlineStr">
        <is>
          <t>Age range</t>
        </is>
      </c>
      <c r="B9" s="27" t="inlineStr">
        <is>
          <t>Working adults (Samples 1-2 of the original validation); also validated with university undergraduates (Samples 3-4). Suitable for university-age and early-career coaching clients.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45" customHeight="1" s="17">
      <c r="A13" s="35" t="inlineStr">
        <is>
          <t>Cost and access</t>
        </is>
      </c>
      <c r="B13" s="27" t="inlineStr">
        <is>
          <t>The scale is explicitly stated by the developers to be non-proprietary and free to use without permission. The full 12-item scale, with response format and scoring key, is reproduced in an open PDF of the original SIOP conference/journal materials.</t>
        </is>
      </c>
    </row>
    <row r="14" ht="105" customHeight="1" s="17">
      <c r="A14" s="35" t="inlineStr">
        <is>
          <t>Coaching application</t>
        </is>
      </c>
      <c r="B14"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row>
    <row r="15" ht="60" customHeight="1" s="17">
      <c r="A15" s="35" t="inlineStr">
        <is>
          <t>Purpose</t>
        </is>
      </c>
      <c r="B15"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row>
    <row r="16" ht="45" customHeight="1" s="17">
      <c r="A16" s="35" t="inlineStr">
        <is>
          <t>Instructions / prompt</t>
        </is>
      </c>
      <c r="B16" s="27" t="inlineStr">
        <is>
          <t>Not retrieved verbatim from a fetched source; the CSES PDF reproduces the item table and response scale but the source fetched did not include a printed respondent-facing preamble/instruction sentence.</t>
        </is>
      </c>
    </row>
    <row r="17" ht="15" customHeight="1" s="17">
      <c r="A17" s="35" t="inlineStr">
        <is>
          <t>Response options</t>
        </is>
      </c>
      <c r="B17" s="27" t="inlineStr">
        <is>
          <t>Strongly Disagree = 1 | Disagree = 2 | Neutral = 3 | Agree = 4 | Strongly Agree = 5</t>
        </is>
      </c>
    </row>
    <row r="18" ht="15" customHeight="1" s="17">
      <c r="A18" s="35" t="inlineStr">
        <is>
          <t>Reverse-scored items</t>
        </is>
      </c>
      <c r="B18" s="27" t="inlineStr">
        <is>
          <t>2, 4, 6, 8, 10, 12</t>
        </is>
      </c>
    </row>
    <row r="19" ht="15" customHeight="1" s="17">
      <c r="A19" s="35" t="inlineStr">
        <is>
          <t>Filler items (not scored)</t>
        </is>
      </c>
      <c r="B19" s="27" t="inlineStr">
        <is>
          <t>None</t>
        </is>
      </c>
    </row>
    <row r="20" ht="30" customHeight="1" s="17">
      <c r="A20" s="35" t="inlineStr">
        <is>
          <t>Total scoring</t>
        </is>
      </c>
      <c r="B20" s="27" t="inlineStr">
        <is>
          <t>Reverse-score items 2, 4, 6, 8, 10 and 12 (6 minus the raw response on the 1-5 scale), then sum or average all 12 items. Higher scores indicate more positive core self-evaluations.</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individual-differences measure for research and comparison, not categorical classification.</t>
        </is>
      </c>
    </row>
    <row r="23" ht="75" customHeight="1" s="17">
      <c r="A23" s="35" t="inlineStr">
        <is>
          <t>Normative data</t>
        </is>
      </c>
      <c r="B23"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row>
    <row r="24" ht="90" customHeight="1" s="17">
      <c r="A24" s="35" t="inlineStr">
        <is>
          <t>Psychometric properties</t>
        </is>
      </c>
      <c r="B24"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row>
    <row r="25" ht="45" customHeight="1" s="17">
      <c r="A25" s="35" t="inlineStr">
        <is>
          <t>Developer citation</t>
        </is>
      </c>
      <c r="B25" s="27" t="inlineStr">
        <is>
          <t>Judge, T. A., Erez, A., Bono, J. E., &amp; Thoresen, C. J. (2003). The Core Self-Evaluations Scale: Development of a measure. Personnel Psychology, 56(2), 303-331. https://doi.org/10.1111/j.1744-6570.2003.tb00152.x</t>
        </is>
      </c>
    </row>
    <row r="26" ht="30" customHeight="1" s="17">
      <c r="A26" s="35" t="inlineStr">
        <is>
          <t>Copyright and licensing</t>
        </is>
      </c>
      <c r="B26" s="27" t="inlineStr">
        <is>
          <t>"This measure is non-proprietary (free) and may be used without permission," as stated in the source fetched.</t>
        </is>
      </c>
    </row>
    <row r="27" ht="15" customHeight="1" s="17">
      <c r="A27" s="35" t="inlineStr">
        <is>
          <t>Source URL</t>
        </is>
      </c>
      <c r="B27" s="27" t="inlineStr">
        <is>
          <t>http://ionilies.com/SIOP03/Files/CSES.pdf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confident I get the success I deserve in life.</t>
        </is>
      </c>
      <c r="C30" s="27" t="inlineStr">
        <is>
          <t>Core Self-Evaluations (total scale, unidimensional)</t>
        </is>
      </c>
      <c r="D30" s="27" t="inlineStr">
        <is>
          <t>FALSE</t>
        </is>
      </c>
      <c r="E30" s="27" t="inlineStr">
        <is>
          <t>FALSE</t>
        </is>
      </c>
      <c r="F30" s="27" t="n"/>
    </row>
    <row r="31" ht="23.85" customHeight="1" s="17">
      <c r="A31" s="28" t="n">
        <v>2</v>
      </c>
      <c r="B31" s="27" t="inlineStr">
        <is>
          <t>Sometimes I feel depressed.</t>
        </is>
      </c>
      <c r="C31" s="27" t="inlineStr">
        <is>
          <t>Core Self-Evaluations (total scale, unidimensional)</t>
        </is>
      </c>
      <c r="D31" s="34" t="inlineStr">
        <is>
          <t>TRUE</t>
        </is>
      </c>
      <c r="E31" s="27" t="inlineStr">
        <is>
          <t>FALSE</t>
        </is>
      </c>
      <c r="F31" s="27" t="inlineStr">
        <is>
          <t>Touches on depressed mood; use sensitively with clients where wellbeing is a live concern.</t>
        </is>
      </c>
    </row>
    <row r="32" ht="23.85" customHeight="1" s="17">
      <c r="A32" s="28" t="n">
        <v>3</v>
      </c>
      <c r="B32" s="27" t="inlineStr">
        <is>
          <t>When I try, I generally succeed.</t>
        </is>
      </c>
      <c r="C32" s="27" t="inlineStr">
        <is>
          <t>Core Self-Evaluations (total scale, unidimensional)</t>
        </is>
      </c>
      <c r="D32" s="27" t="inlineStr">
        <is>
          <t>FALSE</t>
        </is>
      </c>
      <c r="E32" s="27" t="inlineStr">
        <is>
          <t>FALSE</t>
        </is>
      </c>
      <c r="F32" s="27" t="n"/>
    </row>
    <row r="33" ht="23.85" customHeight="1" s="17">
      <c r="A33" s="28" t="n">
        <v>4</v>
      </c>
      <c r="B33" s="27" t="inlineStr">
        <is>
          <t>Sometimes when I fail I feel worthless.</t>
        </is>
      </c>
      <c r="C33" s="27" t="inlineStr">
        <is>
          <t>Core Self-Evaluations (total scale, unidimensional)</t>
        </is>
      </c>
      <c r="D33" s="34" t="inlineStr">
        <is>
          <t>TRUE</t>
        </is>
      </c>
      <c r="E33" s="27" t="inlineStr">
        <is>
          <t>FALSE</t>
        </is>
      </c>
      <c r="F33" s="27" t="n"/>
    </row>
    <row r="34" ht="23.85" customHeight="1" s="17">
      <c r="A34" s="28" t="n">
        <v>5</v>
      </c>
      <c r="B34" s="27" t="inlineStr">
        <is>
          <t>I complete tasks successfully.</t>
        </is>
      </c>
      <c r="C34" s="27" t="inlineStr">
        <is>
          <t>Core Self-Evaluations (total scale, unidimensional)</t>
        </is>
      </c>
      <c r="D34" s="27" t="inlineStr">
        <is>
          <t>FALSE</t>
        </is>
      </c>
      <c r="E34" s="27" t="inlineStr">
        <is>
          <t>FALSE</t>
        </is>
      </c>
      <c r="F34" s="27" t="n"/>
    </row>
    <row r="35" ht="23.85" customHeight="1" s="17">
      <c r="A35" s="28" t="n">
        <v>6</v>
      </c>
      <c r="B35" s="27" t="inlineStr">
        <is>
          <t>Sometimes, I do not feel in control of my work.</t>
        </is>
      </c>
      <c r="C35" s="27" t="inlineStr">
        <is>
          <t>Core Self-Evaluations (total scale, unidimensional)</t>
        </is>
      </c>
      <c r="D35" s="34" t="inlineStr">
        <is>
          <t>TRUE</t>
        </is>
      </c>
      <c r="E35" s="27" t="inlineStr">
        <is>
          <t>FALSE</t>
        </is>
      </c>
      <c r="F35" s="27" t="n"/>
    </row>
    <row r="36" ht="23.85" customHeight="1" s="17">
      <c r="A36" s="28" t="n">
        <v>7</v>
      </c>
      <c r="B36" s="27" t="inlineStr">
        <is>
          <t>Overall, I am satisfied with myself.</t>
        </is>
      </c>
      <c r="C36" s="27" t="inlineStr">
        <is>
          <t>Core Self-Evaluations (total scale, unidimensional)</t>
        </is>
      </c>
      <c r="D36" s="27" t="inlineStr">
        <is>
          <t>FALSE</t>
        </is>
      </c>
      <c r="E36" s="27" t="inlineStr">
        <is>
          <t>FALSE</t>
        </is>
      </c>
      <c r="F36" s="27" t="n"/>
    </row>
    <row r="37" ht="23.85" customHeight="1" s="17">
      <c r="A37" s="28" t="n">
        <v>8</v>
      </c>
      <c r="B37" s="27" t="inlineStr">
        <is>
          <t>I am filled with doubts about my competence.</t>
        </is>
      </c>
      <c r="C37" s="27" t="inlineStr">
        <is>
          <t>Core Self-Evaluations (total scale, unidimensional)</t>
        </is>
      </c>
      <c r="D37" s="34" t="inlineStr">
        <is>
          <t>TRUE</t>
        </is>
      </c>
      <c r="E37" s="27" t="inlineStr">
        <is>
          <t>FALSE</t>
        </is>
      </c>
      <c r="F37" s="27" t="n"/>
    </row>
    <row r="38" ht="23.85" customHeight="1" s="17">
      <c r="A38" s="28" t="n">
        <v>9</v>
      </c>
      <c r="B38" s="27" t="inlineStr">
        <is>
          <t>I determine what will happen in my life.</t>
        </is>
      </c>
      <c r="C38" s="27" t="inlineStr">
        <is>
          <t>Core Self-Evaluations (total scale, unidimensional)</t>
        </is>
      </c>
      <c r="D38" s="27" t="inlineStr">
        <is>
          <t>FALSE</t>
        </is>
      </c>
      <c r="E38" s="27" t="inlineStr">
        <is>
          <t>FALSE</t>
        </is>
      </c>
      <c r="F38" s="27" t="n"/>
    </row>
    <row r="39" ht="23.85" customHeight="1" s="17">
      <c r="A39" s="28" t="n">
        <v>10</v>
      </c>
      <c r="B39" s="27" t="inlineStr">
        <is>
          <t>I do not feel in control of my success in my career.</t>
        </is>
      </c>
      <c r="C39" s="27" t="inlineStr">
        <is>
          <t>Core Self-Evaluations (total scale, unidimensional)</t>
        </is>
      </c>
      <c r="D39" s="34" t="inlineStr">
        <is>
          <t>TRUE</t>
        </is>
      </c>
      <c r="E39" s="27" t="inlineStr">
        <is>
          <t>FALSE</t>
        </is>
      </c>
      <c r="F39" s="27" t="n"/>
    </row>
    <row r="40" ht="23.85" customHeight="1" s="17">
      <c r="A40" s="28" t="n">
        <v>11</v>
      </c>
      <c r="B40" s="27" t="inlineStr">
        <is>
          <t>I am capable of coping with most of my problems.</t>
        </is>
      </c>
      <c r="C40" s="27" t="inlineStr">
        <is>
          <t>Core Self-Evaluations (total scale, unidimensional)</t>
        </is>
      </c>
      <c r="D40" s="27" t="inlineStr">
        <is>
          <t>FALSE</t>
        </is>
      </c>
      <c r="E40" s="27" t="inlineStr">
        <is>
          <t>FALSE</t>
        </is>
      </c>
      <c r="F40" s="27" t="n"/>
    </row>
    <row r="41" ht="23.85" customHeight="1" s="17">
      <c r="A41" s="28" t="n">
        <v>12</v>
      </c>
      <c r="B41" s="27" t="inlineStr">
        <is>
          <t>There are times when things look pretty bleak and hopeless to me.</t>
        </is>
      </c>
      <c r="C41" s="27" t="inlineStr">
        <is>
          <t>Core Self-Evaluations (total scale, unidimensional)</t>
        </is>
      </c>
      <c r="D41" s="34" t="inlineStr">
        <is>
          <t>TRUE</t>
        </is>
      </c>
      <c r="E41" s="27" t="inlineStr">
        <is>
          <t>FALSE</t>
        </is>
      </c>
      <c r="F41" s="27" t="inlineStr">
        <is>
          <t>Touches on hopelessness; use sensitively with clients where wellbeing is a live concern.</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Psychological Empowerment Scale</t>
        </is>
      </c>
    </row>
    <row r="3" ht="15" customHeight="1" s="17">
      <c r="A3" s="35" t="inlineStr">
        <is>
          <t>Instrument</t>
        </is>
      </c>
      <c r="B3" s="27" t="inlineStr">
        <is>
          <t>Psychological Empowerment Scale</t>
        </is>
      </c>
    </row>
    <row r="4" ht="15" customHeight="1" s="17">
      <c r="A4" s="35" t="inlineStr">
        <is>
          <t>Code</t>
        </is>
      </c>
      <c r="B4" s="27" t="inlineStr">
        <is>
          <t>PES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Psychological empowerment at work, a motivational construct with four cognitive dimensions: meaning, competence, self-determination and impact.</t>
        </is>
      </c>
    </row>
    <row r="8" ht="15" customHeight="1" s="17">
      <c r="A8" s="35" t="inlineStr">
        <is>
          <t>Respondent</t>
        </is>
      </c>
      <c r="B8" s="27" t="inlineStr">
        <is>
          <t>Self-report, employed adults</t>
        </is>
      </c>
    </row>
    <row r="9" ht="30" customHeight="1" s="17">
      <c r="A9" s="35" t="inlineStr">
        <is>
          <t>Age range</t>
        </is>
      </c>
      <c r="B9" s="27" t="inlineStr">
        <is>
          <t>Working adults; original validation used middle managers and industrial-firm employees. Applicable to early-career and internship-stage clients holding a defined work role.</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3-5 minutes</t>
        </is>
      </c>
    </row>
    <row r="13" ht="30" customHeight="1" s="17">
      <c r="A13" s="35" t="inlineStr">
        <is>
          <t>Cost and access</t>
        </is>
      </c>
      <c r="B13" s="27" t="inlineStr">
        <is>
          <t>The instrument is hosted freely by the developer, Gretchen Spreitzer, on her own university web page for research and practice use, with no stated fee or formal permission process.</t>
        </is>
      </c>
    </row>
    <row r="14" ht="105" customHeight="1" s="17">
      <c r="A14" s="35" t="inlineStr">
        <is>
          <t>Coaching application</t>
        </is>
      </c>
      <c r="B14"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row>
    <row r="15" ht="45" customHeight="1" s="17">
      <c r="A15" s="35" t="inlineStr">
        <is>
          <t>Purpose</t>
        </is>
      </c>
      <c r="B15" s="27" t="inlineStr">
        <is>
          <t>Spreitzer (1995) developed this scale to operationalise and measure psychological empowerment as a multidimensional motivational construct in the workplace, validating it as an antecedent of managerial effectiveness and innovation.</t>
        </is>
      </c>
    </row>
    <row r="16" ht="45" customHeight="1" s="17">
      <c r="A16" s="35" t="inlineStr">
        <is>
          <t>Instructions / prompt</t>
        </is>
      </c>
      <c r="B16" s="27" t="inlineStr">
        <is>
          <t>Listed below are a number of self-orientations that people may have with regard to their work role. Using the following scale, please indicate the extent to which you agree or disagree that each one describes your self-orientation.</t>
        </is>
      </c>
    </row>
    <row r="17" ht="30" customHeight="1" s="17">
      <c r="A17" s="35" t="inlineStr">
        <is>
          <t>Response options</t>
        </is>
      </c>
      <c r="B17" s="27" t="inlineStr">
        <is>
          <t>Very Strongly Disagree = 1 | Strongly Disagree = 2 | Disagree = 3 | Neutral = 4 | Agree = 5 | Strongly Agree = 6 | Very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60" customHeight="1" s="17">
      <c r="A20" s="35" t="inlineStr">
        <is>
          <t>Total scoring</t>
        </is>
      </c>
      <c r="B20"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research and diagnostic measure, not categorical classification.</t>
        </is>
      </c>
    </row>
    <row r="23" ht="60" customHeight="1" s="17">
      <c r="A23" s="35" t="inlineStr">
        <is>
          <t>Normative data</t>
        </is>
      </c>
      <c r="B23"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row>
    <row r="24" ht="60" customHeight="1" s="17">
      <c r="A24" s="35" t="inlineStr">
        <is>
          <t>Psychometric properties</t>
        </is>
      </c>
      <c r="B24"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row>
    <row r="25" ht="30" customHeight="1" s="17">
      <c r="A25" s="35" t="inlineStr">
        <is>
          <t>Developer citation</t>
        </is>
      </c>
      <c r="B25" s="27" t="inlineStr">
        <is>
          <t>Spreitzer, G. M. (1995). Psychological empowerment in the workplace: Dimensions, measurement, and validation. Academy of Management Journal, 38(5), 1442-1465. https://doi.org/10.2307/256865</t>
        </is>
      </c>
    </row>
    <row r="26" ht="30" customHeight="1" s="17">
      <c r="A26" s="35" t="inlineStr">
        <is>
          <t>Copyright and licensing</t>
        </is>
      </c>
      <c r="B26" s="27" t="inlineStr">
        <is>
          <t>Hosted freely by the author for research and practice use; no explicit restriction or fee is stated on the page.</t>
        </is>
      </c>
    </row>
    <row r="27" ht="15" customHeight="1" s="17">
      <c r="A27" s="35" t="inlineStr">
        <is>
          <t>Source URL</t>
        </is>
      </c>
      <c r="B27" s="27" t="inlineStr">
        <is>
          <t>https://webuser.bus.umich.edu/spreitze/Pdfs/EmpowerInstrument.pdf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The work that I do is important to me.</t>
        </is>
      </c>
      <c r="C30" s="27" t="inlineStr">
        <is>
          <t>Meaning</t>
        </is>
      </c>
      <c r="D30" s="27" t="inlineStr">
        <is>
          <t>FALSE</t>
        </is>
      </c>
      <c r="E30" s="27" t="inlineStr">
        <is>
          <t>FALSE</t>
        </is>
      </c>
      <c r="F30" s="27" t="n"/>
    </row>
    <row r="31" ht="15" customHeight="1" s="17">
      <c r="A31" s="28" t="n">
        <v>2</v>
      </c>
      <c r="B31" s="27" t="inlineStr">
        <is>
          <t>My job activities are personally meaningful to me.</t>
        </is>
      </c>
      <c r="C31" s="27" t="inlineStr">
        <is>
          <t>Meaning</t>
        </is>
      </c>
      <c r="D31" s="27" t="inlineStr">
        <is>
          <t>FALSE</t>
        </is>
      </c>
      <c r="E31" s="27" t="inlineStr">
        <is>
          <t>FALSE</t>
        </is>
      </c>
      <c r="F31" s="27" t="n"/>
    </row>
    <row r="32" ht="15" customHeight="1" s="17">
      <c r="A32" s="28" t="n">
        <v>3</v>
      </c>
      <c r="B32" s="27" t="inlineStr">
        <is>
          <t>The work I do is meaningful to me.</t>
        </is>
      </c>
      <c r="C32" s="27" t="inlineStr">
        <is>
          <t>Meaning</t>
        </is>
      </c>
      <c r="D32" s="27" t="inlineStr">
        <is>
          <t>FALSE</t>
        </is>
      </c>
      <c r="E32" s="27" t="inlineStr">
        <is>
          <t>FALSE</t>
        </is>
      </c>
      <c r="F32" s="27" t="n"/>
    </row>
    <row r="33" ht="15" customHeight="1" s="17">
      <c r="A33" s="28" t="n">
        <v>4</v>
      </c>
      <c r="B33" s="27" t="inlineStr">
        <is>
          <t>I am confident about my ability to do my job.</t>
        </is>
      </c>
      <c r="C33" s="27" t="inlineStr">
        <is>
          <t>Competence</t>
        </is>
      </c>
      <c r="D33" s="27" t="inlineStr">
        <is>
          <t>FALSE</t>
        </is>
      </c>
      <c r="E33" s="27" t="inlineStr">
        <is>
          <t>FALSE</t>
        </is>
      </c>
      <c r="F33" s="27" t="n"/>
    </row>
    <row r="34" ht="15" customHeight="1" s="17">
      <c r="A34" s="28" t="n">
        <v>5</v>
      </c>
      <c r="B34" s="27" t="inlineStr">
        <is>
          <t>I have mastered the skills necessary for my job.</t>
        </is>
      </c>
      <c r="C34" s="27" t="inlineStr">
        <is>
          <t>Competence</t>
        </is>
      </c>
      <c r="D34" s="27" t="inlineStr">
        <is>
          <t>FALSE</t>
        </is>
      </c>
      <c r="E34" s="27" t="inlineStr">
        <is>
          <t>FALSE</t>
        </is>
      </c>
      <c r="F34" s="27" t="n"/>
    </row>
    <row r="35" ht="15" customHeight="1" s="17">
      <c r="A35" s="28" t="n">
        <v>6</v>
      </c>
      <c r="B35" s="27" t="inlineStr">
        <is>
          <t>I am self-assured about my capabilities to perform my work activities.</t>
        </is>
      </c>
      <c r="C35" s="27" t="inlineStr">
        <is>
          <t>Competence</t>
        </is>
      </c>
      <c r="D35" s="27" t="inlineStr">
        <is>
          <t>FALSE</t>
        </is>
      </c>
      <c r="E35" s="27" t="inlineStr">
        <is>
          <t>FALSE</t>
        </is>
      </c>
      <c r="F35" s="27" t="n"/>
    </row>
    <row r="36" ht="15" customHeight="1" s="17">
      <c r="A36" s="28" t="n">
        <v>7</v>
      </c>
      <c r="B36" s="27" t="inlineStr">
        <is>
          <t>I have significant autonomy in determining how I do my job.</t>
        </is>
      </c>
      <c r="C36" s="27" t="inlineStr">
        <is>
          <t>Self-Determination</t>
        </is>
      </c>
      <c r="D36" s="27" t="inlineStr">
        <is>
          <t>FALSE</t>
        </is>
      </c>
      <c r="E36" s="27" t="inlineStr">
        <is>
          <t>FALSE</t>
        </is>
      </c>
      <c r="F36" s="27" t="n"/>
    </row>
    <row r="37" ht="15" customHeight="1" s="17">
      <c r="A37" s="28" t="n">
        <v>8</v>
      </c>
      <c r="B37" s="27" t="inlineStr">
        <is>
          <t>I can decide on my own how to go about doing my own work.</t>
        </is>
      </c>
      <c r="C37" s="27" t="inlineStr">
        <is>
          <t>Self-Determination</t>
        </is>
      </c>
      <c r="D37" s="27" t="inlineStr">
        <is>
          <t>FALSE</t>
        </is>
      </c>
      <c r="E37" s="27" t="inlineStr">
        <is>
          <t>FALSE</t>
        </is>
      </c>
      <c r="F37" s="27" t="n"/>
    </row>
    <row r="38" ht="15" customHeight="1" s="17">
      <c r="A38" s="28" t="n">
        <v>9</v>
      </c>
      <c r="B38" s="27" t="inlineStr">
        <is>
          <t>I have considerable opportunity for independence and freedom in how I do my job.</t>
        </is>
      </c>
      <c r="C38" s="27" t="inlineStr">
        <is>
          <t>Self-Determination</t>
        </is>
      </c>
      <c r="D38" s="27" t="inlineStr">
        <is>
          <t>FALSE</t>
        </is>
      </c>
      <c r="E38" s="27" t="inlineStr">
        <is>
          <t>FALSE</t>
        </is>
      </c>
      <c r="F38" s="27" t="n"/>
    </row>
    <row r="39" ht="15" customHeight="1" s="17">
      <c r="A39" s="28" t="n">
        <v>10</v>
      </c>
      <c r="B39" s="27" t="inlineStr">
        <is>
          <t>My impact on what happens in my department is large.</t>
        </is>
      </c>
      <c r="C39" s="27" t="inlineStr">
        <is>
          <t>Impact</t>
        </is>
      </c>
      <c r="D39" s="27" t="inlineStr">
        <is>
          <t>FALSE</t>
        </is>
      </c>
      <c r="E39" s="27" t="inlineStr">
        <is>
          <t>FALSE</t>
        </is>
      </c>
      <c r="F39" s="27" t="n"/>
    </row>
    <row r="40" ht="15" customHeight="1" s="17">
      <c r="A40" s="28" t="n">
        <v>11</v>
      </c>
      <c r="B40" s="27" t="inlineStr">
        <is>
          <t>I have a great deal of control over what happens in my department.</t>
        </is>
      </c>
      <c r="C40" s="27" t="inlineStr">
        <is>
          <t>Impact</t>
        </is>
      </c>
      <c r="D40" s="27" t="inlineStr">
        <is>
          <t>FALSE</t>
        </is>
      </c>
      <c r="E40" s="27" t="inlineStr">
        <is>
          <t>FALSE</t>
        </is>
      </c>
      <c r="F40" s="27" t="n"/>
    </row>
    <row r="41" ht="15" customHeight="1" s="17">
      <c r="A41" s="28" t="n">
        <v>12</v>
      </c>
      <c r="B41" s="27" t="inlineStr">
        <is>
          <t>I have significant influence over what happens in my department.</t>
        </is>
      </c>
      <c r="C41" s="27" t="inlineStr">
        <is>
          <t>Impact</t>
        </is>
      </c>
      <c r="D41" s="27" t="inlineStr">
        <is>
          <t>FALSE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F5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Depression Anxiety Stress Scales, 21 item version (DASS-21)</t>
        </is>
      </c>
    </row>
    <row r="3" ht="15" customHeight="1" s="17">
      <c r="A3" s="35" t="inlineStr">
        <is>
          <t>Instrument</t>
        </is>
      </c>
      <c r="B3" s="27" t="inlineStr">
        <is>
          <t>Depression Anxiety Stress Scales, 21 item version (DASS-21)</t>
        </is>
      </c>
    </row>
    <row r="4" ht="15" customHeight="1" s="17">
      <c r="A4" s="35" t="inlineStr">
        <is>
          <t>Code</t>
        </is>
      </c>
      <c r="B4" s="27" t="inlineStr">
        <is>
          <t>DASS-21</t>
        </is>
      </c>
    </row>
    <row r="5" ht="15" customHeight="1" s="17">
      <c r="A5" s="35" t="inlineStr">
        <is>
          <t>Domain</t>
        </is>
      </c>
      <c r="B5" s="27" t="inlineStr">
        <is>
          <t>4. Psychological distress screening</t>
        </is>
      </c>
    </row>
    <row r="6" ht="15" customHeight="1" s="17">
      <c r="A6" s="35" t="inlineStr">
        <is>
          <t>Availability</t>
        </is>
      </c>
      <c r="B6" s="27" t="inlineStr">
        <is>
          <t>Free / open access</t>
        </is>
      </c>
    </row>
    <row r="7" ht="75" customHeight="1" s="17">
      <c r="A7" s="35" t="inlineStr">
        <is>
          <t>Construct</t>
        </is>
      </c>
      <c r="B7"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row>
    <row r="8" ht="15" customHeight="1" s="17">
      <c r="A8" s="35" t="inlineStr">
        <is>
          <t>Respondent</t>
        </is>
      </c>
      <c r="B8" s="27" t="inlineStr">
        <is>
          <t>Self-report</t>
        </is>
      </c>
    </row>
    <row r="9" ht="15" customHeight="1" s="17">
      <c r="A9" s="35" t="inlineStr">
        <is>
          <t>Age range</t>
        </is>
      </c>
      <c r="B9" s="27" t="inlineStr">
        <is>
          <t>17+ (NovoPsych); adults and older adolescents</t>
        </is>
      </c>
    </row>
    <row r="10" ht="15" customHeight="1" s="17">
      <c r="A10" s="35" t="inlineStr">
        <is>
          <t>Items in instrument</t>
        </is>
      </c>
      <c r="B10" s="27" t="inlineStr">
        <is>
          <t>21</t>
        </is>
      </c>
    </row>
    <row r="11" ht="15" customHeight="1" s="17">
      <c r="A11" s="35" t="inlineStr">
        <is>
          <t>Items reproduced here</t>
        </is>
      </c>
      <c r="B11" s="27" t="inlineStr">
        <is>
          <t>21</t>
        </is>
      </c>
    </row>
    <row r="12" ht="15" customHeight="1" s="17">
      <c r="A12" s="35" t="inlineStr">
        <is>
          <t>Administration time</t>
        </is>
      </c>
      <c r="B12" s="27" t="inlineStr">
        <is>
          <t>4 minutes</t>
        </is>
      </c>
    </row>
    <row r="13" ht="75" customHeight="1" s="17">
      <c r="A13" s="35" t="inlineStr">
        <is>
          <t>Cost and access</t>
        </is>
      </c>
      <c r="B13"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row>
    <row r="14" ht="90" customHeight="1" s="17">
      <c r="A14" s="35" t="inlineStr">
        <is>
          <t>Coaching application</t>
        </is>
      </c>
      <c r="B14"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row>
    <row r="15" ht="75" customHeight="1" s="17">
      <c r="A15" s="35" t="inlineStr">
        <is>
          <t>Purpose</t>
        </is>
      </c>
      <c r="B15"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row>
    <row r="16" ht="45" customHeight="1" s="17">
      <c r="A16" s="35" t="inlineStr">
        <is>
          <t>Instructions / prompt</t>
        </is>
      </c>
      <c r="B16" s="27" t="inlineStr">
        <is>
          <t>Please read each statement and circle a number 0, 1, 2 or 3 which indicates how much the statement applied to you over the past week. There are no right or wrong answers. Do not spend too much time on any statement.</t>
        </is>
      </c>
    </row>
    <row r="17" ht="45" customHeight="1" s="17">
      <c r="A17" s="35" t="inlineStr">
        <is>
          <t>Response options</t>
        </is>
      </c>
      <c r="B17" s="27" t="inlineStr">
        <is>
          <t>Did not apply to me at all = 0 | Applied to me to some degree, or some of the time = 1 | Applied to me to a considerable degree, or a good part of time = 2 | Applied to me very much, or most of the time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row>
    <row r="21" ht="169.5" customHeight="1" s="17">
      <c r="A21" s="35" t="inlineStr">
        <is>
          <t>Interpretation bands</t>
        </is>
      </c>
      <c r="B21"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row>
    <row r="22" ht="105" customHeight="1" s="17">
      <c r="A22" s="35" t="inlineStr">
        <is>
          <t>Cut-offs</t>
        </is>
      </c>
      <c r="B22"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row>
    <row r="23" ht="60" customHeight="1" s="17">
      <c r="A23" s="35" t="inlineStr">
        <is>
          <t>Normative data</t>
        </is>
      </c>
      <c r="B23"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row>
    <row r="24" ht="120" customHeight="1" s="17">
      <c r="A24" s="35" t="inlineStr">
        <is>
          <t>Psychometric properties</t>
        </is>
      </c>
      <c r="B24"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row>
    <row r="25" ht="30" customHeight="1" s="17">
      <c r="A25" s="35" t="inlineStr">
        <is>
          <t>Developer citation</t>
        </is>
      </c>
      <c r="B25" s="27" t="inlineStr">
        <is>
          <t>Lovibond, S. H., &amp; Lovibond, P. F. (1995). Manual for the Depression Anxiety Stress Scales (2nd ed.). Sydney: Psychology Foundation of Australia.</t>
        </is>
      </c>
    </row>
    <row r="26" ht="45" customHeight="1" s="17">
      <c r="A26" s="35" t="inlineStr">
        <is>
          <t>Copyright and licensing</t>
        </is>
      </c>
      <c r="B26"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row>
    <row r="27" ht="15" customHeight="1" s="17">
      <c r="A27" s="35" t="inlineStr">
        <is>
          <t>Source URL</t>
        </is>
      </c>
      <c r="B27" s="27" t="inlineStr">
        <is>
          <t>https://www2.psy.unsw.edu.au/dass/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found it hard to wind down</t>
        </is>
      </c>
      <c r="C30" s="27" t="inlineStr">
        <is>
          <t>Stress</t>
        </is>
      </c>
      <c r="D30" s="27" t="inlineStr">
        <is>
          <t>FALSE</t>
        </is>
      </c>
      <c r="E30" s="27" t="inlineStr">
        <is>
          <t>FALSE</t>
        </is>
      </c>
      <c r="F30" s="27" t="n"/>
    </row>
    <row r="31" ht="15" customHeight="1" s="17">
      <c r="A31" s="28" t="n">
        <v>2</v>
      </c>
      <c r="B31" s="27" t="inlineStr">
        <is>
          <t>I was aware of dryness of my mouth</t>
        </is>
      </c>
      <c r="C31" s="27" t="inlineStr">
        <is>
          <t>Anxiety</t>
        </is>
      </c>
      <c r="D31" s="27" t="inlineStr">
        <is>
          <t>FALSE</t>
        </is>
      </c>
      <c r="E31" s="27" t="inlineStr">
        <is>
          <t>FALSE</t>
        </is>
      </c>
      <c r="F31" s="27" t="n"/>
    </row>
    <row r="32" ht="15" customHeight="1" s="17">
      <c r="A32" s="28" t="n">
        <v>3</v>
      </c>
      <c r="B32" s="27" t="inlineStr">
        <is>
          <t>I couldn't seem to experience any positive feeling at all</t>
        </is>
      </c>
      <c r="C32" s="27" t="inlineStr">
        <is>
          <t>Depression</t>
        </is>
      </c>
      <c r="D32" s="27" t="inlineStr">
        <is>
          <t>FALSE</t>
        </is>
      </c>
      <c r="E32" s="27" t="inlineStr">
        <is>
          <t>FALSE</t>
        </is>
      </c>
      <c r="F32" s="27" t="n"/>
    </row>
    <row r="33" ht="23.85" customHeight="1" s="17">
      <c r="A33" s="28" t="n">
        <v>4</v>
      </c>
      <c r="B33" s="27" t="inlineStr">
        <is>
          <t>I experienced breathing difficulty (eg, excessively rapid breathing, breathlessness in the absence of physical exertion)</t>
        </is>
      </c>
      <c r="C33" s="27" t="inlineStr">
        <is>
          <t>Anxiety</t>
        </is>
      </c>
      <c r="D33" s="27" t="inlineStr">
        <is>
          <t>FALSE</t>
        </is>
      </c>
      <c r="E33" s="27" t="inlineStr">
        <is>
          <t>FALSE</t>
        </is>
      </c>
      <c r="F33" s="27" t="n"/>
    </row>
    <row r="34" ht="15" customHeight="1" s="17">
      <c r="A34" s="28" t="n">
        <v>5</v>
      </c>
      <c r="B34" s="27" t="inlineStr">
        <is>
          <t>I found it difficult to work up the initiative to do things</t>
        </is>
      </c>
      <c r="C34" s="27" t="inlineStr">
        <is>
          <t>Depression</t>
        </is>
      </c>
      <c r="D34" s="27" t="inlineStr">
        <is>
          <t>FALSE</t>
        </is>
      </c>
      <c r="E34" s="27" t="inlineStr">
        <is>
          <t>FALSE</t>
        </is>
      </c>
      <c r="F34" s="27" t="n"/>
    </row>
    <row r="35" ht="15" customHeight="1" s="17">
      <c r="A35" s="28" t="n">
        <v>6</v>
      </c>
      <c r="B35" s="27" t="inlineStr">
        <is>
          <t>I tended to over-react to situations</t>
        </is>
      </c>
      <c r="C35" s="27" t="inlineStr">
        <is>
          <t>Stress</t>
        </is>
      </c>
      <c r="D35" s="27" t="inlineStr">
        <is>
          <t>FALSE</t>
        </is>
      </c>
      <c r="E35" s="27" t="inlineStr">
        <is>
          <t>FALSE</t>
        </is>
      </c>
      <c r="F35" s="27" t="n"/>
    </row>
    <row r="36" ht="15" customHeight="1" s="17">
      <c r="A36" s="28" t="n">
        <v>7</v>
      </c>
      <c r="B36" s="27" t="inlineStr">
        <is>
          <t>I experienced trembling (eg, in the hands)</t>
        </is>
      </c>
      <c r="C36" s="27" t="inlineStr">
        <is>
          <t>Anxiety</t>
        </is>
      </c>
      <c r="D36" s="27" t="inlineStr">
        <is>
          <t>FALSE</t>
        </is>
      </c>
      <c r="E36" s="27" t="inlineStr">
        <is>
          <t>FALSE</t>
        </is>
      </c>
      <c r="F36" s="27" t="n"/>
    </row>
    <row r="37" ht="15" customHeight="1" s="17">
      <c r="A37" s="28" t="n">
        <v>8</v>
      </c>
      <c r="B37" s="27" t="inlineStr">
        <is>
          <t>I felt that I was using a lot of nervous energy</t>
        </is>
      </c>
      <c r="C37" s="27" t="inlineStr">
        <is>
          <t>Stress</t>
        </is>
      </c>
      <c r="D37" s="27" t="inlineStr">
        <is>
          <t>FALSE</t>
        </is>
      </c>
      <c r="E37" s="27" t="inlineStr">
        <is>
          <t>FALSE</t>
        </is>
      </c>
      <c r="F37" s="27" t="n"/>
    </row>
    <row r="38" ht="15" customHeight="1" s="17">
      <c r="A38" s="28" t="n">
        <v>9</v>
      </c>
      <c r="B38" s="27" t="inlineStr">
        <is>
          <t>I was worried about situations in which I might panic and make a fool of myself</t>
        </is>
      </c>
      <c r="C38" s="27" t="inlineStr">
        <is>
          <t>Anxiety</t>
        </is>
      </c>
      <c r="D38" s="27" t="inlineStr">
        <is>
          <t>FALSE</t>
        </is>
      </c>
      <c r="E38" s="27" t="inlineStr">
        <is>
          <t>FALSE</t>
        </is>
      </c>
      <c r="F38" s="27" t="n"/>
    </row>
    <row r="39" ht="15" customHeight="1" s="17">
      <c r="A39" s="28" t="n">
        <v>10</v>
      </c>
      <c r="B39" s="27" t="inlineStr">
        <is>
          <t>I felt that I had nothing to look forward to</t>
        </is>
      </c>
      <c r="C39" s="27" t="inlineStr">
        <is>
          <t>Depression</t>
        </is>
      </c>
      <c r="D39" s="27" t="inlineStr">
        <is>
          <t>FALSE</t>
        </is>
      </c>
      <c r="E39" s="27" t="inlineStr">
        <is>
          <t>FALSE</t>
        </is>
      </c>
      <c r="F39" s="27" t="inlineStr">
        <is>
          <t>Followed up directly when endorsed at 2 or 3 (practice protocol).</t>
        </is>
      </c>
    </row>
    <row r="40" ht="15" customHeight="1" s="17">
      <c r="A40" s="28" t="n">
        <v>11</v>
      </c>
      <c r="B40" s="27" t="inlineStr">
        <is>
          <t>I found myself getting agitated</t>
        </is>
      </c>
      <c r="C40" s="27" t="inlineStr">
        <is>
          <t>Stress</t>
        </is>
      </c>
      <c r="D40" s="27" t="inlineStr">
        <is>
          <t>FALSE</t>
        </is>
      </c>
      <c r="E40" s="27" t="inlineStr">
        <is>
          <t>FALSE</t>
        </is>
      </c>
      <c r="F40" s="27" t="n"/>
    </row>
    <row r="41" ht="15" customHeight="1" s="17">
      <c r="A41" s="28" t="n">
        <v>12</v>
      </c>
      <c r="B41" s="27" t="inlineStr">
        <is>
          <t>I found it difficult to relax</t>
        </is>
      </c>
      <c r="C41" s="27" t="inlineStr">
        <is>
          <t>Stress</t>
        </is>
      </c>
      <c r="D41" s="27" t="inlineStr">
        <is>
          <t>FALSE</t>
        </is>
      </c>
      <c r="E41" s="27" t="inlineStr">
        <is>
          <t>FALSE</t>
        </is>
      </c>
      <c r="F41" s="27" t="n"/>
    </row>
    <row r="42" ht="15" customHeight="1" s="17">
      <c r="A42" s="28" t="n">
        <v>13</v>
      </c>
      <c r="B42" s="27" t="inlineStr">
        <is>
          <t>I felt down-hearted and blue</t>
        </is>
      </c>
      <c r="C42" s="27" t="inlineStr">
        <is>
          <t>Depression</t>
        </is>
      </c>
      <c r="D42" s="27" t="inlineStr">
        <is>
          <t>FALSE</t>
        </is>
      </c>
      <c r="E42" s="27" t="inlineStr">
        <is>
          <t>FALSE</t>
        </is>
      </c>
      <c r="F42" s="27" t="n"/>
    </row>
    <row r="43" ht="15" customHeight="1" s="17">
      <c r="A43" s="28" t="n">
        <v>14</v>
      </c>
      <c r="B43" s="27" t="inlineStr">
        <is>
          <t>I was intolerant of anything that kept me from getting on with what I was doing</t>
        </is>
      </c>
      <c r="C43" s="27" t="inlineStr">
        <is>
          <t>Stress</t>
        </is>
      </c>
      <c r="D43" s="27" t="inlineStr">
        <is>
          <t>FALSE</t>
        </is>
      </c>
      <c r="E43" s="27" t="inlineStr">
        <is>
          <t>FALSE</t>
        </is>
      </c>
      <c r="F43" s="27" t="n"/>
    </row>
    <row r="44" ht="15" customHeight="1" s="17">
      <c r="A44" s="28" t="n">
        <v>15</v>
      </c>
      <c r="B44" s="27" t="inlineStr">
        <is>
          <t>I felt I was close to panic</t>
        </is>
      </c>
      <c r="C44" s="27" t="inlineStr">
        <is>
          <t>Anxiety</t>
        </is>
      </c>
      <c r="D44" s="27" t="inlineStr">
        <is>
          <t>FALSE</t>
        </is>
      </c>
      <c r="E44" s="27" t="inlineStr">
        <is>
          <t>FALSE</t>
        </is>
      </c>
      <c r="F44" s="27" t="n"/>
    </row>
    <row r="45" ht="15" customHeight="1" s="17">
      <c r="A45" s="28" t="n">
        <v>16</v>
      </c>
      <c r="B45" s="27" t="inlineStr">
        <is>
          <t>I was unable to become enthusiastic about anything</t>
        </is>
      </c>
      <c r="C45" s="27" t="inlineStr">
        <is>
          <t>Depression</t>
        </is>
      </c>
      <c r="D45" s="27" t="inlineStr">
        <is>
          <t>FALSE</t>
        </is>
      </c>
      <c r="E45" s="27" t="inlineStr">
        <is>
          <t>FALSE</t>
        </is>
      </c>
      <c r="F45" s="27" t="n"/>
    </row>
    <row r="46" ht="15" customHeight="1" s="17">
      <c r="A46" s="28" t="n">
        <v>17</v>
      </c>
      <c r="B46" s="27" t="inlineStr">
        <is>
          <t>I felt I wasn't worth much as a person</t>
        </is>
      </c>
      <c r="C46" s="27" t="inlineStr">
        <is>
          <t>Depression</t>
        </is>
      </c>
      <c r="D46" s="27" t="inlineStr">
        <is>
          <t>FALSE</t>
        </is>
      </c>
      <c r="E46" s="27" t="inlineStr">
        <is>
          <t>FALSE</t>
        </is>
      </c>
      <c r="F46" s="27" t="inlineStr">
        <is>
          <t>Followed up directly when endorsed at 2 or 3 (practice protocol).</t>
        </is>
      </c>
    </row>
    <row r="47" ht="15" customHeight="1" s="17">
      <c r="A47" s="28" t="n">
        <v>18</v>
      </c>
      <c r="B47" s="27" t="inlineStr">
        <is>
          <t>I felt that I was rather touchy</t>
        </is>
      </c>
      <c r="C47" s="27" t="inlineStr">
        <is>
          <t>Stress</t>
        </is>
      </c>
      <c r="D47" s="27" t="inlineStr">
        <is>
          <t>FALSE</t>
        </is>
      </c>
      <c r="E47" s="27" t="inlineStr">
        <is>
          <t>FALSE</t>
        </is>
      </c>
      <c r="F47" s="27" t="n"/>
    </row>
    <row r="48" ht="23.85" customHeight="1" s="17">
      <c r="A48" s="28" t="n">
        <v>19</v>
      </c>
      <c r="B48" s="27" t="inlineStr">
        <is>
          <t>I was aware of the action of my heart in the absence of physical exertion (eg, sense of heart rate increase, heart missing a beat)</t>
        </is>
      </c>
      <c r="C48" s="27" t="inlineStr">
        <is>
          <t>Anxiety</t>
        </is>
      </c>
      <c r="D48" s="27" t="inlineStr">
        <is>
          <t>FALSE</t>
        </is>
      </c>
      <c r="E48" s="27" t="inlineStr">
        <is>
          <t>FALSE</t>
        </is>
      </c>
      <c r="F48" s="27" t="n"/>
    </row>
    <row r="49" ht="15" customHeight="1" s="17">
      <c r="A49" s="28" t="n">
        <v>20</v>
      </c>
      <c r="B49" s="27" t="inlineStr">
        <is>
          <t>I felt scared without any good reason</t>
        </is>
      </c>
      <c r="C49" s="27" t="inlineStr">
        <is>
          <t>Anxiety</t>
        </is>
      </c>
      <c r="D49" s="27" t="inlineStr">
        <is>
          <t>FALSE</t>
        </is>
      </c>
      <c r="E49" s="27" t="inlineStr">
        <is>
          <t>FALSE</t>
        </is>
      </c>
      <c r="F49" s="27" t="n"/>
    </row>
    <row r="50" ht="15" customHeight="1" s="17">
      <c r="A50" s="28" t="n">
        <v>21</v>
      </c>
      <c r="B50" s="27" t="inlineStr">
        <is>
          <t>I felt that life was meaningless</t>
        </is>
      </c>
      <c r="C50" s="27" t="inlineStr">
        <is>
          <t>Depression</t>
        </is>
      </c>
      <c r="D50" s="27" t="inlineStr">
        <is>
          <t>FALSE</t>
        </is>
      </c>
      <c r="E50" s="27" t="inlineStr">
        <is>
          <t>FALSE</t>
        </is>
      </c>
      <c r="F50" s="27" t="inlineStr">
        <is>
          <t>Followed up directly when endorsed at 2 or 3 (practice protocol).</t>
        </is>
      </c>
    </row>
  </sheetData>
  <autoFilter ref="A29:F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Perseverative Thinking Questionnaire</t>
        </is>
      </c>
    </row>
    <row r="3" ht="15" customHeight="1" s="17">
      <c r="A3" s="35" t="inlineStr">
        <is>
          <t>Instrument</t>
        </is>
      </c>
      <c r="B3" s="27" t="inlineStr">
        <is>
          <t>Perseverative Thinking Questionnaire</t>
        </is>
      </c>
    </row>
    <row r="4" ht="15" customHeight="1" s="17">
      <c r="A4" s="35" t="inlineStr">
        <is>
          <t>Code</t>
        </is>
      </c>
      <c r="B4" s="27" t="inlineStr">
        <is>
          <t>PTQ</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Repetitive negative thinking (RNT), measured as a content-independent process (applies equally to worry, rumination, or any other form of repetitive negative thought about problems), rather than a specific symptom or diagnostic construct.</t>
        </is>
      </c>
    </row>
    <row r="8" ht="15" customHeight="1" s="17">
      <c r="A8" s="35" t="inlineStr">
        <is>
          <t>Respondent</t>
        </is>
      </c>
      <c r="B8" s="27" t="inlineStr">
        <is>
          <t>Adult self-report</t>
        </is>
      </c>
    </row>
    <row r="9" ht="30" customHeight="1" s="17">
      <c r="A9" s="35" t="inlineStr">
        <is>
          <t>Age range</t>
        </is>
      </c>
      <c r="B9" s="27" t="inlineStr">
        <is>
          <t>Not stated in the source article. Validation samples were adult (internet, non-clinical, clinical, and English-language) populations; no minimum/maximum age is specified in the text retrieved.</t>
        </is>
      </c>
    </row>
    <row r="10" ht="15" customHeight="1" s="17">
      <c r="A10" s="35" t="inlineStr">
        <is>
          <t>Items in instrument</t>
        </is>
      </c>
      <c r="B10" s="27" t="inlineStr">
        <is>
          <t>15</t>
        </is>
      </c>
    </row>
    <row r="11" ht="15" customHeight="1" s="17">
      <c r="A11" s="35" t="inlineStr">
        <is>
          <t>Items reproduced here</t>
        </is>
      </c>
      <c r="B11" s="27" t="inlineStr">
        <is>
          <t>15</t>
        </is>
      </c>
    </row>
    <row r="12" ht="30" customHeight="1" s="17">
      <c r="A12" s="35" t="inlineStr">
        <is>
          <t>Administration time</t>
        </is>
      </c>
      <c r="B12" s="27" t="inlineStr">
        <is>
          <t>Not stated in the source. A brief 15-item self-report measure, typically completed in a few minutes.</t>
        </is>
      </c>
    </row>
    <row r="13" ht="120" customHeight="1" s="17">
      <c r="A13" s="35" t="inlineStr">
        <is>
          <t>Cost and access</t>
        </is>
      </c>
      <c r="B13"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row>
    <row r="14" ht="120" customHeight="1" s="17">
      <c r="A14" s="35" t="inlineStr">
        <is>
          <t>Coaching application</t>
        </is>
      </c>
      <c r="B14"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row>
    <row r="15" ht="90" customHeight="1" s="17">
      <c r="A15" s="35" t="inlineStr">
        <is>
          <t>Purpose</t>
        </is>
      </c>
      <c r="B15"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row>
    <row r="16" ht="45" customHeight="1" s="17">
      <c r="A16" s="35" t="inlineStr">
        <is>
          <t>Instructions / prompt</t>
        </is>
      </c>
      <c r="B16" s="27" t="inlineStr">
        <is>
          <t>In this questionnaire, you will be asked to describe how you typically think about negative experiences or problems. Please read the following statements and rate the extent to which they apply to you when you think about negative experiences or problems.</t>
        </is>
      </c>
    </row>
    <row r="17" ht="15" customHeight="1" s="17">
      <c r="A17" s="35" t="inlineStr">
        <is>
          <t>Response options</t>
        </is>
      </c>
      <c r="B17" s="27" t="inlineStr">
        <is>
          <t>never = 0 | rarely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PTQ score is the sum of all 15 items (range 0-60), computed as recommended in the source article. Each of the three subscale scores is the sum of its own items (each subscale range 0-36 for Core Characteristics, 0-12 for the other two).</t>
        </is>
      </c>
    </row>
    <row r="21" ht="15" customHeight="1" s="17">
      <c r="A21" s="35" t="inlineStr">
        <is>
          <t>Interpretation bands</t>
        </is>
      </c>
      <c r="B21" s="27" t="inlineStr">
        <is>
          <t>Not stated on source</t>
        </is>
      </c>
    </row>
    <row r="22" ht="30" customHeight="1" s="17">
      <c r="A22" s="35" t="inlineStr">
        <is>
          <t>Cut-offs</t>
        </is>
      </c>
      <c r="B22" s="27" t="inlineStr">
        <is>
          <t>No clinical cutoff scores or interpretive bands were reported in the source article that was fetched.</t>
        </is>
      </c>
    </row>
    <row r="23" ht="60" customHeight="1" s="17">
      <c r="A23" s="35" t="inlineStr">
        <is>
          <t>Normative data</t>
        </is>
      </c>
      <c r="B23"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row>
    <row r="24" ht="45" customHeight="1" s="17">
      <c r="A24" s="35" t="inlineStr">
        <is>
          <t>Psychometric properties</t>
        </is>
      </c>
      <c r="B24" s="27" t="inlineStr">
        <is>
          <t>Internal consistency: Cronbach's alpha = .95 (Study 1, internet sample), .94 (Study 1, non-clinical sample), .95 (Study 1, clinical sample), .95 (Study 2, English-language sample). Test-retest reliability over a 4-week interval: r = .69, p &lt; .001 (n = 186). (Ehring et al., 2011.)</t>
        </is>
      </c>
    </row>
    <row r="25" ht="60" customHeight="1" s="17">
      <c r="A25" s="35" t="inlineStr">
        <is>
          <t>Developer citation</t>
        </is>
      </c>
      <c r="B25"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26" ht="45" customHeight="1" s="17">
      <c r="A26" s="35" t="inlineStr">
        <is>
          <t>Copyright and licensing</t>
        </is>
      </c>
      <c r="B26" s="27" t="inlineStr">
        <is>
          <t>© 2010 Elsevier Ltd. All rights reserved. (Copyright notice appears on the hosted article/PDF; no separate explicit permission statement for reproduction, non-commercial use, or commercial/coaching administration was found in the fetched source.)</t>
        </is>
      </c>
    </row>
    <row r="27" ht="15" customHeight="1" s="17">
      <c r="A27" s="35" t="inlineStr">
        <is>
          <t>Source URL</t>
        </is>
      </c>
      <c r="B27" s="27" t="inlineStr">
        <is>
          <t>https://oxcadatresources.com/wp-content/uploads/2020/09/EhringetalRuminationQuestionnaire.2011.pdf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The same thoughts keep going through my mind again and again.</t>
        </is>
      </c>
      <c r="C30" s="27" t="inlineStr">
        <is>
          <t>Core Characteristics of Repetitive Negative Thinking</t>
        </is>
      </c>
      <c r="D30" s="27" t="inlineStr">
        <is>
          <t>FALSE</t>
        </is>
      </c>
      <c r="E30" s="27" t="inlineStr">
        <is>
          <t>FALSE</t>
        </is>
      </c>
      <c r="F30" s="27" t="n"/>
    </row>
    <row r="31" ht="23.85" customHeight="1" s="17">
      <c r="A31" s="28" t="n">
        <v>2</v>
      </c>
      <c r="B31" s="27" t="inlineStr">
        <is>
          <t>Thoughts intrude into my mind.</t>
        </is>
      </c>
      <c r="C31" s="27" t="inlineStr">
        <is>
          <t>Core Characteristics of Repetitive Negative Thinking</t>
        </is>
      </c>
      <c r="D31" s="27" t="inlineStr">
        <is>
          <t>FALSE</t>
        </is>
      </c>
      <c r="E31" s="27" t="inlineStr">
        <is>
          <t>FALSE</t>
        </is>
      </c>
      <c r="F31" s="27" t="n"/>
    </row>
    <row r="32" ht="23.85" customHeight="1" s="17">
      <c r="A32" s="28" t="n">
        <v>3</v>
      </c>
      <c r="B32" s="27" t="inlineStr">
        <is>
          <t>I can't stop dwelling on them.</t>
        </is>
      </c>
      <c r="C32" s="27" t="inlineStr">
        <is>
          <t>Core Characteristics of Repetitive Negative Thinking</t>
        </is>
      </c>
      <c r="D32" s="27" t="inlineStr">
        <is>
          <t>FALSE</t>
        </is>
      </c>
      <c r="E32" s="27" t="inlineStr">
        <is>
          <t>FALSE</t>
        </is>
      </c>
      <c r="F32" s="27" t="n"/>
    </row>
    <row r="33" ht="15" customHeight="1" s="17">
      <c r="A33" s="28" t="n">
        <v>4</v>
      </c>
      <c r="B33" s="27" t="inlineStr">
        <is>
          <t>I think about many problems without solving any of them.</t>
        </is>
      </c>
      <c r="C33" s="27" t="inlineStr">
        <is>
          <t>Unproductiveness</t>
        </is>
      </c>
      <c r="D33" s="27" t="inlineStr">
        <is>
          <t>FALSE</t>
        </is>
      </c>
      <c r="E33" s="27" t="inlineStr">
        <is>
          <t>FALSE</t>
        </is>
      </c>
      <c r="F33" s="27" t="n"/>
    </row>
    <row r="34" ht="15" customHeight="1" s="17">
      <c r="A34" s="28" t="n">
        <v>5</v>
      </c>
      <c r="B34" s="27" t="inlineStr">
        <is>
          <t>I can't do anything else while thinking about my problems.</t>
        </is>
      </c>
      <c r="C34" s="27" t="inlineStr">
        <is>
          <t>Capturing Mental Capacity</t>
        </is>
      </c>
      <c r="D34" s="27" t="inlineStr">
        <is>
          <t>FALSE</t>
        </is>
      </c>
      <c r="E34" s="27" t="inlineStr">
        <is>
          <t>FALSE</t>
        </is>
      </c>
      <c r="F34" s="27" t="n"/>
    </row>
    <row r="35" ht="23.85" customHeight="1" s="17">
      <c r="A35" s="28" t="n">
        <v>6</v>
      </c>
      <c r="B35" s="27" t="inlineStr">
        <is>
          <t>My thoughts repeat themselves.</t>
        </is>
      </c>
      <c r="C35" s="27" t="inlineStr">
        <is>
          <t>Core Characteristics of Repetitive Negative Thinking</t>
        </is>
      </c>
      <c r="D35" s="27" t="inlineStr">
        <is>
          <t>FALSE</t>
        </is>
      </c>
      <c r="E35" s="27" t="inlineStr">
        <is>
          <t>FALSE</t>
        </is>
      </c>
      <c r="F35" s="27" t="n"/>
    </row>
    <row r="36" ht="23.85" customHeight="1" s="17">
      <c r="A36" s="28" t="n">
        <v>7</v>
      </c>
      <c r="B36" s="27" t="inlineStr">
        <is>
          <t>Thoughts come to my mind without me wanting them to.</t>
        </is>
      </c>
      <c r="C36" s="27" t="inlineStr">
        <is>
          <t>Core Characteristics of Repetitive Negative Thinking</t>
        </is>
      </c>
      <c r="D36" s="27" t="inlineStr">
        <is>
          <t>FALSE</t>
        </is>
      </c>
      <c r="E36" s="27" t="inlineStr">
        <is>
          <t>FALSE</t>
        </is>
      </c>
      <c r="F36" s="27" t="n"/>
    </row>
    <row r="37" ht="23.85" customHeight="1" s="17">
      <c r="A37" s="28" t="n">
        <v>8</v>
      </c>
      <c r="B37" s="27" t="inlineStr">
        <is>
          <t>I get stuck on certain issues and can't move on.</t>
        </is>
      </c>
      <c r="C37" s="27" t="inlineStr">
        <is>
          <t>Core Characteristics of Repetitive Negative Thinking</t>
        </is>
      </c>
      <c r="D37" s="27" t="inlineStr">
        <is>
          <t>FALSE</t>
        </is>
      </c>
      <c r="E37" s="27" t="inlineStr">
        <is>
          <t>FALSE</t>
        </is>
      </c>
      <c r="F37" s="27" t="n"/>
    </row>
    <row r="38" ht="15" customHeight="1" s="17">
      <c r="A38" s="28" t="n">
        <v>9</v>
      </c>
      <c r="B38" s="27" t="inlineStr">
        <is>
          <t>I keep asking myself questions without finding an answer.</t>
        </is>
      </c>
      <c r="C38" s="27" t="inlineStr">
        <is>
          <t>Unproductiveness</t>
        </is>
      </c>
      <c r="D38" s="27" t="inlineStr">
        <is>
          <t>FALSE</t>
        </is>
      </c>
      <c r="E38" s="27" t="inlineStr">
        <is>
          <t>FALSE</t>
        </is>
      </c>
      <c r="F38" s="27" t="n"/>
    </row>
    <row r="39" ht="15" customHeight="1" s="17">
      <c r="A39" s="28" t="n">
        <v>10</v>
      </c>
      <c r="B39" s="27" t="inlineStr">
        <is>
          <t>My thoughts prevent me from focusing on other things.</t>
        </is>
      </c>
      <c r="C39" s="27" t="inlineStr">
        <is>
          <t>Capturing Mental Capacity</t>
        </is>
      </c>
      <c r="D39" s="27" t="inlineStr">
        <is>
          <t>FALSE</t>
        </is>
      </c>
      <c r="E39" s="27" t="inlineStr">
        <is>
          <t>FALSE</t>
        </is>
      </c>
      <c r="F39" s="27" t="n"/>
    </row>
    <row r="40" ht="23.85" customHeight="1" s="17">
      <c r="A40" s="28" t="n">
        <v>11</v>
      </c>
      <c r="B40" s="27" t="inlineStr">
        <is>
          <t>I keep thinking about the same issue all the time.</t>
        </is>
      </c>
      <c r="C40" s="27" t="inlineStr">
        <is>
          <t>Core Characteristics of Repetitive Negative Thinking</t>
        </is>
      </c>
      <c r="D40" s="27" t="inlineStr">
        <is>
          <t>FALSE</t>
        </is>
      </c>
      <c r="E40" s="27" t="inlineStr">
        <is>
          <t>FALSE</t>
        </is>
      </c>
      <c r="F40" s="27" t="n"/>
    </row>
    <row r="41" ht="23.85" customHeight="1" s="17">
      <c r="A41" s="28" t="n">
        <v>12</v>
      </c>
      <c r="B41" s="27" t="inlineStr">
        <is>
          <t>Thoughts just pop into my mind.</t>
        </is>
      </c>
      <c r="C41" s="27" t="inlineStr">
        <is>
          <t>Core Characteristics of Repetitive Negative Thinking</t>
        </is>
      </c>
      <c r="D41" s="27" t="inlineStr">
        <is>
          <t>FALSE</t>
        </is>
      </c>
      <c r="E41" s="27" t="inlineStr">
        <is>
          <t>FALSE</t>
        </is>
      </c>
      <c r="F41" s="27" t="n"/>
    </row>
    <row r="42" ht="23.85" customHeight="1" s="17">
      <c r="A42" s="28" t="n">
        <v>13</v>
      </c>
      <c r="B42" s="27" t="inlineStr">
        <is>
          <t>I feel driven to continue dwelling on the same issue.</t>
        </is>
      </c>
      <c r="C42" s="27" t="inlineStr">
        <is>
          <t>Core Characteristics of Repetitive Negative Thinking</t>
        </is>
      </c>
      <c r="D42" s="27" t="inlineStr">
        <is>
          <t>FALSE</t>
        </is>
      </c>
      <c r="E42" s="27" t="inlineStr">
        <is>
          <t>FALSE</t>
        </is>
      </c>
      <c r="F42" s="27" t="n"/>
    </row>
    <row r="43" ht="15" customHeight="1" s="17">
      <c r="A43" s="28" t="n">
        <v>14</v>
      </c>
      <c r="B43" s="27" t="inlineStr">
        <is>
          <t>My thoughts are not much help to me.</t>
        </is>
      </c>
      <c r="C43" s="27" t="inlineStr">
        <is>
          <t>Unproductiveness</t>
        </is>
      </c>
      <c r="D43" s="27" t="inlineStr">
        <is>
          <t>FALSE</t>
        </is>
      </c>
      <c r="E43" s="27" t="inlineStr">
        <is>
          <t>FALSE</t>
        </is>
      </c>
      <c r="F43" s="27" t="n"/>
    </row>
    <row r="44" ht="15" customHeight="1" s="17">
      <c r="A44" s="28" t="n">
        <v>15</v>
      </c>
      <c r="B44" s="27" t="inlineStr">
        <is>
          <t>My thoughts take up all my attention.</t>
        </is>
      </c>
      <c r="C44" s="27" t="inlineStr">
        <is>
          <t>Capturing Mental Capacity</t>
        </is>
      </c>
      <c r="D44" s="27" t="inlineStr">
        <is>
          <t>FALSE</t>
        </is>
      </c>
      <c r="E44" s="27" t="inlineStr">
        <is>
          <t>FALSE</t>
        </is>
      </c>
      <c r="F44" s="27" t="n"/>
    </row>
  </sheetData>
  <autoFilter ref="A29:F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Ruminative Responses Scale</t>
        </is>
      </c>
    </row>
    <row r="3" ht="15" customHeight="1" s="17">
      <c r="A3" s="35" t="inlineStr">
        <is>
          <t>Instrument</t>
        </is>
      </c>
      <c r="B3" s="27" t="inlineStr">
        <is>
          <t>Ruminative Responses Scale</t>
        </is>
      </c>
    </row>
    <row r="4" ht="15" customHeight="1" s="17">
      <c r="A4" s="35" t="inlineStr">
        <is>
          <t>Code</t>
        </is>
      </c>
      <c r="B4" s="27" t="inlineStr">
        <is>
          <t>RRS</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75" customHeight="1" s="17">
      <c r="A7" s="35" t="inlineStr">
        <is>
          <t>Construct</t>
        </is>
      </c>
      <c r="B7"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row>
    <row r="8" ht="15" customHeight="1" s="17">
      <c r="A8" s="35" t="inlineStr">
        <is>
          <t>Respondent</t>
        </is>
      </c>
      <c r="B8" s="27" t="inlineStr">
        <is>
          <t>Adult self-report</t>
        </is>
      </c>
    </row>
    <row r="9" ht="30" customHeight="1" s="17">
      <c r="A9" s="35" t="inlineStr">
        <is>
          <t>Age range</t>
        </is>
      </c>
      <c r="B9" s="27" t="inlineStr">
        <is>
          <t>NovoPsych lists 18 years and older. The original Nolen-Hoeksema &amp; Morrow (1991) and Treynor et al. (2003) sources do not themselves state an age range in the text retrieved.</t>
        </is>
      </c>
    </row>
    <row r="10" ht="15" customHeight="1" s="17">
      <c r="A10" s="35" t="inlineStr">
        <is>
          <t>Items in instrument</t>
        </is>
      </c>
      <c r="B10" s="27" t="inlineStr">
        <is>
          <t>22</t>
        </is>
      </c>
    </row>
    <row r="11" ht="15" customHeight="1" s="17">
      <c r="A11" s="35" t="inlineStr">
        <is>
          <t>Items reproduced here</t>
        </is>
      </c>
      <c r="B11" s="27" t="inlineStr">
        <is>
          <t>22</t>
        </is>
      </c>
    </row>
    <row r="12" ht="15" customHeight="1" s="17">
      <c r="A12" s="35" t="inlineStr">
        <is>
          <t>Administration time</t>
        </is>
      </c>
      <c r="B12" s="27" t="inlineStr">
        <is>
          <t>Approximately 2 minutes (per NovoPsych).</t>
        </is>
      </c>
    </row>
    <row r="13" ht="169.5" customHeight="1" s="17">
      <c r="A13" s="35" t="inlineStr">
        <is>
          <t>Cost and access</t>
        </is>
      </c>
      <c r="B13"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row>
    <row r="14" ht="120" customHeight="1" s="17">
      <c r="A14" s="35" t="inlineStr">
        <is>
          <t>Coaching application</t>
        </is>
      </c>
      <c r="B14"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row>
    <row r="15" ht="105" customHeight="1" s="17">
      <c r="A15" s="35" t="inlineStr">
        <is>
          <t>Purpose</t>
        </is>
      </c>
      <c r="B15"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row>
    <row r="16" ht="45" customHeight="1" s="17">
      <c r="A16" s="35" t="inlineStr">
        <is>
          <t>Instructions / prompt</t>
        </is>
      </c>
      <c r="B16" s="27" t="inlineStr">
        <is>
          <t>Please read each of the items below and indicate whether you almost never, sometimes, often, or almost always think or do each one when you feel down, sad, or depressed. Please indicate what you generally do, not what you think you should do.</t>
        </is>
      </c>
    </row>
    <row r="17" ht="15" customHeight="1" s="17">
      <c r="A17" s="35" t="inlineStr">
        <is>
          <t>Response options</t>
        </is>
      </c>
      <c r="B17" s="27" t="inlineStr">
        <is>
          <t>almost never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Full-scale total: sum of all 22 items (range 22-88), per Nolen-Hoeksema's own scoring note ("simply sum the scores on the 22 items"). Brooding and Reflection subscale scores are each the sum of their 5 items (range 5-20 each), per Treynor et al. (2003).</t>
        </is>
      </c>
    </row>
    <row r="21" ht="15" customHeight="1" s="17">
      <c r="A21" s="35" t="inlineStr">
        <is>
          <t>Interpretation bands</t>
        </is>
      </c>
      <c r="B21" s="27" t="inlineStr">
        <is>
          <t>Not stated on source</t>
        </is>
      </c>
    </row>
    <row r="22" ht="45" customHeight="1" s="17">
      <c r="A22" s="35" t="inlineStr">
        <is>
          <t>Cut-offs</t>
        </is>
      </c>
      <c r="B2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row>
    <row r="23" ht="75" customHeight="1" s="17">
      <c r="A23" s="35" t="inlineStr">
        <is>
          <t>Normative data</t>
        </is>
      </c>
      <c r="B23"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row>
    <row r="24" ht="60" customHeight="1" s="17">
      <c r="A24" s="35" t="inlineStr">
        <is>
          <t>Psychometric properties</t>
        </is>
      </c>
      <c r="B24"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row>
    <row r="25" ht="45" customHeight="1" s="17">
      <c r="A25" s="35" t="inlineStr">
        <is>
          <t>Developer citation</t>
        </is>
      </c>
      <c r="B25"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26" ht="60" customHeight="1" s="17">
      <c r="A26" s="35" t="inlineStr">
        <is>
          <t>Copyright and licensing</t>
        </is>
      </c>
      <c r="B26"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row>
    <row r="27" ht="15" customHeight="1" s="17">
      <c r="A27" s="35" t="inlineStr">
        <is>
          <t>Source URL</t>
        </is>
      </c>
      <c r="B27" s="27" t="inlineStr">
        <is>
          <t>https://novopsych.com/assessments/formulation/ruminative-responses-scale-rrs/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Think about how alone you feel</t>
        </is>
      </c>
      <c r="C30" s="27" t="inlineStr">
        <is>
          <t>Depression-related items (not scored as a subscale)</t>
        </is>
      </c>
      <c r="D30" s="27" t="inlineStr">
        <is>
          <t>FALSE</t>
        </is>
      </c>
      <c r="E30" s="27" t="inlineStr">
        <is>
          <t>FALSE</t>
        </is>
      </c>
      <c r="F30" s="27" t="n"/>
    </row>
    <row r="31" ht="23.85" customHeight="1" s="17">
      <c r="A31" s="28" t="n">
        <v>2</v>
      </c>
      <c r="B31" s="27" t="inlineStr">
        <is>
          <t>Think "I won't be able to do my job if I don't snap out of this"</t>
        </is>
      </c>
      <c r="C31" s="27" t="inlineStr">
        <is>
          <t>Depression-related items (not scored as a subscale)</t>
        </is>
      </c>
      <c r="D31" s="27" t="inlineStr">
        <is>
          <t>FALSE</t>
        </is>
      </c>
      <c r="E31" s="27" t="inlineStr">
        <is>
          <t>FALSE</t>
        </is>
      </c>
      <c r="F31" s="27" t="n"/>
    </row>
    <row r="32" ht="23.85" customHeight="1" s="17">
      <c r="A32" s="28" t="n">
        <v>3</v>
      </c>
      <c r="B32" s="27" t="inlineStr">
        <is>
          <t>Think about your feelings of fatigue and achiness</t>
        </is>
      </c>
      <c r="C32" s="27" t="inlineStr">
        <is>
          <t>Depression-related items (not scored as a subscale)</t>
        </is>
      </c>
      <c r="D32" s="27" t="inlineStr">
        <is>
          <t>FALSE</t>
        </is>
      </c>
      <c r="E32" s="27" t="inlineStr">
        <is>
          <t>FALSE</t>
        </is>
      </c>
      <c r="F32" s="27" t="n"/>
    </row>
    <row r="33" ht="23.85" customHeight="1" s="17">
      <c r="A33" s="28" t="n">
        <v>4</v>
      </c>
      <c r="B33" s="27" t="inlineStr">
        <is>
          <t>Think about how hard it is to concentrate</t>
        </is>
      </c>
      <c r="C33" s="27" t="inlineStr">
        <is>
          <t>Depression-related items (not scored as a subscale)</t>
        </is>
      </c>
      <c r="D33" s="27" t="inlineStr">
        <is>
          <t>FALSE</t>
        </is>
      </c>
      <c r="E33" s="27" t="inlineStr">
        <is>
          <t>FALSE</t>
        </is>
      </c>
      <c r="F33" s="27" t="n"/>
    </row>
    <row r="34" ht="15" customHeight="1" s="17">
      <c r="A34" s="28" t="n">
        <v>5</v>
      </c>
      <c r="B34" s="27" t="inlineStr">
        <is>
          <t>Think "What am I doing to deserve this?"</t>
        </is>
      </c>
      <c r="C34" s="27" t="inlineStr">
        <is>
          <t>Brooding</t>
        </is>
      </c>
      <c r="D34" s="27" t="inlineStr">
        <is>
          <t>FALSE</t>
        </is>
      </c>
      <c r="E34" s="27" t="inlineStr">
        <is>
          <t>FALSE</t>
        </is>
      </c>
      <c r="F34" s="27" t="n"/>
    </row>
    <row r="35" ht="23.85" customHeight="1" s="17">
      <c r="A35" s="28" t="n">
        <v>6</v>
      </c>
      <c r="B35" s="27" t="inlineStr">
        <is>
          <t>Think about how passive and unmotivated you feel</t>
        </is>
      </c>
      <c r="C35" s="27" t="inlineStr">
        <is>
          <t>Depression-related items (not scored as a subscale)</t>
        </is>
      </c>
      <c r="D35" s="27" t="inlineStr">
        <is>
          <t>FALSE</t>
        </is>
      </c>
      <c r="E35" s="27" t="inlineStr">
        <is>
          <t>FALSE</t>
        </is>
      </c>
      <c r="F35" s="27" t="n"/>
    </row>
    <row r="36" ht="15" customHeight="1" s="17">
      <c r="A36" s="28" t="n">
        <v>7</v>
      </c>
      <c r="B36" s="27" t="inlineStr">
        <is>
          <t>Analyze recent events to try to understand why you are depressed</t>
        </is>
      </c>
      <c r="C36" s="27" t="inlineStr">
        <is>
          <t>Reflection</t>
        </is>
      </c>
      <c r="D36" s="27" t="inlineStr">
        <is>
          <t>FALSE</t>
        </is>
      </c>
      <c r="E36" s="27" t="inlineStr">
        <is>
          <t>FALSE</t>
        </is>
      </c>
      <c r="F36" s="27" t="n"/>
    </row>
    <row r="37" ht="23.85" customHeight="1" s="17">
      <c r="A37" s="28" t="n">
        <v>8</v>
      </c>
      <c r="B37" s="27" t="inlineStr">
        <is>
          <t>Think about how you don't seem to feel anything anymore</t>
        </is>
      </c>
      <c r="C37" s="27" t="inlineStr">
        <is>
          <t>Depression-related items (not scored as a subscale)</t>
        </is>
      </c>
      <c r="D37" s="27" t="inlineStr">
        <is>
          <t>FALSE</t>
        </is>
      </c>
      <c r="E37" s="27" t="inlineStr">
        <is>
          <t>FALSE</t>
        </is>
      </c>
      <c r="F37" s="27" t="n"/>
    </row>
    <row r="38" ht="23.85" customHeight="1" s="17">
      <c r="A38" s="28" t="n">
        <v>9</v>
      </c>
      <c r="B38" s="27" t="inlineStr">
        <is>
          <t>Think "Why can't I get going?"</t>
        </is>
      </c>
      <c r="C38" s="27" t="inlineStr">
        <is>
          <t>Depression-related items (not scored as a subscale)</t>
        </is>
      </c>
      <c r="D38" s="27" t="inlineStr">
        <is>
          <t>FALSE</t>
        </is>
      </c>
      <c r="E38" s="27" t="inlineStr">
        <is>
          <t>FALSE</t>
        </is>
      </c>
      <c r="F38" s="27" t="n"/>
    </row>
    <row r="39" ht="15" customHeight="1" s="17">
      <c r="A39" s="28" t="n">
        <v>10</v>
      </c>
      <c r="B39" s="27" t="inlineStr">
        <is>
          <t>Think "Why do I always react this way?"</t>
        </is>
      </c>
      <c r="C39" s="27" t="inlineStr">
        <is>
          <t>Brooding</t>
        </is>
      </c>
      <c r="D39" s="27" t="inlineStr">
        <is>
          <t>FALSE</t>
        </is>
      </c>
      <c r="E39" s="27" t="inlineStr">
        <is>
          <t>FALSE</t>
        </is>
      </c>
      <c r="F39" s="27" t="n"/>
    </row>
    <row r="40" ht="15" customHeight="1" s="17">
      <c r="A40" s="28" t="n">
        <v>11</v>
      </c>
      <c r="B40" s="27" t="inlineStr">
        <is>
          <t>Go away by yourself and think about why you feel this way</t>
        </is>
      </c>
      <c r="C40" s="27" t="inlineStr">
        <is>
          <t>Reflection</t>
        </is>
      </c>
      <c r="D40" s="27" t="inlineStr">
        <is>
          <t>FALSE</t>
        </is>
      </c>
      <c r="E40" s="27" t="inlineStr">
        <is>
          <t>FALSE</t>
        </is>
      </c>
      <c r="F40" s="27" t="n"/>
    </row>
    <row r="41" ht="68.65000000000001" customHeight="1" s="17">
      <c r="A41" s="28" t="n">
        <v>12</v>
      </c>
      <c r="B41" s="27" t="inlineStr">
        <is>
          <t>Write down what you are thinking about and analyze it</t>
        </is>
      </c>
      <c r="C41" s="27" t="inlineStr">
        <is>
          <t>Reflection</t>
        </is>
      </c>
      <c r="D41" s="27" t="inlineStr">
        <is>
          <t>FALSE</t>
        </is>
      </c>
      <c r="E41" s="27" t="inlineStr">
        <is>
          <t>FALSE</t>
        </is>
      </c>
      <c r="F41"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row>
    <row r="42" ht="15" customHeight="1" s="17">
      <c r="A42" s="28" t="n">
        <v>13</v>
      </c>
      <c r="B42" s="27" t="inlineStr">
        <is>
          <t>Think about a recent situation, wishing it had gone better</t>
        </is>
      </c>
      <c r="C42" s="27" t="inlineStr">
        <is>
          <t>Brooding</t>
        </is>
      </c>
      <c r="D42" s="27" t="inlineStr">
        <is>
          <t>FALSE</t>
        </is>
      </c>
      <c r="E42" s="27" t="inlineStr">
        <is>
          <t>FALSE</t>
        </is>
      </c>
      <c r="F42" s="27" t="n"/>
    </row>
    <row r="43" ht="23.85" customHeight="1" s="17">
      <c r="A43" s="28" t="n">
        <v>14</v>
      </c>
      <c r="B43" s="27" t="inlineStr">
        <is>
          <t>Think "I won't be able to concentrate if I keep feeling this way"</t>
        </is>
      </c>
      <c r="C43" s="27" t="inlineStr">
        <is>
          <t>Depression-related items (not scored as a subscale)</t>
        </is>
      </c>
      <c r="D43" s="27" t="inlineStr">
        <is>
          <t>FALSE</t>
        </is>
      </c>
      <c r="E43" s="27" t="inlineStr">
        <is>
          <t>FALSE</t>
        </is>
      </c>
      <c r="F43" s="27" t="n"/>
    </row>
    <row r="44" ht="15" customHeight="1" s="17">
      <c r="A44" s="28" t="n">
        <v>15</v>
      </c>
      <c r="B44" s="27" t="inlineStr">
        <is>
          <t>Think "Why do I have problems other people don't have?"</t>
        </is>
      </c>
      <c r="C44" s="27" t="inlineStr">
        <is>
          <t>Brooding</t>
        </is>
      </c>
      <c r="D44" s="27" t="inlineStr">
        <is>
          <t>FALSE</t>
        </is>
      </c>
      <c r="E44" s="27" t="inlineStr">
        <is>
          <t>FALSE</t>
        </is>
      </c>
      <c r="F44" s="27" t="n"/>
    </row>
    <row r="45" ht="15" customHeight="1" s="17">
      <c r="A45" s="28" t="n">
        <v>16</v>
      </c>
      <c r="B45" s="27" t="inlineStr">
        <is>
          <t>Think "Why can't I handle things better?"</t>
        </is>
      </c>
      <c r="C45" s="27" t="inlineStr">
        <is>
          <t>Brooding</t>
        </is>
      </c>
      <c r="D45" s="27" t="inlineStr">
        <is>
          <t>FALSE</t>
        </is>
      </c>
      <c r="E45" s="27" t="inlineStr">
        <is>
          <t>FALSE</t>
        </is>
      </c>
      <c r="F45" s="27" t="n"/>
    </row>
    <row r="46" ht="23.85" customHeight="1" s="17">
      <c r="A46" s="28" t="n">
        <v>17</v>
      </c>
      <c r="B46" s="27" t="inlineStr">
        <is>
          <t>Think about how sad you feel</t>
        </is>
      </c>
      <c r="C46" s="27" t="inlineStr">
        <is>
          <t>Depression-related items (not scored as a subscale)</t>
        </is>
      </c>
      <c r="D46" s="27" t="inlineStr">
        <is>
          <t>FALSE</t>
        </is>
      </c>
      <c r="E46" s="27" t="inlineStr">
        <is>
          <t>FALSE</t>
        </is>
      </c>
      <c r="F46" s="27" t="n"/>
    </row>
    <row r="47" ht="23.85" customHeight="1" s="17">
      <c r="A47" s="28" t="n">
        <v>18</v>
      </c>
      <c r="B47" s="27" t="inlineStr">
        <is>
          <t>Think about all your shortcomings, failings, faults, mistakes</t>
        </is>
      </c>
      <c r="C47" s="27" t="inlineStr">
        <is>
          <t>Depression-related items (not scored as a subscale)</t>
        </is>
      </c>
      <c r="D47" s="27" t="inlineStr">
        <is>
          <t>FALSE</t>
        </is>
      </c>
      <c r="E47" s="27" t="inlineStr">
        <is>
          <t>FALSE</t>
        </is>
      </c>
      <c r="F47" s="27" t="n"/>
    </row>
    <row r="48" ht="23.85" customHeight="1" s="17">
      <c r="A48" s="28" t="n">
        <v>19</v>
      </c>
      <c r="B48" s="27" t="inlineStr">
        <is>
          <t>Think about how you don't feel up to doing anything</t>
        </is>
      </c>
      <c r="C48" s="27" t="inlineStr">
        <is>
          <t>Depression-related items (not scored as a subscale)</t>
        </is>
      </c>
      <c r="D48" s="27" t="inlineStr">
        <is>
          <t>FALSE</t>
        </is>
      </c>
      <c r="E48" s="27" t="inlineStr">
        <is>
          <t>FALSE</t>
        </is>
      </c>
      <c r="F48" s="27" t="n"/>
    </row>
    <row r="49" ht="15" customHeight="1" s="17">
      <c r="A49" s="28" t="n">
        <v>20</v>
      </c>
      <c r="B49" s="27" t="inlineStr">
        <is>
          <t>Analyze your personality to try to understand why you are depressed</t>
        </is>
      </c>
      <c r="C49" s="27" t="inlineStr">
        <is>
          <t>Reflection</t>
        </is>
      </c>
      <c r="D49" s="27" t="inlineStr">
        <is>
          <t>FALSE</t>
        </is>
      </c>
      <c r="E49" s="27" t="inlineStr">
        <is>
          <t>FALSE</t>
        </is>
      </c>
      <c r="F49" s="27" t="n"/>
    </row>
    <row r="50" ht="15" customHeight="1" s="17">
      <c r="A50" s="28" t="n">
        <v>21</v>
      </c>
      <c r="B50" s="27" t="inlineStr">
        <is>
          <t>Go someplace alone to think about your feelings</t>
        </is>
      </c>
      <c r="C50" s="27" t="inlineStr">
        <is>
          <t>Reflection</t>
        </is>
      </c>
      <c r="D50" s="27" t="inlineStr">
        <is>
          <t>FALSE</t>
        </is>
      </c>
      <c r="E50" s="27" t="inlineStr">
        <is>
          <t>FALSE</t>
        </is>
      </c>
      <c r="F50" s="27" t="n"/>
    </row>
    <row r="51" ht="23.85" customHeight="1" s="17">
      <c r="A51" s="28" t="n">
        <v>22</v>
      </c>
      <c r="B51" s="27" t="inlineStr">
        <is>
          <t>Think about how angry you are with yourself</t>
        </is>
      </c>
      <c r="C51" s="27" t="inlineStr">
        <is>
          <t>Depression-related items (not scored as a subscale)</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Forms of Self-Criticising/Attacking and Self-Reassuring Scale</t>
        </is>
      </c>
    </row>
    <row r="3" ht="15" customHeight="1" s="17">
      <c r="A3" s="35" t="inlineStr">
        <is>
          <t>Instrument</t>
        </is>
      </c>
      <c r="B3" s="27" t="inlineStr">
        <is>
          <t>Forms of Self-Criticising/Attacking and Self-Reassuring Scale</t>
        </is>
      </c>
    </row>
    <row r="4" ht="15" customHeight="1" s="17">
      <c r="A4" s="35" t="inlineStr">
        <is>
          <t>Code</t>
        </is>
      </c>
      <c r="B4" s="27" t="inlineStr">
        <is>
          <t>FSCRS</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row>
    <row r="8" ht="15" customHeight="1" s="17">
      <c r="A8" s="35" t="inlineStr">
        <is>
          <t>Respondent</t>
        </is>
      </c>
      <c r="B8" s="27" t="inlineStr">
        <is>
          <t>Adult self-report</t>
        </is>
      </c>
    </row>
    <row r="9" ht="45" customHeight="1" s="17">
      <c r="A9" s="35" t="inlineStr">
        <is>
          <t>Age range</t>
        </is>
      </c>
      <c r="B9" s="27" t="inlineStr">
        <is>
          <t>Not stated on the source document. The original 2004 development sample was female university students; the scale has since been used across adult clinical and non-clinical populations, but no formal age range is specified in the fetched source.</t>
        </is>
      </c>
    </row>
    <row r="10" ht="15" customHeight="1" s="17">
      <c r="A10" s="35" t="inlineStr">
        <is>
          <t>Items in instrument</t>
        </is>
      </c>
      <c r="B10" s="27" t="inlineStr">
        <is>
          <t>22</t>
        </is>
      </c>
    </row>
    <row r="11" ht="15" customHeight="1" s="17">
      <c r="A11" s="35" t="inlineStr">
        <is>
          <t>Items reproduced here</t>
        </is>
      </c>
      <c r="B11" s="27" t="inlineStr">
        <is>
          <t>22</t>
        </is>
      </c>
    </row>
    <row r="12" ht="30" customHeight="1" s="17">
      <c r="A12" s="35" t="inlineStr">
        <is>
          <t>Administration time</t>
        </is>
      </c>
      <c r="B12" s="27" t="inlineStr">
        <is>
          <t>Not stated in the source. A brief 22-item self-report measure, typically completed in a few minutes.</t>
        </is>
      </c>
    </row>
    <row r="13" ht="105" customHeight="1" s="17">
      <c r="A13" s="35" t="inlineStr">
        <is>
          <t>Cost and access</t>
        </is>
      </c>
      <c r="B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row>
    <row r="14" ht="135" customHeight="1" s="17">
      <c r="A14" s="35" t="inlineStr">
        <is>
          <t>Coaching application</t>
        </is>
      </c>
      <c r="B14"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row>
    <row r="15" ht="75" customHeight="1" s="17">
      <c r="A15" s="35" t="inlineStr">
        <is>
          <t>Purpose</t>
        </is>
      </c>
      <c r="B15"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row>
    <row r="16" ht="90" customHeight="1" s="17">
      <c r="A16" s="35" t="inlineStr">
        <is>
          <t>Instructions / prompt</t>
        </is>
      </c>
      <c r="B16"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row>
    <row r="17" ht="30" customHeight="1" s="17">
      <c r="A17" s="35" t="inlineStr">
        <is>
          <t>Response options</t>
        </is>
      </c>
      <c r="B17" s="27" t="inlineStr">
        <is>
          <t>Not at all like me = 0 | A little bit like me = 1 | Moderately like me = 2 | Quite a bit like me = 3 | Extremely like 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Each subscale is scored as the sum of its own items: Inadequate Self (9 items, range 0-36), Hated Self (5 items, range 0-20), Reassured Self (8 items, range 0-32). There is no single overall FSCRS total; the three subscales are interpreted separately (Gilbert et al., 2004).</t>
        </is>
      </c>
    </row>
    <row r="21" ht="15" customHeight="1" s="17">
      <c r="A21" s="35" t="inlineStr">
        <is>
          <t>Interpretation bands</t>
        </is>
      </c>
      <c r="B21" s="27" t="inlineStr">
        <is>
          <t>Not stated on source</t>
        </is>
      </c>
    </row>
    <row r="22" ht="15" customHeight="1" s="17">
      <c r="A22" s="35" t="inlineStr">
        <is>
          <t>Cut-offs</t>
        </is>
      </c>
      <c r="B22" s="27" t="inlineStr">
        <is>
          <t>No clinical cutoff scores were reported in the fetched source.</t>
        </is>
      </c>
    </row>
    <row r="23" ht="60" customHeight="1" s="17">
      <c r="A23" s="35" t="inlineStr">
        <is>
          <t>Normative data</t>
        </is>
      </c>
      <c r="B2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row>
    <row r="24" ht="30" customHeight="1" s="17">
      <c r="A24" s="35" t="inlineStr">
        <is>
          <t>Psychometric properties</t>
        </is>
      </c>
      <c r="B24" s="27" t="inlineStr">
        <is>
          <t>Cronbach's alpha = .90 (Inadequate Self), .86 (Hated Self), .86 (Reassured Self), as reported in the fetched source document (Gilbert et al., 2004).</t>
        </is>
      </c>
    </row>
    <row r="25" ht="45" customHeight="1" s="17">
      <c r="A25" s="35" t="inlineStr">
        <is>
          <t>Developer citation</t>
        </is>
      </c>
      <c r="B25" s="27" t="inlineStr">
        <is>
          <t>Gilbert, P., Clarke, M., Hempel, S., Miles, J. N. V., &amp; Irons, C. (2004). Criticizing and reassuring oneself: An exploration of forms, styles and reasons in female students. British Journal of Clinical Psychology, 43(1), 31–50. https://doi.org/10.1348/014466504772812959</t>
        </is>
      </c>
    </row>
    <row r="26" ht="30" customHeight="1" s="17">
      <c r="A26" s="35" t="inlineStr">
        <is>
          <t>Copyright and licensing</t>
        </is>
      </c>
      <c r="B26" s="27" t="inlineStr">
        <is>
          <t>© Gilbert et al., 2004 (notice appears on the source document). No explicit commercial-use grant or restriction was found beyond this author copyright notice.</t>
        </is>
      </c>
    </row>
    <row r="27" ht="30" customHeight="1" s="17">
      <c r="A27" s="35" t="inlineStr">
        <is>
          <t>Source URL</t>
        </is>
      </c>
      <c r="B27" s="27" t="inlineStr">
        <is>
          <t>https://d3n8a8pro7vhmx.cloudfront.net/portlandpsychotherapy/pages/21/attachments/original/1438799410/Forms_of_self-criticising_and_self_reassuring_scale.pdf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easily disappointed with myself.</t>
        </is>
      </c>
      <c r="C30" s="27" t="inlineStr">
        <is>
          <t>Inadequate Self</t>
        </is>
      </c>
      <c r="D30" s="27" t="inlineStr">
        <is>
          <t>FALSE</t>
        </is>
      </c>
      <c r="E30" s="27" t="inlineStr">
        <is>
          <t>FALSE</t>
        </is>
      </c>
      <c r="F30" s="27" t="n"/>
    </row>
    <row r="31" ht="15" customHeight="1" s="17">
      <c r="A31" s="28" t="n">
        <v>2</v>
      </c>
      <c r="B31" s="27" t="inlineStr">
        <is>
          <t>There is a part of me that puts me down.</t>
        </is>
      </c>
      <c r="C31" s="27" t="inlineStr">
        <is>
          <t>Inadequate Self</t>
        </is>
      </c>
      <c r="D31" s="27" t="inlineStr">
        <is>
          <t>FALSE</t>
        </is>
      </c>
      <c r="E31" s="27" t="inlineStr">
        <is>
          <t>FALSE</t>
        </is>
      </c>
      <c r="F31" s="27" t="n"/>
    </row>
    <row r="32" ht="15" customHeight="1" s="17">
      <c r="A32" s="28" t="n">
        <v>3</v>
      </c>
      <c r="B32" s="27" t="inlineStr">
        <is>
          <t>I am able to remind myself of positive things about myself.</t>
        </is>
      </c>
      <c r="C32" s="27" t="inlineStr">
        <is>
          <t>Reassured Self</t>
        </is>
      </c>
      <c r="D32" s="27" t="inlineStr">
        <is>
          <t>FALSE</t>
        </is>
      </c>
      <c r="E32" s="27" t="inlineStr">
        <is>
          <t>FALSE</t>
        </is>
      </c>
      <c r="F32" s="27" t="n"/>
    </row>
    <row r="33" ht="15" customHeight="1" s="17">
      <c r="A33" s="28" t="n">
        <v>4</v>
      </c>
      <c r="B33" s="27" t="inlineStr">
        <is>
          <t>I find it difficult to control my anger and frustration at myself.</t>
        </is>
      </c>
      <c r="C33" s="27" t="inlineStr">
        <is>
          <t>Inadequate Self</t>
        </is>
      </c>
      <c r="D33" s="27" t="inlineStr">
        <is>
          <t>FALSE</t>
        </is>
      </c>
      <c r="E33" s="27" t="inlineStr">
        <is>
          <t>FALSE</t>
        </is>
      </c>
      <c r="F33" s="27" t="n"/>
    </row>
    <row r="34" ht="15" customHeight="1" s="17">
      <c r="A34" s="28" t="n">
        <v>5</v>
      </c>
      <c r="B34" s="27" t="inlineStr">
        <is>
          <t>I find it easy to forgive myself.</t>
        </is>
      </c>
      <c r="C34" s="27" t="inlineStr">
        <is>
          <t>Reassured Self</t>
        </is>
      </c>
      <c r="D34" s="27" t="inlineStr">
        <is>
          <t>FALSE</t>
        </is>
      </c>
      <c r="E34" s="27" t="inlineStr">
        <is>
          <t>FALSE</t>
        </is>
      </c>
      <c r="F34" s="27" t="n"/>
    </row>
    <row r="35" ht="15" customHeight="1" s="17">
      <c r="A35" s="28" t="n">
        <v>6</v>
      </c>
      <c r="B35" s="27" t="inlineStr">
        <is>
          <t>There is a part of me that feels I am not good enough.</t>
        </is>
      </c>
      <c r="C35" s="27" t="inlineStr">
        <is>
          <t>Inadequate Self</t>
        </is>
      </c>
      <c r="D35" s="27" t="inlineStr">
        <is>
          <t>FALSE</t>
        </is>
      </c>
      <c r="E35" s="27" t="inlineStr">
        <is>
          <t>FALSE</t>
        </is>
      </c>
      <c r="F35" s="27" t="n"/>
    </row>
    <row r="36" ht="15" customHeight="1" s="17">
      <c r="A36" s="28" t="n">
        <v>7</v>
      </c>
      <c r="B36" s="27" t="inlineStr">
        <is>
          <t>I feel beaten down by my own self-critical thoughts.</t>
        </is>
      </c>
      <c r="C36" s="27" t="inlineStr">
        <is>
          <t>Inadequate Self</t>
        </is>
      </c>
      <c r="D36" s="27" t="inlineStr">
        <is>
          <t>FALSE</t>
        </is>
      </c>
      <c r="E36" s="27" t="inlineStr">
        <is>
          <t>FALSE</t>
        </is>
      </c>
      <c r="F36" s="27" t="n"/>
    </row>
    <row r="37" ht="15" customHeight="1" s="17">
      <c r="A37" s="28" t="n">
        <v>8</v>
      </c>
      <c r="B37" s="27" t="inlineStr">
        <is>
          <t>I still like being me.</t>
        </is>
      </c>
      <c r="C37" s="27" t="inlineStr">
        <is>
          <t>Reassured Self</t>
        </is>
      </c>
      <c r="D37" s="27" t="inlineStr">
        <is>
          <t>FALSE</t>
        </is>
      </c>
      <c r="E37" s="27" t="inlineStr">
        <is>
          <t>FALSE</t>
        </is>
      </c>
      <c r="F37" s="27" t="n"/>
    </row>
    <row r="38" ht="57.45" customHeight="1" s="17">
      <c r="A38" s="28" t="n">
        <v>9</v>
      </c>
      <c r="B38" s="27" t="inlineStr">
        <is>
          <t>I have become so angry with myself that I want to hurt or injure myself.</t>
        </is>
      </c>
      <c r="C38" s="27" t="inlineStr">
        <is>
          <t>Hated Self</t>
        </is>
      </c>
      <c r="D38" s="27" t="inlineStr">
        <is>
          <t>FALSE</t>
        </is>
      </c>
      <c r="E38" s="27" t="inlineStr">
        <is>
          <t>FALSE</t>
        </is>
      </c>
      <c r="F3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row>
    <row r="39" ht="15" customHeight="1" s="17">
      <c r="A39" s="28" t="n">
        <v>10</v>
      </c>
      <c r="B39" s="27" t="inlineStr">
        <is>
          <t>I have a sense of disgust with myself.</t>
        </is>
      </c>
      <c r="C39" s="27" t="inlineStr">
        <is>
          <t>Hated Self</t>
        </is>
      </c>
      <c r="D39" s="27" t="inlineStr">
        <is>
          <t>FALSE</t>
        </is>
      </c>
      <c r="E39" s="27" t="inlineStr">
        <is>
          <t>FALSE</t>
        </is>
      </c>
      <c r="F39" s="27" t="n"/>
    </row>
    <row r="40" ht="15" customHeight="1" s="17">
      <c r="A40" s="28" t="n">
        <v>11</v>
      </c>
      <c r="B40" s="27" t="inlineStr">
        <is>
          <t>I can still feel lovable and acceptable.</t>
        </is>
      </c>
      <c r="C40" s="27" t="inlineStr">
        <is>
          <t>Reassured Self</t>
        </is>
      </c>
      <c r="D40" s="27" t="inlineStr">
        <is>
          <t>FALSE</t>
        </is>
      </c>
      <c r="E40" s="27" t="inlineStr">
        <is>
          <t>FALSE</t>
        </is>
      </c>
      <c r="F40" s="27" t="n"/>
    </row>
    <row r="41" ht="15" customHeight="1" s="17">
      <c r="A41" s="28" t="n">
        <v>12</v>
      </c>
      <c r="B41" s="27" t="inlineStr">
        <is>
          <t>I stop caring about myself.</t>
        </is>
      </c>
      <c r="C41" s="27" t="inlineStr">
        <is>
          <t>Hated Self</t>
        </is>
      </c>
      <c r="D41" s="27" t="inlineStr">
        <is>
          <t>FALSE</t>
        </is>
      </c>
      <c r="E41" s="27" t="inlineStr">
        <is>
          <t>FALSE</t>
        </is>
      </c>
      <c r="F41" s="27" t="n"/>
    </row>
    <row r="42" ht="15" customHeight="1" s="17">
      <c r="A42" s="28" t="n">
        <v>13</v>
      </c>
      <c r="B42" s="27" t="inlineStr">
        <is>
          <t>I find it easy to like myself.</t>
        </is>
      </c>
      <c r="C42" s="27" t="inlineStr">
        <is>
          <t>Reassured Self</t>
        </is>
      </c>
      <c r="D42" s="27" t="inlineStr">
        <is>
          <t>FALSE</t>
        </is>
      </c>
      <c r="E42" s="27" t="inlineStr">
        <is>
          <t>FALSE</t>
        </is>
      </c>
      <c r="F42" s="27" t="n"/>
    </row>
    <row r="43" ht="15" customHeight="1" s="17">
      <c r="A43" s="28" t="n">
        <v>14</v>
      </c>
      <c r="B43" s="27" t="inlineStr">
        <is>
          <t>I remember and dwell on my failings.</t>
        </is>
      </c>
      <c r="C43" s="27" t="inlineStr">
        <is>
          <t>Inadequate Self</t>
        </is>
      </c>
      <c r="D43" s="27" t="inlineStr">
        <is>
          <t>FALSE</t>
        </is>
      </c>
      <c r="E43" s="27" t="inlineStr">
        <is>
          <t>FALSE</t>
        </is>
      </c>
      <c r="F43" s="27" t="n"/>
    </row>
    <row r="44" ht="15" customHeight="1" s="17">
      <c r="A44" s="28" t="n">
        <v>15</v>
      </c>
      <c r="B44" s="27" t="inlineStr">
        <is>
          <t>I call myself names.</t>
        </is>
      </c>
      <c r="C44" s="27" t="inlineStr">
        <is>
          <t>Hated Self</t>
        </is>
      </c>
      <c r="D44" s="27" t="inlineStr">
        <is>
          <t>FALSE</t>
        </is>
      </c>
      <c r="E44" s="27" t="inlineStr">
        <is>
          <t>FALSE</t>
        </is>
      </c>
      <c r="F44" s="27" t="n"/>
    </row>
    <row r="45" ht="15" customHeight="1" s="17">
      <c r="A45" s="28" t="n">
        <v>16</v>
      </c>
      <c r="B45" s="27" t="inlineStr">
        <is>
          <t>I am gentle and supportive with myself.</t>
        </is>
      </c>
      <c r="C45" s="27" t="inlineStr">
        <is>
          <t>Reassured Self</t>
        </is>
      </c>
      <c r="D45" s="27" t="inlineStr">
        <is>
          <t>FALSE</t>
        </is>
      </c>
      <c r="E45" s="27" t="inlineStr">
        <is>
          <t>FALSE</t>
        </is>
      </c>
      <c r="F45" s="27" t="n"/>
    </row>
    <row r="46" ht="15" customHeight="1" s="17">
      <c r="A46" s="28" t="n">
        <v>17</v>
      </c>
      <c r="B46" s="27" t="inlineStr">
        <is>
          <t>I can't accept failures and setbacks without feeling inadequate.</t>
        </is>
      </c>
      <c r="C46" s="27" t="inlineStr">
        <is>
          <t>Inadequate Self</t>
        </is>
      </c>
      <c r="D46" s="27" t="inlineStr">
        <is>
          <t>FALSE</t>
        </is>
      </c>
      <c r="E46" s="27" t="inlineStr">
        <is>
          <t>FALSE</t>
        </is>
      </c>
      <c r="F46" s="27" t="n"/>
    </row>
    <row r="47" ht="15" customHeight="1" s="17">
      <c r="A47" s="28" t="n">
        <v>18</v>
      </c>
      <c r="B47" s="27" t="inlineStr">
        <is>
          <t>I think I deserve my self-criticism.</t>
        </is>
      </c>
      <c r="C47" s="27" t="inlineStr">
        <is>
          <t>Inadequate Self</t>
        </is>
      </c>
      <c r="D47" s="27" t="inlineStr">
        <is>
          <t>FALSE</t>
        </is>
      </c>
      <c r="E47" s="27" t="inlineStr">
        <is>
          <t>FALSE</t>
        </is>
      </c>
      <c r="F47" s="27" t="n"/>
    </row>
    <row r="48" ht="15" customHeight="1" s="17">
      <c r="A48" s="28" t="n">
        <v>19</v>
      </c>
      <c r="B48" s="27" t="inlineStr">
        <is>
          <t>I am able to care and look after myself.</t>
        </is>
      </c>
      <c r="C48" s="27" t="inlineStr">
        <is>
          <t>Reassured Self</t>
        </is>
      </c>
      <c r="D48" s="27" t="inlineStr">
        <is>
          <t>FALSE</t>
        </is>
      </c>
      <c r="E48" s="27" t="inlineStr">
        <is>
          <t>FALSE</t>
        </is>
      </c>
      <c r="F48" s="27" t="n"/>
    </row>
    <row r="49" ht="15" customHeight="1" s="17">
      <c r="A49" s="28" t="n">
        <v>20</v>
      </c>
      <c r="B49" s="27" t="inlineStr">
        <is>
          <t>There is a part of me that wants to get rid of the bits I don't like.</t>
        </is>
      </c>
      <c r="C49" s="27" t="inlineStr">
        <is>
          <t>Inadequate Self</t>
        </is>
      </c>
      <c r="D49" s="27" t="inlineStr">
        <is>
          <t>FALSE</t>
        </is>
      </c>
      <c r="E49" s="27" t="inlineStr">
        <is>
          <t>FALSE</t>
        </is>
      </c>
      <c r="F49" s="27" t="n"/>
    </row>
    <row r="50" ht="15" customHeight="1" s="17">
      <c r="A50" s="28" t="n">
        <v>21</v>
      </c>
      <c r="B50" s="27" t="inlineStr">
        <is>
          <t>I encourage myself for the future.</t>
        </is>
      </c>
      <c r="C50" s="27" t="inlineStr">
        <is>
          <t>Reassured Self</t>
        </is>
      </c>
      <c r="D50" s="27" t="inlineStr">
        <is>
          <t>FALSE</t>
        </is>
      </c>
      <c r="E50" s="27" t="inlineStr">
        <is>
          <t>FALSE</t>
        </is>
      </c>
      <c r="F50" s="27" t="n"/>
    </row>
    <row r="51" ht="15" customHeight="1" s="17">
      <c r="A51" s="28" t="n">
        <v>22</v>
      </c>
      <c r="B51" s="27" t="inlineStr">
        <is>
          <t>I do not like being me.</t>
        </is>
      </c>
      <c r="C51" s="27" t="inlineStr">
        <is>
          <t>Hated Self</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Perfectionism Cognitions Inventory</t>
        </is>
      </c>
    </row>
    <row r="3" ht="15" customHeight="1" s="17">
      <c r="A3" s="35" t="inlineStr">
        <is>
          <t>Instrument</t>
        </is>
      </c>
      <c r="B3" s="27" t="inlineStr">
        <is>
          <t>Perfectionism Cognitions Inventory</t>
        </is>
      </c>
    </row>
    <row r="4" ht="15" customHeight="1" s="17">
      <c r="A4" s="35" t="inlineStr">
        <is>
          <t>Code</t>
        </is>
      </c>
      <c r="B4" s="27" t="inlineStr">
        <is>
          <t>PCI</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Frequency of perfectionism-related automatic thoughts (perfectionistic cognitions) over the preceding week, e.g. thoughts such as "Why can't I be perfect" or "My work should be flawless", as distinct from trait perfectionism itself.</t>
        </is>
      </c>
    </row>
    <row r="8" ht="15" customHeight="1" s="17">
      <c r="A8" s="35" t="inlineStr">
        <is>
          <t>Respondent</t>
        </is>
      </c>
      <c r="B8" s="27" t="inlineStr">
        <is>
          <t>Self-report</t>
        </is>
      </c>
    </row>
    <row r="9" ht="45" customHeight="1" s="17">
      <c r="A9" s="35" t="inlineStr">
        <is>
          <t>Age range</t>
        </is>
      </c>
      <c r="B9" s="27" t="inlineStr">
        <is>
          <t>NovoPsych lists the PCI as suitable from age 15 and up. The original Flett, Hewitt, Blankstein &amp; Gray (1998) development/validation samples were adult (psychiatric patients, adults recovering from alcoholism, and university students).</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Approximately 4 minutes (per NovoPsych).</t>
        </is>
      </c>
    </row>
    <row r="13" ht="135" customHeight="1" s="17">
      <c r="A13" s="35" t="inlineStr">
        <is>
          <t>Cost and access</t>
        </is>
      </c>
      <c r="B13"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row>
    <row r="14" ht="135" customHeight="1" s="17">
      <c r="A14" s="35" t="inlineStr">
        <is>
          <t>Coaching application</t>
        </is>
      </c>
      <c r="B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row>
    <row r="15" ht="75" customHeight="1" s="17">
      <c r="A15" s="35" t="inlineStr">
        <is>
          <t>Purpose</t>
        </is>
      </c>
      <c r="B15"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row>
    <row r="16" ht="45" customHeight="1" s="17">
      <c r="A16" s="35" t="inlineStr">
        <is>
          <t>Instructions / prompt</t>
        </is>
      </c>
      <c r="B16" s="27" t="inlineStr">
        <is>
          <t>Listed below are a variety of thoughts about perfectionism that sometimes pop into people's heads. Please read each thought and indicate how frequently, if at all, the thoughts occurred to you over the last week.</t>
        </is>
      </c>
    </row>
    <row r="17" ht="15" customHeight="1" s="17">
      <c r="A17" s="35" t="inlineStr">
        <is>
          <t>Response options</t>
        </is>
      </c>
      <c r="B17" s="27" t="inlineStr">
        <is>
          <t>Not At All = 0 | Sometimes = 1 | Moderately Often = 2 | Often = 3 | All of the time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score is the sum of all 25 items, converted/reported on a 0-100 scale, with higher scores indicating a greater frequency of perfectionistic cognitions (per NovoPsych's automatic scoring report). The instrument is unidimensional; no subscales are used.</t>
        </is>
      </c>
    </row>
    <row r="21" ht="90" customHeight="1" s="17">
      <c r="A21" s="35" t="inlineStr">
        <is>
          <t>Interpretation bands</t>
        </is>
      </c>
      <c r="B21"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row>
    <row r="22" ht="45" customHeight="1" s="17">
      <c r="A22" s="35" t="inlineStr">
        <is>
          <t>Cut-offs</t>
        </is>
      </c>
      <c r="B22"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row>
    <row r="23" ht="75" customHeight="1" s="17">
      <c r="A23" s="35" t="inlineStr">
        <is>
          <t>Normative data</t>
        </is>
      </c>
      <c r="B23"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row>
    <row r="24" ht="60" customHeight="1" s="17">
      <c r="A24" s="35" t="inlineStr">
        <is>
          <t>Psychometric properties</t>
        </is>
      </c>
      <c r="B2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row>
    <row r="25" ht="45" customHeight="1" s="17">
      <c r="A25" s="35" t="inlineStr">
        <is>
          <t>Developer citation</t>
        </is>
      </c>
      <c r="B25" s="27" t="inlineStr">
        <is>
          <t>Flett, G. L., Hewitt, P. L., Blankstein, K. R., &amp; Gray, L. (1998). Psychological distress and the frequency of perfectionistic thinking. Journal of Personality and Social Psychology, 75(5), 1363–1381. https://doi.org/10.1037/0022-3514.75.5.1363</t>
        </is>
      </c>
    </row>
    <row r="26" ht="30" customHeight="1" s="17">
      <c r="A26" s="35" t="inlineStr">
        <is>
          <t>Copyright and licensing</t>
        </is>
      </c>
      <c r="B26" s="27" t="inlineStr">
        <is>
          <t>No explicit copyright or commercial-use restriction was found on the fetched sources (Hewitt Lab-hosted document, db.arabpsychology.com scale database, or the NovoPsych sample scoring report).</t>
        </is>
      </c>
    </row>
    <row r="27" ht="15" customHeight="1" s="17">
      <c r="A27" s="35" t="inlineStr">
        <is>
          <t>Source URL</t>
        </is>
      </c>
      <c r="B27" s="27" t="inlineStr">
        <is>
          <t>https://novopsych.com/assessments/formulation/perfectionistic-cognitions-inventory-pci/</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Why can't I be perfect</t>
        </is>
      </c>
      <c r="C30" s="27" t="inlineStr">
        <is>
          <t>Not stated on source</t>
        </is>
      </c>
      <c r="D30" s="27" t="inlineStr">
        <is>
          <t>FALSE</t>
        </is>
      </c>
      <c r="E30" s="27" t="inlineStr">
        <is>
          <t>FALSE</t>
        </is>
      </c>
      <c r="F30" s="27" t="n"/>
    </row>
    <row r="31" ht="15" customHeight="1" s="17">
      <c r="A31" s="28" t="n">
        <v>2</v>
      </c>
      <c r="B31" s="27" t="inlineStr">
        <is>
          <t>I need to do better</t>
        </is>
      </c>
      <c r="C31" s="27" t="inlineStr">
        <is>
          <t>Not stated on source</t>
        </is>
      </c>
      <c r="D31" s="27" t="inlineStr">
        <is>
          <t>FALSE</t>
        </is>
      </c>
      <c r="E31" s="27" t="inlineStr">
        <is>
          <t>FALSE</t>
        </is>
      </c>
      <c r="F31" s="27" t="n"/>
    </row>
    <row r="32" ht="15" customHeight="1" s="17">
      <c r="A32" s="28" t="n">
        <v>3</v>
      </c>
      <c r="B32" s="27" t="inlineStr">
        <is>
          <t>I should be perfect</t>
        </is>
      </c>
      <c r="C32" s="27" t="inlineStr">
        <is>
          <t>Not stated on source</t>
        </is>
      </c>
      <c r="D32" s="27" t="inlineStr">
        <is>
          <t>FALSE</t>
        </is>
      </c>
      <c r="E32" s="27" t="inlineStr">
        <is>
          <t>FALSE</t>
        </is>
      </c>
      <c r="F32" s="27" t="n"/>
    </row>
    <row r="33" ht="15" customHeight="1" s="17">
      <c r="A33" s="28" t="n">
        <v>4</v>
      </c>
      <c r="B33" s="27" t="inlineStr">
        <is>
          <t>I should never make the same mistake twice</t>
        </is>
      </c>
      <c r="C33" s="27" t="inlineStr">
        <is>
          <t>Not stated on source</t>
        </is>
      </c>
      <c r="D33" s="27" t="inlineStr">
        <is>
          <t>FALSE</t>
        </is>
      </c>
      <c r="E33" s="27" t="inlineStr">
        <is>
          <t>FALSE</t>
        </is>
      </c>
      <c r="F33" s="27" t="n"/>
    </row>
    <row r="34" ht="15" customHeight="1" s="17">
      <c r="A34" s="28" t="n">
        <v>5</v>
      </c>
      <c r="B34" s="27" t="inlineStr">
        <is>
          <t>I've got to keep working on my goals</t>
        </is>
      </c>
      <c r="C34" s="27" t="inlineStr">
        <is>
          <t>Not stated on source</t>
        </is>
      </c>
      <c r="D34" s="27" t="inlineStr">
        <is>
          <t>FALSE</t>
        </is>
      </c>
      <c r="E34" s="27" t="inlineStr">
        <is>
          <t>FALSE</t>
        </is>
      </c>
      <c r="F34" s="27" t="n"/>
    </row>
    <row r="35" ht="15" customHeight="1" s="17">
      <c r="A35" s="28" t="n">
        <v>6</v>
      </c>
      <c r="B35" s="27" t="inlineStr">
        <is>
          <t>I have to be the best</t>
        </is>
      </c>
      <c r="C35" s="27" t="inlineStr">
        <is>
          <t>Not stated on source</t>
        </is>
      </c>
      <c r="D35" s="27" t="inlineStr">
        <is>
          <t>FALSE</t>
        </is>
      </c>
      <c r="E35" s="27" t="inlineStr">
        <is>
          <t>FALSE</t>
        </is>
      </c>
      <c r="F35" s="27" t="n"/>
    </row>
    <row r="36" ht="15" customHeight="1" s="17">
      <c r="A36" s="28" t="n">
        <v>7</v>
      </c>
      <c r="B36" s="27" t="inlineStr">
        <is>
          <t>I should be doing more</t>
        </is>
      </c>
      <c r="C36" s="27" t="inlineStr">
        <is>
          <t>Not stated on source</t>
        </is>
      </c>
      <c r="D36" s="27" t="inlineStr">
        <is>
          <t>FALSE</t>
        </is>
      </c>
      <c r="E36" s="27" t="inlineStr">
        <is>
          <t>FALSE</t>
        </is>
      </c>
      <c r="F36" s="27" t="n"/>
    </row>
    <row r="37" ht="15" customHeight="1" s="17">
      <c r="A37" s="28" t="n">
        <v>8</v>
      </c>
      <c r="B37" s="27" t="inlineStr">
        <is>
          <t>I can't stand to make mistakes</t>
        </is>
      </c>
      <c r="C37" s="27" t="inlineStr">
        <is>
          <t>Not stated on source</t>
        </is>
      </c>
      <c r="D37" s="27" t="inlineStr">
        <is>
          <t>FALSE</t>
        </is>
      </c>
      <c r="E37" s="27" t="inlineStr">
        <is>
          <t>FALSE</t>
        </is>
      </c>
      <c r="F37" s="27" t="n"/>
    </row>
    <row r="38" ht="15" customHeight="1" s="17">
      <c r="A38" s="28" t="n">
        <v>9</v>
      </c>
      <c r="B38" s="27" t="inlineStr">
        <is>
          <t>I have to work hard all the time</t>
        </is>
      </c>
      <c r="C38" s="27" t="inlineStr">
        <is>
          <t>Not stated on source</t>
        </is>
      </c>
      <c r="D38" s="27" t="inlineStr">
        <is>
          <t>FALSE</t>
        </is>
      </c>
      <c r="E38" s="27" t="inlineStr">
        <is>
          <t>FALSE</t>
        </is>
      </c>
      <c r="F38" s="27" t="n"/>
    </row>
    <row r="39" ht="15" customHeight="1" s="17">
      <c r="A39" s="28" t="n">
        <v>10</v>
      </c>
      <c r="B39" s="27" t="inlineStr">
        <is>
          <t>No matter how much I do, it's never enough</t>
        </is>
      </c>
      <c r="C39" s="27" t="inlineStr">
        <is>
          <t>Not stated on source</t>
        </is>
      </c>
      <c r="D39" s="27" t="inlineStr">
        <is>
          <t>FALSE</t>
        </is>
      </c>
      <c r="E39" s="27" t="inlineStr">
        <is>
          <t>FALSE</t>
        </is>
      </c>
      <c r="F39" s="27" t="n"/>
    </row>
    <row r="40" ht="15" customHeight="1" s="17">
      <c r="A40" s="28" t="n">
        <v>11</v>
      </c>
      <c r="B40" s="27" t="inlineStr">
        <is>
          <t>People expect me to be perfect</t>
        </is>
      </c>
      <c r="C40" s="27" t="inlineStr">
        <is>
          <t>Not stated on source</t>
        </is>
      </c>
      <c r="D40" s="27" t="inlineStr">
        <is>
          <t>FALSE</t>
        </is>
      </c>
      <c r="E40" s="27" t="inlineStr">
        <is>
          <t>FALSE</t>
        </is>
      </c>
      <c r="F40" s="27" t="n"/>
    </row>
    <row r="41" ht="15" customHeight="1" s="17">
      <c r="A41" s="28" t="n">
        <v>12</v>
      </c>
      <c r="B41" s="27" t="inlineStr">
        <is>
          <t>I must be efficient at all times</t>
        </is>
      </c>
      <c r="C41" s="27" t="inlineStr">
        <is>
          <t>Not stated on source</t>
        </is>
      </c>
      <c r="D41" s="27" t="inlineStr">
        <is>
          <t>FALSE</t>
        </is>
      </c>
      <c r="E41" s="27" t="inlineStr">
        <is>
          <t>FALSE</t>
        </is>
      </c>
      <c r="F41" s="27" t="n"/>
    </row>
    <row r="42" ht="15" customHeight="1" s="17">
      <c r="A42" s="28" t="n">
        <v>13</v>
      </c>
      <c r="B42" s="27" t="inlineStr">
        <is>
          <t>My goals are very high</t>
        </is>
      </c>
      <c r="C42" s="27" t="inlineStr">
        <is>
          <t>Not stated on source</t>
        </is>
      </c>
      <c r="D42" s="27" t="inlineStr">
        <is>
          <t>FALSE</t>
        </is>
      </c>
      <c r="E42" s="27" t="inlineStr">
        <is>
          <t>FALSE</t>
        </is>
      </c>
      <c r="F42" s="27" t="n"/>
    </row>
    <row r="43" ht="15" customHeight="1" s="17">
      <c r="A43" s="28" t="n">
        <v>14</v>
      </c>
      <c r="B43" s="27" t="inlineStr">
        <is>
          <t>I can always do better, even if things are almost perfect</t>
        </is>
      </c>
      <c r="C43" s="27" t="inlineStr">
        <is>
          <t>Not stated on source</t>
        </is>
      </c>
      <c r="D43" s="27" t="inlineStr">
        <is>
          <t>FALSE</t>
        </is>
      </c>
      <c r="E43" s="27" t="inlineStr">
        <is>
          <t>FALSE</t>
        </is>
      </c>
      <c r="F43" s="27" t="n"/>
    </row>
    <row r="44" ht="15" customHeight="1" s="17">
      <c r="A44" s="28" t="n">
        <v>15</v>
      </c>
      <c r="B44" s="27" t="inlineStr">
        <is>
          <t>I expect to be perfect</t>
        </is>
      </c>
      <c r="C44" s="27" t="inlineStr">
        <is>
          <t>Not stated on source</t>
        </is>
      </c>
      <c r="D44" s="27" t="inlineStr">
        <is>
          <t>FALSE</t>
        </is>
      </c>
      <c r="E44" s="27" t="inlineStr">
        <is>
          <t>FALSE</t>
        </is>
      </c>
      <c r="F44" s="27" t="n"/>
    </row>
    <row r="45" ht="15" customHeight="1" s="17">
      <c r="A45" s="28" t="n">
        <v>16</v>
      </c>
      <c r="B45" s="27" t="inlineStr">
        <is>
          <t>Why can't things be perfect?</t>
        </is>
      </c>
      <c r="C45" s="27" t="inlineStr">
        <is>
          <t>Not stated on source</t>
        </is>
      </c>
      <c r="D45" s="27" t="inlineStr">
        <is>
          <t>FALSE</t>
        </is>
      </c>
      <c r="E45" s="27" t="inlineStr">
        <is>
          <t>FALSE</t>
        </is>
      </c>
      <c r="F45" s="27" t="n"/>
    </row>
    <row r="46" ht="15" customHeight="1" s="17">
      <c r="A46" s="28" t="n">
        <v>17</v>
      </c>
      <c r="B46" s="27" t="inlineStr">
        <is>
          <t>My work has to be superior</t>
        </is>
      </c>
      <c r="C46" s="27" t="inlineStr">
        <is>
          <t>Not stated on source</t>
        </is>
      </c>
      <c r="D46" s="27" t="inlineStr">
        <is>
          <t>FALSE</t>
        </is>
      </c>
      <c r="E46" s="27" t="inlineStr">
        <is>
          <t>FALSE</t>
        </is>
      </c>
      <c r="F46" s="27" t="n"/>
    </row>
    <row r="47" ht="15" customHeight="1" s="17">
      <c r="A47" s="28" t="n">
        <v>18</v>
      </c>
      <c r="B47" s="27" t="inlineStr">
        <is>
          <t>It would be great if everything in my life was perfect</t>
        </is>
      </c>
      <c r="C47" s="27" t="inlineStr">
        <is>
          <t>Not stated on source</t>
        </is>
      </c>
      <c r="D47" s="27" t="inlineStr">
        <is>
          <t>FALSE</t>
        </is>
      </c>
      <c r="E47" s="27" t="inlineStr">
        <is>
          <t>FALSE</t>
        </is>
      </c>
      <c r="F47" s="27" t="n"/>
    </row>
    <row r="48" ht="15" customHeight="1" s="17">
      <c r="A48" s="28" t="n">
        <v>19</v>
      </c>
      <c r="B48" s="27" t="inlineStr">
        <is>
          <t>My work should be flawless</t>
        </is>
      </c>
      <c r="C48" s="27" t="inlineStr">
        <is>
          <t>Not stated on source</t>
        </is>
      </c>
      <c r="D48" s="27" t="inlineStr">
        <is>
          <t>FALSE</t>
        </is>
      </c>
      <c r="E48" s="27" t="inlineStr">
        <is>
          <t>FALSE</t>
        </is>
      </c>
      <c r="F48" s="27" t="n"/>
    </row>
    <row r="49" ht="15" customHeight="1" s="17">
      <c r="A49" s="28" t="n">
        <v>20</v>
      </c>
      <c r="B49" s="27" t="inlineStr">
        <is>
          <t>Things are seldom ideal</t>
        </is>
      </c>
      <c r="C49" s="27" t="inlineStr">
        <is>
          <t>Not stated on source</t>
        </is>
      </c>
      <c r="D49" s="27" t="inlineStr">
        <is>
          <t>FALSE</t>
        </is>
      </c>
      <c r="E49" s="27" t="inlineStr">
        <is>
          <t>FALSE</t>
        </is>
      </c>
      <c r="F49" s="27" t="n"/>
    </row>
    <row r="50" ht="15" customHeight="1" s="17">
      <c r="A50" s="28" t="n">
        <v>21</v>
      </c>
      <c r="B50" s="27" t="inlineStr">
        <is>
          <t>How well am I doing?</t>
        </is>
      </c>
      <c r="C50" s="27" t="inlineStr">
        <is>
          <t>Not stated on source</t>
        </is>
      </c>
      <c r="D50" s="27" t="inlineStr">
        <is>
          <t>FALSE</t>
        </is>
      </c>
      <c r="E50" s="27" t="inlineStr">
        <is>
          <t>FALSE</t>
        </is>
      </c>
      <c r="F50" s="27" t="n"/>
    </row>
    <row r="51" ht="15" customHeight="1" s="17">
      <c r="A51" s="28" t="n">
        <v>22</v>
      </c>
      <c r="B51" s="27" t="inlineStr">
        <is>
          <t>I can't do this perfectly</t>
        </is>
      </c>
      <c r="C51" s="27" t="inlineStr">
        <is>
          <t>Not stated on source</t>
        </is>
      </c>
      <c r="D51" s="27" t="inlineStr">
        <is>
          <t>FALSE</t>
        </is>
      </c>
      <c r="E51" s="27" t="inlineStr">
        <is>
          <t>FALSE</t>
        </is>
      </c>
      <c r="F51" s="27" t="n"/>
    </row>
    <row r="52" ht="15" customHeight="1" s="17">
      <c r="A52" s="28" t="n">
        <v>23</v>
      </c>
      <c r="B52" s="27" t="inlineStr">
        <is>
          <t>I certainly have high standards</t>
        </is>
      </c>
      <c r="C52" s="27" t="inlineStr">
        <is>
          <t>Not stated on source</t>
        </is>
      </c>
      <c r="D52" s="27" t="inlineStr">
        <is>
          <t>FALSE</t>
        </is>
      </c>
      <c r="E52" s="27" t="inlineStr">
        <is>
          <t>FALSE</t>
        </is>
      </c>
      <c r="F52" s="27" t="n"/>
    </row>
    <row r="53" ht="15" customHeight="1" s="17">
      <c r="A53" s="28" t="n">
        <v>24</v>
      </c>
      <c r="B53" s="27" t="inlineStr">
        <is>
          <t>Maybe I should lower my goals</t>
        </is>
      </c>
      <c r="C53" s="27" t="inlineStr">
        <is>
          <t>Not stated on source</t>
        </is>
      </c>
      <c r="D53" s="27" t="inlineStr">
        <is>
          <t>FALSE</t>
        </is>
      </c>
      <c r="E53" s="27" t="inlineStr">
        <is>
          <t>FALSE</t>
        </is>
      </c>
      <c r="F53" s="27" t="n"/>
    </row>
    <row r="54" ht="15" customHeight="1" s="17">
      <c r="A54" s="28" t="n">
        <v>25</v>
      </c>
      <c r="B54" s="27" t="inlineStr">
        <is>
          <t>I am too much of a perfectionist</t>
        </is>
      </c>
      <c r="C54" s="27" t="inlineStr">
        <is>
          <t>Not stated on source</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Self-Compassion Scale – Short Form</t>
        </is>
      </c>
    </row>
    <row r="3" ht="15" customHeight="1" s="17">
      <c r="A3" s="35" t="inlineStr">
        <is>
          <t>Instrument</t>
        </is>
      </c>
      <c r="B3" s="27" t="inlineStr">
        <is>
          <t>Self-Compassion Scale – Short Form</t>
        </is>
      </c>
    </row>
    <row r="4" ht="15" customHeight="1" s="17">
      <c r="A4" s="35" t="inlineStr">
        <is>
          <t>Code</t>
        </is>
      </c>
      <c r="B4" s="27" t="inlineStr">
        <is>
          <t>SCS-SF</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row>
    <row r="8" ht="15" customHeight="1" s="17">
      <c r="A8" s="35" t="inlineStr">
        <is>
          <t>Respondent</t>
        </is>
      </c>
      <c r="B8" s="27" t="inlineStr">
        <is>
          <t>Self-report</t>
        </is>
      </c>
    </row>
    <row r="9" ht="30" customHeight="1" s="17">
      <c r="A9" s="35" t="inlineStr">
        <is>
          <t>Age range</t>
        </is>
      </c>
      <c r="B9" s="27" t="inlineStr">
        <is>
          <t>NovoPsych lists 18 years and over. The English validation sample was University of Texas at Austin students; construction samples were Dutch/Belgian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Approximately 2 minutes (per NovoPsych).</t>
        </is>
      </c>
    </row>
    <row r="13" ht="120" customHeight="1" s="17">
      <c r="A13" s="35" t="inlineStr">
        <is>
          <t>Cost and access</t>
        </is>
      </c>
      <c r="B13"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row>
    <row r="14" ht="120" customHeight="1" s="17">
      <c r="A14" s="35" t="inlineStr">
        <is>
          <t>Coaching application</t>
        </is>
      </c>
      <c r="B14"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row>
    <row r="15" ht="75" customHeight="1" s="17">
      <c r="A15" s="35" t="inlineStr">
        <is>
          <t>Purpose</t>
        </is>
      </c>
      <c r="B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row>
    <row r="16" ht="30" customHeight="1" s="17">
      <c r="A16" s="35" t="inlineStr">
        <is>
          <t>Instructions / prompt</t>
        </is>
      </c>
      <c r="B16" s="27" t="inlineStr">
        <is>
          <t>Please read each statement carefully before answering. Indicate how often you behave in the stated manner.</t>
        </is>
      </c>
    </row>
    <row r="17" ht="15" customHeight="1" s="17">
      <c r="A17" s="35" t="inlineStr">
        <is>
          <t>Response options</t>
        </is>
      </c>
      <c r="B17" s="27" t="inlineStr">
        <is>
          <t>Almost never = 1 | 2 = 2 | 3 = 3 | 4 = 4 | Almost always = 5</t>
        </is>
      </c>
    </row>
    <row r="18" ht="15" customHeight="1" s="17">
      <c r="A18" s="35" t="inlineStr">
        <is>
          <t>Reverse-scored items</t>
        </is>
      </c>
      <c r="B18" s="27" t="inlineStr">
        <is>
          <t>1, 4, 8-9, 11-12</t>
        </is>
      </c>
    </row>
    <row r="19" ht="15" customHeight="1" s="17">
      <c r="A19" s="35" t="inlineStr">
        <is>
          <t>Filler items (not scored)</t>
        </is>
      </c>
      <c r="B19" s="27" t="inlineStr">
        <is>
          <t>None</t>
        </is>
      </c>
    </row>
    <row r="20" ht="105" customHeight="1" s="17">
      <c r="A20" s="35" t="inlineStr">
        <is>
          <t>Total scoring</t>
        </is>
      </c>
      <c r="B20"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row>
    <row r="21" ht="45" customHeight="1" s="17">
      <c r="A21" s="35" t="inlineStr">
        <is>
          <t>Interpretation bands</t>
        </is>
      </c>
      <c r="B21" s="27" t="inlineStr">
        <is>
          <t>Average: around the 50th percentile - Level of self-compassion broadly typical of NovoPsych's comparison group (per NovoPsych's sample scoring report, which compares individual scores to a clinical/psychotherapy-client reference group).</t>
        </is>
      </c>
    </row>
    <row r="22" ht="45" customHeight="1" s="17">
      <c r="A22" s="35" t="inlineStr">
        <is>
          <t>Cut-offs</t>
        </is>
      </c>
      <c r="B22"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row>
    <row r="23" ht="75" customHeight="1" s="17">
      <c r="A23" s="35" t="inlineStr">
        <is>
          <t>Normative data</t>
        </is>
      </c>
      <c r="B23"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row>
    <row r="24" ht="45" customHeight="1" s="17">
      <c r="A24" s="35" t="inlineStr">
        <is>
          <t>Psychometric properties</t>
        </is>
      </c>
      <c r="B24"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row>
    <row r="25" ht="45" customHeight="1" s="17">
      <c r="A25" s="35" t="inlineStr">
        <is>
          <t>Developer citation</t>
        </is>
      </c>
      <c r="B25" s="27" t="inlineStr">
        <is>
          <t>Raes, F., Pommier, E., Neff, K. D., &amp; Van Gucht, D. (2011). Construction and factorial validation of a short form of the Self-Compassion Scale. Clinical Psychology &amp; Psychotherapy, 18(3), 250–255. https://doi.org/10.1002/cpp.702</t>
        </is>
      </c>
    </row>
    <row r="26" ht="45" customHeight="1" s="17">
      <c r="A26" s="35" t="inlineStr">
        <is>
          <t>Copyright and licensing</t>
        </is>
      </c>
      <c r="B26"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row>
    <row r="27" ht="15" customHeight="1" s="17">
      <c r="A27" s="35" t="inlineStr">
        <is>
          <t>Source URL</t>
        </is>
      </c>
      <c r="B27" s="27" t="inlineStr">
        <is>
          <t>https://self-compassion.org/wp-content/uploads/2015/02/ShortSCS.pdf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When I fail at something important to me I become consumed by feelings of inadequacy.</t>
        </is>
      </c>
      <c r="C30" s="27" t="inlineStr">
        <is>
          <t>Over-Identification</t>
        </is>
      </c>
      <c r="D30" s="34" t="inlineStr">
        <is>
          <t>TRUE</t>
        </is>
      </c>
      <c r="E30" s="27" t="inlineStr">
        <is>
          <t>FALSE</t>
        </is>
      </c>
      <c r="F30" s="27" t="n"/>
    </row>
    <row r="31" ht="15" customHeight="1" s="17">
      <c r="A31" s="28" t="n">
        <v>2</v>
      </c>
      <c r="B31" s="27" t="inlineStr">
        <is>
          <t>I try to be understanding and patient towards those aspects of my personality I don't like.</t>
        </is>
      </c>
      <c r="C31" s="27" t="inlineStr">
        <is>
          <t>Self-Kindness</t>
        </is>
      </c>
      <c r="D31" s="27" t="inlineStr">
        <is>
          <t>FALSE</t>
        </is>
      </c>
      <c r="E31" s="27" t="inlineStr">
        <is>
          <t>FALSE</t>
        </is>
      </c>
      <c r="F31" s="27" t="n"/>
    </row>
    <row r="32" ht="15" customHeight="1" s="17">
      <c r="A32" s="28" t="n">
        <v>3</v>
      </c>
      <c r="B32" s="27" t="inlineStr">
        <is>
          <t>When something painful happens I try to take a balanced view of the situation.</t>
        </is>
      </c>
      <c r="C32" s="27" t="inlineStr">
        <is>
          <t>Mindfulness</t>
        </is>
      </c>
      <c r="D32" s="27" t="inlineStr">
        <is>
          <t>FALSE</t>
        </is>
      </c>
      <c r="E32" s="27" t="inlineStr">
        <is>
          <t>FALSE</t>
        </is>
      </c>
      <c r="F32" s="27" t="n"/>
    </row>
    <row r="33" ht="15" customHeight="1" s="17">
      <c r="A33" s="28" t="n">
        <v>4</v>
      </c>
      <c r="B33" s="27" t="inlineStr">
        <is>
          <t>When I'm feeling down, I tend to feel like most other people are probably happier than I am.</t>
        </is>
      </c>
      <c r="C33" s="27" t="inlineStr">
        <is>
          <t>Isolation</t>
        </is>
      </c>
      <c r="D33" s="34" t="inlineStr">
        <is>
          <t>TRUE</t>
        </is>
      </c>
      <c r="E33" s="27" t="inlineStr">
        <is>
          <t>FALSE</t>
        </is>
      </c>
      <c r="F33" s="27" t="n"/>
    </row>
    <row r="34" ht="15" customHeight="1" s="17">
      <c r="A34" s="28" t="n">
        <v>5</v>
      </c>
      <c r="B34" s="27" t="inlineStr">
        <is>
          <t>I try to see my failings as part of the human condition.</t>
        </is>
      </c>
      <c r="C34" s="27" t="inlineStr">
        <is>
          <t>Common Humanity</t>
        </is>
      </c>
      <c r="D34" s="27" t="inlineStr">
        <is>
          <t>FALSE</t>
        </is>
      </c>
      <c r="E34" s="27" t="inlineStr">
        <is>
          <t>FALSE</t>
        </is>
      </c>
      <c r="F34" s="27" t="n"/>
    </row>
    <row r="35" ht="15" customHeight="1" s="17">
      <c r="A35" s="28" t="n">
        <v>6</v>
      </c>
      <c r="B35" s="27" t="inlineStr">
        <is>
          <t>When I'm going through a very hard time, I give myself the caring and tenderness I need.</t>
        </is>
      </c>
      <c r="C35" s="27" t="inlineStr">
        <is>
          <t>Self-Kindness</t>
        </is>
      </c>
      <c r="D35" s="27" t="inlineStr">
        <is>
          <t>FALSE</t>
        </is>
      </c>
      <c r="E35" s="27" t="inlineStr">
        <is>
          <t>FALSE</t>
        </is>
      </c>
      <c r="F35" s="27" t="n"/>
    </row>
    <row r="36" ht="15" customHeight="1" s="17">
      <c r="A36" s="28" t="n">
        <v>7</v>
      </c>
      <c r="B36" s="27" t="inlineStr">
        <is>
          <t>When something upsets me I try to keep my emotions in balance.</t>
        </is>
      </c>
      <c r="C36" s="27" t="inlineStr">
        <is>
          <t>Mindfulness</t>
        </is>
      </c>
      <c r="D36" s="27" t="inlineStr">
        <is>
          <t>FALSE</t>
        </is>
      </c>
      <c r="E36" s="27" t="inlineStr">
        <is>
          <t>FALSE</t>
        </is>
      </c>
      <c r="F36" s="27" t="n"/>
    </row>
    <row r="37" ht="15" customHeight="1" s="17">
      <c r="A37" s="28" t="n">
        <v>8</v>
      </c>
      <c r="B37" s="27" t="inlineStr">
        <is>
          <t>When I fail at something that's important to me, I tend to feel alone in my failure.</t>
        </is>
      </c>
      <c r="C37" s="27" t="inlineStr">
        <is>
          <t>Isolation</t>
        </is>
      </c>
      <c r="D37" s="34" t="inlineStr">
        <is>
          <t>TRUE</t>
        </is>
      </c>
      <c r="E37" s="27" t="inlineStr">
        <is>
          <t>FALSE</t>
        </is>
      </c>
      <c r="F37" s="27" t="n"/>
    </row>
    <row r="38" ht="15" customHeight="1" s="17">
      <c r="A38" s="28" t="n">
        <v>9</v>
      </c>
      <c r="B38" s="27" t="inlineStr">
        <is>
          <t>When I'm feeling down I tend to obsess and fixate on everything that's wrong.</t>
        </is>
      </c>
      <c r="C38" s="27" t="inlineStr">
        <is>
          <t>Over-Identification</t>
        </is>
      </c>
      <c r="D38" s="34" t="inlineStr">
        <is>
          <t>TRUE</t>
        </is>
      </c>
      <c r="E38" s="27" t="inlineStr">
        <is>
          <t>FALSE</t>
        </is>
      </c>
      <c r="F38" s="27" t="n"/>
    </row>
    <row r="39" ht="23.85" customHeight="1" s="17">
      <c r="A39" s="28" t="n">
        <v>10</v>
      </c>
      <c r="B39" s="27" t="inlineStr">
        <is>
          <t>When I feel inadequate in some way, I try to remind myself that feelings of inadequacy are shared by most people.</t>
        </is>
      </c>
      <c r="C39" s="27" t="inlineStr">
        <is>
          <t>Common Humanity</t>
        </is>
      </c>
      <c r="D39" s="27" t="inlineStr">
        <is>
          <t>FALSE</t>
        </is>
      </c>
      <c r="E39" s="27" t="inlineStr">
        <is>
          <t>FALSE</t>
        </is>
      </c>
      <c r="F39" s="27" t="n"/>
    </row>
    <row r="40" ht="15" customHeight="1" s="17">
      <c r="A40" s="28" t="n">
        <v>11</v>
      </c>
      <c r="B40" s="27" t="inlineStr">
        <is>
          <t>I'm disapproving and judgmental about my own flaws and inadequacies.</t>
        </is>
      </c>
      <c r="C40" s="27" t="inlineStr">
        <is>
          <t>Self-Judgment</t>
        </is>
      </c>
      <c r="D40" s="34" t="inlineStr">
        <is>
          <t>TRUE</t>
        </is>
      </c>
      <c r="E40" s="27" t="inlineStr">
        <is>
          <t>FALSE</t>
        </is>
      </c>
      <c r="F40" s="27" t="n"/>
    </row>
    <row r="41" ht="15" customHeight="1" s="17">
      <c r="A41" s="28" t="n">
        <v>12</v>
      </c>
      <c r="B41" s="27" t="inlineStr">
        <is>
          <t>I'm intolerant and impatient towards those aspects of my personality I don't like.</t>
        </is>
      </c>
      <c r="C41" s="27" t="inlineStr">
        <is>
          <t>Self-Judgment</t>
        </is>
      </c>
      <c r="D41" s="34" t="inlineStr">
        <is>
          <t>TRUE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5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Basic Psychological Need Satisfaction and Frustration Scale (BPNSFS)</t>
        </is>
      </c>
    </row>
    <row r="3" ht="15" customHeight="1" s="17">
      <c r="A3" s="35" t="inlineStr">
        <is>
          <t>Instrument</t>
        </is>
      </c>
      <c r="B3" s="27" t="inlineStr">
        <is>
          <t>Basic Psychological Need Satisfaction and Frustration Scale (BPNSFS)</t>
        </is>
      </c>
    </row>
    <row r="4" ht="15" customHeight="1" s="17">
      <c r="A4" s="35" t="inlineStr">
        <is>
          <t>Code</t>
        </is>
      </c>
      <c r="B4" s="27" t="inlineStr">
        <is>
          <t>BPNSFS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row>
    <row r="8" ht="60" customHeight="1" s="17">
      <c r="A8" s="35" t="inlineStr">
        <is>
          <t>Respondent</t>
        </is>
      </c>
      <c r="B8"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row>
    <row r="9" ht="30" customHeight="1" s="17">
      <c r="A9" s="35" t="inlineStr">
        <is>
          <t>Age range</t>
        </is>
      </c>
      <c r="B9" s="27" t="inlineStr">
        <is>
          <t>Not stated precisely in the source; the general version is written for adults. Separate child and intellectual-disability versions exist but were not transcribed here.</t>
        </is>
      </c>
    </row>
    <row r="10" ht="15" customHeight="1" s="17">
      <c r="A10" s="35" t="inlineStr">
        <is>
          <t>Items in instrument</t>
        </is>
      </c>
      <c r="B10" s="27" t="inlineStr">
        <is>
          <t>24</t>
        </is>
      </c>
    </row>
    <row r="11" ht="15" customHeight="1" s="17">
      <c r="A11" s="35" t="inlineStr">
        <is>
          <t>Items reproduced here</t>
        </is>
      </c>
      <c r="B11" s="27" t="inlineStr">
        <is>
          <t>24</t>
        </is>
      </c>
    </row>
    <row r="12" ht="15" customHeight="1" s="17">
      <c r="A12" s="35" t="inlineStr">
        <is>
          <t>Administration time</t>
        </is>
      </c>
      <c r="B12" s="27" t="inlineStr">
        <is>
          <t>Not stated on source</t>
        </is>
      </c>
    </row>
    <row r="13" ht="120" customHeight="1" s="17">
      <c r="A13" s="35" t="inlineStr">
        <is>
          <t>Cost and access</t>
        </is>
      </c>
      <c r="B13"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row>
    <row r="14" ht="150" customHeight="1" s="17">
      <c r="A14" s="35" t="inlineStr">
        <is>
          <t>Coaching application</t>
        </is>
      </c>
      <c r="B14"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row>
    <row r="15" ht="105" customHeight="1" s="17">
      <c r="A15" s="35" t="inlineStr">
        <is>
          <t>Purpose</t>
        </is>
      </c>
      <c r="B15"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row>
    <row r="16" ht="45" customHeight="1" s="17">
      <c r="A16" s="35" t="inlineStr">
        <is>
          <t>Instructions / prompt</t>
        </is>
      </c>
      <c r="B16" s="27" t="inlineStr">
        <is>
          <t>Below, we ask you about the kind of experiences you actually have in your life. Please read each of the following items carefully. You can choose from 1 to 5 to indicate the degree to which the statement is true for you at this point in your life.</t>
        </is>
      </c>
    </row>
    <row r="17" ht="15" customHeight="1" s="17">
      <c r="A17" s="35" t="inlineStr">
        <is>
          <t>Response options</t>
        </is>
      </c>
      <c r="B17" s="27" t="inlineStr">
        <is>
          <t>Not true at all = 1 | 2 = 2 | 3 = 3 | 4 = 4 | Completely true = 5</t>
        </is>
      </c>
    </row>
    <row r="18" ht="15" customHeight="1" s="17">
      <c r="A18" s="35" t="inlineStr">
        <is>
          <t>Reverse-scored items</t>
        </is>
      </c>
      <c r="B18" s="27" t="inlineStr">
        <is>
          <t>None</t>
        </is>
      </c>
    </row>
    <row r="19" ht="15" customHeight="1" s="17">
      <c r="A19" s="35" t="inlineStr">
        <is>
          <t>Filler items (not scored)</t>
        </is>
      </c>
      <c r="B19" s="27" t="inlineStr">
        <is>
          <t>None</t>
        </is>
      </c>
    </row>
    <row r="20" ht="169.5" customHeight="1" s="17">
      <c r="A20" s="35" t="inlineStr">
        <is>
          <t>Total scoring</t>
        </is>
      </c>
      <c r="B20"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row>
    <row r="25" ht="60" customHeight="1" s="17">
      <c r="A25" s="35" t="inlineStr">
        <is>
          <t>Developer citation</t>
        </is>
      </c>
      <c r="B25"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26" ht="45" customHeight="1" s="17">
      <c r="A26" s="35" t="inlineStr">
        <is>
          <t>Copyright and licensing</t>
        </is>
      </c>
      <c r="B26" s="27" t="inlineStr">
        <is>
          <t>All questionnaires on selfdeterminationtheory.org, including the BPNSFS, are stated to be copyrighted. Free for academic, non-commercial research use. Written permission from the Center for Self-Determination Theory is required for any commercial use.</t>
        </is>
      </c>
    </row>
    <row r="27" ht="15" customHeight="1" s="17">
      <c r="A27" s="35" t="inlineStr">
        <is>
          <t>Source URL</t>
        </is>
      </c>
      <c r="B27" s="27" t="inlineStr">
        <is>
          <t>https://selfdeterminationtheory.org/basic-psychological-need-satisfaction-and-frustration-scale/</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feel a sense of choice and freedom in the things I undertake.</t>
        </is>
      </c>
      <c r="C30" s="27" t="inlineStr">
        <is>
          <t>Autonomy satisfaction</t>
        </is>
      </c>
      <c r="D30" s="27" t="inlineStr">
        <is>
          <t>FALSE</t>
        </is>
      </c>
      <c r="E30" s="27" t="inlineStr">
        <is>
          <t>FALSE</t>
        </is>
      </c>
      <c r="F30" s="27" t="n"/>
    </row>
    <row r="31" ht="15" customHeight="1" s="17">
      <c r="A31" s="28" t="n">
        <v>2</v>
      </c>
      <c r="B31" s="27" t="inlineStr">
        <is>
          <t>Most of the things I do feel like "I have to".</t>
        </is>
      </c>
      <c r="C31" s="27" t="inlineStr">
        <is>
          <t>Autonomy frustration</t>
        </is>
      </c>
      <c r="D31" s="27" t="inlineStr">
        <is>
          <t>FALSE</t>
        </is>
      </c>
      <c r="E31" s="27" t="inlineStr">
        <is>
          <t>FALSE</t>
        </is>
      </c>
      <c r="F31" s="27" t="n"/>
    </row>
    <row r="32" ht="15" customHeight="1" s="17">
      <c r="A32" s="28" t="n">
        <v>3</v>
      </c>
      <c r="B32" s="27" t="inlineStr">
        <is>
          <t>I feel that the people I care about also care about me.</t>
        </is>
      </c>
      <c r="C32" s="27" t="inlineStr">
        <is>
          <t>Relatedness satisfaction</t>
        </is>
      </c>
      <c r="D32" s="27" t="inlineStr">
        <is>
          <t>FALSE</t>
        </is>
      </c>
      <c r="E32" s="27" t="inlineStr">
        <is>
          <t>FALSE</t>
        </is>
      </c>
      <c r="F32" s="27" t="n"/>
    </row>
    <row r="33" ht="15" customHeight="1" s="17">
      <c r="A33" s="28" t="n">
        <v>4</v>
      </c>
      <c r="B33" s="27" t="inlineStr">
        <is>
          <t>I feel excluded from the group I want to belong to.</t>
        </is>
      </c>
      <c r="C33" s="27" t="inlineStr">
        <is>
          <t>Relatedness frustration</t>
        </is>
      </c>
      <c r="D33" s="27" t="inlineStr">
        <is>
          <t>FALSE</t>
        </is>
      </c>
      <c r="E33" s="27" t="inlineStr">
        <is>
          <t>FALSE</t>
        </is>
      </c>
      <c r="F33" s="27" t="n"/>
    </row>
    <row r="34" ht="15" customHeight="1" s="17">
      <c r="A34" s="28" t="n">
        <v>5</v>
      </c>
      <c r="B34" s="27" t="inlineStr">
        <is>
          <t>I feel confident that I can do things well.</t>
        </is>
      </c>
      <c r="C34" s="27" t="inlineStr">
        <is>
          <t>Competence satisfaction</t>
        </is>
      </c>
      <c r="D34" s="27" t="inlineStr">
        <is>
          <t>FALSE</t>
        </is>
      </c>
      <c r="E34" s="27" t="inlineStr">
        <is>
          <t>FALSE</t>
        </is>
      </c>
      <c r="F34" s="27" t="n"/>
    </row>
    <row r="35" ht="15" customHeight="1" s="17">
      <c r="A35" s="28" t="n">
        <v>6</v>
      </c>
      <c r="B35" s="27" t="inlineStr">
        <is>
          <t>I have serious doubts about whether I can do things well.</t>
        </is>
      </c>
      <c r="C35" s="27" t="inlineStr">
        <is>
          <t>Competence frustration</t>
        </is>
      </c>
      <c r="D35" s="27" t="inlineStr">
        <is>
          <t>FALSE</t>
        </is>
      </c>
      <c r="E35" s="27" t="inlineStr">
        <is>
          <t>FALSE</t>
        </is>
      </c>
      <c r="F35" s="27" t="n"/>
    </row>
    <row r="36" ht="15" customHeight="1" s="17">
      <c r="A36" s="28" t="n">
        <v>7</v>
      </c>
      <c r="B36" s="27" t="inlineStr">
        <is>
          <t>I feel that my decisions reflect what I really want.</t>
        </is>
      </c>
      <c r="C36" s="27" t="inlineStr">
        <is>
          <t>Autonomy satisfaction</t>
        </is>
      </c>
      <c r="D36" s="27" t="inlineStr">
        <is>
          <t>FALSE</t>
        </is>
      </c>
      <c r="E36" s="27" t="inlineStr">
        <is>
          <t>FALSE</t>
        </is>
      </c>
      <c r="F36" s="27" t="n"/>
    </row>
    <row r="37" ht="15" customHeight="1" s="17">
      <c r="A37" s="28" t="n">
        <v>8</v>
      </c>
      <c r="B37" s="27" t="inlineStr">
        <is>
          <t>I feel forced to do many things I wouldn't choose to do.</t>
        </is>
      </c>
      <c r="C37" s="27" t="inlineStr">
        <is>
          <t>Autonomy frustration</t>
        </is>
      </c>
      <c r="D37" s="27" t="inlineStr">
        <is>
          <t>FALSE</t>
        </is>
      </c>
      <c r="E37" s="27" t="inlineStr">
        <is>
          <t>FALSE</t>
        </is>
      </c>
      <c r="F37" s="27" t="n"/>
    </row>
    <row r="38" ht="15" customHeight="1" s="17">
      <c r="A38" s="28" t="n">
        <v>9</v>
      </c>
      <c r="B38" s="27" t="inlineStr">
        <is>
          <t>I feel connected with people who care for me, and for whom I care.</t>
        </is>
      </c>
      <c r="C38" s="27" t="inlineStr">
        <is>
          <t>Relatedness satisfaction</t>
        </is>
      </c>
      <c r="D38" s="27" t="inlineStr">
        <is>
          <t>FALSE</t>
        </is>
      </c>
      <c r="E38" s="27" t="inlineStr">
        <is>
          <t>FALSE</t>
        </is>
      </c>
      <c r="F38" s="27" t="n"/>
    </row>
    <row r="39" ht="15" customHeight="1" s="17">
      <c r="A39" s="28" t="n">
        <v>10</v>
      </c>
      <c r="B39" s="27" t="inlineStr">
        <is>
          <t>I feel that people who are important to me are cold and distant towards me.</t>
        </is>
      </c>
      <c r="C39" s="27" t="inlineStr">
        <is>
          <t>Relatedness frustration</t>
        </is>
      </c>
      <c r="D39" s="27" t="inlineStr">
        <is>
          <t>FALSE</t>
        </is>
      </c>
      <c r="E39" s="27" t="inlineStr">
        <is>
          <t>FALSE</t>
        </is>
      </c>
      <c r="F39" s="27" t="n"/>
    </row>
    <row r="40" ht="15" customHeight="1" s="17">
      <c r="A40" s="28" t="n">
        <v>11</v>
      </c>
      <c r="B40" s="27" t="inlineStr">
        <is>
          <t>I feel capable at what I do.</t>
        </is>
      </c>
      <c r="C40" s="27" t="inlineStr">
        <is>
          <t>Competence satisfaction</t>
        </is>
      </c>
      <c r="D40" s="27" t="inlineStr">
        <is>
          <t>FALSE</t>
        </is>
      </c>
      <c r="E40" s="27" t="inlineStr">
        <is>
          <t>FALSE</t>
        </is>
      </c>
      <c r="F40" s="27" t="n"/>
    </row>
    <row r="41" ht="15" customHeight="1" s="17">
      <c r="A41" s="28" t="n">
        <v>12</v>
      </c>
      <c r="B41" s="27" t="inlineStr">
        <is>
          <t>I feel disappointed with many of my performances.</t>
        </is>
      </c>
      <c r="C41" s="27" t="inlineStr">
        <is>
          <t>Competence frustration</t>
        </is>
      </c>
      <c r="D41" s="27" t="inlineStr">
        <is>
          <t>FALSE</t>
        </is>
      </c>
      <c r="E41" s="27" t="inlineStr">
        <is>
          <t>FALSE</t>
        </is>
      </c>
      <c r="F41" s="27" t="n"/>
    </row>
    <row r="42" ht="15" customHeight="1" s="17">
      <c r="A42" s="28" t="n">
        <v>13</v>
      </c>
      <c r="B42" s="27" t="inlineStr">
        <is>
          <t>I feel my choices express who I really am.</t>
        </is>
      </c>
      <c r="C42" s="27" t="inlineStr">
        <is>
          <t>Autonomy satisfaction</t>
        </is>
      </c>
      <c r="D42" s="27" t="inlineStr">
        <is>
          <t>FALSE</t>
        </is>
      </c>
      <c r="E42" s="27" t="inlineStr">
        <is>
          <t>FALSE</t>
        </is>
      </c>
      <c r="F42" s="27" t="n"/>
    </row>
    <row r="43" ht="15" customHeight="1" s="17">
      <c r="A43" s="28" t="n">
        <v>14</v>
      </c>
      <c r="B43" s="27" t="inlineStr">
        <is>
          <t>I feel pressured to do too many things.</t>
        </is>
      </c>
      <c r="C43" s="27" t="inlineStr">
        <is>
          <t>Autonomy frustration</t>
        </is>
      </c>
      <c r="D43" s="27" t="inlineStr">
        <is>
          <t>FALSE</t>
        </is>
      </c>
      <c r="E43" s="27" t="inlineStr">
        <is>
          <t>FALSE</t>
        </is>
      </c>
      <c r="F43" s="27" t="n"/>
    </row>
    <row r="44" ht="15" customHeight="1" s="17">
      <c r="A44" s="28" t="n">
        <v>15</v>
      </c>
      <c r="B44" s="27" t="inlineStr">
        <is>
          <t>I feel close and connected with other people who are important to me.</t>
        </is>
      </c>
      <c r="C44" s="27" t="inlineStr">
        <is>
          <t>Relatedness satisfaction</t>
        </is>
      </c>
      <c r="D44" s="27" t="inlineStr">
        <is>
          <t>FALSE</t>
        </is>
      </c>
      <c r="E44" s="27" t="inlineStr">
        <is>
          <t>FALSE</t>
        </is>
      </c>
      <c r="F44" s="27" t="n"/>
    </row>
    <row r="45" ht="15" customHeight="1" s="17">
      <c r="A45" s="28" t="n">
        <v>16</v>
      </c>
      <c r="B45" s="27" t="inlineStr">
        <is>
          <t>I have the impression that people I spend time with dislike me.</t>
        </is>
      </c>
      <c r="C45" s="27" t="inlineStr">
        <is>
          <t>Relatedness frustration</t>
        </is>
      </c>
      <c r="D45" s="27" t="inlineStr">
        <is>
          <t>FALSE</t>
        </is>
      </c>
      <c r="E45" s="27" t="inlineStr">
        <is>
          <t>FALSE</t>
        </is>
      </c>
      <c r="F45" s="27" t="n"/>
    </row>
    <row r="46" ht="15" customHeight="1" s="17">
      <c r="A46" s="28" t="n">
        <v>17</v>
      </c>
      <c r="B46" s="27" t="inlineStr">
        <is>
          <t>I feel competent to achieve my goals.</t>
        </is>
      </c>
      <c r="C46" s="27" t="inlineStr">
        <is>
          <t>Competence satisfaction</t>
        </is>
      </c>
      <c r="D46" s="27" t="inlineStr">
        <is>
          <t>FALSE</t>
        </is>
      </c>
      <c r="E46" s="27" t="inlineStr">
        <is>
          <t>FALSE</t>
        </is>
      </c>
      <c r="F46" s="27" t="n"/>
    </row>
    <row r="47" ht="15" customHeight="1" s="17">
      <c r="A47" s="28" t="n">
        <v>18</v>
      </c>
      <c r="B47" s="27" t="inlineStr">
        <is>
          <t>I feel insecure about my abilities.</t>
        </is>
      </c>
      <c r="C47" s="27" t="inlineStr">
        <is>
          <t>Competence frustration</t>
        </is>
      </c>
      <c r="D47" s="27" t="inlineStr">
        <is>
          <t>FALSE</t>
        </is>
      </c>
      <c r="E47" s="27" t="inlineStr">
        <is>
          <t>FALSE</t>
        </is>
      </c>
      <c r="F47" s="27" t="n"/>
    </row>
    <row r="48" ht="15" customHeight="1" s="17">
      <c r="A48" s="28" t="n">
        <v>19</v>
      </c>
      <c r="B48" s="27" t="inlineStr">
        <is>
          <t>I feel I have been doing what really interests me.</t>
        </is>
      </c>
      <c r="C48" s="27" t="inlineStr">
        <is>
          <t>Autonomy satisfaction</t>
        </is>
      </c>
      <c r="D48" s="27" t="inlineStr">
        <is>
          <t>FALSE</t>
        </is>
      </c>
      <c r="E48" s="27" t="inlineStr">
        <is>
          <t>FALSE</t>
        </is>
      </c>
      <c r="F48" s="27" t="n"/>
    </row>
    <row r="49" ht="15" customHeight="1" s="17">
      <c r="A49" s="28" t="n">
        <v>20</v>
      </c>
      <c r="B49" s="27" t="inlineStr">
        <is>
          <t>My daily activities feel like a chain of obligations.</t>
        </is>
      </c>
      <c r="C49" s="27" t="inlineStr">
        <is>
          <t>Autonomy frustration</t>
        </is>
      </c>
      <c r="D49" s="27" t="inlineStr">
        <is>
          <t>FALSE</t>
        </is>
      </c>
      <c r="E49" s="27" t="inlineStr">
        <is>
          <t>FALSE</t>
        </is>
      </c>
      <c r="F49" s="27" t="n"/>
    </row>
    <row r="50" ht="15" customHeight="1" s="17">
      <c r="A50" s="28" t="n">
        <v>21</v>
      </c>
      <c r="B50" s="27" t="inlineStr">
        <is>
          <t>I experience a warm feeling with the people I spend time with.</t>
        </is>
      </c>
      <c r="C50" s="27" t="inlineStr">
        <is>
          <t>Relatedness satisfaction</t>
        </is>
      </c>
      <c r="D50" s="27" t="inlineStr">
        <is>
          <t>FALSE</t>
        </is>
      </c>
      <c r="E50" s="27" t="inlineStr">
        <is>
          <t>FALSE</t>
        </is>
      </c>
      <c r="F50" s="27" t="n"/>
    </row>
    <row r="51" ht="15" customHeight="1" s="17">
      <c r="A51" s="28" t="n">
        <v>22</v>
      </c>
      <c r="B51" s="27" t="inlineStr">
        <is>
          <t>I feel the relationships I have are just superficial.</t>
        </is>
      </c>
      <c r="C51" s="27" t="inlineStr">
        <is>
          <t>Relatedness frustration</t>
        </is>
      </c>
      <c r="D51" s="27" t="inlineStr">
        <is>
          <t>FALSE</t>
        </is>
      </c>
      <c r="E51" s="27" t="inlineStr">
        <is>
          <t>FALSE</t>
        </is>
      </c>
      <c r="F51" s="27" t="n"/>
    </row>
    <row r="52" ht="15" customHeight="1" s="17">
      <c r="A52" s="28" t="n">
        <v>23</v>
      </c>
      <c r="B52" s="27" t="inlineStr">
        <is>
          <t>I feel I can successfully complete difficult tasks.</t>
        </is>
      </c>
      <c r="C52" s="27" t="inlineStr">
        <is>
          <t>Competence satisfaction</t>
        </is>
      </c>
      <c r="D52" s="27" t="inlineStr">
        <is>
          <t>FALSE</t>
        </is>
      </c>
      <c r="E52" s="27" t="inlineStr">
        <is>
          <t>FALSE</t>
        </is>
      </c>
      <c r="F52" s="27" t="n"/>
    </row>
    <row r="53" ht="15" customHeight="1" s="17">
      <c r="A53" s="28" t="n">
        <v>24</v>
      </c>
      <c r="B53" s="27" t="inlineStr">
        <is>
          <t>I feel like a failure because of the mistakes I make.</t>
        </is>
      </c>
      <c r="C53" s="27" t="inlineStr">
        <is>
          <t>Competence frustration</t>
        </is>
      </c>
      <c r="D53" s="27" t="inlineStr">
        <is>
          <t>FALSE</t>
        </is>
      </c>
      <c r="E53" s="27" t="inlineStr">
        <is>
          <t>FALSE</t>
        </is>
      </c>
      <c r="F53" s="27" t="n"/>
    </row>
  </sheetData>
  <autoFilter ref="A29:F5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Pure Procrastination Scale</t>
        </is>
      </c>
    </row>
    <row r="3" ht="15" customHeight="1" s="17">
      <c r="A3" s="35" t="inlineStr">
        <is>
          <t>Instrument</t>
        </is>
      </c>
      <c r="B3" s="27" t="inlineStr">
        <is>
          <t>Pure Procrastination Scale</t>
        </is>
      </c>
    </row>
    <row r="4" ht="15" customHeight="1" s="17">
      <c r="A4" s="35" t="inlineStr">
        <is>
          <t>Code</t>
        </is>
      </c>
      <c r="B4" s="27" t="inlineStr">
        <is>
          <t>PPS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60" customHeight="1" s="17">
      <c r="A7" s="35" t="inlineStr">
        <is>
          <t>Construct</t>
        </is>
      </c>
      <c r="B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(used with university students and working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120" customHeight="1" s="17">
      <c r="A13" s="35" t="inlineStr">
        <is>
          <t>Cost and access</t>
        </is>
      </c>
      <c r="B13"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20" customHeight="1" s="17">
      <c r="A14" s="35" t="inlineStr">
        <is>
          <t>Coaching application</t>
        </is>
      </c>
      <c r="B14"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row>
    <row r="15" ht="90" customHeight="1" s="17">
      <c r="A15" s="35" t="inlineStr">
        <is>
          <t>Purpose</t>
        </is>
      </c>
      <c r="B15"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12 item ratings. Higher total scores indicate greater trait procrastination. No reverse-scored items are indicated for the PPS in the source table (unlike the companion IPS, which has three reverse-scored items).</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30" customHeight="1" s="17">
      <c r="A23" s="35" t="inlineStr">
        <is>
          <t>Normative data</t>
        </is>
      </c>
      <c r="B23" s="27" t="inlineStr">
        <is>
          <t>No normative table was printed in the fetched excerpt of the source article. Piers Steel's own measure page invites direct contact for norms and scoring materials.</t>
        </is>
      </c>
    </row>
    <row r="24" ht="60" customHeight="1" s="17">
      <c r="A24" s="35" t="inlineStr">
        <is>
          <t>Psychometric properties</t>
        </is>
      </c>
      <c r="B24"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delay making decision until it's too late</t>
        </is>
      </c>
      <c r="C30" s="27" t="inlineStr">
        <is>
          <t>Pure Procrastination (total scale)</t>
        </is>
      </c>
      <c r="D30" s="27" t="inlineStr">
        <is>
          <t>FALSE</t>
        </is>
      </c>
      <c r="E30" s="27" t="inlineStr">
        <is>
          <t>FALSE</t>
        </is>
      </c>
      <c r="F30" s="27" t="inlineStr">
        <is>
          <t>Verbatim from Table 1, Svartdal &amp; Steel (2017); sourced from the Decisional Procrastination Scale (DPS).</t>
        </is>
      </c>
    </row>
    <row r="31" ht="23.85" customHeight="1" s="17">
      <c r="A31" s="28" t="n">
        <v>2</v>
      </c>
      <c r="B31" s="27" t="inlineStr">
        <is>
          <t>Even after I make a decision I delay acting upon it</t>
        </is>
      </c>
      <c r="C31" s="27" t="inlineStr">
        <is>
          <t>Pure Procrastination (total scale)</t>
        </is>
      </c>
      <c r="D31" s="27" t="inlineStr">
        <is>
          <t>FALSE</t>
        </is>
      </c>
      <c r="E31" s="27" t="inlineStr">
        <is>
          <t>FALSE</t>
        </is>
      </c>
      <c r="F31" s="27" t="inlineStr">
        <is>
          <t>Verbatim from Table 1, Svartdal &amp; Steel (2017); sourced from the Decisional Procrastination Scale (DPS).</t>
        </is>
      </c>
    </row>
    <row r="32" ht="23.85" customHeight="1" s="17">
      <c r="A32" s="28" t="n">
        <v>3</v>
      </c>
      <c r="B32" s="27" t="inlineStr">
        <is>
          <t>I waste a lot of time on trivial matters before getting to final decisions</t>
        </is>
      </c>
      <c r="C32" s="27" t="inlineStr">
        <is>
          <t>Pure Procrastination (total scale)</t>
        </is>
      </c>
      <c r="D32" s="27" t="inlineStr">
        <is>
          <t>FALSE</t>
        </is>
      </c>
      <c r="E32" s="27" t="inlineStr">
        <is>
          <t>FALSE</t>
        </is>
      </c>
      <c r="F32" s="27" t="inlineStr">
        <is>
          <t>Verbatim from Table 1, Svartdal &amp; Steel (2017); sourced from the Decisional Procrastination Scale (DPS).</t>
        </is>
      </c>
    </row>
    <row r="33" ht="23.85" customHeight="1" s="17">
      <c r="A33" s="28" t="n">
        <v>4</v>
      </c>
      <c r="B33" s="27" t="inlineStr">
        <is>
          <t>In preparation for some deadlines, I often waste time by doing other things</t>
        </is>
      </c>
      <c r="C33" s="27" t="inlineStr">
        <is>
          <t>Pure Procrastination (total scale)</t>
        </is>
      </c>
      <c r="D33" s="27" t="inlineStr">
        <is>
          <t>FALSE</t>
        </is>
      </c>
      <c r="E33" s="27" t="inlineStr">
        <is>
          <t>FALSE</t>
        </is>
      </c>
      <c r="F33" s="27" t="inlineStr">
        <is>
          <t>Verbatim from Table 1, Svartdal &amp; Steel (2017); sourced from the General Procrastination Scale (GPS).</t>
        </is>
      </c>
    </row>
    <row r="34" ht="23.85" customHeight="1" s="17">
      <c r="A34" s="28" t="n">
        <v>5</v>
      </c>
      <c r="B34" s="27" t="inlineStr">
        <is>
          <t>Even jobs that require little else except sitting down and doing them, I find they seldom get done for days</t>
        </is>
      </c>
      <c r="C34" s="27" t="inlineStr">
        <is>
          <t>Pure Procrastination (total scale)</t>
        </is>
      </c>
      <c r="D34" s="27" t="inlineStr">
        <is>
          <t>FALSE</t>
        </is>
      </c>
      <c r="E34" s="27" t="inlineStr">
        <is>
          <t>FALSE</t>
        </is>
      </c>
      <c r="F34" s="27" t="inlineStr">
        <is>
          <t>Verbatim from Table 1, Svartdal &amp; Steel (2017); sourced from the General Procrastination Scale (GPS).</t>
        </is>
      </c>
    </row>
    <row r="35" ht="23.85" customHeight="1" s="17">
      <c r="A35" s="28" t="n">
        <v>6</v>
      </c>
      <c r="B35" s="27" t="inlineStr">
        <is>
          <t>I often find myself performing tasks that I had intended to do days before</t>
        </is>
      </c>
      <c r="C35" s="27" t="inlineStr">
        <is>
          <t>Pure Procrastination (total scale)</t>
        </is>
      </c>
      <c r="D35" s="27" t="inlineStr">
        <is>
          <t>FALSE</t>
        </is>
      </c>
      <c r="E35" s="27" t="inlineStr">
        <is>
          <t>FALSE</t>
        </is>
      </c>
      <c r="F35" s="27" t="inlineStr">
        <is>
          <t>Verbatim from Table 1, Svartdal &amp; Steel (2017); sourced from the General Procrastination Scale (GPS).</t>
        </is>
      </c>
    </row>
    <row r="36" ht="23.85" customHeight="1" s="17">
      <c r="A36" s="28" t="n">
        <v>7</v>
      </c>
      <c r="B36" s="27" t="inlineStr">
        <is>
          <t>I am continually saying 'I'll do it tomorrow'</t>
        </is>
      </c>
      <c r="C36" s="27" t="inlineStr">
        <is>
          <t>Pure Procrastination (total scale)</t>
        </is>
      </c>
      <c r="D36" s="27" t="inlineStr">
        <is>
          <t>FALSE</t>
        </is>
      </c>
      <c r="E36" s="27" t="inlineStr">
        <is>
          <t>FALSE</t>
        </is>
      </c>
      <c r="F36" s="27" t="inlineStr">
        <is>
          <t>Verbatim from Table 1, Svartdal &amp; Steel (2017); sourced from the General Procrastination Scale (GPS).</t>
        </is>
      </c>
    </row>
    <row r="37" ht="23.85" customHeight="1" s="17">
      <c r="A37" s="28" t="n">
        <v>8</v>
      </c>
      <c r="B37" s="27" t="inlineStr">
        <is>
          <t>I generally delay before starting on work I have to do</t>
        </is>
      </c>
      <c r="C37" s="27" t="inlineStr">
        <is>
          <t>Pure Procrastination (total scale)</t>
        </is>
      </c>
      <c r="D37" s="27" t="inlineStr">
        <is>
          <t>FALSE</t>
        </is>
      </c>
      <c r="E37" s="27" t="inlineStr">
        <is>
          <t>FALSE</t>
        </is>
      </c>
      <c r="F37" s="27" t="inlineStr">
        <is>
          <t>Verbatim from Table 1, Svartdal &amp; Steel (2017); sourced from the General Procrastination Scale (GPS).</t>
        </is>
      </c>
    </row>
    <row r="38" ht="23.85" customHeight="1" s="17">
      <c r="A38" s="28" t="n">
        <v>9</v>
      </c>
      <c r="B38" s="27" t="inlineStr">
        <is>
          <t>I find myself running out of time</t>
        </is>
      </c>
      <c r="C38" s="27" t="inlineStr">
        <is>
          <t>Pure Procrastination (total scale)</t>
        </is>
      </c>
      <c r="D38" s="27" t="inlineStr">
        <is>
          <t>FALSE</t>
        </is>
      </c>
      <c r="E38" s="27" t="inlineStr">
        <is>
          <t>FALSE</t>
        </is>
      </c>
      <c r="F38" s="27" t="inlineStr">
        <is>
          <t>Verbatim from Table 1, Svartdal &amp; Steel (2017); sourced from the Adult Inventory of Procrastination (AIP).</t>
        </is>
      </c>
    </row>
    <row r="39" ht="23.85" customHeight="1" s="17">
      <c r="A39" s="28" t="n">
        <v>10</v>
      </c>
      <c r="B39" s="27" t="inlineStr">
        <is>
          <t>I don't get things done on time</t>
        </is>
      </c>
      <c r="C39" s="27" t="inlineStr">
        <is>
          <t>Pure Procrastination (total scale)</t>
        </is>
      </c>
      <c r="D39" s="27" t="inlineStr">
        <is>
          <t>FALSE</t>
        </is>
      </c>
      <c r="E39" s="27" t="inlineStr">
        <is>
          <t>FALSE</t>
        </is>
      </c>
      <c r="F39" s="27" t="inlineStr">
        <is>
          <t>Verbatim from Table 1, Svartdal &amp; Steel (2017); sourced from the Adult Inventory of Procrastination (AIP).</t>
        </is>
      </c>
    </row>
    <row r="40" ht="23.85" customHeight="1" s="17">
      <c r="A40" s="28" t="n">
        <v>11</v>
      </c>
      <c r="B40" s="27" t="inlineStr">
        <is>
          <t>I am not very good at meeting deadlines</t>
        </is>
      </c>
      <c r="C40" s="27" t="inlineStr">
        <is>
          <t>Pure Procrastination (total scale)</t>
        </is>
      </c>
      <c r="D40" s="27" t="inlineStr">
        <is>
          <t>FALSE</t>
        </is>
      </c>
      <c r="E40" s="27" t="inlineStr">
        <is>
          <t>FALSE</t>
        </is>
      </c>
      <c r="F40" s="27" t="inlineStr">
        <is>
          <t>Verbatim from Table 1, Svartdal &amp; Steel (2017); sourced from the Adult Inventory of Procrastination (AIP).</t>
        </is>
      </c>
    </row>
    <row r="41" ht="23.85" customHeight="1" s="17">
      <c r="A41" s="28" t="n">
        <v>12</v>
      </c>
      <c r="B41" s="27" t="inlineStr">
        <is>
          <t>Putting things off till the last minute has cost me money in the past</t>
        </is>
      </c>
      <c r="C41" s="27" t="inlineStr">
        <is>
          <t>Pure Procrastination (total scale)</t>
        </is>
      </c>
      <c r="D41" s="27" t="inlineStr">
        <is>
          <t>FALSE</t>
        </is>
      </c>
      <c r="E41" s="27" t="inlineStr">
        <is>
          <t>FALSE</t>
        </is>
      </c>
      <c r="F41" s="27" t="inlineStr">
        <is>
          <t>Verbatim from Table 1, Svartdal &amp; Steel (2017); sourced from the Adult Inventory of Procrastination (AIP).</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F38"/>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Irrational Procrastination Scale</t>
        </is>
      </c>
    </row>
    <row r="3" ht="15" customHeight="1" s="17">
      <c r="A3" s="35" t="inlineStr">
        <is>
          <t>Instrument</t>
        </is>
      </c>
      <c r="B3" s="27" t="inlineStr">
        <is>
          <t>Irrational Procrastination Scale</t>
        </is>
      </c>
    </row>
    <row r="4" ht="15" customHeight="1" s="17">
      <c r="A4" s="35" t="inlineStr">
        <is>
          <t>Code</t>
        </is>
      </c>
      <c r="B4" s="27" t="inlineStr">
        <is>
          <t>IPS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Irrational procrastination, i.e. the tendency to delay in a way that is knowingly counterproductive to one's own well-being or efficiency, distinguishing procrastination proper from merely intentional or strategic delay.</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(16,413 adults across multiple languages per Steel's own measure page)</t>
        </is>
      </c>
    </row>
    <row r="10" ht="15" customHeight="1" s="17">
      <c r="A10" s="35" t="inlineStr">
        <is>
          <t>Items in instrument</t>
        </is>
      </c>
      <c r="B10" s="27" t="inlineStr">
        <is>
          <t>9</t>
        </is>
      </c>
    </row>
    <row r="11" ht="15" customHeight="1" s="17">
      <c r="A11" s="35" t="inlineStr">
        <is>
          <t>Items reproduced here</t>
        </is>
      </c>
      <c r="B11" s="27" t="inlineStr">
        <is>
          <t>9</t>
        </is>
      </c>
    </row>
    <row r="12" ht="15" customHeight="1" s="17">
      <c r="A12" s="35" t="inlineStr">
        <is>
          <t>Administration time</t>
        </is>
      </c>
      <c r="B12" s="27" t="inlineStr">
        <is>
          <t>1-2 minutes</t>
        </is>
      </c>
    </row>
    <row r="13" ht="120" customHeight="1" s="17">
      <c r="A13" s="35" t="inlineStr">
        <is>
          <t>Cost and access</t>
        </is>
      </c>
      <c r="B13"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05" customHeight="1" s="17">
      <c r="A14" s="35" t="inlineStr">
        <is>
          <t>Coaching application</t>
        </is>
      </c>
      <c r="B14"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row>
    <row r="15" ht="60" customHeight="1" s="17">
      <c r="A15" s="35" t="inlineStr">
        <is>
          <t>Purpose</t>
        </is>
      </c>
      <c r="B15"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2, 6, 9</t>
        </is>
      </c>
    </row>
    <row r="19" ht="15" customHeight="1" s="17">
      <c r="A19" s="35" t="inlineStr">
        <is>
          <t>Filler items (not scored)</t>
        </is>
      </c>
      <c r="B19" s="27" t="inlineStr">
        <is>
          <t>None</t>
        </is>
      </c>
    </row>
    <row r="20" ht="30" customHeight="1" s="17">
      <c r="A20" s="35" t="inlineStr">
        <is>
          <t>Total scoring</t>
        </is>
      </c>
      <c r="B20" s="27" t="inlineStr">
        <is>
          <t>Reverse-code items 2, 6 and 9, then sum (or mean) all 9 item ratings. Higher total scores indicate greater irrational procrastination.</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45" customHeight="1" s="17">
      <c r="A23" s="35" t="inlineStr">
        <is>
          <t>Normative data</t>
        </is>
      </c>
      <c r="B23" s="27" t="inlineStr">
        <is>
          <t>No normative table was printed in the fetched excerpt of the source article. Piers Steel's own measure page states the IPS has been validated across international samples totalling 16,413 adults and invites direct contact for norms and scoring materials.</t>
        </is>
      </c>
    </row>
    <row r="24" ht="45" customHeight="1" s="17">
      <c r="A24" s="35" t="inlineStr">
        <is>
          <t>Psychometric properties</t>
        </is>
      </c>
      <c r="B24" s="27" t="inlineStr">
        <is>
          <t>Svartdal and Steel (2017) report Cronbach's alpha = .91 for the 9-item IPS in their multi-country sample.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put things off so long that my well-being or efficiency unnecessarily suffers</t>
        </is>
      </c>
      <c r="C30" s="27" t="inlineStr">
        <is>
          <t>Irrational Procrastination (total scale)</t>
        </is>
      </c>
      <c r="D30" s="27" t="inlineStr">
        <is>
          <t>FALSE</t>
        </is>
      </c>
      <c r="E30" s="27" t="inlineStr">
        <is>
          <t>FALSE</t>
        </is>
      </c>
      <c r="F30" s="27" t="inlineStr">
        <is>
          <t>Verbatim from Table 1, Svartdal &amp; Steel (2017).</t>
        </is>
      </c>
    </row>
    <row r="31" ht="23.85" customHeight="1" s="17">
      <c r="A31" s="28" t="n">
        <v>2</v>
      </c>
      <c r="B31" s="27" t="inlineStr">
        <is>
          <t>If there is something I should do, I get to it before attending to lesser tasks</t>
        </is>
      </c>
      <c r="C31" s="27" t="inlineStr">
        <is>
          <t>Irrational Procrastination (total scale)</t>
        </is>
      </c>
      <c r="D31" s="34" t="inlineStr">
        <is>
          <t>TRUE</t>
        </is>
      </c>
      <c r="E31" s="27" t="inlineStr">
        <is>
          <t>FALSE</t>
        </is>
      </c>
      <c r="F31" s="27" t="inlineStr">
        <is>
          <t>Verbatim from Table 1, Svartdal &amp; Steel (2017); marked '(R)' (reverse-scored) in the source table.</t>
        </is>
      </c>
    </row>
    <row r="32" ht="15" customHeight="1" s="17">
      <c r="A32" s="28" t="n">
        <v>3</v>
      </c>
      <c r="B32" s="27" t="inlineStr">
        <is>
          <t>My life would be better if I did some activities or tasks earlier</t>
        </is>
      </c>
      <c r="C32" s="27" t="inlineStr">
        <is>
          <t>Irrational Procrastination (total scale)</t>
        </is>
      </c>
      <c r="D32" s="27" t="inlineStr">
        <is>
          <t>FALSE</t>
        </is>
      </c>
      <c r="E32" s="27" t="inlineStr">
        <is>
          <t>FALSE</t>
        </is>
      </c>
      <c r="F32" s="27" t="inlineStr">
        <is>
          <t>Verbatim from Table 1, Svartdal &amp; Steel (2017).</t>
        </is>
      </c>
    </row>
    <row r="33" ht="15" customHeight="1" s="17">
      <c r="A33" s="28" t="n">
        <v>4</v>
      </c>
      <c r="B33" s="27" t="inlineStr">
        <is>
          <t>When I should be doing one thing, I will do another</t>
        </is>
      </c>
      <c r="C33" s="27" t="inlineStr">
        <is>
          <t>Irrational Procrastination (total scale)</t>
        </is>
      </c>
      <c r="D33" s="27" t="inlineStr">
        <is>
          <t>FALSE</t>
        </is>
      </c>
      <c r="E33" s="27" t="inlineStr">
        <is>
          <t>FALSE</t>
        </is>
      </c>
      <c r="F33" s="27" t="inlineStr">
        <is>
          <t>Verbatim from Table 1, Svartdal &amp; Steel (2017).</t>
        </is>
      </c>
    </row>
    <row r="34" ht="15" customHeight="1" s="17">
      <c r="A34" s="28" t="n">
        <v>5</v>
      </c>
      <c r="B34" s="27" t="inlineStr">
        <is>
          <t>At the end of the day, I know I could have spent the time better</t>
        </is>
      </c>
      <c r="C34" s="27" t="inlineStr">
        <is>
          <t>Irrational Procrastination (total scale)</t>
        </is>
      </c>
      <c r="D34" s="27" t="inlineStr">
        <is>
          <t>FALSE</t>
        </is>
      </c>
      <c r="E34" s="27" t="inlineStr">
        <is>
          <t>FALSE</t>
        </is>
      </c>
      <c r="F34" s="27" t="inlineStr">
        <is>
          <t>Verbatim from Table 1, Svartdal &amp; Steel (2017).</t>
        </is>
      </c>
    </row>
    <row r="35" ht="23.85" customHeight="1" s="17">
      <c r="A35" s="28" t="n">
        <v>6</v>
      </c>
      <c r="B35" s="27" t="inlineStr">
        <is>
          <t>I spend my time wisely</t>
        </is>
      </c>
      <c r="C35" s="27" t="inlineStr">
        <is>
          <t>Irrational Procrastination (total scale)</t>
        </is>
      </c>
      <c r="D35" s="34" t="inlineStr">
        <is>
          <t>TRUE</t>
        </is>
      </c>
      <c r="E35" s="27" t="inlineStr">
        <is>
          <t>FALSE</t>
        </is>
      </c>
      <c r="F35" s="27" t="inlineStr">
        <is>
          <t>Verbatim from Table 1, Svartdal &amp; Steel (2017); marked '(R)' (reverse-scored) in the source table.</t>
        </is>
      </c>
    </row>
    <row r="36" ht="15" customHeight="1" s="17">
      <c r="A36" s="28" t="n">
        <v>7</v>
      </c>
      <c r="B36" s="27" t="inlineStr">
        <is>
          <t>I delay tasks beyond what is reasonable</t>
        </is>
      </c>
      <c r="C36" s="27" t="inlineStr">
        <is>
          <t>Irrational Procrastination (total scale)</t>
        </is>
      </c>
      <c r="D36" s="27" t="inlineStr">
        <is>
          <t>FALSE</t>
        </is>
      </c>
      <c r="E36" s="27" t="inlineStr">
        <is>
          <t>FALSE</t>
        </is>
      </c>
      <c r="F36" s="27" t="inlineStr">
        <is>
          <t>Verbatim from Table 1, Svartdal &amp; Steel (2017).</t>
        </is>
      </c>
    </row>
    <row r="37" ht="15" customHeight="1" s="17">
      <c r="A37" s="28" t="n">
        <v>8</v>
      </c>
      <c r="B37" s="27" t="inlineStr">
        <is>
          <t>I procrastinate</t>
        </is>
      </c>
      <c r="C37" s="27" t="inlineStr">
        <is>
          <t>Irrational Procrastination (total scale)</t>
        </is>
      </c>
      <c r="D37" s="27" t="inlineStr">
        <is>
          <t>FALSE</t>
        </is>
      </c>
      <c r="E37" s="27" t="inlineStr">
        <is>
          <t>FALSE</t>
        </is>
      </c>
      <c r="F37" s="27" t="inlineStr">
        <is>
          <t>Verbatim from Table 1, Svartdal &amp; Steel (2017).</t>
        </is>
      </c>
    </row>
    <row r="38" ht="23.85" customHeight="1" s="17">
      <c r="A38" s="28" t="n">
        <v>9</v>
      </c>
      <c r="B38" s="27" t="inlineStr">
        <is>
          <t>I do everything when I believe it needs to be done</t>
        </is>
      </c>
      <c r="C38" s="27" t="inlineStr">
        <is>
          <t>Irrational Procrastination (total scale)</t>
        </is>
      </c>
      <c r="D38" s="34" t="inlineStr">
        <is>
          <t>TRUE</t>
        </is>
      </c>
      <c r="E38" s="27" t="inlineStr">
        <is>
          <t>FALSE</t>
        </is>
      </c>
      <c r="F38" s="27" t="inlineStr">
        <is>
          <t>Verbatim from Table 1, Svartdal &amp; Steel (2017); marked '(R)' (reverse-scored) in the source table.</t>
        </is>
      </c>
    </row>
  </sheetData>
  <autoFilter ref="A29:F3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General Self-Efficacy Scale</t>
        </is>
      </c>
    </row>
    <row r="3" ht="15" customHeight="1" s="17">
      <c r="A3" s="35" t="inlineStr">
        <is>
          <t>Instrument</t>
        </is>
      </c>
      <c r="B3" s="27" t="inlineStr">
        <is>
          <t>General Self-Efficacy Scale</t>
        </is>
      </c>
    </row>
    <row r="4" ht="15" customHeight="1" s="17">
      <c r="A4" s="35" t="inlineStr">
        <is>
          <t>Code</t>
        </is>
      </c>
      <c r="B4" s="27" t="inlineStr">
        <is>
          <t>GSE</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Generalized self-efficacy, i.e. a broad and stable sense of personal competence to deal effectively with a variety of stressful or difficult situations, treated as a unidimensional trait rather than task-specific self-efficacy.</t>
        </is>
      </c>
    </row>
    <row r="8" ht="15" customHeight="1" s="17">
      <c r="A8" s="35" t="inlineStr">
        <is>
          <t>Respondent</t>
        </is>
      </c>
      <c r="B8" s="27" t="inlineStr">
        <is>
          <t>Self-report</t>
        </is>
      </c>
    </row>
    <row r="9" ht="15" customHeight="1" s="17">
      <c r="A9" s="35" t="inlineStr">
        <is>
          <t>Age range</t>
        </is>
      </c>
      <c r="B9" s="27" t="inlineStr">
        <is>
          <t>Adolescents through adults; validated across 23 nations in general population and student samples</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4 minutes average (per the official FU Berlin documentation)</t>
        </is>
      </c>
    </row>
    <row r="13" ht="105" customHeight="1" s="17">
      <c r="A13" s="35" t="inlineStr">
        <is>
          <t>Cost and access</t>
        </is>
      </c>
      <c r="B13"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row>
    <row r="14" ht="105" customHeight="1" s="17">
      <c r="A14" s="35" t="inlineStr">
        <is>
          <t>Coaching application</t>
        </is>
      </c>
      <c r="B14"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row>
    <row r="15" ht="45" customHeight="1" s="17">
      <c r="A15" s="35" t="inlineStr">
        <is>
          <t>Purpose</t>
        </is>
      </c>
      <c r="B15"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row>
    <row r="16" ht="15" customHeight="1" s="17">
      <c r="A16" s="35" t="inlineStr">
        <is>
          <t>Instructions / prompt</t>
        </is>
      </c>
      <c r="B16" s="27" t="inlineStr">
        <is>
          <t>Not stated on source</t>
        </is>
      </c>
    </row>
    <row r="17" ht="15" customHeight="1" s="17">
      <c r="A17" s="35" t="inlineStr">
        <is>
          <t>Response options</t>
        </is>
      </c>
      <c r="B17" s="27" t="inlineStr">
        <is>
          <t>Not at all true = 1 | Hardly true = 2 | Moderately true = 3 | Exactly true = 4</t>
        </is>
      </c>
    </row>
    <row r="18" ht="15" customHeight="1" s="17">
      <c r="A18" s="35" t="inlineStr">
        <is>
          <t>Reverse-scored items</t>
        </is>
      </c>
      <c r="B18" s="27" t="inlineStr">
        <is>
          <t>None</t>
        </is>
      </c>
    </row>
    <row r="19" ht="15" customHeight="1" s="17">
      <c r="A19" s="35" t="inlineStr">
        <is>
          <t>Filler items (not scored)</t>
        </is>
      </c>
      <c r="B19" s="27" t="inlineStr">
        <is>
          <t>None</t>
        </is>
      </c>
    </row>
    <row r="20" ht="30" customHeight="1" s="17">
      <c r="A20" s="35" t="inlineStr">
        <is>
          <t>Total scoring</t>
        </is>
      </c>
      <c r="B20" s="27" t="inlineStr">
        <is>
          <t>Sum of the 10 item ratings, giving a total score ranging from 10 to 40. Higher scores indicate greater generalized self-efficacy. No items are reverse-scored.</t>
        </is>
      </c>
    </row>
    <row r="21" ht="15" customHeight="1" s="17">
      <c r="A21" s="35" t="inlineStr">
        <is>
          <t>Interpretation bands</t>
        </is>
      </c>
      <c r="B21" s="27" t="inlineStr">
        <is>
          <t>Not stated on source</t>
        </is>
      </c>
    </row>
    <row r="22" ht="15" customHeight="1" s="17">
      <c r="A22" s="35" t="inlineStr">
        <is>
          <t>Cut-offs</t>
        </is>
      </c>
      <c r="B22" s="27" t="inlineStr">
        <is>
          <t>No clinical cut-off scores are given on the official page; it is used as a continuous variable.</t>
        </is>
      </c>
    </row>
    <row r="23" ht="45" customHeight="1" s="17">
      <c r="A23" s="35" t="inlineStr">
        <is>
          <t>Normative data</t>
        </is>
      </c>
      <c r="B23" s="27" t="inlineStr">
        <is>
          <t>The official page states the scale has been validated in samples from 23 nations. No specific mean/SD norm tables were printed in the fetched page text, though the page indicates such information is discussed in the accompanying FAQ documentation.</t>
        </is>
      </c>
    </row>
    <row r="24" ht="30" customHeight="1" s="17">
      <c r="A24" s="35" t="inlineStr">
        <is>
          <t>Psychometric properties</t>
        </is>
      </c>
      <c r="B24" s="27" t="inlineStr">
        <is>
          <t>Cronbach's alpha coefficients ranged from .76 to .90 across the 23-nation samples, with the majority in the high .80s, per the official FU Berlin documentation.</t>
        </is>
      </c>
    </row>
    <row r="25" ht="45" customHeight="1" s="17">
      <c r="A25" s="35" t="inlineStr">
        <is>
          <t>Developer citation</t>
        </is>
      </c>
      <c r="B25" s="27" t="inlineStr">
        <is>
          <t>Schwarzer, R., &amp; Jerusalem, M. (1995). Generalized Self-Efficacy scale. In J. Weinman, S. Wright, &amp; M. Johnston, Measures in health psychology: A user's portfolio. Causal and control beliefs (pp. 35-37). NFER-NELSON.</t>
        </is>
      </c>
    </row>
    <row r="26" ht="75" customHeight="1" s="17">
      <c r="A26" s="35" t="inlineStr">
        <is>
          <t>Copyright and licensing</t>
        </is>
      </c>
      <c r="B26"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row>
    <row r="27" ht="15" customHeight="1" s="17">
      <c r="A27" s="35" t="inlineStr">
        <is>
          <t>Source URL</t>
        </is>
      </c>
      <c r="B27" s="27" t="inlineStr">
        <is>
          <t>https://userpage.fu-berlin.de/~health/engscal.htm</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can always manage to solve difficult problems if I try hard enough.</t>
        </is>
      </c>
      <c r="C30" s="27" t="inlineStr">
        <is>
          <t>General Self-Efficacy (total scale)</t>
        </is>
      </c>
      <c r="D30" s="27" t="inlineStr">
        <is>
          <t>FALSE</t>
        </is>
      </c>
      <c r="E30" s="27" t="inlineStr">
        <is>
          <t>FALSE</t>
        </is>
      </c>
      <c r="F30" s="27" t="inlineStr">
        <is>
          <t>Verbatim from the official FU Berlin page, https://userpage.fu-berlin.de/~health/engscal.htm.</t>
        </is>
      </c>
    </row>
    <row r="31" ht="15" customHeight="1" s="17">
      <c r="A31" s="28" t="n">
        <v>2</v>
      </c>
      <c r="B31" s="27" t="inlineStr">
        <is>
          <t>If someone opposes me, I can find the means and ways to get what I want.</t>
        </is>
      </c>
      <c r="C31" s="27" t="inlineStr">
        <is>
          <t>General Self-Efficacy (total scale)</t>
        </is>
      </c>
      <c r="D31" s="27" t="inlineStr">
        <is>
          <t>FALSE</t>
        </is>
      </c>
      <c r="E31" s="27" t="inlineStr">
        <is>
          <t>FALSE</t>
        </is>
      </c>
      <c r="F31" s="27" t="inlineStr">
        <is>
          <t>Verbatim from the official FU Berlin page.</t>
        </is>
      </c>
    </row>
    <row r="32" ht="15" customHeight="1" s="17">
      <c r="A32" s="28" t="n">
        <v>3</v>
      </c>
      <c r="B32" s="27" t="inlineStr">
        <is>
          <t>It is easy for me to stick to my aims and accomplish my goals.</t>
        </is>
      </c>
      <c r="C32" s="27" t="inlineStr">
        <is>
          <t>General Self-Efficacy (total scale)</t>
        </is>
      </c>
      <c r="D32" s="27" t="inlineStr">
        <is>
          <t>FALSE</t>
        </is>
      </c>
      <c r="E32" s="27" t="inlineStr">
        <is>
          <t>FALSE</t>
        </is>
      </c>
      <c r="F32" s="27" t="inlineStr">
        <is>
          <t>Verbatim from the official FU Berlin page.</t>
        </is>
      </c>
    </row>
    <row r="33" ht="15" customHeight="1" s="17">
      <c r="A33" s="28" t="n">
        <v>4</v>
      </c>
      <c r="B33" s="27" t="inlineStr">
        <is>
          <t>I am confident that I could deal efficiently with unexpected events.</t>
        </is>
      </c>
      <c r="C33" s="27" t="inlineStr">
        <is>
          <t>General Self-Efficacy (total scale)</t>
        </is>
      </c>
      <c r="D33" s="27" t="inlineStr">
        <is>
          <t>FALSE</t>
        </is>
      </c>
      <c r="E33" s="27" t="inlineStr">
        <is>
          <t>FALSE</t>
        </is>
      </c>
      <c r="F33" s="27" t="inlineStr">
        <is>
          <t>Verbatim from the official FU Berlin page.</t>
        </is>
      </c>
    </row>
    <row r="34" ht="15" customHeight="1" s="17">
      <c r="A34" s="28" t="n">
        <v>5</v>
      </c>
      <c r="B34" s="27" t="inlineStr">
        <is>
          <t>Thanks to my resourcefulness, I know how to handle unforeseen situations.</t>
        </is>
      </c>
      <c r="C34" s="27" t="inlineStr">
        <is>
          <t>General Self-Efficacy (total scale)</t>
        </is>
      </c>
      <c r="D34" s="27" t="inlineStr">
        <is>
          <t>FALSE</t>
        </is>
      </c>
      <c r="E34" s="27" t="inlineStr">
        <is>
          <t>FALSE</t>
        </is>
      </c>
      <c r="F34" s="27" t="inlineStr">
        <is>
          <t>Verbatim from the official FU Berlin page.</t>
        </is>
      </c>
    </row>
    <row r="35" ht="15" customHeight="1" s="17">
      <c r="A35" s="28" t="n">
        <v>6</v>
      </c>
      <c r="B35" s="27" t="inlineStr">
        <is>
          <t>I can solve most problems if I invest the necessary effort.</t>
        </is>
      </c>
      <c r="C35" s="27" t="inlineStr">
        <is>
          <t>General Self-Efficacy (total scale)</t>
        </is>
      </c>
      <c r="D35" s="27" t="inlineStr">
        <is>
          <t>FALSE</t>
        </is>
      </c>
      <c r="E35" s="27" t="inlineStr">
        <is>
          <t>FALSE</t>
        </is>
      </c>
      <c r="F35" s="27" t="inlineStr">
        <is>
          <t>Verbatim from the official FU Berlin page.</t>
        </is>
      </c>
    </row>
    <row r="36" ht="15" customHeight="1" s="17">
      <c r="A36" s="28" t="n">
        <v>7</v>
      </c>
      <c r="B36" s="27" t="inlineStr">
        <is>
          <t>I can remain calm when facing difficulties because I can rely on my coping abilities.</t>
        </is>
      </c>
      <c r="C36" s="27" t="inlineStr">
        <is>
          <t>General Self-Efficacy (total scale)</t>
        </is>
      </c>
      <c r="D36" s="27" t="inlineStr">
        <is>
          <t>FALSE</t>
        </is>
      </c>
      <c r="E36" s="27" t="inlineStr">
        <is>
          <t>FALSE</t>
        </is>
      </c>
      <c r="F36" s="27" t="inlineStr">
        <is>
          <t>Verbatim from the official FU Berlin page.</t>
        </is>
      </c>
    </row>
    <row r="37" ht="15" customHeight="1" s="17">
      <c r="A37" s="28" t="n">
        <v>8</v>
      </c>
      <c r="B37" s="27" t="inlineStr">
        <is>
          <t>When I am confronted with a problem, I can usually find several solutions.</t>
        </is>
      </c>
      <c r="C37" s="27" t="inlineStr">
        <is>
          <t>General Self-Efficacy (total scale)</t>
        </is>
      </c>
      <c r="D37" s="27" t="inlineStr">
        <is>
          <t>FALSE</t>
        </is>
      </c>
      <c r="E37" s="27" t="inlineStr">
        <is>
          <t>FALSE</t>
        </is>
      </c>
      <c r="F37" s="27" t="inlineStr">
        <is>
          <t>Verbatim from the official FU Berlin page.</t>
        </is>
      </c>
    </row>
    <row r="38" ht="15" customHeight="1" s="17">
      <c r="A38" s="28" t="n">
        <v>9</v>
      </c>
      <c r="B38" s="27" t="inlineStr">
        <is>
          <t>If I am in trouble, I can usually think of a solution.</t>
        </is>
      </c>
      <c r="C38" s="27" t="inlineStr">
        <is>
          <t>General Self-Efficacy (total scale)</t>
        </is>
      </c>
      <c r="D38" s="27" t="inlineStr">
        <is>
          <t>FALSE</t>
        </is>
      </c>
      <c r="E38" s="27" t="inlineStr">
        <is>
          <t>FALSE</t>
        </is>
      </c>
      <c r="F38" s="27" t="inlineStr">
        <is>
          <t>Verbatim from the official FU Berlin page.</t>
        </is>
      </c>
    </row>
    <row r="39" ht="15" customHeight="1" s="17">
      <c r="A39" s="28" t="n">
        <v>10</v>
      </c>
      <c r="B39" s="27" t="inlineStr">
        <is>
          <t>I can usually handle whatever comes my way.</t>
        </is>
      </c>
      <c r="C39" s="27" t="inlineStr">
        <is>
          <t>General Self-Efficacy (total scale)</t>
        </is>
      </c>
      <c r="D39" s="27" t="inlineStr">
        <is>
          <t>FALSE</t>
        </is>
      </c>
      <c r="E39" s="27" t="inlineStr">
        <is>
          <t>FALSE</t>
        </is>
      </c>
      <c r="F39" s="27" t="inlineStr">
        <is>
          <t>Verbatim from the official FU Berlin page.</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Commitment Scale (5-item unidimensional version)</t>
        </is>
      </c>
    </row>
    <row r="3" ht="15" customHeight="1" s="17">
      <c r="A3" s="35" t="inlineStr">
        <is>
          <t>Instrument</t>
        </is>
      </c>
      <c r="B3" s="27" t="inlineStr">
        <is>
          <t>Goal Commitment Scale (5-item unidimensional version)</t>
        </is>
      </c>
    </row>
    <row r="4" ht="15" customHeight="1" s="17">
      <c r="A4" s="35" t="inlineStr">
        <is>
          <t>Code</t>
        </is>
      </c>
      <c r="B4" s="27" t="inlineStr">
        <is>
          <t>GCS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30" customHeight="1" s="17">
      <c r="A7" s="35" t="inlineStr">
        <is>
          <t>Construct</t>
        </is>
      </c>
      <c r="B7" s="27" t="inlineStr">
        <is>
          <t>Unidimensional goal commitment, i.e. the degree of attachment to, and determination to reach, a specific goal the respondent has in mind, independent of the goal's difficulty or content.</t>
        </is>
      </c>
    </row>
    <row r="8" ht="45" customHeight="1" s="17">
      <c r="A8" s="35" t="inlineStr">
        <is>
          <t>Respondent</t>
        </is>
      </c>
      <c r="B8" s="27" t="inlineStr">
        <is>
          <t>Self-report, completed with reference to a specific goal the respondent names or is given (items are worded around "this goal"); used with working adults and students across the many studies aggregated in the 2001 meta-analysis.</t>
        </is>
      </c>
    </row>
    <row r="9" ht="30" customHeight="1" s="17">
      <c r="A9" s="35" t="inlineStr">
        <is>
          <t>Age range</t>
        </is>
      </c>
      <c r="B9" s="27" t="inlineStr">
        <is>
          <t>Adult (18+) in the studies identified; no child or adolescent validation located in the sources fetched.</t>
        </is>
      </c>
    </row>
    <row r="10" ht="15" customHeight="1" s="17">
      <c r="A10" s="35" t="inlineStr">
        <is>
          <t>Items in instrument</t>
        </is>
      </c>
      <c r="B10" s="27" t="inlineStr">
        <is>
          <t>5</t>
        </is>
      </c>
    </row>
    <row r="11" ht="15" customHeight="1" s="17">
      <c r="A11" s="35" t="inlineStr">
        <is>
          <t>Items reproduced here</t>
        </is>
      </c>
      <c r="B11" s="27" t="inlineStr">
        <is>
          <t>5</t>
        </is>
      </c>
    </row>
    <row r="12" ht="15" customHeight="1" s="17">
      <c r="A12" s="35" t="inlineStr">
        <is>
          <t>Administration time</t>
        </is>
      </c>
      <c r="B12" s="27" t="inlineStr">
        <is>
          <t>Not stated on source</t>
        </is>
      </c>
    </row>
    <row r="13" ht="169.5" customHeight="1" s="17">
      <c r="A13" s="35" t="inlineStr">
        <is>
          <t>Cost and access</t>
        </is>
      </c>
      <c r="B13"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row>
    <row r="14" ht="120" customHeight="1" s="17">
      <c r="A14" s="35" t="inlineStr">
        <is>
          <t>Coaching application</t>
        </is>
      </c>
      <c r="B14"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row>
    <row r="15" ht="105" customHeight="1" s="17">
      <c r="A15" s="35" t="inlineStr">
        <is>
          <t>Purpose</t>
        </is>
      </c>
      <c r="B15"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row>
    <row r="16" ht="45" customHeight="1" s="17">
      <c r="A16" s="35" t="inlineStr">
        <is>
          <t>Instructions / prompt</t>
        </is>
      </c>
      <c r="B16"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row>
    <row r="17" ht="30" customHeight="1" s="17">
      <c r="A17" s="35" t="inlineStr">
        <is>
          <t>Response options</t>
        </is>
      </c>
      <c r="B17" s="27" t="inlineStr">
        <is>
          <t>Strongly Disagree = 1 | Moderately Disagree = 2 | Neutral = 3 | Moderately Agree = 4 | Strongly Agree = 5</t>
        </is>
      </c>
    </row>
    <row r="18" ht="15" customHeight="1" s="17">
      <c r="A18" s="35" t="inlineStr">
        <is>
          <t>Reverse-scored items</t>
        </is>
      </c>
      <c r="B18" s="27" t="inlineStr">
        <is>
          <t>1-2, 4</t>
        </is>
      </c>
    </row>
    <row r="19" ht="15" customHeight="1" s="17">
      <c r="A19" s="35" t="inlineStr">
        <is>
          <t>Filler items (not scored)</t>
        </is>
      </c>
      <c r="B19" s="27" t="inlineStr">
        <is>
          <t>None</t>
        </is>
      </c>
    </row>
    <row r="20" ht="60" customHeight="1" s="17">
      <c r="A20" s="35" t="inlineStr">
        <is>
          <t>Total scoring</t>
        </is>
      </c>
      <c r="B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row>
    <row r="25" ht="45" customHeight="1" s="17">
      <c r="A25" s="35" t="inlineStr">
        <is>
          <t>Developer citation</t>
        </is>
      </c>
      <c r="B25" s="27" t="inlineStr">
        <is>
          <t>Klein, H. J., Wesson, M. J., Hollenbeck, J. R., Wright, P. M., &amp; DeShon, R. P. (2001). The assessment of goal commitment: A measurement model meta-analysis. Organizational Behavior and Human Decision Processes, 85(1), 32-55.</t>
        </is>
      </c>
    </row>
    <row r="26" ht="165" customHeight="1" s="17">
      <c r="A26" s="35" t="inlineStr">
        <is>
          <t>Copyright and licensing</t>
        </is>
      </c>
      <c r="B26"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row>
    <row r="27" ht="15" customHeight="1" s="17">
      <c r="A27" s="35" t="inlineStr">
        <is>
          <t>Source URL</t>
        </is>
      </c>
      <c r="B27" s="27" t="inlineStr">
        <is>
          <t>https://bearworks.missouristate.edu/cgi/viewcontent.cgi?article=4229&amp;context=theses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46.25" customHeight="1" s="17">
      <c r="A30" s="28" t="n">
        <v>1</v>
      </c>
      <c r="B30" s="27" t="inlineStr">
        <is>
          <t>It's hard to take this goal seriously.</t>
        </is>
      </c>
      <c r="C30" s="27" t="inlineStr">
        <is>
          <t>Goal Commitment</t>
        </is>
      </c>
      <c r="D30" s="34" t="inlineStr">
        <is>
          <t>TRUE</t>
        </is>
      </c>
      <c r="E30" s="27" t="inlineStr">
        <is>
          <t>FALSE</t>
        </is>
      </c>
      <c r="F30" s="27" t="inlineStr">
        <is>
          <t>Item wording and reverse keying per Klein et al. (2001, p. 34) as quoted in Missouri State University thesis https://bearworks.missouristate.edu/cgi/viewcontent.cgi?article=4229&amp;context=theses.</t>
        </is>
      </c>
    </row>
    <row r="31" ht="46.25" customHeight="1" s="17">
      <c r="A31" s="28" t="n">
        <v>2</v>
      </c>
      <c r="B31" s="27" t="inlineStr">
        <is>
          <t>Quite frankly, I don't care if I achieve this goal or not.</t>
        </is>
      </c>
      <c r="C31" s="27" t="inlineStr">
        <is>
          <t>Goal Commitment</t>
        </is>
      </c>
      <c r="D31" s="34" t="inlineStr">
        <is>
          <t>TRUE</t>
        </is>
      </c>
      <c r="E31" s="27" t="inlineStr">
        <is>
          <t>FALSE</t>
        </is>
      </c>
      <c r="F31" s="27" t="inlineStr">
        <is>
          <t>Item wording and reverse keying per Klein et al. (2001, p. 34) as quoted in Missouri State University thesis https://bearworks.missouristate.edu/cgi/viewcontent.cgi?article=4229&amp;context=theses.</t>
        </is>
      </c>
    </row>
    <row r="32" ht="46.25" customHeight="1" s="17">
      <c r="A32" s="28" t="n">
        <v>3</v>
      </c>
      <c r="B32" s="27" t="inlineStr">
        <is>
          <t>I am strongly committed to pursuing this goal.</t>
        </is>
      </c>
      <c r="C32" s="27" t="inlineStr">
        <is>
          <t>Goal Commitment</t>
        </is>
      </c>
      <c r="D32" s="27" t="inlineStr">
        <is>
          <t>FALSE</t>
        </is>
      </c>
      <c r="E32" s="27" t="inlineStr">
        <is>
          <t>FALSE</t>
        </is>
      </c>
      <c r="F32" s="27" t="inlineStr">
        <is>
          <t>Item wording and reverse keying per Klein et al. (2001, p. 34) as quoted in Missouri State University thesis https://bearworks.missouristate.edu/cgi/viewcontent.cgi?article=4229&amp;context=theses.</t>
        </is>
      </c>
    </row>
    <row r="33" ht="46.25" customHeight="1" s="17">
      <c r="A33" s="28" t="n">
        <v>4</v>
      </c>
      <c r="B33" s="27" t="inlineStr">
        <is>
          <t>It wouldn't take much to make me abandon this goal.</t>
        </is>
      </c>
      <c r="C33" s="27" t="inlineStr">
        <is>
          <t>Goal Commitment</t>
        </is>
      </c>
      <c r="D33" s="34" t="inlineStr">
        <is>
          <t>TRUE</t>
        </is>
      </c>
      <c r="E33" s="27" t="inlineStr">
        <is>
          <t>FALSE</t>
        </is>
      </c>
      <c r="F33" s="27" t="inlineStr">
        <is>
          <t>Item wording and reverse keying per Klein et al. (2001, p. 34) as quoted in Missouri State University thesis https://bearworks.missouristate.edu/cgi/viewcontent.cgi?article=4229&amp;context=theses.</t>
        </is>
      </c>
    </row>
    <row r="34" ht="46.25" customHeight="1" s="17">
      <c r="A34" s="28" t="n">
        <v>5</v>
      </c>
      <c r="B34" s="27" t="inlineStr">
        <is>
          <t>I think this is a good goal to shoot for.</t>
        </is>
      </c>
      <c r="C34" s="27" t="inlineStr">
        <is>
          <t>Goal Commitment</t>
        </is>
      </c>
      <c r="D34" s="27" t="inlineStr">
        <is>
          <t>FALSE</t>
        </is>
      </c>
      <c r="E34" s="27" t="inlineStr">
        <is>
          <t>FALSE</t>
        </is>
      </c>
      <c r="F34" s="27" t="inlineStr">
        <is>
          <t>Item wording and reverse keying per Klein et al. (2001, p. 34) as quoted in Missouri State University thesis https://bearworks.missouristate.edu/cgi/viewcontent.cgi?article=4229&amp;context=theses.</t>
        </is>
      </c>
    </row>
  </sheetData>
  <autoFilter ref="A29:F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Adjustment Scale</t>
        </is>
      </c>
    </row>
    <row r="3" ht="15" customHeight="1" s="17">
      <c r="A3" s="35" t="inlineStr">
        <is>
          <t>Instrument</t>
        </is>
      </c>
      <c r="B3" s="27" t="inlineStr">
        <is>
          <t>Goal Adjustment Scale</t>
        </is>
      </c>
    </row>
    <row r="4" ht="15" customHeight="1" s="17">
      <c r="A4" s="35" t="inlineStr">
        <is>
          <t>Code</t>
        </is>
      </c>
      <c r="B4" s="27" t="inlineStr">
        <is>
          <t>GADJ</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row>
    <row r="8" ht="30" customHeight="1" s="17">
      <c r="A8" s="35" t="inlineStr">
        <is>
          <t>Respondent</t>
        </is>
      </c>
      <c r="B8" s="27" t="inlineStr">
        <is>
          <t>Self-report, answered with respect to a general stem about an important, unattainable goal in the respondent's own life (not a goal supplied by an interviewer).</t>
        </is>
      </c>
    </row>
    <row r="9" ht="60" customHeight="1" s="17">
      <c r="A9" s="35" t="inlineStr">
        <is>
          <t>Age range</t>
        </is>
      </c>
      <c r="B9"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Not stated on source</t>
        </is>
      </c>
    </row>
    <row r="13" ht="169.5" customHeight="1" s="17">
      <c r="A13" s="35" t="inlineStr">
        <is>
          <t>Cost and access</t>
        </is>
      </c>
      <c r="B13"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row>
    <row r="14" ht="135" customHeight="1" s="17">
      <c r="A14" s="35" t="inlineStr">
        <is>
          <t>Coaching application</t>
        </is>
      </c>
      <c r="B14"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row>
    <row r="15" ht="90" customHeight="1" s="17">
      <c r="A15" s="35" t="inlineStr">
        <is>
          <t>Purpose</t>
        </is>
      </c>
      <c r="B15"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row>
    <row r="16" ht="90" customHeight="1" s="17">
      <c r="A16" s="35" t="inlineStr">
        <is>
          <t>Instructions / prompt</t>
        </is>
      </c>
      <c r="B16"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row>
    <row r="17" ht="15" customHeight="1" s="17">
      <c r="A17" s="35" t="inlineStr">
        <is>
          <t>Response options</t>
        </is>
      </c>
      <c r="B17" s="27" t="inlineStr">
        <is>
          <t>Almost never true = 1 | 2 = 2 | 3 = 3 | 4 = 4 | Almost always true = 5</t>
        </is>
      </c>
    </row>
    <row r="18" ht="15" customHeight="1" s="17">
      <c r="A18" s="35" t="inlineStr">
        <is>
          <t>Reverse-scored items</t>
        </is>
      </c>
      <c r="B18" s="27" t="inlineStr">
        <is>
          <t>2-3</t>
        </is>
      </c>
    </row>
    <row r="19" ht="15" customHeight="1" s="17">
      <c r="A19" s="35" t="inlineStr">
        <is>
          <t>Filler items (not scored)</t>
        </is>
      </c>
      <c r="B19" s="27" t="inlineStr">
        <is>
          <t>None</t>
        </is>
      </c>
    </row>
    <row r="20" ht="60" customHeight="1" s="17">
      <c r="A20" s="35" t="inlineStr">
        <is>
          <t>Total scoring</t>
        </is>
      </c>
      <c r="B20"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35" customHeight="1" s="17">
      <c r="A24" s="35" t="inlineStr">
        <is>
          <t>Psychometric properties</t>
        </is>
      </c>
      <c r="B24"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row>
    <row r="25" ht="45" customHeight="1" s="17">
      <c r="A25" s="35" t="inlineStr">
        <is>
          <t>Developer citation</t>
        </is>
      </c>
      <c r="B25" s="27" t="inlineStr">
        <is>
          <t>Wrosch, C., Scheier, M. F., Miller, G. E., Schulz, R., &amp; Carver, C. S. (2003). Adaptive self-regulation of unattainable goals: Goal disengagement, goal reengagement, and subjective well-being. Personality and Social Psychology Bulletin, 29(12), 1494-1508.</t>
        </is>
      </c>
    </row>
    <row r="26" ht="75" customHeight="1" s="17">
      <c r="A26" s="35" t="inlineStr">
        <is>
          <t>Copyright and licensing</t>
        </is>
      </c>
      <c r="B26"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row>
    <row r="27" ht="15" customHeight="1" s="17">
      <c r="A27" s="35" t="inlineStr">
        <is>
          <t>Source URL</t>
        </is>
      </c>
      <c r="B27" s="27" t="inlineStr">
        <is>
          <t>https://www.cmu.edu/dietrich/psychology/pdf/scales/GAS_article.pdf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It's easy for me to reduce my effort toward the goal.</t>
        </is>
      </c>
      <c r="C30" s="27" t="inlineStr">
        <is>
          <t>Goal Disengagement</t>
        </is>
      </c>
      <c r="D30" s="27" t="inlineStr">
        <is>
          <t>FALSE</t>
        </is>
      </c>
      <c r="E30" s="27" t="inlineStr">
        <is>
          <t>FALSE</t>
        </is>
      </c>
      <c r="F30" s="27" t="inlineStr">
        <is>
          <t>Verbatim from Table 1, Wrosch et al. (2003), fetched from the Carnegie Mellon-hosted copy of the original article.</t>
        </is>
      </c>
    </row>
    <row r="31" ht="35.05" customHeight="1" s="17">
      <c r="A31" s="28" t="n">
        <v>2</v>
      </c>
      <c r="B31" s="27" t="inlineStr">
        <is>
          <t>I find it difficult to stop trying to achieve the goal.</t>
        </is>
      </c>
      <c r="C31" s="27" t="inlineStr">
        <is>
          <t>Goal Disengagement</t>
        </is>
      </c>
      <c r="D31" s="34" t="inlineStr">
        <is>
          <t>TRUE</t>
        </is>
      </c>
      <c r="E31" s="27" t="inlineStr">
        <is>
          <t>FALSE</t>
        </is>
      </c>
      <c r="F31" s="27" t="inlineStr">
        <is>
          <t>Verbatim from Table 1, Wrosch et al. (2003); marked with a reverse-scoring symbol in the original table because it is worded in the direction of persistence, not disengagement.</t>
        </is>
      </c>
    </row>
    <row r="32" ht="23.85" customHeight="1" s="17">
      <c r="A32" s="28" t="n">
        <v>3</v>
      </c>
      <c r="B32" s="27" t="inlineStr">
        <is>
          <t>I stay committed to the goal for a long time; I can't let it go.</t>
        </is>
      </c>
      <c r="C32" s="27" t="inlineStr">
        <is>
          <t>Goal Disengagement</t>
        </is>
      </c>
      <c r="D32" s="34" t="inlineStr">
        <is>
          <t>TRUE</t>
        </is>
      </c>
      <c r="E32" s="27" t="inlineStr">
        <is>
          <t>FALSE</t>
        </is>
      </c>
      <c r="F32" s="27" t="inlineStr">
        <is>
          <t>Verbatim from Table 1, Wrosch et al. (2003); marked with a reverse-scoring symbol in the original table for the same reason as item 2.</t>
        </is>
      </c>
    </row>
    <row r="33" ht="15" customHeight="1" s="17">
      <c r="A33" s="28" t="n">
        <v>4</v>
      </c>
      <c r="B33" s="27" t="inlineStr">
        <is>
          <t>It's easy for me to stop thinking about the goal and let it go.</t>
        </is>
      </c>
      <c r="C33" s="27" t="inlineStr">
        <is>
          <t>Goal Disengagement</t>
        </is>
      </c>
      <c r="D33" s="27" t="inlineStr">
        <is>
          <t>FALSE</t>
        </is>
      </c>
      <c r="E33" s="27" t="inlineStr">
        <is>
          <t>FALSE</t>
        </is>
      </c>
      <c r="F33" s="27" t="inlineStr">
        <is>
          <t>Verbatim from Table 1, Wrosch et al. (2003).</t>
        </is>
      </c>
    </row>
    <row r="34" ht="15" customHeight="1" s="17">
      <c r="A34" s="28" t="n">
        <v>5</v>
      </c>
      <c r="B34" s="27" t="inlineStr">
        <is>
          <t>I think about other new goals to pursue.</t>
        </is>
      </c>
      <c r="C34" s="27" t="inlineStr">
        <is>
          <t>Goal Reengagement</t>
        </is>
      </c>
      <c r="D34" s="27" t="inlineStr">
        <is>
          <t>FALSE</t>
        </is>
      </c>
      <c r="E34" s="27" t="inlineStr">
        <is>
          <t>FALSE</t>
        </is>
      </c>
      <c r="F34" s="27" t="inlineStr">
        <is>
          <t>Verbatim from Table 1, Wrosch et al. (2003).</t>
        </is>
      </c>
    </row>
    <row r="35" ht="15" customHeight="1" s="17">
      <c r="A35" s="28" t="n">
        <v>6</v>
      </c>
      <c r="B35" s="27" t="inlineStr">
        <is>
          <t>I seek other meaningful goals.</t>
        </is>
      </c>
      <c r="C35" s="27" t="inlineStr">
        <is>
          <t>Goal Reengagement</t>
        </is>
      </c>
      <c r="D35" s="27" t="inlineStr">
        <is>
          <t>FALSE</t>
        </is>
      </c>
      <c r="E35" s="27" t="inlineStr">
        <is>
          <t>FALSE</t>
        </is>
      </c>
      <c r="F35" s="27" t="inlineStr">
        <is>
          <t>Verbatim from Table 1, Wrosch et al. (2003).</t>
        </is>
      </c>
    </row>
    <row r="36" ht="15" customHeight="1" s="17">
      <c r="A36" s="28" t="n">
        <v>7</v>
      </c>
      <c r="B36" s="27" t="inlineStr">
        <is>
          <t>I convince myself that I have other meaningful goals to pursue.</t>
        </is>
      </c>
      <c r="C36" s="27" t="inlineStr">
        <is>
          <t>Goal Reengagement</t>
        </is>
      </c>
      <c r="D36" s="27" t="inlineStr">
        <is>
          <t>FALSE</t>
        </is>
      </c>
      <c r="E36" s="27" t="inlineStr">
        <is>
          <t>FALSE</t>
        </is>
      </c>
      <c r="F36" s="27" t="inlineStr">
        <is>
          <t>Verbatim from Table 1, Wrosch et al. (2003).</t>
        </is>
      </c>
    </row>
    <row r="37" ht="15" customHeight="1" s="17">
      <c r="A37" s="28" t="n">
        <v>8</v>
      </c>
      <c r="B37" s="27" t="inlineStr">
        <is>
          <t>I tell myself that I have a number of other new goals to draw on.</t>
        </is>
      </c>
      <c r="C37" s="27" t="inlineStr">
        <is>
          <t>Goal Reengagement</t>
        </is>
      </c>
      <c r="D37" s="27" t="inlineStr">
        <is>
          <t>FALSE</t>
        </is>
      </c>
      <c r="E37" s="27" t="inlineStr">
        <is>
          <t>FALSE</t>
        </is>
      </c>
      <c r="F37" s="27" t="inlineStr">
        <is>
          <t>Verbatim from Table 1, Wrosch et al. (2003).</t>
        </is>
      </c>
    </row>
    <row r="38" ht="15" customHeight="1" s="17">
      <c r="A38" s="28" t="n">
        <v>9</v>
      </c>
      <c r="B38" s="27" t="inlineStr">
        <is>
          <t>I start working on other new goals.</t>
        </is>
      </c>
      <c r="C38" s="27" t="inlineStr">
        <is>
          <t>Goal Reengagement</t>
        </is>
      </c>
      <c r="D38" s="27" t="inlineStr">
        <is>
          <t>FALSE</t>
        </is>
      </c>
      <c r="E38" s="27" t="inlineStr">
        <is>
          <t>FALSE</t>
        </is>
      </c>
      <c r="F38" s="27" t="inlineStr">
        <is>
          <t>Verbatim from Table 1, Wrosch et al. (2003).</t>
        </is>
      </c>
    </row>
    <row r="39" ht="15" customHeight="1" s="17">
      <c r="A39" s="28" t="n">
        <v>10</v>
      </c>
      <c r="B39" s="27" t="inlineStr">
        <is>
          <t>I put effort toward other meaningful goals.</t>
        </is>
      </c>
      <c r="C39" s="27" t="inlineStr">
        <is>
          <t>Goal Reengagement</t>
        </is>
      </c>
      <c r="D39" s="27" t="inlineStr">
        <is>
          <t>FALSE</t>
        </is>
      </c>
      <c r="E39" s="27" t="inlineStr">
        <is>
          <t>FALSE</t>
        </is>
      </c>
      <c r="F39" s="27" t="inlineStr">
        <is>
          <t>Verbatim from Table 1, Wrosch et al. (2003).</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2026-09-26T02:55:48Z</dcterms:created>
  <dcterms:modified xmlns:dcterms="http://purl.org/dc/terms/" xmlns:xsi="http://www.w3.org/2001/XMLSchema-instance" xsi:type="dcterms:W3CDTF">2026-10-18T08:44:39Z</dcterms:modified>
  <cp:revision>0</cp:revision>
</cp:coreProperties>
</file>